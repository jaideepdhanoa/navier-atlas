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opex'!$A$4:$G$18</definedName>
    <definedName name="som_floor_fleet">'Corridor economics'!$D$176</definedName>
    <definedName name="som_floor_rev">'Corridor economics'!$E$176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Yango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Azerbaijan</t>
        </is>
      </c>
      <c r="B4" s="26" t="n">
        <v>14000</v>
      </c>
      <c r="C4" s="27" t="n">
        <v>0.07000000000000001</v>
      </c>
      <c r="D4" s="19" t="n">
        <v>0.5</v>
      </c>
      <c r="E4" s="26" t="n">
        <v>9000</v>
      </c>
      <c r="F4" s="19" t="n">
        <v>0.35</v>
      </c>
      <c r="G4" s="26" t="n">
        <v>600000</v>
      </c>
      <c r="H4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">
      <c r="A5" s="25" t="inlineStr">
        <is>
          <t>Côte d'Ivoire</t>
        </is>
      </c>
      <c r="B5" s="26" t="n">
        <v>12000</v>
      </c>
      <c r="C5" s="27" t="n">
        <v>0.13</v>
      </c>
      <c r="D5" s="19" t="n">
        <v>0.4</v>
      </c>
      <c r="E5" s="26" t="n">
        <v>8000</v>
      </c>
      <c r="F5" s="19" t="n">
        <v>0.3</v>
      </c>
      <c r="G5" s="26" t="n">
        <v>600000</v>
      </c>
      <c r="H5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6">
      <c r="A6" s="25" t="inlineStr">
        <is>
          <t>Egypt</t>
        </is>
      </c>
      <c r="B6" s="26" t="n">
        <v>12000</v>
      </c>
      <c r="C6" s="27" t="n">
        <v>0.06</v>
      </c>
      <c r="D6" s="19" t="n">
        <v>0.45</v>
      </c>
      <c r="E6" s="26" t="n">
        <v>8000</v>
      </c>
      <c r="F6" s="19" t="n">
        <v>0.3</v>
      </c>
      <c r="G6" s="26" t="n">
        <v>600000</v>
      </c>
      <c r="H6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7">
      <c r="A7" s="25" t="inlineStr">
        <is>
          <t>Israel</t>
        </is>
      </c>
      <c r="B7" s="26" t="n">
        <v>50000</v>
      </c>
      <c r="C7" s="27" t="n">
        <v>0.16</v>
      </c>
      <c r="D7" s="19" t="n">
        <v>0.55</v>
      </c>
      <c r="E7" s="26" t="n">
        <v>20000</v>
      </c>
      <c r="F7" s="19" t="n">
        <v>1.05</v>
      </c>
      <c r="G7" s="26" t="n">
        <v>600000</v>
      </c>
      <c r="H7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8">
      <c r="A8" s="25" t="inlineStr">
        <is>
          <t>Kazakhstan</t>
        </is>
      </c>
      <c r="B8" s="26" t="n">
        <v>14000</v>
      </c>
      <c r="C8" s="27" t="n">
        <v>0.06</v>
      </c>
      <c r="D8" s="19" t="n">
        <v>0.55</v>
      </c>
      <c r="E8" s="26" t="n">
        <v>8000</v>
      </c>
      <c r="F8" s="19" t="n">
        <v>0.35</v>
      </c>
      <c r="G8" s="26" t="n">
        <v>600000</v>
      </c>
      <c r="H8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9">
      <c r="A9" s="25" t="inlineStr">
        <is>
          <t>Morocco</t>
        </is>
      </c>
      <c r="B9" s="26" t="n">
        <v>14000</v>
      </c>
      <c r="C9" s="27" t="n">
        <v>0.12</v>
      </c>
      <c r="D9" s="19" t="n">
        <v>0.6</v>
      </c>
      <c r="E9" s="26" t="n">
        <v>10000</v>
      </c>
      <c r="F9" s="19" t="n">
        <v>0.38</v>
      </c>
      <c r="G9" s="26" t="n">
        <v>600000</v>
      </c>
      <c r="H9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0">
      <c r="A10" s="25" t="inlineStr">
        <is>
          <t>Mozambique</t>
        </is>
      </c>
      <c r="B10" s="26" t="n">
        <v>10000</v>
      </c>
      <c r="C10" s="27" t="n">
        <v>0.1</v>
      </c>
      <c r="D10" s="19" t="n">
        <v>0.1</v>
      </c>
      <c r="E10" s="26" t="n">
        <v>7000</v>
      </c>
      <c r="F10" s="19" t="n">
        <v>0.28</v>
      </c>
      <c r="G10" s="26" t="n">
        <v>600000</v>
      </c>
      <c r="H10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1">
      <c r="A11" s="25" t="inlineStr">
        <is>
          <t>Nigeria</t>
        </is>
      </c>
      <c r="B11" s="26" t="n">
        <v>12000</v>
      </c>
      <c r="C11" s="27" t="n">
        <v>0.13</v>
      </c>
      <c r="D11" s="19" t="n">
        <v>0.4</v>
      </c>
      <c r="E11" s="26" t="n">
        <v>9000</v>
      </c>
      <c r="F11" s="19" t="n">
        <v>0.32</v>
      </c>
      <c r="G11" s="26" t="n">
        <v>600000</v>
      </c>
      <c r="H11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2">
      <c r="A12" s="25" t="inlineStr">
        <is>
          <t>Pakistan</t>
        </is>
      </c>
      <c r="B12" s="26" t="n">
        <v>10000</v>
      </c>
      <c r="C12" s="27" t="n">
        <v>0.12</v>
      </c>
      <c r="D12" s="19" t="n">
        <v>0.4</v>
      </c>
      <c r="E12" s="26" t="n">
        <v>7000</v>
      </c>
      <c r="F12" s="19" t="n">
        <v>0.25</v>
      </c>
      <c r="G12" s="26" t="n">
        <v>600000</v>
      </c>
      <c r="H12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3">
      <c r="A13" s="25" t="inlineStr">
        <is>
          <t>Qatar</t>
        </is>
      </c>
      <c r="B13" s="26" t="n">
        <v>43000</v>
      </c>
      <c r="C13" s="27" t="n">
        <v>0.036</v>
      </c>
      <c r="D13" s="19" t="n">
        <v>0.49</v>
      </c>
      <c r="E13" s="26" t="n">
        <v>20000</v>
      </c>
      <c r="F13" s="19" t="n">
        <v>0.7</v>
      </c>
      <c r="G13" s="26" t="n">
        <v>600000</v>
      </c>
      <c r="H13" s="14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  <row r="14">
      <c r="A14" s="25" t="inlineStr">
        <is>
          <t>Saudi Arabia</t>
        </is>
      </c>
      <c r="B14" s="26" t="n">
        <v>42000</v>
      </c>
      <c r="C14" s="27" t="n">
        <v>0.074</v>
      </c>
      <c r="D14" s="19" t="n">
        <v>0.57</v>
      </c>
      <c r="E14" s="26" t="n">
        <v>18000</v>
      </c>
      <c r="F14" s="19" t="n">
        <v>0.68</v>
      </c>
      <c r="G14" s="26" t="n">
        <v>600000</v>
      </c>
      <c r="H14" s="14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  <row r="15">
      <c r="A15" s="25" t="inlineStr">
        <is>
          <t>Senegal</t>
        </is>
      </c>
      <c r="B15" s="26" t="n">
        <v>12000</v>
      </c>
      <c r="C15" s="27" t="n">
        <v>0.18</v>
      </c>
      <c r="D15" s="19" t="n">
        <v>0.55</v>
      </c>
      <c r="E15" s="26" t="n">
        <v>8000</v>
      </c>
      <c r="F15" s="19" t="n">
        <v>0.32</v>
      </c>
      <c r="G15" s="26" t="n">
        <v>600000</v>
      </c>
      <c r="H15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6">
      <c r="A16" s="25" t="inlineStr">
        <is>
          <t>Tunisia</t>
        </is>
      </c>
      <c r="B16" s="26" t="n">
        <v>14000</v>
      </c>
      <c r="C16" s="27" t="n">
        <v>0.1</v>
      </c>
      <c r="D16" s="19" t="n">
        <v>0.45</v>
      </c>
      <c r="E16" s="26" t="n">
        <v>9000</v>
      </c>
      <c r="F16" s="19" t="n">
        <v>0.35</v>
      </c>
      <c r="G16" s="26" t="n">
        <v>600000</v>
      </c>
      <c r="H16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7">
      <c r="A17" s="25" t="inlineStr">
        <is>
          <t>Turkey</t>
        </is>
      </c>
      <c r="B17" s="26" t="n">
        <v>20000</v>
      </c>
      <c r="C17" s="27" t="n">
        <v>0.12</v>
      </c>
      <c r="D17" s="19" t="n">
        <v>0.4</v>
      </c>
      <c r="E17" s="26" t="n">
        <v>12000</v>
      </c>
      <c r="F17" s="19" t="n">
        <v>0.45</v>
      </c>
      <c r="G17" s="26" t="n">
        <v>600000</v>
      </c>
      <c r="H17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8">
      <c r="A18" s="25" t="inlineStr">
        <is>
          <t>United Arab Emirates</t>
        </is>
      </c>
      <c r="B18" s="26" t="n">
        <v>40000</v>
      </c>
      <c r="C18" s="27" t="n">
        <v>0.08500000000000001</v>
      </c>
      <c r="D18" s="19" t="n">
        <v>0.4</v>
      </c>
      <c r="E18" s="26" t="n">
        <v>22000</v>
      </c>
      <c r="F18" s="19" t="n">
        <v>0.74</v>
      </c>
      <c r="G18" s="26" t="n">
        <v>600000</v>
      </c>
      <c r="H18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19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Yango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Yango</t>
        </is>
      </c>
      <c r="B4" s="29" t="inlineStr">
        <is>
          <t>Azerbaijan</t>
        </is>
      </c>
      <c r="C4" s="30" t="inlineStr">
        <is>
          <t>Baku Bay leisure loop (Boulevard) → Baku Bay leisure loop (Boulevard)</t>
        </is>
      </c>
      <c r="D4" s="31" t="n">
        <v>6</v>
      </c>
      <c r="E4" s="26" t="n">
        <v>30</v>
      </c>
      <c r="F4" s="32" t="inlineStr">
        <is>
          <t>T2</t>
        </is>
      </c>
      <c r="G4" s="32" t="inlineStr">
        <is>
          <t>med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n"/>
      <c r="AI4" s="32" t="n"/>
      <c r="AJ4" s="39" t="n">
        <v>0.1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Estimated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PREMIUM tier: private Boulevard boat tour ~$30/seat (range $30-44; privatetoursbaku, Tripadvisor, GetYourGuide).</t>
        </is>
      </c>
      <c r="AY4" s="44" t="n"/>
    </row>
    <row r="5">
      <c r="A5" s="29" t="inlineStr">
        <is>
          <t>Yango</t>
        </is>
      </c>
      <c r="B5" s="29" t="inlineStr">
        <is>
          <t>Azerbaijan</t>
        </is>
      </c>
      <c r="C5" s="30" t="inlineStr">
        <is>
          <t>Baku (Boulevard / Port Baku) → Sumqayit</t>
        </is>
      </c>
      <c r="D5" s="31" t="n">
        <v>16</v>
      </c>
      <c r="E5" s="26" t="n"/>
      <c r="F5" s="32" t="n"/>
      <c r="G5" s="32" t="n"/>
      <c r="H5" s="19" t="n">
        <v>1</v>
      </c>
      <c r="I5" s="33">
        <f>60*D5/cruise_kt</f>
        <v/>
      </c>
      <c r="J5" s="33">
        <f>I5+turn_min+dwell_min</f>
        <v/>
      </c>
      <c r="K5" s="34">
        <f>MIN(24,FLOOR(60*service_hr/J5,1))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74000</v>
      </c>
      <c r="AH5" s="32" t="n"/>
      <c r="AI5" s="32" t="n"/>
      <c r="AJ5" s="39" t="n">
        <v>0.1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Grounded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n"/>
      <c r="AY5" s="44" t="n"/>
    </row>
    <row r="6">
      <c r="A6" s="29" t="inlineStr">
        <is>
          <t>Yango</t>
        </is>
      </c>
      <c r="B6" s="29" t="inlineStr">
        <is>
          <t>Azerbaijan</t>
        </is>
      </c>
      <c r="C6" s="30" t="inlineStr">
        <is>
          <t>Baku Bay (Bulvar) → Bilgah</t>
        </is>
      </c>
      <c r="D6" s="31" t="n">
        <v>18</v>
      </c>
      <c r="E6" s="26" t="n">
        <v>30</v>
      </c>
      <c r="F6" s="32" t="inlineStr">
        <is>
          <t>T2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30000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>PREMIUM tier: private Boulevard boat-tour per-seat ~$30 (privatetoursbaku 1-pax $30; Tripadvisor Baku boat rides 'from $44'; GetYourGuide bay tours). No scheduled fast catamaran to Bilgah exists today; this is the nearest premium per-seat marine comparable in-market.</t>
        </is>
      </c>
      <c r="AY6" s="44" t="n"/>
    </row>
    <row r="7">
      <c r="A7" s="29" t="inlineStr">
        <is>
          <t>Yango</t>
        </is>
      </c>
      <c r="B7" s="29" t="inlineStr">
        <is>
          <t>Azerbaijan</t>
        </is>
      </c>
      <c r="C7" s="30" t="inlineStr">
        <is>
          <t>Baku (Boulevard / Port Baku) → Mardakan / Nardaran (Sea Breeze resort cluster)</t>
        </is>
      </c>
      <c r="D7" s="31" t="n">
        <v>20</v>
      </c>
      <c r="E7" s="26" t="n">
        <v>30</v>
      </c>
      <c r="F7" s="32" t="inlineStr">
        <is>
          <t>T2</t>
        </is>
      </c>
      <c r="G7" s="32" t="inlineStr">
        <is>
          <t>med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MIN(24,FLOOR(60*service_hr/J7,1))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/>
      <c r="AH7" s="32" t="n"/>
      <c r="AI7" s="32" t="n"/>
      <c r="AJ7" s="39" t="n">
        <v>0.1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Estimated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PREMIUM tier proxy: private Boulevard boat-tour per-seat ~$30 (range $30-44) — same in-market premium marine comparable as Bilgah; no scheduled fast craft to Nardaran exists today.</t>
        </is>
      </c>
      <c r="AY7" s="44" t="n"/>
    </row>
    <row r="8">
      <c r="A8" s="29" t="inlineStr">
        <is>
          <t>Yango</t>
        </is>
      </c>
      <c r="B8" s="29" t="inlineStr">
        <is>
          <t>Côte d'Ivoire</t>
        </is>
      </c>
      <c r="C8" s="30" t="inlineStr">
        <is>
          <t>Plateau → Treichville</t>
        </is>
      </c>
      <c r="D8" s="31" t="n">
        <v>1.5</v>
      </c>
      <c r="E8" s="26" t="n">
        <v>18</v>
      </c>
      <c r="F8" s="32" t="inlineStr">
        <is>
          <t>T2</t>
        </is>
      </c>
      <c r="G8" s="32" t="inlineStr">
        <is>
          <t>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MIN(24,FLOOR(60*service_hr/J8,1))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150600</v>
      </c>
      <c r="AH8" s="32" t="n"/>
      <c r="AI8" s="32" t="inlineStr">
        <is>
          <t>med</t>
        </is>
      </c>
      <c r="AJ8" s="39" t="n">
        <v>0.25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[LB-255 PREMIUM RE-FARE: subsidized comparable $0.87 lifted to premium on-demand floor $18.0] PREMIUM tier: STL/CITRANS VIP cabin 500 FCFA ~ $0.87. (Petit Fute lists STL Plateau&gt;Treichville 300 FCFA economy.)</t>
        </is>
      </c>
      <c r="AY8" s="44" t="n"/>
    </row>
    <row r="9">
      <c r="A9" s="29" t="inlineStr">
        <is>
          <t>Yango</t>
        </is>
      </c>
      <c r="B9" s="29" t="inlineStr">
        <is>
          <t>Côte d'Ivoire</t>
        </is>
      </c>
      <c r="C9" s="30" t="inlineStr">
        <is>
          <t>Abobo-Doume (Attecoube) → Plateau</t>
        </is>
      </c>
      <c r="D9" s="31" t="n">
        <v>1.5</v>
      </c>
      <c r="E9" s="26" t="n">
        <v>18</v>
      </c>
      <c r="F9" s="32" t="inlineStr">
        <is>
          <t>T2</t>
        </is>
      </c>
      <c r="G9" s="32" t="inlineStr">
        <is>
          <t>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MIN(24,FLOOR(60*service_hr/J9,1))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150600</v>
      </c>
      <c r="AH9" s="32" t="n"/>
      <c r="AI9" s="32" t="inlineStr">
        <is>
          <t>med</t>
        </is>
      </c>
      <c r="AJ9" s="39" t="n">
        <v>0.25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>[LB-255 PREMIUM RE-FARE: subsidized comparable $0.87 lifted to premium on-demand floor $18.0] PREMIUM tier: STL/CITRANS VIP cabin 500 FCFA ~ $0.87.</t>
        </is>
      </c>
      <c r="AY9" s="44" t="n"/>
    </row>
    <row r="10">
      <c r="A10" s="29" t="inlineStr">
        <is>
          <t>Yango</t>
        </is>
      </c>
      <c r="B10" s="29" t="inlineStr">
        <is>
          <t>Côte d'Ivoire</t>
        </is>
      </c>
      <c r="C10" s="30" t="inlineStr">
        <is>
          <t>Blockhauss (Cocody / Blokosso) → Plateau</t>
        </is>
      </c>
      <c r="D10" s="31" t="n">
        <v>1.8</v>
      </c>
      <c r="E10" s="26" t="n">
        <v>18</v>
      </c>
      <c r="F10" s="32" t="inlineStr">
        <is>
          <t>T2</t>
        </is>
      </c>
      <c r="G10" s="32" t="inlineStr">
        <is>
          <t>med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MIN(24,FLOOR(60*service_hr/J10,1))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150600</v>
      </c>
      <c r="AH10" s="32" t="n"/>
      <c r="AI10" s="32" t="inlineStr">
        <is>
          <t>med</t>
        </is>
      </c>
      <c r="AJ10" s="39" t="n">
        <v>0.25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Grounded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inlineStr">
        <is>
          <t>[LB-255 PREMIUM RE-FARE: subsidized comparable $0.87 lifted to premium on-demand floor $18.0] PREMIUM tier: STL/CITRANS VIP cabin 500 FCFA ~ $0.87 (SOTRA standard now ~500 FCFA in 2026).</t>
        </is>
      </c>
      <c r="AY10" s="44" t="n"/>
    </row>
    <row r="11">
      <c r="A11" s="29" t="inlineStr">
        <is>
          <t>Yango</t>
        </is>
      </c>
      <c r="B11" s="29" t="inlineStr">
        <is>
          <t>Côte d'Ivoire</t>
        </is>
      </c>
      <c r="C11" s="30" t="inlineStr">
        <is>
          <t>Abobo-Doume (Attecoube) → Treichville</t>
        </is>
      </c>
      <c r="D11" s="31" t="n">
        <v>2</v>
      </c>
      <c r="E11" s="26" t="n">
        <v>18</v>
      </c>
      <c r="F11" s="32" t="inlineStr">
        <is>
          <t>T2</t>
        </is>
      </c>
      <c r="G11" s="32" t="inlineStr">
        <is>
          <t>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MIN(24,FLOOR(60*service_hr/J11,1))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150600</v>
      </c>
      <c r="AH11" s="32" t="n"/>
      <c r="AI11" s="32" t="inlineStr">
        <is>
          <t>med</t>
        </is>
      </c>
      <c r="AJ11" s="39" t="n">
        <v>0.25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Grounded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inlineStr">
        <is>
          <t>[LB-255 PREMIUM RE-FARE: subsidized comparable $0.87 lifted to premium on-demand floor $18.0] PREMIUM tier: STL/CITRANS VIP cabin 500 FCFA ~ $0.87.</t>
        </is>
      </c>
      <c r="AY11" s="44" t="n"/>
    </row>
    <row r="12">
      <c r="A12" s="29" t="inlineStr">
        <is>
          <t>Yango</t>
        </is>
      </c>
      <c r="B12" s="29" t="inlineStr">
        <is>
          <t>Côte d'Ivoire</t>
        </is>
      </c>
      <c r="C12" s="30" t="inlineStr">
        <is>
          <t>Plateau → Cocody (Riviera)</t>
        </is>
      </c>
      <c r="D12" s="31" t="n">
        <v>3</v>
      </c>
      <c r="E12" s="26" t="n">
        <v>18</v>
      </c>
      <c r="F12" s="32" t="inlineStr">
        <is>
          <t>T2</t>
        </is>
      </c>
      <c r="G12" s="32" t="inlineStr">
        <is>
          <t>med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MIN(24,FLOOR(60*service_hr/J12,1))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225900</v>
      </c>
      <c r="AH12" s="32" t="n"/>
      <c r="AI12" s="32" t="inlineStr">
        <is>
          <t>med</t>
        </is>
      </c>
      <c r="AJ12" s="39" t="n">
        <v>0.25</v>
      </c>
      <c r="AK12" s="34">
        <f>IF(AG12="","",AG12*AJ12)</f>
        <v/>
      </c>
      <c r="AL12" s="34">
        <f>IF(OR(AG12="",R12=0),"",MIN(IF(AT12="",9.9E+99,AT12),FLOOR(AK12/R12,1)))</f>
        <v/>
      </c>
      <c r="AM12" s="38">
        <f>IF(AL12="","",AL12*T12)</f>
        <v/>
      </c>
      <c r="AN12" s="36">
        <f>IF(OR(AG12="",R12=0),"",MIN(IF(AT12="",9.9E+99,AT12),AK12/R12))</f>
        <v/>
      </c>
      <c r="AO12" s="38">
        <f>IF(AN12="","",AN12*T12)</f>
        <v/>
      </c>
      <c r="AP12" s="40" t="n"/>
      <c r="AQ12" s="32" t="inlineStr">
        <is>
          <t>Grounded</t>
        </is>
      </c>
      <c r="AR12" s="41" t="n"/>
      <c r="AS12" s="41" t="n"/>
      <c r="AT12" s="42" t="n"/>
      <c r="AU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V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W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X12" s="44" t="inlineStr">
        <is>
          <t>[LB-255 PREMIUM RE-FARE: subsidized comparable $0.87 lifted to premium on-demand floor $18.0] PREMIUM tier: STL/CITRANS air-conditioned VIP cabin (Wifi) 500 FCFA ~ $0.87.</t>
        </is>
      </c>
      <c r="AY12" s="44" t="n"/>
    </row>
    <row r="13">
      <c r="A13" s="29" t="inlineStr">
        <is>
          <t>Yango</t>
        </is>
      </c>
      <c r="B13" s="29" t="inlineStr">
        <is>
          <t>Côte d'Ivoire</t>
        </is>
      </c>
      <c r="C13" s="30" t="inlineStr">
        <is>
          <t>Marcory → Koumassi</t>
        </is>
      </c>
      <c r="D13" s="31" t="n">
        <v>3</v>
      </c>
      <c r="E13" s="26" t="n"/>
      <c r="F13" s="32" t="n"/>
      <c r="G13" s="32" t="n"/>
      <c r="H13" s="19" t="n">
        <v>1</v>
      </c>
      <c r="I13" s="33">
        <f>60*D13/cruise_kt</f>
        <v/>
      </c>
      <c r="J13" s="33">
        <f>I13+turn_min+dwell_min</f>
        <v/>
      </c>
      <c r="K13" s="34">
        <f>MIN(24,FLOOR(60*service_hr/J13,1))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/>
      <c r="AH13" s="32" t="n"/>
      <c r="AI13" s="32" t="n"/>
      <c r="AJ13" s="39" t="n">
        <v>0.1</v>
      </c>
      <c r="AK13" s="34">
        <f>IF(AG13="","",AG13*AJ13)</f>
        <v/>
      </c>
      <c r="AL13" s="34">
        <f>IF(OR(AG13="",R13=0),"",MIN(IF(AT13="",9.9E+99,AT13),FLOOR(AK13/R13,1)))</f>
        <v/>
      </c>
      <c r="AM13" s="38">
        <f>IF(AL13="","",AL13*T13)</f>
        <v/>
      </c>
      <c r="AN13" s="36">
        <f>IF(OR(AG13="",R13=0),"",MIN(IF(AT13="",9.9E+99,AT13),AK13/R13))</f>
        <v/>
      </c>
      <c r="AO13" s="38">
        <f>IF(AN13="","",AN13*T13)</f>
        <v/>
      </c>
      <c r="AP13" s="40" t="n"/>
      <c r="AQ13" s="32" t="inlineStr">
        <is>
          <t>Estimated</t>
        </is>
      </c>
      <c r="AR13" s="41" t="n"/>
      <c r="AS13" s="41" t="n"/>
      <c r="AT13" s="42" t="n"/>
      <c r="AU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V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W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X13" s="44" t="n"/>
      <c r="AY13" s="44" t="n"/>
    </row>
    <row r="14">
      <c r="A14" s="29" t="inlineStr">
        <is>
          <t>Yango</t>
        </is>
      </c>
      <c r="B14" s="29" t="inlineStr">
        <is>
          <t>Côte d'Ivoire</t>
        </is>
      </c>
      <c r="C14" s="30" t="inlineStr">
        <is>
          <t>Treichville → Koumassi</t>
        </is>
      </c>
      <c r="D14" s="31" t="n">
        <v>3.5</v>
      </c>
      <c r="E14" s="26" t="n">
        <v>18</v>
      </c>
      <c r="F14" s="32" t="inlineStr">
        <is>
          <t>T2</t>
        </is>
      </c>
      <c r="G14" s="32" t="inlineStr">
        <is>
          <t>med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MIN(24,FLOOR(60*service_hr/J14,1))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225900</v>
      </c>
      <c r="AH14" s="32" t="n"/>
      <c r="AI14" s="32" t="inlineStr">
        <is>
          <t>med</t>
        </is>
      </c>
      <c r="AJ14" s="39" t="n">
        <v>0.25</v>
      </c>
      <c r="AK14" s="34">
        <f>IF(AG14="","",AG14*AJ14)</f>
        <v/>
      </c>
      <c r="AL14" s="34">
        <f>IF(OR(AG14="",R14=0),"",MIN(IF(AT14="",9.9E+99,AT14),FLOOR(AK14/R14,1)))</f>
        <v/>
      </c>
      <c r="AM14" s="38">
        <f>IF(AL14="","",AL14*T14)</f>
        <v/>
      </c>
      <c r="AN14" s="36">
        <f>IF(OR(AG14="",R14=0),"",MIN(IF(AT14="",9.9E+99,AT14),AK14/R14))</f>
        <v/>
      </c>
      <c r="AO14" s="38">
        <f>IF(AN14="","",AN14*T14)</f>
        <v/>
      </c>
      <c r="AP14" s="40" t="n"/>
      <c r="AQ14" s="32" t="inlineStr">
        <is>
          <t>Grounded</t>
        </is>
      </c>
      <c r="AR14" s="41" t="n"/>
      <c r="AS14" s="41" t="n"/>
      <c r="AT14" s="42" t="n"/>
      <c r="AU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V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W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X14" s="44" t="inlineStr">
        <is>
          <t>[LB-255 PREMIUM RE-FARE: subsidized comparable $1.22 lifted to premium on-demand floor $18.0] PREMIUM tier: STL long-trip/VIP 700 FCFA ~ $1.22 (32-35 min is a long route; STL/Aqualines list M'Pouto/Koumassi 700 FCFA).</t>
        </is>
      </c>
      <c r="AY14" s="44" t="n"/>
    </row>
    <row r="15">
      <c r="A15" s="29" t="inlineStr">
        <is>
          <t>Yango</t>
        </is>
      </c>
      <c r="B15" s="29" t="inlineStr">
        <is>
          <t>Côte d'Ivoire</t>
        </is>
      </c>
      <c r="C15" s="30" t="inlineStr">
        <is>
          <t>M'Pouto (Cocody) → Koumassi</t>
        </is>
      </c>
      <c r="D15" s="31" t="n">
        <v>3.5</v>
      </c>
      <c r="E15" s="26" t="n">
        <v>18</v>
      </c>
      <c r="F15" s="32" t="inlineStr">
        <is>
          <t>T2</t>
        </is>
      </c>
      <c r="G15" s="32" t="inlineStr">
        <is>
          <t>med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MIN(24,FLOOR(60*service_hr/J15,1))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225900</v>
      </c>
      <c r="AH15" s="32" t="n"/>
      <c r="AI15" s="32" t="inlineStr">
        <is>
          <t>med</t>
        </is>
      </c>
      <c r="AJ15" s="39" t="n">
        <v>0.25</v>
      </c>
      <c r="AK15" s="34">
        <f>IF(AG15="","",AG15*AJ15)</f>
        <v/>
      </c>
      <c r="AL15" s="34">
        <f>IF(OR(AG15="",R15=0),"",MIN(IF(AT15="",9.9E+99,AT15),FLOOR(AK15/R15,1)))</f>
        <v/>
      </c>
      <c r="AM15" s="38">
        <f>IF(AL15="","",AL15*T15)</f>
        <v/>
      </c>
      <c r="AN15" s="36">
        <f>IF(OR(AG15="",R15=0),"",MIN(IF(AT15="",9.9E+99,AT15),AK15/R15))</f>
        <v/>
      </c>
      <c r="AO15" s="38">
        <f>IF(AN15="","",AN15*T15)</f>
        <v/>
      </c>
      <c r="AP15" s="40" t="n"/>
      <c r="AQ15" s="32" t="inlineStr">
        <is>
          <t>Grounded</t>
        </is>
      </c>
      <c r="AR15" s="41" t="n"/>
      <c r="AS15" s="41" t="n"/>
      <c r="AT15" s="42" t="n"/>
      <c r="AU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V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W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X15" s="44" t="inlineStr">
        <is>
          <t>[LB-255 PREMIUM RE-FARE: subsidized comparable $1.22 lifted to premium on-demand floor $18.0] PREMIUM tier: STL/Aqualines M'Pouto-Koumassi 700 FCFA ~ $1.22.</t>
        </is>
      </c>
      <c r="AY15" s="44" t="n"/>
    </row>
    <row r="16">
      <c r="A16" s="29" t="inlineStr">
        <is>
          <t>Yango</t>
        </is>
      </c>
      <c r="B16" s="29" t="inlineStr">
        <is>
          <t>Côte d'Ivoire</t>
        </is>
      </c>
      <c r="C16" s="30" t="inlineStr">
        <is>
          <t>Plateau → Yopougon</t>
        </is>
      </c>
      <c r="D16" s="31" t="n">
        <v>5</v>
      </c>
      <c r="E16" s="26" t="n">
        <v>18</v>
      </c>
      <c r="F16" s="32" t="inlineStr">
        <is>
          <t>T2</t>
        </is>
      </c>
      <c r="G16" s="32" t="inlineStr">
        <is>
          <t>med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MIN(24,FLOOR(60*service_hr/J16,1))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225900</v>
      </c>
      <c r="AH16" s="32" t="n"/>
      <c r="AI16" s="32" t="inlineStr">
        <is>
          <t>med</t>
        </is>
      </c>
      <c r="AJ16" s="39" t="n">
        <v>0.25</v>
      </c>
      <c r="AK16" s="34">
        <f>IF(AG16="","",AG16*AJ16)</f>
        <v/>
      </c>
      <c r="AL16" s="34">
        <f>IF(OR(AG16="",R16=0),"",MIN(IF(AT16="",9.9E+99,AT16),FLOOR(AK16/R16,1)))</f>
        <v/>
      </c>
      <c r="AM16" s="38">
        <f>IF(AL16="","",AL16*T16)</f>
        <v/>
      </c>
      <c r="AN16" s="36">
        <f>IF(OR(AG16="",R16=0),"",MIN(IF(AT16="",9.9E+99,AT16),AK16/R16))</f>
        <v/>
      </c>
      <c r="AO16" s="38">
        <f>IF(AN16="","",AN16*T16)</f>
        <v/>
      </c>
      <c r="AP16" s="40" t="n"/>
      <c r="AQ16" s="32" t="inlineStr">
        <is>
          <t>Grounded</t>
        </is>
      </c>
      <c r="AR16" s="41" t="n"/>
      <c r="AS16" s="41" t="n"/>
      <c r="AT16" s="42" t="n"/>
      <c r="AU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V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W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X16" s="44" t="inlineStr">
        <is>
          <t>[LB-255 PREMIUM RE-FARE: subsidized comparable $1.22 lifted to premium on-demand floor $18.0] PREMIUM tier: STL long-trip / VIP Plateau-Yopougon Azito 700 FCFA ~ $1.22.</t>
        </is>
      </c>
      <c r="AY16" s="44" t="n"/>
    </row>
    <row r="17">
      <c r="A17" s="29" t="inlineStr">
        <is>
          <t>Yango</t>
        </is>
      </c>
      <c r="B17" s="29" t="inlineStr">
        <is>
          <t>Côte d'Ivoire</t>
        </is>
      </c>
      <c r="C17" s="30" t="inlineStr">
        <is>
          <t>Plateau → Port-Bouet (Aeroport)</t>
        </is>
      </c>
      <c r="D17" s="31" t="n">
        <v>6</v>
      </c>
      <c r="E17" s="26" t="n">
        <v>8.699999999999999</v>
      </c>
      <c r="F17" s="32" t="inlineStr">
        <is>
          <t>T2</t>
        </is>
      </c>
      <c r="G17" s="32" t="inlineStr">
        <is>
          <t>med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/>
      <c r="AH17" s="32" t="n"/>
      <c r="AI17" s="32" t="n"/>
      <c r="AJ17" s="39" t="n">
        <v>0.1</v>
      </c>
      <c r="AK17" s="34">
        <f>IF(AG17="","",AG17*AJ17)</f>
        <v/>
      </c>
      <c r="AL17" s="34">
        <f>IF(OR(AG17="",R17=0),"",MIN(IF(AT17="",9.9E+99,AT17),FLOOR(AK17/R17,1)))</f>
        <v/>
      </c>
      <c r="AM17" s="38">
        <f>IF(AL17="","",AL17*T17)</f>
        <v/>
      </c>
      <c r="AN17" s="36">
        <f>IF(OR(AG17="",R17=0),"",MIN(IF(AT17="",9.9E+99,AT17),AK17/R17))</f>
        <v/>
      </c>
      <c r="AO17" s="38">
        <f>IF(AN17="","",AN17*T17)</f>
        <v/>
      </c>
      <c r="AP17" s="40" t="n"/>
      <c r="AQ17" s="32" t="inlineStr">
        <is>
          <t>Estimated</t>
        </is>
      </c>
      <c r="AR17" s="41" t="n"/>
      <c r="AS17" s="41" t="n"/>
      <c r="AT17" s="42" t="n"/>
      <c r="AU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V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W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X17" s="44" t="inlineStr">
        <is>
          <t>PREMIUM tier (airport transfer): no scheduled boat fare; nearest premium comparable = navette de luxe per-seat 5,000 FCFA ~ $8.7. (Yango/Uber road airport ride 2,000-8,000 FCFA ~ $3.5-$14.)</t>
        </is>
      </c>
      <c r="AY17" s="44" t="n"/>
    </row>
    <row r="18">
      <c r="A18" s="29" t="inlineStr">
        <is>
          <t>Yango</t>
        </is>
      </c>
      <c r="B18" s="29" t="inlineStr">
        <is>
          <t>Côte d'Ivoire</t>
        </is>
      </c>
      <c r="C18" s="30" t="inlineStr">
        <is>
          <t>Plateau → Abatta (Bingerville)</t>
        </is>
      </c>
      <c r="D18" s="31" t="n">
        <v>9</v>
      </c>
      <c r="E18" s="26" t="n">
        <v>18</v>
      </c>
      <c r="F18" s="32" t="inlineStr">
        <is>
          <t>T2</t>
        </is>
      </c>
      <c r="G18" s="32" t="inlineStr">
        <is>
          <t>med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MIN(24,FLOOR(60*service_hr/J18,1))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/>
      <c r="AH18" s="32" t="n"/>
      <c r="AI18" s="32" t="n"/>
      <c r="AJ18" s="39" t="n">
        <v>0.1</v>
      </c>
      <c r="AK18" s="34">
        <f>IF(AG18="","",AG18*AJ18)</f>
        <v/>
      </c>
      <c r="AL18" s="34">
        <f>IF(OR(AG18="",R18=0),"",MIN(IF(AT18="",9.9E+99,AT18),FLOOR(AK18/R18,1)))</f>
        <v/>
      </c>
      <c r="AM18" s="38">
        <f>IF(AL18="","",AL18*T18)</f>
        <v/>
      </c>
      <c r="AN18" s="36">
        <f>IF(OR(AG18="",R18=0),"",MIN(IF(AT18="",9.9E+99,AT18),AK18/R18))</f>
        <v/>
      </c>
      <c r="AO18" s="38">
        <f>IF(AN18="","",AN18*T18)</f>
        <v/>
      </c>
      <c r="AP18" s="40" t="n"/>
      <c r="AQ18" s="32" t="inlineStr">
        <is>
          <t>Estimated</t>
        </is>
      </c>
      <c r="AR18" s="41" t="n"/>
      <c r="AS18" s="41" t="n"/>
      <c r="AT18" s="42" t="n"/>
      <c r="AU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V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W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X18" s="44" t="inlineStr">
        <is>
          <t>[LB-255 PREMIUM RE-FARE: subsidized comparable $0.87 lifted to premium on-demand floor $18.0] PREMIUM tier: CITRANS/STL VIP cabin 500 FCFA ~ $0.87 (when scheduled); Aqualines Abatta-Bingerville shuttle 200 FCFA economy.</t>
        </is>
      </c>
      <c r="AY18" s="44" t="n"/>
    </row>
    <row r="19">
      <c r="A19" s="29" t="inlineStr">
        <is>
          <t>Yango</t>
        </is>
      </c>
      <c r="B19" s="29" t="inlineStr">
        <is>
          <t>Côte d'Ivoire</t>
        </is>
      </c>
      <c r="C19" s="30" t="inlineStr">
        <is>
          <t>Songon → Plateau</t>
        </is>
      </c>
      <c r="D19" s="31" t="n">
        <v>12</v>
      </c>
      <c r="E19" s="26" t="n">
        <v>18</v>
      </c>
      <c r="F19" s="32" t="inlineStr">
        <is>
          <t>T2</t>
        </is>
      </c>
      <c r="G19" s="32" t="inlineStr">
        <is>
          <t>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/>
      <c r="AH19" s="32" t="n"/>
      <c r="AI19" s="32" t="n"/>
      <c r="AJ19" s="39" t="n">
        <v>0.1</v>
      </c>
      <c r="AK19" s="34">
        <f>IF(AG19="","",AG19*AJ19)</f>
        <v/>
      </c>
      <c r="AL19" s="34">
        <f>IF(OR(AG19="",R19=0),"",MIN(IF(AT19="",9.9E+99,AT19),FLOOR(AK19/R19,1)))</f>
        <v/>
      </c>
      <c r="AM19" s="38">
        <f>IF(AL19="","",AL19*T19)</f>
        <v/>
      </c>
      <c r="AN19" s="36">
        <f>IF(OR(AG19="",R19=0),"",MIN(IF(AT19="",9.9E+99,AT19),AK19/R19))</f>
        <v/>
      </c>
      <c r="AO19" s="38">
        <f>IF(AN19="","",AN19*T19)</f>
        <v/>
      </c>
      <c r="AP19" s="40" t="n"/>
      <c r="AQ19" s="32" t="inlineStr">
        <is>
          <t>Estimated</t>
        </is>
      </c>
      <c r="AR19" s="41" t="n"/>
      <c r="AS19" s="41" t="n"/>
      <c r="AT19" s="42" t="n"/>
      <c r="AU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V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W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X19" s="44" t="inlineStr">
        <is>
          <t>[LB-255 PREMIUM RE-FARE: subsidized comparable $1.22 lifted to premium on-demand floor $18.0] PREMIUM tier (prospective): STL long-trip/VIP 700 FCFA ~ $1.22 by analogy to the comparable-length Plateau-Yopougon route, if/when operated.</t>
        </is>
      </c>
      <c r="AY19" s="44" t="n"/>
    </row>
    <row r="20">
      <c r="A20" s="29" t="inlineStr">
        <is>
          <t>Yango</t>
        </is>
      </c>
      <c r="B20" s="29" t="inlineStr">
        <is>
          <t>Côte d'Ivoire</t>
        </is>
      </c>
      <c r="C20" s="30" t="inlineStr">
        <is>
          <t>Abidjan → Grand-Bassam</t>
        </is>
      </c>
      <c r="D20" s="31" t="n">
        <v>18</v>
      </c>
      <c r="E20" s="26" t="n">
        <v>52</v>
      </c>
      <c r="F20" s="32" t="inlineStr">
        <is>
          <t>T2</t>
        </is>
      </c>
      <c r="G20" s="32" t="inlineStr">
        <is>
          <t>med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MIN(24,FLOOR(60*service_hr/J20,1))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/>
      <c r="AH20" s="32" t="n"/>
      <c r="AI20" s="32" t="n"/>
      <c r="AJ20" s="39" t="n">
        <v>0.1</v>
      </c>
      <c r="AK20" s="34">
        <f>IF(AG20="","",AG20*AJ20)</f>
        <v/>
      </c>
      <c r="AL20" s="34">
        <f>IF(OR(AG20="",R20=0),"",MIN(IF(AT20="",9.9E+99,AT20),FLOOR(AK20/R20,1)))</f>
        <v/>
      </c>
      <c r="AM20" s="38">
        <f>IF(AL20="","",AL20*T20)</f>
        <v/>
      </c>
      <c r="AN20" s="36">
        <f>IF(OR(AG20="",R20=0),"",MIN(IF(AT20="",9.9E+99,AT20),AK20/R20))</f>
        <v/>
      </c>
      <c r="AO20" s="38">
        <f>IF(AN20="","",AN20*T20)</f>
        <v/>
      </c>
      <c r="AP20" s="40" t="n"/>
      <c r="AQ20" s="32" t="inlineStr">
        <is>
          <t>Estimated</t>
        </is>
      </c>
      <c r="AR20" s="41" t="n"/>
      <c r="AS20" s="41" t="n"/>
      <c r="AT20" s="42" t="n"/>
      <c r="AU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V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W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X20" s="44" t="inlineStr">
        <is>
          <t>PREMIUM leisure/charter tier: STL/Aqualines lagoon cruise charter 25,000-40,000 FCFA/seat ~ $43-$70; midpoint ~$52 (re-derived at 575 FCFA/USD; was $50 at 600).</t>
        </is>
      </c>
      <c r="AY20" s="44" t="n"/>
    </row>
    <row r="21">
      <c r="A21" s="29" t="inlineStr">
        <is>
          <t>Yango</t>
        </is>
      </c>
      <c r="B21" s="29" t="inlineStr">
        <is>
          <t>Côte d'Ivoire</t>
        </is>
      </c>
      <c r="C21" s="30" t="inlineStr">
        <is>
          <t>Abidjan → Jacqueville</t>
        </is>
      </c>
      <c r="D21" s="31" t="n">
        <v>22</v>
      </c>
      <c r="E21" s="26" t="n">
        <v>8.699999999999999</v>
      </c>
      <c r="F21" s="32" t="inlineStr">
        <is>
          <t>T2</t>
        </is>
      </c>
      <c r="G21" s="32" t="inlineStr">
        <is>
          <t>med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MIN(24,FLOOR(60*service_hr/J21,1))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/>
      <c r="AH21" s="32" t="n"/>
      <c r="AI21" s="32" t="n"/>
      <c r="AJ21" s="39" t="n">
        <v>0.1</v>
      </c>
      <c r="AK21" s="34">
        <f>IF(AG21="","",AG21*AJ21)</f>
        <v/>
      </c>
      <c r="AL21" s="34">
        <f>IF(OR(AG21="",R21=0),"",MIN(IF(AT21="",9.9E+99,AT21),FLOOR(AK21/R21,1)))</f>
        <v/>
      </c>
      <c r="AM21" s="38">
        <f>IF(AL21="","",AL21*T21)</f>
        <v/>
      </c>
      <c r="AN21" s="36">
        <f>IF(OR(AG21="",R21=0),"",MIN(IF(AT21="",9.9E+99,AT21),AK21/R21))</f>
        <v/>
      </c>
      <c r="AO21" s="38">
        <f>IF(AN21="","",AN21*T21)</f>
        <v/>
      </c>
      <c r="AP21" s="40" t="n"/>
      <c r="AQ21" s="32" t="inlineStr">
        <is>
          <t>Estimated</t>
        </is>
      </c>
      <c r="AR21" s="41" t="n"/>
      <c r="AS21" s="41" t="n"/>
      <c r="AT21" s="42" t="n"/>
      <c r="AU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V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W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X21" s="44" t="inlineStr">
        <is>
          <t>PREMIUM leisure tier: divided 'navette de luxe / balade VIP' per-seat 5,000 FCFA ~ $8.7 (CITRANS Aqualines VIP balade); cruise-charter range $43-$70 not corridor-specific.</t>
        </is>
      </c>
      <c r="AY21" s="44" t="n"/>
    </row>
    <row r="22">
      <c r="A22" s="29" t="inlineStr">
        <is>
          <t>Yango</t>
        </is>
      </c>
      <c r="B22" s="29" t="inlineStr">
        <is>
          <t>Egypt</t>
        </is>
      </c>
      <c r="C22" s="30" t="inlineStr">
        <is>
          <t>El Gouna (internal lagoon) → El Gouna Downtown / Abu Tig</t>
        </is>
      </c>
      <c r="D22" s="31" t="n">
        <v>2</v>
      </c>
      <c r="E22" s="26" t="n">
        <v>18</v>
      </c>
      <c r="F22" s="32" t="inlineStr">
        <is>
          <t>T2</t>
        </is>
      </c>
      <c r="G22" s="32" t="inlineStr">
        <is>
          <t>med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/>
      <c r="AH22" s="32" t="n"/>
      <c r="AI22" s="32" t="n"/>
      <c r="AJ22" s="39" t="n">
        <v>0.1</v>
      </c>
      <c r="AK22" s="34">
        <f>IF(AG22="","",AG22*AJ22)</f>
        <v/>
      </c>
      <c r="AL22" s="34">
        <f>IF(OR(AG22="",R22=0),"",MIN(IF(AT22="",9.9E+99,AT22),FLOOR(AK22/R22,1)))</f>
        <v/>
      </c>
      <c r="AM22" s="38">
        <f>IF(AL22="","",AL22*T22)</f>
        <v/>
      </c>
      <c r="AN22" s="36">
        <f>IF(OR(AG22="",R22=0),"",MIN(IF(AT22="",9.9E+99,AT22),AK22/R22))</f>
        <v/>
      </c>
      <c r="AO22" s="38">
        <f>IF(AN22="","",AN22*T22)</f>
        <v/>
      </c>
      <c r="AP22" s="40" t="n"/>
      <c r="AQ22" s="32" t="inlineStr">
        <is>
          <t>Estimated</t>
        </is>
      </c>
      <c r="AR22" s="41" t="n"/>
      <c r="AS22" s="41" t="n"/>
      <c r="AT22" s="42" t="n"/>
      <c r="AU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V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W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X22" s="44" t="inlineStr">
        <is>
          <t>[LB-255 PREMIUM RE-FARE: subsidized comparable $5.0 lifted to premium on-demand floor $18.0] PREMIUM-floor internal water-taxi tier: El Gouna lagoon boat-taxi short hop ~150-250 EGP (~$3-5). Internal-resort micro-corridor; below the open-sea premium tier.</t>
        </is>
      </c>
      <c r="AY22" s="44" t="n"/>
    </row>
    <row r="23">
      <c r="A23" s="29" t="inlineStr">
        <is>
          <t>Yango</t>
        </is>
      </c>
      <c r="B23" s="29" t="inlineStr">
        <is>
          <t>Egypt</t>
        </is>
      </c>
      <c r="C23" s="30" t="inlineStr">
        <is>
          <t>Cairo - Maadi → Cairo - Zamalek / Downtown</t>
        </is>
      </c>
      <c r="D23" s="31" t="n">
        <v>6</v>
      </c>
      <c r="E23" s="26" t="n">
        <v>18</v>
      </c>
      <c r="F23" s="32" t="inlineStr">
        <is>
          <t>T2</t>
        </is>
      </c>
      <c r="G23" s="32" t="inlineStr">
        <is>
          <t>med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MIN(24,FLOOR(60*service_hr/J23,1))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/>
      <c r="AH23" s="32" t="n"/>
      <c r="AI23" s="32" t="n"/>
      <c r="AJ23" s="39" t="n">
        <v>0.1</v>
      </c>
      <c r="AK23" s="34">
        <f>IF(AG23="","",AG23*AJ23)</f>
        <v/>
      </c>
      <c r="AL23" s="34">
        <f>IF(OR(AG23="",R23=0),"",MIN(IF(AT23="",9.9E+99,AT23),FLOOR(AK23/R23,1)))</f>
        <v/>
      </c>
      <c r="AM23" s="38">
        <f>IF(AL23="","",AL23*T23)</f>
        <v/>
      </c>
      <c r="AN23" s="36">
        <f>IF(OR(AG23="",R23=0),"",MIN(IF(AT23="",9.9E+99,AT23),AK23/R23))</f>
        <v/>
      </c>
      <c r="AO23" s="38">
        <f>IF(AN23="","",AN23*T23)</f>
        <v/>
      </c>
      <c r="AP23" s="40" t="n"/>
      <c r="AQ23" s="32" t="inlineStr">
        <is>
          <t>Estimated</t>
        </is>
      </c>
      <c r="AR23" s="41" t="n"/>
      <c r="AS23" s="41" t="n"/>
      <c r="AT23" s="42" t="n"/>
      <c r="AU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V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W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X23" s="44" t="inlineStr">
        <is>
          <t>[LB-255 PREMIUM RE-FARE: subsidized comparable $5.1 lifted to premium on-demand floor $18.0] PREMIUM tier = Nile Taxi premium speedboat seat ~250 EGP (~$5.1); range 100-300 EGP/pax (Memphis Tours; US News ~200 EGP ~$4/pax). Private hire ~$110 charter recorded as charter context only.</t>
        </is>
      </c>
      <c r="AY23" s="44" t="n"/>
    </row>
    <row r="24">
      <c r="A24" s="29" t="inlineStr">
        <is>
          <t>Yango</t>
        </is>
      </c>
      <c r="B24" s="29" t="inlineStr">
        <is>
          <t>Egypt</t>
        </is>
      </c>
      <c r="C24" s="30" t="inlineStr">
        <is>
          <t>Hurghada → Giftun Island (Orange Bay / Mahmya)</t>
        </is>
      </c>
      <c r="D24" s="31" t="n">
        <v>9</v>
      </c>
      <c r="E24" s="26" t="n">
        <v>32</v>
      </c>
      <c r="F24" s="32" t="inlineStr">
        <is>
          <t>T2</t>
        </is>
      </c>
      <c r="G24" s="32" t="inlineStr">
        <is>
          <t>med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1204586</v>
      </c>
      <c r="AH24" s="32" t="n"/>
      <c r="AI24" s="32" t="n"/>
      <c r="AJ24" s="39" t="n">
        <v>0.1</v>
      </c>
      <c r="AK24" s="34">
        <f>IF(AG24="","",AG24*AJ24)</f>
        <v/>
      </c>
      <c r="AL24" s="34">
        <f>IF(OR(AG24="",R24=0),"",MIN(IF(AT24="",9.9E+99,AT24),FLOOR(AK24/R24,1)))</f>
        <v/>
      </c>
      <c r="AM24" s="38">
        <f>IF(AL24="","",AL24*T24)</f>
        <v/>
      </c>
      <c r="AN24" s="36">
        <f>IF(OR(AG24="",R24=0),"",MIN(IF(AT24="",9.9E+99,AT24),AK24/R24))</f>
        <v/>
      </c>
      <c r="AO24" s="38">
        <f>IF(AN24="","",AN24*T24)</f>
        <v/>
      </c>
      <c r="AP24" s="40" t="n"/>
      <c r="AQ24" s="32" t="inlineStr">
        <is>
          <t>Grounded</t>
        </is>
      </c>
      <c r="AR24" s="41" t="n"/>
      <c r="AS24" s="41" t="n"/>
      <c r="AT24" s="42" t="n"/>
      <c r="AU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V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W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X24" s="44" t="inlineStr">
        <is>
          <t>PREMIUM tier = scheduled island day-trip per-seat EUR ~30 (~$32); shared/regular boat day-trips run EUR 15-30/pax (egyptra from EUR 15; GetYourGuide/Marriott activities). Speedboat upgrade priced higher; private Mahmya from $99 recorded as charter context only.</t>
        </is>
      </c>
      <c r="AY24" s="44" t="n"/>
    </row>
    <row r="25">
      <c r="A25" s="29" t="inlineStr">
        <is>
          <t>Yango</t>
        </is>
      </c>
      <c r="B25" s="29" t="inlineStr">
        <is>
          <t>Egypt</t>
        </is>
      </c>
      <c r="C25" s="30" t="inlineStr">
        <is>
          <t>Hurghada → Sahl Hasheesh</t>
        </is>
      </c>
      <c r="D25" s="31" t="n">
        <v>10</v>
      </c>
      <c r="E25" s="26" t="n">
        <v>40.8</v>
      </c>
      <c r="F25" s="32" t="inlineStr">
        <is>
          <t>T2</t>
        </is>
      </c>
      <c r="G25" s="32" t="inlineStr">
        <is>
          <t>med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/>
      <c r="AH25" s="32" t="n"/>
      <c r="AI25" s="32" t="n"/>
      <c r="AJ25" s="39" t="n">
        <v>0.1</v>
      </c>
      <c r="AK25" s="34">
        <f>IF(AG25="","",AG25*AJ25)</f>
        <v/>
      </c>
      <c r="AL25" s="34">
        <f>IF(OR(AG25="",R25=0),"",MIN(IF(AT25="",9.9E+99,AT25),FLOOR(AK25/R25,1)))</f>
        <v/>
      </c>
      <c r="AM25" s="38">
        <f>IF(AL25="","",AL25*T25)</f>
        <v/>
      </c>
      <c r="AN25" s="36">
        <f>IF(OR(AG25="",R25=0),"",MIN(IF(AT25="",9.9E+99,AT25),AK25/R25))</f>
        <v/>
      </c>
      <c r="AO25" s="38">
        <f>IF(AN25="","",AN25*T25)</f>
        <v/>
      </c>
      <c r="AP25" s="40" t="n"/>
      <c r="AQ25" s="32" t="inlineStr">
        <is>
          <t>Estimated</t>
        </is>
      </c>
      <c r="AR25" s="41" t="n"/>
      <c r="AS25" s="41" t="n"/>
      <c r="AT25" s="42" t="n"/>
      <c r="AU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V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W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X25" s="44" t="inlineStr">
        <is>
          <t>PREMIUM tier proxy = Dubai RTA convention $40.8/seat (same premium resort-transfer tier as El Gouna). No Egypt-native scheduled water-taxi fare on this leg published.</t>
        </is>
      </c>
      <c r="AY25" s="44" t="n"/>
    </row>
    <row r="26">
      <c r="A26" s="29" t="inlineStr">
        <is>
          <t>Yango</t>
        </is>
      </c>
      <c r="B26" s="29" t="inlineStr">
        <is>
          <t>Egypt</t>
        </is>
      </c>
      <c r="C26" s="30" t="inlineStr">
        <is>
          <t>Greater Cairo - Maspero (Downtown) → Greater Cairo - Warraq / El Qanater</t>
        </is>
      </c>
      <c r="D26" s="31" t="n">
        <v>13</v>
      </c>
      <c r="E26" s="26" t="n">
        <v>18</v>
      </c>
      <c r="F26" s="32" t="inlineStr">
        <is>
          <t>T2</t>
        </is>
      </c>
      <c r="G26" s="32" t="inlineStr">
        <is>
          <t>med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MIN(24,FLOOR(60*service_hr/J26,1))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/>
      <c r="AH26" s="32" t="n"/>
      <c r="AI26" s="32" t="n"/>
      <c r="AJ26" s="39" t="n">
        <v>0.1</v>
      </c>
      <c r="AK26" s="34">
        <f>IF(AG26="","",AG26*AJ26)</f>
        <v/>
      </c>
      <c r="AL26" s="34">
        <f>IF(OR(AG26="",R26=0),"",MIN(IF(AT26="",9.9E+99,AT26),FLOOR(AK26/R26,1)))</f>
        <v/>
      </c>
      <c r="AM26" s="38">
        <f>IF(AL26="","",AL26*T26)</f>
        <v/>
      </c>
      <c r="AN26" s="36">
        <f>IF(OR(AG26="",R26=0),"",MIN(IF(AT26="",9.9E+99,AT26),AK26/R26))</f>
        <v/>
      </c>
      <c r="AO26" s="38">
        <f>IF(AN26="","",AN26*T26)</f>
        <v/>
      </c>
      <c r="AP26" s="40" t="n"/>
      <c r="AQ26" s="32" t="inlineStr">
        <is>
          <t>Estimated</t>
        </is>
      </c>
      <c r="AR26" s="41" t="n"/>
      <c r="AS26" s="41" t="n"/>
      <c r="AT26" s="42" t="n"/>
      <c r="AU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V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W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X26" s="44" t="inlineStr">
        <is>
          <t>[LB-255 PREMIUM RE-FARE: subsidized comparable $0.2 lifted to premium on-demand floor $18.0] Public river-bus fare ~5-10 EGP (~$0.10-0.20) - the COMMUTER FLOOR, not a premium tier. Recorded as ladder context; Navier would model a premium speedboat tier on this O-D closer to the Nile Taxi ~$5 level if served.</t>
        </is>
      </c>
      <c r="AY26" s="44" t="n"/>
    </row>
    <row r="27">
      <c r="A27" s="29" t="inlineStr">
        <is>
          <t>Yango</t>
        </is>
      </c>
      <c r="B27" s="29" t="inlineStr">
        <is>
          <t>Egypt</t>
        </is>
      </c>
      <c r="C27" s="30" t="inlineStr">
        <is>
          <t>Hurghada → El Gouna</t>
        </is>
      </c>
      <c r="D27" s="31" t="n">
        <v>14</v>
      </c>
      <c r="E27" s="26" t="n">
        <v>40.8</v>
      </c>
      <c r="F27" s="32" t="inlineStr">
        <is>
          <t>T2</t>
        </is>
      </c>
      <c r="G27" s="32" t="inlineStr">
        <is>
          <t>med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10402</v>
      </c>
      <c r="AH27" s="32" t="n"/>
      <c r="AI27" s="32" t="n"/>
      <c r="AJ27" s="39" t="n">
        <v>0.1</v>
      </c>
      <c r="AK27" s="34">
        <f>IF(AG27="","",AG27*AJ27)</f>
        <v/>
      </c>
      <c r="AL27" s="34">
        <f>IF(OR(AG27="",R27=0),"",MIN(IF(AT27="",9.9E+99,AT27),FLOOR(AK27/R27,1)))</f>
        <v/>
      </c>
      <c r="AM27" s="38">
        <f>IF(AL27="","",AL27*T27)</f>
        <v/>
      </c>
      <c r="AN27" s="36">
        <f>IF(OR(AG27="",R27=0),"",MIN(IF(AT27="",9.9E+99,AT27),AK27/R27))</f>
        <v/>
      </c>
      <c r="AO27" s="38">
        <f>IF(AN27="","",AN27*T27)</f>
        <v/>
      </c>
      <c r="AP27" s="40" t="n"/>
      <c r="AQ27" s="32" t="inlineStr">
        <is>
          <t>Upside tier</t>
        </is>
      </c>
      <c r="AR27" s="41" t="n"/>
      <c r="AS27" s="41" t="inlineStr">
        <is>
          <t>modal_shift_greenfield</t>
        </is>
      </c>
      <c r="AT27" s="42" t="n"/>
      <c r="AU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V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W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X27" s="44" t="inlineStr">
        <is>
          <t>Kept from prior registry = Dubai RTA premium water-taxi convention $40.8/seat (placeholder premium tier; no Egypt-native scheduled Hurghada&lt;-&gt;El Gouna water-taxi fare published - current link is private transfer/taxi by road). FLAG: convention placeholder, not an Egypt-sourced marine fare.</t>
        </is>
      </c>
      <c r="AY27" s="44" t="n"/>
    </row>
    <row r="28">
      <c r="A28" s="29" t="inlineStr">
        <is>
          <t>Yango</t>
        </is>
      </c>
      <c r="B28" s="29" t="inlineStr">
        <is>
          <t>Egypt</t>
        </is>
      </c>
      <c r="C28" s="30" t="inlineStr">
        <is>
          <t>Sharm El Sheikh → Ras Mohammed / Tiran reefs</t>
        </is>
      </c>
      <c r="D28" s="31" t="n">
        <v>16</v>
      </c>
      <c r="E28" s="26" t="n">
        <v>50</v>
      </c>
      <c r="F28" s="32" t="inlineStr">
        <is>
          <t>T2</t>
        </is>
      </c>
      <c r="G28" s="32" t="inlineStr">
        <is>
          <t>med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50000</v>
      </c>
      <c r="AH28" s="32" t="n"/>
      <c r="AI28" s="32" t="n"/>
      <c r="AJ28" s="39" t="n">
        <v>0.1</v>
      </c>
      <c r="AK28" s="34">
        <f>IF(AG28="","",AG28*AJ28)</f>
        <v/>
      </c>
      <c r="AL28" s="34">
        <f>IF(OR(AG28="",R28=0),"",MIN(IF(AT28="",9.9E+99,AT28),FLOOR(AK28/R28,1)))</f>
        <v/>
      </c>
      <c r="AM28" s="38">
        <f>IF(AL28="","",AL28*T28)</f>
        <v/>
      </c>
      <c r="AN28" s="36">
        <f>IF(OR(AG28="",R28=0),"",MIN(IF(AT28="",9.9E+99,AT28),AK28/R28))</f>
        <v/>
      </c>
      <c r="AO28" s="38">
        <f>IF(AN28="","",AN28*T28)</f>
        <v/>
      </c>
      <c r="AP28" s="40" t="n"/>
      <c r="AQ28" s="32" t="inlineStr">
        <is>
          <t>Grounded</t>
        </is>
      </c>
      <c r="AR28" s="41" t="n"/>
      <c r="AS28" s="41" t="n"/>
      <c r="AT28" s="42" t="n"/>
      <c r="AU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V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W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X28" s="44" t="inlineStr">
        <is>
          <t>PREMIUM tier = VIP/premium Ras Mohammed + White Island boat sea-trip ~$52/adult (Tripadvisor VIP boat); standard scheduled boat day-trips from EUR 24 (~$26). Modeled premium tier ~$50.</t>
        </is>
      </c>
      <c r="AY28" s="44" t="n"/>
    </row>
    <row r="29">
      <c r="A29" s="29" t="inlineStr">
        <is>
          <t>Yango</t>
        </is>
      </c>
      <c r="B29" s="29" t="inlineStr">
        <is>
          <t>Egypt</t>
        </is>
      </c>
      <c r="C29" s="30" t="inlineStr">
        <is>
          <t>Hurghada → Soma Bay</t>
        </is>
      </c>
      <c r="D29" s="31" t="n">
        <v>25</v>
      </c>
      <c r="E29" s="26" t="n">
        <v>40.8</v>
      </c>
      <c r="F29" s="32" t="inlineStr">
        <is>
          <t>T2</t>
        </is>
      </c>
      <c r="G29" s="32" t="inlineStr">
        <is>
          <t>med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6935</v>
      </c>
      <c r="AH29" s="32" t="n"/>
      <c r="AI29" s="32" t="n"/>
      <c r="AJ29" s="39" t="n">
        <v>0.1</v>
      </c>
      <c r="AK29" s="34">
        <f>IF(AG29="","",AG29*AJ29)</f>
        <v/>
      </c>
      <c r="AL29" s="34">
        <f>IF(OR(AG29="",R29=0),"",MIN(IF(AT29="",9.9E+99,AT29),FLOOR(AK29/R29,1)))</f>
        <v/>
      </c>
      <c r="AM29" s="38">
        <f>IF(AL29="","",AL29*T29)</f>
        <v/>
      </c>
      <c r="AN29" s="36">
        <f>IF(OR(AG29="",R29=0),"",MIN(IF(AT29="",9.9E+99,AT29),AK29/R29))</f>
        <v/>
      </c>
      <c r="AO29" s="38">
        <f>IF(AN29="","",AN29*T29)</f>
        <v/>
      </c>
      <c r="AP29" s="40" t="n"/>
      <c r="AQ29" s="32" t="inlineStr">
        <is>
          <t>Grounded</t>
        </is>
      </c>
      <c r="AR29" s="41" t="n"/>
      <c r="AS29" s="41" t="n"/>
      <c r="AT29" s="42" t="n"/>
      <c r="AU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V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W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X29" s="44" t="inlineStr">
        <is>
          <t>PREMIUM tier proxy = Dubai RTA convention $40.8/seat (premium resort-transfer tier). No scheduled Egypt-native marine fare on this leg.</t>
        </is>
      </c>
      <c r="AY29" s="44" t="n"/>
    </row>
    <row r="30">
      <c r="A30" s="29" t="inlineStr">
        <is>
          <t>Yango</t>
        </is>
      </c>
      <c r="B30" s="29" t="inlineStr">
        <is>
          <t>Egypt</t>
        </is>
      </c>
      <c r="C30" s="30" t="inlineStr">
        <is>
          <t>Sharm El Sheikh → Dahab</t>
        </is>
      </c>
      <c r="D30" s="31" t="n">
        <v>28</v>
      </c>
      <c r="E30" s="26" t="n">
        <v>15</v>
      </c>
      <c r="F30" s="32" t="inlineStr">
        <is>
          <t>T2</t>
        </is>
      </c>
      <c r="G30" s="32" t="inlineStr">
        <is>
          <t>med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MIN(24,FLOOR(60*service_hr/J30,1))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/>
      <c r="AH30" s="32" t="n"/>
      <c r="AI30" s="32" t="n"/>
      <c r="AJ30" s="39" t="n">
        <v>0.1</v>
      </c>
      <c r="AK30" s="34">
        <f>IF(AG30="","",AG30*AJ30)</f>
        <v/>
      </c>
      <c r="AL30" s="34">
        <f>IF(OR(AG30="",R30=0),"",MIN(IF(AT30="",9.9E+99,AT30),FLOOR(AK30/R30,1)))</f>
        <v/>
      </c>
      <c r="AM30" s="38">
        <f>IF(AL30="","",AL30*T30)</f>
        <v/>
      </c>
      <c r="AN30" s="36">
        <f>IF(OR(AG30="",R30=0),"",MIN(IF(AT30="",9.9E+99,AT30),AK30/R30))</f>
        <v/>
      </c>
      <c r="AO30" s="38">
        <f>IF(AN30="","",AN30*T30)</f>
        <v/>
      </c>
      <c r="AP30" s="40" t="n"/>
      <c r="AQ30" s="32" t="inlineStr">
        <is>
          <t>Estimated</t>
        </is>
      </c>
      <c r="AR30" s="41" t="n"/>
      <c r="AS30" s="41" t="n"/>
      <c r="AT30" s="42" t="n"/>
      <c r="AU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V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W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X30" s="44" t="inlineStr">
        <is>
          <t>PREMIUM tier (road analogue) = private transfer Sharm&lt;-&gt;Dahab ~1400-1500 EGP/car (~$29-31) divided ~4 pax (~$7.5/seat) up to premium per-seat ~$15; no scheduled marine fare exists.</t>
        </is>
      </c>
      <c r="AY30" s="44" t="n"/>
    </row>
    <row r="31">
      <c r="A31" s="29" t="inlineStr">
        <is>
          <t>Yango</t>
        </is>
      </c>
      <c r="B31" s="29" t="inlineStr">
        <is>
          <t>Egypt</t>
        </is>
      </c>
      <c r="C31" s="30" t="inlineStr">
        <is>
          <t>Hurghada / El Gouna → Sharm El Sheikh</t>
        </is>
      </c>
      <c r="D31" s="31" t="n">
        <v>49.8</v>
      </c>
      <c r="E31" s="26" t="n">
        <v>110</v>
      </c>
      <c r="F31" s="32" t="inlineStr">
        <is>
          <t>T2</t>
        </is>
      </c>
      <c r="G31" s="32" t="inlineStr">
        <is>
          <t>med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/>
      <c r="AH31" s="32" t="inlineStr">
        <is>
          <t>T5</t>
        </is>
      </c>
      <c r="AI31" s="32" t="inlineStr">
        <is>
          <t>low</t>
        </is>
      </c>
      <c r="AJ31" s="39" t="n">
        <v>0.1</v>
      </c>
      <c r="AK31" s="34">
        <f>IF(AG31="","",AG31*AJ31)</f>
        <v/>
      </c>
      <c r="AL31" s="34">
        <f>IF(OR(AG31="",R31=0),"",MIN(IF(AT31="",9.9E+99,AT31),FLOOR(AK31/R31,1)))</f>
        <v/>
      </c>
      <c r="AM31" s="38">
        <f>IF(AL31="","",AL31*T31)</f>
        <v/>
      </c>
      <c r="AN31" s="36">
        <f>IF(OR(AG31="",R31=0),"",MIN(IF(AT31="",9.9E+99,AT31),AK31/R31))</f>
        <v/>
      </c>
      <c r="AO31" s="38">
        <f>IF(AN31="","",AN31*T31)</f>
        <v/>
      </c>
      <c r="AP31" s="40" t="n"/>
      <c r="AQ31" s="32" t="inlineStr">
        <is>
          <t>Upside tier</t>
        </is>
      </c>
      <c r="AR31" s="41" t="n"/>
      <c r="AS31" s="41" t="inlineStr">
        <is>
          <t>modal_shift_greenfield</t>
        </is>
      </c>
      <c r="AT31" s="42" t="n"/>
      <c r="AU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V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W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X31" s="44" t="inlineStr">
        <is>
          <t>Kept from prior registry = $110/seat (historic fast-ferry premium fare level / cross-gulf premium tier). FLAG: legacy/aspirational - no active service.</t>
        </is>
      </c>
      <c r="AY31" s="44" t="inlineStr">
        <is>
          <t>tourism</t>
        </is>
      </c>
    </row>
    <row r="32">
      <c r="A32" s="29" t="inlineStr">
        <is>
          <t>Yango</t>
        </is>
      </c>
      <c r="B32" s="29" t="inlineStr">
        <is>
          <t>Israel</t>
        </is>
      </c>
      <c r="C32" s="30" t="inlineStr">
        <is>
          <t>Tel Aviv → Jaffa (Old Jaffa Port)</t>
        </is>
      </c>
      <c r="D32" s="31" t="n">
        <v>2.2</v>
      </c>
      <c r="E32" s="26" t="n">
        <v>130</v>
      </c>
      <c r="F32" s="32" t="inlineStr">
        <is>
          <t>T2</t>
        </is>
      </c>
      <c r="G32" s="32" t="inlineStr">
        <is>
          <t>med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MIN(24,FLOOR(60*service_hr/J32,1))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/>
      <c r="AH32" s="32" t="n"/>
      <c r="AI32" s="32" t="n"/>
      <c r="AJ32" s="39" t="n">
        <v>0.1</v>
      </c>
      <c r="AK32" s="34">
        <f>IF(AG32="","",AG32*AJ32)</f>
        <v/>
      </c>
      <c r="AL32" s="34">
        <f>IF(OR(AG32="",R32=0),"",MIN(IF(AT32="",9.9E+99,AT32),FLOOR(AK32/R32,1)))</f>
        <v/>
      </c>
      <c r="AM32" s="38">
        <f>IF(AL32="","",AL32*T32)</f>
        <v/>
      </c>
      <c r="AN32" s="36">
        <f>IF(OR(AG32="",R32=0),"",MIN(IF(AT32="",9.9E+99,AT32),AK32/R32))</f>
        <v/>
      </c>
      <c r="AO32" s="38">
        <f>IF(AN32="","",AN32*T32)</f>
        <v/>
      </c>
      <c r="AP32" s="40" t="n"/>
      <c r="AQ32" s="32" t="inlineStr">
        <is>
          <t>Estimated</t>
        </is>
      </c>
      <c r="AR32" s="41" t="n"/>
      <c r="AS32" s="41" t="n"/>
      <c r="AT32" s="42" t="n"/>
      <c r="AU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V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W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X32" s="44" t="inlineStr">
        <is>
          <t>PREMIUM/excursion proxy: same Tel Aviv Marina shared skyline cruise ~$130/person (GetYourGuide, 2026); a dedicated Jaffa/Tel Aviv/Bat Yam small-group cruise lists from $299 and a 30-min TLV-Jaffa skyline cruise from $150. Excursion fares, not transfer fares.</t>
        </is>
      </c>
      <c r="AY32" s="44" t="n"/>
    </row>
    <row r="33">
      <c r="A33" s="29" t="inlineStr">
        <is>
          <t>Yango</t>
        </is>
      </c>
      <c r="B33" s="29" t="inlineStr">
        <is>
          <t>Israel</t>
        </is>
      </c>
      <c r="C33" s="30" t="inlineStr">
        <is>
          <t>Haifa → Akko (Acre)</t>
        </is>
      </c>
      <c r="D33" s="31" t="n">
        <v>6.8</v>
      </c>
      <c r="E33" s="26" t="n">
        <v>11</v>
      </c>
      <c r="F33" s="32" t="inlineStr">
        <is>
          <t>T2</t>
        </is>
      </c>
      <c r="G33" s="32" t="inlineStr">
        <is>
          <t>med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1500000</v>
      </c>
      <c r="AH33" s="32" t="n"/>
      <c r="AI33" s="32" t="n"/>
      <c r="AJ33" s="39" t="n">
        <v>0.1</v>
      </c>
      <c r="AK33" s="34">
        <f>IF(AG33="","",AG33*AJ33)</f>
        <v/>
      </c>
      <c r="AL33" s="34">
        <f>IF(OR(AG33="",R33=0),"",MIN(IF(AT33="",9.9E+99,AT33),FLOOR(AK33/R33,1)))</f>
        <v/>
      </c>
      <c r="AM33" s="38">
        <f>IF(AL33="","",AL33*T33)</f>
        <v/>
      </c>
      <c r="AN33" s="36">
        <f>IF(OR(AG33="",R33=0),"",MIN(IF(AT33="",9.9E+99,AT33),AK33/R33))</f>
        <v/>
      </c>
      <c r="AO33" s="38">
        <f>IF(AN33="","",AN33*T33)</f>
        <v/>
      </c>
      <c r="AP33" s="40" t="n"/>
      <c r="AQ33" s="32" t="inlineStr">
        <is>
          <t>Grounded</t>
        </is>
      </c>
      <c r="AR33" s="41" t="n"/>
      <c r="AS33" s="41" t="n"/>
      <c r="AT33" s="42" t="n"/>
      <c r="AU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V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W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X33" s="44" t="inlineStr">
        <is>
          <t>ACTUAL scheduled boat: Ferryline (Malkat Akko / 'Nesichat HaCarmel') Haifa&lt;-&gt;Akko one-way ticket NIS 40 (round-trip return leg discounted to NIS 30). NIS 40 / 3.65 = ~$11.0. The only real scheduled marine passenger fare in Israel; it doubles as both the premium tier AND the floor (no cheaper subsidized marine option exists).</t>
        </is>
      </c>
      <c r="AY33" s="44" t="n"/>
    </row>
    <row r="34">
      <c r="A34" s="29" t="inlineStr">
        <is>
          <t>Yango</t>
        </is>
      </c>
      <c r="B34" s="29" t="inlineStr">
        <is>
          <t>Israel</t>
        </is>
      </c>
      <c r="C34" s="30" t="inlineStr">
        <is>
          <t>Tel Aviv Marina → Herzliya Marina</t>
        </is>
      </c>
      <c r="D34" s="31" t="n">
        <v>7</v>
      </c>
      <c r="E34" s="26" t="n">
        <v>130</v>
      </c>
      <c r="F34" s="32" t="inlineStr">
        <is>
          <t>T2</t>
        </is>
      </c>
      <c r="G34" s="32" t="inlineStr">
        <is>
          <t>med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234753</v>
      </c>
      <c r="AH34" s="32" t="n"/>
      <c r="AI34" s="32" t="n"/>
      <c r="AJ34" s="39" t="n">
        <v>0.1</v>
      </c>
      <c r="AK34" s="34">
        <f>IF(AG34="","",AG34*AJ34)</f>
        <v/>
      </c>
      <c r="AL34" s="34">
        <f>IF(OR(AG34="",R34=0),"",MIN(IF(AT34="",9.9E+99,AT34),FLOOR(AK34/R34,1)))</f>
        <v/>
      </c>
      <c r="AM34" s="38">
        <f>IF(AL34="","",AL34*T34)</f>
        <v/>
      </c>
      <c r="AN34" s="36">
        <f>IF(OR(AG34="",R34=0),"",MIN(IF(AT34="",9.9E+99,AT34),AK34/R34))</f>
        <v/>
      </c>
      <c r="AO34" s="38">
        <f>IF(AN34="","",AN34*T34)</f>
        <v/>
      </c>
      <c r="AP34" s="40" t="n"/>
      <c r="AQ34" s="32" t="inlineStr">
        <is>
          <t>Grounded</t>
        </is>
      </c>
      <c r="AR34" s="41" t="n"/>
      <c r="AS34" s="41" t="n"/>
      <c r="AT34" s="42" t="n"/>
      <c r="AU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V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W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X34" s="44" t="inlineStr">
        <is>
          <t>PREMIUM/excursion proxy: Tel Aviv Marina shared 'Skyline Boat Cruise' ~2h from $130/person (GetYourGuide, 2026). No scheduled point-to-point water taxi exists, so this charter/excursion-divided per-seat is the closest sourceable premium comparable -- an EXCURSION fare, not a transfer fare; a true commuter shuttle seat would price below this.</t>
        </is>
      </c>
      <c r="AY34" s="44" t="n"/>
    </row>
    <row r="35">
      <c r="A35" s="29" t="inlineStr">
        <is>
          <t>Yango</t>
        </is>
      </c>
      <c r="B35" s="29" t="inlineStr">
        <is>
          <t>Israel</t>
        </is>
      </c>
      <c r="C35" s="30" t="inlineStr">
        <is>
          <t>Herzliya → Netanya</t>
        </is>
      </c>
      <c r="D35" s="31" t="n">
        <v>10.4</v>
      </c>
      <c r="E35" s="26" t="n">
        <v>130</v>
      </c>
      <c r="F35" s="32" t="inlineStr">
        <is>
          <t>T2</t>
        </is>
      </c>
      <c r="G35" s="32" t="inlineStr">
        <is>
          <t>med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MIN(24,FLOOR(60*service_hr/J35,1))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/>
      <c r="AH35" s="32" t="n"/>
      <c r="AI35" s="32" t="n"/>
      <c r="AJ35" s="39" t="n">
        <v>0.1</v>
      </c>
      <c r="AK35" s="34">
        <f>IF(AG35="","",AG35*AJ35)</f>
        <v/>
      </c>
      <c r="AL35" s="34">
        <f>IF(OR(AG35="",R35=0),"",MIN(IF(AT35="",9.9E+99,AT35),FLOOR(AK35/R35,1)))</f>
        <v/>
      </c>
      <c r="AM35" s="38">
        <f>IF(AL35="","",AL35*T35)</f>
        <v/>
      </c>
      <c r="AN35" s="36">
        <f>IF(OR(AG35="",R35=0),"",MIN(IF(AT35="",9.9E+99,AT35),AK35/R35))</f>
        <v/>
      </c>
      <c r="AO35" s="38">
        <f>IF(AN35="","",AN35*T35)</f>
        <v/>
      </c>
      <c r="AP35" s="40" t="n"/>
      <c r="AQ35" s="32" t="inlineStr">
        <is>
          <t>Estimated</t>
        </is>
      </c>
      <c r="AR35" s="41" t="n"/>
      <c r="AS35" s="41" t="n"/>
      <c r="AT35" s="42" t="n"/>
      <c r="AU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V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W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X35" s="44" t="inlineStr">
        <is>
          <t>PREMIUM/excursion proxy: Tel Aviv-area shared skyline cruise ~$130/person (GetYourGuide, 2026); no scheduled service on this leg.</t>
        </is>
      </c>
      <c r="AY35" s="44" t="n"/>
    </row>
    <row r="36">
      <c r="A36" s="29" t="inlineStr">
        <is>
          <t>Yango</t>
        </is>
      </c>
      <c r="B36" s="29" t="inlineStr">
        <is>
          <t>Israel</t>
        </is>
      </c>
      <c r="C36" s="30" t="inlineStr">
        <is>
          <t>Ashdod → Ashkelon</t>
        </is>
      </c>
      <c r="D36" s="31" t="n">
        <v>10.4</v>
      </c>
      <c r="E36" s="26" t="n"/>
      <c r="F36" s="32" t="n"/>
      <c r="G36" s="32" t="n"/>
      <c r="H36" s="19" t="n">
        <v>1</v>
      </c>
      <c r="I36" s="33">
        <f>60*D36/cruise_kt</f>
        <v/>
      </c>
      <c r="J36" s="33">
        <f>I36+turn_min+dwell_min</f>
        <v/>
      </c>
      <c r="K36" s="34">
        <f>MIN(24,FLOOR(60*service_hr/J36,1))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142310</v>
      </c>
      <c r="AH36" s="32" t="n"/>
      <c r="AI36" s="32" t="n"/>
      <c r="AJ36" s="39" t="n">
        <v>0.1</v>
      </c>
      <c r="AK36" s="34">
        <f>IF(AG36="","",AG36*AJ36)</f>
        <v/>
      </c>
      <c r="AL36" s="34">
        <f>IF(OR(AG36="",R36=0),"",MIN(IF(AT36="",9.9E+99,AT36),FLOOR(AK36/R36,1)))</f>
        <v/>
      </c>
      <c r="AM36" s="38">
        <f>IF(AL36="","",AL36*T36)</f>
        <v/>
      </c>
      <c r="AN36" s="36">
        <f>IF(OR(AG36="",R36=0),"",MIN(IF(AT36="",9.9E+99,AT36),AK36/R36))</f>
        <v/>
      </c>
      <c r="AO36" s="38">
        <f>IF(AN36="","",AN36*T36)</f>
        <v/>
      </c>
      <c r="AP36" s="40" t="n"/>
      <c r="AQ36" s="32" t="inlineStr">
        <is>
          <t>Grounded</t>
        </is>
      </c>
      <c r="AR36" s="41" t="n"/>
      <c r="AS36" s="41" t="n"/>
      <c r="AT36" s="42" t="n"/>
      <c r="AU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V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W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X36" s="44" t="n"/>
      <c r="AY36" s="44" t="n"/>
    </row>
    <row r="37">
      <c r="A37" s="29" t="inlineStr">
        <is>
          <t>Yango</t>
        </is>
      </c>
      <c r="B37" s="29" t="inlineStr">
        <is>
          <t>Israel</t>
        </is>
      </c>
      <c r="C37" s="30" t="inlineStr">
        <is>
          <t>Tel Aviv → Netanya</t>
        </is>
      </c>
      <c r="D37" s="31" t="n">
        <v>15.1</v>
      </c>
      <c r="E37" s="26" t="n">
        <v>130</v>
      </c>
      <c r="F37" s="32" t="inlineStr">
        <is>
          <t>T2</t>
        </is>
      </c>
      <c r="G37" s="32" t="inlineStr">
        <is>
          <t>med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MIN(24,FLOOR(60*service_hr/J37,1))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168015</v>
      </c>
      <c r="AH37" s="32" t="n"/>
      <c r="AI37" s="32" t="n"/>
      <c r="AJ37" s="39" t="n">
        <v>0.1</v>
      </c>
      <c r="AK37" s="34">
        <f>IF(AG37="","",AG37*AJ37)</f>
        <v/>
      </c>
      <c r="AL37" s="34">
        <f>IF(OR(AG37="",R37=0),"",MIN(IF(AT37="",9.9E+99,AT37),FLOOR(AK37/R37,1)))</f>
        <v/>
      </c>
      <c r="AM37" s="38">
        <f>IF(AL37="","",AL37*T37)</f>
        <v/>
      </c>
      <c r="AN37" s="36">
        <f>IF(OR(AG37="",R37=0),"",MIN(IF(AT37="",9.9E+99,AT37),AK37/R37))</f>
        <v/>
      </c>
      <c r="AO37" s="38">
        <f>IF(AN37="","",AN37*T37)</f>
        <v/>
      </c>
      <c r="AP37" s="40" t="n"/>
      <c r="AQ37" s="32" t="inlineStr">
        <is>
          <t>Grounded</t>
        </is>
      </c>
      <c r="AR37" s="41" t="n"/>
      <c r="AS37" s="41" t="n"/>
      <c r="AT37" s="42" t="n"/>
      <c r="AU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V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W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X37" s="44" t="inlineStr">
        <is>
          <t>PREMIUM/excursion proxy: Tel Aviv Marina shared skyline cruise ~$130/person (GetYourGuide, 2026). No scheduled TLV-Netanya water service; excursion-divided per-seat used as the closest premium comparable.</t>
        </is>
      </c>
      <c r="AY37" s="44" t="n"/>
    </row>
    <row r="38">
      <c r="A38" s="29" t="inlineStr">
        <is>
          <t>Yango</t>
        </is>
      </c>
      <c r="B38" s="29" t="inlineStr">
        <is>
          <t>Israel</t>
        </is>
      </c>
      <c r="C38" s="30" t="inlineStr">
        <is>
          <t>Tel Aviv → Ashdod</t>
        </is>
      </c>
      <c r="D38" s="31" t="n">
        <v>16.9</v>
      </c>
      <c r="E38" s="26" t="n">
        <v>130</v>
      </c>
      <c r="F38" s="32" t="inlineStr">
        <is>
          <t>T2</t>
        </is>
      </c>
      <c r="G38" s="32" t="inlineStr">
        <is>
          <t>med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MIN(24,FLOOR(60*service_hr/J38,1))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143443</v>
      </c>
      <c r="AH38" s="32" t="n"/>
      <c r="AI38" s="32" t="n"/>
      <c r="AJ38" s="39" t="n">
        <v>0.1</v>
      </c>
      <c r="AK38" s="34">
        <f>IF(AG38="","",AG38*AJ38)</f>
        <v/>
      </c>
      <c r="AL38" s="34">
        <f>IF(OR(AG38="",R38=0),"",MIN(IF(AT38="",9.9E+99,AT38),FLOOR(AK38/R38,1)))</f>
        <v/>
      </c>
      <c r="AM38" s="38">
        <f>IF(AL38="","",AL38*T38)</f>
        <v/>
      </c>
      <c r="AN38" s="36">
        <f>IF(OR(AG38="",R38=0),"",MIN(IF(AT38="",9.9E+99,AT38),AK38/R38))</f>
        <v/>
      </c>
      <c r="AO38" s="38">
        <f>IF(AN38="","",AN38*T38)</f>
        <v/>
      </c>
      <c r="AP38" s="40" t="n"/>
      <c r="AQ38" s="32" t="inlineStr">
        <is>
          <t>Grounded</t>
        </is>
      </c>
      <c r="AR38" s="41" t="n"/>
      <c r="AS38" s="41" t="n"/>
      <c r="AT38" s="42" t="n"/>
      <c r="AU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V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W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X38" s="44" t="inlineStr">
        <is>
          <t>PREMIUM/excursion proxy: Tel Aviv Marina shared skyline cruise ~$130/person (GetYourGuide, 2026). No scheduled TLV-Ashdod water service.</t>
        </is>
      </c>
      <c r="AY38" s="44" t="n"/>
    </row>
    <row r="39">
      <c r="A39" s="29" t="inlineStr">
        <is>
          <t>Yango</t>
        </is>
      </c>
      <c r="B39" s="29" t="inlineStr">
        <is>
          <t>Israel</t>
        </is>
      </c>
      <c r="C39" s="30" t="inlineStr">
        <is>
          <t>Tel Aviv → Haifa</t>
        </is>
      </c>
      <c r="D39" s="31" t="n">
        <v>45.6</v>
      </c>
      <c r="E39" s="26" t="n">
        <v>130</v>
      </c>
      <c r="F39" s="32" t="inlineStr">
        <is>
          <t>T2</t>
        </is>
      </c>
      <c r="G39" s="32" t="inlineStr">
        <is>
          <t>med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MIN(24,FLOOR(60*service_hr/J39,1))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201092</v>
      </c>
      <c r="AH39" s="32" t="n"/>
      <c r="AI39" s="32" t="n"/>
      <c r="AJ39" s="39" t="n">
        <v>0.1</v>
      </c>
      <c r="AK39" s="34">
        <f>IF(AG39="","",AG39*AJ39)</f>
        <v/>
      </c>
      <c r="AL39" s="34">
        <f>IF(OR(AG39="",R39=0),"",MIN(IF(AT39="",9.9E+99,AT39),FLOOR(AK39/R39,1)))</f>
        <v/>
      </c>
      <c r="AM39" s="38">
        <f>IF(AL39="","",AL39*T39)</f>
        <v/>
      </c>
      <c r="AN39" s="36">
        <f>IF(OR(AG39="",R39=0),"",MIN(IF(AT39="",9.9E+99,AT39),AK39/R39))</f>
        <v/>
      </c>
      <c r="AO39" s="38">
        <f>IF(AN39="","",AN39*T39)</f>
        <v/>
      </c>
      <c r="AP39" s="40" t="n"/>
      <c r="AQ39" s="32" t="inlineStr">
        <is>
          <t>Grounded</t>
        </is>
      </c>
      <c r="AR39" s="41" t="n"/>
      <c r="AS39" s="41" t="n"/>
      <c r="AT39" s="42" t="n"/>
      <c r="AU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V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W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X39" s="44" t="inlineStr">
        <is>
          <t>PREMIUM/excursion proxy: Tel Aviv Marina shared skyline cruise ~$130/person (GetYourGuide, 2026) as the only sourceable premium per-seat; a true TLV-Haifa fast-ferry seat would price above this given the longer distance. Excursion proxy, flagged.</t>
        </is>
      </c>
      <c r="AY39" s="44" t="n"/>
    </row>
    <row r="40">
      <c r="A40" s="29" t="inlineStr">
        <is>
          <t>Yango</t>
        </is>
      </c>
      <c r="B40" s="29" t="inlineStr">
        <is>
          <t>Kazakhstan</t>
        </is>
      </c>
      <c r="C40" s="30" t="inlineStr">
        <is>
          <t>Aktau Port → Kuryk</t>
        </is>
      </c>
      <c r="D40" s="31" t="n">
        <v>35</v>
      </c>
      <c r="E40" s="26" t="n"/>
      <c r="F40" s="32" t="inlineStr">
        <is>
          <t>T5</t>
        </is>
      </c>
      <c r="G40" s="32" t="inlineStr">
        <is>
          <t>low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/>
      <c r="AH40" s="32" t="inlineStr">
        <is>
          <t>T5</t>
        </is>
      </c>
      <c r="AI40" s="32" t="inlineStr">
        <is>
          <t>low</t>
        </is>
      </c>
      <c r="AJ40" s="39" t="n">
        <v>0.1</v>
      </c>
      <c r="AK40" s="34">
        <f>IF(AG40="","",AG40*AJ40)</f>
        <v/>
      </c>
      <c r="AL40" s="34">
        <f>IF(OR(AG40="",R40=0),"",MIN(IF(AT40="",9.9E+99,AT40),FLOOR(AK40/R40,1)))</f>
        <v/>
      </c>
      <c r="AM40" s="38">
        <f>IF(AL40="","",AL40*T40)</f>
        <v/>
      </c>
      <c r="AN40" s="36">
        <f>IF(OR(AG40="",R40=0),"",MIN(IF(AT40="",9.9E+99,AT40),AK40/R40))</f>
        <v/>
      </c>
      <c r="AO40" s="38">
        <f>IF(AN40="","",AN40*T40)</f>
        <v/>
      </c>
      <c r="AP40" s="40" t="n"/>
      <c r="AQ40" s="32" t="inlineStr">
        <is>
          <t>Estimated</t>
        </is>
      </c>
      <c r="AR40" s="41" t="n"/>
      <c r="AS40" s="41" t="n"/>
      <c r="AT40" s="42" t="n"/>
      <c r="AU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V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W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X40" s="44" t="inlineStr">
        <is>
          <t>TBD — Tier-B headline placeholder</t>
        </is>
      </c>
      <c r="AY40" s="44" t="inlineStr">
        <is>
          <t>TBD — Tier-B headline placeholder</t>
        </is>
      </c>
    </row>
    <row r="41">
      <c r="A41" s="29" t="inlineStr">
        <is>
          <t>Yango</t>
        </is>
      </c>
      <c r="B41" s="29" t="inlineStr">
        <is>
          <t>Kazakhstan</t>
        </is>
      </c>
      <c r="C41" s="30" t="inlineStr">
        <is>
          <t>Aktau (Aktau Sea Port / city seafront) → Bautino / Fort-Shevchenko (Tupkaragan peninsula)</t>
        </is>
      </c>
      <c r="D41" s="31" t="n">
        <v>55</v>
      </c>
      <c r="E41" s="26" t="n">
        <v>50</v>
      </c>
      <c r="F41" s="32" t="inlineStr">
        <is>
          <t>T2</t>
        </is>
      </c>
      <c r="G41" s="32" t="inlineStr">
        <is>
          <t>med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MIN(24,FLOOR(60*service_hr/J41,1))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/>
      <c r="AH41" s="32" t="n"/>
      <c r="AI41" s="32" t="n"/>
      <c r="AJ41" s="39" t="n">
        <v>0.1</v>
      </c>
      <c r="AK41" s="34">
        <f>IF(AG41="","",AG41*AJ41)</f>
        <v/>
      </c>
      <c r="AL41" s="34">
        <f>IF(OR(AG41="",R41=0),"",MIN(IF(AT41="",9.9E+99,AT41),FLOOR(AK41/R41,1)))</f>
        <v/>
      </c>
      <c r="AM41" s="38">
        <f>IF(AL41="","",AL41*T41)</f>
        <v/>
      </c>
      <c r="AN41" s="36">
        <f>IF(OR(AG41="",R41=0),"",MIN(IF(AT41="",9.9E+99,AT41),AK41/R41))</f>
        <v/>
      </c>
      <c r="AO41" s="38">
        <f>IF(AN41="","",AN41*T41)</f>
        <v/>
      </c>
      <c r="AP41" s="40" t="n"/>
      <c r="AQ41" s="32" t="inlineStr">
        <is>
          <t>Estimated</t>
        </is>
      </c>
      <c r="AR41" s="41" t="n"/>
      <c r="AS41" s="41" t="n"/>
      <c r="AT41" s="42" t="n"/>
      <c r="AU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V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W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X41" s="44" t="inlineStr">
        <is>
          <t>PREMIUM tier proxy: Aktau private Caspian yacht cruise ~$50/seat (GetYourGuide $250/group up to 5) — same in-market premium marine comparable as the Kenderli corridor; no scheduled fast craft to Bautino exists today.</t>
        </is>
      </c>
      <c r="AY41" s="44" t="n"/>
    </row>
    <row r="42">
      <c r="A42" s="29" t="inlineStr">
        <is>
          <t>Yango</t>
        </is>
      </c>
      <c r="B42" s="29" t="inlineStr">
        <is>
          <t>Kazakhstan</t>
        </is>
      </c>
      <c r="C42" s="30" t="inlineStr">
        <is>
          <t>Aktau (Aktau Sea Port / city seafront) → Kenderli (Kenderli Bay resort zone)</t>
        </is>
      </c>
      <c r="D42" s="31" t="n">
        <v>65</v>
      </c>
      <c r="E42" s="26" t="n">
        <v>50</v>
      </c>
      <c r="F42" s="32" t="inlineStr">
        <is>
          <t>T2</t>
        </is>
      </c>
      <c r="G42" s="32" t="inlineStr">
        <is>
          <t>med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/>
      <c r="AH42" s="32" t="n"/>
      <c r="AI42" s="32" t="n"/>
      <c r="AJ42" s="39" t="n">
        <v>0.1</v>
      </c>
      <c r="AK42" s="34">
        <f>IF(AG42="","",AG42*AJ42)</f>
        <v/>
      </c>
      <c r="AL42" s="34">
        <f>IF(OR(AG42="",R42=0),"",MIN(IF(AT42="",9.9E+99,AT42),FLOOR(AK42/R42,1)))</f>
        <v/>
      </c>
      <c r="AM42" s="38">
        <f>IF(AL42="","",AL42*T42)</f>
        <v/>
      </c>
      <c r="AN42" s="36">
        <f>IF(OR(AG42="",R42=0),"",MIN(IF(AT42="",9.9E+99,AT42),AK42/R42))</f>
        <v/>
      </c>
      <c r="AO42" s="38">
        <f>IF(AN42="","",AN42*T42)</f>
        <v/>
      </c>
      <c r="AP42" s="40" t="n"/>
      <c r="AQ42" s="32" t="inlineStr">
        <is>
          <t>Estimated</t>
        </is>
      </c>
      <c r="AR42" s="41" t="n"/>
      <c r="AS42" s="41" t="n"/>
      <c r="AT42" s="42" t="n"/>
      <c r="AU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V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W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X42" s="44" t="inlineStr">
        <is>
          <t>PREMIUM tier: private Caspian Sea yacht cruise out of Aktau ~$50/seat (GetYourGuide 'Aktau Caspian Sea Yacht Cruise' $250 per group up to 5). Nearest in-market premium per-seat marine comparable; no scheduled fast craft to Kenderli exists today.</t>
        </is>
      </c>
      <c r="AY42" s="44" t="n"/>
    </row>
    <row r="43">
      <c r="A43" s="29" t="inlineStr">
        <is>
          <t>Yango</t>
        </is>
      </c>
      <c r="B43" s="29" t="inlineStr">
        <is>
          <t>Morocco</t>
        </is>
      </c>
      <c r="C43" s="30" t="inlineStr">
        <is>
          <t>Rabat → Sale</t>
        </is>
      </c>
      <c r="D43" s="31" t="n">
        <v>0.5</v>
      </c>
      <c r="E43" s="26" t="n"/>
      <c r="F43" s="32" t="n"/>
      <c r="G43" s="32" t="n"/>
      <c r="H43" s="19" t="n">
        <v>1</v>
      </c>
      <c r="I43" s="33">
        <f>60*D43/cruise_kt</f>
        <v/>
      </c>
      <c r="J43" s="33">
        <f>I43+turn_min+dwell_min</f>
        <v/>
      </c>
      <c r="K43" s="34">
        <f>MIN(24,FLOOR(60*service_hr/J43,1))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/>
      <c r="AH43" s="32" t="n"/>
      <c r="AI43" s="32" t="n"/>
      <c r="AJ43" s="39" t="n">
        <v>0.1</v>
      </c>
      <c r="AK43" s="34">
        <f>IF(AG43="","",AG43*AJ43)</f>
        <v/>
      </c>
      <c r="AL43" s="34">
        <f>IF(OR(AG43="",R43=0),"",MIN(IF(AT43="",9.9E+99,AT43),FLOOR(AK43/R43,1)))</f>
        <v/>
      </c>
      <c r="AM43" s="38">
        <f>IF(AL43="","",AL43*T43)</f>
        <v/>
      </c>
      <c r="AN43" s="36">
        <f>IF(OR(AG43="",R43=0),"",MIN(IF(AT43="",9.9E+99,AT43),AK43/R43))</f>
        <v/>
      </c>
      <c r="AO43" s="38">
        <f>IF(AN43="","",AN43*T43)</f>
        <v/>
      </c>
      <c r="AP43" s="40" t="n"/>
      <c r="AQ43" s="32" t="inlineStr">
        <is>
          <t>Estimated</t>
        </is>
      </c>
      <c r="AR43" s="41" t="n"/>
      <c r="AS43" s="41" t="n"/>
      <c r="AT43" s="42" t="n"/>
      <c r="AU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V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W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X43" s="44" t="n"/>
      <c r="AY43" s="44" t="n"/>
    </row>
    <row r="44">
      <c r="A44" s="29" t="inlineStr">
        <is>
          <t>Yango</t>
        </is>
      </c>
      <c r="B44" s="29" t="inlineStr">
        <is>
          <t>Morocco</t>
        </is>
      </c>
      <c r="C44" s="30" t="inlineStr">
        <is>
          <t>Tangier Marina Bay → Tarifa (cross-strait excluded)</t>
        </is>
      </c>
      <c r="D44" s="31" t="n">
        <v>8</v>
      </c>
      <c r="E44" s="26" t="n">
        <v>43.5</v>
      </c>
      <c r="F44" s="32" t="inlineStr">
        <is>
          <t>T2</t>
        </is>
      </c>
      <c r="G44" s="32" t="inlineStr">
        <is>
          <t>med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760778</v>
      </c>
      <c r="AH44" s="32" t="n"/>
      <c r="AI44" s="32" t="n"/>
      <c r="AJ44" s="39" t="n">
        <v>0.1</v>
      </c>
      <c r="AK44" s="34">
        <f>IF(AG44="","",AG44*AJ44)</f>
        <v/>
      </c>
      <c r="AL44" s="34">
        <f>IF(OR(AG44="",R44=0),"",MIN(IF(AT44="",9.9E+99,AT44),FLOOR(AK44/R44,1)))</f>
        <v/>
      </c>
      <c r="AM44" s="38">
        <f>IF(AL44="","",AL44*T44)</f>
        <v/>
      </c>
      <c r="AN44" s="36">
        <f>IF(OR(AG44="",R44=0),"",MIN(IF(AT44="",9.9E+99,AT44),AK44/R44))</f>
        <v/>
      </c>
      <c r="AO44" s="38">
        <f>IF(AN44="","",AN44*T44)</f>
        <v/>
      </c>
      <c r="AP44" s="40" t="n"/>
      <c r="AQ44" s="32" t="inlineStr">
        <is>
          <t>Grounded</t>
        </is>
      </c>
      <c r="AR44" s="41" t="n"/>
      <c r="AS44" s="41" t="n"/>
      <c r="AT44" s="42" t="n"/>
      <c r="AU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V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W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X44" s="44" t="inlineStr">
        <is>
          <t>PREMIUM tier: standard adult FOOT-PASSENGER one-way fast-ferry fare Tarifa&lt;-&gt;Tangier Ville ~EUR 40.25 (traveller-reported foot fare) x 1.08 = ~$43.5; DirectFerries lists 'from $46'. THIS is the Navier-modeled per-seat tier.</t>
        </is>
      </c>
      <c r="AY44" s="44" t="n"/>
    </row>
    <row r="45">
      <c r="A45" s="29" t="inlineStr">
        <is>
          <t>Yango</t>
        </is>
      </c>
      <c r="B45" s="29" t="inlineStr">
        <is>
          <t>Morocco</t>
        </is>
      </c>
      <c r="C45" s="30" t="inlineStr">
        <is>
          <t>Agadir Marina → Taghazout</t>
        </is>
      </c>
      <c r="D45" s="31" t="n">
        <v>9</v>
      </c>
      <c r="E45" s="26" t="n"/>
      <c r="F45" s="32" t="n"/>
      <c r="G45" s="32" t="n"/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77500</v>
      </c>
      <c r="AH45" s="32" t="n"/>
      <c r="AI45" s="32" t="n"/>
      <c r="AJ45" s="39" t="n">
        <v>0.1</v>
      </c>
      <c r="AK45" s="34">
        <f>IF(AG45="","",AG45*AJ45)</f>
        <v/>
      </c>
      <c r="AL45" s="34">
        <f>IF(OR(AG45="",R45=0),"",MIN(IF(AT45="",9.9E+99,AT45),FLOOR(AK45/R45,1)))</f>
        <v/>
      </c>
      <c r="AM45" s="38">
        <f>IF(AL45="","",AL45*T45)</f>
        <v/>
      </c>
      <c r="AN45" s="36">
        <f>IF(OR(AG45="",R45=0),"",MIN(IF(AT45="",9.9E+99,AT45),AK45/R45))</f>
        <v/>
      </c>
      <c r="AO45" s="38">
        <f>IF(AN45="","",AN45*T45)</f>
        <v/>
      </c>
      <c r="AP45" s="40" t="n"/>
      <c r="AQ45" s="32" t="inlineStr">
        <is>
          <t>Grounded</t>
        </is>
      </c>
      <c r="AR45" s="41" t="n"/>
      <c r="AS45" s="41" t="n"/>
      <c r="AT45" s="42" t="n"/>
      <c r="AU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V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W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X45" s="44" t="n"/>
      <c r="AY45" s="44" t="n"/>
    </row>
    <row r="46">
      <c r="A46" s="29" t="inlineStr">
        <is>
          <t>Yango</t>
        </is>
      </c>
      <c r="B46" s="29" t="inlineStr">
        <is>
          <t>Morocco</t>
        </is>
      </c>
      <c r="C46" s="30" t="inlineStr">
        <is>
          <t>Tanger Med (Ksar el Majaz) → Algeciras (Spain)</t>
        </is>
      </c>
      <c r="D46" s="31" t="n">
        <v>13</v>
      </c>
      <c r="E46" s="26" t="n">
        <v>38</v>
      </c>
      <c r="F46" s="32" t="inlineStr">
        <is>
          <t>T2</t>
        </is>
      </c>
      <c r="G46" s="32" t="inlineStr">
        <is>
          <t>med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MIN(15,FLOOR(60*service_hr/J46,1))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1610211</v>
      </c>
      <c r="AH46" s="32" t="n"/>
      <c r="AI46" s="32" t="n"/>
      <c r="AJ46" s="39" t="n">
        <v>0.1</v>
      </c>
      <c r="AK46" s="34">
        <f>IF(AG46="","",AG46*AJ46)</f>
        <v/>
      </c>
      <c r="AL46" s="34">
        <f>IF(OR(AG46="",R46=0),"",MIN(IF(AT46="",9.9E+99,AT46),FLOOR(AK46/R46,1)))</f>
        <v/>
      </c>
      <c r="AM46" s="38">
        <f>IF(AL46="","",AL46*T46)</f>
        <v/>
      </c>
      <c r="AN46" s="36">
        <f>IF(OR(AG46="",R46=0),"",MIN(IF(AT46="",9.9E+99,AT46),AK46/R46))</f>
        <v/>
      </c>
      <c r="AO46" s="38">
        <f>IF(AN46="","",AN46*T46)</f>
        <v/>
      </c>
      <c r="AP46" s="40" t="n"/>
      <c r="AQ46" s="32" t="inlineStr">
        <is>
          <t>Grounded</t>
        </is>
      </c>
      <c r="AR46" s="41" t="n"/>
      <c r="AS46" s="41" t="n"/>
      <c r="AT46" s="42" t="n"/>
      <c r="AU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V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W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X46" s="44" t="inlineStr">
        <is>
          <t>PREMIUM tier: standard adult FOOT-PASSENGER one-way Tanger Med&lt;-&gt;Algeciras ~EUR 35 x 1.08 = ~$38 (Strait fast-ferry foot fares cluster EUR 30-40).</t>
        </is>
      </c>
      <c r="AY46" s="44" t="n"/>
    </row>
    <row r="47">
      <c r="A47" s="29" t="inlineStr">
        <is>
          <t>Yango</t>
        </is>
      </c>
      <c r="B47" s="29" t="inlineStr">
        <is>
          <t>Morocco</t>
        </is>
      </c>
      <c r="C47" s="30" t="inlineStr">
        <is>
          <t>Casablanca → Mohammedia</t>
        </is>
      </c>
      <c r="D47" s="31" t="n">
        <v>13</v>
      </c>
      <c r="E47" s="26" t="n"/>
      <c r="F47" s="32" t="n"/>
      <c r="G47" s="32" t="n"/>
      <c r="H47" s="19" t="n">
        <v>1</v>
      </c>
      <c r="I47" s="33">
        <f>60*D47/cruise_kt</f>
        <v/>
      </c>
      <c r="J47" s="33">
        <f>I47+turn_min+dwell_min</f>
        <v/>
      </c>
      <c r="K47" s="34">
        <f>MIN(24,FLOOR(60*service_hr/J47,1))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/>
      <c r="AH47" s="32" t="n"/>
      <c r="AI47" s="32" t="n"/>
      <c r="AJ47" s="39" t="n">
        <v>0.1</v>
      </c>
      <c r="AK47" s="34">
        <f>IF(AG47="","",AG47*AJ47)</f>
        <v/>
      </c>
      <c r="AL47" s="34">
        <f>IF(OR(AG47="",R47=0),"",MIN(IF(AT47="",9.9E+99,AT47),FLOOR(AK47/R47,1)))</f>
        <v/>
      </c>
      <c r="AM47" s="38">
        <f>IF(AL47="","",AL47*T47)</f>
        <v/>
      </c>
      <c r="AN47" s="36">
        <f>IF(OR(AG47="",R47=0),"",MIN(IF(AT47="",9.9E+99,AT47),AK47/R47))</f>
        <v/>
      </c>
      <c r="AO47" s="38">
        <f>IF(AN47="","",AN47*T47)</f>
        <v/>
      </c>
      <c r="AP47" s="40" t="n"/>
      <c r="AQ47" s="32" t="inlineStr">
        <is>
          <t>Estimated</t>
        </is>
      </c>
      <c r="AR47" s="41" t="n"/>
      <c r="AS47" s="41" t="n"/>
      <c r="AT47" s="42" t="n"/>
      <c r="AU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V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W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X47" s="44" t="n"/>
      <c r="AY47" s="44" t="n"/>
    </row>
    <row r="48">
      <c r="A48" s="29" t="inlineStr">
        <is>
          <t>Yango</t>
        </is>
      </c>
      <c r="B48" s="29" t="inlineStr">
        <is>
          <t>Morocco</t>
        </is>
      </c>
      <c r="C48" s="30" t="inlineStr">
        <is>
          <t>Tanger Med (Ksar el Majaz) → Algeciras (Spain)</t>
        </is>
      </c>
      <c r="D48" s="31" t="n">
        <v>13</v>
      </c>
      <c r="E48" s="26" t="n">
        <v>38</v>
      </c>
      <c r="F48" s="32" t="inlineStr">
        <is>
          <t>T2</t>
        </is>
      </c>
      <c r="G48" s="32" t="inlineStr">
        <is>
          <t>med</t>
        </is>
      </c>
      <c r="H48" s="19" t="n">
        <v>1</v>
      </c>
      <c r="I48" s="33">
        <f>60*D48/cruise_kt</f>
        <v/>
      </c>
      <c r="J48" s="33">
        <f>I48+turn_min+dwell_min</f>
        <v/>
      </c>
      <c r="K48" s="34">
        <f>MIN(15,FLOOR(60*service_hr/J48,1))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>
        <v>1610211</v>
      </c>
      <c r="AH48" s="32" t="n"/>
      <c r="AI48" s="32" t="n"/>
      <c r="AJ48" s="39" t="n">
        <v>0.1</v>
      </c>
      <c r="AK48" s="34">
        <f>IF(AG48="","",AG48*AJ48)</f>
        <v/>
      </c>
      <c r="AL48" s="34">
        <f>IF(OR(AG48="",R48=0),"",MIN(IF(AT48="",9.9E+99,AT48),FLOOR(AK48/R48,1)))</f>
        <v/>
      </c>
      <c r="AM48" s="38">
        <f>IF(AL48="","",AL48*T48)</f>
        <v/>
      </c>
      <c r="AN48" s="36">
        <f>IF(OR(AG48="",R48=0),"",MIN(IF(AT48="",9.9E+99,AT48),AK48/R48))</f>
        <v/>
      </c>
      <c r="AO48" s="38">
        <f>IF(AN48="","",AN48*T48)</f>
        <v/>
      </c>
      <c r="AP48" s="40" t="n"/>
      <c r="AQ48" s="32" t="inlineStr">
        <is>
          <t>Grounded</t>
        </is>
      </c>
      <c r="AR48" s="41" t="n"/>
      <c r="AS48" s="41" t="n"/>
      <c r="AT48" s="42" t="n"/>
      <c r="AU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V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W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X48" s="44" t="inlineStr">
        <is>
          <t>PREMIUM tier: standard adult FOOT-PASSENGER one-way Tanger Med&lt;-&gt;Algeciras ~EUR 35 x 1.08 = ~$38 (Strait fast-ferry foot fares cluster EUR 30-40).</t>
        </is>
      </c>
      <c r="AY48" s="44" t="n"/>
    </row>
    <row r="49">
      <c r="A49" s="29" t="inlineStr">
        <is>
          <t>Yango</t>
        </is>
      </c>
      <c r="B49" s="29" t="inlineStr">
        <is>
          <t>Morocco</t>
        </is>
      </c>
      <c r="C49" s="30" t="inlineStr">
        <is>
          <t>Al Hoceima → Cala Iris</t>
        </is>
      </c>
      <c r="D49" s="31" t="n">
        <v>16</v>
      </c>
      <c r="E49" s="26" t="n"/>
      <c r="F49" s="32" t="n"/>
      <c r="G49" s="32" t="n"/>
      <c r="H49" s="19" t="n">
        <v>1</v>
      </c>
      <c r="I49" s="33">
        <f>60*D49/cruise_kt</f>
        <v/>
      </c>
      <c r="J49" s="33">
        <f>I49+turn_min+dwell_min</f>
        <v/>
      </c>
      <c r="K49" s="34">
        <f>MIN(24,FLOOR(60*service_hr/J49,1))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/>
      <c r="AH49" s="32" t="n"/>
      <c r="AI49" s="32" t="n"/>
      <c r="AJ49" s="39" t="n">
        <v>0.1</v>
      </c>
      <c r="AK49" s="34">
        <f>IF(AG49="","",AG49*AJ49)</f>
        <v/>
      </c>
      <c r="AL49" s="34">
        <f>IF(OR(AG49="",R49=0),"",MIN(IF(AT49="",9.9E+99,AT49),FLOOR(AK49/R49,1)))</f>
        <v/>
      </c>
      <c r="AM49" s="38">
        <f>IF(AL49="","",AL49*T49)</f>
        <v/>
      </c>
      <c r="AN49" s="36">
        <f>IF(OR(AG49="",R49=0),"",MIN(IF(AT49="",9.9E+99,AT49),AK49/R49))</f>
        <v/>
      </c>
      <c r="AO49" s="38">
        <f>IF(AN49="","",AN49*T49)</f>
        <v/>
      </c>
      <c r="AP49" s="40" t="n"/>
      <c r="AQ49" s="32" t="inlineStr">
        <is>
          <t>Estimated</t>
        </is>
      </c>
      <c r="AR49" s="41" t="n"/>
      <c r="AS49" s="41" t="n"/>
      <c r="AT49" s="42" t="n"/>
      <c r="AU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V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W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X49" s="44" t="n"/>
      <c r="AY49" s="44" t="n"/>
    </row>
    <row r="50">
      <c r="A50" s="29" t="inlineStr">
        <is>
          <t>Yango</t>
        </is>
      </c>
      <c r="B50" s="29" t="inlineStr">
        <is>
          <t>Morocco</t>
        </is>
      </c>
      <c r="C50" s="30" t="inlineStr">
        <is>
          <t>Tanger Med → Ceuta (Spanish enclave)</t>
        </is>
      </c>
      <c r="D50" s="31" t="n">
        <v>22</v>
      </c>
      <c r="E50" s="26" t="n">
        <v>36</v>
      </c>
      <c r="F50" s="32" t="inlineStr">
        <is>
          <t>T2</t>
        </is>
      </c>
      <c r="G50" s="32" t="inlineStr">
        <is>
          <t>med</t>
        </is>
      </c>
      <c r="H50" s="19" t="n">
        <v>1</v>
      </c>
      <c r="I50" s="33">
        <f>60*D50/cruise_kt</f>
        <v/>
      </c>
      <c r="J50" s="33">
        <f>I50+turn_min+dwell_min</f>
        <v/>
      </c>
      <c r="K50" s="34">
        <f>MIN(15,FLOOR(60*service_hr/J50,1))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/>
      <c r="AH50" s="32" t="n"/>
      <c r="AI50" s="32" t="n"/>
      <c r="AJ50" s="39" t="n">
        <v>0.1</v>
      </c>
      <c r="AK50" s="34">
        <f>IF(AG50="","",AG50*AJ50)</f>
        <v/>
      </c>
      <c r="AL50" s="34">
        <f>IF(OR(AG50="",R50=0),"",MIN(IF(AT50="",9.9E+99,AT50),FLOOR(AK50/R50,1)))</f>
        <v/>
      </c>
      <c r="AM50" s="38">
        <f>IF(AL50="","",AL50*T50)</f>
        <v/>
      </c>
      <c r="AN50" s="36">
        <f>IF(OR(AG50="",R50=0),"",MIN(IF(AT50="",9.9E+99,AT50),AK50/R50))</f>
        <v/>
      </c>
      <c r="AO50" s="38">
        <f>IF(AN50="","",AN50*T50)</f>
        <v/>
      </c>
      <c r="AP50" s="40" t="n"/>
      <c r="AQ50" s="32" t="inlineStr">
        <is>
          <t>Estimated</t>
        </is>
      </c>
      <c r="AR50" s="41" t="n"/>
      <c r="AS50" s="41" t="n"/>
      <c r="AT50" s="42" t="n"/>
      <c r="AU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V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W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X50" s="44" t="inlineStr">
        <is>
          <t>PREMIUM tier (nearest comparable = Algeciras&lt;-&gt;Ceuta fast ferry): avg foot-passenger fare ~EUR 33 x 1.08 ~= $36 (one-way ~EUR 25-35), 60 min fast ferry.</t>
        </is>
      </c>
      <c r="AY50" s="44" t="n"/>
    </row>
    <row r="51">
      <c r="A51" s="29" t="inlineStr">
        <is>
          <t>Yango</t>
        </is>
      </c>
      <c r="B51" s="29" t="inlineStr">
        <is>
          <t>Morocco</t>
        </is>
      </c>
      <c r="C51" s="30" t="inlineStr">
        <is>
          <t>Casablanca → Rabat</t>
        </is>
      </c>
      <c r="D51" s="31" t="n">
        <v>46</v>
      </c>
      <c r="E51" s="26" t="n"/>
      <c r="F51" s="32" t="n"/>
      <c r="G51" s="32" t="n"/>
      <c r="H51" s="19" t="n">
        <v>1</v>
      </c>
      <c r="I51" s="33">
        <f>60*D51/cruise_kt</f>
        <v/>
      </c>
      <c r="J51" s="33">
        <f>I51+turn_min+dwell_min</f>
        <v/>
      </c>
      <c r="K51" s="34">
        <f>MIN(24,FLOOR(60*service_hr/J51,1))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>
        <v>165000</v>
      </c>
      <c r="AH51" s="32" t="n"/>
      <c r="AI51" s="32" t="n"/>
      <c r="AJ51" s="39" t="n">
        <v>0.1</v>
      </c>
      <c r="AK51" s="34">
        <f>IF(AG51="","",AG51*AJ51)</f>
        <v/>
      </c>
      <c r="AL51" s="34">
        <f>IF(OR(AG51="",R51=0),"",MIN(IF(AT51="",9.9E+99,AT51),FLOOR(AK51/R51,1)))</f>
        <v/>
      </c>
      <c r="AM51" s="38">
        <f>IF(AL51="","",AL51*T51)</f>
        <v/>
      </c>
      <c r="AN51" s="36">
        <f>IF(OR(AG51="",R51=0),"",MIN(IF(AT51="",9.9E+99,AT51),AK51/R51))</f>
        <v/>
      </c>
      <c r="AO51" s="38">
        <f>IF(AN51="","",AN51*T51)</f>
        <v/>
      </c>
      <c r="AP51" s="40" t="n"/>
      <c r="AQ51" s="32" t="inlineStr">
        <is>
          <t>Grounded</t>
        </is>
      </c>
      <c r="AR51" s="41" t="n"/>
      <c r="AS51" s="41" t="n"/>
      <c r="AT51" s="42" t="n"/>
      <c r="AU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V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W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X51" s="44" t="n"/>
      <c r="AY51" s="44" t="n"/>
    </row>
    <row r="52">
      <c r="A52" s="29" t="inlineStr">
        <is>
          <t>Yango</t>
        </is>
      </c>
      <c r="B52" s="29" t="inlineStr">
        <is>
          <t>Mozambique</t>
        </is>
      </c>
      <c r="C52" s="30" t="inlineStr">
        <is>
          <t>Maputo → Catembe</t>
        </is>
      </c>
      <c r="D52" s="31" t="n">
        <v>1.5</v>
      </c>
      <c r="E52" s="26" t="n"/>
      <c r="F52" s="32" t="inlineStr">
        <is>
          <t>T5</t>
        </is>
      </c>
      <c r="G52" s="32" t="inlineStr">
        <is>
          <t>low</t>
        </is>
      </c>
      <c r="H52" s="19" t="n">
        <v>1</v>
      </c>
      <c r="I52" s="33">
        <f>60*D52/cruise_kt</f>
        <v/>
      </c>
      <c r="J52" s="33">
        <f>I52+turn_min+dwell_min</f>
        <v/>
      </c>
      <c r="K52" s="34">
        <f>MIN(24,FLOOR(60*service_hr/J52,1))</f>
        <v/>
      </c>
      <c r="L52" s="34">
        <f>ROUND(365*mech_uptime*H52,0)</f>
        <v/>
      </c>
      <c r="M52" s="35">
        <f>mech_uptime</f>
        <v/>
      </c>
      <c r="N52" s="35">
        <f>revleg_sel</f>
        <v/>
      </c>
      <c r="O52" s="34">
        <f>ROUND(K52*L52*revleg_sel,0)</f>
        <v/>
      </c>
      <c r="P52" s="36">
        <f>load_sel</f>
        <v/>
      </c>
      <c r="Q52" s="36">
        <f>pax_cap*P52</f>
        <v/>
      </c>
      <c r="R52" s="34">
        <f>Q52*O52</f>
        <v/>
      </c>
      <c r="S52" s="37">
        <f>E52*discount</f>
        <v/>
      </c>
      <c r="T52" s="38">
        <f>S52*R52</f>
        <v/>
      </c>
      <c r="U52" s="38">
        <f>(battery/range_nm)*D52*O52*VLOOKUP(B52,country_opex,3,FALSE)</f>
        <v/>
      </c>
      <c r="V52" s="38">
        <f>VLOOKUP(B52,country_opex,2,FALSE)*crew_factor</f>
        <v/>
      </c>
      <c r="W52" s="38">
        <f>VLOOKUP(B52,country_opex,5,FALSE)</f>
        <v/>
      </c>
      <c r="X52" s="38">
        <f>maint</f>
        <v/>
      </c>
      <c r="Y52" s="38">
        <f>VLOOKUP(B52,country_opex,7,FALSE)*ins_pct</f>
        <v/>
      </c>
      <c r="Z52" s="38">
        <f>charge_berth</f>
        <v/>
      </c>
      <c r="AA52" s="38">
        <f>U52+V52+W52+X52+Y52+Z52</f>
        <v/>
      </c>
      <c r="AB52" s="38">
        <f>VLOOKUP(B52,country_opex,7,FALSE)/dep_years</f>
        <v/>
      </c>
      <c r="AC52" s="38">
        <f>T52-AA52</f>
        <v/>
      </c>
      <c r="AD52" s="35">
        <f>IF(T52=0,"",AC52/T52)</f>
        <v/>
      </c>
      <c r="AE52" s="36">
        <f>IF(AC52&lt;=0,"",VLOOKUP(B52,country_opex,7,FALSE)/AC52)</f>
        <v/>
      </c>
      <c r="AF52" s="33">
        <f>((D52*O52/diesel_nmpg)*diesel_co2pg-(battery/range_nm)*D52*O52*VLOOKUP(B52,country_opex,4,FALSE))/1000</f>
        <v/>
      </c>
      <c r="AG52" s="31" t="n">
        <v>60000</v>
      </c>
      <c r="AH52" s="32" t="n"/>
      <c r="AI52" s="32" t="n"/>
      <c r="AJ52" s="39" t="n">
        <v>0.1</v>
      </c>
      <c r="AK52" s="34">
        <f>IF(AG52="","",AG52*AJ52)</f>
        <v/>
      </c>
      <c r="AL52" s="34">
        <f>IF(OR(AG52="",R52=0),"",MIN(IF(AT52="",9.9E+99,AT52),FLOOR(AK52/R52,1)))</f>
        <v/>
      </c>
      <c r="AM52" s="38">
        <f>IF(AL52="","",AL52*T52)</f>
        <v/>
      </c>
      <c r="AN52" s="36">
        <f>IF(OR(AG52="",R52=0),"",MIN(IF(AT52="",9.9E+99,AT52),AK52/R52))</f>
        <v/>
      </c>
      <c r="AO52" s="38">
        <f>IF(AN52="","",AN52*T52)</f>
        <v/>
      </c>
      <c r="AP52" s="40" t="n"/>
      <c r="AQ52" s="32" t="inlineStr">
        <is>
          <t>Grounded</t>
        </is>
      </c>
      <c r="AR52" s="41" t="n"/>
      <c r="AS52" s="41" t="n"/>
      <c r="AT52" s="42" t="n"/>
      <c r="AU52" s="43">
        <f>IF(((S52*pax_cap*load_thin*ROUND(K52*L52*revleg_thin,0))-(((battery/range_nm)*D52*ROUND(K52*L52*revleg_thin,0)*VLOOKUP(B52,country_opex,3,FALSE))+V52+W52+X52+Y52+Z52))&lt;=0,"",VLOOKUP(B52,country_opex,7,FALSE)/((S52*pax_cap*load_thin*ROUND(K52*L52*revleg_thin,0))-(((battery/range_nm)*D52*ROUND(K52*L52*revleg_thin,0)*VLOOKUP(B52,country_opex,3,FALSE))+V52+W52+X52+Y52+Z52)))</f>
        <v/>
      </c>
      <c r="AV52" s="43">
        <f>IF(((S52*pax_cap*load_mid*ROUND(K52*L52*revleg_mid,0))-(((battery/range_nm)*D52*ROUND(K52*L52*revleg_mid,0)*VLOOKUP(B52,country_opex,3,FALSE))+V52+W52+X52+Y52+Z52))&lt;=0,"",VLOOKUP(B52,country_opex,7,FALSE)/((S52*pax_cap*load_mid*ROUND(K52*L52*revleg_mid,0))-(((battery/range_nm)*D52*ROUND(K52*L52*revleg_mid,0)*VLOOKUP(B52,country_opex,3,FALSE))+V52+W52+X52+Y52+Z52)))</f>
        <v/>
      </c>
      <c r="AW52" s="43">
        <f>IF(((S52*pax_cap*load_full*ROUND(K52*L52*revleg_full,0))-(((battery/range_nm)*D52*ROUND(K52*L52*revleg_full,0)*VLOOKUP(B52,country_opex,3,FALSE))+V52+W52+X52+Y52+Z52))&lt;=0,"",VLOOKUP(B52,country_opex,7,FALSE)/((S52*pax_cap*load_full*ROUND(K52*L52*revleg_full,0))-(((battery/range_nm)*D52*ROUND(K52*L52*revleg_full,0)*VLOOKUP(B52,country_opex,3,FALSE))+V52+W52+X52+Y52+Z52)))</f>
        <v/>
      </c>
      <c r="AX52" s="44" t="inlineStr">
        <is>
          <t>TBD — Tier-B headline placeholder</t>
        </is>
      </c>
      <c r="AY52" s="44" t="n"/>
    </row>
    <row r="53">
      <c r="A53" s="29" t="inlineStr">
        <is>
          <t>Yango</t>
        </is>
      </c>
      <c r="B53" s="29" t="inlineStr">
        <is>
          <t>Mozambique</t>
        </is>
      </c>
      <c r="C53" s="30" t="inlineStr">
        <is>
          <t>Inhambane (Inhambane city ferry pier) → Maxixe (Maxixe town jetty)</t>
        </is>
      </c>
      <c r="D53" s="31" t="n">
        <v>2.5</v>
      </c>
      <c r="E53" s="26" t="n">
        <v>18</v>
      </c>
      <c r="F53" s="32" t="inlineStr">
        <is>
          <t>T2</t>
        </is>
      </c>
      <c r="G53" s="32" t="inlineStr">
        <is>
          <t>med</t>
        </is>
      </c>
      <c r="H53" s="19" t="n">
        <v>1</v>
      </c>
      <c r="I53" s="33">
        <f>60*D53/cruise_kt</f>
        <v/>
      </c>
      <c r="J53" s="33">
        <f>I53+turn_min+dwell_min</f>
        <v/>
      </c>
      <c r="K53" s="34">
        <f>MIN(24,FLOOR(60*service_hr/J53,1))</f>
        <v/>
      </c>
      <c r="L53" s="34">
        <f>ROUND(365*mech_uptime*H53,0)</f>
        <v/>
      </c>
      <c r="M53" s="35">
        <f>mech_uptime</f>
        <v/>
      </c>
      <c r="N53" s="35">
        <f>revleg_sel</f>
        <v/>
      </c>
      <c r="O53" s="34">
        <f>ROUND(K53*L53*revleg_sel,0)</f>
        <v/>
      </c>
      <c r="P53" s="36">
        <f>load_sel</f>
        <v/>
      </c>
      <c r="Q53" s="36">
        <f>pax_cap*P53</f>
        <v/>
      </c>
      <c r="R53" s="34">
        <f>Q53*O53</f>
        <v/>
      </c>
      <c r="S53" s="37">
        <f>E53*discount</f>
        <v/>
      </c>
      <c r="T53" s="38">
        <f>S53*R53</f>
        <v/>
      </c>
      <c r="U53" s="38">
        <f>(battery/range_nm)*D53*O53*VLOOKUP(B53,country_opex,3,FALSE)</f>
        <v/>
      </c>
      <c r="V53" s="38">
        <f>VLOOKUP(B53,country_opex,2,FALSE)*crew_factor</f>
        <v/>
      </c>
      <c r="W53" s="38">
        <f>VLOOKUP(B53,country_opex,5,FALSE)</f>
        <v/>
      </c>
      <c r="X53" s="38">
        <f>maint</f>
        <v/>
      </c>
      <c r="Y53" s="38">
        <f>VLOOKUP(B53,country_opex,7,FALSE)*ins_pct</f>
        <v/>
      </c>
      <c r="Z53" s="38">
        <f>charge_berth</f>
        <v/>
      </c>
      <c r="AA53" s="38">
        <f>U53+V53+W53+X53+Y53+Z53</f>
        <v/>
      </c>
      <c r="AB53" s="38">
        <f>VLOOKUP(B53,country_opex,7,FALSE)/dep_years</f>
        <v/>
      </c>
      <c r="AC53" s="38">
        <f>T53-AA53</f>
        <v/>
      </c>
      <c r="AD53" s="35">
        <f>IF(T53=0,"",AC53/T53)</f>
        <v/>
      </c>
      <c r="AE53" s="36">
        <f>IF(AC53&lt;=0,"",VLOOKUP(B53,country_opex,7,FALSE)/AC53)</f>
        <v/>
      </c>
      <c r="AF53" s="33">
        <f>((D53*O53/diesel_nmpg)*diesel_co2pg-(battery/range_nm)*D53*O53*VLOOKUP(B53,country_opex,4,FALSE))/1000</f>
        <v/>
      </c>
      <c r="AG53" s="31" t="n">
        <v>36500</v>
      </c>
      <c r="AH53" s="32" t="n"/>
      <c r="AI53" s="32" t="inlineStr">
        <is>
          <t>med</t>
        </is>
      </c>
      <c r="AJ53" s="39" t="n">
        <v>0.25</v>
      </c>
      <c r="AK53" s="34">
        <f>IF(AG53="","",AG53*AJ53)</f>
        <v/>
      </c>
      <c r="AL53" s="34">
        <f>IF(OR(AG53="",R53=0),"",MIN(IF(AT53="",9.9E+99,AT53),FLOOR(AK53/R53,1)))</f>
        <v/>
      </c>
      <c r="AM53" s="38">
        <f>IF(AL53="","",AL53*T53)</f>
        <v/>
      </c>
      <c r="AN53" s="36">
        <f>IF(OR(AG53="",R53=0),"",MIN(IF(AT53="",9.9E+99,AT53),AK53/R53))</f>
        <v/>
      </c>
      <c r="AO53" s="38">
        <f>IF(AN53="","",AN53*T53)</f>
        <v/>
      </c>
      <c r="AP53" s="40" t="n"/>
      <c r="AQ53" s="32" t="inlineStr">
        <is>
          <t>Grounded</t>
        </is>
      </c>
      <c r="AR53" s="41" t="n"/>
      <c r="AS53" s="41" t="n"/>
      <c r="AT53" s="42" t="n"/>
      <c r="AU53" s="43">
        <f>IF(((S53*pax_cap*load_thin*ROUND(K53*L53*revleg_thin,0))-(((battery/range_nm)*D53*ROUND(K53*L53*revleg_thin,0)*VLOOKUP(B53,country_opex,3,FALSE))+V53+W53+X53+Y53+Z53))&lt;=0,"",VLOOKUP(B53,country_opex,7,FALSE)/((S53*pax_cap*load_thin*ROUND(K53*L53*revleg_thin,0))-(((battery/range_nm)*D53*ROUND(K53*L53*revleg_thin,0)*VLOOKUP(B53,country_opex,3,FALSE))+V53+W53+X53+Y53+Z53)))</f>
        <v/>
      </c>
      <c r="AV53" s="43">
        <f>IF(((S53*pax_cap*load_mid*ROUND(K53*L53*revleg_mid,0))-(((battery/range_nm)*D53*ROUND(K53*L53*revleg_mid,0)*VLOOKUP(B53,country_opex,3,FALSE))+V53+W53+X53+Y53+Z53))&lt;=0,"",VLOOKUP(B53,country_opex,7,FALSE)/((S53*pax_cap*load_mid*ROUND(K53*L53*revleg_mid,0))-(((battery/range_nm)*D53*ROUND(K53*L53*revleg_mid,0)*VLOOKUP(B53,country_opex,3,FALSE))+V53+W53+X53+Y53+Z53)))</f>
        <v/>
      </c>
      <c r="AW53" s="43">
        <f>IF(((S53*pax_cap*load_full*ROUND(K53*L53*revleg_full,0))-(((battery/range_nm)*D53*ROUND(K53*L53*revleg_full,0)*VLOOKUP(B53,country_opex,3,FALSE))+V53+W53+X53+Y53+Z53))&lt;=0,"",VLOOKUP(B53,country_opex,7,FALSE)/((S53*pax_cap*load_full*ROUND(K53*L53*revleg_full,0))-(((battery/range_nm)*D53*ROUND(K53*L53*revleg_full,0)*VLOOKUP(B53,country_opex,3,FALSE))+V53+W53+X53+Y53+Z53)))</f>
        <v/>
      </c>
      <c r="AX53" s="44" t="inlineStr">
        <is>
          <t>[LB-255 PREMIUM RE-FARE: subsidized comparable $0.24 lifted to premium on-demand floor $18.0] Essentially a single low commuter fare: 15 MZN one-way (~$0.24, Tripadvisor 2026). There is NO meaningful premium tier on this crossing (commuter ferry/dhow), so $0.24 doubles as both anchor and floor. (The 625/850 MZN 'business/tourist' tiers sometimes quoted near this route belong to the separate Maputo&lt;-&gt;Inhaca Transmaritima service, not the Maxixe crossing.)</t>
        </is>
      </c>
      <c r="AY53" s="44" t="n"/>
    </row>
    <row r="54">
      <c r="A54" s="29" t="inlineStr">
        <is>
          <t>Yango</t>
        </is>
      </c>
      <c r="B54" s="29" t="inlineStr">
        <is>
          <t>Mozambique</t>
        </is>
      </c>
      <c r="C54" s="30" t="inlineStr">
        <is>
          <t>Vilankulo (Vilanculos beachfront / boat departure) → Bazaruto Archipelago National Park (Bazaruto / Benguerra / Magaruque islands)</t>
        </is>
      </c>
      <c r="D54" s="31" t="n">
        <v>16</v>
      </c>
      <c r="E54" s="26" t="n">
        <v>100</v>
      </c>
      <c r="F54" s="32" t="inlineStr">
        <is>
          <t>T2</t>
        </is>
      </c>
      <c r="G54" s="32" t="inlineStr">
        <is>
          <t>med</t>
        </is>
      </c>
      <c r="H54" s="19" t="n">
        <v>1</v>
      </c>
      <c r="I54" s="33">
        <f>60*D54/cruise_kt</f>
        <v/>
      </c>
      <c r="J54" s="33">
        <f>I54+turn_min+dwell_min</f>
        <v/>
      </c>
      <c r="K54" s="34">
        <f>MIN(15,FLOOR(60*service_hr/J54,1))</f>
        <v/>
      </c>
      <c r="L54" s="34">
        <f>ROUND(365*mech_uptime*H54,0)</f>
        <v/>
      </c>
      <c r="M54" s="35">
        <f>mech_uptime</f>
        <v/>
      </c>
      <c r="N54" s="35">
        <f>revleg_sel</f>
        <v/>
      </c>
      <c r="O54" s="34">
        <f>ROUND(K54*L54*revleg_sel,0)</f>
        <v/>
      </c>
      <c r="P54" s="36">
        <f>load_sel</f>
        <v/>
      </c>
      <c r="Q54" s="36">
        <f>pax_cap*P54</f>
        <v/>
      </c>
      <c r="R54" s="34">
        <f>Q54*O54</f>
        <v/>
      </c>
      <c r="S54" s="37">
        <f>E54*discount</f>
        <v/>
      </c>
      <c r="T54" s="38">
        <f>S54*R54</f>
        <v/>
      </c>
      <c r="U54" s="38">
        <f>(battery/range_nm)*D54*O54*VLOOKUP(B54,country_opex,3,FALSE)</f>
        <v/>
      </c>
      <c r="V54" s="38">
        <f>VLOOKUP(B54,country_opex,2,FALSE)*crew_factor</f>
        <v/>
      </c>
      <c r="W54" s="38">
        <f>VLOOKUP(B54,country_opex,5,FALSE)</f>
        <v/>
      </c>
      <c r="X54" s="38">
        <f>maint</f>
        <v/>
      </c>
      <c r="Y54" s="38">
        <f>VLOOKUP(B54,country_opex,7,FALSE)*ins_pct</f>
        <v/>
      </c>
      <c r="Z54" s="38">
        <f>charge_berth</f>
        <v/>
      </c>
      <c r="AA54" s="38">
        <f>U54+V54+W54+X54+Y54+Z54</f>
        <v/>
      </c>
      <c r="AB54" s="38">
        <f>VLOOKUP(B54,country_opex,7,FALSE)/dep_years</f>
        <v/>
      </c>
      <c r="AC54" s="38">
        <f>T54-AA54</f>
        <v/>
      </c>
      <c r="AD54" s="35">
        <f>IF(T54=0,"",AC54/T54)</f>
        <v/>
      </c>
      <c r="AE54" s="36">
        <f>IF(AC54&lt;=0,"",VLOOKUP(B54,country_opex,7,FALSE)/AC54)</f>
        <v/>
      </c>
      <c r="AF54" s="33">
        <f>((D54*O54/diesel_nmpg)*diesel_co2pg-(battery/range_nm)*D54*O54*VLOOKUP(B54,country_opex,4,FALSE))/1000</f>
        <v/>
      </c>
      <c r="AG54" s="31" t="n">
        <v>30000</v>
      </c>
      <c r="AH54" s="32" t="n"/>
      <c r="AI54" s="32" t="n"/>
      <c r="AJ54" s="39" t="n">
        <v>0.1</v>
      </c>
      <c r="AK54" s="34">
        <f>IF(AG54="","",AG54*AJ54)</f>
        <v/>
      </c>
      <c r="AL54" s="34">
        <f>IF(OR(AG54="",R54=0),"",MIN(IF(AT54="",9.9E+99,AT54),FLOOR(AK54/R54,1)))</f>
        <v/>
      </c>
      <c r="AM54" s="38">
        <f>IF(AL54="","",AL54*T54)</f>
        <v/>
      </c>
      <c r="AN54" s="36">
        <f>IF(OR(AG54="",R54=0),"",MIN(IF(AT54="",9.9E+99,AT54),AK54/R54))</f>
        <v/>
      </c>
      <c r="AO54" s="38">
        <f>IF(AN54="","",AN54*T54)</f>
        <v/>
      </c>
      <c r="AP54" s="40" t="n"/>
      <c r="AQ54" s="32" t="inlineStr">
        <is>
          <t>Grounded</t>
        </is>
      </c>
      <c r="AR54" s="41" t="n"/>
      <c r="AS54" s="41" t="n"/>
      <c r="AT54" s="42" t="n"/>
      <c r="AU54" s="43">
        <f>IF(((S54*pax_cap*load_thin*ROUND(K54*L54*revleg_thin,0))-(((battery/range_nm)*D54*ROUND(K54*L54*revleg_thin,0)*VLOOKUP(B54,country_opex,3,FALSE))+V54+W54+X54+Y54+Z54))&lt;=0,"",VLOOKUP(B54,country_opex,7,FALSE)/((S54*pax_cap*load_thin*ROUND(K54*L54*revleg_thin,0))-(((battery/range_nm)*D54*ROUND(K54*L54*revleg_thin,0)*VLOOKUP(B54,country_opex,3,FALSE))+V54+W54+X54+Y54+Z54)))</f>
        <v/>
      </c>
      <c r="AV54" s="43">
        <f>IF(((S54*pax_cap*load_mid*ROUND(K54*L54*revleg_mid,0))-(((battery/range_nm)*D54*ROUND(K54*L54*revleg_mid,0)*VLOOKUP(B54,country_opex,3,FALSE))+V54+W54+X54+Y54+Z54))&lt;=0,"",VLOOKUP(B54,country_opex,7,FALSE)/((S54*pax_cap*load_mid*ROUND(K54*L54*revleg_mid,0))-(((battery/range_nm)*D54*ROUND(K54*L54*revleg_mid,0)*VLOOKUP(B54,country_opex,3,FALSE))+V54+W54+X54+Y54+Z54)))</f>
        <v/>
      </c>
      <c r="AW54" s="43">
        <f>IF(((S54*pax_cap*load_full*ROUND(K54*L54*revleg_full,0))-(((battery/range_nm)*D54*ROUND(K54*L54*revleg_full,0)*VLOOKUP(B54,country_opex,3,FALSE))+V54+W54+X54+Y54+Z54))&lt;=0,"",VLOOKUP(B54,country_opex,7,FALSE)/((S54*pax_cap*load_full*ROUND(K54*L54*revleg_full,0))-(((battery/range_nm)*D54*ROUND(K54*L54*revleg_full,0)*VLOOKUP(B54,country_opex,3,FALSE))+V54+W54+X54+Y54+Z54)))</f>
        <v/>
      </c>
      <c r="AX54" s="44" t="inlineStr">
        <is>
          <t>PREMIUM tier: full-day dhow/boat safari Vilankulo-&gt;Bazaruto ~$100-125/person (Sailaway Dhow Safaris $100; Vilanculos Beach Lodge $125), excl. park entry fee ($10/person + $5/boat). Charter-divided per-seat. Tripadvisor day trip ~$80/person.</t>
        </is>
      </c>
      <c r="AY54" s="44" t="n"/>
    </row>
    <row r="55">
      <c r="A55" s="29" t="inlineStr">
        <is>
          <t>Yango</t>
        </is>
      </c>
      <c r="B55" s="29" t="inlineStr">
        <is>
          <t>Mozambique</t>
        </is>
      </c>
      <c r="C55" s="30" t="inlineStr">
        <is>
          <t>Maputo (Porto de Maputo / Catembe pier) → Ilha dos Portugueses (Portuguese Island) / Santa Maria</t>
        </is>
      </c>
      <c r="D55" s="31" t="n">
        <v>20</v>
      </c>
      <c r="E55" s="26" t="n">
        <v>110</v>
      </c>
      <c r="F55" s="32" t="inlineStr">
        <is>
          <t>T2</t>
        </is>
      </c>
      <c r="G55" s="32" t="inlineStr">
        <is>
          <t>med</t>
        </is>
      </c>
      <c r="H55" s="19" t="n">
        <v>1</v>
      </c>
      <c r="I55" s="33">
        <f>60*D55/cruise_kt</f>
        <v/>
      </c>
      <c r="J55" s="33">
        <f>I55+turn_min+dwell_min</f>
        <v/>
      </c>
      <c r="K55" s="34">
        <f>MIN(15,FLOOR(60*service_hr/J55,1))</f>
        <v/>
      </c>
      <c r="L55" s="34">
        <f>ROUND(365*mech_uptime*H55,0)</f>
        <v/>
      </c>
      <c r="M55" s="35">
        <f>mech_uptime</f>
        <v/>
      </c>
      <c r="N55" s="35">
        <f>revleg_sel</f>
        <v/>
      </c>
      <c r="O55" s="34">
        <f>ROUND(K55*L55*revleg_sel,0)</f>
        <v/>
      </c>
      <c r="P55" s="36">
        <f>load_sel</f>
        <v/>
      </c>
      <c r="Q55" s="36">
        <f>pax_cap*P55</f>
        <v/>
      </c>
      <c r="R55" s="34">
        <f>Q55*O55</f>
        <v/>
      </c>
      <c r="S55" s="37">
        <f>E55*discount</f>
        <v/>
      </c>
      <c r="T55" s="38">
        <f>S55*R55</f>
        <v/>
      </c>
      <c r="U55" s="38">
        <f>(battery/range_nm)*D55*O55*VLOOKUP(B55,country_opex,3,FALSE)</f>
        <v/>
      </c>
      <c r="V55" s="38">
        <f>VLOOKUP(B55,country_opex,2,FALSE)*crew_factor</f>
        <v/>
      </c>
      <c r="W55" s="38">
        <f>VLOOKUP(B55,country_opex,5,FALSE)</f>
        <v/>
      </c>
      <c r="X55" s="38">
        <f>maint</f>
        <v/>
      </c>
      <c r="Y55" s="38">
        <f>VLOOKUP(B55,country_opex,7,FALSE)*ins_pct</f>
        <v/>
      </c>
      <c r="Z55" s="38">
        <f>charge_berth</f>
        <v/>
      </c>
      <c r="AA55" s="38">
        <f>U55+V55+W55+X55+Y55+Z55</f>
        <v/>
      </c>
      <c r="AB55" s="38">
        <f>VLOOKUP(B55,country_opex,7,FALSE)/dep_years</f>
        <v/>
      </c>
      <c r="AC55" s="38">
        <f>T55-AA55</f>
        <v/>
      </c>
      <c r="AD55" s="35">
        <f>IF(T55=0,"",AC55/T55)</f>
        <v/>
      </c>
      <c r="AE55" s="36">
        <f>IF(AC55&lt;=0,"",VLOOKUP(B55,country_opex,7,FALSE)/AC55)</f>
        <v/>
      </c>
      <c r="AF55" s="33">
        <f>((D55*O55/diesel_nmpg)*diesel_co2pg-(battery/range_nm)*D55*O55*VLOOKUP(B55,country_opex,4,FALSE))/1000</f>
        <v/>
      </c>
      <c r="AG55" s="31" t="n"/>
      <c r="AH55" s="32" t="n"/>
      <c r="AI55" s="32" t="n"/>
      <c r="AJ55" s="39" t="n">
        <v>0.1</v>
      </c>
      <c r="AK55" s="34">
        <f>IF(AG55="","",AG55*AJ55)</f>
        <v/>
      </c>
      <c r="AL55" s="34">
        <f>IF(OR(AG55="",R55=0),"",MIN(IF(AT55="",9.9E+99,AT55),FLOOR(AK55/R55,1)))</f>
        <v/>
      </c>
      <c r="AM55" s="38">
        <f>IF(AL55="","",AL55*T55)</f>
        <v/>
      </c>
      <c r="AN55" s="36">
        <f>IF(OR(AG55="",R55=0),"",MIN(IF(AT55="",9.9E+99,AT55),AK55/R55))</f>
        <v/>
      </c>
      <c r="AO55" s="38">
        <f>IF(AN55="","",AN55*T55)</f>
        <v/>
      </c>
      <c r="AP55" s="40" t="n"/>
      <c r="AQ55" s="32" t="inlineStr">
        <is>
          <t>Estimated</t>
        </is>
      </c>
      <c r="AR55" s="41" t="n"/>
      <c r="AS55" s="41" t="n"/>
      <c r="AT55" s="42" t="n"/>
      <c r="AU55" s="43">
        <f>IF(((S55*pax_cap*load_thin*ROUND(K55*L55*revleg_thin,0))-(((battery/range_nm)*D55*ROUND(K55*L55*revleg_thin,0)*VLOOKUP(B55,country_opex,3,FALSE))+V55+W55+X55+Y55+Z55))&lt;=0,"",VLOOKUP(B55,country_opex,7,FALSE)/((S55*pax_cap*load_thin*ROUND(K55*L55*revleg_thin,0))-(((battery/range_nm)*D55*ROUND(K55*L55*revleg_thin,0)*VLOOKUP(B55,country_opex,3,FALSE))+V55+W55+X55+Y55+Z55)))</f>
        <v/>
      </c>
      <c r="AV55" s="43">
        <f>IF(((S55*pax_cap*load_mid*ROUND(K55*L55*revleg_mid,0))-(((battery/range_nm)*D55*ROUND(K55*L55*revleg_mid,0)*VLOOKUP(B55,country_opex,3,FALSE))+V55+W55+X55+Y55+Z55))&lt;=0,"",VLOOKUP(B55,country_opex,7,FALSE)/((S55*pax_cap*load_mid*ROUND(K55*L55*revleg_mid,0))-(((battery/range_nm)*D55*ROUND(K55*L55*revleg_mid,0)*VLOOKUP(B55,country_opex,3,FALSE))+V55+W55+X55+Y55+Z55)))</f>
        <v/>
      </c>
      <c r="AW55" s="43">
        <f>IF(((S55*pax_cap*load_full*ROUND(K55*L55*revleg_full,0))-(((battery/range_nm)*D55*ROUND(K55*L55*revleg_full,0)*VLOOKUP(B55,country_opex,3,FALSE))+V55+W55+X55+Y55+Z55))&lt;=0,"",VLOOKUP(B55,country_opex,7,FALSE)/((S55*pax_cap*load_full*ROUND(K55*L55*revleg_full,0))-(((battery/range_nm)*D55*ROUND(K55*L55*revleg_full,0)*VLOOKUP(B55,country_opex,3,FALSE))+V55+W55+X55+Y55+Z55)))</f>
        <v/>
      </c>
      <c r="AX55" s="44" t="inlineStr">
        <is>
          <t>PREMIUM tier: full-day boat excursion Maputo-&gt;Santa Maria/Portuguese Island ~$110/person (GetYourGuide); private/luxury full-day tours up to $250/person. Charter-divided day-trip per-seat. (Scheduled tourist ferry tier ~1,360 MZN (~$21.4) per leg also reported, with executive 1,000 / economy 560 MZN - flagged as alternative scheduled tier.)</t>
        </is>
      </c>
      <c r="AY55" s="44" t="n"/>
    </row>
    <row r="56">
      <c r="A56" s="29" t="inlineStr">
        <is>
          <t>Yango</t>
        </is>
      </c>
      <c r="B56" s="29" t="inlineStr">
        <is>
          <t>Mozambique</t>
        </is>
      </c>
      <c r="C56" s="30" t="inlineStr">
        <is>
          <t>Maputo (Porto de Maputo / Catembe pier) → Inhaca Island (KaNyaka)</t>
        </is>
      </c>
      <c r="D56" s="31" t="n">
        <v>22</v>
      </c>
      <c r="E56" s="26" t="n">
        <v>36</v>
      </c>
      <c r="F56" s="32" t="inlineStr">
        <is>
          <t>T2</t>
        </is>
      </c>
      <c r="G56" s="32" t="inlineStr">
        <is>
          <t>med</t>
        </is>
      </c>
      <c r="H56" s="19" t="n">
        <v>1</v>
      </c>
      <c r="I56" s="33">
        <f>60*D56/cruise_kt</f>
        <v/>
      </c>
      <c r="J56" s="33">
        <f>I56+turn_min+dwell_min</f>
        <v/>
      </c>
      <c r="K56" s="34">
        <f>MIN(15,FLOOR(60*service_hr/J56,1))</f>
        <v/>
      </c>
      <c r="L56" s="34">
        <f>ROUND(365*mech_uptime*H56,0)</f>
        <v/>
      </c>
      <c r="M56" s="35">
        <f>mech_uptime</f>
        <v/>
      </c>
      <c r="N56" s="35">
        <f>revleg_sel</f>
        <v/>
      </c>
      <c r="O56" s="34">
        <f>ROUND(K56*L56*revleg_sel,0)</f>
        <v/>
      </c>
      <c r="P56" s="36">
        <f>load_sel</f>
        <v/>
      </c>
      <c r="Q56" s="36">
        <f>pax_cap*P56</f>
        <v/>
      </c>
      <c r="R56" s="34">
        <f>Q56*O56</f>
        <v/>
      </c>
      <c r="S56" s="37">
        <f>E56*discount</f>
        <v/>
      </c>
      <c r="T56" s="38">
        <f>S56*R56</f>
        <v/>
      </c>
      <c r="U56" s="38">
        <f>(battery/range_nm)*D56*O56*VLOOKUP(B56,country_opex,3,FALSE)</f>
        <v/>
      </c>
      <c r="V56" s="38">
        <f>VLOOKUP(B56,country_opex,2,FALSE)*crew_factor</f>
        <v/>
      </c>
      <c r="W56" s="38">
        <f>VLOOKUP(B56,country_opex,5,FALSE)</f>
        <v/>
      </c>
      <c r="X56" s="38">
        <f>maint</f>
        <v/>
      </c>
      <c r="Y56" s="38">
        <f>VLOOKUP(B56,country_opex,7,FALSE)*ins_pct</f>
        <v/>
      </c>
      <c r="Z56" s="38">
        <f>charge_berth</f>
        <v/>
      </c>
      <c r="AA56" s="38">
        <f>U56+V56+W56+X56+Y56+Z56</f>
        <v/>
      </c>
      <c r="AB56" s="38">
        <f>VLOOKUP(B56,country_opex,7,FALSE)/dep_years</f>
        <v/>
      </c>
      <c r="AC56" s="38">
        <f>T56-AA56</f>
        <v/>
      </c>
      <c r="AD56" s="35">
        <f>IF(T56=0,"",AC56/T56)</f>
        <v/>
      </c>
      <c r="AE56" s="36">
        <f>IF(AC56&lt;=0,"",VLOOKUP(B56,country_opex,7,FALSE)/AC56)</f>
        <v/>
      </c>
      <c r="AF56" s="33">
        <f>((D56*O56/diesel_nmpg)*diesel_co2pg-(battery/range_nm)*D56*O56*VLOOKUP(B56,country_opex,4,FALSE))/1000</f>
        <v/>
      </c>
      <c r="AG56" s="31" t="n"/>
      <c r="AH56" s="32" t="n"/>
      <c r="AI56" s="32" t="n"/>
      <c r="AJ56" s="39" t="n">
        <v>0.1</v>
      </c>
      <c r="AK56" s="34">
        <f>IF(AG56="","",AG56*AJ56)</f>
        <v/>
      </c>
      <c r="AL56" s="34">
        <f>IF(OR(AG56="",R56=0),"",MIN(IF(AT56="",9.9E+99,AT56),FLOOR(AK56/R56,1)))</f>
        <v/>
      </c>
      <c r="AM56" s="38">
        <f>IF(AL56="","",AL56*T56)</f>
        <v/>
      </c>
      <c r="AN56" s="36">
        <f>IF(OR(AG56="",R56=0),"",MIN(IF(AT56="",9.9E+99,AT56),AK56/R56))</f>
        <v/>
      </c>
      <c r="AO56" s="38">
        <f>IF(AN56="","",AN56*T56)</f>
        <v/>
      </c>
      <c r="AP56" s="40" t="n"/>
      <c r="AQ56" s="32" t="inlineStr">
        <is>
          <t>Estimated</t>
        </is>
      </c>
      <c r="AR56" s="41" t="n"/>
      <c r="AS56" s="41" t="n"/>
      <c r="AT56" s="42" t="n"/>
      <c r="AU56" s="43">
        <f>IF(((S56*pax_cap*load_thin*ROUND(K56*L56*revleg_thin,0))-(((battery/range_nm)*D56*ROUND(K56*L56*revleg_thin,0)*VLOOKUP(B56,country_opex,3,FALSE))+V56+W56+X56+Y56+Z56))&lt;=0,"",VLOOKUP(B56,country_opex,7,FALSE)/((S56*pax_cap*load_thin*ROUND(K56*L56*revleg_thin,0))-(((battery/range_nm)*D56*ROUND(K56*L56*revleg_thin,0)*VLOOKUP(B56,country_opex,3,FALSE))+V56+W56+X56+Y56+Z56)))</f>
        <v/>
      </c>
      <c r="AV56" s="43">
        <f>IF(((S56*pax_cap*load_mid*ROUND(K56*L56*revleg_mid,0))-(((battery/range_nm)*D56*ROUND(K56*L56*revleg_mid,0)*VLOOKUP(B56,country_opex,3,FALSE))+V56+W56+X56+Y56+Z56))&lt;=0,"",VLOOKUP(B56,country_opex,7,FALSE)/((S56*pax_cap*load_mid*ROUND(K56*L56*revleg_mid,0))-(((battery/range_nm)*D56*ROUND(K56*L56*revleg_mid,0)*VLOOKUP(B56,country_opex,3,FALSE))+V56+W56+X56+Y56+Z56)))</f>
        <v/>
      </c>
      <c r="AW56" s="43">
        <f>IF(((S56*pax_cap*load_full*ROUND(K56*L56*revleg_full,0))-(((battery/range_nm)*D56*ROUND(K56*L56*revleg_full,0)*VLOOKUP(B56,country_opex,3,FALSE))+V56+W56+X56+Y56+Z56))&lt;=0,"",VLOOKUP(B56,country_opex,7,FALSE)/((S56*pax_cap*load_full*ROUND(K56*L56*revleg_full,0))-(((battery/range_nm)*D56*ROUND(K56*L56*revleg_full,0)*VLOOKUP(B56,country_opex,3,FALSE))+V56+W56+X56+Y56+Z56)))</f>
        <v/>
      </c>
      <c r="AX56" s="44" t="inlineStr">
        <is>
          <t>PREMIUM tier: private scheduled boat transfer Maputo-&gt;Inhaca ~$36 one-way ($72 round-trip, Gozo Azul). Scheduled public-ferry tourist tier 850 MZN (~$13.37) one-way; foreigner KaNyaka 1st-class 680 MZN (~$10.69). The private fast transfer is the modeled premium tier.</t>
        </is>
      </c>
      <c r="AY56" s="44" t="n"/>
    </row>
    <row r="57">
      <c r="A57" s="29" t="inlineStr">
        <is>
          <t>Yango</t>
        </is>
      </c>
      <c r="B57" s="29" t="inlineStr">
        <is>
          <t>Mozambique</t>
        </is>
      </c>
      <c r="C57" s="30" t="inlineStr">
        <is>
          <t>Beira (Porto da Beira) → Buzi (Buzi town, Buzi/Pungwe estuary)</t>
        </is>
      </c>
      <c r="D57" s="31" t="n">
        <v>25</v>
      </c>
      <c r="E57" s="26" t="n"/>
      <c r="F57" s="32" t="n"/>
      <c r="G57" s="32" t="n"/>
      <c r="H57" s="19" t="n">
        <v>1</v>
      </c>
      <c r="I57" s="33">
        <f>60*D57/cruise_kt</f>
        <v/>
      </c>
      <c r="J57" s="33">
        <f>I57+turn_min+dwell_min</f>
        <v/>
      </c>
      <c r="K57" s="34">
        <f>MIN(24,FLOOR(60*service_hr/J57,1))</f>
        <v/>
      </c>
      <c r="L57" s="34">
        <f>ROUND(365*mech_uptime*H57,0)</f>
        <v/>
      </c>
      <c r="M57" s="35">
        <f>mech_uptime</f>
        <v/>
      </c>
      <c r="N57" s="35">
        <f>revleg_sel</f>
        <v/>
      </c>
      <c r="O57" s="34">
        <f>ROUND(K57*L57*revleg_sel,0)</f>
        <v/>
      </c>
      <c r="P57" s="36">
        <f>load_sel</f>
        <v/>
      </c>
      <c r="Q57" s="36">
        <f>pax_cap*P57</f>
        <v/>
      </c>
      <c r="R57" s="34">
        <f>Q57*O57</f>
        <v/>
      </c>
      <c r="S57" s="37">
        <f>E57*discount</f>
        <v/>
      </c>
      <c r="T57" s="38">
        <f>S57*R57</f>
        <v/>
      </c>
      <c r="U57" s="38">
        <f>(battery/range_nm)*D57*O57*VLOOKUP(B57,country_opex,3,FALSE)</f>
        <v/>
      </c>
      <c r="V57" s="38">
        <f>VLOOKUP(B57,country_opex,2,FALSE)*crew_factor</f>
        <v/>
      </c>
      <c r="W57" s="38">
        <f>VLOOKUP(B57,country_opex,5,FALSE)</f>
        <v/>
      </c>
      <c r="X57" s="38">
        <f>maint</f>
        <v/>
      </c>
      <c r="Y57" s="38">
        <f>VLOOKUP(B57,country_opex,7,FALSE)*ins_pct</f>
        <v/>
      </c>
      <c r="Z57" s="38">
        <f>charge_berth</f>
        <v/>
      </c>
      <c r="AA57" s="38">
        <f>U57+V57+W57+X57+Y57+Z57</f>
        <v/>
      </c>
      <c r="AB57" s="38">
        <f>VLOOKUP(B57,country_opex,7,FALSE)/dep_years</f>
        <v/>
      </c>
      <c r="AC57" s="38">
        <f>T57-AA57</f>
        <v/>
      </c>
      <c r="AD57" s="35">
        <f>IF(T57=0,"",AC57/T57)</f>
        <v/>
      </c>
      <c r="AE57" s="36">
        <f>IF(AC57&lt;=0,"",VLOOKUP(B57,country_opex,7,FALSE)/AC57)</f>
        <v/>
      </c>
      <c r="AF57" s="33">
        <f>((D57*O57/diesel_nmpg)*diesel_co2pg-(battery/range_nm)*D57*O57*VLOOKUP(B57,country_opex,4,FALSE))/1000</f>
        <v/>
      </c>
      <c r="AG57" s="31" t="n"/>
      <c r="AH57" s="32" t="n"/>
      <c r="AI57" s="32" t="n"/>
      <c r="AJ57" s="39" t="n">
        <v>0.1</v>
      </c>
      <c r="AK57" s="34">
        <f>IF(AG57="","",AG57*AJ57)</f>
        <v/>
      </c>
      <c r="AL57" s="34">
        <f>IF(OR(AG57="",R57=0),"",MIN(IF(AT57="",9.9E+99,AT57),FLOOR(AK57/R57,1)))</f>
        <v/>
      </c>
      <c r="AM57" s="38">
        <f>IF(AL57="","",AL57*T57)</f>
        <v/>
      </c>
      <c r="AN57" s="36">
        <f>IF(OR(AG57="",R57=0),"",MIN(IF(AT57="",9.9E+99,AT57),AK57/R57))</f>
        <v/>
      </c>
      <c r="AO57" s="38">
        <f>IF(AN57="","",AN57*T57)</f>
        <v/>
      </c>
      <c r="AP57" s="40" t="n"/>
      <c r="AQ57" s="32" t="inlineStr">
        <is>
          <t>Estimated</t>
        </is>
      </c>
      <c r="AR57" s="41" t="n"/>
      <c r="AS57" s="41" t="n"/>
      <c r="AT57" s="42" t="n"/>
      <c r="AU57" s="43">
        <f>IF(((S57*pax_cap*load_thin*ROUND(K57*L57*revleg_thin,0))-(((battery/range_nm)*D57*ROUND(K57*L57*revleg_thin,0)*VLOOKUP(B57,country_opex,3,FALSE))+V57+W57+X57+Y57+Z57))&lt;=0,"",VLOOKUP(B57,country_opex,7,FALSE)/((S57*pax_cap*load_thin*ROUND(K57*L57*revleg_thin,0))-(((battery/range_nm)*D57*ROUND(K57*L57*revleg_thin,0)*VLOOKUP(B57,country_opex,3,FALSE))+V57+W57+X57+Y57+Z57)))</f>
        <v/>
      </c>
      <c r="AV57" s="43">
        <f>IF(((S57*pax_cap*load_mid*ROUND(K57*L57*revleg_mid,0))-(((battery/range_nm)*D57*ROUND(K57*L57*revleg_mid,0)*VLOOKUP(B57,country_opex,3,FALSE))+V57+W57+X57+Y57+Z57))&lt;=0,"",VLOOKUP(B57,country_opex,7,FALSE)/((S57*pax_cap*load_mid*ROUND(K57*L57*revleg_mid,0))-(((battery/range_nm)*D57*ROUND(K57*L57*revleg_mid,0)*VLOOKUP(B57,country_opex,3,FALSE))+V57+W57+X57+Y57+Z57)))</f>
        <v/>
      </c>
      <c r="AW57" s="43">
        <f>IF(((S57*pax_cap*load_full*ROUND(K57*L57*revleg_full,0))-(((battery/range_nm)*D57*ROUND(K57*L57*revleg_full,0)*VLOOKUP(B57,country_opex,3,FALSE))+V57+W57+X57+Y57+Z57))&lt;=0,"",VLOOKUP(B57,country_opex,7,FALSE)/((S57*pax_cap*load_full*ROUND(K57*L57*revleg_full,0))-(((battery/range_nm)*D57*ROUND(K57*L57*revleg_full,0)*VLOOKUP(B57,country_opex,3,FALSE))+V57+W57+X57+Y57+Z57)))</f>
        <v/>
      </c>
      <c r="AX57" s="44" t="n"/>
      <c r="AY57" s="44" t="n"/>
    </row>
    <row r="58">
      <c r="A58" s="29" t="inlineStr">
        <is>
          <t>Yango</t>
        </is>
      </c>
      <c r="B58" s="29" t="inlineStr">
        <is>
          <t>Mozambique</t>
        </is>
      </c>
      <c r="C58" s="30" t="inlineStr">
        <is>
          <t>Pemba (Pemba Bay / Paquitequete) → Ibo Island (Quirimbas Archipelago)</t>
        </is>
      </c>
      <c r="D58" s="31" t="n">
        <v>27</v>
      </c>
      <c r="E58" s="26" t="n"/>
      <c r="F58" s="32" t="n"/>
      <c r="G58" s="32" t="n"/>
      <c r="H58" s="19" t="n">
        <v>1</v>
      </c>
      <c r="I58" s="33">
        <f>60*D58/cruise_kt</f>
        <v/>
      </c>
      <c r="J58" s="33">
        <f>I58+turn_min+dwell_min</f>
        <v/>
      </c>
      <c r="K58" s="34">
        <f>MIN(15,FLOOR(60*service_hr/J58,1))</f>
        <v/>
      </c>
      <c r="L58" s="34">
        <f>ROUND(365*mech_uptime*H58,0)</f>
        <v/>
      </c>
      <c r="M58" s="35">
        <f>mech_uptime</f>
        <v/>
      </c>
      <c r="N58" s="35">
        <f>revleg_sel</f>
        <v/>
      </c>
      <c r="O58" s="34">
        <f>ROUND(K58*L58*revleg_sel,0)</f>
        <v/>
      </c>
      <c r="P58" s="36">
        <f>load_sel</f>
        <v/>
      </c>
      <c r="Q58" s="36">
        <f>pax_cap*P58</f>
        <v/>
      </c>
      <c r="R58" s="34">
        <f>Q58*O58</f>
        <v/>
      </c>
      <c r="S58" s="37">
        <f>E58*discount</f>
        <v/>
      </c>
      <c r="T58" s="38">
        <f>S58*R58</f>
        <v/>
      </c>
      <c r="U58" s="38">
        <f>(battery/range_nm)*D58*O58*VLOOKUP(B58,country_opex,3,FALSE)</f>
        <v/>
      </c>
      <c r="V58" s="38">
        <f>VLOOKUP(B58,country_opex,2,FALSE)*crew_factor</f>
        <v/>
      </c>
      <c r="W58" s="38">
        <f>VLOOKUP(B58,country_opex,5,FALSE)</f>
        <v/>
      </c>
      <c r="X58" s="38">
        <f>maint</f>
        <v/>
      </c>
      <c r="Y58" s="38">
        <f>VLOOKUP(B58,country_opex,7,FALSE)*ins_pct</f>
        <v/>
      </c>
      <c r="Z58" s="38">
        <f>charge_berth</f>
        <v/>
      </c>
      <c r="AA58" s="38">
        <f>U58+V58+W58+X58+Y58+Z58</f>
        <v/>
      </c>
      <c r="AB58" s="38">
        <f>VLOOKUP(B58,country_opex,7,FALSE)/dep_years</f>
        <v/>
      </c>
      <c r="AC58" s="38">
        <f>T58-AA58</f>
        <v/>
      </c>
      <c r="AD58" s="35">
        <f>IF(T58=0,"",AC58/T58)</f>
        <v/>
      </c>
      <c r="AE58" s="36">
        <f>IF(AC58&lt;=0,"",VLOOKUP(B58,country_opex,7,FALSE)/AC58)</f>
        <v/>
      </c>
      <c r="AF58" s="33">
        <f>((D58*O58/diesel_nmpg)*diesel_co2pg-(battery/range_nm)*D58*O58*VLOOKUP(B58,country_opex,4,FALSE))/1000</f>
        <v/>
      </c>
      <c r="AG58" s="31" t="n"/>
      <c r="AH58" s="32" t="n"/>
      <c r="AI58" s="32" t="n"/>
      <c r="AJ58" s="39" t="n">
        <v>0.1</v>
      </c>
      <c r="AK58" s="34">
        <f>IF(AG58="","",AG58*AJ58)</f>
        <v/>
      </c>
      <c r="AL58" s="34">
        <f>IF(OR(AG58="",R58=0),"",MIN(IF(AT58="",9.9E+99,AT58),FLOOR(AK58/R58,1)))</f>
        <v/>
      </c>
      <c r="AM58" s="38">
        <f>IF(AL58="","",AL58*T58)</f>
        <v/>
      </c>
      <c r="AN58" s="36">
        <f>IF(OR(AG58="",R58=0),"",MIN(IF(AT58="",9.9E+99,AT58),AK58/R58))</f>
        <v/>
      </c>
      <c r="AO58" s="38">
        <f>IF(AN58="","",AN58*T58)</f>
        <v/>
      </c>
      <c r="AP58" s="40" t="n"/>
      <c r="AQ58" s="32" t="inlineStr">
        <is>
          <t>Estimated</t>
        </is>
      </c>
      <c r="AR58" s="41" t="n"/>
      <c r="AS58" s="41" t="n"/>
      <c r="AT58" s="42" t="n"/>
      <c r="AU58" s="43">
        <f>IF(((S58*pax_cap*load_thin*ROUND(K58*L58*revleg_thin,0))-(((battery/range_nm)*D58*ROUND(K58*L58*revleg_thin,0)*VLOOKUP(B58,country_opex,3,FALSE))+V58+W58+X58+Y58+Z58))&lt;=0,"",VLOOKUP(B58,country_opex,7,FALSE)/((S58*pax_cap*load_thin*ROUND(K58*L58*revleg_thin,0))-(((battery/range_nm)*D58*ROUND(K58*L58*revleg_thin,0)*VLOOKUP(B58,country_opex,3,FALSE))+V58+W58+X58+Y58+Z58)))</f>
        <v/>
      </c>
      <c r="AV58" s="43">
        <f>IF(((S58*pax_cap*load_mid*ROUND(K58*L58*revleg_mid,0))-(((battery/range_nm)*D58*ROUND(K58*L58*revleg_mid,0)*VLOOKUP(B58,country_opex,3,FALSE))+V58+W58+X58+Y58+Z58))&lt;=0,"",VLOOKUP(B58,country_opex,7,FALSE)/((S58*pax_cap*load_mid*ROUND(K58*L58*revleg_mid,0))-(((battery/range_nm)*D58*ROUND(K58*L58*revleg_mid,0)*VLOOKUP(B58,country_opex,3,FALSE))+V58+W58+X58+Y58+Z58)))</f>
        <v/>
      </c>
      <c r="AW58" s="43">
        <f>IF(((S58*pax_cap*load_full*ROUND(K58*L58*revleg_full,0))-(((battery/range_nm)*D58*ROUND(K58*L58*revleg_full,0)*VLOOKUP(B58,country_opex,3,FALSE))+V58+W58+X58+Y58+Z58))&lt;=0,"",VLOOKUP(B58,country_opex,7,FALSE)/((S58*pax_cap*load_full*ROUND(K58*L58*revleg_full,0))-(((battery/range_nm)*D58*ROUND(K58*L58*revleg_full,0)*VLOOKUP(B58,country_opex,3,FALSE))+V58+W58+X58+Y58+Z58)))</f>
        <v/>
      </c>
      <c r="AX58" s="44" t="n"/>
      <c r="AY58" s="44" t="n"/>
    </row>
    <row r="59">
      <c r="A59" s="29" t="inlineStr">
        <is>
          <t>Yango</t>
        </is>
      </c>
      <c r="B59" s="29" t="inlineStr">
        <is>
          <t>Nigeria</t>
        </is>
      </c>
      <c r="C59" s="30" t="inlineStr">
        <is>
          <t>CMS (Lagos Island) → Victoria Island</t>
        </is>
      </c>
      <c r="D59" s="31" t="n">
        <v>1.5</v>
      </c>
      <c r="E59" s="26" t="n">
        <v>6.6</v>
      </c>
      <c r="F59" s="32" t="inlineStr">
        <is>
          <t>T2</t>
        </is>
      </c>
      <c r="G59" s="32" t="inlineStr">
        <is>
          <t>med</t>
        </is>
      </c>
      <c r="H59" s="19" t="n">
        <v>1</v>
      </c>
      <c r="I59" s="33">
        <f>60*D59/cruise_kt</f>
        <v/>
      </c>
      <c r="J59" s="33">
        <f>I59+turn_min+dwell_min</f>
        <v/>
      </c>
      <c r="K59" s="34">
        <f>MIN(24,FLOOR(60*service_hr/J59,1))</f>
        <v/>
      </c>
      <c r="L59" s="34">
        <f>ROUND(365*mech_uptime*H59,0)</f>
        <v/>
      </c>
      <c r="M59" s="35">
        <f>mech_uptime</f>
        <v/>
      </c>
      <c r="N59" s="35">
        <f>revleg_sel</f>
        <v/>
      </c>
      <c r="O59" s="34">
        <f>ROUND(K59*L59*revleg_sel,0)</f>
        <v/>
      </c>
      <c r="P59" s="36">
        <f>load_sel</f>
        <v/>
      </c>
      <c r="Q59" s="36">
        <f>pax_cap*P59</f>
        <v/>
      </c>
      <c r="R59" s="34">
        <f>Q59*O59</f>
        <v/>
      </c>
      <c r="S59" s="37">
        <f>E59*discount</f>
        <v/>
      </c>
      <c r="T59" s="38">
        <f>S59*R59</f>
        <v/>
      </c>
      <c r="U59" s="38">
        <f>(battery/range_nm)*D59*O59*VLOOKUP(B59,country_opex,3,FALSE)</f>
        <v/>
      </c>
      <c r="V59" s="38">
        <f>VLOOKUP(B59,country_opex,2,FALSE)*crew_factor</f>
        <v/>
      </c>
      <c r="W59" s="38">
        <f>VLOOKUP(B59,country_opex,5,FALSE)</f>
        <v/>
      </c>
      <c r="X59" s="38">
        <f>maint</f>
        <v/>
      </c>
      <c r="Y59" s="38">
        <f>VLOOKUP(B59,country_opex,7,FALSE)*ins_pct</f>
        <v/>
      </c>
      <c r="Z59" s="38">
        <f>charge_berth</f>
        <v/>
      </c>
      <c r="AA59" s="38">
        <f>U59+V59+W59+X59+Y59+Z59</f>
        <v/>
      </c>
      <c r="AB59" s="38">
        <f>VLOOKUP(B59,country_opex,7,FALSE)/dep_years</f>
        <v/>
      </c>
      <c r="AC59" s="38">
        <f>T59-AA59</f>
        <v/>
      </c>
      <c r="AD59" s="35">
        <f>IF(T59=0,"",AC59/T59)</f>
        <v/>
      </c>
      <c r="AE59" s="36">
        <f>IF(AC59&lt;=0,"",VLOOKUP(B59,country_opex,7,FALSE)/AC59)</f>
        <v/>
      </c>
      <c r="AF59" s="33">
        <f>((D59*O59/diesel_nmpg)*diesel_co2pg-(battery/range_nm)*D59*O59*VLOOKUP(B59,country_opex,4,FALSE))/1000</f>
        <v/>
      </c>
      <c r="AG59" s="31" t="n"/>
      <c r="AH59" s="32" t="n"/>
      <c r="AI59" s="32" t="n"/>
      <c r="AJ59" s="39" t="n">
        <v>0.1</v>
      </c>
      <c r="AK59" s="34">
        <f>IF(AG59="","",AG59*AJ59)</f>
        <v/>
      </c>
      <c r="AL59" s="34">
        <f>IF(OR(AG59="",R59=0),"",MIN(IF(AT59="",9.9E+99,AT59),FLOOR(AK59/R59,1)))</f>
        <v/>
      </c>
      <c r="AM59" s="38">
        <f>IF(AL59="","",AL59*T59)</f>
        <v/>
      </c>
      <c r="AN59" s="36">
        <f>IF(OR(AG59="",R59=0),"",MIN(IF(AT59="",9.9E+99,AT59),AK59/R59))</f>
        <v/>
      </c>
      <c r="AO59" s="38">
        <f>IF(AN59="","",AN59*T59)</f>
        <v/>
      </c>
      <c r="AP59" s="40" t="n"/>
      <c r="AQ59" s="32" t="inlineStr">
        <is>
          <t>Estimated</t>
        </is>
      </c>
      <c r="AR59" s="41" t="n"/>
      <c r="AS59" s="41" t="n"/>
      <c r="AT59" s="42" t="n"/>
      <c r="AU59" s="43">
        <f>IF(((S59*pax_cap*load_thin*ROUND(K59*L59*revleg_thin,0))-(((battery/range_nm)*D59*ROUND(K59*L59*revleg_thin,0)*VLOOKUP(B59,country_opex,3,FALSE))+V59+W59+X59+Y59+Z59))&lt;=0,"",VLOOKUP(B59,country_opex,7,FALSE)/((S59*pax_cap*load_thin*ROUND(K59*L59*revleg_thin,0))-(((battery/range_nm)*D59*ROUND(K59*L59*revleg_thin,0)*VLOOKUP(B59,country_opex,3,FALSE))+V59+W59+X59+Y59+Z59)))</f>
        <v/>
      </c>
      <c r="AV59" s="43">
        <f>IF(((S59*pax_cap*load_mid*ROUND(K59*L59*revleg_mid,0))-(((battery/range_nm)*D59*ROUND(K59*L59*revleg_mid,0)*VLOOKUP(B59,country_opex,3,FALSE))+V59+W59+X59+Y59+Z59))&lt;=0,"",VLOOKUP(B59,country_opex,7,FALSE)/((S59*pax_cap*load_mid*ROUND(K59*L59*revleg_mid,0))-(((battery/range_nm)*D59*ROUND(K59*L59*revleg_mid,0)*VLOOKUP(B59,country_opex,3,FALSE))+V59+W59+X59+Y59+Z59)))</f>
        <v/>
      </c>
      <c r="AW59" s="43">
        <f>IF(((S59*pax_cap*load_full*ROUND(K59*L59*revleg_full,0))-(((battery/range_nm)*D59*ROUND(K59*L59*revleg_full,0)*VLOOKUP(B59,country_opex,3,FALSE))+V59+W59+X59+Y59+Z59))&lt;=0,"",VLOOKUP(B59,country_opex,7,FALSE)/((S59*pax_cap*load_full*ROUND(K59*L59*revleg_full,0))-(((battery/range_nm)*D59*ROUND(K59*L59*revleg_full,0)*VLOOKUP(B59,country_opex,3,FALSE))+V59+W59+X59+Y59+Z59)))</f>
        <v/>
      </c>
      <c r="AX59" s="44" t="inlineStr">
        <is>
          <t>PREMIUM tier: divided 10-seater executive speedboat ~₦90,000/hr ÷ 10 ≈ ₦9,000/seat ≈ $6.6 (private VI/Ikoyi/Lekki-pickup operators). The modeled premium-willing seat.</t>
        </is>
      </c>
      <c r="AY59" s="44" t="n"/>
    </row>
    <row r="60">
      <c r="A60" s="29" t="inlineStr">
        <is>
          <t>Yango</t>
        </is>
      </c>
      <c r="B60" s="29" t="inlineStr">
        <is>
          <t>Nigeria</t>
        </is>
      </c>
      <c r="C60" s="30" t="inlineStr">
        <is>
          <t>Osborne (Ikoyi) → CMS/Marina (Lagos Island)</t>
        </is>
      </c>
      <c r="D60" s="31" t="n">
        <v>2.5</v>
      </c>
      <c r="E60" s="26" t="n">
        <v>6.6</v>
      </c>
      <c r="F60" s="32" t="inlineStr">
        <is>
          <t>T2</t>
        </is>
      </c>
      <c r="G60" s="32" t="inlineStr">
        <is>
          <t>med</t>
        </is>
      </c>
      <c r="H60" s="19" t="n">
        <v>1</v>
      </c>
      <c r="I60" s="33">
        <f>60*D60/cruise_kt</f>
        <v/>
      </c>
      <c r="J60" s="33">
        <f>I60+turn_min+dwell_min</f>
        <v/>
      </c>
      <c r="K60" s="34">
        <f>MIN(24,FLOOR(60*service_hr/J60,1))</f>
        <v/>
      </c>
      <c r="L60" s="34">
        <f>ROUND(365*mech_uptime*H60,0)</f>
        <v/>
      </c>
      <c r="M60" s="35">
        <f>mech_uptime</f>
        <v/>
      </c>
      <c r="N60" s="35">
        <f>revleg_sel</f>
        <v/>
      </c>
      <c r="O60" s="34">
        <f>ROUND(K60*L60*revleg_sel,0)</f>
        <v/>
      </c>
      <c r="P60" s="36">
        <f>load_sel</f>
        <v/>
      </c>
      <c r="Q60" s="36">
        <f>pax_cap*P60</f>
        <v/>
      </c>
      <c r="R60" s="34">
        <f>Q60*O60</f>
        <v/>
      </c>
      <c r="S60" s="37">
        <f>E60*discount</f>
        <v/>
      </c>
      <c r="T60" s="38">
        <f>S60*R60</f>
        <v/>
      </c>
      <c r="U60" s="38">
        <f>(battery/range_nm)*D60*O60*VLOOKUP(B60,country_opex,3,FALSE)</f>
        <v/>
      </c>
      <c r="V60" s="38">
        <f>VLOOKUP(B60,country_opex,2,FALSE)*crew_factor</f>
        <v/>
      </c>
      <c r="W60" s="38">
        <f>VLOOKUP(B60,country_opex,5,FALSE)</f>
        <v/>
      </c>
      <c r="X60" s="38">
        <f>maint</f>
        <v/>
      </c>
      <c r="Y60" s="38">
        <f>VLOOKUP(B60,country_opex,7,FALSE)*ins_pct</f>
        <v/>
      </c>
      <c r="Z60" s="38">
        <f>charge_berth</f>
        <v/>
      </c>
      <c r="AA60" s="38">
        <f>U60+V60+W60+X60+Y60+Z60</f>
        <v/>
      </c>
      <c r="AB60" s="38">
        <f>VLOOKUP(B60,country_opex,7,FALSE)/dep_years</f>
        <v/>
      </c>
      <c r="AC60" s="38">
        <f>T60-AA60</f>
        <v/>
      </c>
      <c r="AD60" s="35">
        <f>IF(T60=0,"",AC60/T60)</f>
        <v/>
      </c>
      <c r="AE60" s="36">
        <f>IF(AC60&lt;=0,"",VLOOKUP(B60,country_opex,7,FALSE)/AC60)</f>
        <v/>
      </c>
      <c r="AF60" s="33">
        <f>((D60*O60/diesel_nmpg)*diesel_co2pg-(battery/range_nm)*D60*O60*VLOOKUP(B60,country_opex,4,FALSE))/1000</f>
        <v/>
      </c>
      <c r="AG60" s="31" t="n"/>
      <c r="AH60" s="32" t="n"/>
      <c r="AI60" s="32" t="n"/>
      <c r="AJ60" s="39" t="n">
        <v>0.1</v>
      </c>
      <c r="AK60" s="34">
        <f>IF(AG60="","",AG60*AJ60)</f>
        <v/>
      </c>
      <c r="AL60" s="34">
        <f>IF(OR(AG60="",R60=0),"",MIN(IF(AT60="",9.9E+99,AT60),FLOOR(AK60/R60,1)))</f>
        <v/>
      </c>
      <c r="AM60" s="38">
        <f>IF(AL60="","",AL60*T60)</f>
        <v/>
      </c>
      <c r="AN60" s="36">
        <f>IF(OR(AG60="",R60=0),"",MIN(IF(AT60="",9.9E+99,AT60),AK60/R60))</f>
        <v/>
      </c>
      <c r="AO60" s="38">
        <f>IF(AN60="","",AN60*T60)</f>
        <v/>
      </c>
      <c r="AP60" s="40" t="n"/>
      <c r="AQ60" s="32" t="inlineStr">
        <is>
          <t>Estimated</t>
        </is>
      </c>
      <c r="AR60" s="41" t="n"/>
      <c r="AS60" s="41" t="n"/>
      <c r="AT60" s="42" t="n"/>
      <c r="AU60" s="43">
        <f>IF(((S60*pax_cap*load_thin*ROUND(K60*L60*revleg_thin,0))-(((battery/range_nm)*D60*ROUND(K60*L60*revleg_thin,0)*VLOOKUP(B60,country_opex,3,FALSE))+V60+W60+X60+Y60+Z60))&lt;=0,"",VLOOKUP(B60,country_opex,7,FALSE)/((S60*pax_cap*load_thin*ROUND(K60*L60*revleg_thin,0))-(((battery/range_nm)*D60*ROUND(K60*L60*revleg_thin,0)*VLOOKUP(B60,country_opex,3,FALSE))+V60+W60+X60+Y60+Z60)))</f>
        <v/>
      </c>
      <c r="AV60" s="43">
        <f>IF(((S60*pax_cap*load_mid*ROUND(K60*L60*revleg_mid,0))-(((battery/range_nm)*D60*ROUND(K60*L60*revleg_mid,0)*VLOOKUP(B60,country_opex,3,FALSE))+V60+W60+X60+Y60+Z60))&lt;=0,"",VLOOKUP(B60,country_opex,7,FALSE)/((S60*pax_cap*load_mid*ROUND(K60*L60*revleg_mid,0))-(((battery/range_nm)*D60*ROUND(K60*L60*revleg_mid,0)*VLOOKUP(B60,country_opex,3,FALSE))+V60+W60+X60+Y60+Z60)))</f>
        <v/>
      </c>
      <c r="AW60" s="43">
        <f>IF(((S60*pax_cap*load_full*ROUND(K60*L60*revleg_full,0))-(((battery/range_nm)*D60*ROUND(K60*L60*revleg_full,0)*VLOOKUP(B60,country_opex,3,FALSE))+V60+W60+X60+Y60+Z60))&lt;=0,"",VLOOKUP(B60,country_opex,7,FALSE)/((S60*pax_cap*load_full*ROUND(K60*L60*revleg_full,0))-(((battery/range_nm)*D60*ROUND(K60*L60*revleg_full,0)*VLOOKUP(B60,country_opex,3,FALSE))+V60+W60+X60+Y60+Z60)))</f>
        <v/>
      </c>
      <c r="AX60" s="44" t="inlineStr">
        <is>
          <t>PREMIUM tier: divided 10-seater executive speedboat ~₦9,000/seat ≈ $6.6.</t>
        </is>
      </c>
      <c r="AY60" s="44" t="n"/>
    </row>
    <row r="61">
      <c r="A61" s="29" t="inlineStr">
        <is>
          <t>Yango</t>
        </is>
      </c>
      <c r="B61" s="29" t="inlineStr">
        <is>
          <t>Nigeria</t>
        </is>
      </c>
      <c r="C61" s="30" t="inlineStr">
        <is>
          <t>Ikoyi → Apapa</t>
        </is>
      </c>
      <c r="D61" s="31" t="n">
        <v>3.5</v>
      </c>
      <c r="E61" s="26" t="n">
        <v>6.6</v>
      </c>
      <c r="F61" s="32" t="inlineStr">
        <is>
          <t>T2</t>
        </is>
      </c>
      <c r="G61" s="32" t="inlineStr">
        <is>
          <t>med</t>
        </is>
      </c>
      <c r="H61" s="19" t="n">
        <v>1</v>
      </c>
      <c r="I61" s="33">
        <f>60*D61/cruise_kt</f>
        <v/>
      </c>
      <c r="J61" s="33">
        <f>I61+turn_min+dwell_min</f>
        <v/>
      </c>
      <c r="K61" s="34">
        <f>MIN(24,FLOOR(60*service_hr/J61,1))</f>
        <v/>
      </c>
      <c r="L61" s="34">
        <f>ROUND(365*mech_uptime*H61,0)</f>
        <v/>
      </c>
      <c r="M61" s="35">
        <f>mech_uptime</f>
        <v/>
      </c>
      <c r="N61" s="35">
        <f>revleg_sel</f>
        <v/>
      </c>
      <c r="O61" s="34">
        <f>ROUND(K61*L61*revleg_sel,0)</f>
        <v/>
      </c>
      <c r="P61" s="36">
        <f>load_sel</f>
        <v/>
      </c>
      <c r="Q61" s="36">
        <f>pax_cap*P61</f>
        <v/>
      </c>
      <c r="R61" s="34">
        <f>Q61*O61</f>
        <v/>
      </c>
      <c r="S61" s="37">
        <f>E61*discount</f>
        <v/>
      </c>
      <c r="T61" s="38">
        <f>S61*R61</f>
        <v/>
      </c>
      <c r="U61" s="38">
        <f>(battery/range_nm)*D61*O61*VLOOKUP(B61,country_opex,3,FALSE)</f>
        <v/>
      </c>
      <c r="V61" s="38">
        <f>VLOOKUP(B61,country_opex,2,FALSE)*crew_factor</f>
        <v/>
      </c>
      <c r="W61" s="38">
        <f>VLOOKUP(B61,country_opex,5,FALSE)</f>
        <v/>
      </c>
      <c r="X61" s="38">
        <f>maint</f>
        <v/>
      </c>
      <c r="Y61" s="38">
        <f>VLOOKUP(B61,country_opex,7,FALSE)*ins_pct</f>
        <v/>
      </c>
      <c r="Z61" s="38">
        <f>charge_berth</f>
        <v/>
      </c>
      <c r="AA61" s="38">
        <f>U61+V61+W61+X61+Y61+Z61</f>
        <v/>
      </c>
      <c r="AB61" s="38">
        <f>VLOOKUP(B61,country_opex,7,FALSE)/dep_years</f>
        <v/>
      </c>
      <c r="AC61" s="38">
        <f>T61-AA61</f>
        <v/>
      </c>
      <c r="AD61" s="35">
        <f>IF(T61=0,"",AC61/T61)</f>
        <v/>
      </c>
      <c r="AE61" s="36">
        <f>IF(AC61&lt;=0,"",VLOOKUP(B61,country_opex,7,FALSE)/AC61)</f>
        <v/>
      </c>
      <c r="AF61" s="33">
        <f>((D61*O61/diesel_nmpg)*diesel_co2pg-(battery/range_nm)*D61*O61*VLOOKUP(B61,country_opex,4,FALSE))/1000</f>
        <v/>
      </c>
      <c r="AG61" s="31" t="n"/>
      <c r="AH61" s="32" t="n"/>
      <c r="AI61" s="32" t="n"/>
      <c r="AJ61" s="39" t="n">
        <v>0.1</v>
      </c>
      <c r="AK61" s="34">
        <f>IF(AG61="","",AG61*AJ61)</f>
        <v/>
      </c>
      <c r="AL61" s="34">
        <f>IF(OR(AG61="",R61=0),"",MIN(IF(AT61="",9.9E+99,AT61),FLOOR(AK61/R61,1)))</f>
        <v/>
      </c>
      <c r="AM61" s="38">
        <f>IF(AL61="","",AL61*T61)</f>
        <v/>
      </c>
      <c r="AN61" s="36">
        <f>IF(OR(AG61="",R61=0),"",MIN(IF(AT61="",9.9E+99,AT61),AK61/R61))</f>
        <v/>
      </c>
      <c r="AO61" s="38">
        <f>IF(AN61="","",AN61*T61)</f>
        <v/>
      </c>
      <c r="AP61" s="40" t="n"/>
      <c r="AQ61" s="32" t="inlineStr">
        <is>
          <t>Estimated</t>
        </is>
      </c>
      <c r="AR61" s="41" t="n"/>
      <c r="AS61" s="41" t="n"/>
      <c r="AT61" s="42" t="n"/>
      <c r="AU61" s="43">
        <f>IF(((S61*pax_cap*load_thin*ROUND(K61*L61*revleg_thin,0))-(((battery/range_nm)*D61*ROUND(K61*L61*revleg_thin,0)*VLOOKUP(B61,country_opex,3,FALSE))+V61+W61+X61+Y61+Z61))&lt;=0,"",VLOOKUP(B61,country_opex,7,FALSE)/((S61*pax_cap*load_thin*ROUND(K61*L61*revleg_thin,0))-(((battery/range_nm)*D61*ROUND(K61*L61*revleg_thin,0)*VLOOKUP(B61,country_opex,3,FALSE))+V61+W61+X61+Y61+Z61)))</f>
        <v/>
      </c>
      <c r="AV61" s="43">
        <f>IF(((S61*pax_cap*load_mid*ROUND(K61*L61*revleg_mid,0))-(((battery/range_nm)*D61*ROUND(K61*L61*revleg_mid,0)*VLOOKUP(B61,country_opex,3,FALSE))+V61+W61+X61+Y61+Z61))&lt;=0,"",VLOOKUP(B61,country_opex,7,FALSE)/((S61*pax_cap*load_mid*ROUND(K61*L61*revleg_mid,0))-(((battery/range_nm)*D61*ROUND(K61*L61*revleg_mid,0)*VLOOKUP(B61,country_opex,3,FALSE))+V61+W61+X61+Y61+Z61)))</f>
        <v/>
      </c>
      <c r="AW61" s="43">
        <f>IF(((S61*pax_cap*load_full*ROUND(K61*L61*revleg_full,0))-(((battery/range_nm)*D61*ROUND(K61*L61*revleg_full,0)*VLOOKUP(B61,country_opex,3,FALSE))+V61+W61+X61+Y61+Z61))&lt;=0,"",VLOOKUP(B61,country_opex,7,FALSE)/((S61*pax_cap*load_full*ROUND(K61*L61*revleg_full,0))-(((battery/range_nm)*D61*ROUND(K61*L61*revleg_full,0)*VLOOKUP(B61,country_opex,3,FALSE))+V61+W61+X61+Y61+Z61)))</f>
        <v/>
      </c>
      <c r="AX61" s="44" t="inlineStr">
        <is>
          <t>PREMIUM tier: divided 10-seater executive speedboat ~₦9,000/seat ≈ $6.6.</t>
        </is>
      </c>
      <c r="AY61" s="44" t="n"/>
    </row>
    <row r="62">
      <c r="A62" s="29" t="inlineStr">
        <is>
          <t>Yango</t>
        </is>
      </c>
      <c r="B62" s="29" t="inlineStr">
        <is>
          <t>Nigeria</t>
        </is>
      </c>
      <c r="C62" s="30" t="inlineStr">
        <is>
          <t>Victoria Island → Lekki Phase 1</t>
        </is>
      </c>
      <c r="D62" s="31" t="n">
        <v>4</v>
      </c>
      <c r="E62" s="26" t="n">
        <v>6.6</v>
      </c>
      <c r="F62" s="32" t="inlineStr">
        <is>
          <t>T2</t>
        </is>
      </c>
      <c r="G62" s="32" t="inlineStr">
        <is>
          <t>med</t>
        </is>
      </c>
      <c r="H62" s="19" t="n">
        <v>1</v>
      </c>
      <c r="I62" s="33">
        <f>60*D62/cruise_kt</f>
        <v/>
      </c>
      <c r="J62" s="33">
        <f>I62+turn_min+dwell_min</f>
        <v/>
      </c>
      <c r="K62" s="34">
        <f>MIN(24,FLOOR(60*service_hr/J62,1))</f>
        <v/>
      </c>
      <c r="L62" s="34">
        <f>ROUND(365*mech_uptime*H62,0)</f>
        <v/>
      </c>
      <c r="M62" s="35">
        <f>mech_uptime</f>
        <v/>
      </c>
      <c r="N62" s="35">
        <f>revleg_sel</f>
        <v/>
      </c>
      <c r="O62" s="34">
        <f>ROUND(K62*L62*revleg_sel,0)</f>
        <v/>
      </c>
      <c r="P62" s="36">
        <f>load_sel</f>
        <v/>
      </c>
      <c r="Q62" s="36">
        <f>pax_cap*P62</f>
        <v/>
      </c>
      <c r="R62" s="34">
        <f>Q62*O62</f>
        <v/>
      </c>
      <c r="S62" s="37">
        <f>E62*discount</f>
        <v/>
      </c>
      <c r="T62" s="38">
        <f>S62*R62</f>
        <v/>
      </c>
      <c r="U62" s="38">
        <f>(battery/range_nm)*D62*O62*VLOOKUP(B62,country_opex,3,FALSE)</f>
        <v/>
      </c>
      <c r="V62" s="38">
        <f>VLOOKUP(B62,country_opex,2,FALSE)*crew_factor</f>
        <v/>
      </c>
      <c r="W62" s="38">
        <f>VLOOKUP(B62,country_opex,5,FALSE)</f>
        <v/>
      </c>
      <c r="X62" s="38">
        <f>maint</f>
        <v/>
      </c>
      <c r="Y62" s="38">
        <f>VLOOKUP(B62,country_opex,7,FALSE)*ins_pct</f>
        <v/>
      </c>
      <c r="Z62" s="38">
        <f>charge_berth</f>
        <v/>
      </c>
      <c r="AA62" s="38">
        <f>U62+V62+W62+X62+Y62+Z62</f>
        <v/>
      </c>
      <c r="AB62" s="38">
        <f>VLOOKUP(B62,country_opex,7,FALSE)/dep_years</f>
        <v/>
      </c>
      <c r="AC62" s="38">
        <f>T62-AA62</f>
        <v/>
      </c>
      <c r="AD62" s="35">
        <f>IF(T62=0,"",AC62/T62)</f>
        <v/>
      </c>
      <c r="AE62" s="36">
        <f>IF(AC62&lt;=0,"",VLOOKUP(B62,country_opex,7,FALSE)/AC62)</f>
        <v/>
      </c>
      <c r="AF62" s="33">
        <f>((D62*O62/diesel_nmpg)*diesel_co2pg-(battery/range_nm)*D62*O62*VLOOKUP(B62,country_opex,4,FALSE))/1000</f>
        <v/>
      </c>
      <c r="AG62" s="31" t="n"/>
      <c r="AH62" s="32" t="n"/>
      <c r="AI62" s="32" t="n"/>
      <c r="AJ62" s="39" t="n">
        <v>0.1</v>
      </c>
      <c r="AK62" s="34">
        <f>IF(AG62="","",AG62*AJ62)</f>
        <v/>
      </c>
      <c r="AL62" s="34">
        <f>IF(OR(AG62="",R62=0),"",MIN(IF(AT62="",9.9E+99,AT62),FLOOR(AK62/R62,1)))</f>
        <v/>
      </c>
      <c r="AM62" s="38">
        <f>IF(AL62="","",AL62*T62)</f>
        <v/>
      </c>
      <c r="AN62" s="36">
        <f>IF(OR(AG62="",R62=0),"",MIN(IF(AT62="",9.9E+99,AT62),AK62/R62))</f>
        <v/>
      </c>
      <c r="AO62" s="38">
        <f>IF(AN62="","",AN62*T62)</f>
        <v/>
      </c>
      <c r="AP62" s="40" t="n"/>
      <c r="AQ62" s="32" t="inlineStr">
        <is>
          <t>Estimated</t>
        </is>
      </c>
      <c r="AR62" s="41" t="n"/>
      <c r="AS62" s="41" t="n"/>
      <c r="AT62" s="42" t="n"/>
      <c r="AU62" s="43">
        <f>IF(((S62*pax_cap*load_thin*ROUND(K62*L62*revleg_thin,0))-(((battery/range_nm)*D62*ROUND(K62*L62*revleg_thin,0)*VLOOKUP(B62,country_opex,3,FALSE))+V62+W62+X62+Y62+Z62))&lt;=0,"",VLOOKUP(B62,country_opex,7,FALSE)/((S62*pax_cap*load_thin*ROUND(K62*L62*revleg_thin,0))-(((battery/range_nm)*D62*ROUND(K62*L62*revleg_thin,0)*VLOOKUP(B62,country_opex,3,FALSE))+V62+W62+X62+Y62+Z62)))</f>
        <v/>
      </c>
      <c r="AV62" s="43">
        <f>IF(((S62*pax_cap*load_mid*ROUND(K62*L62*revleg_mid,0))-(((battery/range_nm)*D62*ROUND(K62*L62*revleg_mid,0)*VLOOKUP(B62,country_opex,3,FALSE))+V62+W62+X62+Y62+Z62))&lt;=0,"",VLOOKUP(B62,country_opex,7,FALSE)/((S62*pax_cap*load_mid*ROUND(K62*L62*revleg_mid,0))-(((battery/range_nm)*D62*ROUND(K62*L62*revleg_mid,0)*VLOOKUP(B62,country_opex,3,FALSE))+V62+W62+X62+Y62+Z62)))</f>
        <v/>
      </c>
      <c r="AW62" s="43">
        <f>IF(((S62*pax_cap*load_full*ROUND(K62*L62*revleg_full,0))-(((battery/range_nm)*D62*ROUND(K62*L62*revleg_full,0)*VLOOKUP(B62,country_opex,3,FALSE))+V62+W62+X62+Y62+Z62))&lt;=0,"",VLOOKUP(B62,country_opex,7,FALSE)/((S62*pax_cap*load_full*ROUND(K62*L62*revleg_full,0))-(((battery/range_nm)*D62*ROUND(K62*L62*revleg_full,0)*VLOOKUP(B62,country_opex,3,FALSE))+V62+W62+X62+Y62+Z62)))</f>
        <v/>
      </c>
      <c r="AX62" s="44" t="inlineStr">
        <is>
          <t>PREMIUM tier: divided 10-seater executive speedboat ~₦9,000/seat ≈ $6.6.</t>
        </is>
      </c>
      <c r="AY62" s="44" t="n"/>
    </row>
    <row r="63">
      <c r="A63" s="29" t="inlineStr">
        <is>
          <t>Yango</t>
        </is>
      </c>
      <c r="B63" s="29" t="inlineStr">
        <is>
          <t>Nigeria</t>
        </is>
      </c>
      <c r="C63" s="30" t="inlineStr">
        <is>
          <t>Badore (Ajah) → Ijede (Ikorodu)</t>
        </is>
      </c>
      <c r="D63" s="31" t="n">
        <v>5</v>
      </c>
      <c r="E63" s="26" t="n">
        <v>6.6</v>
      </c>
      <c r="F63" s="32" t="inlineStr">
        <is>
          <t>T2</t>
        </is>
      </c>
      <c r="G63" s="32" t="inlineStr">
        <is>
          <t>med</t>
        </is>
      </c>
      <c r="H63" s="19" t="n">
        <v>1</v>
      </c>
      <c r="I63" s="33">
        <f>60*D63/cruise_kt</f>
        <v/>
      </c>
      <c r="J63" s="33">
        <f>I63+turn_min+dwell_min</f>
        <v/>
      </c>
      <c r="K63" s="34">
        <f>MIN(24,FLOOR(60*service_hr/J63,1))</f>
        <v/>
      </c>
      <c r="L63" s="34">
        <f>ROUND(365*mech_uptime*H63,0)</f>
        <v/>
      </c>
      <c r="M63" s="35">
        <f>mech_uptime</f>
        <v/>
      </c>
      <c r="N63" s="35">
        <f>revleg_sel</f>
        <v/>
      </c>
      <c r="O63" s="34">
        <f>ROUND(K63*L63*revleg_sel,0)</f>
        <v/>
      </c>
      <c r="P63" s="36">
        <f>load_sel</f>
        <v/>
      </c>
      <c r="Q63" s="36">
        <f>pax_cap*P63</f>
        <v/>
      </c>
      <c r="R63" s="34">
        <f>Q63*O63</f>
        <v/>
      </c>
      <c r="S63" s="37">
        <f>E63*discount</f>
        <v/>
      </c>
      <c r="T63" s="38">
        <f>S63*R63</f>
        <v/>
      </c>
      <c r="U63" s="38">
        <f>(battery/range_nm)*D63*O63*VLOOKUP(B63,country_opex,3,FALSE)</f>
        <v/>
      </c>
      <c r="V63" s="38">
        <f>VLOOKUP(B63,country_opex,2,FALSE)*crew_factor</f>
        <v/>
      </c>
      <c r="W63" s="38">
        <f>VLOOKUP(B63,country_opex,5,FALSE)</f>
        <v/>
      </c>
      <c r="X63" s="38">
        <f>maint</f>
        <v/>
      </c>
      <c r="Y63" s="38">
        <f>VLOOKUP(B63,country_opex,7,FALSE)*ins_pct</f>
        <v/>
      </c>
      <c r="Z63" s="38">
        <f>charge_berth</f>
        <v/>
      </c>
      <c r="AA63" s="38">
        <f>U63+V63+W63+X63+Y63+Z63</f>
        <v/>
      </c>
      <c r="AB63" s="38">
        <f>VLOOKUP(B63,country_opex,7,FALSE)/dep_years</f>
        <v/>
      </c>
      <c r="AC63" s="38">
        <f>T63-AA63</f>
        <v/>
      </c>
      <c r="AD63" s="35">
        <f>IF(T63=0,"",AC63/T63)</f>
        <v/>
      </c>
      <c r="AE63" s="36">
        <f>IF(AC63&lt;=0,"",VLOOKUP(B63,country_opex,7,FALSE)/AC63)</f>
        <v/>
      </c>
      <c r="AF63" s="33">
        <f>((D63*O63/diesel_nmpg)*diesel_co2pg-(battery/range_nm)*D63*O63*VLOOKUP(B63,country_opex,4,FALSE))/1000</f>
        <v/>
      </c>
      <c r="AG63" s="31" t="n"/>
      <c r="AH63" s="32" t="n"/>
      <c r="AI63" s="32" t="n"/>
      <c r="AJ63" s="39" t="n">
        <v>0.1</v>
      </c>
      <c r="AK63" s="34">
        <f>IF(AG63="","",AG63*AJ63)</f>
        <v/>
      </c>
      <c r="AL63" s="34">
        <f>IF(OR(AG63="",R63=0),"",MIN(IF(AT63="",9.9E+99,AT63),FLOOR(AK63/R63,1)))</f>
        <v/>
      </c>
      <c r="AM63" s="38">
        <f>IF(AL63="","",AL63*T63)</f>
        <v/>
      </c>
      <c r="AN63" s="36">
        <f>IF(OR(AG63="",R63=0),"",MIN(IF(AT63="",9.9E+99,AT63),AK63/R63))</f>
        <v/>
      </c>
      <c r="AO63" s="38">
        <f>IF(AN63="","",AN63*T63)</f>
        <v/>
      </c>
      <c r="AP63" s="40" t="n"/>
      <c r="AQ63" s="32" t="inlineStr">
        <is>
          <t>Estimated</t>
        </is>
      </c>
      <c r="AR63" s="41" t="n"/>
      <c r="AS63" s="41" t="n"/>
      <c r="AT63" s="42" t="n"/>
      <c r="AU63" s="43">
        <f>IF(((S63*pax_cap*load_thin*ROUND(K63*L63*revleg_thin,0))-(((battery/range_nm)*D63*ROUND(K63*L63*revleg_thin,0)*VLOOKUP(B63,country_opex,3,FALSE))+V63+W63+X63+Y63+Z63))&lt;=0,"",VLOOKUP(B63,country_opex,7,FALSE)/((S63*pax_cap*load_thin*ROUND(K63*L63*revleg_thin,0))-(((battery/range_nm)*D63*ROUND(K63*L63*revleg_thin,0)*VLOOKUP(B63,country_opex,3,FALSE))+V63+W63+X63+Y63+Z63)))</f>
        <v/>
      </c>
      <c r="AV63" s="43">
        <f>IF(((S63*pax_cap*load_mid*ROUND(K63*L63*revleg_mid,0))-(((battery/range_nm)*D63*ROUND(K63*L63*revleg_mid,0)*VLOOKUP(B63,country_opex,3,FALSE))+V63+W63+X63+Y63+Z63))&lt;=0,"",VLOOKUP(B63,country_opex,7,FALSE)/((S63*pax_cap*load_mid*ROUND(K63*L63*revleg_mid,0))-(((battery/range_nm)*D63*ROUND(K63*L63*revleg_mid,0)*VLOOKUP(B63,country_opex,3,FALSE))+V63+W63+X63+Y63+Z63)))</f>
        <v/>
      </c>
      <c r="AW63" s="43">
        <f>IF(((S63*pax_cap*load_full*ROUND(K63*L63*revleg_full,0))-(((battery/range_nm)*D63*ROUND(K63*L63*revleg_full,0)*VLOOKUP(B63,country_opex,3,FALSE))+V63+W63+X63+Y63+Z63))&lt;=0,"",VLOOKUP(B63,country_opex,7,FALSE)/((S63*pax_cap*load_full*ROUND(K63*L63*revleg_full,0))-(((battery/range_nm)*D63*ROUND(K63*L63*revleg_full,0)*VLOOKUP(B63,country_opex,3,FALSE))+V63+W63+X63+Y63+Z63)))</f>
        <v/>
      </c>
      <c r="AX63" s="44" t="inlineStr">
        <is>
          <t>PREMIUM tier: divided 10-seater executive speedboat ~₦9,000/seat ≈ $6.6 (short hop sits below this in practice).</t>
        </is>
      </c>
      <c r="AY63" s="44" t="n"/>
    </row>
    <row r="64">
      <c r="A64" s="29" t="inlineStr">
        <is>
          <t>Yango</t>
        </is>
      </c>
      <c r="B64" s="29" t="inlineStr">
        <is>
          <t>Nigeria</t>
        </is>
      </c>
      <c r="C64" s="30" t="inlineStr">
        <is>
          <t>Mile 2 (Amuwo-Odofin) → CMS/Marina (Lagos Island)</t>
        </is>
      </c>
      <c r="D64" s="31" t="n">
        <v>6</v>
      </c>
      <c r="E64" s="26" t="n">
        <v>6.6</v>
      </c>
      <c r="F64" s="32" t="inlineStr">
        <is>
          <t>T2</t>
        </is>
      </c>
      <c r="G64" s="32" t="inlineStr">
        <is>
          <t>med</t>
        </is>
      </c>
      <c r="H64" s="19" t="n">
        <v>1</v>
      </c>
      <c r="I64" s="33">
        <f>60*D64/cruise_kt</f>
        <v/>
      </c>
      <c r="J64" s="33">
        <f>I64+turn_min+dwell_min</f>
        <v/>
      </c>
      <c r="K64" s="34">
        <f>MIN(24,FLOOR(60*service_hr/J64,1))</f>
        <v/>
      </c>
      <c r="L64" s="34">
        <f>ROUND(365*mech_uptime*H64,0)</f>
        <v/>
      </c>
      <c r="M64" s="35">
        <f>mech_uptime</f>
        <v/>
      </c>
      <c r="N64" s="35">
        <f>revleg_sel</f>
        <v/>
      </c>
      <c r="O64" s="34">
        <f>ROUND(K64*L64*revleg_sel,0)</f>
        <v/>
      </c>
      <c r="P64" s="36">
        <f>load_sel</f>
        <v/>
      </c>
      <c r="Q64" s="36">
        <f>pax_cap*P64</f>
        <v/>
      </c>
      <c r="R64" s="34">
        <f>Q64*O64</f>
        <v/>
      </c>
      <c r="S64" s="37">
        <f>E64*discount</f>
        <v/>
      </c>
      <c r="T64" s="38">
        <f>S64*R64</f>
        <v/>
      </c>
      <c r="U64" s="38">
        <f>(battery/range_nm)*D64*O64*VLOOKUP(B64,country_opex,3,FALSE)</f>
        <v/>
      </c>
      <c r="V64" s="38">
        <f>VLOOKUP(B64,country_opex,2,FALSE)*crew_factor</f>
        <v/>
      </c>
      <c r="W64" s="38">
        <f>VLOOKUP(B64,country_opex,5,FALSE)</f>
        <v/>
      </c>
      <c r="X64" s="38">
        <f>maint</f>
        <v/>
      </c>
      <c r="Y64" s="38">
        <f>VLOOKUP(B64,country_opex,7,FALSE)*ins_pct</f>
        <v/>
      </c>
      <c r="Z64" s="38">
        <f>charge_berth</f>
        <v/>
      </c>
      <c r="AA64" s="38">
        <f>U64+V64+W64+X64+Y64+Z64</f>
        <v/>
      </c>
      <c r="AB64" s="38">
        <f>VLOOKUP(B64,country_opex,7,FALSE)/dep_years</f>
        <v/>
      </c>
      <c r="AC64" s="38">
        <f>T64-AA64</f>
        <v/>
      </c>
      <c r="AD64" s="35">
        <f>IF(T64=0,"",AC64/T64)</f>
        <v/>
      </c>
      <c r="AE64" s="36">
        <f>IF(AC64&lt;=0,"",VLOOKUP(B64,country_opex,7,FALSE)/AC64)</f>
        <v/>
      </c>
      <c r="AF64" s="33">
        <f>((D64*O64/diesel_nmpg)*diesel_co2pg-(battery/range_nm)*D64*O64*VLOOKUP(B64,country_opex,4,FALSE))/1000</f>
        <v/>
      </c>
      <c r="AG64" s="31" t="n"/>
      <c r="AH64" s="32" t="n"/>
      <c r="AI64" s="32" t="n"/>
      <c r="AJ64" s="39" t="n">
        <v>0.1</v>
      </c>
      <c r="AK64" s="34">
        <f>IF(AG64="","",AG64*AJ64)</f>
        <v/>
      </c>
      <c r="AL64" s="34">
        <f>IF(OR(AG64="",R64=0),"",MIN(IF(AT64="",9.9E+99,AT64),FLOOR(AK64/R64,1)))</f>
        <v/>
      </c>
      <c r="AM64" s="38">
        <f>IF(AL64="","",AL64*T64)</f>
        <v/>
      </c>
      <c r="AN64" s="36">
        <f>IF(OR(AG64="",R64=0),"",MIN(IF(AT64="",9.9E+99,AT64),AK64/R64))</f>
        <v/>
      </c>
      <c r="AO64" s="38">
        <f>IF(AN64="","",AN64*T64)</f>
        <v/>
      </c>
      <c r="AP64" s="40" t="n"/>
      <c r="AQ64" s="32" t="inlineStr">
        <is>
          <t>Estimated</t>
        </is>
      </c>
      <c r="AR64" s="41" t="n"/>
      <c r="AS64" s="41" t="n"/>
      <c r="AT64" s="42" t="n"/>
      <c r="AU64" s="43">
        <f>IF(((S64*pax_cap*load_thin*ROUND(K64*L64*revleg_thin,0))-(((battery/range_nm)*D64*ROUND(K64*L64*revleg_thin,0)*VLOOKUP(B64,country_opex,3,FALSE))+V64+W64+X64+Y64+Z64))&lt;=0,"",VLOOKUP(B64,country_opex,7,FALSE)/((S64*pax_cap*load_thin*ROUND(K64*L64*revleg_thin,0))-(((battery/range_nm)*D64*ROUND(K64*L64*revleg_thin,0)*VLOOKUP(B64,country_opex,3,FALSE))+V64+W64+X64+Y64+Z64)))</f>
        <v/>
      </c>
      <c r="AV64" s="43">
        <f>IF(((S64*pax_cap*load_mid*ROUND(K64*L64*revleg_mid,0))-(((battery/range_nm)*D64*ROUND(K64*L64*revleg_mid,0)*VLOOKUP(B64,country_opex,3,FALSE))+V64+W64+X64+Y64+Z64))&lt;=0,"",VLOOKUP(B64,country_opex,7,FALSE)/((S64*pax_cap*load_mid*ROUND(K64*L64*revleg_mid,0))-(((battery/range_nm)*D64*ROUND(K64*L64*revleg_mid,0)*VLOOKUP(B64,country_opex,3,FALSE))+V64+W64+X64+Y64+Z64)))</f>
        <v/>
      </c>
      <c r="AW64" s="43">
        <f>IF(((S64*pax_cap*load_full*ROUND(K64*L64*revleg_full,0))-(((battery/range_nm)*D64*ROUND(K64*L64*revleg_full,0)*VLOOKUP(B64,country_opex,3,FALSE))+V64+W64+X64+Y64+Z64))&lt;=0,"",VLOOKUP(B64,country_opex,7,FALSE)/((S64*pax_cap*load_full*ROUND(K64*L64*revleg_full,0))-(((battery/range_nm)*D64*ROUND(K64*L64*revleg_full,0)*VLOOKUP(B64,country_opex,3,FALSE))+V64+W64+X64+Y64+Z64)))</f>
        <v/>
      </c>
      <c r="AX64" s="44" t="inlineStr">
        <is>
          <t>PREMIUM tier: divided 10-seater executive speedboat ~₦9,000/seat ≈ $6.6.</t>
        </is>
      </c>
      <c r="AY64" s="44" t="n"/>
    </row>
    <row r="65">
      <c r="A65" s="29" t="inlineStr">
        <is>
          <t>Yango</t>
        </is>
      </c>
      <c r="B65" s="29" t="inlineStr">
        <is>
          <t>Nigeria</t>
        </is>
      </c>
      <c r="C65" s="30" t="inlineStr">
        <is>
          <t>Badore (Ajah) → Falomo (Five Cowries Terminal, Ikoyi)</t>
        </is>
      </c>
      <c r="D65" s="31" t="n">
        <v>9</v>
      </c>
      <c r="E65" s="26" t="n">
        <v>6.6</v>
      </c>
      <c r="F65" s="32" t="inlineStr">
        <is>
          <t>T2</t>
        </is>
      </c>
      <c r="G65" s="32" t="inlineStr">
        <is>
          <t>med</t>
        </is>
      </c>
      <c r="H65" s="19" t="n">
        <v>1</v>
      </c>
      <c r="I65" s="33">
        <f>60*D65/cruise_kt</f>
        <v/>
      </c>
      <c r="J65" s="33">
        <f>I65+turn_min+dwell_min</f>
        <v/>
      </c>
      <c r="K65" s="34">
        <f>MIN(24,FLOOR(60*service_hr/J65,1))</f>
        <v/>
      </c>
      <c r="L65" s="34">
        <f>ROUND(365*mech_uptime*H65,0)</f>
        <v/>
      </c>
      <c r="M65" s="35">
        <f>mech_uptime</f>
        <v/>
      </c>
      <c r="N65" s="35">
        <f>revleg_sel</f>
        <v/>
      </c>
      <c r="O65" s="34">
        <f>ROUND(K65*L65*revleg_sel,0)</f>
        <v/>
      </c>
      <c r="P65" s="36">
        <f>load_sel</f>
        <v/>
      </c>
      <c r="Q65" s="36">
        <f>pax_cap*P65</f>
        <v/>
      </c>
      <c r="R65" s="34">
        <f>Q65*O65</f>
        <v/>
      </c>
      <c r="S65" s="37">
        <f>E65*discount</f>
        <v/>
      </c>
      <c r="T65" s="38">
        <f>S65*R65</f>
        <v/>
      </c>
      <c r="U65" s="38">
        <f>(battery/range_nm)*D65*O65*VLOOKUP(B65,country_opex,3,FALSE)</f>
        <v/>
      </c>
      <c r="V65" s="38">
        <f>VLOOKUP(B65,country_opex,2,FALSE)*crew_factor</f>
        <v/>
      </c>
      <c r="W65" s="38">
        <f>VLOOKUP(B65,country_opex,5,FALSE)</f>
        <v/>
      </c>
      <c r="X65" s="38">
        <f>maint</f>
        <v/>
      </c>
      <c r="Y65" s="38">
        <f>VLOOKUP(B65,country_opex,7,FALSE)*ins_pct</f>
        <v/>
      </c>
      <c r="Z65" s="38">
        <f>charge_berth</f>
        <v/>
      </c>
      <c r="AA65" s="38">
        <f>U65+V65+W65+X65+Y65+Z65</f>
        <v/>
      </c>
      <c r="AB65" s="38">
        <f>VLOOKUP(B65,country_opex,7,FALSE)/dep_years</f>
        <v/>
      </c>
      <c r="AC65" s="38">
        <f>T65-AA65</f>
        <v/>
      </c>
      <c r="AD65" s="35">
        <f>IF(T65=0,"",AC65/T65)</f>
        <v/>
      </c>
      <c r="AE65" s="36">
        <f>IF(AC65&lt;=0,"",VLOOKUP(B65,country_opex,7,FALSE)/AC65)</f>
        <v/>
      </c>
      <c r="AF65" s="33">
        <f>((D65*O65/diesel_nmpg)*diesel_co2pg-(battery/range_nm)*D65*O65*VLOOKUP(B65,country_opex,4,FALSE))/1000</f>
        <v/>
      </c>
      <c r="AG65" s="31" t="n"/>
      <c r="AH65" s="32" t="n"/>
      <c r="AI65" s="32" t="n"/>
      <c r="AJ65" s="39" t="n">
        <v>0.1</v>
      </c>
      <c r="AK65" s="34">
        <f>IF(AG65="","",AG65*AJ65)</f>
        <v/>
      </c>
      <c r="AL65" s="34">
        <f>IF(OR(AG65="",R65=0),"",MIN(IF(AT65="",9.9E+99,AT65),FLOOR(AK65/R65,1)))</f>
        <v/>
      </c>
      <c r="AM65" s="38">
        <f>IF(AL65="","",AL65*T65)</f>
        <v/>
      </c>
      <c r="AN65" s="36">
        <f>IF(OR(AG65="",R65=0),"",MIN(IF(AT65="",9.9E+99,AT65),AK65/R65))</f>
        <v/>
      </c>
      <c r="AO65" s="38">
        <f>IF(AN65="","",AN65*T65)</f>
        <v/>
      </c>
      <c r="AP65" s="40" t="n"/>
      <c r="AQ65" s="32" t="inlineStr">
        <is>
          <t>Estimated</t>
        </is>
      </c>
      <c r="AR65" s="41" t="n"/>
      <c r="AS65" s="41" t="n"/>
      <c r="AT65" s="42" t="n"/>
      <c r="AU65" s="43">
        <f>IF(((S65*pax_cap*load_thin*ROUND(K65*L65*revleg_thin,0))-(((battery/range_nm)*D65*ROUND(K65*L65*revleg_thin,0)*VLOOKUP(B65,country_opex,3,FALSE))+V65+W65+X65+Y65+Z65))&lt;=0,"",VLOOKUP(B65,country_opex,7,FALSE)/((S65*pax_cap*load_thin*ROUND(K65*L65*revleg_thin,0))-(((battery/range_nm)*D65*ROUND(K65*L65*revleg_thin,0)*VLOOKUP(B65,country_opex,3,FALSE))+V65+W65+X65+Y65+Z65)))</f>
        <v/>
      </c>
      <c r="AV65" s="43">
        <f>IF(((S65*pax_cap*load_mid*ROUND(K65*L65*revleg_mid,0))-(((battery/range_nm)*D65*ROUND(K65*L65*revleg_mid,0)*VLOOKUP(B65,country_opex,3,FALSE))+V65+W65+X65+Y65+Z65))&lt;=0,"",VLOOKUP(B65,country_opex,7,FALSE)/((S65*pax_cap*load_mid*ROUND(K65*L65*revleg_mid,0))-(((battery/range_nm)*D65*ROUND(K65*L65*revleg_mid,0)*VLOOKUP(B65,country_opex,3,FALSE))+V65+W65+X65+Y65+Z65)))</f>
        <v/>
      </c>
      <c r="AW65" s="43">
        <f>IF(((S65*pax_cap*load_full*ROUND(K65*L65*revleg_full,0))-(((battery/range_nm)*D65*ROUND(K65*L65*revleg_full,0)*VLOOKUP(B65,country_opex,3,FALSE))+V65+W65+X65+Y65+Z65))&lt;=0,"",VLOOKUP(B65,country_opex,7,FALSE)/((S65*pax_cap*load_full*ROUND(K65*L65*revleg_full,0))-(((battery/range_nm)*D65*ROUND(K65*L65*revleg_full,0)*VLOOKUP(B65,country_opex,3,FALSE))+V65+W65+X65+Y65+Z65)))</f>
        <v/>
      </c>
      <c r="AX65" s="44" t="inlineStr">
        <is>
          <t>PREMIUM tier: divided 10-seater executive speedboat ~₦9,000/seat ≈ $6.6.</t>
        </is>
      </c>
      <c r="AY65" s="44" t="n"/>
    </row>
    <row r="66">
      <c r="A66" s="29" t="inlineStr">
        <is>
          <t>Yango</t>
        </is>
      </c>
      <c r="B66" s="29" t="inlineStr">
        <is>
          <t>Nigeria</t>
        </is>
      </c>
      <c r="C66" s="30" t="inlineStr">
        <is>
          <t>Oke-Ira Nla (Ajah) → Ikorodu</t>
        </is>
      </c>
      <c r="D66" s="31" t="n">
        <v>9</v>
      </c>
      <c r="E66" s="26" t="n">
        <v>6.6</v>
      </c>
      <c r="F66" s="32" t="inlineStr">
        <is>
          <t>T2</t>
        </is>
      </c>
      <c r="G66" s="32" t="inlineStr">
        <is>
          <t>med</t>
        </is>
      </c>
      <c r="H66" s="19" t="n">
        <v>1</v>
      </c>
      <c r="I66" s="33">
        <f>60*D66/cruise_kt</f>
        <v/>
      </c>
      <c r="J66" s="33">
        <f>I66+turn_min+dwell_min</f>
        <v/>
      </c>
      <c r="K66" s="34">
        <f>MIN(24,FLOOR(60*service_hr/J66,1))</f>
        <v/>
      </c>
      <c r="L66" s="34">
        <f>ROUND(365*mech_uptime*H66,0)</f>
        <v/>
      </c>
      <c r="M66" s="35">
        <f>mech_uptime</f>
        <v/>
      </c>
      <c r="N66" s="35">
        <f>revleg_sel</f>
        <v/>
      </c>
      <c r="O66" s="34">
        <f>ROUND(K66*L66*revleg_sel,0)</f>
        <v/>
      </c>
      <c r="P66" s="36">
        <f>load_sel</f>
        <v/>
      </c>
      <c r="Q66" s="36">
        <f>pax_cap*P66</f>
        <v/>
      </c>
      <c r="R66" s="34">
        <f>Q66*O66</f>
        <v/>
      </c>
      <c r="S66" s="37">
        <f>E66*discount</f>
        <v/>
      </c>
      <c r="T66" s="38">
        <f>S66*R66</f>
        <v/>
      </c>
      <c r="U66" s="38">
        <f>(battery/range_nm)*D66*O66*VLOOKUP(B66,country_opex,3,FALSE)</f>
        <v/>
      </c>
      <c r="V66" s="38">
        <f>VLOOKUP(B66,country_opex,2,FALSE)*crew_factor</f>
        <v/>
      </c>
      <c r="W66" s="38">
        <f>VLOOKUP(B66,country_opex,5,FALSE)</f>
        <v/>
      </c>
      <c r="X66" s="38">
        <f>maint</f>
        <v/>
      </c>
      <c r="Y66" s="38">
        <f>VLOOKUP(B66,country_opex,7,FALSE)*ins_pct</f>
        <v/>
      </c>
      <c r="Z66" s="38">
        <f>charge_berth</f>
        <v/>
      </c>
      <c r="AA66" s="38">
        <f>U66+V66+W66+X66+Y66+Z66</f>
        <v/>
      </c>
      <c r="AB66" s="38">
        <f>VLOOKUP(B66,country_opex,7,FALSE)/dep_years</f>
        <v/>
      </c>
      <c r="AC66" s="38">
        <f>T66-AA66</f>
        <v/>
      </c>
      <c r="AD66" s="35">
        <f>IF(T66=0,"",AC66/T66)</f>
        <v/>
      </c>
      <c r="AE66" s="36">
        <f>IF(AC66&lt;=0,"",VLOOKUP(B66,country_opex,7,FALSE)/AC66)</f>
        <v/>
      </c>
      <c r="AF66" s="33">
        <f>((D66*O66/diesel_nmpg)*diesel_co2pg-(battery/range_nm)*D66*O66*VLOOKUP(B66,country_opex,4,FALSE))/1000</f>
        <v/>
      </c>
      <c r="AG66" s="31" t="n"/>
      <c r="AH66" s="32" t="n"/>
      <c r="AI66" s="32" t="n"/>
      <c r="AJ66" s="39" t="n">
        <v>0.1</v>
      </c>
      <c r="AK66" s="34">
        <f>IF(AG66="","",AG66*AJ66)</f>
        <v/>
      </c>
      <c r="AL66" s="34">
        <f>IF(OR(AG66="",R66=0),"",MIN(IF(AT66="",9.9E+99,AT66),FLOOR(AK66/R66,1)))</f>
        <v/>
      </c>
      <c r="AM66" s="38">
        <f>IF(AL66="","",AL66*T66)</f>
        <v/>
      </c>
      <c r="AN66" s="36">
        <f>IF(OR(AG66="",R66=0),"",MIN(IF(AT66="",9.9E+99,AT66),AK66/R66))</f>
        <v/>
      </c>
      <c r="AO66" s="38">
        <f>IF(AN66="","",AN66*T66)</f>
        <v/>
      </c>
      <c r="AP66" s="40" t="n"/>
      <c r="AQ66" s="32" t="inlineStr">
        <is>
          <t>Estimated</t>
        </is>
      </c>
      <c r="AR66" s="41" t="n"/>
      <c r="AS66" s="41" t="n"/>
      <c r="AT66" s="42" t="n"/>
      <c r="AU66" s="43">
        <f>IF(((S66*pax_cap*load_thin*ROUND(K66*L66*revleg_thin,0))-(((battery/range_nm)*D66*ROUND(K66*L66*revleg_thin,0)*VLOOKUP(B66,country_opex,3,FALSE))+V66+W66+X66+Y66+Z66))&lt;=0,"",VLOOKUP(B66,country_opex,7,FALSE)/((S66*pax_cap*load_thin*ROUND(K66*L66*revleg_thin,0))-(((battery/range_nm)*D66*ROUND(K66*L66*revleg_thin,0)*VLOOKUP(B66,country_opex,3,FALSE))+V66+W66+X66+Y66+Z66)))</f>
        <v/>
      </c>
      <c r="AV66" s="43">
        <f>IF(((S66*pax_cap*load_mid*ROUND(K66*L66*revleg_mid,0))-(((battery/range_nm)*D66*ROUND(K66*L66*revleg_mid,0)*VLOOKUP(B66,country_opex,3,FALSE))+V66+W66+X66+Y66+Z66))&lt;=0,"",VLOOKUP(B66,country_opex,7,FALSE)/((S66*pax_cap*load_mid*ROUND(K66*L66*revleg_mid,0))-(((battery/range_nm)*D66*ROUND(K66*L66*revleg_mid,0)*VLOOKUP(B66,country_opex,3,FALSE))+V66+W66+X66+Y66+Z66)))</f>
        <v/>
      </c>
      <c r="AW66" s="43">
        <f>IF(((S66*pax_cap*load_full*ROUND(K66*L66*revleg_full,0))-(((battery/range_nm)*D66*ROUND(K66*L66*revleg_full,0)*VLOOKUP(B66,country_opex,3,FALSE))+V66+W66+X66+Y66+Z66))&lt;=0,"",VLOOKUP(B66,country_opex,7,FALSE)/((S66*pax_cap*load_full*ROUND(K66*L66*revleg_full,0))-(((battery/range_nm)*D66*ROUND(K66*L66*revleg_full,0)*VLOOKUP(B66,country_opex,3,FALSE))+V66+W66+X66+Y66+Z66)))</f>
        <v/>
      </c>
      <c r="AX66" s="44" t="inlineStr">
        <is>
          <t>PREMIUM tier: divided 10-seater executive speedboat ~₦9,000/seat ≈ $6.6.</t>
        </is>
      </c>
      <c r="AY66" s="44" t="n"/>
    </row>
    <row r="67">
      <c r="A67" s="29" t="inlineStr">
        <is>
          <t>Yango</t>
        </is>
      </c>
      <c r="B67" s="29" t="inlineStr">
        <is>
          <t>Nigeria</t>
        </is>
      </c>
      <c r="C67" s="30" t="inlineStr">
        <is>
          <t>Bayeku → Falomo (Five Cowries Terminal, Ikoyi)</t>
        </is>
      </c>
      <c r="D67" s="31" t="n">
        <v>11</v>
      </c>
      <c r="E67" s="26" t="n">
        <v>6.6</v>
      </c>
      <c r="F67" s="32" t="inlineStr">
        <is>
          <t>T2</t>
        </is>
      </c>
      <c r="G67" s="32" t="inlineStr">
        <is>
          <t>med</t>
        </is>
      </c>
      <c r="H67" s="19" t="n">
        <v>1</v>
      </c>
      <c r="I67" s="33">
        <f>60*D67/cruise_kt</f>
        <v/>
      </c>
      <c r="J67" s="33">
        <f>I67+turn_min+dwell_min</f>
        <v/>
      </c>
      <c r="K67" s="34">
        <f>MIN(24,FLOOR(60*service_hr/J67,1))</f>
        <v/>
      </c>
      <c r="L67" s="34">
        <f>ROUND(365*mech_uptime*H67,0)</f>
        <v/>
      </c>
      <c r="M67" s="35">
        <f>mech_uptime</f>
        <v/>
      </c>
      <c r="N67" s="35">
        <f>revleg_sel</f>
        <v/>
      </c>
      <c r="O67" s="34">
        <f>ROUND(K67*L67*revleg_sel,0)</f>
        <v/>
      </c>
      <c r="P67" s="36">
        <f>load_sel</f>
        <v/>
      </c>
      <c r="Q67" s="36">
        <f>pax_cap*P67</f>
        <v/>
      </c>
      <c r="R67" s="34">
        <f>Q67*O67</f>
        <v/>
      </c>
      <c r="S67" s="37">
        <f>E67*discount</f>
        <v/>
      </c>
      <c r="T67" s="38">
        <f>S67*R67</f>
        <v/>
      </c>
      <c r="U67" s="38">
        <f>(battery/range_nm)*D67*O67*VLOOKUP(B67,country_opex,3,FALSE)</f>
        <v/>
      </c>
      <c r="V67" s="38">
        <f>VLOOKUP(B67,country_opex,2,FALSE)*crew_factor</f>
        <v/>
      </c>
      <c r="W67" s="38">
        <f>VLOOKUP(B67,country_opex,5,FALSE)</f>
        <v/>
      </c>
      <c r="X67" s="38">
        <f>maint</f>
        <v/>
      </c>
      <c r="Y67" s="38">
        <f>VLOOKUP(B67,country_opex,7,FALSE)*ins_pct</f>
        <v/>
      </c>
      <c r="Z67" s="38">
        <f>charge_berth</f>
        <v/>
      </c>
      <c r="AA67" s="38">
        <f>U67+V67+W67+X67+Y67+Z67</f>
        <v/>
      </c>
      <c r="AB67" s="38">
        <f>VLOOKUP(B67,country_opex,7,FALSE)/dep_years</f>
        <v/>
      </c>
      <c r="AC67" s="38">
        <f>T67-AA67</f>
        <v/>
      </c>
      <c r="AD67" s="35">
        <f>IF(T67=0,"",AC67/T67)</f>
        <v/>
      </c>
      <c r="AE67" s="36">
        <f>IF(AC67&lt;=0,"",VLOOKUP(B67,country_opex,7,FALSE)/AC67)</f>
        <v/>
      </c>
      <c r="AF67" s="33">
        <f>((D67*O67/diesel_nmpg)*diesel_co2pg-(battery/range_nm)*D67*O67*VLOOKUP(B67,country_opex,4,FALSE))/1000</f>
        <v/>
      </c>
      <c r="AG67" s="31" t="n"/>
      <c r="AH67" s="32" t="n"/>
      <c r="AI67" s="32" t="n"/>
      <c r="AJ67" s="39" t="n">
        <v>0.1</v>
      </c>
      <c r="AK67" s="34">
        <f>IF(AG67="","",AG67*AJ67)</f>
        <v/>
      </c>
      <c r="AL67" s="34">
        <f>IF(OR(AG67="",R67=0),"",MIN(IF(AT67="",9.9E+99,AT67),FLOOR(AK67/R67,1)))</f>
        <v/>
      </c>
      <c r="AM67" s="38">
        <f>IF(AL67="","",AL67*T67)</f>
        <v/>
      </c>
      <c r="AN67" s="36">
        <f>IF(OR(AG67="",R67=0),"",MIN(IF(AT67="",9.9E+99,AT67),AK67/R67))</f>
        <v/>
      </c>
      <c r="AO67" s="38">
        <f>IF(AN67="","",AN67*T67)</f>
        <v/>
      </c>
      <c r="AP67" s="40" t="n"/>
      <c r="AQ67" s="32" t="inlineStr">
        <is>
          <t>Estimated</t>
        </is>
      </c>
      <c r="AR67" s="41" t="n"/>
      <c r="AS67" s="41" t="n"/>
      <c r="AT67" s="42" t="n"/>
      <c r="AU67" s="43">
        <f>IF(((S67*pax_cap*load_thin*ROUND(K67*L67*revleg_thin,0))-(((battery/range_nm)*D67*ROUND(K67*L67*revleg_thin,0)*VLOOKUP(B67,country_opex,3,FALSE))+V67+W67+X67+Y67+Z67))&lt;=0,"",VLOOKUP(B67,country_opex,7,FALSE)/((S67*pax_cap*load_thin*ROUND(K67*L67*revleg_thin,0))-(((battery/range_nm)*D67*ROUND(K67*L67*revleg_thin,0)*VLOOKUP(B67,country_opex,3,FALSE))+V67+W67+X67+Y67+Z67)))</f>
        <v/>
      </c>
      <c r="AV67" s="43">
        <f>IF(((S67*pax_cap*load_mid*ROUND(K67*L67*revleg_mid,0))-(((battery/range_nm)*D67*ROUND(K67*L67*revleg_mid,0)*VLOOKUP(B67,country_opex,3,FALSE))+V67+W67+X67+Y67+Z67))&lt;=0,"",VLOOKUP(B67,country_opex,7,FALSE)/((S67*pax_cap*load_mid*ROUND(K67*L67*revleg_mid,0))-(((battery/range_nm)*D67*ROUND(K67*L67*revleg_mid,0)*VLOOKUP(B67,country_opex,3,FALSE))+V67+W67+X67+Y67+Z67)))</f>
        <v/>
      </c>
      <c r="AW67" s="43">
        <f>IF(((S67*pax_cap*load_full*ROUND(K67*L67*revleg_full,0))-(((battery/range_nm)*D67*ROUND(K67*L67*revleg_full,0)*VLOOKUP(B67,country_opex,3,FALSE))+V67+W67+X67+Y67+Z67))&lt;=0,"",VLOOKUP(B67,country_opex,7,FALSE)/((S67*pax_cap*load_full*ROUND(K67*L67*revleg_full,0))-(((battery/range_nm)*D67*ROUND(K67*L67*revleg_full,0)*VLOOKUP(B67,country_opex,3,FALSE))+V67+W67+X67+Y67+Z67)))</f>
        <v/>
      </c>
      <c r="AX67" s="44" t="inlineStr">
        <is>
          <t>PREMIUM tier: divided 10-seater executive speedboat ~₦9,000/seat ≈ $6.6.</t>
        </is>
      </c>
      <c r="AY67" s="44" t="n"/>
    </row>
    <row r="68">
      <c r="A68" s="29" t="inlineStr">
        <is>
          <t>Yango</t>
        </is>
      </c>
      <c r="B68" s="29" t="inlineStr">
        <is>
          <t>Nigeria</t>
        </is>
      </c>
      <c r="C68" s="30" t="inlineStr">
        <is>
          <t>Ebute Ojo (Ojo) → CMS/Marina (Lagos Island)</t>
        </is>
      </c>
      <c r="D68" s="31" t="n">
        <v>12</v>
      </c>
      <c r="E68" s="26" t="n">
        <v>6.6</v>
      </c>
      <c r="F68" s="32" t="inlineStr">
        <is>
          <t>T2</t>
        </is>
      </c>
      <c r="G68" s="32" t="inlineStr">
        <is>
          <t>med</t>
        </is>
      </c>
      <c r="H68" s="19" t="n">
        <v>1</v>
      </c>
      <c r="I68" s="33">
        <f>60*D68/cruise_kt</f>
        <v/>
      </c>
      <c r="J68" s="33">
        <f>I68+turn_min+dwell_min</f>
        <v/>
      </c>
      <c r="K68" s="34">
        <f>MIN(24,FLOOR(60*service_hr/J68,1))</f>
        <v/>
      </c>
      <c r="L68" s="34">
        <f>ROUND(365*mech_uptime*H68,0)</f>
        <v/>
      </c>
      <c r="M68" s="35">
        <f>mech_uptime</f>
        <v/>
      </c>
      <c r="N68" s="35">
        <f>revleg_sel</f>
        <v/>
      </c>
      <c r="O68" s="34">
        <f>ROUND(K68*L68*revleg_sel,0)</f>
        <v/>
      </c>
      <c r="P68" s="36">
        <f>load_sel</f>
        <v/>
      </c>
      <c r="Q68" s="36">
        <f>pax_cap*P68</f>
        <v/>
      </c>
      <c r="R68" s="34">
        <f>Q68*O68</f>
        <v/>
      </c>
      <c r="S68" s="37">
        <f>E68*discount</f>
        <v/>
      </c>
      <c r="T68" s="38">
        <f>S68*R68</f>
        <v/>
      </c>
      <c r="U68" s="38">
        <f>(battery/range_nm)*D68*O68*VLOOKUP(B68,country_opex,3,FALSE)</f>
        <v/>
      </c>
      <c r="V68" s="38">
        <f>VLOOKUP(B68,country_opex,2,FALSE)*crew_factor</f>
        <v/>
      </c>
      <c r="W68" s="38">
        <f>VLOOKUP(B68,country_opex,5,FALSE)</f>
        <v/>
      </c>
      <c r="X68" s="38">
        <f>maint</f>
        <v/>
      </c>
      <c r="Y68" s="38">
        <f>VLOOKUP(B68,country_opex,7,FALSE)*ins_pct</f>
        <v/>
      </c>
      <c r="Z68" s="38">
        <f>charge_berth</f>
        <v/>
      </c>
      <c r="AA68" s="38">
        <f>U68+V68+W68+X68+Y68+Z68</f>
        <v/>
      </c>
      <c r="AB68" s="38">
        <f>VLOOKUP(B68,country_opex,7,FALSE)/dep_years</f>
        <v/>
      </c>
      <c r="AC68" s="38">
        <f>T68-AA68</f>
        <v/>
      </c>
      <c r="AD68" s="35">
        <f>IF(T68=0,"",AC68/T68)</f>
        <v/>
      </c>
      <c r="AE68" s="36">
        <f>IF(AC68&lt;=0,"",VLOOKUP(B68,country_opex,7,FALSE)/AC68)</f>
        <v/>
      </c>
      <c r="AF68" s="33">
        <f>((D68*O68/diesel_nmpg)*diesel_co2pg-(battery/range_nm)*D68*O68*VLOOKUP(B68,country_opex,4,FALSE))/1000</f>
        <v/>
      </c>
      <c r="AG68" s="31" t="n"/>
      <c r="AH68" s="32" t="n"/>
      <c r="AI68" s="32" t="n"/>
      <c r="AJ68" s="39" t="n">
        <v>0.1</v>
      </c>
      <c r="AK68" s="34">
        <f>IF(AG68="","",AG68*AJ68)</f>
        <v/>
      </c>
      <c r="AL68" s="34">
        <f>IF(OR(AG68="",R68=0),"",MIN(IF(AT68="",9.9E+99,AT68),FLOOR(AK68/R68,1)))</f>
        <v/>
      </c>
      <c r="AM68" s="38">
        <f>IF(AL68="","",AL68*T68)</f>
        <v/>
      </c>
      <c r="AN68" s="36">
        <f>IF(OR(AG68="",R68=0),"",MIN(IF(AT68="",9.9E+99,AT68),AK68/R68))</f>
        <v/>
      </c>
      <c r="AO68" s="38">
        <f>IF(AN68="","",AN68*T68)</f>
        <v/>
      </c>
      <c r="AP68" s="40" t="n"/>
      <c r="AQ68" s="32" t="inlineStr">
        <is>
          <t>Estimated</t>
        </is>
      </c>
      <c r="AR68" s="41" t="n"/>
      <c r="AS68" s="41" t="n"/>
      <c r="AT68" s="42" t="n"/>
      <c r="AU68" s="43">
        <f>IF(((S68*pax_cap*load_thin*ROUND(K68*L68*revleg_thin,0))-(((battery/range_nm)*D68*ROUND(K68*L68*revleg_thin,0)*VLOOKUP(B68,country_opex,3,FALSE))+V68+W68+X68+Y68+Z68))&lt;=0,"",VLOOKUP(B68,country_opex,7,FALSE)/((S68*pax_cap*load_thin*ROUND(K68*L68*revleg_thin,0))-(((battery/range_nm)*D68*ROUND(K68*L68*revleg_thin,0)*VLOOKUP(B68,country_opex,3,FALSE))+V68+W68+X68+Y68+Z68)))</f>
        <v/>
      </c>
      <c r="AV68" s="43">
        <f>IF(((S68*pax_cap*load_mid*ROUND(K68*L68*revleg_mid,0))-(((battery/range_nm)*D68*ROUND(K68*L68*revleg_mid,0)*VLOOKUP(B68,country_opex,3,FALSE))+V68+W68+X68+Y68+Z68))&lt;=0,"",VLOOKUP(B68,country_opex,7,FALSE)/((S68*pax_cap*load_mid*ROUND(K68*L68*revleg_mid,0))-(((battery/range_nm)*D68*ROUND(K68*L68*revleg_mid,0)*VLOOKUP(B68,country_opex,3,FALSE))+V68+W68+X68+Y68+Z68)))</f>
        <v/>
      </c>
      <c r="AW68" s="43">
        <f>IF(((S68*pax_cap*load_full*ROUND(K68*L68*revleg_full,0))-(((battery/range_nm)*D68*ROUND(K68*L68*revleg_full,0)*VLOOKUP(B68,country_opex,3,FALSE))+V68+W68+X68+Y68+Z68))&lt;=0,"",VLOOKUP(B68,country_opex,7,FALSE)/((S68*pax_cap*load_full*ROUND(K68*L68*revleg_full,0))-(((battery/range_nm)*D68*ROUND(K68*L68*revleg_full,0)*VLOOKUP(B68,country_opex,3,FALSE))+V68+W68+X68+Y68+Z68)))</f>
        <v/>
      </c>
      <c r="AX68" s="44" t="inlineStr">
        <is>
          <t>PREMIUM tier: divided 10-seater executive speedboat ~₦9,000/seat ≈ $6.6.</t>
        </is>
      </c>
      <c r="AY68" s="44" t="n"/>
    </row>
    <row r="69">
      <c r="A69" s="29" t="inlineStr">
        <is>
          <t>Yango</t>
        </is>
      </c>
      <c r="B69" s="29" t="inlineStr">
        <is>
          <t>Nigeria</t>
        </is>
      </c>
      <c r="C69" s="30" t="inlineStr">
        <is>
          <t>Ikorodu → Falomo (Five Cowries Terminal, Ikoyi)</t>
        </is>
      </c>
      <c r="D69" s="31" t="n">
        <v>13</v>
      </c>
      <c r="E69" s="26" t="n">
        <v>6.6</v>
      </c>
      <c r="F69" s="32" t="inlineStr">
        <is>
          <t>T2</t>
        </is>
      </c>
      <c r="G69" s="32" t="inlineStr">
        <is>
          <t>med</t>
        </is>
      </c>
      <c r="H69" s="19" t="n">
        <v>1</v>
      </c>
      <c r="I69" s="33">
        <f>60*D69/cruise_kt</f>
        <v/>
      </c>
      <c r="J69" s="33">
        <f>I69+turn_min+dwell_min</f>
        <v/>
      </c>
      <c r="K69" s="34">
        <f>MIN(24,FLOOR(60*service_hr/J69,1))</f>
        <v/>
      </c>
      <c r="L69" s="34">
        <f>ROUND(365*mech_uptime*H69,0)</f>
        <v/>
      </c>
      <c r="M69" s="35">
        <f>mech_uptime</f>
        <v/>
      </c>
      <c r="N69" s="35">
        <f>revleg_sel</f>
        <v/>
      </c>
      <c r="O69" s="34">
        <f>ROUND(K69*L69*revleg_sel,0)</f>
        <v/>
      </c>
      <c r="P69" s="36">
        <f>load_sel</f>
        <v/>
      </c>
      <c r="Q69" s="36">
        <f>pax_cap*P69</f>
        <v/>
      </c>
      <c r="R69" s="34">
        <f>Q69*O69</f>
        <v/>
      </c>
      <c r="S69" s="37">
        <f>E69*discount</f>
        <v/>
      </c>
      <c r="T69" s="38">
        <f>S69*R69</f>
        <v/>
      </c>
      <c r="U69" s="38">
        <f>(battery/range_nm)*D69*O69*VLOOKUP(B69,country_opex,3,FALSE)</f>
        <v/>
      </c>
      <c r="V69" s="38">
        <f>VLOOKUP(B69,country_opex,2,FALSE)*crew_factor</f>
        <v/>
      </c>
      <c r="W69" s="38">
        <f>VLOOKUP(B69,country_opex,5,FALSE)</f>
        <v/>
      </c>
      <c r="X69" s="38">
        <f>maint</f>
        <v/>
      </c>
      <c r="Y69" s="38">
        <f>VLOOKUP(B69,country_opex,7,FALSE)*ins_pct</f>
        <v/>
      </c>
      <c r="Z69" s="38">
        <f>charge_berth</f>
        <v/>
      </c>
      <c r="AA69" s="38">
        <f>U69+V69+W69+X69+Y69+Z69</f>
        <v/>
      </c>
      <c r="AB69" s="38">
        <f>VLOOKUP(B69,country_opex,7,FALSE)/dep_years</f>
        <v/>
      </c>
      <c r="AC69" s="38">
        <f>T69-AA69</f>
        <v/>
      </c>
      <c r="AD69" s="35">
        <f>IF(T69=0,"",AC69/T69)</f>
        <v/>
      </c>
      <c r="AE69" s="36">
        <f>IF(AC69&lt;=0,"",VLOOKUP(B69,country_opex,7,FALSE)/AC69)</f>
        <v/>
      </c>
      <c r="AF69" s="33">
        <f>((D69*O69/diesel_nmpg)*diesel_co2pg-(battery/range_nm)*D69*O69*VLOOKUP(B69,country_opex,4,FALSE))/1000</f>
        <v/>
      </c>
      <c r="AG69" s="31" t="n"/>
      <c r="AH69" s="32" t="n"/>
      <c r="AI69" s="32" t="n"/>
      <c r="AJ69" s="39" t="n">
        <v>0.1</v>
      </c>
      <c r="AK69" s="34">
        <f>IF(AG69="","",AG69*AJ69)</f>
        <v/>
      </c>
      <c r="AL69" s="34">
        <f>IF(OR(AG69="",R69=0),"",MIN(IF(AT69="",9.9E+99,AT69),FLOOR(AK69/R69,1)))</f>
        <v/>
      </c>
      <c r="AM69" s="38">
        <f>IF(AL69="","",AL69*T69)</f>
        <v/>
      </c>
      <c r="AN69" s="36">
        <f>IF(OR(AG69="",R69=0),"",MIN(IF(AT69="",9.9E+99,AT69),AK69/R69))</f>
        <v/>
      </c>
      <c r="AO69" s="38">
        <f>IF(AN69="","",AN69*T69)</f>
        <v/>
      </c>
      <c r="AP69" s="40" t="n"/>
      <c r="AQ69" s="32" t="inlineStr">
        <is>
          <t>Estimated</t>
        </is>
      </c>
      <c r="AR69" s="41" t="n"/>
      <c r="AS69" s="41" t="n"/>
      <c r="AT69" s="42" t="n"/>
      <c r="AU69" s="43">
        <f>IF(((S69*pax_cap*load_thin*ROUND(K69*L69*revleg_thin,0))-(((battery/range_nm)*D69*ROUND(K69*L69*revleg_thin,0)*VLOOKUP(B69,country_opex,3,FALSE))+V69+W69+X69+Y69+Z69))&lt;=0,"",VLOOKUP(B69,country_opex,7,FALSE)/((S69*pax_cap*load_thin*ROUND(K69*L69*revleg_thin,0))-(((battery/range_nm)*D69*ROUND(K69*L69*revleg_thin,0)*VLOOKUP(B69,country_opex,3,FALSE))+V69+W69+X69+Y69+Z69)))</f>
        <v/>
      </c>
      <c r="AV69" s="43">
        <f>IF(((S69*pax_cap*load_mid*ROUND(K69*L69*revleg_mid,0))-(((battery/range_nm)*D69*ROUND(K69*L69*revleg_mid,0)*VLOOKUP(B69,country_opex,3,FALSE))+V69+W69+X69+Y69+Z69))&lt;=0,"",VLOOKUP(B69,country_opex,7,FALSE)/((S69*pax_cap*load_mid*ROUND(K69*L69*revleg_mid,0))-(((battery/range_nm)*D69*ROUND(K69*L69*revleg_mid,0)*VLOOKUP(B69,country_opex,3,FALSE))+V69+W69+X69+Y69+Z69)))</f>
        <v/>
      </c>
      <c r="AW69" s="43">
        <f>IF(((S69*pax_cap*load_full*ROUND(K69*L69*revleg_full,0))-(((battery/range_nm)*D69*ROUND(K69*L69*revleg_full,0)*VLOOKUP(B69,country_opex,3,FALSE))+V69+W69+X69+Y69+Z69))&lt;=0,"",VLOOKUP(B69,country_opex,7,FALSE)/((S69*pax_cap*load_full*ROUND(K69*L69*revleg_full,0))-(((battery/range_nm)*D69*ROUND(K69*L69*revleg_full,0)*VLOOKUP(B69,country_opex,3,FALSE))+V69+W69+X69+Y69+Z69)))</f>
        <v/>
      </c>
      <c r="AX69" s="44" t="inlineStr">
        <is>
          <t>PREMIUM tier: divided 10-seater executive speedboat ~₦9,000/seat ≈ $6.6.</t>
        </is>
      </c>
      <c r="AY69" s="44" t="n"/>
    </row>
    <row r="70">
      <c r="A70" s="29" t="inlineStr">
        <is>
          <t>Yango</t>
        </is>
      </c>
      <c r="B70" s="29" t="inlineStr">
        <is>
          <t>Nigeria</t>
        </is>
      </c>
      <c r="C70" s="30" t="inlineStr">
        <is>
          <t>CMS → Ikorodu</t>
        </is>
      </c>
      <c r="D70" s="31" t="n">
        <v>15</v>
      </c>
      <c r="E70" s="26" t="n">
        <v>6.6</v>
      </c>
      <c r="F70" s="32" t="inlineStr">
        <is>
          <t>T2</t>
        </is>
      </c>
      <c r="G70" s="32" t="inlineStr">
        <is>
          <t>med</t>
        </is>
      </c>
      <c r="H70" s="19" t="n">
        <v>1</v>
      </c>
      <c r="I70" s="33">
        <f>60*D70/cruise_kt</f>
        <v/>
      </c>
      <c r="J70" s="33">
        <f>I70+turn_min+dwell_min</f>
        <v/>
      </c>
      <c r="K70" s="34">
        <f>MIN(24,FLOOR(60*service_hr/J70,1))</f>
        <v/>
      </c>
      <c r="L70" s="34">
        <f>ROUND(365*mech_uptime*H70,0)</f>
        <v/>
      </c>
      <c r="M70" s="35">
        <f>mech_uptime</f>
        <v/>
      </c>
      <c r="N70" s="35">
        <f>revleg_sel</f>
        <v/>
      </c>
      <c r="O70" s="34">
        <f>ROUND(K70*L70*revleg_sel,0)</f>
        <v/>
      </c>
      <c r="P70" s="36">
        <f>load_sel</f>
        <v/>
      </c>
      <c r="Q70" s="36">
        <f>pax_cap*P70</f>
        <v/>
      </c>
      <c r="R70" s="34">
        <f>Q70*O70</f>
        <v/>
      </c>
      <c r="S70" s="37">
        <f>E70*discount</f>
        <v/>
      </c>
      <c r="T70" s="38">
        <f>S70*R70</f>
        <v/>
      </c>
      <c r="U70" s="38">
        <f>(battery/range_nm)*D70*O70*VLOOKUP(B70,country_opex,3,FALSE)</f>
        <v/>
      </c>
      <c r="V70" s="38">
        <f>VLOOKUP(B70,country_opex,2,FALSE)*crew_factor</f>
        <v/>
      </c>
      <c r="W70" s="38">
        <f>VLOOKUP(B70,country_opex,5,FALSE)</f>
        <v/>
      </c>
      <c r="X70" s="38">
        <f>maint</f>
        <v/>
      </c>
      <c r="Y70" s="38">
        <f>VLOOKUP(B70,country_opex,7,FALSE)*ins_pct</f>
        <v/>
      </c>
      <c r="Z70" s="38">
        <f>charge_berth</f>
        <v/>
      </c>
      <c r="AA70" s="38">
        <f>U70+V70+W70+X70+Y70+Z70</f>
        <v/>
      </c>
      <c r="AB70" s="38">
        <f>VLOOKUP(B70,country_opex,7,FALSE)/dep_years</f>
        <v/>
      </c>
      <c r="AC70" s="38">
        <f>T70-AA70</f>
        <v/>
      </c>
      <c r="AD70" s="35">
        <f>IF(T70=0,"",AC70/T70)</f>
        <v/>
      </c>
      <c r="AE70" s="36">
        <f>IF(AC70&lt;=0,"",VLOOKUP(B70,country_opex,7,FALSE)/AC70)</f>
        <v/>
      </c>
      <c r="AF70" s="33">
        <f>((D70*O70/diesel_nmpg)*diesel_co2pg-(battery/range_nm)*D70*O70*VLOOKUP(B70,country_opex,4,FALSE))/1000</f>
        <v/>
      </c>
      <c r="AG70" s="31" t="n">
        <v>165000</v>
      </c>
      <c r="AH70" s="32" t="n"/>
      <c r="AI70" s="32" t="inlineStr">
        <is>
          <t>med</t>
        </is>
      </c>
      <c r="AJ70" s="39" t="n">
        <v>0.25</v>
      </c>
      <c r="AK70" s="34">
        <f>IF(AG70="","",AG70*AJ70)</f>
        <v/>
      </c>
      <c r="AL70" s="34">
        <f>IF(OR(AG70="",R70=0),"",MIN(IF(AT70="",9.9E+99,AT70),FLOOR(AK70/R70,1)))</f>
        <v/>
      </c>
      <c r="AM70" s="38">
        <f>IF(AL70="","",AL70*T70)</f>
        <v/>
      </c>
      <c r="AN70" s="36">
        <f>IF(OR(AG70="",R70=0),"",MIN(IF(AT70="",9.9E+99,AT70),AK70/R70))</f>
        <v/>
      </c>
      <c r="AO70" s="38">
        <f>IF(AN70="","",AN70*T70)</f>
        <v/>
      </c>
      <c r="AP70" s="40" t="n"/>
      <c r="AQ70" s="32" t="inlineStr">
        <is>
          <t>Grounded</t>
        </is>
      </c>
      <c r="AR70" s="41" t="n"/>
      <c r="AS70" s="41" t="n"/>
      <c r="AT70" s="42" t="n"/>
      <c r="AU70" s="43">
        <f>IF(((S70*pax_cap*load_thin*ROUND(K70*L70*revleg_thin,0))-(((battery/range_nm)*D70*ROUND(K70*L70*revleg_thin,0)*VLOOKUP(B70,country_opex,3,FALSE))+V70+W70+X70+Y70+Z70))&lt;=0,"",VLOOKUP(B70,country_opex,7,FALSE)/((S70*pax_cap*load_thin*ROUND(K70*L70*revleg_thin,0))-(((battery/range_nm)*D70*ROUND(K70*L70*revleg_thin,0)*VLOOKUP(B70,country_opex,3,FALSE))+V70+W70+X70+Y70+Z70)))</f>
        <v/>
      </c>
      <c r="AV70" s="43">
        <f>IF(((S70*pax_cap*load_mid*ROUND(K70*L70*revleg_mid,0))-(((battery/range_nm)*D70*ROUND(K70*L70*revleg_mid,0)*VLOOKUP(B70,country_opex,3,FALSE))+V70+W70+X70+Y70+Z70))&lt;=0,"",VLOOKUP(B70,country_opex,7,FALSE)/((S70*pax_cap*load_mid*ROUND(K70*L70*revleg_mid,0))-(((battery/range_nm)*D70*ROUND(K70*L70*revleg_mid,0)*VLOOKUP(B70,country_opex,3,FALSE))+V70+W70+X70+Y70+Z70)))</f>
        <v/>
      </c>
      <c r="AW70" s="43">
        <f>IF(((S70*pax_cap*load_full*ROUND(K70*L70*revleg_full,0))-(((battery/range_nm)*D70*ROUND(K70*L70*revleg_full,0)*VLOOKUP(B70,country_opex,3,FALSE))+V70+W70+X70+Y70+Z70))&lt;=0,"",VLOOKUP(B70,country_opex,7,FALSE)/((S70*pax_cap*load_full*ROUND(K70*L70*revleg_full,0))-(((battery/range_nm)*D70*ROUND(K70*L70*revleg_full,0)*VLOOKUP(B70,country_opex,3,FALSE))+V70+W70+X70+Y70+Z70)))</f>
        <v/>
      </c>
      <c r="AX70" s="44" t="inlineStr">
        <is>
          <t>PREMIUM tier: divided 10-seater executive speedboat ~₦9,000/seat ≈ $6.6 for the ~50-min crossing.</t>
        </is>
      </c>
      <c r="AY70" s="44" t="n"/>
    </row>
    <row r="71">
      <c r="A71" s="29" t="inlineStr">
        <is>
          <t>Yango</t>
        </is>
      </c>
      <c r="B71" s="29" t="inlineStr">
        <is>
          <t>Nigeria</t>
        </is>
      </c>
      <c r="C71" s="30" t="inlineStr">
        <is>
          <t>Lekki → Epe</t>
        </is>
      </c>
      <c r="D71" s="31" t="n">
        <v>28</v>
      </c>
      <c r="E71" s="26" t="n">
        <v>14.7</v>
      </c>
      <c r="F71" s="32" t="inlineStr">
        <is>
          <t>T2</t>
        </is>
      </c>
      <c r="G71" s="32" t="inlineStr">
        <is>
          <t>med</t>
        </is>
      </c>
      <c r="H71" s="19" t="n">
        <v>1</v>
      </c>
      <c r="I71" s="33">
        <f>60*D71/cruise_kt</f>
        <v/>
      </c>
      <c r="J71" s="33">
        <f>I71+turn_min+dwell_min</f>
        <v/>
      </c>
      <c r="K71" s="34">
        <f>MIN(24,FLOOR(60*service_hr/J71,1))</f>
        <v/>
      </c>
      <c r="L71" s="34">
        <f>ROUND(365*mech_uptime*H71,0)</f>
        <v/>
      </c>
      <c r="M71" s="35">
        <f>mech_uptime</f>
        <v/>
      </c>
      <c r="N71" s="35">
        <f>revleg_sel</f>
        <v/>
      </c>
      <c r="O71" s="34">
        <f>ROUND(K71*L71*revleg_sel,0)</f>
        <v/>
      </c>
      <c r="P71" s="36">
        <f>load_sel</f>
        <v/>
      </c>
      <c r="Q71" s="36">
        <f>pax_cap*P71</f>
        <v/>
      </c>
      <c r="R71" s="34">
        <f>Q71*O71</f>
        <v/>
      </c>
      <c r="S71" s="37">
        <f>E71*discount</f>
        <v/>
      </c>
      <c r="T71" s="38">
        <f>S71*R71</f>
        <v/>
      </c>
      <c r="U71" s="38">
        <f>(battery/range_nm)*D71*O71*VLOOKUP(B71,country_opex,3,FALSE)</f>
        <v/>
      </c>
      <c r="V71" s="38">
        <f>VLOOKUP(B71,country_opex,2,FALSE)*crew_factor</f>
        <v/>
      </c>
      <c r="W71" s="38">
        <f>VLOOKUP(B71,country_opex,5,FALSE)</f>
        <v/>
      </c>
      <c r="X71" s="38">
        <f>maint</f>
        <v/>
      </c>
      <c r="Y71" s="38">
        <f>VLOOKUP(B71,country_opex,7,FALSE)*ins_pct</f>
        <v/>
      </c>
      <c r="Z71" s="38">
        <f>charge_berth</f>
        <v/>
      </c>
      <c r="AA71" s="38">
        <f>U71+V71+W71+X71+Y71+Z71</f>
        <v/>
      </c>
      <c r="AB71" s="38">
        <f>VLOOKUP(B71,country_opex,7,FALSE)/dep_years</f>
        <v/>
      </c>
      <c r="AC71" s="38">
        <f>T71-AA71</f>
        <v/>
      </c>
      <c r="AD71" s="35">
        <f>IF(T71=0,"",AC71/T71)</f>
        <v/>
      </c>
      <c r="AE71" s="36">
        <f>IF(AC71&lt;=0,"",VLOOKUP(B71,country_opex,7,FALSE)/AC71)</f>
        <v/>
      </c>
      <c r="AF71" s="33">
        <f>((D71*O71/diesel_nmpg)*diesel_co2pg-(battery/range_nm)*D71*O71*VLOOKUP(B71,country_opex,4,FALSE))/1000</f>
        <v/>
      </c>
      <c r="AG71" s="31" t="n"/>
      <c r="AH71" s="32" t="n"/>
      <c r="AI71" s="32" t="n"/>
      <c r="AJ71" s="39" t="n">
        <v>0.1</v>
      </c>
      <c r="AK71" s="34">
        <f>IF(AG71="","",AG71*AJ71)</f>
        <v/>
      </c>
      <c r="AL71" s="34">
        <f>IF(OR(AG71="",R71=0),"",MIN(IF(AT71="",9.9E+99,AT71),FLOOR(AK71/R71,1)))</f>
        <v/>
      </c>
      <c r="AM71" s="38">
        <f>IF(AL71="","",AL71*T71)</f>
        <v/>
      </c>
      <c r="AN71" s="36">
        <f>IF(OR(AG71="",R71=0),"",MIN(IF(AT71="",9.9E+99,AT71),AK71/R71))</f>
        <v/>
      </c>
      <c r="AO71" s="38">
        <f>IF(AN71="","",AN71*T71)</f>
        <v/>
      </c>
      <c r="AP71" s="40" t="n"/>
      <c r="AQ71" s="32" t="inlineStr">
        <is>
          <t>Estimated</t>
        </is>
      </c>
      <c r="AR71" s="41" t="n"/>
      <c r="AS71" s="41" t="n"/>
      <c r="AT71" s="42" t="n"/>
      <c r="AU71" s="43">
        <f>IF(((S71*pax_cap*load_thin*ROUND(K71*L71*revleg_thin,0))-(((battery/range_nm)*D71*ROUND(K71*L71*revleg_thin,0)*VLOOKUP(B71,country_opex,3,FALSE))+V71+W71+X71+Y71+Z71))&lt;=0,"",VLOOKUP(B71,country_opex,7,FALSE)/((S71*pax_cap*load_thin*ROUND(K71*L71*revleg_thin,0))-(((battery/range_nm)*D71*ROUND(K71*L71*revleg_thin,0)*VLOOKUP(B71,country_opex,3,FALSE))+V71+W71+X71+Y71+Z71)))</f>
        <v/>
      </c>
      <c r="AV71" s="43">
        <f>IF(((S71*pax_cap*load_mid*ROUND(K71*L71*revleg_mid,0))-(((battery/range_nm)*D71*ROUND(K71*L71*revleg_mid,0)*VLOOKUP(B71,country_opex,3,FALSE))+V71+W71+X71+Y71+Z71))&lt;=0,"",VLOOKUP(B71,country_opex,7,FALSE)/((S71*pax_cap*load_mid*ROUND(K71*L71*revleg_mid,0))-(((battery/range_nm)*D71*ROUND(K71*L71*revleg_mid,0)*VLOOKUP(B71,country_opex,3,FALSE))+V71+W71+X71+Y71+Z71)))</f>
        <v/>
      </c>
      <c r="AW71" s="43">
        <f>IF(((S71*pax_cap*load_full*ROUND(K71*L71*revleg_full,0))-(((battery/range_nm)*D71*ROUND(K71*L71*revleg_full,0)*VLOOKUP(B71,country_opex,3,FALSE))+V71+W71+X71+Y71+Z71))&lt;=0,"",VLOOKUP(B71,country_opex,7,FALSE)/((S71*pax_cap*load_full*ROUND(K71*L71*revleg_full,0))-(((battery/range_nm)*D71*ROUND(K71*L71*revleg_full,0)*VLOOKUP(B71,country_opex,3,FALSE))+V71+W71+X71+Y71+Z71)))</f>
        <v/>
      </c>
      <c r="AX71" s="44" t="inlineStr">
        <is>
          <t>PREMIUM tier (longer run): shared premium boat ₦20,000/person ≈ $14.7; alt divided 10-seater charter scales above the $6.6 short-hop seat for a 28nm run.</t>
        </is>
      </c>
      <c r="AY71" s="44" t="n"/>
    </row>
    <row r="72">
      <c r="A72" s="29" t="inlineStr">
        <is>
          <t>Yango</t>
        </is>
      </c>
      <c r="B72" s="29" t="inlineStr">
        <is>
          <t>Nigeria</t>
        </is>
      </c>
      <c r="C72" s="30" t="inlineStr">
        <is>
          <t>Lagos → Badagry</t>
        </is>
      </c>
      <c r="D72" s="31" t="n">
        <v>32</v>
      </c>
      <c r="E72" s="26" t="n">
        <v>14.7</v>
      </c>
      <c r="F72" s="32" t="inlineStr">
        <is>
          <t>T2</t>
        </is>
      </c>
      <c r="G72" s="32" t="inlineStr">
        <is>
          <t>med</t>
        </is>
      </c>
      <c r="H72" s="19" t="n">
        <v>1</v>
      </c>
      <c r="I72" s="33">
        <f>60*D72/cruise_kt</f>
        <v/>
      </c>
      <c r="J72" s="33">
        <f>I72+turn_min+dwell_min</f>
        <v/>
      </c>
      <c r="K72" s="34">
        <f>MIN(24,FLOOR(60*service_hr/J72,1))</f>
        <v/>
      </c>
      <c r="L72" s="34">
        <f>ROUND(365*mech_uptime*H72,0)</f>
        <v/>
      </c>
      <c r="M72" s="35">
        <f>mech_uptime</f>
        <v/>
      </c>
      <c r="N72" s="35">
        <f>revleg_sel</f>
        <v/>
      </c>
      <c r="O72" s="34">
        <f>ROUND(K72*L72*revleg_sel,0)</f>
        <v/>
      </c>
      <c r="P72" s="36">
        <f>load_sel</f>
        <v/>
      </c>
      <c r="Q72" s="36">
        <f>pax_cap*P72</f>
        <v/>
      </c>
      <c r="R72" s="34">
        <f>Q72*O72</f>
        <v/>
      </c>
      <c r="S72" s="37">
        <f>E72*discount</f>
        <v/>
      </c>
      <c r="T72" s="38">
        <f>S72*R72</f>
        <v/>
      </c>
      <c r="U72" s="38">
        <f>(battery/range_nm)*D72*O72*VLOOKUP(B72,country_opex,3,FALSE)</f>
        <v/>
      </c>
      <c r="V72" s="38">
        <f>VLOOKUP(B72,country_opex,2,FALSE)*crew_factor</f>
        <v/>
      </c>
      <c r="W72" s="38">
        <f>VLOOKUP(B72,country_opex,5,FALSE)</f>
        <v/>
      </c>
      <c r="X72" s="38">
        <f>maint</f>
        <v/>
      </c>
      <c r="Y72" s="38">
        <f>VLOOKUP(B72,country_opex,7,FALSE)*ins_pct</f>
        <v/>
      </c>
      <c r="Z72" s="38">
        <f>charge_berth</f>
        <v/>
      </c>
      <c r="AA72" s="38">
        <f>U72+V72+W72+X72+Y72+Z72</f>
        <v/>
      </c>
      <c r="AB72" s="38">
        <f>VLOOKUP(B72,country_opex,7,FALSE)/dep_years</f>
        <v/>
      </c>
      <c r="AC72" s="38">
        <f>T72-AA72</f>
        <v/>
      </c>
      <c r="AD72" s="35">
        <f>IF(T72=0,"",AC72/T72)</f>
        <v/>
      </c>
      <c r="AE72" s="36">
        <f>IF(AC72&lt;=0,"",VLOOKUP(B72,country_opex,7,FALSE)/AC72)</f>
        <v/>
      </c>
      <c r="AF72" s="33">
        <f>((D72*O72/diesel_nmpg)*diesel_co2pg-(battery/range_nm)*D72*O72*VLOOKUP(B72,country_opex,4,FALSE))/1000</f>
        <v/>
      </c>
      <c r="AG72" s="31" t="n"/>
      <c r="AH72" s="32" t="n"/>
      <c r="AI72" s="32" t="n"/>
      <c r="AJ72" s="39" t="n">
        <v>0.1</v>
      </c>
      <c r="AK72" s="34">
        <f>IF(AG72="","",AG72*AJ72)</f>
        <v/>
      </c>
      <c r="AL72" s="34">
        <f>IF(OR(AG72="",R72=0),"",MIN(IF(AT72="",9.9E+99,AT72),FLOOR(AK72/R72,1)))</f>
        <v/>
      </c>
      <c r="AM72" s="38">
        <f>IF(AL72="","",AL72*T72)</f>
        <v/>
      </c>
      <c r="AN72" s="36">
        <f>IF(OR(AG72="",R72=0),"",MIN(IF(AT72="",9.9E+99,AT72),AK72/R72))</f>
        <v/>
      </c>
      <c r="AO72" s="38">
        <f>IF(AN72="","",AN72*T72)</f>
        <v/>
      </c>
      <c r="AP72" s="40" t="n"/>
      <c r="AQ72" s="32" t="inlineStr">
        <is>
          <t>Estimated</t>
        </is>
      </c>
      <c r="AR72" s="41" t="n"/>
      <c r="AS72" s="41" t="n"/>
      <c r="AT72" s="42" t="n"/>
      <c r="AU72" s="43">
        <f>IF(((S72*pax_cap*load_thin*ROUND(K72*L72*revleg_thin,0))-(((battery/range_nm)*D72*ROUND(K72*L72*revleg_thin,0)*VLOOKUP(B72,country_opex,3,FALSE))+V72+W72+X72+Y72+Z72))&lt;=0,"",VLOOKUP(B72,country_opex,7,FALSE)/((S72*pax_cap*load_thin*ROUND(K72*L72*revleg_thin,0))-(((battery/range_nm)*D72*ROUND(K72*L72*revleg_thin,0)*VLOOKUP(B72,country_opex,3,FALSE))+V72+W72+X72+Y72+Z72)))</f>
        <v/>
      </c>
      <c r="AV72" s="43">
        <f>IF(((S72*pax_cap*load_mid*ROUND(K72*L72*revleg_mid,0))-(((battery/range_nm)*D72*ROUND(K72*L72*revleg_mid,0)*VLOOKUP(B72,country_opex,3,FALSE))+V72+W72+X72+Y72+Z72))&lt;=0,"",VLOOKUP(B72,country_opex,7,FALSE)/((S72*pax_cap*load_mid*ROUND(K72*L72*revleg_mid,0))-(((battery/range_nm)*D72*ROUND(K72*L72*revleg_mid,0)*VLOOKUP(B72,country_opex,3,FALSE))+V72+W72+X72+Y72+Z72)))</f>
        <v/>
      </c>
      <c r="AW72" s="43">
        <f>IF(((S72*pax_cap*load_full*ROUND(K72*L72*revleg_full,0))-(((battery/range_nm)*D72*ROUND(K72*L72*revleg_full,0)*VLOOKUP(B72,country_opex,3,FALSE))+V72+W72+X72+Y72+Z72))&lt;=0,"",VLOOKUP(B72,country_opex,7,FALSE)/((S72*pax_cap*load_full*ROUND(K72*L72*revleg_full,0))-(((battery/range_nm)*D72*ROUND(K72*L72*revleg_full,0)*VLOOKUP(B72,country_opex,3,FALSE))+V72+W72+X72+Y72+Z72)))</f>
        <v/>
      </c>
      <c r="AX72" s="44" t="inlineStr">
        <is>
          <t>PREMIUM tier (long run): shared premium boat ₦20,000/person ≈ $14.7.</t>
        </is>
      </c>
      <c r="AY72" s="44" t="n"/>
    </row>
    <row r="73">
      <c r="A73" s="29" t="inlineStr">
        <is>
          <t>Yango</t>
        </is>
      </c>
      <c r="B73" s="29" t="inlineStr">
        <is>
          <t>Pakistan</t>
        </is>
      </c>
      <c r="C73" s="30" t="inlineStr">
        <is>
          <t>Karachi Harbour (Native Jetty / Keamari) → Port Grand creek / mangrove backwaters</t>
        </is>
      </c>
      <c r="D73" s="31" t="n">
        <v>1</v>
      </c>
      <c r="E73" s="26" t="n">
        <v>18</v>
      </c>
      <c r="F73" s="32" t="inlineStr">
        <is>
          <t>T2</t>
        </is>
      </c>
      <c r="G73" s="32" t="inlineStr">
        <is>
          <t>med</t>
        </is>
      </c>
      <c r="H73" s="19" t="n">
        <v>1</v>
      </c>
      <c r="I73" s="33">
        <f>60*D73/cruise_kt</f>
        <v/>
      </c>
      <c r="J73" s="33">
        <f>I73+turn_min+dwell_min</f>
        <v/>
      </c>
      <c r="K73" s="34">
        <f>MIN(15,FLOOR(60*service_hr/J73,1))</f>
        <v/>
      </c>
      <c r="L73" s="34">
        <f>ROUND(365*mech_uptime*H73,0)</f>
        <v/>
      </c>
      <c r="M73" s="35">
        <f>mech_uptime</f>
        <v/>
      </c>
      <c r="N73" s="35">
        <f>revleg_sel</f>
        <v/>
      </c>
      <c r="O73" s="34">
        <f>ROUND(K73*L73*revleg_sel,0)</f>
        <v/>
      </c>
      <c r="P73" s="36">
        <f>load_sel</f>
        <v/>
      </c>
      <c r="Q73" s="36">
        <f>pax_cap*P73</f>
        <v/>
      </c>
      <c r="R73" s="34">
        <f>Q73*O73</f>
        <v/>
      </c>
      <c r="S73" s="37">
        <f>E73*discount</f>
        <v/>
      </c>
      <c r="T73" s="38">
        <f>S73*R73</f>
        <v/>
      </c>
      <c r="U73" s="38">
        <f>(battery/range_nm)*D73*O73*VLOOKUP(B73,country_opex,3,FALSE)</f>
        <v/>
      </c>
      <c r="V73" s="38">
        <f>VLOOKUP(B73,country_opex,2,FALSE)*crew_factor</f>
        <v/>
      </c>
      <c r="W73" s="38">
        <f>VLOOKUP(B73,country_opex,5,FALSE)</f>
        <v/>
      </c>
      <c r="X73" s="38">
        <f>maint</f>
        <v/>
      </c>
      <c r="Y73" s="38">
        <f>VLOOKUP(B73,country_opex,7,FALSE)*ins_pct</f>
        <v/>
      </c>
      <c r="Z73" s="38">
        <f>charge_berth</f>
        <v/>
      </c>
      <c r="AA73" s="38">
        <f>U73+V73+W73+X73+Y73+Z73</f>
        <v/>
      </c>
      <c r="AB73" s="38">
        <f>VLOOKUP(B73,country_opex,7,FALSE)/dep_years</f>
        <v/>
      </c>
      <c r="AC73" s="38">
        <f>T73-AA73</f>
        <v/>
      </c>
      <c r="AD73" s="35">
        <f>IF(T73=0,"",AC73/T73)</f>
        <v/>
      </c>
      <c r="AE73" s="36">
        <f>IF(AC73&lt;=0,"",VLOOKUP(B73,country_opex,7,FALSE)/AC73)</f>
        <v/>
      </c>
      <c r="AF73" s="33">
        <f>((D73*O73/diesel_nmpg)*diesel_co2pg-(battery/range_nm)*D73*O73*VLOOKUP(B73,country_opex,4,FALSE))/1000</f>
        <v/>
      </c>
      <c r="AG73" s="31" t="n"/>
      <c r="AH73" s="32" t="n"/>
      <c r="AI73" s="32" t="n"/>
      <c r="AJ73" s="39" t="n">
        <v>0.1</v>
      </c>
      <c r="AK73" s="34">
        <f>IF(AG73="","",AG73*AJ73)</f>
        <v/>
      </c>
      <c r="AL73" s="34">
        <f>IF(OR(AG73="",R73=0),"",MIN(IF(AT73="",9.9E+99,AT73),FLOOR(AK73/R73,1)))</f>
        <v/>
      </c>
      <c r="AM73" s="38">
        <f>IF(AL73="","",AL73*T73)</f>
        <v/>
      </c>
      <c r="AN73" s="36">
        <f>IF(OR(AG73="",R73=0),"",MIN(IF(AT73="",9.9E+99,AT73),AK73/R73))</f>
        <v/>
      </c>
      <c r="AO73" s="38">
        <f>IF(AN73="","",AN73*T73)</f>
        <v/>
      </c>
      <c r="AP73" s="40" t="n"/>
      <c r="AQ73" s="32" t="inlineStr">
        <is>
          <t>Estimated</t>
        </is>
      </c>
      <c r="AR73" s="41" t="n"/>
      <c r="AS73" s="41" t="n"/>
      <c r="AT73" s="42" t="n"/>
      <c r="AU73" s="43">
        <f>IF(((S73*pax_cap*load_thin*ROUND(K73*L73*revleg_thin,0))-(((battery/range_nm)*D73*ROUND(K73*L73*revleg_thin,0)*VLOOKUP(B73,country_opex,3,FALSE))+V73+W73+X73+Y73+Z73))&lt;=0,"",VLOOKUP(B73,country_opex,7,FALSE)/((S73*pax_cap*load_thin*ROUND(K73*L73*revleg_thin,0))-(((battery/range_nm)*D73*ROUND(K73*L73*revleg_thin,0)*VLOOKUP(B73,country_opex,3,FALSE))+V73+W73+X73+Y73+Z73)))</f>
        <v/>
      </c>
      <c r="AV73" s="43">
        <f>IF(((S73*pax_cap*load_mid*ROUND(K73*L73*revleg_mid,0))-(((battery/range_nm)*D73*ROUND(K73*L73*revleg_mid,0)*VLOOKUP(B73,country_opex,3,FALSE))+V73+W73+X73+Y73+Z73))&lt;=0,"",VLOOKUP(B73,country_opex,7,FALSE)/((S73*pax_cap*load_mid*ROUND(K73*L73*revleg_mid,0))-(((battery/range_nm)*D73*ROUND(K73*L73*revleg_mid,0)*VLOOKUP(B73,country_opex,3,FALSE))+V73+W73+X73+Y73+Z73)))</f>
        <v/>
      </c>
      <c r="AW73" s="43">
        <f>IF(((S73*pax_cap*load_full*ROUND(K73*L73*revleg_full,0))-(((battery/range_nm)*D73*ROUND(K73*L73*revleg_full,0)*VLOOKUP(B73,country_opex,3,FALSE))+V73+W73+X73+Y73+Z73))&lt;=0,"",VLOOKUP(B73,country_opex,7,FALSE)/((S73*pax_cap*load_full*ROUND(K73*L73*revleg_full,0))-(((battery/range_nm)*D73*ROUND(K73*L73*revleg_full,0)*VLOOKUP(B73,country_opex,3,FALSE))+V73+W73+X73+Y73+Z73)))</f>
        <v/>
      </c>
      <c r="AX73" s="44" t="inlineStr">
        <is>
          <t>[LB-255 PREMIUM RE-FARE: subsidized comparable $3.6 lifted to premium on-demand floor $18.0] PREMIUM/scheduled tier = creek &amp; mangrove cruise per-seat Rs 1,000 (~$3.6, incl. free Port Grand entry). DHA Marina Club party boats (30-50 pax, fully AC) are the higher charter tier but no per-seat fare is published. FLAG: this is a low-priced leisure-cruise seat, well below the Dubai RTA premium convention - reflects the nascent local pricing.</t>
        </is>
      </c>
      <c r="AY73" s="44" t="n"/>
    </row>
    <row r="74">
      <c r="A74" s="29" t="inlineStr">
        <is>
          <t>Yango</t>
        </is>
      </c>
      <c r="B74" s="29" t="inlineStr">
        <is>
          <t>Pakistan</t>
        </is>
      </c>
      <c r="C74" s="30" t="inlineStr">
        <is>
          <t>Karachi (Keamari) → Manora</t>
        </is>
      </c>
      <c r="D74" s="31" t="n">
        <v>1.5</v>
      </c>
      <c r="E74" s="26" t="n">
        <v>23.2</v>
      </c>
      <c r="F74" s="32" t="inlineStr">
        <is>
          <t>T2</t>
        </is>
      </c>
      <c r="G74" s="32" t="inlineStr">
        <is>
          <t>med</t>
        </is>
      </c>
      <c r="H74" s="19" t="n">
        <v>1</v>
      </c>
      <c r="I74" s="33">
        <f>60*D74/cruise_kt</f>
        <v/>
      </c>
      <c r="J74" s="33">
        <f>I74+turn_min+dwell_min</f>
        <v/>
      </c>
      <c r="K74" s="34">
        <f>MIN(24,FLOOR(60*service_hr/J74,1))</f>
        <v/>
      </c>
      <c r="L74" s="34">
        <f>ROUND(365*mech_uptime*H74,0)</f>
        <v/>
      </c>
      <c r="M74" s="35">
        <f>mech_uptime</f>
        <v/>
      </c>
      <c r="N74" s="35">
        <f>revleg_sel</f>
        <v/>
      </c>
      <c r="O74" s="34">
        <f>ROUND(K74*L74*revleg_sel,0)</f>
        <v/>
      </c>
      <c r="P74" s="36">
        <f>load_sel</f>
        <v/>
      </c>
      <c r="Q74" s="36">
        <f>pax_cap*P74</f>
        <v/>
      </c>
      <c r="R74" s="34">
        <f>Q74*O74</f>
        <v/>
      </c>
      <c r="S74" s="37">
        <f>E74*discount</f>
        <v/>
      </c>
      <c r="T74" s="38">
        <f>S74*R74</f>
        <v/>
      </c>
      <c r="U74" s="38">
        <f>(battery/range_nm)*D74*O74*VLOOKUP(B74,country_opex,3,FALSE)</f>
        <v/>
      </c>
      <c r="V74" s="38">
        <f>VLOOKUP(B74,country_opex,2,FALSE)*crew_factor</f>
        <v/>
      </c>
      <c r="W74" s="38">
        <f>VLOOKUP(B74,country_opex,5,FALSE)</f>
        <v/>
      </c>
      <c r="X74" s="38">
        <f>maint</f>
        <v/>
      </c>
      <c r="Y74" s="38">
        <f>VLOOKUP(B74,country_opex,7,FALSE)*ins_pct</f>
        <v/>
      </c>
      <c r="Z74" s="38">
        <f>charge_berth</f>
        <v/>
      </c>
      <c r="AA74" s="38">
        <f>U74+V74+W74+X74+Y74+Z74</f>
        <v/>
      </c>
      <c r="AB74" s="38">
        <f>VLOOKUP(B74,country_opex,7,FALSE)/dep_years</f>
        <v/>
      </c>
      <c r="AC74" s="38">
        <f>T74-AA74</f>
        <v/>
      </c>
      <c r="AD74" s="35">
        <f>IF(T74=0,"",AC74/T74)</f>
        <v/>
      </c>
      <c r="AE74" s="36">
        <f>IF(AC74&lt;=0,"",VLOOKUP(B74,country_opex,7,FALSE)/AC74)</f>
        <v/>
      </c>
      <c r="AF74" s="33">
        <f>((D74*O74/diesel_nmpg)*diesel_co2pg-(battery/range_nm)*D74*O74*VLOOKUP(B74,country_opex,4,FALSE))/1000</f>
        <v/>
      </c>
      <c r="AG74" s="31" t="n">
        <v>320000</v>
      </c>
      <c r="AH74" s="32" t="n"/>
      <c r="AI74" s="32" t="n"/>
      <c r="AJ74" s="39" t="n">
        <v>0.1</v>
      </c>
      <c r="AK74" s="34">
        <f>IF(AG74="","",AG74*AJ74)</f>
        <v/>
      </c>
      <c r="AL74" s="34">
        <f>IF(OR(AG74="",R74=0),"",MIN(IF(AT74="",9.9E+99,AT74),FLOOR(AK74/R74,1)))</f>
        <v/>
      </c>
      <c r="AM74" s="38">
        <f>IF(AL74="","",AL74*T74)</f>
        <v/>
      </c>
      <c r="AN74" s="36">
        <f>IF(OR(AG74="",R74=0),"",MIN(IF(AT74="",9.9E+99,AT74),AK74/R74))</f>
        <v/>
      </c>
      <c r="AO74" s="38">
        <f>IF(AN74="","",AN74*T74)</f>
        <v/>
      </c>
      <c r="AP74" s="40" t="n"/>
      <c r="AQ74" s="32" t="inlineStr">
        <is>
          <t>Grounded</t>
        </is>
      </c>
      <c r="AR74" s="41" t="n"/>
      <c r="AS74" s="41" t="n"/>
      <c r="AT74" s="42" t="n"/>
      <c r="AU74" s="43">
        <f>IF(((S74*pax_cap*load_thin*ROUND(K74*L74*revleg_thin,0))-(((battery/range_nm)*D74*ROUND(K74*L74*revleg_thin,0)*VLOOKUP(B74,country_opex,3,FALSE))+V74+W74+X74+Y74+Z74))&lt;=0,"",VLOOKUP(B74,country_opex,7,FALSE)/((S74*pax_cap*load_thin*ROUND(K74*L74*revleg_thin,0))-(((battery/range_nm)*D74*ROUND(K74*L74*revleg_thin,0)*VLOOKUP(B74,country_opex,3,FALSE))+V74+W74+X74+Y74+Z74)))</f>
        <v/>
      </c>
      <c r="AV74" s="43">
        <f>IF(((S74*pax_cap*load_mid*ROUND(K74*L74*revleg_mid,0))-(((battery/range_nm)*D74*ROUND(K74*L74*revleg_mid,0)*VLOOKUP(B74,country_opex,3,FALSE))+V74+W74+X74+Y74+Z74))&lt;=0,"",VLOOKUP(B74,country_opex,7,FALSE)/((S74*pax_cap*load_mid*ROUND(K74*L74*revleg_mid,0))-(((battery/range_nm)*D74*ROUND(K74*L74*revleg_mid,0)*VLOOKUP(B74,country_opex,3,FALSE))+V74+W74+X74+Y74+Z74)))</f>
        <v/>
      </c>
      <c r="AW74" s="43">
        <f>IF(((S74*pax_cap*load_full*ROUND(K74*L74*revleg_full,0))-(((battery/range_nm)*D74*ROUND(K74*L74*revleg_full,0)*VLOOKUP(B74,country_opex,3,FALSE))+V74+W74+X74+Y74+Z74))&lt;=0,"",VLOOKUP(B74,country_opex,7,FALSE)/((S74*pax_cap*load_full*ROUND(K74*L74*revleg_full,0))-(((battery/range_nm)*D74*ROUND(K74*L74*revleg_full,0)*VLOOKUP(B74,country_opex,3,FALSE))+V74+W74+X74+Y74+Z74)))</f>
        <v/>
      </c>
      <c r="AX74" s="44" t="inlineStr">
        <is>
          <t>PREMIUM tier = scheduled luxury cruise from Keamari (Coast Guard Jetty-1) Rs 6,500/adult (3.5-hr experience; child Rs ~3,500) ~= $23.2 - the highest scheduled marine product on this corridor today. FLAG: this is a 3.5-hr cruise product, not a point-to-point premium shuttle seat; a true scheduled fast Keamari&lt;-&gt;Manora premium seat does not yet exist (the new 74-pax passenger-ferry project, no fare published, would create it).</t>
        </is>
      </c>
      <c r="AY74" s="44" t="n"/>
    </row>
    <row r="75">
      <c r="A75" s="29" t="inlineStr">
        <is>
          <t>Yango</t>
        </is>
      </c>
      <c r="B75" s="29" t="inlineStr">
        <is>
          <t>Pakistan</t>
        </is>
      </c>
      <c r="C75" s="30" t="inlineStr">
        <is>
          <t>Keamari → Sandspit / Hawksbay</t>
        </is>
      </c>
      <c r="D75" s="31" t="n">
        <v>5</v>
      </c>
      <c r="E75" s="26" t="n"/>
      <c r="F75" s="32" t="n"/>
      <c r="G75" s="32" t="n"/>
      <c r="H75" s="19" t="n">
        <v>1</v>
      </c>
      <c r="I75" s="33">
        <f>60*D75/cruise_kt</f>
        <v/>
      </c>
      <c r="J75" s="33">
        <f>I75+turn_min+dwell_min</f>
        <v/>
      </c>
      <c r="K75" s="34">
        <f>MIN(24,FLOOR(60*service_hr/J75,1))</f>
        <v/>
      </c>
      <c r="L75" s="34">
        <f>ROUND(365*mech_uptime*H75,0)</f>
        <v/>
      </c>
      <c r="M75" s="35">
        <f>mech_uptime</f>
        <v/>
      </c>
      <c r="N75" s="35">
        <f>revleg_sel</f>
        <v/>
      </c>
      <c r="O75" s="34">
        <f>ROUND(K75*L75*revleg_sel,0)</f>
        <v/>
      </c>
      <c r="P75" s="36">
        <f>load_sel</f>
        <v/>
      </c>
      <c r="Q75" s="36">
        <f>pax_cap*P75</f>
        <v/>
      </c>
      <c r="R75" s="34">
        <f>Q75*O75</f>
        <v/>
      </c>
      <c r="S75" s="37">
        <f>E75*discount</f>
        <v/>
      </c>
      <c r="T75" s="38">
        <f>S75*R75</f>
        <v/>
      </c>
      <c r="U75" s="38">
        <f>(battery/range_nm)*D75*O75*VLOOKUP(B75,country_opex,3,FALSE)</f>
        <v/>
      </c>
      <c r="V75" s="38">
        <f>VLOOKUP(B75,country_opex,2,FALSE)*crew_factor</f>
        <v/>
      </c>
      <c r="W75" s="38">
        <f>VLOOKUP(B75,country_opex,5,FALSE)</f>
        <v/>
      </c>
      <c r="X75" s="38">
        <f>maint</f>
        <v/>
      </c>
      <c r="Y75" s="38">
        <f>VLOOKUP(B75,country_opex,7,FALSE)*ins_pct</f>
        <v/>
      </c>
      <c r="Z75" s="38">
        <f>charge_berth</f>
        <v/>
      </c>
      <c r="AA75" s="38">
        <f>U75+V75+W75+X75+Y75+Z75</f>
        <v/>
      </c>
      <c r="AB75" s="38">
        <f>VLOOKUP(B75,country_opex,7,FALSE)/dep_years</f>
        <v/>
      </c>
      <c r="AC75" s="38">
        <f>T75-AA75</f>
        <v/>
      </c>
      <c r="AD75" s="35">
        <f>IF(T75=0,"",AC75/T75)</f>
        <v/>
      </c>
      <c r="AE75" s="36">
        <f>IF(AC75&lt;=0,"",VLOOKUP(B75,country_opex,7,FALSE)/AC75)</f>
        <v/>
      </c>
      <c r="AF75" s="33">
        <f>((D75*O75/diesel_nmpg)*diesel_co2pg-(battery/range_nm)*D75*O75*VLOOKUP(B75,country_opex,4,FALSE))/1000</f>
        <v/>
      </c>
      <c r="AG75" s="31" t="n"/>
      <c r="AH75" s="32" t="n"/>
      <c r="AI75" s="32" t="n"/>
      <c r="AJ75" s="39" t="n">
        <v>0.1</v>
      </c>
      <c r="AK75" s="34">
        <f>IF(AG75="","",AG75*AJ75)</f>
        <v/>
      </c>
      <c r="AL75" s="34">
        <f>IF(OR(AG75="",R75=0),"",MIN(IF(AT75="",9.9E+99,AT75),FLOOR(AK75/R75,1)))</f>
        <v/>
      </c>
      <c r="AM75" s="38">
        <f>IF(AL75="","",AL75*T75)</f>
        <v/>
      </c>
      <c r="AN75" s="36">
        <f>IF(OR(AG75="",R75=0),"",MIN(IF(AT75="",9.9E+99,AT75),AK75/R75))</f>
        <v/>
      </c>
      <c r="AO75" s="38">
        <f>IF(AN75="","",AN75*T75)</f>
        <v/>
      </c>
      <c r="AP75" s="40" t="n"/>
      <c r="AQ75" s="32" t="inlineStr">
        <is>
          <t>Estimated</t>
        </is>
      </c>
      <c r="AR75" s="41" t="n"/>
      <c r="AS75" s="41" t="n"/>
      <c r="AT75" s="42" t="n"/>
      <c r="AU75" s="43">
        <f>IF(((S75*pax_cap*load_thin*ROUND(K75*L75*revleg_thin,0))-(((battery/range_nm)*D75*ROUND(K75*L75*revleg_thin,0)*VLOOKUP(B75,country_opex,3,FALSE))+V75+W75+X75+Y75+Z75))&lt;=0,"",VLOOKUP(B75,country_opex,7,FALSE)/((S75*pax_cap*load_thin*ROUND(K75*L75*revleg_thin,0))-(((battery/range_nm)*D75*ROUND(K75*L75*revleg_thin,0)*VLOOKUP(B75,country_opex,3,FALSE))+V75+W75+X75+Y75+Z75)))</f>
        <v/>
      </c>
      <c r="AV75" s="43">
        <f>IF(((S75*pax_cap*load_mid*ROUND(K75*L75*revleg_mid,0))-(((battery/range_nm)*D75*ROUND(K75*L75*revleg_mid,0)*VLOOKUP(B75,country_opex,3,FALSE))+V75+W75+X75+Y75+Z75))&lt;=0,"",VLOOKUP(B75,country_opex,7,FALSE)/((S75*pax_cap*load_mid*ROUND(K75*L75*revleg_mid,0))-(((battery/range_nm)*D75*ROUND(K75*L75*revleg_mid,0)*VLOOKUP(B75,country_opex,3,FALSE))+V75+W75+X75+Y75+Z75)))</f>
        <v/>
      </c>
      <c r="AW75" s="43">
        <f>IF(((S75*pax_cap*load_full*ROUND(K75*L75*revleg_full,0))-(((battery/range_nm)*D75*ROUND(K75*L75*revleg_full,0)*VLOOKUP(B75,country_opex,3,FALSE))+V75+W75+X75+Y75+Z75))&lt;=0,"",VLOOKUP(B75,country_opex,7,FALSE)/((S75*pax_cap*load_full*ROUND(K75*L75*revleg_full,0))-(((battery/range_nm)*D75*ROUND(K75*L75*revleg_full,0)*VLOOKUP(B75,country_opex,3,FALSE))+V75+W75+X75+Y75+Z75)))</f>
        <v/>
      </c>
      <c r="AX75" s="44" t="n"/>
      <c r="AY75" s="44" t="n"/>
    </row>
    <row r="76">
      <c r="A76" s="29" t="inlineStr">
        <is>
          <t>Yango</t>
        </is>
      </c>
      <c r="B76" s="29" t="inlineStr">
        <is>
          <t>Pakistan</t>
        </is>
      </c>
      <c r="C76" s="30" t="inlineStr">
        <is>
          <t>Clifton / Sea View → DHA Phase 8 Creek (Marina Club / HMR Waterfront)</t>
        </is>
      </c>
      <c r="D76" s="31" t="n">
        <v>6</v>
      </c>
      <c r="E76" s="26" t="n"/>
      <c r="F76" s="32" t="n"/>
      <c r="G76" s="32" t="n"/>
      <c r="H76" s="19" t="n">
        <v>1</v>
      </c>
      <c r="I76" s="33">
        <f>60*D76/cruise_kt</f>
        <v/>
      </c>
      <c r="J76" s="33">
        <f>I76+turn_min+dwell_min</f>
        <v/>
      </c>
      <c r="K76" s="34">
        <f>MIN(24,FLOOR(60*service_hr/J76,1))</f>
        <v/>
      </c>
      <c r="L76" s="34">
        <f>ROUND(365*mech_uptime*H76,0)</f>
        <v/>
      </c>
      <c r="M76" s="35">
        <f>mech_uptime</f>
        <v/>
      </c>
      <c r="N76" s="35">
        <f>revleg_sel</f>
        <v/>
      </c>
      <c r="O76" s="34">
        <f>ROUND(K76*L76*revleg_sel,0)</f>
        <v/>
      </c>
      <c r="P76" s="36">
        <f>load_sel</f>
        <v/>
      </c>
      <c r="Q76" s="36">
        <f>pax_cap*P76</f>
        <v/>
      </c>
      <c r="R76" s="34">
        <f>Q76*O76</f>
        <v/>
      </c>
      <c r="S76" s="37">
        <f>E76*discount</f>
        <v/>
      </c>
      <c r="T76" s="38">
        <f>S76*R76</f>
        <v/>
      </c>
      <c r="U76" s="38">
        <f>(battery/range_nm)*D76*O76*VLOOKUP(B76,country_opex,3,FALSE)</f>
        <v/>
      </c>
      <c r="V76" s="38">
        <f>VLOOKUP(B76,country_opex,2,FALSE)*crew_factor</f>
        <v/>
      </c>
      <c r="W76" s="38">
        <f>VLOOKUP(B76,country_opex,5,FALSE)</f>
        <v/>
      </c>
      <c r="X76" s="38">
        <f>maint</f>
        <v/>
      </c>
      <c r="Y76" s="38">
        <f>VLOOKUP(B76,country_opex,7,FALSE)*ins_pct</f>
        <v/>
      </c>
      <c r="Z76" s="38">
        <f>charge_berth</f>
        <v/>
      </c>
      <c r="AA76" s="38">
        <f>U76+V76+W76+X76+Y76+Z76</f>
        <v/>
      </c>
      <c r="AB76" s="38">
        <f>VLOOKUP(B76,country_opex,7,FALSE)/dep_years</f>
        <v/>
      </c>
      <c r="AC76" s="38">
        <f>T76-AA76</f>
        <v/>
      </c>
      <c r="AD76" s="35">
        <f>IF(T76=0,"",AC76/T76)</f>
        <v/>
      </c>
      <c r="AE76" s="36">
        <f>IF(AC76&lt;=0,"",VLOOKUP(B76,country_opex,7,FALSE)/AC76)</f>
        <v/>
      </c>
      <c r="AF76" s="33">
        <f>((D76*O76/diesel_nmpg)*diesel_co2pg-(battery/range_nm)*D76*O76*VLOOKUP(B76,country_opex,4,FALSE))/1000</f>
        <v/>
      </c>
      <c r="AG76" s="31" t="n"/>
      <c r="AH76" s="32" t="n"/>
      <c r="AI76" s="32" t="n"/>
      <c r="AJ76" s="39" t="n">
        <v>0.1</v>
      </c>
      <c r="AK76" s="34">
        <f>IF(AG76="","",AG76*AJ76)</f>
        <v/>
      </c>
      <c r="AL76" s="34">
        <f>IF(OR(AG76="",R76=0),"",MIN(IF(AT76="",9.9E+99,AT76),FLOOR(AK76/R76,1)))</f>
        <v/>
      </c>
      <c r="AM76" s="38">
        <f>IF(AL76="","",AL76*T76)</f>
        <v/>
      </c>
      <c r="AN76" s="36">
        <f>IF(OR(AG76="",R76=0),"",MIN(IF(AT76="",9.9E+99,AT76),AK76/R76))</f>
        <v/>
      </c>
      <c r="AO76" s="38">
        <f>IF(AN76="","",AN76*T76)</f>
        <v/>
      </c>
      <c r="AP76" s="40" t="n"/>
      <c r="AQ76" s="32" t="inlineStr">
        <is>
          <t>Estimated</t>
        </is>
      </c>
      <c r="AR76" s="41" t="n"/>
      <c r="AS76" s="41" t="n"/>
      <c r="AT76" s="42" t="n"/>
      <c r="AU76" s="43">
        <f>IF(((S76*pax_cap*load_thin*ROUND(K76*L76*revleg_thin,0))-(((battery/range_nm)*D76*ROUND(K76*L76*revleg_thin,0)*VLOOKUP(B76,country_opex,3,FALSE))+V76+W76+X76+Y76+Z76))&lt;=0,"",VLOOKUP(B76,country_opex,7,FALSE)/((S76*pax_cap*load_thin*ROUND(K76*L76*revleg_thin,0))-(((battery/range_nm)*D76*ROUND(K76*L76*revleg_thin,0)*VLOOKUP(B76,country_opex,3,FALSE))+V76+W76+X76+Y76+Z76)))</f>
        <v/>
      </c>
      <c r="AV76" s="43">
        <f>IF(((S76*pax_cap*load_mid*ROUND(K76*L76*revleg_mid,0))-(((battery/range_nm)*D76*ROUND(K76*L76*revleg_mid,0)*VLOOKUP(B76,country_opex,3,FALSE))+V76+W76+X76+Y76+Z76))&lt;=0,"",VLOOKUP(B76,country_opex,7,FALSE)/((S76*pax_cap*load_mid*ROUND(K76*L76*revleg_mid,0))-(((battery/range_nm)*D76*ROUND(K76*L76*revleg_mid,0)*VLOOKUP(B76,country_opex,3,FALSE))+V76+W76+X76+Y76+Z76)))</f>
        <v/>
      </c>
      <c r="AW76" s="43">
        <f>IF(((S76*pax_cap*load_full*ROUND(K76*L76*revleg_full,0))-(((battery/range_nm)*D76*ROUND(K76*L76*revleg_full,0)*VLOOKUP(B76,country_opex,3,FALSE))+V76+W76+X76+Y76+Z76))&lt;=0,"",VLOOKUP(B76,country_opex,7,FALSE)/((S76*pax_cap*load_full*ROUND(K76*L76*revleg_full,0))-(((battery/range_nm)*D76*ROUND(K76*L76*revleg_full,0)*VLOOKUP(B76,country_opex,3,FALSE))+V76+W76+X76+Y76+Z76)))</f>
        <v/>
      </c>
      <c r="AX76" s="44" t="n"/>
      <c r="AY76" s="44" t="n"/>
    </row>
    <row r="77">
      <c r="A77" s="29" t="inlineStr">
        <is>
          <t>Yango</t>
        </is>
      </c>
      <c r="B77" s="29" t="inlineStr">
        <is>
          <t>Pakistan</t>
        </is>
      </c>
      <c r="C77" s="30" t="inlineStr">
        <is>
          <t>Karachi Port (KPT) → Port Qasim</t>
        </is>
      </c>
      <c r="D77" s="31" t="n">
        <v>22</v>
      </c>
      <c r="E77" s="26" t="n"/>
      <c r="F77" s="32" t="n"/>
      <c r="G77" s="32" t="n"/>
      <c r="H77" s="19" t="n">
        <v>1</v>
      </c>
      <c r="I77" s="33">
        <f>60*D77/cruise_kt</f>
        <v/>
      </c>
      <c r="J77" s="33">
        <f>I77+turn_min+dwell_min</f>
        <v/>
      </c>
      <c r="K77" s="34">
        <f>MIN(24,FLOOR(60*service_hr/J77,1))</f>
        <v/>
      </c>
      <c r="L77" s="34">
        <f>ROUND(365*mech_uptime*H77,0)</f>
        <v/>
      </c>
      <c r="M77" s="35">
        <f>mech_uptime</f>
        <v/>
      </c>
      <c r="N77" s="35">
        <f>revleg_sel</f>
        <v/>
      </c>
      <c r="O77" s="34">
        <f>ROUND(K77*L77*revleg_sel,0)</f>
        <v/>
      </c>
      <c r="P77" s="36">
        <f>load_sel</f>
        <v/>
      </c>
      <c r="Q77" s="36">
        <f>pax_cap*P77</f>
        <v/>
      </c>
      <c r="R77" s="34">
        <f>Q77*O77</f>
        <v/>
      </c>
      <c r="S77" s="37">
        <f>E77*discount</f>
        <v/>
      </c>
      <c r="T77" s="38">
        <f>S77*R77</f>
        <v/>
      </c>
      <c r="U77" s="38">
        <f>(battery/range_nm)*D77*O77*VLOOKUP(B77,country_opex,3,FALSE)</f>
        <v/>
      </c>
      <c r="V77" s="38">
        <f>VLOOKUP(B77,country_opex,2,FALSE)*crew_factor</f>
        <v/>
      </c>
      <c r="W77" s="38">
        <f>VLOOKUP(B77,country_opex,5,FALSE)</f>
        <v/>
      </c>
      <c r="X77" s="38">
        <f>maint</f>
        <v/>
      </c>
      <c r="Y77" s="38">
        <f>VLOOKUP(B77,country_opex,7,FALSE)*ins_pct</f>
        <v/>
      </c>
      <c r="Z77" s="38">
        <f>charge_berth</f>
        <v/>
      </c>
      <c r="AA77" s="38">
        <f>U77+V77+W77+X77+Y77+Z77</f>
        <v/>
      </c>
      <c r="AB77" s="38">
        <f>VLOOKUP(B77,country_opex,7,FALSE)/dep_years</f>
        <v/>
      </c>
      <c r="AC77" s="38">
        <f>T77-AA77</f>
        <v/>
      </c>
      <c r="AD77" s="35">
        <f>IF(T77=0,"",AC77/T77)</f>
        <v/>
      </c>
      <c r="AE77" s="36">
        <f>IF(AC77&lt;=0,"",VLOOKUP(B77,country_opex,7,FALSE)/AC77)</f>
        <v/>
      </c>
      <c r="AF77" s="33">
        <f>((D77*O77/diesel_nmpg)*diesel_co2pg-(battery/range_nm)*D77*O77*VLOOKUP(B77,country_opex,4,FALSE))/1000</f>
        <v/>
      </c>
      <c r="AG77" s="31" t="n"/>
      <c r="AH77" s="32" t="n"/>
      <c r="AI77" s="32" t="n"/>
      <c r="AJ77" s="39" t="n">
        <v>0.1</v>
      </c>
      <c r="AK77" s="34">
        <f>IF(AG77="","",AG77*AJ77)</f>
        <v/>
      </c>
      <c r="AL77" s="34">
        <f>IF(OR(AG77="",R77=0),"",MIN(IF(AT77="",9.9E+99,AT77),FLOOR(AK77/R77,1)))</f>
        <v/>
      </c>
      <c r="AM77" s="38">
        <f>IF(AL77="","",AL77*T77)</f>
        <v/>
      </c>
      <c r="AN77" s="36">
        <f>IF(OR(AG77="",R77=0),"",MIN(IF(AT77="",9.9E+99,AT77),AK77/R77))</f>
        <v/>
      </c>
      <c r="AO77" s="38">
        <f>IF(AN77="","",AN77*T77)</f>
        <v/>
      </c>
      <c r="AP77" s="40" t="n"/>
      <c r="AQ77" s="32" t="inlineStr">
        <is>
          <t>Estimated</t>
        </is>
      </c>
      <c r="AR77" s="41" t="n"/>
      <c r="AS77" s="41" t="n"/>
      <c r="AT77" s="42" t="n"/>
      <c r="AU77" s="43">
        <f>IF(((S77*pax_cap*load_thin*ROUND(K77*L77*revleg_thin,0))-(((battery/range_nm)*D77*ROUND(K77*L77*revleg_thin,0)*VLOOKUP(B77,country_opex,3,FALSE))+V77+W77+X77+Y77+Z77))&lt;=0,"",VLOOKUP(B77,country_opex,7,FALSE)/((S77*pax_cap*load_thin*ROUND(K77*L77*revleg_thin,0))-(((battery/range_nm)*D77*ROUND(K77*L77*revleg_thin,0)*VLOOKUP(B77,country_opex,3,FALSE))+V77+W77+X77+Y77+Z77)))</f>
        <v/>
      </c>
      <c r="AV77" s="43">
        <f>IF(((S77*pax_cap*load_mid*ROUND(K77*L77*revleg_mid,0))-(((battery/range_nm)*D77*ROUND(K77*L77*revleg_mid,0)*VLOOKUP(B77,country_opex,3,FALSE))+V77+W77+X77+Y77+Z77))&lt;=0,"",VLOOKUP(B77,country_opex,7,FALSE)/((S77*pax_cap*load_mid*ROUND(K77*L77*revleg_mid,0))-(((battery/range_nm)*D77*ROUND(K77*L77*revleg_mid,0)*VLOOKUP(B77,country_opex,3,FALSE))+V77+W77+X77+Y77+Z77)))</f>
        <v/>
      </c>
      <c r="AW77" s="43">
        <f>IF(((S77*pax_cap*load_full*ROUND(K77*L77*revleg_full,0))-(((battery/range_nm)*D77*ROUND(K77*L77*revleg_full,0)*VLOOKUP(B77,country_opex,3,FALSE))+V77+W77+X77+Y77+Z77))&lt;=0,"",VLOOKUP(B77,country_opex,7,FALSE)/((S77*pax_cap*load_full*ROUND(K77*L77*revleg_full,0))-(((battery/range_nm)*D77*ROUND(K77*L77*revleg_full,0)*VLOOKUP(B77,country_opex,3,FALSE))+V77+W77+X77+Y77+Z77)))</f>
        <v/>
      </c>
      <c r="AX77" s="44" t="n"/>
      <c r="AY77" s="44" t="n"/>
    </row>
    <row r="78">
      <c r="A78" s="29" t="inlineStr">
        <is>
          <t>Yango</t>
        </is>
      </c>
      <c r="B78" s="29" t="inlineStr">
        <is>
          <t>Pakistan</t>
        </is>
      </c>
      <c r="C78" s="30" t="inlineStr">
        <is>
          <t>Karachi (Mubarak Village / Keamari) → Churna Island</t>
        </is>
      </c>
      <c r="D78" s="31" t="n">
        <v>26</v>
      </c>
      <c r="E78" s="26" t="n">
        <v>25</v>
      </c>
      <c r="F78" s="32" t="inlineStr">
        <is>
          <t>T2</t>
        </is>
      </c>
      <c r="G78" s="32" t="inlineStr">
        <is>
          <t>med</t>
        </is>
      </c>
      <c r="H78" s="19" t="n">
        <v>1</v>
      </c>
      <c r="I78" s="33">
        <f>60*D78/cruise_kt</f>
        <v/>
      </c>
      <c r="J78" s="33">
        <f>I78+turn_min+dwell_min</f>
        <v/>
      </c>
      <c r="K78" s="34">
        <f>MIN(15,FLOOR(60*service_hr/J78,1))</f>
        <v/>
      </c>
      <c r="L78" s="34">
        <f>ROUND(365*mech_uptime*H78,0)</f>
        <v/>
      </c>
      <c r="M78" s="35">
        <f>mech_uptime</f>
        <v/>
      </c>
      <c r="N78" s="35">
        <f>revleg_sel</f>
        <v/>
      </c>
      <c r="O78" s="34">
        <f>ROUND(K78*L78*revleg_sel,0)</f>
        <v/>
      </c>
      <c r="P78" s="36">
        <f>load_sel</f>
        <v/>
      </c>
      <c r="Q78" s="36">
        <f>pax_cap*P78</f>
        <v/>
      </c>
      <c r="R78" s="34">
        <f>Q78*O78</f>
        <v/>
      </c>
      <c r="S78" s="37">
        <f>E78*discount</f>
        <v/>
      </c>
      <c r="T78" s="38">
        <f>S78*R78</f>
        <v/>
      </c>
      <c r="U78" s="38">
        <f>(battery/range_nm)*D78*O78*VLOOKUP(B78,country_opex,3,FALSE)</f>
        <v/>
      </c>
      <c r="V78" s="38">
        <f>VLOOKUP(B78,country_opex,2,FALSE)*crew_factor</f>
        <v/>
      </c>
      <c r="W78" s="38">
        <f>VLOOKUP(B78,country_opex,5,FALSE)</f>
        <v/>
      </c>
      <c r="X78" s="38">
        <f>maint</f>
        <v/>
      </c>
      <c r="Y78" s="38">
        <f>VLOOKUP(B78,country_opex,7,FALSE)*ins_pct</f>
        <v/>
      </c>
      <c r="Z78" s="38">
        <f>charge_berth</f>
        <v/>
      </c>
      <c r="AA78" s="38">
        <f>U78+V78+W78+X78+Y78+Z78</f>
        <v/>
      </c>
      <c r="AB78" s="38">
        <f>VLOOKUP(B78,country_opex,7,FALSE)/dep_years</f>
        <v/>
      </c>
      <c r="AC78" s="38">
        <f>T78-AA78</f>
        <v/>
      </c>
      <c r="AD78" s="35">
        <f>IF(T78=0,"",AC78/T78)</f>
        <v/>
      </c>
      <c r="AE78" s="36">
        <f>IF(AC78&lt;=0,"",VLOOKUP(B78,country_opex,7,FALSE)/AC78)</f>
        <v/>
      </c>
      <c r="AF78" s="33">
        <f>((D78*O78/diesel_nmpg)*diesel_co2pg-(battery/range_nm)*D78*O78*VLOOKUP(B78,country_opex,4,FALSE))/1000</f>
        <v/>
      </c>
      <c r="AG78" s="31" t="n"/>
      <c r="AH78" s="32" t="n"/>
      <c r="AI78" s="32" t="n"/>
      <c r="AJ78" s="39" t="n">
        <v>0.1</v>
      </c>
      <c r="AK78" s="34">
        <f>IF(AG78="","",AG78*AJ78)</f>
        <v/>
      </c>
      <c r="AL78" s="34">
        <f>IF(OR(AG78="",R78=0),"",MIN(IF(AT78="",9.9E+99,AT78),FLOOR(AK78/R78,1)))</f>
        <v/>
      </c>
      <c r="AM78" s="38">
        <f>IF(AL78="","",AL78*T78)</f>
        <v/>
      </c>
      <c r="AN78" s="36">
        <f>IF(OR(AG78="",R78=0),"",MIN(IF(AT78="",9.9E+99,AT78),AK78/R78))</f>
        <v/>
      </c>
      <c r="AO78" s="38">
        <f>IF(AN78="","",AN78*T78)</f>
        <v/>
      </c>
      <c r="AP78" s="40" t="n"/>
      <c r="AQ78" s="32" t="inlineStr">
        <is>
          <t>Estimated</t>
        </is>
      </c>
      <c r="AR78" s="41" t="n"/>
      <c r="AS78" s="41" t="n"/>
      <c r="AT78" s="42" t="n"/>
      <c r="AU78" s="43">
        <f>IF(((S78*pax_cap*load_thin*ROUND(K78*L78*revleg_thin,0))-(((battery/range_nm)*D78*ROUND(K78*L78*revleg_thin,0)*VLOOKUP(B78,country_opex,3,FALSE))+V78+W78+X78+Y78+Z78))&lt;=0,"",VLOOKUP(B78,country_opex,7,FALSE)/((S78*pax_cap*load_thin*ROUND(K78*L78*revleg_thin,0))-(((battery/range_nm)*D78*ROUND(K78*L78*revleg_thin,0)*VLOOKUP(B78,country_opex,3,FALSE))+V78+W78+X78+Y78+Z78)))</f>
        <v/>
      </c>
      <c r="AV78" s="43">
        <f>IF(((S78*pax_cap*load_mid*ROUND(K78*L78*revleg_mid,0))-(((battery/range_nm)*D78*ROUND(K78*L78*revleg_mid,0)*VLOOKUP(B78,country_opex,3,FALSE))+V78+W78+X78+Y78+Z78))&lt;=0,"",VLOOKUP(B78,country_opex,7,FALSE)/((S78*pax_cap*load_mid*ROUND(K78*L78*revleg_mid,0))-(((battery/range_nm)*D78*ROUND(K78*L78*revleg_mid,0)*VLOOKUP(B78,country_opex,3,FALSE))+V78+W78+X78+Y78+Z78)))</f>
        <v/>
      </c>
      <c r="AW78" s="43">
        <f>IF(((S78*pax_cap*load_full*ROUND(K78*L78*revleg_full,0))-(((battery/range_nm)*D78*ROUND(K78*L78*revleg_full,0)*VLOOKUP(B78,country_opex,3,FALSE))+V78+W78+X78+Y78+Z78))&lt;=0,"",VLOOKUP(B78,country_opex,7,FALSE)/((S78*pax_cap*load_full*ROUND(K78*L78*revleg_full,0))-(((battery/range_nm)*D78*ROUND(K78*L78*revleg_full,0)*VLOOKUP(B78,country_opex,3,FALSE))+V78+W78+X78+Y78+Z78)))</f>
        <v/>
      </c>
      <c r="AX78" s="44" t="inlineStr">
        <is>
          <t>PREMIUM tier = scheduled snorkeling day-trip per-seat ~Rs 7,000 (~$25) (Rover ₨7,000; Far Adventures/TripMaker Rs 5,000-6,000 incl. transport+lunch). Scuba upgrade Rs 9,500-12,000 (~$34-43); private premium speedboat 'Stingray express' Rs 20,000 (~$71) recorded as charter context only.</t>
        </is>
      </c>
      <c r="AY78" s="44" t="n"/>
    </row>
    <row r="79">
      <c r="A79" s="29" t="inlineStr">
        <is>
          <t>Yango</t>
        </is>
      </c>
      <c r="B79" s="29" t="inlineStr">
        <is>
          <t>Qatar</t>
        </is>
      </c>
      <c r="C79" s="30" t="inlineStr">
        <is>
          <t>Lusail Marina → The Pearl</t>
        </is>
      </c>
      <c r="D79" s="31" t="n">
        <v>3.5</v>
      </c>
      <c r="E79" s="26" t="n"/>
      <c r="F79" s="32" t="n"/>
      <c r="G79" s="32" t="n"/>
      <c r="H79" s="19" t="n">
        <v>1</v>
      </c>
      <c r="I79" s="33">
        <f>60*D79/cruise_kt</f>
        <v/>
      </c>
      <c r="J79" s="33">
        <f>I79+turn_min+dwell_min</f>
        <v/>
      </c>
      <c r="K79" s="34">
        <f>MIN(15,FLOOR(60*service_hr/J79,1))</f>
        <v/>
      </c>
      <c r="L79" s="34">
        <f>ROUND(365*mech_uptime*H79,0)</f>
        <v/>
      </c>
      <c r="M79" s="35">
        <f>mech_uptime</f>
        <v/>
      </c>
      <c r="N79" s="35">
        <f>revleg_sel</f>
        <v/>
      </c>
      <c r="O79" s="34">
        <f>ROUND(K79*L79*revleg_sel,0)</f>
        <v/>
      </c>
      <c r="P79" s="36">
        <f>load_sel</f>
        <v/>
      </c>
      <c r="Q79" s="36">
        <f>pax_cap*P79</f>
        <v/>
      </c>
      <c r="R79" s="34">
        <f>Q79*O79</f>
        <v/>
      </c>
      <c r="S79" s="37">
        <f>E79*discount</f>
        <v/>
      </c>
      <c r="T79" s="38">
        <f>S79*R79</f>
        <v/>
      </c>
      <c r="U79" s="38">
        <f>(battery/range_nm)*D79*O79*VLOOKUP(B79,country_opex,3,FALSE)</f>
        <v/>
      </c>
      <c r="V79" s="38">
        <f>VLOOKUP(B79,country_opex,2,FALSE)*crew_factor</f>
        <v/>
      </c>
      <c r="W79" s="38">
        <f>VLOOKUP(B79,country_opex,5,FALSE)</f>
        <v/>
      </c>
      <c r="X79" s="38">
        <f>maint</f>
        <v/>
      </c>
      <c r="Y79" s="38">
        <f>VLOOKUP(B79,country_opex,7,FALSE)*ins_pct</f>
        <v/>
      </c>
      <c r="Z79" s="38">
        <f>charge_berth</f>
        <v/>
      </c>
      <c r="AA79" s="38">
        <f>U79+V79+W79+X79+Y79+Z79</f>
        <v/>
      </c>
      <c r="AB79" s="38">
        <f>VLOOKUP(B79,country_opex,7,FALSE)/dep_years</f>
        <v/>
      </c>
      <c r="AC79" s="38">
        <f>T79-AA79</f>
        <v/>
      </c>
      <c r="AD79" s="35">
        <f>IF(T79=0,"",AC79/T79)</f>
        <v/>
      </c>
      <c r="AE79" s="36">
        <f>IF(AC79&lt;=0,"",VLOOKUP(B79,country_opex,7,FALSE)/AC79)</f>
        <v/>
      </c>
      <c r="AF79" s="33">
        <f>((D79*O79/diesel_nmpg)*diesel_co2pg-(battery/range_nm)*D79*O79*VLOOKUP(B79,country_opex,4,FALSE))/1000</f>
        <v/>
      </c>
      <c r="AG79" s="31" t="n"/>
      <c r="AH79" s="32" t="n"/>
      <c r="AI79" s="32" t="n"/>
      <c r="AJ79" s="39" t="n">
        <v>0.1</v>
      </c>
      <c r="AK79" s="34">
        <f>IF(AG79="","",AG79*AJ79)</f>
        <v/>
      </c>
      <c r="AL79" s="34">
        <f>IF(OR(AG79="",R79=0),"",MIN(IF(AT79="",9.9E+99,AT79),FLOOR(AK79/R79,1)))</f>
        <v/>
      </c>
      <c r="AM79" s="38">
        <f>IF(AL79="","",AL79*T79)</f>
        <v/>
      </c>
      <c r="AN79" s="36">
        <f>IF(OR(AG79="",R79=0),"",MIN(IF(AT79="",9.9E+99,AT79),AK79/R79))</f>
        <v/>
      </c>
      <c r="AO79" s="38">
        <f>IF(AN79="","",AN79*T79)</f>
        <v/>
      </c>
      <c r="AP79" s="40" t="n"/>
      <c r="AQ79" s="32" t="inlineStr">
        <is>
          <t>Estimated</t>
        </is>
      </c>
      <c r="AR79" s="41" t="n"/>
      <c r="AS79" s="41" t="n"/>
      <c r="AT79" s="42" t="n"/>
      <c r="AU79" s="43">
        <f>IF(((S79*pax_cap*load_thin*ROUND(K79*L79*revleg_thin,0))-(((battery/range_nm)*D79*ROUND(K79*L79*revleg_thin,0)*VLOOKUP(B79,country_opex,3,FALSE))+V79+W79+X79+Y79+Z79))&lt;=0,"",VLOOKUP(B79,country_opex,7,FALSE)/((S79*pax_cap*load_thin*ROUND(K79*L79*revleg_thin,0))-(((battery/range_nm)*D79*ROUND(K79*L79*revleg_thin,0)*VLOOKUP(B79,country_opex,3,FALSE))+V79+W79+X79+Y79+Z79)))</f>
        <v/>
      </c>
      <c r="AV79" s="43">
        <f>IF(((S79*pax_cap*load_mid*ROUND(K79*L79*revleg_mid,0))-(((battery/range_nm)*D79*ROUND(K79*L79*revleg_mid,0)*VLOOKUP(B79,country_opex,3,FALSE))+V79+W79+X79+Y79+Z79))&lt;=0,"",VLOOKUP(B79,country_opex,7,FALSE)/((S79*pax_cap*load_mid*ROUND(K79*L79*revleg_mid,0))-(((battery/range_nm)*D79*ROUND(K79*L79*revleg_mid,0)*VLOOKUP(B79,country_opex,3,FALSE))+V79+W79+X79+Y79+Z79)))</f>
        <v/>
      </c>
      <c r="AW79" s="43">
        <f>IF(((S79*pax_cap*load_full*ROUND(K79*L79*revleg_full,0))-(((battery/range_nm)*D79*ROUND(K79*L79*revleg_full,0)*VLOOKUP(B79,country_opex,3,FALSE))+V79+W79+X79+Y79+Z79))&lt;=0,"",VLOOKUP(B79,country_opex,7,FALSE)/((S79*pax_cap*load_full*ROUND(K79*L79*revleg_full,0))-(((battery/range_nm)*D79*ROUND(K79*L79*revleg_full,0)*VLOOKUP(B79,country_opex,3,FALSE))+V79+W79+X79+Y79+Z79)))</f>
        <v/>
      </c>
      <c r="AX79" s="44" t="n"/>
      <c r="AY79" s="44" t="n"/>
    </row>
    <row r="80">
      <c r="A80" s="29" t="inlineStr">
        <is>
          <t>Yango</t>
        </is>
      </c>
      <c r="B80" s="29" t="inlineStr">
        <is>
          <t>Qatar</t>
        </is>
      </c>
      <c r="C80" s="30" t="inlineStr">
        <is>
          <t>Doha Corniche → The Pearl</t>
        </is>
      </c>
      <c r="D80" s="31" t="n">
        <v>4</v>
      </c>
      <c r="E80" s="26" t="n"/>
      <c r="F80" s="32" t="n"/>
      <c r="G80" s="32" t="n"/>
      <c r="H80" s="19" t="n">
        <v>1</v>
      </c>
      <c r="I80" s="33">
        <f>60*D80/cruise_kt</f>
        <v/>
      </c>
      <c r="J80" s="33">
        <f>I80+turn_min+dwell_min</f>
        <v/>
      </c>
      <c r="K80" s="34">
        <f>MIN(15,FLOOR(60*service_hr/J80,1))</f>
        <v/>
      </c>
      <c r="L80" s="34">
        <f>ROUND(365*mech_uptime*H80,0)</f>
        <v/>
      </c>
      <c r="M80" s="35">
        <f>mech_uptime</f>
        <v/>
      </c>
      <c r="N80" s="35">
        <f>revleg_sel</f>
        <v/>
      </c>
      <c r="O80" s="34">
        <f>ROUND(K80*L80*revleg_sel,0)</f>
        <v/>
      </c>
      <c r="P80" s="36">
        <f>load_sel</f>
        <v/>
      </c>
      <c r="Q80" s="36">
        <f>pax_cap*P80</f>
        <v/>
      </c>
      <c r="R80" s="34">
        <f>Q80*O80</f>
        <v/>
      </c>
      <c r="S80" s="37">
        <f>E80*discount</f>
        <v/>
      </c>
      <c r="T80" s="38">
        <f>S80*R80</f>
        <v/>
      </c>
      <c r="U80" s="38">
        <f>(battery/range_nm)*D80*O80*VLOOKUP(B80,country_opex,3,FALSE)</f>
        <v/>
      </c>
      <c r="V80" s="38">
        <f>VLOOKUP(B80,country_opex,2,FALSE)*crew_factor</f>
        <v/>
      </c>
      <c r="W80" s="38">
        <f>VLOOKUP(B80,country_opex,5,FALSE)</f>
        <v/>
      </c>
      <c r="X80" s="38">
        <f>maint</f>
        <v/>
      </c>
      <c r="Y80" s="38">
        <f>VLOOKUP(B80,country_opex,7,FALSE)*ins_pct</f>
        <v/>
      </c>
      <c r="Z80" s="38">
        <f>charge_berth</f>
        <v/>
      </c>
      <c r="AA80" s="38">
        <f>U80+V80+W80+X80+Y80+Z80</f>
        <v/>
      </c>
      <c r="AB80" s="38">
        <f>VLOOKUP(B80,country_opex,7,FALSE)/dep_years</f>
        <v/>
      </c>
      <c r="AC80" s="38">
        <f>T80-AA80</f>
        <v/>
      </c>
      <c r="AD80" s="35">
        <f>IF(T80=0,"",AC80/T80)</f>
        <v/>
      </c>
      <c r="AE80" s="36">
        <f>IF(AC80&lt;=0,"",VLOOKUP(B80,country_opex,7,FALSE)/AC80)</f>
        <v/>
      </c>
      <c r="AF80" s="33">
        <f>((D80*O80/diesel_nmpg)*diesel_co2pg-(battery/range_nm)*D80*O80*VLOOKUP(B80,country_opex,4,FALSE))/1000</f>
        <v/>
      </c>
      <c r="AG80" s="31" t="n"/>
      <c r="AH80" s="32" t="n"/>
      <c r="AI80" s="32" t="n"/>
      <c r="AJ80" s="39" t="n">
        <v>0.1</v>
      </c>
      <c r="AK80" s="34">
        <f>IF(AG80="","",AG80*AJ80)</f>
        <v/>
      </c>
      <c r="AL80" s="34">
        <f>IF(OR(AG80="",R80=0),"",MIN(IF(AT80="",9.9E+99,AT80),FLOOR(AK80/R80,1)))</f>
        <v/>
      </c>
      <c r="AM80" s="38">
        <f>IF(AL80="","",AL80*T80)</f>
        <v/>
      </c>
      <c r="AN80" s="36">
        <f>IF(OR(AG80="",R80=0),"",MIN(IF(AT80="",9.9E+99,AT80),AK80/R80))</f>
        <v/>
      </c>
      <c r="AO80" s="38">
        <f>IF(AN80="","",AN80*T80)</f>
        <v/>
      </c>
      <c r="AP80" s="40" t="n"/>
      <c r="AQ80" s="32" t="inlineStr">
        <is>
          <t>Estimated</t>
        </is>
      </c>
      <c r="AR80" s="41" t="n"/>
      <c r="AS80" s="41" t="n"/>
      <c r="AT80" s="42" t="n"/>
      <c r="AU80" s="43">
        <f>IF(((S80*pax_cap*load_thin*ROUND(K80*L80*revleg_thin,0))-(((battery/range_nm)*D80*ROUND(K80*L80*revleg_thin,0)*VLOOKUP(B80,country_opex,3,FALSE))+V80+W80+X80+Y80+Z80))&lt;=0,"",VLOOKUP(B80,country_opex,7,FALSE)/((S80*pax_cap*load_thin*ROUND(K80*L80*revleg_thin,0))-(((battery/range_nm)*D80*ROUND(K80*L80*revleg_thin,0)*VLOOKUP(B80,country_opex,3,FALSE))+V80+W80+X80+Y80+Z80)))</f>
        <v/>
      </c>
      <c r="AV80" s="43">
        <f>IF(((S80*pax_cap*load_mid*ROUND(K80*L80*revleg_mid,0))-(((battery/range_nm)*D80*ROUND(K80*L80*revleg_mid,0)*VLOOKUP(B80,country_opex,3,FALSE))+V80+W80+X80+Y80+Z80))&lt;=0,"",VLOOKUP(B80,country_opex,7,FALSE)/((S80*pax_cap*load_mid*ROUND(K80*L80*revleg_mid,0))-(((battery/range_nm)*D80*ROUND(K80*L80*revleg_mid,0)*VLOOKUP(B80,country_opex,3,FALSE))+V80+W80+X80+Y80+Z80)))</f>
        <v/>
      </c>
      <c r="AW80" s="43">
        <f>IF(((S80*pax_cap*load_full*ROUND(K80*L80*revleg_full,0))-(((battery/range_nm)*D80*ROUND(K80*L80*revleg_full,0)*VLOOKUP(B80,country_opex,3,FALSE))+V80+W80+X80+Y80+Z80))&lt;=0,"",VLOOKUP(B80,country_opex,7,FALSE)/((S80*pax_cap*load_full*ROUND(K80*L80*revleg_full,0))-(((battery/range_nm)*D80*ROUND(K80*L80*revleg_full,0)*VLOOKUP(B80,country_opex,3,FALSE))+V80+W80+X80+Y80+Z80)))</f>
        <v/>
      </c>
      <c r="AX80" s="44" t="n"/>
      <c r="AY80" s="44" t="n"/>
    </row>
    <row r="81">
      <c r="A81" s="29" t="inlineStr">
        <is>
          <t>Yango</t>
        </is>
      </c>
      <c r="B81" s="29" t="inlineStr">
        <is>
          <t>Qatar</t>
        </is>
      </c>
      <c r="C81" s="30" t="inlineStr">
        <is>
          <t>The Pearl-Qatar (Marsa Arabia) → Doha Corniche / Old Doha Port</t>
        </is>
      </c>
      <c r="D81" s="31" t="n">
        <v>4.4</v>
      </c>
      <c r="E81" s="26" t="n">
        <v>10.99</v>
      </c>
      <c r="F81" s="32" t="inlineStr">
        <is>
          <t>T3</t>
        </is>
      </c>
      <c r="G81" s="32" t="inlineStr">
        <is>
          <t>med</t>
        </is>
      </c>
      <c r="H81" s="19" t="n">
        <v>1</v>
      </c>
      <c r="I81" s="33">
        <f>60*D81/cruise_kt</f>
        <v/>
      </c>
      <c r="J81" s="33">
        <f>I81+turn_min+dwell_min</f>
        <v/>
      </c>
      <c r="K81" s="34">
        <f>MIN(15,FLOOR(60*service_hr/J81,1))</f>
        <v/>
      </c>
      <c r="L81" s="34">
        <f>ROUND(365*mech_uptime*H81,0)</f>
        <v/>
      </c>
      <c r="M81" s="35">
        <f>mech_uptime</f>
        <v/>
      </c>
      <c r="N81" s="35">
        <f>revleg_sel</f>
        <v/>
      </c>
      <c r="O81" s="34">
        <f>ROUND(K81*L81*revleg_sel,0)</f>
        <v/>
      </c>
      <c r="P81" s="36">
        <f>load_sel</f>
        <v/>
      </c>
      <c r="Q81" s="36">
        <f>pax_cap*P81</f>
        <v/>
      </c>
      <c r="R81" s="34">
        <f>Q81*O81</f>
        <v/>
      </c>
      <c r="S81" s="37">
        <f>E81*discount</f>
        <v/>
      </c>
      <c r="T81" s="38">
        <f>S81*R81</f>
        <v/>
      </c>
      <c r="U81" s="38">
        <f>(battery/range_nm)*D81*O81*VLOOKUP(B81,country_opex,3,FALSE)</f>
        <v/>
      </c>
      <c r="V81" s="38">
        <f>VLOOKUP(B81,country_opex,2,FALSE)*crew_factor</f>
        <v/>
      </c>
      <c r="W81" s="38">
        <f>VLOOKUP(B81,country_opex,5,FALSE)</f>
        <v/>
      </c>
      <c r="X81" s="38">
        <f>maint</f>
        <v/>
      </c>
      <c r="Y81" s="38">
        <f>VLOOKUP(B81,country_opex,7,FALSE)*ins_pct</f>
        <v/>
      </c>
      <c r="Z81" s="38">
        <f>charge_berth</f>
        <v/>
      </c>
      <c r="AA81" s="38">
        <f>U81+V81+W81+X81+Y81+Z81</f>
        <v/>
      </c>
      <c r="AB81" s="38">
        <f>VLOOKUP(B81,country_opex,7,FALSE)/dep_years</f>
        <v/>
      </c>
      <c r="AC81" s="38">
        <f>T81-AA81</f>
        <v/>
      </c>
      <c r="AD81" s="35">
        <f>IF(T81=0,"",AC81/T81)</f>
        <v/>
      </c>
      <c r="AE81" s="36">
        <f>IF(AC81&lt;=0,"",VLOOKUP(B81,country_opex,7,FALSE)/AC81)</f>
        <v/>
      </c>
      <c r="AF81" s="33">
        <f>((D81*O81/diesel_nmpg)*diesel_co2pg-(battery/range_nm)*D81*O81*VLOOKUP(B81,country_opex,4,FALSE))/1000</f>
        <v/>
      </c>
      <c r="AG81" s="31" t="n">
        <v>50000</v>
      </c>
      <c r="AH81" s="32" t="inlineStr">
        <is>
          <t>T5</t>
        </is>
      </c>
      <c r="AI81" s="32" t="inlineStr">
        <is>
          <t>low</t>
        </is>
      </c>
      <c r="AJ81" s="39" t="n">
        <v>0.1</v>
      </c>
      <c r="AK81" s="34">
        <f>IF(AG81="","",AG81*AJ81)</f>
        <v/>
      </c>
      <c r="AL81" s="34">
        <f>IF(OR(AG81="",R81=0),"",MIN(IF(AT81="",9.9E+99,AT81),FLOOR(AK81/R81,1)))</f>
        <v/>
      </c>
      <c r="AM81" s="38">
        <f>IF(AL81="","",AL81*T81)</f>
        <v/>
      </c>
      <c r="AN81" s="36">
        <f>IF(OR(AG81="",R81=0),"",MIN(IF(AT81="",9.9E+99,AT81),AK81/R81))</f>
        <v/>
      </c>
      <c r="AO81" s="38">
        <f>IF(AN81="","",AN81*T81)</f>
        <v/>
      </c>
      <c r="AP81" s="40" t="n"/>
      <c r="AQ81" s="32" t="inlineStr">
        <is>
          <t>Grounded</t>
        </is>
      </c>
      <c r="AR81" s="41" t="n"/>
      <c r="AS81" s="41" t="n"/>
      <c r="AT81" s="42" t="n"/>
      <c r="AU81" s="43">
        <f>IF(((S81*pax_cap*load_thin*ROUND(K81*L81*revleg_thin,0))-(((battery/range_nm)*D81*ROUND(K81*L81*revleg_thin,0)*VLOOKUP(B81,country_opex,3,FALSE))+V81+W81+X81+Y81+Z81))&lt;=0,"",VLOOKUP(B81,country_opex,7,FALSE)/((S81*pax_cap*load_thin*ROUND(K81*L81*revleg_thin,0))-(((battery/range_nm)*D81*ROUND(K81*L81*revleg_thin,0)*VLOOKUP(B81,country_opex,3,FALSE))+V81+W81+X81+Y81+Z81)))</f>
        <v/>
      </c>
      <c r="AV81" s="43">
        <f>IF(((S81*pax_cap*load_mid*ROUND(K81*L81*revleg_mid,0))-(((battery/range_nm)*D81*ROUND(K81*L81*revleg_mid,0)*VLOOKUP(B81,country_opex,3,FALSE))+V81+W81+X81+Y81+Z81))&lt;=0,"",VLOOKUP(B81,country_opex,7,FALSE)/((S81*pax_cap*load_mid*ROUND(K81*L81*revleg_mid,0))-(((battery/range_nm)*D81*ROUND(K81*L81*revleg_mid,0)*VLOOKUP(B81,country_opex,3,FALSE))+V81+W81+X81+Y81+Z81)))</f>
        <v/>
      </c>
      <c r="AW81" s="43">
        <f>IF(((S81*pax_cap*load_full*ROUND(K81*L81*revleg_full,0))-(((battery/range_nm)*D81*ROUND(K81*L81*revleg_full,0)*VLOOKUP(B81,country_opex,3,FALSE))+V81+W81+X81+Y81+Z81))&lt;=0,"",VLOOKUP(B81,country_opex,7,FALSE)/((S81*pax_cap*load_full*ROUND(K81*L81*revleg_full,0))-(((battery/range_nm)*D81*ROUND(K81*L81*revleg_full,0)*VLOOKUP(B81,country_opex,3,FALSE))+V81+W81+X81+Y81+Z81)))</f>
        <v/>
      </c>
      <c r="AX81" s="44" t="inlineStr">
        <is>
          <t>Ronautica (UDC official Pearl marine operator) gate-to-gate water shuttle QAR 40/pp (USD 10.99) — premium per-seat tier on-corridor. Cheap tier: Mina Link scheduled shuttle QAR 25/pp (USD 6.87, launched Jul 2025; geography conflict between sources — timeoutdoha says Old Doha Port&lt;-&gt;Pearl, launch coverage says intra-port loop — so held to ladder, not anchor). Intra-Pearl premium: Porto Arabia&lt;-&gt;Qanat Quartier QAR 80/pp ($21.98).</t>
        </is>
      </c>
      <c r="AY81" s="44" t="inlineStr">
        <is>
          <t>On-corridor T1 anchors: Old Doha Port 7M+ visitors 2025 with 97% leasing occupancy, and 87 cruise ships / 396,000+ cruise passengers in the 2024-25 season (QNA/Old Doha Port CEO, 31-Dec-2025 — T1). Pearl Island ~52,000 residents, ~20M vehicle entries/yr (UDC). MOT Pearl Ferry Stop infrastructure complete (mot.gov.qa). Mina Link shuttle (QAR 25/pp, Brooq Tourism, daily 10:00-21:30): ridership unpublished; GEOGRAPHY FLAG — most launch coverage describes it as Containers Yard &lt;-&gt; Mina District (an INTRA-PORT scenic loop), not Old Doha Port &lt;-&gt; The Pearl, so it is a weak on-corridor proxy.</t>
        </is>
      </c>
    </row>
    <row r="82">
      <c r="A82" s="29" t="inlineStr">
        <is>
          <t>Yango</t>
        </is>
      </c>
      <c r="B82" s="29" t="inlineStr">
        <is>
          <t>Qatar</t>
        </is>
      </c>
      <c r="C82" s="30" t="inlineStr">
        <is>
          <t>Doha → Banana Island</t>
        </is>
      </c>
      <c r="D82" s="31" t="n">
        <v>4.5</v>
      </c>
      <c r="E82" s="26" t="n"/>
      <c r="F82" s="32" t="n"/>
      <c r="G82" s="32" t="n"/>
      <c r="H82" s="19" t="n">
        <v>1</v>
      </c>
      <c r="I82" s="33">
        <f>60*D82/cruise_kt</f>
        <v/>
      </c>
      <c r="J82" s="33">
        <f>I82+turn_min+dwell_min</f>
        <v/>
      </c>
      <c r="K82" s="34">
        <f>MIN(15,FLOOR(60*service_hr/J82,1))</f>
        <v/>
      </c>
      <c r="L82" s="34">
        <f>ROUND(365*mech_uptime*H82,0)</f>
        <v/>
      </c>
      <c r="M82" s="35">
        <f>mech_uptime</f>
        <v/>
      </c>
      <c r="N82" s="35">
        <f>revleg_sel</f>
        <v/>
      </c>
      <c r="O82" s="34">
        <f>ROUND(K82*L82*revleg_sel,0)</f>
        <v/>
      </c>
      <c r="P82" s="36">
        <f>load_sel</f>
        <v/>
      </c>
      <c r="Q82" s="36">
        <f>pax_cap*P82</f>
        <v/>
      </c>
      <c r="R82" s="34">
        <f>Q82*O82</f>
        <v/>
      </c>
      <c r="S82" s="37">
        <f>E82*discount</f>
        <v/>
      </c>
      <c r="T82" s="38">
        <f>S82*R82</f>
        <v/>
      </c>
      <c r="U82" s="38">
        <f>(battery/range_nm)*D82*O82*VLOOKUP(B82,country_opex,3,FALSE)</f>
        <v/>
      </c>
      <c r="V82" s="38">
        <f>VLOOKUP(B82,country_opex,2,FALSE)*crew_factor</f>
        <v/>
      </c>
      <c r="W82" s="38">
        <f>VLOOKUP(B82,country_opex,5,FALSE)</f>
        <v/>
      </c>
      <c r="X82" s="38">
        <f>maint</f>
        <v/>
      </c>
      <c r="Y82" s="38">
        <f>VLOOKUP(B82,country_opex,7,FALSE)*ins_pct</f>
        <v/>
      </c>
      <c r="Z82" s="38">
        <f>charge_berth</f>
        <v/>
      </c>
      <c r="AA82" s="38">
        <f>U82+V82+W82+X82+Y82+Z82</f>
        <v/>
      </c>
      <c r="AB82" s="38">
        <f>VLOOKUP(B82,country_opex,7,FALSE)/dep_years</f>
        <v/>
      </c>
      <c r="AC82" s="38">
        <f>T82-AA82</f>
        <v/>
      </c>
      <c r="AD82" s="35">
        <f>IF(T82=0,"",AC82/T82)</f>
        <v/>
      </c>
      <c r="AE82" s="36">
        <f>IF(AC82&lt;=0,"",VLOOKUP(B82,country_opex,7,FALSE)/AC82)</f>
        <v/>
      </c>
      <c r="AF82" s="33">
        <f>((D82*O82/diesel_nmpg)*diesel_co2pg-(battery/range_nm)*D82*O82*VLOOKUP(B82,country_opex,4,FALSE))/1000</f>
        <v/>
      </c>
      <c r="AG82" s="31" t="n"/>
      <c r="AH82" s="32" t="n"/>
      <c r="AI82" s="32" t="n"/>
      <c r="AJ82" s="39" t="n">
        <v>0.1</v>
      </c>
      <c r="AK82" s="34">
        <f>IF(AG82="","",AG82*AJ82)</f>
        <v/>
      </c>
      <c r="AL82" s="34">
        <f>IF(OR(AG82="",R82=0),"",MIN(IF(AT82="",9.9E+99,AT82),FLOOR(AK82/R82,1)))</f>
        <v/>
      </c>
      <c r="AM82" s="38">
        <f>IF(AL82="","",AL82*T82)</f>
        <v/>
      </c>
      <c r="AN82" s="36">
        <f>IF(OR(AG82="",R82=0),"",MIN(IF(AT82="",9.9E+99,AT82),AK82/R82))</f>
        <v/>
      </c>
      <c r="AO82" s="38">
        <f>IF(AN82="","",AN82*T82)</f>
        <v/>
      </c>
      <c r="AP82" s="40" t="n"/>
      <c r="AQ82" s="32" t="inlineStr">
        <is>
          <t>Estimated</t>
        </is>
      </c>
      <c r="AR82" s="41" t="n"/>
      <c r="AS82" s="41" t="n"/>
      <c r="AT82" s="42" t="n"/>
      <c r="AU82" s="43">
        <f>IF(((S82*pax_cap*load_thin*ROUND(K82*L82*revleg_thin,0))-(((battery/range_nm)*D82*ROUND(K82*L82*revleg_thin,0)*VLOOKUP(B82,country_opex,3,FALSE))+V82+W82+X82+Y82+Z82))&lt;=0,"",VLOOKUP(B82,country_opex,7,FALSE)/((S82*pax_cap*load_thin*ROUND(K82*L82*revleg_thin,0))-(((battery/range_nm)*D82*ROUND(K82*L82*revleg_thin,0)*VLOOKUP(B82,country_opex,3,FALSE))+V82+W82+X82+Y82+Z82)))</f>
        <v/>
      </c>
      <c r="AV82" s="43">
        <f>IF(((S82*pax_cap*load_mid*ROUND(K82*L82*revleg_mid,0))-(((battery/range_nm)*D82*ROUND(K82*L82*revleg_mid,0)*VLOOKUP(B82,country_opex,3,FALSE))+V82+W82+X82+Y82+Z82))&lt;=0,"",VLOOKUP(B82,country_opex,7,FALSE)/((S82*pax_cap*load_mid*ROUND(K82*L82*revleg_mid,0))-(((battery/range_nm)*D82*ROUND(K82*L82*revleg_mid,0)*VLOOKUP(B82,country_opex,3,FALSE))+V82+W82+X82+Y82+Z82)))</f>
        <v/>
      </c>
      <c r="AW82" s="43">
        <f>IF(((S82*pax_cap*load_full*ROUND(K82*L82*revleg_full,0))-(((battery/range_nm)*D82*ROUND(K82*L82*revleg_full,0)*VLOOKUP(B82,country_opex,3,FALSE))+V82+W82+X82+Y82+Z82))&lt;=0,"",VLOOKUP(B82,country_opex,7,FALSE)/((S82*pax_cap*load_full*ROUND(K82*L82*revleg_full,0))-(((battery/range_nm)*D82*ROUND(K82*L82*revleg_full,0)*VLOOKUP(B82,country_opex,3,FALSE))+V82+W82+X82+Y82+Z82)))</f>
        <v/>
      </c>
      <c r="AX82" s="44" t="n"/>
      <c r="AY82" s="44" t="n"/>
    </row>
    <row r="83">
      <c r="A83" s="29" t="inlineStr">
        <is>
          <t>Yango</t>
        </is>
      </c>
      <c r="B83" s="29" t="inlineStr">
        <is>
          <t>Qatar</t>
        </is>
      </c>
      <c r="C83" s="30" t="inlineStr">
        <is>
          <t>Doha (Al Shyoukh Terminal) → Banana Island Resort (Anantara)</t>
        </is>
      </c>
      <c r="D83" s="31" t="n">
        <v>4.9</v>
      </c>
      <c r="E83" s="26" t="n">
        <v>27.5</v>
      </c>
      <c r="F83" s="32" t="inlineStr">
        <is>
          <t>T3</t>
        </is>
      </c>
      <c r="G83" s="32" t="inlineStr">
        <is>
          <t>med</t>
        </is>
      </c>
      <c r="H83" s="19" t="n">
        <v>1</v>
      </c>
      <c r="I83" s="33">
        <f>60*D83/cruise_kt</f>
        <v/>
      </c>
      <c r="J83" s="33">
        <f>I83+turn_min+dwell_min</f>
        <v/>
      </c>
      <c r="K83" s="34">
        <f>MIN(15,FLOOR(60*service_hr/J83,1))</f>
        <v/>
      </c>
      <c r="L83" s="34">
        <f>ROUND(365*mech_uptime*H83,0)</f>
        <v/>
      </c>
      <c r="M83" s="35">
        <f>mech_uptime</f>
        <v/>
      </c>
      <c r="N83" s="35">
        <f>revleg_sel</f>
        <v/>
      </c>
      <c r="O83" s="34">
        <f>ROUND(K83*L83*revleg_sel,0)</f>
        <v/>
      </c>
      <c r="P83" s="36">
        <f>load_sel</f>
        <v/>
      </c>
      <c r="Q83" s="36">
        <f>pax_cap*P83</f>
        <v/>
      </c>
      <c r="R83" s="34">
        <f>Q83*O83</f>
        <v/>
      </c>
      <c r="S83" s="37">
        <f>E83*discount</f>
        <v/>
      </c>
      <c r="T83" s="38">
        <f>S83*R83</f>
        <v/>
      </c>
      <c r="U83" s="38">
        <f>(battery/range_nm)*D83*O83*VLOOKUP(B83,country_opex,3,FALSE)</f>
        <v/>
      </c>
      <c r="V83" s="38">
        <f>VLOOKUP(B83,country_opex,2,FALSE)*crew_factor</f>
        <v/>
      </c>
      <c r="W83" s="38">
        <f>VLOOKUP(B83,country_opex,5,FALSE)</f>
        <v/>
      </c>
      <c r="X83" s="38">
        <f>maint</f>
        <v/>
      </c>
      <c r="Y83" s="38">
        <f>VLOOKUP(B83,country_opex,7,FALSE)*ins_pct</f>
        <v/>
      </c>
      <c r="Z83" s="38">
        <f>charge_berth</f>
        <v/>
      </c>
      <c r="AA83" s="38">
        <f>U83+V83+W83+X83+Y83+Z83</f>
        <v/>
      </c>
      <c r="AB83" s="38">
        <f>VLOOKUP(B83,country_opex,7,FALSE)/dep_years</f>
        <v/>
      </c>
      <c r="AC83" s="38">
        <f>T83-AA83</f>
        <v/>
      </c>
      <c r="AD83" s="35">
        <f>IF(T83=0,"",AC83/T83)</f>
        <v/>
      </c>
      <c r="AE83" s="36">
        <f>IF(AC83&lt;=0,"",VLOOKUP(B83,country_opex,7,FALSE)/AC83)</f>
        <v/>
      </c>
      <c r="AF83" s="33">
        <f>((D83*O83/diesel_nmpg)*diesel_co2pg-(battery/range_nm)*D83*O83*VLOOKUP(B83,country_opex,4,FALSE))/1000</f>
        <v/>
      </c>
      <c r="AG83" s="31" t="n">
        <v>85000</v>
      </c>
      <c r="AH83" s="32" t="inlineStr">
        <is>
          <t>T4</t>
        </is>
      </c>
      <c r="AI83" s="32" t="inlineStr">
        <is>
          <t>med-low</t>
        </is>
      </c>
      <c r="AJ83" s="39" t="n">
        <v>0.1</v>
      </c>
      <c r="AK83" s="34">
        <f>IF(AG83="","",AG83*AJ83)</f>
        <v/>
      </c>
      <c r="AL83" s="34">
        <f>IF(OR(AG83="",R83=0),"",MIN(IF(AT83="",9.9E+99,AT83),FLOOR(AK83/R83,1)))</f>
        <v/>
      </c>
      <c r="AM83" s="38">
        <f>IF(AL83="","",AL83*T83)</f>
        <v/>
      </c>
      <c r="AN83" s="36">
        <f>IF(OR(AG83="",R83=0),"",MIN(IF(AT83="",9.9E+99,AT83),AK83/R83))</f>
        <v/>
      </c>
      <c r="AO83" s="38">
        <f>IF(AN83="","",AN83*T83)</f>
        <v/>
      </c>
      <c r="AP83" s="40" t="n"/>
      <c r="AQ83" s="32" t="inlineStr">
        <is>
          <t>Grounded</t>
        </is>
      </c>
      <c r="AR83" s="41" t="n"/>
      <c r="AS83" s="41" t="n"/>
      <c r="AT83" s="42" t="n"/>
      <c r="AU83" s="43">
        <f>IF(((S83*pax_cap*load_thin*ROUND(K83*L83*revleg_thin,0))-(((battery/range_nm)*D83*ROUND(K83*L83*revleg_thin,0)*VLOOKUP(B83,country_opex,3,FALSE))+V83+W83+X83+Y83+Z83))&lt;=0,"",VLOOKUP(B83,country_opex,7,FALSE)/((S83*pax_cap*load_thin*ROUND(K83*L83*revleg_thin,0))-(((battery/range_nm)*D83*ROUND(K83*L83*revleg_thin,0)*VLOOKUP(B83,country_opex,3,FALSE))+V83+W83+X83+Y83+Z83)))</f>
        <v/>
      </c>
      <c r="AV83" s="43">
        <f>IF(((S83*pax_cap*load_mid*ROUND(K83*L83*revleg_mid,0))-(((battery/range_nm)*D83*ROUND(K83*L83*revleg_mid,0)*VLOOKUP(B83,country_opex,3,FALSE))+V83+W83+X83+Y83+Z83))&lt;=0,"",VLOOKUP(B83,country_opex,7,FALSE)/((S83*pax_cap*load_mid*ROUND(K83*L83*revleg_mid,0))-(((battery/range_nm)*D83*ROUND(K83*L83*revleg_mid,0)*VLOOKUP(B83,country_opex,3,FALSE))+V83+W83+X83+Y83+Z83)))</f>
        <v/>
      </c>
      <c r="AW83" s="43">
        <f>IF(((S83*pax_cap*load_full*ROUND(K83*L83*revleg_full,0))-(((battery/range_nm)*D83*ROUND(K83*L83*revleg_full,0)*VLOOKUP(B83,country_opex,3,FALSE))+V83+W83+X83+Y83+Z83))&lt;=0,"",VLOOKUP(B83,country_opex,7,FALSE)/((S83*pax_cap*load_full*ROUND(K83*L83*revleg_full,0))-(((battery/range_nm)*D83*ROUND(K83*L83*revleg_full,0)*VLOOKUP(B83,country_opex,3,FALSE))+V83+W83+X83+Y83+Z83)))</f>
        <v/>
      </c>
      <c r="AX83" s="44" t="inlineStr">
        <is>
          <t>Anantara official: day pass QAR 395/adult ($108.51) incl RT luxury catamaran transfer + QAR 345 credits. De-bundled transfer component: child rate QAR 200 RT no credits =&gt; ~QAR 100/way ~ USD 27.5/pp one-way pure-transfer value (honest band $14-55 RT).</t>
        </is>
      </c>
      <c r="AY83" s="44" t="inlineStr">
        <is>
          <t>Anantara Banana Island official: 141 keys (anantara.com/visitqatar, T1); access is BOAT-ONLY via ~45-51-pax luxury catamaran from Al Shyoukh Terminal, 25-30 min, scheduled ~hourly 09:00-21:00 (booking.com listing; adventureparkdoha.com '45-passenger catamaran operates regularly'; observed 51-pax config). Qatar national hotel occupancy 71% 2025 (Qatar Tourism/ValuStrat, T2). Day-pass product QAR 395/adult incl. RT transfer (anantara.com, T1) adds day-tripper volume.</t>
        </is>
      </c>
    </row>
    <row r="84">
      <c r="A84" s="29" t="inlineStr">
        <is>
          <t>Yango</t>
        </is>
      </c>
      <c r="B84" s="29" t="inlineStr">
        <is>
          <t>Qatar</t>
        </is>
      </c>
      <c r="C84" s="30" t="inlineStr">
        <is>
          <t>West Bay / Corniche (Doha) → Lusail Marina &amp; Place Vendôme</t>
        </is>
      </c>
      <c r="D84" s="31" t="n">
        <v>6.3</v>
      </c>
      <c r="E84" s="26" t="n">
        <v>16</v>
      </c>
      <c r="F84" s="32" t="inlineStr">
        <is>
          <t>T5</t>
        </is>
      </c>
      <c r="G84" s="32" t="inlineStr">
        <is>
          <t>low</t>
        </is>
      </c>
      <c r="H84" s="19" t="n">
        <v>1</v>
      </c>
      <c r="I84" s="33">
        <f>60*D84/cruise_kt</f>
        <v/>
      </c>
      <c r="J84" s="33">
        <f>I84+turn_min+dwell_min</f>
        <v/>
      </c>
      <c r="K84" s="34">
        <f>MIN(15,FLOOR(60*service_hr/J84,1))</f>
        <v/>
      </c>
      <c r="L84" s="34">
        <f>ROUND(365*mech_uptime*H84,0)</f>
        <v/>
      </c>
      <c r="M84" s="35">
        <f>mech_uptime</f>
        <v/>
      </c>
      <c r="N84" s="35">
        <f>revleg_sel</f>
        <v/>
      </c>
      <c r="O84" s="34">
        <f>ROUND(K84*L84*revleg_sel,0)</f>
        <v/>
      </c>
      <c r="P84" s="36">
        <f>load_sel</f>
        <v/>
      </c>
      <c r="Q84" s="36">
        <f>pax_cap*P84</f>
        <v/>
      </c>
      <c r="R84" s="34">
        <f>Q84*O84</f>
        <v/>
      </c>
      <c r="S84" s="37">
        <f>E84*discount</f>
        <v/>
      </c>
      <c r="T84" s="38">
        <f>S84*R84</f>
        <v/>
      </c>
      <c r="U84" s="38">
        <f>(battery/range_nm)*D84*O84*VLOOKUP(B84,country_opex,3,FALSE)</f>
        <v/>
      </c>
      <c r="V84" s="38">
        <f>VLOOKUP(B84,country_opex,2,FALSE)*crew_factor</f>
        <v/>
      </c>
      <c r="W84" s="38">
        <f>VLOOKUP(B84,country_opex,5,FALSE)</f>
        <v/>
      </c>
      <c r="X84" s="38">
        <f>maint</f>
        <v/>
      </c>
      <c r="Y84" s="38">
        <f>VLOOKUP(B84,country_opex,7,FALSE)*ins_pct</f>
        <v/>
      </c>
      <c r="Z84" s="38">
        <f>charge_berth</f>
        <v/>
      </c>
      <c r="AA84" s="38">
        <f>U84+V84+W84+X84+Y84+Z84</f>
        <v/>
      </c>
      <c r="AB84" s="38">
        <f>VLOOKUP(B84,country_opex,7,FALSE)/dep_years</f>
        <v/>
      </c>
      <c r="AC84" s="38">
        <f>T84-AA84</f>
        <v/>
      </c>
      <c r="AD84" s="35">
        <f>IF(T84=0,"",AC84/T84)</f>
        <v/>
      </c>
      <c r="AE84" s="36">
        <f>IF(AC84&lt;=0,"",VLOOKUP(B84,country_opex,7,FALSE)/AC84)</f>
        <v/>
      </c>
      <c r="AF84" s="33">
        <f>((D84*O84/diesel_nmpg)*diesel_co2pg-(battery/range_nm)*D84*O84*VLOOKUP(B84,country_opex,4,FALSE))/1000</f>
        <v/>
      </c>
      <c r="AG84" s="31" t="n">
        <v>75000</v>
      </c>
      <c r="AH84" s="32" t="inlineStr">
        <is>
          <t>T5</t>
        </is>
      </c>
      <c r="AI84" s="32" t="inlineStr">
        <is>
          <t>low</t>
        </is>
      </c>
      <c r="AJ84" s="39" t="n">
        <v>0.1</v>
      </c>
      <c r="AK84" s="34">
        <f>IF(AG84="","",AG84*AJ84)</f>
        <v/>
      </c>
      <c r="AL84" s="34">
        <f>IF(OR(AG84="",R84=0),"",MIN(IF(AT84="",9.9E+99,AT84),FLOOR(AK84/R84,1)))</f>
        <v/>
      </c>
      <c r="AM84" s="38">
        <f>IF(AL84="","",AL84*T84)</f>
        <v/>
      </c>
      <c r="AN84" s="36">
        <f>IF(OR(AG84="",R84=0),"",MIN(IF(AT84="",9.9E+99,AT84),AK84/R84))</f>
        <v/>
      </c>
      <c r="AO84" s="38">
        <f>IF(AN84="","",AN84*T84)</f>
        <v/>
      </c>
      <c r="AP84" s="40" t="n"/>
      <c r="AQ84" s="32" t="inlineStr">
        <is>
          <t>Grounded</t>
        </is>
      </c>
      <c r="AR84" s="41" t="n"/>
      <c r="AS84" s="41" t="n"/>
      <c r="AT84" s="42" t="n"/>
      <c r="AU84" s="43">
        <f>IF(((S84*pax_cap*load_thin*ROUND(K84*L84*revleg_thin,0))-(((battery/range_nm)*D84*ROUND(K84*L84*revleg_thin,0)*VLOOKUP(B84,country_opex,3,FALSE))+V84+W84+X84+Y84+Z84))&lt;=0,"",VLOOKUP(B84,country_opex,7,FALSE)/((S84*pax_cap*load_thin*ROUND(K84*L84*revleg_thin,0))-(((battery/range_nm)*D84*ROUND(K84*L84*revleg_thin,0)*VLOOKUP(B84,country_opex,3,FALSE))+V84+W84+X84+Y84+Z84)))</f>
        <v/>
      </c>
      <c r="AV84" s="43">
        <f>IF(((S84*pax_cap*load_mid*ROUND(K84*L84*revleg_mid,0))-(((battery/range_nm)*D84*ROUND(K84*L84*revleg_mid,0)*VLOOKUP(B84,country_opex,3,FALSE))+V84+W84+X84+Y84+Z84))&lt;=0,"",VLOOKUP(B84,country_opex,7,FALSE)/((S84*pax_cap*load_mid*ROUND(K84*L84*revleg_mid,0))-(((battery/range_nm)*D84*ROUND(K84*L84*revleg_mid,0)*VLOOKUP(B84,country_opex,3,FALSE))+V84+W84+X84+Y84+Z84)))</f>
        <v/>
      </c>
      <c r="AW84" s="43">
        <f>IF(((S84*pax_cap*load_full*ROUND(K84*L84*revleg_full,0))-(((battery/range_nm)*D84*ROUND(K84*L84*revleg_full,0)*VLOOKUP(B84,country_opex,3,FALSE))+V84+W84+X84+Y84+Z84))&lt;=0,"",VLOOKUP(B84,country_opex,7,FALSE)/((S84*pax_cap*load_full*ROUND(K84*L84*revleg_full,0))-(((battery/range_nm)*D84*ROUND(K84*L84*revleg_full,0)*VLOOKUP(B84,country_opex,3,FALSE))+V84+W84+X84+Y84+Z84)))</f>
        <v/>
      </c>
      <c r="AX84" s="44" t="inlineStr">
        <is>
          <t>No scheduled service yet: MOT Water Taxi Phase-1 INFRASTRUCTURE complete 7 Nov 2024 (Lusail Ferry Terminal + Pearl &amp; Corniche stops, EV-charger-fitted) but operator unselected, no fare published (mot.gov.qa). Cascaded from on-network premium per-seat anchor Ronautica Pearl gate-to-gate QAR 40/pp (USD 10.99) scaled per-nm 4.4-&gt;6.3nm =&gt; ~$15.7. Leisure upper bound: Blue Pearl shared speedboat West Bay QAR 160/pp ($43.95).</t>
        </is>
      </c>
      <c r="AY84" s="44" t="inlineStr">
        <is>
          <t>No marine service operates on this corridor today (greenfield; MOT Water Taxi Phase-1 INFRASTRUCTURE complete Nov-2024 — Lusail Ferry Terminal + Corniche Ferry Stop sit EXACTLY on this corridor's endpoints, with electric-ferry chargers — but operator not yet selected; network capacity unpublished, mot.gov.qa). Destination pools (all LAND-arriving, R3-LAND caveat): Al Maha Island Lusail target 1.5M visitors/yr (Gulf Times/developer); Place Vendome mall claims 16.5M annual footfall (UDC leasing brochure 2025, marketing-grade); Lusail Boulevard 250k visitors on NYE 2025 alone (wgoqatar); Doha Corniche promenade has NO published count. Qatar 5.08M intl visitors 2024 / 5.1M 2025 (Qatar Tourism, T1).</t>
        </is>
      </c>
    </row>
    <row r="85">
      <c r="A85" s="29" t="inlineStr">
        <is>
          <t>Yango</t>
        </is>
      </c>
      <c r="B85" s="29" t="inlineStr">
        <is>
          <t>Qatar</t>
        </is>
      </c>
      <c r="C85" s="30" t="inlineStr">
        <is>
          <t>Doha → Lusail Marina</t>
        </is>
      </c>
      <c r="D85" s="31" t="n">
        <v>6.5</v>
      </c>
      <c r="E85" s="26" t="n"/>
      <c r="F85" s="32" t="n"/>
      <c r="G85" s="32" t="n"/>
      <c r="H85" s="19" t="n">
        <v>1</v>
      </c>
      <c r="I85" s="33">
        <f>60*D85/cruise_kt</f>
        <v/>
      </c>
      <c r="J85" s="33">
        <f>I85+turn_min+dwell_min</f>
        <v/>
      </c>
      <c r="K85" s="34">
        <f>MIN(15,FLOOR(60*service_hr/J85,1))</f>
        <v/>
      </c>
      <c r="L85" s="34">
        <f>ROUND(365*mech_uptime*H85,0)</f>
        <v/>
      </c>
      <c r="M85" s="35">
        <f>mech_uptime</f>
        <v/>
      </c>
      <c r="N85" s="35">
        <f>revleg_sel</f>
        <v/>
      </c>
      <c r="O85" s="34">
        <f>ROUND(K85*L85*revleg_sel,0)</f>
        <v/>
      </c>
      <c r="P85" s="36">
        <f>load_sel</f>
        <v/>
      </c>
      <c r="Q85" s="36">
        <f>pax_cap*P85</f>
        <v/>
      </c>
      <c r="R85" s="34">
        <f>Q85*O85</f>
        <v/>
      </c>
      <c r="S85" s="37">
        <f>E85*discount</f>
        <v/>
      </c>
      <c r="T85" s="38">
        <f>S85*R85</f>
        <v/>
      </c>
      <c r="U85" s="38">
        <f>(battery/range_nm)*D85*O85*VLOOKUP(B85,country_opex,3,FALSE)</f>
        <v/>
      </c>
      <c r="V85" s="38">
        <f>VLOOKUP(B85,country_opex,2,FALSE)*crew_factor</f>
        <v/>
      </c>
      <c r="W85" s="38">
        <f>VLOOKUP(B85,country_opex,5,FALSE)</f>
        <v/>
      </c>
      <c r="X85" s="38">
        <f>maint</f>
        <v/>
      </c>
      <c r="Y85" s="38">
        <f>VLOOKUP(B85,country_opex,7,FALSE)*ins_pct</f>
        <v/>
      </c>
      <c r="Z85" s="38">
        <f>charge_berth</f>
        <v/>
      </c>
      <c r="AA85" s="38">
        <f>U85+V85+W85+X85+Y85+Z85</f>
        <v/>
      </c>
      <c r="AB85" s="38">
        <f>VLOOKUP(B85,country_opex,7,FALSE)/dep_years</f>
        <v/>
      </c>
      <c r="AC85" s="38">
        <f>T85-AA85</f>
        <v/>
      </c>
      <c r="AD85" s="35">
        <f>IF(T85=0,"",AC85/T85)</f>
        <v/>
      </c>
      <c r="AE85" s="36">
        <f>IF(AC85&lt;=0,"",VLOOKUP(B85,country_opex,7,FALSE)/AC85)</f>
        <v/>
      </c>
      <c r="AF85" s="33">
        <f>((D85*O85/diesel_nmpg)*diesel_co2pg-(battery/range_nm)*D85*O85*VLOOKUP(B85,country_opex,4,FALSE))/1000</f>
        <v/>
      </c>
      <c r="AG85" s="31" t="n"/>
      <c r="AH85" s="32" t="n"/>
      <c r="AI85" s="32" t="n"/>
      <c r="AJ85" s="39" t="n">
        <v>0.1</v>
      </c>
      <c r="AK85" s="34">
        <f>IF(AG85="","",AG85*AJ85)</f>
        <v/>
      </c>
      <c r="AL85" s="34">
        <f>IF(OR(AG85="",R85=0),"",MIN(IF(AT85="",9.9E+99,AT85),FLOOR(AK85/R85,1)))</f>
        <v/>
      </c>
      <c r="AM85" s="38">
        <f>IF(AL85="","",AL85*T85)</f>
        <v/>
      </c>
      <c r="AN85" s="36">
        <f>IF(OR(AG85="",R85=0),"",MIN(IF(AT85="",9.9E+99,AT85),AK85/R85))</f>
        <v/>
      </c>
      <c r="AO85" s="38">
        <f>IF(AN85="","",AN85*T85)</f>
        <v/>
      </c>
      <c r="AP85" s="40" t="n"/>
      <c r="AQ85" s="32" t="inlineStr">
        <is>
          <t>Estimated</t>
        </is>
      </c>
      <c r="AR85" s="41" t="n"/>
      <c r="AS85" s="41" t="n"/>
      <c r="AT85" s="42" t="n"/>
      <c r="AU85" s="43">
        <f>IF(((S85*pax_cap*load_thin*ROUND(K85*L85*revleg_thin,0))-(((battery/range_nm)*D85*ROUND(K85*L85*revleg_thin,0)*VLOOKUP(B85,country_opex,3,FALSE))+V85+W85+X85+Y85+Z85))&lt;=0,"",VLOOKUP(B85,country_opex,7,FALSE)/((S85*pax_cap*load_thin*ROUND(K85*L85*revleg_thin,0))-(((battery/range_nm)*D85*ROUND(K85*L85*revleg_thin,0)*VLOOKUP(B85,country_opex,3,FALSE))+V85+W85+X85+Y85+Z85)))</f>
        <v/>
      </c>
      <c r="AV85" s="43">
        <f>IF(((S85*pax_cap*load_mid*ROUND(K85*L85*revleg_mid,0))-(((battery/range_nm)*D85*ROUND(K85*L85*revleg_mid,0)*VLOOKUP(B85,country_opex,3,FALSE))+V85+W85+X85+Y85+Z85))&lt;=0,"",VLOOKUP(B85,country_opex,7,FALSE)/((S85*pax_cap*load_mid*ROUND(K85*L85*revleg_mid,0))-(((battery/range_nm)*D85*ROUND(K85*L85*revleg_mid,0)*VLOOKUP(B85,country_opex,3,FALSE))+V85+W85+X85+Y85+Z85)))</f>
        <v/>
      </c>
      <c r="AW85" s="43">
        <f>IF(((S85*pax_cap*load_full*ROUND(K85*L85*revleg_full,0))-(((battery/range_nm)*D85*ROUND(K85*L85*revleg_full,0)*VLOOKUP(B85,country_opex,3,FALSE))+V85+W85+X85+Y85+Z85))&lt;=0,"",VLOOKUP(B85,country_opex,7,FALSE)/((S85*pax_cap*load_full*ROUND(K85*L85*revleg_full,0))-(((battery/range_nm)*D85*ROUND(K85*L85*revleg_full,0)*VLOOKUP(B85,country_opex,3,FALSE))+V85+W85+X85+Y85+Z85)))</f>
        <v/>
      </c>
      <c r="AX85" s="44" t="n"/>
      <c r="AY85" s="44" t="n"/>
    </row>
    <row r="86">
      <c r="A86" s="29" t="inlineStr">
        <is>
          <t>Yango</t>
        </is>
      </c>
      <c r="B86" s="29" t="inlineStr">
        <is>
          <t>Qatar</t>
        </is>
      </c>
      <c r="C86" s="30" t="inlineStr">
        <is>
          <t>Al Wakrah → Banana Island</t>
        </is>
      </c>
      <c r="D86" s="31" t="n">
        <v>9.5</v>
      </c>
      <c r="E86" s="26" t="n"/>
      <c r="F86" s="32" t="n"/>
      <c r="G86" s="32" t="n"/>
      <c r="H86" s="19" t="n">
        <v>1</v>
      </c>
      <c r="I86" s="33">
        <f>60*D86/cruise_kt</f>
        <v/>
      </c>
      <c r="J86" s="33">
        <f>I86+turn_min+dwell_min</f>
        <v/>
      </c>
      <c r="K86" s="34">
        <f>MIN(15,FLOOR(60*service_hr/J86,1))</f>
        <v/>
      </c>
      <c r="L86" s="34">
        <f>ROUND(365*mech_uptime*H86,0)</f>
        <v/>
      </c>
      <c r="M86" s="35">
        <f>mech_uptime</f>
        <v/>
      </c>
      <c r="N86" s="35">
        <f>revleg_sel</f>
        <v/>
      </c>
      <c r="O86" s="34">
        <f>ROUND(K86*L86*revleg_sel,0)</f>
        <v/>
      </c>
      <c r="P86" s="36">
        <f>load_sel</f>
        <v/>
      </c>
      <c r="Q86" s="36">
        <f>pax_cap*P86</f>
        <v/>
      </c>
      <c r="R86" s="34">
        <f>Q86*O86</f>
        <v/>
      </c>
      <c r="S86" s="37">
        <f>E86*discount</f>
        <v/>
      </c>
      <c r="T86" s="38">
        <f>S86*R86</f>
        <v/>
      </c>
      <c r="U86" s="38">
        <f>(battery/range_nm)*D86*O86*VLOOKUP(B86,country_opex,3,FALSE)</f>
        <v/>
      </c>
      <c r="V86" s="38">
        <f>VLOOKUP(B86,country_opex,2,FALSE)*crew_factor</f>
        <v/>
      </c>
      <c r="W86" s="38">
        <f>VLOOKUP(B86,country_opex,5,FALSE)</f>
        <v/>
      </c>
      <c r="X86" s="38">
        <f>maint</f>
        <v/>
      </c>
      <c r="Y86" s="38">
        <f>VLOOKUP(B86,country_opex,7,FALSE)*ins_pct</f>
        <v/>
      </c>
      <c r="Z86" s="38">
        <f>charge_berth</f>
        <v/>
      </c>
      <c r="AA86" s="38">
        <f>U86+V86+W86+X86+Y86+Z86</f>
        <v/>
      </c>
      <c r="AB86" s="38">
        <f>VLOOKUP(B86,country_opex,7,FALSE)/dep_years</f>
        <v/>
      </c>
      <c r="AC86" s="38">
        <f>T86-AA86</f>
        <v/>
      </c>
      <c r="AD86" s="35">
        <f>IF(T86=0,"",AC86/T86)</f>
        <v/>
      </c>
      <c r="AE86" s="36">
        <f>IF(AC86&lt;=0,"",VLOOKUP(B86,country_opex,7,FALSE)/AC86)</f>
        <v/>
      </c>
      <c r="AF86" s="33">
        <f>((D86*O86/diesel_nmpg)*diesel_co2pg-(battery/range_nm)*D86*O86*VLOOKUP(B86,country_opex,4,FALSE))/1000</f>
        <v/>
      </c>
      <c r="AG86" s="31" t="n"/>
      <c r="AH86" s="32" t="n"/>
      <c r="AI86" s="32" t="n"/>
      <c r="AJ86" s="39" t="n">
        <v>0.1</v>
      </c>
      <c r="AK86" s="34">
        <f>IF(AG86="","",AG86*AJ86)</f>
        <v/>
      </c>
      <c r="AL86" s="34">
        <f>IF(OR(AG86="",R86=0),"",MIN(IF(AT86="",9.9E+99,AT86),FLOOR(AK86/R86,1)))</f>
        <v/>
      </c>
      <c r="AM86" s="38">
        <f>IF(AL86="","",AL86*T86)</f>
        <v/>
      </c>
      <c r="AN86" s="36">
        <f>IF(OR(AG86="",R86=0),"",MIN(IF(AT86="",9.9E+99,AT86),AK86/R86))</f>
        <v/>
      </c>
      <c r="AO86" s="38">
        <f>IF(AN86="","",AN86*T86)</f>
        <v/>
      </c>
      <c r="AP86" s="40" t="n"/>
      <c r="AQ86" s="32" t="inlineStr">
        <is>
          <t>Estimated</t>
        </is>
      </c>
      <c r="AR86" s="41" t="n"/>
      <c r="AS86" s="41" t="n"/>
      <c r="AT86" s="42" t="n"/>
      <c r="AU86" s="43">
        <f>IF(((S86*pax_cap*load_thin*ROUND(K86*L86*revleg_thin,0))-(((battery/range_nm)*D86*ROUND(K86*L86*revleg_thin,0)*VLOOKUP(B86,country_opex,3,FALSE))+V86+W86+X86+Y86+Z86))&lt;=0,"",VLOOKUP(B86,country_opex,7,FALSE)/((S86*pax_cap*load_thin*ROUND(K86*L86*revleg_thin,0))-(((battery/range_nm)*D86*ROUND(K86*L86*revleg_thin,0)*VLOOKUP(B86,country_opex,3,FALSE))+V86+W86+X86+Y86+Z86)))</f>
        <v/>
      </c>
      <c r="AV86" s="43">
        <f>IF(((S86*pax_cap*load_mid*ROUND(K86*L86*revleg_mid,0))-(((battery/range_nm)*D86*ROUND(K86*L86*revleg_mid,0)*VLOOKUP(B86,country_opex,3,FALSE))+V86+W86+X86+Y86+Z86))&lt;=0,"",VLOOKUP(B86,country_opex,7,FALSE)/((S86*pax_cap*load_mid*ROUND(K86*L86*revleg_mid,0))-(((battery/range_nm)*D86*ROUND(K86*L86*revleg_mid,0)*VLOOKUP(B86,country_opex,3,FALSE))+V86+W86+X86+Y86+Z86)))</f>
        <v/>
      </c>
      <c r="AW86" s="43">
        <f>IF(((S86*pax_cap*load_full*ROUND(K86*L86*revleg_full,0))-(((battery/range_nm)*D86*ROUND(K86*L86*revleg_full,0)*VLOOKUP(B86,country_opex,3,FALSE))+V86+W86+X86+Y86+Z86))&lt;=0,"",VLOOKUP(B86,country_opex,7,FALSE)/((S86*pax_cap*load_full*ROUND(K86*L86*revleg_full,0))-(((battery/range_nm)*D86*ROUND(K86*L86*revleg_full,0)*VLOOKUP(B86,country_opex,3,FALSE))+V86+W86+X86+Y86+Z86)))</f>
        <v/>
      </c>
      <c r="AX86" s="44" t="n"/>
      <c r="AY86" s="44" t="n"/>
    </row>
    <row r="87">
      <c r="A87" s="29" t="inlineStr">
        <is>
          <t>Yango</t>
        </is>
      </c>
      <c r="B87" s="29" t="inlineStr">
        <is>
          <t>Qatar</t>
        </is>
      </c>
      <c r="C87" s="30" t="inlineStr">
        <is>
          <t>Doha → Al Wakrah Marina</t>
        </is>
      </c>
      <c r="D87" s="31" t="n">
        <v>11</v>
      </c>
      <c r="E87" s="26" t="n"/>
      <c r="F87" s="32" t="n"/>
      <c r="G87" s="32" t="n"/>
      <c r="H87" s="19" t="n">
        <v>1</v>
      </c>
      <c r="I87" s="33">
        <f>60*D87/cruise_kt</f>
        <v/>
      </c>
      <c r="J87" s="33">
        <f>I87+turn_min+dwell_min</f>
        <v/>
      </c>
      <c r="K87" s="34">
        <f>MIN(15,FLOOR(60*service_hr/J87,1))</f>
        <v/>
      </c>
      <c r="L87" s="34">
        <f>ROUND(365*mech_uptime*H87,0)</f>
        <v/>
      </c>
      <c r="M87" s="35">
        <f>mech_uptime</f>
        <v/>
      </c>
      <c r="N87" s="35">
        <f>revleg_sel</f>
        <v/>
      </c>
      <c r="O87" s="34">
        <f>ROUND(K87*L87*revleg_sel,0)</f>
        <v/>
      </c>
      <c r="P87" s="36">
        <f>load_sel</f>
        <v/>
      </c>
      <c r="Q87" s="36">
        <f>pax_cap*P87</f>
        <v/>
      </c>
      <c r="R87" s="34">
        <f>Q87*O87</f>
        <v/>
      </c>
      <c r="S87" s="37">
        <f>E87*discount</f>
        <v/>
      </c>
      <c r="T87" s="38">
        <f>S87*R87</f>
        <v/>
      </c>
      <c r="U87" s="38">
        <f>(battery/range_nm)*D87*O87*VLOOKUP(B87,country_opex,3,FALSE)</f>
        <v/>
      </c>
      <c r="V87" s="38">
        <f>VLOOKUP(B87,country_opex,2,FALSE)*crew_factor</f>
        <v/>
      </c>
      <c r="W87" s="38">
        <f>VLOOKUP(B87,country_opex,5,FALSE)</f>
        <v/>
      </c>
      <c r="X87" s="38">
        <f>maint</f>
        <v/>
      </c>
      <c r="Y87" s="38">
        <f>VLOOKUP(B87,country_opex,7,FALSE)*ins_pct</f>
        <v/>
      </c>
      <c r="Z87" s="38">
        <f>charge_berth</f>
        <v/>
      </c>
      <c r="AA87" s="38">
        <f>U87+V87+W87+X87+Y87+Z87</f>
        <v/>
      </c>
      <c r="AB87" s="38">
        <f>VLOOKUP(B87,country_opex,7,FALSE)/dep_years</f>
        <v/>
      </c>
      <c r="AC87" s="38">
        <f>T87-AA87</f>
        <v/>
      </c>
      <c r="AD87" s="35">
        <f>IF(T87=0,"",AC87/T87)</f>
        <v/>
      </c>
      <c r="AE87" s="36">
        <f>IF(AC87&lt;=0,"",VLOOKUP(B87,country_opex,7,FALSE)/AC87)</f>
        <v/>
      </c>
      <c r="AF87" s="33">
        <f>((D87*O87/diesel_nmpg)*diesel_co2pg-(battery/range_nm)*D87*O87*VLOOKUP(B87,country_opex,4,FALSE))/1000</f>
        <v/>
      </c>
      <c r="AG87" s="31" t="n"/>
      <c r="AH87" s="32" t="n"/>
      <c r="AI87" s="32" t="n"/>
      <c r="AJ87" s="39" t="n">
        <v>0.1</v>
      </c>
      <c r="AK87" s="34">
        <f>IF(AG87="","",AG87*AJ87)</f>
        <v/>
      </c>
      <c r="AL87" s="34">
        <f>IF(OR(AG87="",R87=0),"",MIN(IF(AT87="",9.9E+99,AT87),FLOOR(AK87/R87,1)))</f>
        <v/>
      </c>
      <c r="AM87" s="38">
        <f>IF(AL87="","",AL87*T87)</f>
        <v/>
      </c>
      <c r="AN87" s="36">
        <f>IF(OR(AG87="",R87=0),"",MIN(IF(AT87="",9.9E+99,AT87),AK87/R87))</f>
        <v/>
      </c>
      <c r="AO87" s="38">
        <f>IF(AN87="","",AN87*T87)</f>
        <v/>
      </c>
      <c r="AP87" s="40" t="n"/>
      <c r="AQ87" s="32" t="inlineStr">
        <is>
          <t>Estimated</t>
        </is>
      </c>
      <c r="AR87" s="41" t="n"/>
      <c r="AS87" s="41" t="n"/>
      <c r="AT87" s="42" t="n"/>
      <c r="AU87" s="43">
        <f>IF(((S87*pax_cap*load_thin*ROUND(K87*L87*revleg_thin,0))-(((battery/range_nm)*D87*ROUND(K87*L87*revleg_thin,0)*VLOOKUP(B87,country_opex,3,FALSE))+V87+W87+X87+Y87+Z87))&lt;=0,"",VLOOKUP(B87,country_opex,7,FALSE)/((S87*pax_cap*load_thin*ROUND(K87*L87*revleg_thin,0))-(((battery/range_nm)*D87*ROUND(K87*L87*revleg_thin,0)*VLOOKUP(B87,country_opex,3,FALSE))+V87+W87+X87+Y87+Z87)))</f>
        <v/>
      </c>
      <c r="AV87" s="43">
        <f>IF(((S87*pax_cap*load_mid*ROUND(K87*L87*revleg_mid,0))-(((battery/range_nm)*D87*ROUND(K87*L87*revleg_mid,0)*VLOOKUP(B87,country_opex,3,FALSE))+V87+W87+X87+Y87+Z87))&lt;=0,"",VLOOKUP(B87,country_opex,7,FALSE)/((S87*pax_cap*load_mid*ROUND(K87*L87*revleg_mid,0))-(((battery/range_nm)*D87*ROUND(K87*L87*revleg_mid,0)*VLOOKUP(B87,country_opex,3,FALSE))+V87+W87+X87+Y87+Z87)))</f>
        <v/>
      </c>
      <c r="AW87" s="43">
        <f>IF(((S87*pax_cap*load_full*ROUND(K87*L87*revleg_full,0))-(((battery/range_nm)*D87*ROUND(K87*L87*revleg_full,0)*VLOOKUP(B87,country_opex,3,FALSE))+V87+W87+X87+Y87+Z87))&lt;=0,"",VLOOKUP(B87,country_opex,7,FALSE)/((S87*pax_cap*load_full*ROUND(K87*L87*revleg_full,0))-(((battery/range_nm)*D87*ROUND(K87*L87*revleg_full,0)*VLOOKUP(B87,country_opex,3,FALSE))+V87+W87+X87+Y87+Z87)))</f>
        <v/>
      </c>
      <c r="AX87" s="44" t="n"/>
      <c r="AY87" s="44" t="n"/>
    </row>
    <row r="88">
      <c r="A88" s="29" t="inlineStr">
        <is>
          <t>Yango</t>
        </is>
      </c>
      <c r="B88" s="29" t="inlineStr">
        <is>
          <t>Saudi Arabia</t>
        </is>
      </c>
      <c r="C88" s="30" t="inlineStr">
        <is>
          <t>Jeddah Corniche → Jeddah Central (PIF waterfront)</t>
        </is>
      </c>
      <c r="D88" s="31" t="n">
        <v>2.4</v>
      </c>
      <c r="E88" s="26" t="n">
        <v>60</v>
      </c>
      <c r="F88" s="32" t="inlineStr">
        <is>
          <t>T5</t>
        </is>
      </c>
      <c r="G88" s="32" t="inlineStr">
        <is>
          <t>low</t>
        </is>
      </c>
      <c r="H88" s="19" t="n">
        <v>1</v>
      </c>
      <c r="I88" s="33">
        <f>60*D88/cruise_kt</f>
        <v/>
      </c>
      <c r="J88" s="33">
        <f>I88+turn_min+dwell_min</f>
        <v/>
      </c>
      <c r="K88" s="34">
        <f>MIN(15,FLOOR(60*service_hr/J88,1))</f>
        <v/>
      </c>
      <c r="L88" s="34">
        <f>ROUND(365*mech_uptime*H88,0)</f>
        <v/>
      </c>
      <c r="M88" s="35">
        <f>mech_uptime</f>
        <v/>
      </c>
      <c r="N88" s="35">
        <f>revleg_sel</f>
        <v/>
      </c>
      <c r="O88" s="34">
        <f>ROUND(K88*L88*revleg_sel,0)</f>
        <v/>
      </c>
      <c r="P88" s="36">
        <f>load_sel</f>
        <v/>
      </c>
      <c r="Q88" s="36">
        <f>pax_cap*P88</f>
        <v/>
      </c>
      <c r="R88" s="34">
        <f>Q88*O88</f>
        <v/>
      </c>
      <c r="S88" s="37">
        <f>E88*discount</f>
        <v/>
      </c>
      <c r="T88" s="38">
        <f>S88*R88</f>
        <v/>
      </c>
      <c r="U88" s="38">
        <f>(battery/range_nm)*D88*O88*VLOOKUP(B88,country_opex,3,FALSE)</f>
        <v/>
      </c>
      <c r="V88" s="38">
        <f>VLOOKUP(B88,country_opex,2,FALSE)*crew_factor</f>
        <v/>
      </c>
      <c r="W88" s="38">
        <f>VLOOKUP(B88,country_opex,5,FALSE)</f>
        <v/>
      </c>
      <c r="X88" s="38">
        <f>maint</f>
        <v/>
      </c>
      <c r="Y88" s="38">
        <f>VLOOKUP(B88,country_opex,7,FALSE)*ins_pct</f>
        <v/>
      </c>
      <c r="Z88" s="38">
        <f>charge_berth</f>
        <v/>
      </c>
      <c r="AA88" s="38">
        <f>U88+V88+W88+X88+Y88+Z88</f>
        <v/>
      </c>
      <c r="AB88" s="38">
        <f>VLOOKUP(B88,country_opex,7,FALSE)/dep_years</f>
        <v/>
      </c>
      <c r="AC88" s="38">
        <f>T88-AA88</f>
        <v/>
      </c>
      <c r="AD88" s="35">
        <f>IF(T88=0,"",AC88/T88)</f>
        <v/>
      </c>
      <c r="AE88" s="36">
        <f>IF(AC88&lt;=0,"",VLOOKUP(B88,country_opex,7,FALSE)/AC88)</f>
        <v/>
      </c>
      <c r="AF88" s="33">
        <f>((D88*O88/diesel_nmpg)*diesel_co2pg-(battery/range_nm)*D88*O88*VLOOKUP(B88,country_opex,4,FALSE))/1000</f>
        <v/>
      </c>
      <c r="AG88" s="31" t="n"/>
      <c r="AH88" s="32" t="inlineStr">
        <is>
          <t>T5</t>
        </is>
      </c>
      <c r="AI88" s="32" t="inlineStr">
        <is>
          <t>low</t>
        </is>
      </c>
      <c r="AJ88" s="39" t="n">
        <v>0.1</v>
      </c>
      <c r="AK88" s="34">
        <f>IF(AG88="","",AG88*AJ88)</f>
        <v/>
      </c>
      <c r="AL88" s="34">
        <f>IF(OR(AG88="",R88=0),"",MIN(IF(AT88="",9.9E+99,AT88),FLOOR(AK88/R88,1)))</f>
        <v/>
      </c>
      <c r="AM88" s="38">
        <f>IF(AL88="","",AL88*T88)</f>
        <v/>
      </c>
      <c r="AN88" s="36">
        <f>IF(OR(AG88="",R88=0),"",MIN(IF(AT88="",9.9E+99,AT88),AK88/R88))</f>
        <v/>
      </c>
      <c r="AO88" s="38">
        <f>IF(AN88="","",AN88*T88)</f>
        <v/>
      </c>
      <c r="AP88" s="40" t="n"/>
      <c r="AQ88" s="32" t="inlineStr">
        <is>
          <t>Estimated</t>
        </is>
      </c>
      <c r="AR88" s="41" t="n"/>
      <c r="AS88" s="41" t="n"/>
      <c r="AT88" s="42" t="n"/>
      <c r="AU88" s="43">
        <f>IF(((S88*pax_cap*load_thin*ROUND(K88*L88*revleg_thin,0))-(((battery/range_nm)*D88*ROUND(K88*L88*revleg_thin,0)*VLOOKUP(B88,country_opex,3,FALSE))+V88+W88+X88+Y88+Z88))&lt;=0,"",VLOOKUP(B88,country_opex,7,FALSE)/((S88*pax_cap*load_thin*ROUND(K88*L88*revleg_thin,0))-(((battery/range_nm)*D88*ROUND(K88*L88*revleg_thin,0)*VLOOKUP(B88,country_opex,3,FALSE))+V88+W88+X88+Y88+Z88)))</f>
        <v/>
      </c>
      <c r="AV88" s="43">
        <f>IF(((S88*pax_cap*load_mid*ROUND(K88*L88*revleg_mid,0))-(((battery/range_nm)*D88*ROUND(K88*L88*revleg_mid,0)*VLOOKUP(B88,country_opex,3,FALSE))+V88+W88+X88+Y88+Z88))&lt;=0,"",VLOOKUP(B88,country_opex,7,FALSE)/((S88*pax_cap*load_mid*ROUND(K88*L88*revleg_mid,0))-(((battery/range_nm)*D88*ROUND(K88*L88*revleg_mid,0)*VLOOKUP(B88,country_opex,3,FALSE))+V88+W88+X88+Y88+Z88)))</f>
        <v/>
      </c>
      <c r="AW88" s="43">
        <f>IF(((S88*pax_cap*load_full*ROUND(K88*L88*revleg_full,0))-(((battery/range_nm)*D88*ROUND(K88*L88*revleg_full,0)*VLOOKUP(B88,country_opex,3,FALSE))+V88+W88+X88+Y88+Z88))&lt;=0,"",VLOOKUP(B88,country_opex,7,FALSE)/((S88*pax_cap*load_full*ROUND(K88*L88*revleg_full,0))-(((battery/range_nm)*D88*ROUND(K88*L88*revleg_full,0)*VLOOKUP(B88,country_opex,3,FALSE))+V88+W88+X88+Y88+Z88)))</f>
        <v/>
      </c>
      <c r="AX88" s="44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AY88" s="44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89">
      <c r="A89" s="29" t="inlineStr">
        <is>
          <t>Yango</t>
        </is>
      </c>
      <c r="B89" s="29" t="inlineStr">
        <is>
          <t>Saudi Arabia</t>
        </is>
      </c>
      <c r="C89" s="30" t="inlineStr">
        <is>
          <t>Outer-island resort → Outer-island resort cluster (Nujuma / Jumeirah / St Regis)</t>
        </is>
      </c>
      <c r="D89" s="31" t="n">
        <v>9.699999999999999</v>
      </c>
      <c r="E89" s="26" t="n">
        <v>125</v>
      </c>
      <c r="F89" s="32" t="inlineStr">
        <is>
          <t>T5</t>
        </is>
      </c>
      <c r="G89" s="32" t="inlineStr">
        <is>
          <t>low</t>
        </is>
      </c>
      <c r="H89" s="19" t="n">
        <v>1</v>
      </c>
      <c r="I89" s="33">
        <f>60*D89/cruise_kt</f>
        <v/>
      </c>
      <c r="J89" s="33">
        <f>I89+turn_min+dwell_min</f>
        <v/>
      </c>
      <c r="K89" s="34">
        <f>MIN(15,FLOOR(60*service_hr/J89,1))</f>
        <v/>
      </c>
      <c r="L89" s="34">
        <f>ROUND(365*mech_uptime*H89,0)</f>
        <v/>
      </c>
      <c r="M89" s="35">
        <f>mech_uptime</f>
        <v/>
      </c>
      <c r="N89" s="35">
        <f>revleg_sel</f>
        <v/>
      </c>
      <c r="O89" s="34">
        <f>ROUND(K89*L89*revleg_sel,0)</f>
        <v/>
      </c>
      <c r="P89" s="36">
        <f>load_sel</f>
        <v/>
      </c>
      <c r="Q89" s="36">
        <f>pax_cap*P89</f>
        <v/>
      </c>
      <c r="R89" s="34">
        <f>Q89*O89</f>
        <v/>
      </c>
      <c r="S89" s="37">
        <f>E89*discount</f>
        <v/>
      </c>
      <c r="T89" s="38">
        <f>S89*R89</f>
        <v/>
      </c>
      <c r="U89" s="38">
        <f>(battery/range_nm)*D89*O89*VLOOKUP(B89,country_opex,3,FALSE)</f>
        <v/>
      </c>
      <c r="V89" s="38">
        <f>VLOOKUP(B89,country_opex,2,FALSE)*crew_factor</f>
        <v/>
      </c>
      <c r="W89" s="38">
        <f>VLOOKUP(B89,country_opex,5,FALSE)</f>
        <v/>
      </c>
      <c r="X89" s="38">
        <f>maint</f>
        <v/>
      </c>
      <c r="Y89" s="38">
        <f>VLOOKUP(B89,country_opex,7,FALSE)*ins_pct</f>
        <v/>
      </c>
      <c r="Z89" s="38">
        <f>charge_berth</f>
        <v/>
      </c>
      <c r="AA89" s="38">
        <f>U89+V89+W89+X89+Y89+Z89</f>
        <v/>
      </c>
      <c r="AB89" s="38">
        <f>VLOOKUP(B89,country_opex,7,FALSE)/dep_years</f>
        <v/>
      </c>
      <c r="AC89" s="38">
        <f>T89-AA89</f>
        <v/>
      </c>
      <c r="AD89" s="35">
        <f>IF(T89=0,"",AC89/T89)</f>
        <v/>
      </c>
      <c r="AE89" s="36">
        <f>IF(AC89&lt;=0,"",VLOOKUP(B89,country_opex,7,FALSE)/AC89)</f>
        <v/>
      </c>
      <c r="AF89" s="33">
        <f>((D89*O89/diesel_nmpg)*diesel_co2pg-(battery/range_nm)*D89*O89*VLOOKUP(B89,country_opex,4,FALSE))/1000</f>
        <v/>
      </c>
      <c r="AG89" s="31" t="n">
        <v>150000</v>
      </c>
      <c r="AH89" s="32" t="inlineStr">
        <is>
          <t>T5</t>
        </is>
      </c>
      <c r="AI89" s="32" t="inlineStr">
        <is>
          <t>low</t>
        </is>
      </c>
      <c r="AJ89" s="39" t="n">
        <v>0.1</v>
      </c>
      <c r="AK89" s="34">
        <f>IF(AG89="","",AG89*AJ89)</f>
        <v/>
      </c>
      <c r="AL89" s="34">
        <f>IF(OR(AG89="",R89=0),"",MIN(IF(AT89="",9.9E+99,AT89),FLOOR(AK89/R89,1)))</f>
        <v/>
      </c>
      <c r="AM89" s="38">
        <f>IF(AL89="","",AL89*T89)</f>
        <v/>
      </c>
      <c r="AN89" s="36">
        <f>IF(OR(AG89="",R89=0),"",MIN(IF(AT89="",9.9E+99,AT89),AK89/R89))</f>
        <v/>
      </c>
      <c r="AO89" s="38">
        <f>IF(AN89="","",AN89*T89)</f>
        <v/>
      </c>
      <c r="AP89" s="40" t="n"/>
      <c r="AQ89" s="32" t="inlineStr">
        <is>
          <t>Grounded</t>
        </is>
      </c>
      <c r="AR89" s="41" t="n"/>
      <c r="AS89" s="41" t="n"/>
      <c r="AT89" s="42" t="n"/>
      <c r="AU89" s="43">
        <f>IF(((S89*pax_cap*load_thin*ROUND(K89*L89*revleg_thin,0))-(((battery/range_nm)*D89*ROUND(K89*L89*revleg_thin,0)*VLOOKUP(B89,country_opex,3,FALSE))+V89+W89+X89+Y89+Z89))&lt;=0,"",VLOOKUP(B89,country_opex,7,FALSE)/((S89*pax_cap*load_thin*ROUND(K89*L89*revleg_thin,0))-(((battery/range_nm)*D89*ROUND(K89*L89*revleg_thin,0)*VLOOKUP(B89,country_opex,3,FALSE))+V89+W89+X89+Y89+Z89)))</f>
        <v/>
      </c>
      <c r="AV89" s="43">
        <f>IF(((S89*pax_cap*load_mid*ROUND(K89*L89*revleg_mid,0))-(((battery/range_nm)*D89*ROUND(K89*L89*revleg_mid,0)*VLOOKUP(B89,country_opex,3,FALSE))+V89+W89+X89+Y89+Z89))&lt;=0,"",VLOOKUP(B89,country_opex,7,FALSE)/((S89*pax_cap*load_mid*ROUND(K89*L89*revleg_mid,0))-(((battery/range_nm)*D89*ROUND(K89*L89*revleg_mid,0)*VLOOKUP(B89,country_opex,3,FALSE))+V89+W89+X89+Y89+Z89)))</f>
        <v/>
      </c>
      <c r="AW89" s="43">
        <f>IF(((S89*pax_cap*load_full*ROUND(K89*L89*revleg_full,0))-(((battery/range_nm)*D89*ROUND(K89*L89*revleg_full,0)*VLOOKUP(B89,country_opex,3,FALSE))+V89+W89+X89+Y89+Z89))&lt;=0,"",VLOOKUP(B89,country_opex,7,FALSE)/((S89*pax_cap*load_full*ROUND(K89*L89*revleg_full,0))-(((battery/range_nm)*D89*ROUND(K89*L89*revleg_full,0)*VLOOKUP(B89,country_opex,3,FALSE))+V89+W89+X89+Y89+Z89)))</f>
        <v/>
      </c>
      <c r="AX89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AY89" s="44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90">
      <c r="A90" s="29" t="inlineStr">
        <is>
          <t>Yango</t>
        </is>
      </c>
      <c r="B90" s="29" t="inlineStr">
        <is>
          <t>Saudi Arabia</t>
        </is>
      </c>
      <c r="C90" s="30" t="inlineStr">
        <is>
          <t>Shura Island Marina → Outer-island resorts (St Regis / Nujuma / Shebara)</t>
        </is>
      </c>
      <c r="D90" s="31" t="n">
        <v>11.5</v>
      </c>
      <c r="E90" s="26" t="n">
        <v>175</v>
      </c>
      <c r="F90" s="32" t="inlineStr">
        <is>
          <t>T5</t>
        </is>
      </c>
      <c r="G90" s="32" t="inlineStr">
        <is>
          <t>low</t>
        </is>
      </c>
      <c r="H90" s="19" t="n">
        <v>1</v>
      </c>
      <c r="I90" s="33">
        <f>60*D90/cruise_kt</f>
        <v/>
      </c>
      <c r="J90" s="33">
        <f>I90+turn_min+dwell_min</f>
        <v/>
      </c>
      <c r="K90" s="34">
        <f>MIN(15,FLOOR(60*service_hr/J90,1))</f>
        <v/>
      </c>
      <c r="L90" s="34">
        <f>ROUND(365*mech_uptime*H90,0)</f>
        <v/>
      </c>
      <c r="M90" s="35">
        <f>mech_uptime</f>
        <v/>
      </c>
      <c r="N90" s="35">
        <f>revleg_sel</f>
        <v/>
      </c>
      <c r="O90" s="34">
        <f>ROUND(K90*L90*revleg_sel,0)</f>
        <v/>
      </c>
      <c r="P90" s="36">
        <f>load_sel</f>
        <v/>
      </c>
      <c r="Q90" s="36">
        <f>pax_cap*P90</f>
        <v/>
      </c>
      <c r="R90" s="34">
        <f>Q90*O90</f>
        <v/>
      </c>
      <c r="S90" s="37">
        <f>E90*discount</f>
        <v/>
      </c>
      <c r="T90" s="38">
        <f>S90*R90</f>
        <v/>
      </c>
      <c r="U90" s="38">
        <f>(battery/range_nm)*D90*O90*VLOOKUP(B90,country_opex,3,FALSE)</f>
        <v/>
      </c>
      <c r="V90" s="38">
        <f>VLOOKUP(B90,country_opex,2,FALSE)*crew_factor</f>
        <v/>
      </c>
      <c r="W90" s="38">
        <f>VLOOKUP(B90,country_opex,5,FALSE)</f>
        <v/>
      </c>
      <c r="X90" s="38">
        <f>maint</f>
        <v/>
      </c>
      <c r="Y90" s="38">
        <f>VLOOKUP(B90,country_opex,7,FALSE)*ins_pct</f>
        <v/>
      </c>
      <c r="Z90" s="38">
        <f>charge_berth</f>
        <v/>
      </c>
      <c r="AA90" s="38">
        <f>U90+V90+W90+X90+Y90+Z90</f>
        <v/>
      </c>
      <c r="AB90" s="38">
        <f>VLOOKUP(B90,country_opex,7,FALSE)/dep_years</f>
        <v/>
      </c>
      <c r="AC90" s="38">
        <f>T90-AA90</f>
        <v/>
      </c>
      <c r="AD90" s="35">
        <f>IF(T90=0,"",AC90/T90)</f>
        <v/>
      </c>
      <c r="AE90" s="36">
        <f>IF(AC90&lt;=0,"",VLOOKUP(B90,country_opex,7,FALSE)/AC90)</f>
        <v/>
      </c>
      <c r="AF90" s="33">
        <f>((D90*O90/diesel_nmpg)*diesel_co2pg-(battery/range_nm)*D90*O90*VLOOKUP(B90,country_opex,4,FALSE))/1000</f>
        <v/>
      </c>
      <c r="AG90" s="31" t="n">
        <v>500000</v>
      </c>
      <c r="AH90" s="32" t="inlineStr">
        <is>
          <t>T2</t>
        </is>
      </c>
      <c r="AI90" s="32" t="inlineStr">
        <is>
          <t>low-med</t>
        </is>
      </c>
      <c r="AJ90" s="39" t="n">
        <v>0.1</v>
      </c>
      <c r="AK90" s="34">
        <f>IF(AG90="","",AG90*AJ90)</f>
        <v/>
      </c>
      <c r="AL90" s="34">
        <f>IF(OR(AG90="",R90=0),"",MIN(IF(AT90="",9.9E+99,AT90),FLOOR(AK90/R90,1)))</f>
        <v/>
      </c>
      <c r="AM90" s="38">
        <f>IF(AL90="","",AL90*T90)</f>
        <v/>
      </c>
      <c r="AN90" s="36">
        <f>IF(OR(AG90="",R90=0),"",MIN(IF(AT90="",9.9E+99,AT90),AK90/R90))</f>
        <v/>
      </c>
      <c r="AO90" s="38">
        <f>IF(AN90="","",AN90*T90)</f>
        <v/>
      </c>
      <c r="AP90" s="40" t="n"/>
      <c r="AQ90" s="32" t="inlineStr">
        <is>
          <t>Grounded</t>
        </is>
      </c>
      <c r="AR90" s="41" t="n"/>
      <c r="AS90" s="41" t="n"/>
      <c r="AT90" s="42" t="n"/>
      <c r="AU90" s="43">
        <f>IF(((S90*pax_cap*load_thin*ROUND(K90*L90*revleg_thin,0))-(((battery/range_nm)*D90*ROUND(K90*L90*revleg_thin,0)*VLOOKUP(B90,country_opex,3,FALSE))+V90+W90+X90+Y90+Z90))&lt;=0,"",VLOOKUP(B90,country_opex,7,FALSE)/((S90*pax_cap*load_thin*ROUND(K90*L90*revleg_thin,0))-(((battery/range_nm)*D90*ROUND(K90*L90*revleg_thin,0)*VLOOKUP(B90,country_opex,3,FALSE))+V90+W90+X90+Y90+Z90)))</f>
        <v/>
      </c>
      <c r="AV90" s="43">
        <f>IF(((S90*pax_cap*load_mid*ROUND(K90*L90*revleg_mid,0))-(((battery/range_nm)*D90*ROUND(K90*L90*revleg_mid,0)*VLOOKUP(B90,country_opex,3,FALSE))+V90+W90+X90+Y90+Z90))&lt;=0,"",VLOOKUP(B90,country_opex,7,FALSE)/((S90*pax_cap*load_mid*ROUND(K90*L90*revleg_mid,0))-(((battery/range_nm)*D90*ROUND(K90*L90*revleg_mid,0)*VLOOKUP(B90,country_opex,3,FALSE))+V90+W90+X90+Y90+Z90)))</f>
        <v/>
      </c>
      <c r="AW90" s="43">
        <f>IF(((S90*pax_cap*load_full*ROUND(K90*L90*revleg_full,0))-(((battery/range_nm)*D90*ROUND(K90*L90*revleg_full,0)*VLOOKUP(B90,country_opex,3,FALSE))+V90+W90+X90+Y90+Z90))&lt;=0,"",VLOOKUP(B90,country_opex,7,FALSE)/((S90*pax_cap*load_full*ROUND(K90*L90*revleg_full,0))-(((battery/range_nm)*D90*ROUND(K90*L90*revleg_full,0)*VLOOKUP(B90,country_opex,3,FALSE))+V90+W90+X90+Y90+Z90)))</f>
        <v/>
      </c>
      <c r="AX90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AY90" s="44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91">
      <c r="A91" s="29" t="inlineStr">
        <is>
          <t>Yango</t>
        </is>
      </c>
      <c r="B91" s="29" t="inlineStr">
        <is>
          <t>Saudi Arabia</t>
        </is>
      </c>
      <c r="C91" s="30" t="inlineStr">
        <is>
          <t>Jeddah Corniche → Jeddah Yacht Club &amp; Marina</t>
        </is>
      </c>
      <c r="D91" s="31" t="n">
        <v>12</v>
      </c>
      <c r="E91" s="26" t="n"/>
      <c r="F91" s="32" t="n"/>
      <c r="G91" s="32" t="n"/>
      <c r="H91" s="19" t="n">
        <v>1</v>
      </c>
      <c r="I91" s="33">
        <f>60*D91/cruise_kt</f>
        <v/>
      </c>
      <c r="J91" s="33">
        <f>I91+turn_min+dwell_min</f>
        <v/>
      </c>
      <c r="K91" s="34">
        <f>MIN(15,FLOOR(60*service_hr/J91,1))</f>
        <v/>
      </c>
      <c r="L91" s="34">
        <f>ROUND(365*mech_uptime*H91,0)</f>
        <v/>
      </c>
      <c r="M91" s="35">
        <f>mech_uptime</f>
        <v/>
      </c>
      <c r="N91" s="35">
        <f>revleg_sel</f>
        <v/>
      </c>
      <c r="O91" s="34">
        <f>ROUND(K91*L91*revleg_sel,0)</f>
        <v/>
      </c>
      <c r="P91" s="36">
        <f>load_sel</f>
        <v/>
      </c>
      <c r="Q91" s="36">
        <f>pax_cap*P91</f>
        <v/>
      </c>
      <c r="R91" s="34">
        <f>Q91*O91</f>
        <v/>
      </c>
      <c r="S91" s="37">
        <f>E91*discount</f>
        <v/>
      </c>
      <c r="T91" s="38">
        <f>S91*R91</f>
        <v/>
      </c>
      <c r="U91" s="38">
        <f>(battery/range_nm)*D91*O91*VLOOKUP(B91,country_opex,3,FALSE)</f>
        <v/>
      </c>
      <c r="V91" s="38">
        <f>VLOOKUP(B91,country_opex,2,FALSE)*crew_factor</f>
        <v/>
      </c>
      <c r="W91" s="38">
        <f>VLOOKUP(B91,country_opex,5,FALSE)</f>
        <v/>
      </c>
      <c r="X91" s="38">
        <f>maint</f>
        <v/>
      </c>
      <c r="Y91" s="38">
        <f>VLOOKUP(B91,country_opex,7,FALSE)*ins_pct</f>
        <v/>
      </c>
      <c r="Z91" s="38">
        <f>charge_berth</f>
        <v/>
      </c>
      <c r="AA91" s="38">
        <f>U91+V91+W91+X91+Y91+Z91</f>
        <v/>
      </c>
      <c r="AB91" s="38">
        <f>VLOOKUP(B91,country_opex,7,FALSE)/dep_years</f>
        <v/>
      </c>
      <c r="AC91" s="38">
        <f>T91-AA91</f>
        <v/>
      </c>
      <c r="AD91" s="35">
        <f>IF(T91=0,"",AC91/T91)</f>
        <v/>
      </c>
      <c r="AE91" s="36">
        <f>IF(AC91&lt;=0,"",VLOOKUP(B91,country_opex,7,FALSE)/AC91)</f>
        <v/>
      </c>
      <c r="AF91" s="33">
        <f>((D91*O91/diesel_nmpg)*diesel_co2pg-(battery/range_nm)*D91*O91*VLOOKUP(B91,country_opex,4,FALSE))/1000</f>
        <v/>
      </c>
      <c r="AG91" s="31" t="n"/>
      <c r="AH91" s="32" t="n"/>
      <c r="AI91" s="32" t="n"/>
      <c r="AJ91" s="39" t="n">
        <v>0.1</v>
      </c>
      <c r="AK91" s="34">
        <f>IF(AG91="","",AG91*AJ91)</f>
        <v/>
      </c>
      <c r="AL91" s="34">
        <f>IF(OR(AG91="",R91=0),"",MIN(IF(AT91="",9.9E+99,AT91),FLOOR(AK91/R91,1)))</f>
        <v/>
      </c>
      <c r="AM91" s="38">
        <f>IF(AL91="","",AL91*T91)</f>
        <v/>
      </c>
      <c r="AN91" s="36">
        <f>IF(OR(AG91="",R91=0),"",MIN(IF(AT91="",9.9E+99,AT91),AK91/R91))</f>
        <v/>
      </c>
      <c r="AO91" s="38">
        <f>IF(AN91="","",AN91*T91)</f>
        <v/>
      </c>
      <c r="AP91" s="40" t="n"/>
      <c r="AQ91" s="32" t="inlineStr">
        <is>
          <t>Estimated</t>
        </is>
      </c>
      <c r="AR91" s="41" t="n"/>
      <c r="AS91" s="41" t="n"/>
      <c r="AT91" s="42" t="n"/>
      <c r="AU91" s="43">
        <f>IF(((S91*pax_cap*load_thin*ROUND(K91*L91*revleg_thin,0))-(((battery/range_nm)*D91*ROUND(K91*L91*revleg_thin,0)*VLOOKUP(B91,country_opex,3,FALSE))+V91+W91+X91+Y91+Z91))&lt;=0,"",VLOOKUP(B91,country_opex,7,FALSE)/((S91*pax_cap*load_thin*ROUND(K91*L91*revleg_thin,0))-(((battery/range_nm)*D91*ROUND(K91*L91*revleg_thin,0)*VLOOKUP(B91,country_opex,3,FALSE))+V91+W91+X91+Y91+Z91)))</f>
        <v/>
      </c>
      <c r="AV91" s="43">
        <f>IF(((S91*pax_cap*load_mid*ROUND(K91*L91*revleg_mid,0))-(((battery/range_nm)*D91*ROUND(K91*L91*revleg_mid,0)*VLOOKUP(B91,country_opex,3,FALSE))+V91+W91+X91+Y91+Z91))&lt;=0,"",VLOOKUP(B91,country_opex,7,FALSE)/((S91*pax_cap*load_mid*ROUND(K91*L91*revleg_mid,0))-(((battery/range_nm)*D91*ROUND(K91*L91*revleg_mid,0)*VLOOKUP(B91,country_opex,3,FALSE))+V91+W91+X91+Y91+Z91)))</f>
        <v/>
      </c>
      <c r="AW91" s="43">
        <f>IF(((S91*pax_cap*load_full*ROUND(K91*L91*revleg_full,0))-(((battery/range_nm)*D91*ROUND(K91*L91*revleg_full,0)*VLOOKUP(B91,country_opex,3,FALSE))+V91+W91+X91+Y91+Z91))&lt;=0,"",VLOOKUP(B91,country_opex,7,FALSE)/((S91*pax_cap*load_full*ROUND(K91*L91*revleg_full,0))-(((battery/range_nm)*D91*ROUND(K91*L91*revleg_full,0)*VLOOKUP(B91,country_opex,3,FALSE))+V91+W91+X91+Y91+Z91)))</f>
        <v/>
      </c>
      <c r="AX91" s="44" t="n"/>
      <c r="AY91" s="44" t="n"/>
    </row>
    <row r="92">
      <c r="A92" s="29" t="inlineStr">
        <is>
          <t>Yango</t>
        </is>
      </c>
      <c r="B92" s="29" t="inlineStr">
        <is>
          <t>Saudi Arabia</t>
        </is>
      </c>
      <c r="C92" s="30" t="inlineStr">
        <is>
          <t>Khobar / Dammam (Eastern Province) → Manama, Bahrain</t>
        </is>
      </c>
      <c r="D92" s="31" t="n">
        <v>18.6</v>
      </c>
      <c r="E92" s="26" t="n">
        <v>80</v>
      </c>
      <c r="F92" s="32" t="inlineStr">
        <is>
          <t>T5</t>
        </is>
      </c>
      <c r="G92" s="32" t="inlineStr">
        <is>
          <t>low</t>
        </is>
      </c>
      <c r="H92" s="19" t="n">
        <v>1</v>
      </c>
      <c r="I92" s="33">
        <f>60*D92/cruise_kt</f>
        <v/>
      </c>
      <c r="J92" s="33">
        <f>I92+turn_min+dwell_min</f>
        <v/>
      </c>
      <c r="K92" s="34">
        <f>MIN(15,FLOOR(60*service_hr/J92,1))</f>
        <v/>
      </c>
      <c r="L92" s="34">
        <f>ROUND(365*mech_uptime*H92,0)</f>
        <v/>
      </c>
      <c r="M92" s="35">
        <f>mech_uptime</f>
        <v/>
      </c>
      <c r="N92" s="35">
        <f>revleg_sel</f>
        <v/>
      </c>
      <c r="O92" s="34">
        <f>ROUND(K92*L92*revleg_sel,0)</f>
        <v/>
      </c>
      <c r="P92" s="36">
        <f>load_sel</f>
        <v/>
      </c>
      <c r="Q92" s="36">
        <f>pax_cap*P92</f>
        <v/>
      </c>
      <c r="R92" s="34">
        <f>Q92*O92</f>
        <v/>
      </c>
      <c r="S92" s="37">
        <f>E92*discount</f>
        <v/>
      </c>
      <c r="T92" s="38">
        <f>S92*R92</f>
        <v/>
      </c>
      <c r="U92" s="38">
        <f>(battery/range_nm)*D92*O92*VLOOKUP(B92,country_opex,3,FALSE)</f>
        <v/>
      </c>
      <c r="V92" s="38">
        <f>VLOOKUP(B92,country_opex,2,FALSE)*crew_factor</f>
        <v/>
      </c>
      <c r="W92" s="38">
        <f>VLOOKUP(B92,country_opex,5,FALSE)</f>
        <v/>
      </c>
      <c r="X92" s="38">
        <f>maint</f>
        <v/>
      </c>
      <c r="Y92" s="38">
        <f>VLOOKUP(B92,country_opex,7,FALSE)*ins_pct</f>
        <v/>
      </c>
      <c r="Z92" s="38">
        <f>charge_berth</f>
        <v/>
      </c>
      <c r="AA92" s="38">
        <f>U92+V92+W92+X92+Y92+Z92</f>
        <v/>
      </c>
      <c r="AB92" s="38">
        <f>VLOOKUP(B92,country_opex,7,FALSE)/dep_years</f>
        <v/>
      </c>
      <c r="AC92" s="38">
        <f>T92-AA92</f>
        <v/>
      </c>
      <c r="AD92" s="35">
        <f>IF(T92=0,"",AC92/T92)</f>
        <v/>
      </c>
      <c r="AE92" s="36">
        <f>IF(AC92&lt;=0,"",VLOOKUP(B92,country_opex,7,FALSE)/AC92)</f>
        <v/>
      </c>
      <c r="AF92" s="33">
        <f>((D92*O92/diesel_nmpg)*diesel_co2pg-(battery/range_nm)*D92*O92*VLOOKUP(B92,country_opex,4,FALSE))/1000</f>
        <v/>
      </c>
      <c r="AG92" s="31" t="n">
        <v>330000</v>
      </c>
      <c r="AH92" s="32" t="inlineStr">
        <is>
          <t>T3</t>
        </is>
      </c>
      <c r="AI92" s="32" t="inlineStr">
        <is>
          <t>low</t>
        </is>
      </c>
      <c r="AJ92" s="39" t="n">
        <v>0.1</v>
      </c>
      <c r="AK92" s="34">
        <f>IF(AG92="","",AG92*AJ92)</f>
        <v/>
      </c>
      <c r="AL92" s="34">
        <f>IF(OR(AG92="",R92=0),"",MIN(IF(AT92="",9.9E+99,AT92),FLOOR(AK92/R92,1)))</f>
        <v/>
      </c>
      <c r="AM92" s="38">
        <f>IF(AL92="","",AL92*T92)</f>
        <v/>
      </c>
      <c r="AN92" s="36">
        <f>IF(OR(AG92="",R92=0),"",MIN(IF(AT92="",9.9E+99,AT92),AK92/R92))</f>
        <v/>
      </c>
      <c r="AO92" s="38">
        <f>IF(AN92="","",AN92*T92)</f>
        <v/>
      </c>
      <c r="AP92" s="40" t="n"/>
      <c r="AQ92" s="32" t="inlineStr">
        <is>
          <t>Grounded</t>
        </is>
      </c>
      <c r="AR92" s="41" t="n"/>
      <c r="AS92" s="41" t="n"/>
      <c r="AT92" s="42" t="n"/>
      <c r="AU92" s="43">
        <f>IF(((S92*pax_cap*load_thin*ROUND(K92*L92*revleg_thin,0))-(((battery/range_nm)*D92*ROUND(K92*L92*revleg_thin,0)*VLOOKUP(B92,country_opex,3,FALSE))+V92+W92+X92+Y92+Z92))&lt;=0,"",VLOOKUP(B92,country_opex,7,FALSE)/((S92*pax_cap*load_thin*ROUND(K92*L92*revleg_thin,0))-(((battery/range_nm)*D92*ROUND(K92*L92*revleg_thin,0)*VLOOKUP(B92,country_opex,3,FALSE))+V92+W92+X92+Y92+Z92)))</f>
        <v/>
      </c>
      <c r="AV92" s="43">
        <f>IF(((S92*pax_cap*load_mid*ROUND(K92*L92*revleg_mid,0))-(((battery/range_nm)*D92*ROUND(K92*L92*revleg_mid,0)*VLOOKUP(B92,country_opex,3,FALSE))+V92+W92+X92+Y92+Z92))&lt;=0,"",VLOOKUP(B92,country_opex,7,FALSE)/((S92*pax_cap*load_mid*ROUND(K92*L92*revleg_mid,0))-(((battery/range_nm)*D92*ROUND(K92*L92*revleg_mid,0)*VLOOKUP(B92,country_opex,3,FALSE))+V92+W92+X92+Y92+Z92)))</f>
        <v/>
      </c>
      <c r="AW92" s="43">
        <f>IF(((S92*pax_cap*load_full*ROUND(K92*L92*revleg_full,0))-(((battery/range_nm)*D92*ROUND(K92*L92*revleg_full,0)*VLOOKUP(B92,country_opex,3,FALSE))+V92+W92+X92+Y92+Z92))&lt;=0,"",VLOOKUP(B92,country_opex,7,FALSE)/((S92*pax_cap*load_full*ROUND(K92*L92*revleg_full,0))-(((battery/range_nm)*D92*ROUND(K92*L92*revleg_full,0)*VLOOKUP(B92,country_opex,3,FALSE))+V92+W92+X92+Y92+Z92)))</f>
        <v/>
      </c>
      <c r="AX92" s="44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AY92" s="44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93">
      <c r="A93" s="29" t="inlineStr">
        <is>
          <t>Yango</t>
        </is>
      </c>
      <c r="B93" s="29" t="inlineStr">
        <is>
          <t>Saudi Arabia</t>
        </is>
      </c>
      <c r="C93" s="30" t="inlineStr">
        <is>
          <t>The Red Sea → AMAALA (Triple Bay)</t>
        </is>
      </c>
      <c r="D93" s="31" t="n">
        <v>29.4</v>
      </c>
      <c r="E93" s="26" t="n">
        <v>250</v>
      </c>
      <c r="F93" s="32" t="inlineStr">
        <is>
          <t>T5</t>
        </is>
      </c>
      <c r="G93" s="32" t="inlineStr">
        <is>
          <t>low</t>
        </is>
      </c>
      <c r="H93" s="19" t="n">
        <v>1</v>
      </c>
      <c r="I93" s="33">
        <f>60*D93/cruise_kt</f>
        <v/>
      </c>
      <c r="J93" s="33">
        <f>I93+turn_min+dwell_min</f>
        <v/>
      </c>
      <c r="K93" s="34">
        <f>MIN(15,FLOOR(60*service_hr/J93,1))</f>
        <v/>
      </c>
      <c r="L93" s="34">
        <f>ROUND(365*mech_uptime*H93,0)</f>
        <v/>
      </c>
      <c r="M93" s="35">
        <f>mech_uptime</f>
        <v/>
      </c>
      <c r="N93" s="35">
        <f>revleg_sel</f>
        <v/>
      </c>
      <c r="O93" s="34">
        <f>ROUND(K93*L93*revleg_sel,0)</f>
        <v/>
      </c>
      <c r="P93" s="36">
        <f>load_sel</f>
        <v/>
      </c>
      <c r="Q93" s="36">
        <f>pax_cap*P93</f>
        <v/>
      </c>
      <c r="R93" s="34">
        <f>Q93*O93</f>
        <v/>
      </c>
      <c r="S93" s="37">
        <f>E93*discount</f>
        <v/>
      </c>
      <c r="T93" s="38">
        <f>S93*R93</f>
        <v/>
      </c>
      <c r="U93" s="38">
        <f>(battery/range_nm)*D93*O93*VLOOKUP(B93,country_opex,3,FALSE)</f>
        <v/>
      </c>
      <c r="V93" s="38">
        <f>VLOOKUP(B93,country_opex,2,FALSE)*crew_factor</f>
        <v/>
      </c>
      <c r="W93" s="38">
        <f>VLOOKUP(B93,country_opex,5,FALSE)</f>
        <v/>
      </c>
      <c r="X93" s="38">
        <f>maint</f>
        <v/>
      </c>
      <c r="Y93" s="38">
        <f>VLOOKUP(B93,country_opex,7,FALSE)*ins_pct</f>
        <v/>
      </c>
      <c r="Z93" s="38">
        <f>charge_berth</f>
        <v/>
      </c>
      <c r="AA93" s="38">
        <f>U93+V93+W93+X93+Y93+Z93</f>
        <v/>
      </c>
      <c r="AB93" s="38">
        <f>VLOOKUP(B93,country_opex,7,FALSE)/dep_years</f>
        <v/>
      </c>
      <c r="AC93" s="38">
        <f>T93-AA93</f>
        <v/>
      </c>
      <c r="AD93" s="35">
        <f>IF(T93=0,"",AC93/T93)</f>
        <v/>
      </c>
      <c r="AE93" s="36">
        <f>IF(AC93&lt;=0,"",VLOOKUP(B93,country_opex,7,FALSE)/AC93)</f>
        <v/>
      </c>
      <c r="AF93" s="33">
        <f>((D93*O93/diesel_nmpg)*diesel_co2pg-(battery/range_nm)*D93*O93*VLOOKUP(B93,country_opex,4,FALSE))/1000</f>
        <v/>
      </c>
      <c r="AG93" s="31" t="n">
        <v>500000</v>
      </c>
      <c r="AH93" s="32" t="inlineStr">
        <is>
          <t>T4</t>
        </is>
      </c>
      <c r="AI93" s="32" t="inlineStr">
        <is>
          <t>low</t>
        </is>
      </c>
      <c r="AJ93" s="39" t="n">
        <v>0.1</v>
      </c>
      <c r="AK93" s="34">
        <f>IF(AG93="","",AG93*AJ93)</f>
        <v/>
      </c>
      <c r="AL93" s="34">
        <f>IF(OR(AG93="",R93=0),"",MIN(IF(AT93="",9.9E+99,AT93),FLOOR(AK93/R93,1)))</f>
        <v/>
      </c>
      <c r="AM93" s="38">
        <f>IF(AL93="","",AL93*T93)</f>
        <v/>
      </c>
      <c r="AN93" s="36">
        <f>IF(OR(AG93="",R93=0),"",MIN(IF(AT93="",9.9E+99,AT93),AK93/R93))</f>
        <v/>
      </c>
      <c r="AO93" s="38">
        <f>IF(AN93="","",AN93*T93)</f>
        <v/>
      </c>
      <c r="AP93" s="40" t="n"/>
      <c r="AQ93" s="32" t="inlineStr">
        <is>
          <t>Grounded</t>
        </is>
      </c>
      <c r="AR93" s="41" t="n"/>
      <c r="AS93" s="41" t="n"/>
      <c r="AT93" s="42" t="n"/>
      <c r="AU93" s="43">
        <f>IF(((S93*pax_cap*load_thin*ROUND(K93*L93*revleg_thin,0))-(((battery/range_nm)*D93*ROUND(K93*L93*revleg_thin,0)*VLOOKUP(B93,country_opex,3,FALSE))+V93+W93+X93+Y93+Z93))&lt;=0,"",VLOOKUP(B93,country_opex,7,FALSE)/((S93*pax_cap*load_thin*ROUND(K93*L93*revleg_thin,0))-(((battery/range_nm)*D93*ROUND(K93*L93*revleg_thin,0)*VLOOKUP(B93,country_opex,3,FALSE))+V93+W93+X93+Y93+Z93)))</f>
        <v/>
      </c>
      <c r="AV93" s="43">
        <f>IF(((S93*pax_cap*load_mid*ROUND(K93*L93*revleg_mid,0))-(((battery/range_nm)*D93*ROUND(K93*L93*revleg_mid,0)*VLOOKUP(B93,country_opex,3,FALSE))+V93+W93+X93+Y93+Z93))&lt;=0,"",VLOOKUP(B93,country_opex,7,FALSE)/((S93*pax_cap*load_mid*ROUND(K93*L93*revleg_mid,0))-(((battery/range_nm)*D93*ROUND(K93*L93*revleg_mid,0)*VLOOKUP(B93,country_opex,3,FALSE))+V93+W93+X93+Y93+Z93)))</f>
        <v/>
      </c>
      <c r="AW93" s="43">
        <f>IF(((S93*pax_cap*load_full*ROUND(K93*L93*revleg_full,0))-(((battery/range_nm)*D93*ROUND(K93*L93*revleg_full,0)*VLOOKUP(B93,country_opex,3,FALSE))+V93+W93+X93+Y93+Z93))&lt;=0,"",VLOOKUP(B93,country_opex,7,FALSE)/((S93*pax_cap*load_full*ROUND(K93*L93*revleg_full,0))-(((battery/range_nm)*D93*ROUND(K93*L93*revleg_full,0)*VLOOKUP(B93,country_opex,3,FALSE))+V93+W93+X93+Y93+Z93)))</f>
        <v/>
      </c>
      <c r="AX93" s="44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AY93" s="44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94">
      <c r="A94" s="29" t="inlineStr">
        <is>
          <t>Yango</t>
        </is>
      </c>
      <c r="B94" s="29" t="inlineStr">
        <is>
          <t>Saudi Arabia</t>
        </is>
      </c>
      <c r="C94" s="30" t="inlineStr">
        <is>
          <t>NEOM — Sindalah → Magna / Oxagon coast</t>
        </is>
      </c>
      <c r="D94" s="31" t="n">
        <v>30.8</v>
      </c>
      <c r="E94" s="26" t="n">
        <v>120</v>
      </c>
      <c r="F94" s="32" t="inlineStr">
        <is>
          <t>T5</t>
        </is>
      </c>
      <c r="G94" s="32" t="inlineStr">
        <is>
          <t>low</t>
        </is>
      </c>
      <c r="H94" s="19" t="n">
        <v>1</v>
      </c>
      <c r="I94" s="33">
        <f>60*D94/cruise_kt</f>
        <v/>
      </c>
      <c r="J94" s="33">
        <f>I94+turn_min+dwell_min</f>
        <v/>
      </c>
      <c r="K94" s="34">
        <f>MIN(15,FLOOR(60*service_hr/J94,1))</f>
        <v/>
      </c>
      <c r="L94" s="34">
        <f>ROUND(365*mech_uptime*H94,0)</f>
        <v/>
      </c>
      <c r="M94" s="35">
        <f>mech_uptime</f>
        <v/>
      </c>
      <c r="N94" s="35">
        <f>revleg_sel</f>
        <v/>
      </c>
      <c r="O94" s="34">
        <f>ROUND(K94*L94*revleg_sel,0)</f>
        <v/>
      </c>
      <c r="P94" s="36">
        <f>load_sel</f>
        <v/>
      </c>
      <c r="Q94" s="36">
        <f>pax_cap*P94</f>
        <v/>
      </c>
      <c r="R94" s="34">
        <f>Q94*O94</f>
        <v/>
      </c>
      <c r="S94" s="37">
        <f>E94*discount</f>
        <v/>
      </c>
      <c r="T94" s="38">
        <f>S94*R94</f>
        <v/>
      </c>
      <c r="U94" s="38">
        <f>(battery/range_nm)*D94*O94*VLOOKUP(B94,country_opex,3,FALSE)</f>
        <v/>
      </c>
      <c r="V94" s="38">
        <f>VLOOKUP(B94,country_opex,2,FALSE)*crew_factor</f>
        <v/>
      </c>
      <c r="W94" s="38">
        <f>VLOOKUP(B94,country_opex,5,FALSE)</f>
        <v/>
      </c>
      <c r="X94" s="38">
        <f>maint</f>
        <v/>
      </c>
      <c r="Y94" s="38">
        <f>VLOOKUP(B94,country_opex,7,FALSE)*ins_pct</f>
        <v/>
      </c>
      <c r="Z94" s="38">
        <f>charge_berth</f>
        <v/>
      </c>
      <c r="AA94" s="38">
        <f>U94+V94+W94+X94+Y94+Z94</f>
        <v/>
      </c>
      <c r="AB94" s="38">
        <f>VLOOKUP(B94,country_opex,7,FALSE)/dep_years</f>
        <v/>
      </c>
      <c r="AC94" s="38">
        <f>T94-AA94</f>
        <v/>
      </c>
      <c r="AD94" s="35">
        <f>IF(T94=0,"",AC94/T94)</f>
        <v/>
      </c>
      <c r="AE94" s="36">
        <f>IF(AC94&lt;=0,"",VLOOKUP(B94,country_opex,7,FALSE)/AC94)</f>
        <v/>
      </c>
      <c r="AF94" s="33">
        <f>((D94*O94/diesel_nmpg)*diesel_co2pg-(battery/range_nm)*D94*O94*VLOOKUP(B94,country_opex,4,FALSE))/1000</f>
        <v/>
      </c>
      <c r="AG94" s="31" t="n">
        <v>250000</v>
      </c>
      <c r="AH94" s="32" t="inlineStr">
        <is>
          <t>T2</t>
        </is>
      </c>
      <c r="AI94" s="32" t="inlineStr">
        <is>
          <t>low</t>
        </is>
      </c>
      <c r="AJ94" s="39" t="n">
        <v>0.1</v>
      </c>
      <c r="AK94" s="34">
        <f>IF(AG94="","",AG94*AJ94)</f>
        <v/>
      </c>
      <c r="AL94" s="34">
        <f>IF(OR(AG94="",R94=0),"",MIN(IF(AT94="",9.9E+99,AT94),FLOOR(AK94/R94,1)))</f>
        <v/>
      </c>
      <c r="AM94" s="38">
        <f>IF(AL94="","",AL94*T94)</f>
        <v/>
      </c>
      <c r="AN94" s="36">
        <f>IF(OR(AG94="",R94=0),"",MIN(IF(AT94="",9.9E+99,AT94),AK94/R94))</f>
        <v/>
      </c>
      <c r="AO94" s="38">
        <f>IF(AN94="","",AN94*T94)</f>
        <v/>
      </c>
      <c r="AP94" s="40" t="n"/>
      <c r="AQ94" s="32" t="inlineStr">
        <is>
          <t>Grounded</t>
        </is>
      </c>
      <c r="AR94" s="41" t="n"/>
      <c r="AS94" s="41" t="n"/>
      <c r="AT94" s="42" t="n"/>
      <c r="AU94" s="43">
        <f>IF(((S94*pax_cap*load_thin*ROUND(K94*L94*revleg_thin,0))-(((battery/range_nm)*D94*ROUND(K94*L94*revleg_thin,0)*VLOOKUP(B94,country_opex,3,FALSE))+V94+W94+X94+Y94+Z94))&lt;=0,"",VLOOKUP(B94,country_opex,7,FALSE)/((S94*pax_cap*load_thin*ROUND(K94*L94*revleg_thin,0))-(((battery/range_nm)*D94*ROUND(K94*L94*revleg_thin,0)*VLOOKUP(B94,country_opex,3,FALSE))+V94+W94+X94+Y94+Z94)))</f>
        <v/>
      </c>
      <c r="AV94" s="43">
        <f>IF(((S94*pax_cap*load_mid*ROUND(K94*L94*revleg_mid,0))-(((battery/range_nm)*D94*ROUND(K94*L94*revleg_mid,0)*VLOOKUP(B94,country_opex,3,FALSE))+V94+W94+X94+Y94+Z94))&lt;=0,"",VLOOKUP(B94,country_opex,7,FALSE)/((S94*pax_cap*load_mid*ROUND(K94*L94*revleg_mid,0))-(((battery/range_nm)*D94*ROUND(K94*L94*revleg_mid,0)*VLOOKUP(B94,country_opex,3,FALSE))+V94+W94+X94+Y94+Z94)))</f>
        <v/>
      </c>
      <c r="AW94" s="43">
        <f>IF(((S94*pax_cap*load_full*ROUND(K94*L94*revleg_full,0))-(((battery/range_nm)*D94*ROUND(K94*L94*revleg_full,0)*VLOOKUP(B94,country_opex,3,FALSE))+V94+W94+X94+Y94+Z94))&lt;=0,"",VLOOKUP(B94,country_opex,7,FALSE)/((S94*pax_cap*load_full*ROUND(K94*L94*revleg_full,0))-(((battery/range_nm)*D94*ROUND(K94*L94*revleg_full,0)*VLOOKUP(B94,country_opex,3,FALSE))+V94+W94+X94+Y94+Z94)))</f>
        <v/>
      </c>
      <c r="AX94" s="44" t="inlineStr">
        <is>
          <t>Sindalah is an ultra-premium yachting island (413-440 hotel rooms, 86-berth marina). NEOM inter-zone premium per-seat transfer modeled on Maldives/yacht-hub premium speedboat tier -&gt; $120.</t>
        </is>
      </c>
      <c r="AY94" s="44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95">
      <c r="A95" s="29" t="inlineStr">
        <is>
          <t>Yango</t>
        </is>
      </c>
      <c r="B95" s="29" t="inlineStr">
        <is>
          <t>Saudi Arabia</t>
        </is>
      </c>
      <c r="C95" s="30" t="inlineStr">
        <is>
          <t>NEOM — Sindalah → Magna / Oxagon coast</t>
        </is>
      </c>
      <c r="D95" s="31" t="n">
        <v>30.8</v>
      </c>
      <c r="E95" s="26" t="n">
        <v>120</v>
      </c>
      <c r="F95" s="32" t="inlineStr">
        <is>
          <t>T5</t>
        </is>
      </c>
      <c r="G95" s="32" t="inlineStr">
        <is>
          <t>low</t>
        </is>
      </c>
      <c r="H95" s="19" t="n">
        <v>1</v>
      </c>
      <c r="I95" s="33">
        <f>60*D95/cruise_kt</f>
        <v/>
      </c>
      <c r="J95" s="33">
        <f>I95+turn_min+dwell_min</f>
        <v/>
      </c>
      <c r="K95" s="34">
        <f>MIN(27,FLOOR(60*service_hr/J95,1))</f>
        <v/>
      </c>
      <c r="L95" s="34">
        <f>ROUND(365*mech_uptime*H95,0)</f>
        <v/>
      </c>
      <c r="M95" s="35">
        <f>mech_uptime</f>
        <v/>
      </c>
      <c r="N95" s="35">
        <f>revleg_sel</f>
        <v/>
      </c>
      <c r="O95" s="34">
        <f>ROUND(K95*L95*revleg_sel,0)</f>
        <v/>
      </c>
      <c r="P95" s="36">
        <f>load_sel</f>
        <v/>
      </c>
      <c r="Q95" s="36">
        <f>pax_cap*P95</f>
        <v/>
      </c>
      <c r="R95" s="34">
        <f>Q95*O95</f>
        <v/>
      </c>
      <c r="S95" s="37">
        <f>E95*discount</f>
        <v/>
      </c>
      <c r="T95" s="38">
        <f>S95*R95</f>
        <v/>
      </c>
      <c r="U95" s="38">
        <f>(battery/range_nm)*D95*O95*VLOOKUP(B95,country_opex,3,FALSE)</f>
        <v/>
      </c>
      <c r="V95" s="38">
        <f>VLOOKUP(B95,country_opex,2,FALSE)*crew_factor</f>
        <v/>
      </c>
      <c r="W95" s="38">
        <f>VLOOKUP(B95,country_opex,5,FALSE)</f>
        <v/>
      </c>
      <c r="X95" s="38">
        <f>maint</f>
        <v/>
      </c>
      <c r="Y95" s="38">
        <f>VLOOKUP(B95,country_opex,7,FALSE)*ins_pct</f>
        <v/>
      </c>
      <c r="Z95" s="38">
        <f>charge_berth</f>
        <v/>
      </c>
      <c r="AA95" s="38">
        <f>U95+V95+W95+X95+Y95+Z95</f>
        <v/>
      </c>
      <c r="AB95" s="38">
        <f>VLOOKUP(B95,country_opex,7,FALSE)/dep_years</f>
        <v/>
      </c>
      <c r="AC95" s="38">
        <f>T95-AA95</f>
        <v/>
      </c>
      <c r="AD95" s="35">
        <f>IF(T95=0,"",AC95/T95)</f>
        <v/>
      </c>
      <c r="AE95" s="36">
        <f>IF(AC95&lt;=0,"",VLOOKUP(B95,country_opex,7,FALSE)/AC95)</f>
        <v/>
      </c>
      <c r="AF95" s="33">
        <f>((D95*O95/diesel_nmpg)*diesel_co2pg-(battery/range_nm)*D95*O95*VLOOKUP(B95,country_opex,4,FALSE))/1000</f>
        <v/>
      </c>
      <c r="AG95" s="31" t="n">
        <v>250000</v>
      </c>
      <c r="AH95" s="32" t="inlineStr">
        <is>
          <t>T2</t>
        </is>
      </c>
      <c r="AI95" s="32" t="inlineStr">
        <is>
          <t>low</t>
        </is>
      </c>
      <c r="AJ95" s="39" t="n">
        <v>0.1</v>
      </c>
      <c r="AK95" s="34">
        <f>IF(AG95="","",AG95*AJ95)</f>
        <v/>
      </c>
      <c r="AL95" s="34">
        <f>IF(OR(AG95="",R95=0),"",MIN(IF(AT95="",9.9E+99,AT95),FLOOR(AK95/R95,1)))</f>
        <v/>
      </c>
      <c r="AM95" s="38">
        <f>IF(AL95="","",AL95*T95)</f>
        <v/>
      </c>
      <c r="AN95" s="36">
        <f>IF(OR(AG95="",R95=0),"",MIN(IF(AT95="",9.9E+99,AT95),AK95/R95))</f>
        <v/>
      </c>
      <c r="AO95" s="38">
        <f>IF(AN95="","",AN95*T95)</f>
        <v/>
      </c>
      <c r="AP95" s="40" t="n"/>
      <c r="AQ95" s="32" t="inlineStr">
        <is>
          <t>Forward SAM</t>
        </is>
      </c>
      <c r="AR95" s="41" t="inlineStr">
        <is>
          <t>FWD-SAM (2030)</t>
        </is>
      </c>
      <c r="AS95" s="41" t="n"/>
      <c r="AT95" s="42" t="n"/>
      <c r="AU95" s="43">
        <f>IF(((S95*pax_cap*load_thin*ROUND(K95*L95*revleg_thin,0))-(((battery/range_nm)*D95*ROUND(K95*L95*revleg_thin,0)*VLOOKUP(B95,country_opex,3,FALSE))+V95+W95+X95+Y95+Z95))&lt;=0,"",VLOOKUP(B95,country_opex,7,FALSE)/((S95*pax_cap*load_thin*ROUND(K95*L95*revleg_thin,0))-(((battery/range_nm)*D95*ROUND(K95*L95*revleg_thin,0)*VLOOKUP(B95,country_opex,3,FALSE))+V95+W95+X95+Y95+Z95)))</f>
        <v/>
      </c>
      <c r="AV95" s="43">
        <f>IF(((S95*pax_cap*load_mid*ROUND(K95*L95*revleg_mid,0))-(((battery/range_nm)*D95*ROUND(K95*L95*revleg_mid,0)*VLOOKUP(B95,country_opex,3,FALSE))+V95+W95+X95+Y95+Z95))&lt;=0,"",VLOOKUP(B95,country_opex,7,FALSE)/((S95*pax_cap*load_mid*ROUND(K95*L95*revleg_mid,0))-(((battery/range_nm)*D95*ROUND(K95*L95*revleg_mid,0)*VLOOKUP(B95,country_opex,3,FALSE))+V95+W95+X95+Y95+Z95)))</f>
        <v/>
      </c>
      <c r="AW95" s="43">
        <f>IF(((S95*pax_cap*load_full*ROUND(K95*L95*revleg_full,0))-(((battery/range_nm)*D95*ROUND(K95*L95*revleg_full,0)*VLOOKUP(B95,country_opex,3,FALSE))+V95+W95+X95+Y95+Z95))&lt;=0,"",VLOOKUP(B95,country_opex,7,FALSE)/((S95*pax_cap*load_full*ROUND(K95*L95*revleg_full,0))-(((battery/range_nm)*D95*ROUND(K95*L95*revleg_full,0)*VLOOKUP(B95,country_opex,3,FALSE))+V95+W95+X95+Y95+Z95)))</f>
        <v/>
      </c>
      <c r="AX95" s="44" t="inlineStr">
        <is>
          <t>Sindalah is an ultra-premium yachting island (413-440 hotel rooms, 86-berth marina). NEOM inter-zone premium per-seat transfer modeled on Maldives/yacht-hub premium speedboat tier -&gt; $120.</t>
        </is>
      </c>
      <c r="AY95" s="44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96">
      <c r="A96" s="29" t="inlineStr">
        <is>
          <t>Yango</t>
        </is>
      </c>
      <c r="B96" s="29" t="inlineStr">
        <is>
          <t>Senegal</t>
        </is>
      </c>
      <c r="C96" s="30" t="inlineStr">
        <is>
          <t>Dakar (Plage de Ngor) → Ile de Ngor</t>
        </is>
      </c>
      <c r="D96" s="31" t="n">
        <v>0.3</v>
      </c>
      <c r="E96" s="26" t="n">
        <v>18</v>
      </c>
      <c r="F96" s="32" t="inlineStr">
        <is>
          <t>T2</t>
        </is>
      </c>
      <c r="G96" s="32" t="inlineStr">
        <is>
          <t>med</t>
        </is>
      </c>
      <c r="H96" s="19" t="n">
        <v>1</v>
      </c>
      <c r="I96" s="33">
        <f>60*D96/cruise_kt</f>
        <v/>
      </c>
      <c r="J96" s="33">
        <f>I96+turn_min+dwell_min</f>
        <v/>
      </c>
      <c r="K96" s="34">
        <f>MIN(15,FLOOR(60*service_hr/J96,1))</f>
        <v/>
      </c>
      <c r="L96" s="34">
        <f>ROUND(365*mech_uptime*H96,0)</f>
        <v/>
      </c>
      <c r="M96" s="35">
        <f>mech_uptime</f>
        <v/>
      </c>
      <c r="N96" s="35">
        <f>revleg_sel</f>
        <v/>
      </c>
      <c r="O96" s="34">
        <f>ROUND(K96*L96*revleg_sel,0)</f>
        <v/>
      </c>
      <c r="P96" s="36">
        <f>load_sel</f>
        <v/>
      </c>
      <c r="Q96" s="36">
        <f>pax_cap*P96</f>
        <v/>
      </c>
      <c r="R96" s="34">
        <f>Q96*O96</f>
        <v/>
      </c>
      <c r="S96" s="37">
        <f>E96*discount</f>
        <v/>
      </c>
      <c r="T96" s="38">
        <f>S96*R96</f>
        <v/>
      </c>
      <c r="U96" s="38">
        <f>(battery/range_nm)*D96*O96*VLOOKUP(B96,country_opex,3,FALSE)</f>
        <v/>
      </c>
      <c r="V96" s="38">
        <f>VLOOKUP(B96,country_opex,2,FALSE)*crew_factor</f>
        <v/>
      </c>
      <c r="W96" s="38">
        <f>VLOOKUP(B96,country_opex,5,FALSE)</f>
        <v/>
      </c>
      <c r="X96" s="38">
        <f>maint</f>
        <v/>
      </c>
      <c r="Y96" s="38">
        <f>VLOOKUP(B96,country_opex,7,FALSE)*ins_pct</f>
        <v/>
      </c>
      <c r="Z96" s="38">
        <f>charge_berth</f>
        <v/>
      </c>
      <c r="AA96" s="38">
        <f>U96+V96+W96+X96+Y96+Z96</f>
        <v/>
      </c>
      <c r="AB96" s="38">
        <f>VLOOKUP(B96,country_opex,7,FALSE)/dep_years</f>
        <v/>
      </c>
      <c r="AC96" s="38">
        <f>T96-AA96</f>
        <v/>
      </c>
      <c r="AD96" s="35">
        <f>IF(T96=0,"",AC96/T96)</f>
        <v/>
      </c>
      <c r="AE96" s="36">
        <f>IF(AC96&lt;=0,"",VLOOKUP(B96,country_opex,7,FALSE)/AC96)</f>
        <v/>
      </c>
      <c r="AF96" s="33">
        <f>((D96*O96/diesel_nmpg)*diesel_co2pg-(battery/range_nm)*D96*O96*VLOOKUP(B96,country_opex,4,FALSE))/1000</f>
        <v/>
      </c>
      <c r="AG96" s="31" t="n"/>
      <c r="AH96" s="32" t="n"/>
      <c r="AI96" s="32" t="n"/>
      <c r="AJ96" s="39" t="n">
        <v>0.1</v>
      </c>
      <c r="AK96" s="34">
        <f>IF(AG96="","",AG96*AJ96)</f>
        <v/>
      </c>
      <c r="AL96" s="34">
        <f>IF(OR(AG96="",R96=0),"",MIN(IF(AT96="",9.9E+99,AT96),FLOOR(AK96/R96,1)))</f>
        <v/>
      </c>
      <c r="AM96" s="38">
        <f>IF(AL96="","",AL96*T96)</f>
        <v/>
      </c>
      <c r="AN96" s="36">
        <f>IF(OR(AG96="",R96=0),"",MIN(IF(AT96="",9.9E+99,AT96),AK96/R96))</f>
        <v/>
      </c>
      <c r="AO96" s="38">
        <f>IF(AN96="","",AN96*T96)</f>
        <v/>
      </c>
      <c r="AP96" s="40" t="n"/>
      <c r="AQ96" s="32" t="inlineStr">
        <is>
          <t>Estimated</t>
        </is>
      </c>
      <c r="AR96" s="41" t="n"/>
      <c r="AS96" s="41" t="n"/>
      <c r="AT96" s="42" t="n"/>
      <c r="AU96" s="43">
        <f>IF(((S96*pax_cap*load_thin*ROUND(K96*L96*revleg_thin,0))-(((battery/range_nm)*D96*ROUND(K96*L96*revleg_thin,0)*VLOOKUP(B96,country_opex,3,FALSE))+V96+W96+X96+Y96+Z96))&lt;=0,"",VLOOKUP(B96,country_opex,7,FALSE)/((S96*pax_cap*load_thin*ROUND(K96*L96*revleg_thin,0))-(((battery/range_nm)*D96*ROUND(K96*L96*revleg_thin,0)*VLOOKUP(B96,country_opex,3,FALSE))+V96+W96+X96+Y96+Z96)))</f>
        <v/>
      </c>
      <c r="AV96" s="43">
        <f>IF(((S96*pax_cap*load_mid*ROUND(K96*L96*revleg_mid,0))-(((battery/range_nm)*D96*ROUND(K96*L96*revleg_mid,0)*VLOOKUP(B96,country_opex,3,FALSE))+V96+W96+X96+Y96+Z96))&lt;=0,"",VLOOKUP(B96,country_opex,7,FALSE)/((S96*pax_cap*load_mid*ROUND(K96*L96*revleg_mid,0))-(((battery/range_nm)*D96*ROUND(K96*L96*revleg_mid,0)*VLOOKUP(B96,country_opex,3,FALSE))+V96+W96+X96+Y96+Z96)))</f>
        <v/>
      </c>
      <c r="AW96" s="43">
        <f>IF(((S96*pax_cap*load_full*ROUND(K96*L96*revleg_full,0))-(((battery/range_nm)*D96*ROUND(K96*L96*revleg_full,0)*VLOOKUP(B96,country_opex,3,FALSE))+V96+W96+X96+Y96+Z96))&lt;=0,"",VLOOKUP(B96,country_opex,7,FALSE)/((S96*pax_cap*load_full*ROUND(K96*L96*revleg_full,0))-(((battery/range_nm)*D96*ROUND(K96*L96*revleg_full,0)*VLOOKUP(B96,country_opex,3,FALSE))+V96+W96+X96+Y96+Z96)))</f>
        <v/>
      </c>
      <c r="AX96" s="44" t="inlineStr">
        <is>
          <t>[LB-255 PREMIUM RE-FARE: subsidized comparable $0.87 lifted to premium on-demand floor $18.0] Pirogue shuttle 1,000 FCFA ALLER-RETOUR =&gt; ~500 one-way =&gt; $0.87. NOTE: this corridor has essentially no premium tier today (single low fare); $0.87 doubles as both anchor and floor.</t>
        </is>
      </c>
      <c r="AY96" s="44" t="n"/>
    </row>
    <row r="97">
      <c r="A97" s="29" t="inlineStr">
        <is>
          <t>Yango</t>
        </is>
      </c>
      <c r="B97" s="29" t="inlineStr">
        <is>
          <t>Senegal</t>
        </is>
      </c>
      <c r="C97" s="30" t="inlineStr">
        <is>
          <t>Dakar (Soumbedioune / Mole) → Parc National des Iles de la Madeleine (Ile aux Serpents/Sarpan)</t>
        </is>
      </c>
      <c r="D97" s="31" t="n">
        <v>2.2</v>
      </c>
      <c r="E97" s="26" t="n">
        <v>18</v>
      </c>
      <c r="F97" s="32" t="inlineStr">
        <is>
          <t>T2</t>
        </is>
      </c>
      <c r="G97" s="32" t="inlineStr">
        <is>
          <t>med</t>
        </is>
      </c>
      <c r="H97" s="19" t="n">
        <v>1</v>
      </c>
      <c r="I97" s="33">
        <f>60*D97/cruise_kt</f>
        <v/>
      </c>
      <c r="J97" s="33">
        <f>I97+turn_min+dwell_min</f>
        <v/>
      </c>
      <c r="K97" s="34">
        <f>MIN(15,FLOOR(60*service_hr/J97,1))</f>
        <v/>
      </c>
      <c r="L97" s="34">
        <f>ROUND(365*mech_uptime*H97,0)</f>
        <v/>
      </c>
      <c r="M97" s="35">
        <f>mech_uptime</f>
        <v/>
      </c>
      <c r="N97" s="35">
        <f>revleg_sel</f>
        <v/>
      </c>
      <c r="O97" s="34">
        <f>ROUND(K97*L97*revleg_sel,0)</f>
        <v/>
      </c>
      <c r="P97" s="36">
        <f>load_sel</f>
        <v/>
      </c>
      <c r="Q97" s="36">
        <f>pax_cap*P97</f>
        <v/>
      </c>
      <c r="R97" s="34">
        <f>Q97*O97</f>
        <v/>
      </c>
      <c r="S97" s="37">
        <f>E97*discount</f>
        <v/>
      </c>
      <c r="T97" s="38">
        <f>S97*R97</f>
        <v/>
      </c>
      <c r="U97" s="38">
        <f>(battery/range_nm)*D97*O97*VLOOKUP(B97,country_opex,3,FALSE)</f>
        <v/>
      </c>
      <c r="V97" s="38">
        <f>VLOOKUP(B97,country_opex,2,FALSE)*crew_factor</f>
        <v/>
      </c>
      <c r="W97" s="38">
        <f>VLOOKUP(B97,country_opex,5,FALSE)</f>
        <v/>
      </c>
      <c r="X97" s="38">
        <f>maint</f>
        <v/>
      </c>
      <c r="Y97" s="38">
        <f>VLOOKUP(B97,country_opex,7,FALSE)*ins_pct</f>
        <v/>
      </c>
      <c r="Z97" s="38">
        <f>charge_berth</f>
        <v/>
      </c>
      <c r="AA97" s="38">
        <f>U97+V97+W97+X97+Y97+Z97</f>
        <v/>
      </c>
      <c r="AB97" s="38">
        <f>VLOOKUP(B97,country_opex,7,FALSE)/dep_years</f>
        <v/>
      </c>
      <c r="AC97" s="38">
        <f>T97-AA97</f>
        <v/>
      </c>
      <c r="AD97" s="35">
        <f>IF(T97=0,"",AC97/T97)</f>
        <v/>
      </c>
      <c r="AE97" s="36">
        <f>IF(AC97&lt;=0,"",VLOOKUP(B97,country_opex,7,FALSE)/AC97)</f>
        <v/>
      </c>
      <c r="AF97" s="33">
        <f>((D97*O97/diesel_nmpg)*diesel_co2pg-(battery/range_nm)*D97*O97*VLOOKUP(B97,country_opex,4,FALSE))/1000</f>
        <v/>
      </c>
      <c r="AG97" s="31" t="n"/>
      <c r="AH97" s="32" t="n"/>
      <c r="AI97" s="32" t="n"/>
      <c r="AJ97" s="39" t="n">
        <v>0.1</v>
      </c>
      <c r="AK97" s="34">
        <f>IF(AG97="","",AG97*AJ97)</f>
        <v/>
      </c>
      <c r="AL97" s="34">
        <f>IF(OR(AG97="",R97=0),"",MIN(IF(AT97="",9.9E+99,AT97),FLOOR(AK97/R97,1)))</f>
        <v/>
      </c>
      <c r="AM97" s="38">
        <f>IF(AL97="","",AL97*T97)</f>
        <v/>
      </c>
      <c r="AN97" s="36">
        <f>IF(OR(AG97="",R97=0),"",MIN(IF(AT97="",9.9E+99,AT97),AK97/R97))</f>
        <v/>
      </c>
      <c r="AO97" s="38">
        <f>IF(AN97="","",AN97*T97)</f>
        <v/>
      </c>
      <c r="AP97" s="40" t="n"/>
      <c r="AQ97" s="32" t="inlineStr">
        <is>
          <t>Estimated</t>
        </is>
      </c>
      <c r="AR97" s="41" t="n"/>
      <c r="AS97" s="41" t="n"/>
      <c r="AT97" s="42" t="n"/>
      <c r="AU97" s="43">
        <f>IF(((S97*pax_cap*load_thin*ROUND(K97*L97*revleg_thin,0))-(((battery/range_nm)*D97*ROUND(K97*L97*revleg_thin,0)*VLOOKUP(B97,country_opex,3,FALSE))+V97+W97+X97+Y97+Z97))&lt;=0,"",VLOOKUP(B97,country_opex,7,FALSE)/((S97*pax_cap*load_thin*ROUND(K97*L97*revleg_thin,0))-(((battery/range_nm)*D97*ROUND(K97*L97*revleg_thin,0)*VLOOKUP(B97,country_opex,3,FALSE))+V97+W97+X97+Y97+Z97)))</f>
        <v/>
      </c>
      <c r="AV97" s="43">
        <f>IF(((S97*pax_cap*load_mid*ROUND(K97*L97*revleg_mid,0))-(((battery/range_nm)*D97*ROUND(K97*L97*revleg_mid,0)*VLOOKUP(B97,country_opex,3,FALSE))+V97+W97+X97+Y97+Z97))&lt;=0,"",VLOOKUP(B97,country_opex,7,FALSE)/((S97*pax_cap*load_mid*ROUND(K97*L97*revleg_mid,0))-(((battery/range_nm)*D97*ROUND(K97*L97*revleg_mid,0)*VLOOKUP(B97,country_opex,3,FALSE))+V97+W97+X97+Y97+Z97)))</f>
        <v/>
      </c>
      <c r="AW97" s="43">
        <f>IF(((S97*pax_cap*load_full*ROUND(K97*L97*revleg_full,0))-(((battery/range_nm)*D97*ROUND(K97*L97*revleg_full,0)*VLOOKUP(B97,country_opex,3,FALSE))+V97+W97+X97+Y97+Z97))&lt;=0,"",VLOOKUP(B97,country_opex,7,FALSE)/((S97*pax_cap*load_full*ROUND(K97*L97*revleg_full,0))-(((battery/range_nm)*D97*ROUND(K97*L97*revleg_full,0)*VLOOKUP(B97,country_opex,3,FALSE))+V97+W97+X97+Y97+Z97)))</f>
        <v/>
      </c>
      <c r="AX97" s="44" t="inlineStr">
        <is>
          <t>[LB-255 PREMIUM RE-FARE: subsidized comparable $3.48 lifted to premium on-demand floor $18.0] Divided-pirogue per-seat: 4,000 FCFA/pers ALLER-RETOUR for the crossing (excl. 1,000 FCFA park entry + 5,000 FCFA/group guide) =&gt; ~2,000 one-way =&gt; $3.48.</t>
        </is>
      </c>
      <c r="AY97" s="44" t="n"/>
    </row>
    <row r="98">
      <c r="A98" s="29" t="inlineStr">
        <is>
          <t>Yango</t>
        </is>
      </c>
      <c r="B98" s="29" t="inlineStr">
        <is>
          <t>Senegal</t>
        </is>
      </c>
      <c r="C98" s="30" t="inlineStr">
        <is>
          <t>Dakar Port → Île de Gorée</t>
        </is>
      </c>
      <c r="D98" s="31" t="n">
        <v>2.5</v>
      </c>
      <c r="E98" s="26" t="n">
        <v>18</v>
      </c>
      <c r="F98" s="32" t="inlineStr">
        <is>
          <t>T2</t>
        </is>
      </c>
      <c r="G98" s="32" t="inlineStr">
        <is>
          <t>med</t>
        </is>
      </c>
      <c r="H98" s="19" t="n">
        <v>1</v>
      </c>
      <c r="I98" s="33">
        <f>60*D98/cruise_kt</f>
        <v/>
      </c>
      <c r="J98" s="33">
        <f>I98+turn_min+dwell_min</f>
        <v/>
      </c>
      <c r="K98" s="34">
        <f>MIN(15,FLOOR(60*service_hr/J98,1))</f>
        <v/>
      </c>
      <c r="L98" s="34">
        <f>ROUND(365*mech_uptime*H98,0)</f>
        <v/>
      </c>
      <c r="M98" s="35">
        <f>mech_uptime</f>
        <v/>
      </c>
      <c r="N98" s="35">
        <f>revleg_sel</f>
        <v/>
      </c>
      <c r="O98" s="34">
        <f>ROUND(K98*L98*revleg_sel,0)</f>
        <v/>
      </c>
      <c r="P98" s="36">
        <f>load_sel</f>
        <v/>
      </c>
      <c r="Q98" s="36">
        <f>pax_cap*P98</f>
        <v/>
      </c>
      <c r="R98" s="34">
        <f>Q98*O98</f>
        <v/>
      </c>
      <c r="S98" s="37">
        <f>E98*discount</f>
        <v/>
      </c>
      <c r="T98" s="38">
        <f>S98*R98</f>
        <v/>
      </c>
      <c r="U98" s="38">
        <f>(battery/range_nm)*D98*O98*VLOOKUP(B98,country_opex,3,FALSE)</f>
        <v/>
      </c>
      <c r="V98" s="38">
        <f>VLOOKUP(B98,country_opex,2,FALSE)*crew_factor</f>
        <v/>
      </c>
      <c r="W98" s="38">
        <f>VLOOKUP(B98,country_opex,5,FALSE)</f>
        <v/>
      </c>
      <c r="X98" s="38">
        <f>maint</f>
        <v/>
      </c>
      <c r="Y98" s="38">
        <f>VLOOKUP(B98,country_opex,7,FALSE)*ins_pct</f>
        <v/>
      </c>
      <c r="Z98" s="38">
        <f>charge_berth</f>
        <v/>
      </c>
      <c r="AA98" s="38">
        <f>U98+V98+W98+X98+Y98+Z98</f>
        <v/>
      </c>
      <c r="AB98" s="38">
        <f>VLOOKUP(B98,country_opex,7,FALSE)/dep_years</f>
        <v/>
      </c>
      <c r="AC98" s="38">
        <f>T98-AA98</f>
        <v/>
      </c>
      <c r="AD98" s="35">
        <f>IF(T98=0,"",AC98/T98)</f>
        <v/>
      </c>
      <c r="AE98" s="36">
        <f>IF(AC98&lt;=0,"",VLOOKUP(B98,country_opex,7,FALSE)/AC98)</f>
        <v/>
      </c>
      <c r="AF98" s="33">
        <f>((D98*O98/diesel_nmpg)*diesel_co2pg-(battery/range_nm)*D98*O98*VLOOKUP(B98,country_opex,4,FALSE))/1000</f>
        <v/>
      </c>
      <c r="AG98" s="31" t="n">
        <v>80000</v>
      </c>
      <c r="AH98" s="32" t="n"/>
      <c r="AI98" s="32" t="inlineStr">
        <is>
          <t>med</t>
        </is>
      </c>
      <c r="AJ98" s="39" t="n">
        <v>0.25</v>
      </c>
      <c r="AK98" s="34">
        <f>IF(AG98="","",AG98*AJ98)</f>
        <v/>
      </c>
      <c r="AL98" s="34">
        <f>IF(OR(AG98="",R98=0),"",MIN(IF(AT98="",9.9E+99,AT98),FLOOR(AK98/R98,1)))</f>
        <v/>
      </c>
      <c r="AM98" s="38">
        <f>IF(AL98="","",AL98*T98)</f>
        <v/>
      </c>
      <c r="AN98" s="36">
        <f>IF(OR(AG98="",R98=0),"",MIN(IF(AT98="",9.9E+99,AT98),AK98/R98))</f>
        <v/>
      </c>
      <c r="AO98" s="38">
        <f>IF(AN98="","",AN98*T98)</f>
        <v/>
      </c>
      <c r="AP98" s="40" t="n"/>
      <c r="AQ98" s="32" t="inlineStr">
        <is>
          <t>Grounded</t>
        </is>
      </c>
      <c r="AR98" s="41" t="n"/>
      <c r="AS98" s="41" t="n"/>
      <c r="AT98" s="42" t="n"/>
      <c r="AU98" s="43">
        <f>IF(((S98*pax_cap*load_thin*ROUND(K98*L98*revleg_thin,0))-(((battery/range_nm)*D98*ROUND(K98*L98*revleg_thin,0)*VLOOKUP(B98,country_opex,3,FALSE))+V98+W98+X98+Y98+Z98))&lt;=0,"",VLOOKUP(B98,country_opex,7,FALSE)/((S98*pax_cap*load_thin*ROUND(K98*L98*revleg_thin,0))-(((battery/range_nm)*D98*ROUND(K98*L98*revleg_thin,0)*VLOOKUP(B98,country_opex,3,FALSE))+V98+W98+X98+Y98+Z98)))</f>
        <v/>
      </c>
      <c r="AV98" s="43">
        <f>IF(((S98*pax_cap*load_mid*ROUND(K98*L98*revleg_mid,0))-(((battery/range_nm)*D98*ROUND(K98*L98*revleg_mid,0)*VLOOKUP(B98,country_opex,3,FALSE))+V98+W98+X98+Y98+Z98))&lt;=0,"",VLOOKUP(B98,country_opex,7,FALSE)/((S98*pax_cap*load_mid*ROUND(K98*L98*revleg_mid,0))-(((battery/range_nm)*D98*ROUND(K98*L98*revleg_mid,0)*VLOOKUP(B98,country_opex,3,FALSE))+V98+W98+X98+Y98+Z98)))</f>
        <v/>
      </c>
      <c r="AW98" s="43">
        <f>IF(((S98*pax_cap*load_full*ROUND(K98*L98*revleg_full,0))-(((battery/range_nm)*D98*ROUND(K98*L98*revleg_full,0)*VLOOKUP(B98,country_opex,3,FALSE))+V98+W98+X98+Y98+Z98))&lt;=0,"",VLOOKUP(B98,country_opex,7,FALSE)/((S98*pax_cap*load_full*ROUND(K98*L98*revleg_full,0))-(((battery/range_nm)*D98*ROUND(K98*L98*revleg_full,0)*VLOOKUP(B98,country_opex,3,FALSE))+V98+W98+X98+Y98+Z98)))</f>
        <v/>
      </c>
      <c r="AX98" s="44" t="inlineStr">
        <is>
          <t>[LB-255 PREMIUM RE-FARE: subsidized comparable $5.22 lifted to premium on-demand floor $18.0] PREMIUM tier: non-resident (foreign) adult tourist fare 6,000 FCFA ALLER-RETOUR (effective Oct 2025) =&gt; ~3,000 FCFA one-way =&gt; $5.22. (Pre-Oct-2025 non-resident fare was 5,200 FCFA RT.)</t>
        </is>
      </c>
      <c r="AY98" s="44" t="n"/>
    </row>
    <row r="99">
      <c r="A99" s="29" t="inlineStr">
        <is>
          <t>Yango</t>
        </is>
      </c>
      <c r="B99" s="29" t="inlineStr">
        <is>
          <t>Senegal</t>
        </is>
      </c>
      <c r="C99" s="30" t="inlineStr">
        <is>
          <t>Dakar (Yoff / Almadies) → Dakar (Soumbedioune / Plateau)</t>
        </is>
      </c>
      <c r="D99" s="31" t="n">
        <v>8</v>
      </c>
      <c r="E99" s="26" t="n"/>
      <c r="F99" s="32" t="n"/>
      <c r="G99" s="32" t="n"/>
      <c r="H99" s="19" t="n">
        <v>1</v>
      </c>
      <c r="I99" s="33">
        <f>60*D99/cruise_kt</f>
        <v/>
      </c>
      <c r="J99" s="33">
        <f>I99+turn_min+dwell_min</f>
        <v/>
      </c>
      <c r="K99" s="34">
        <f>MIN(24,FLOOR(60*service_hr/J99,1))</f>
        <v/>
      </c>
      <c r="L99" s="34">
        <f>ROUND(365*mech_uptime*H99,0)</f>
        <v/>
      </c>
      <c r="M99" s="35">
        <f>mech_uptime</f>
        <v/>
      </c>
      <c r="N99" s="35">
        <f>revleg_sel</f>
        <v/>
      </c>
      <c r="O99" s="34">
        <f>ROUND(K99*L99*revleg_sel,0)</f>
        <v/>
      </c>
      <c r="P99" s="36">
        <f>load_sel</f>
        <v/>
      </c>
      <c r="Q99" s="36">
        <f>pax_cap*P99</f>
        <v/>
      </c>
      <c r="R99" s="34">
        <f>Q99*O99</f>
        <v/>
      </c>
      <c r="S99" s="37">
        <f>E99*discount</f>
        <v/>
      </c>
      <c r="T99" s="38">
        <f>S99*R99</f>
        <v/>
      </c>
      <c r="U99" s="38">
        <f>(battery/range_nm)*D99*O99*VLOOKUP(B99,country_opex,3,FALSE)</f>
        <v/>
      </c>
      <c r="V99" s="38">
        <f>VLOOKUP(B99,country_opex,2,FALSE)*crew_factor</f>
        <v/>
      </c>
      <c r="W99" s="38">
        <f>VLOOKUP(B99,country_opex,5,FALSE)</f>
        <v/>
      </c>
      <c r="X99" s="38">
        <f>maint</f>
        <v/>
      </c>
      <c r="Y99" s="38">
        <f>VLOOKUP(B99,country_opex,7,FALSE)*ins_pct</f>
        <v/>
      </c>
      <c r="Z99" s="38">
        <f>charge_berth</f>
        <v/>
      </c>
      <c r="AA99" s="38">
        <f>U99+V99+W99+X99+Y99+Z99</f>
        <v/>
      </c>
      <c r="AB99" s="38">
        <f>VLOOKUP(B99,country_opex,7,FALSE)/dep_years</f>
        <v/>
      </c>
      <c r="AC99" s="38">
        <f>T99-AA99</f>
        <v/>
      </c>
      <c r="AD99" s="35">
        <f>IF(T99=0,"",AC99/T99)</f>
        <v/>
      </c>
      <c r="AE99" s="36">
        <f>IF(AC99&lt;=0,"",VLOOKUP(B99,country_opex,7,FALSE)/AC99)</f>
        <v/>
      </c>
      <c r="AF99" s="33">
        <f>((D99*O99/diesel_nmpg)*diesel_co2pg-(battery/range_nm)*D99*O99*VLOOKUP(B99,country_opex,4,FALSE))/1000</f>
        <v/>
      </c>
      <c r="AG99" s="31" t="n"/>
      <c r="AH99" s="32" t="n"/>
      <c r="AI99" s="32" t="n"/>
      <c r="AJ99" s="39" t="n">
        <v>0.1</v>
      </c>
      <c r="AK99" s="34">
        <f>IF(AG99="","",AG99*AJ99)</f>
        <v/>
      </c>
      <c r="AL99" s="34">
        <f>IF(OR(AG99="",R99=0),"",MIN(IF(AT99="",9.9E+99,AT99),FLOOR(AK99/R99,1)))</f>
        <v/>
      </c>
      <c r="AM99" s="38">
        <f>IF(AL99="","",AL99*T99)</f>
        <v/>
      </c>
      <c r="AN99" s="36">
        <f>IF(OR(AG99="",R99=0),"",MIN(IF(AT99="",9.9E+99,AT99),AK99/R99))</f>
        <v/>
      </c>
      <c r="AO99" s="38">
        <f>IF(AN99="","",AN99*T99)</f>
        <v/>
      </c>
      <c r="AP99" s="40" t="n"/>
      <c r="AQ99" s="32" t="inlineStr">
        <is>
          <t>Estimated</t>
        </is>
      </c>
      <c r="AR99" s="41" t="n"/>
      <c r="AS99" s="41" t="n"/>
      <c r="AT99" s="42" t="n"/>
      <c r="AU99" s="43">
        <f>IF(((S99*pax_cap*load_thin*ROUND(K99*L99*revleg_thin,0))-(((battery/range_nm)*D99*ROUND(K99*L99*revleg_thin,0)*VLOOKUP(B99,country_opex,3,FALSE))+V99+W99+X99+Y99+Z99))&lt;=0,"",VLOOKUP(B99,country_opex,7,FALSE)/((S99*pax_cap*load_thin*ROUND(K99*L99*revleg_thin,0))-(((battery/range_nm)*D99*ROUND(K99*L99*revleg_thin,0)*VLOOKUP(B99,country_opex,3,FALSE))+V99+W99+X99+Y99+Z99)))</f>
        <v/>
      </c>
      <c r="AV99" s="43">
        <f>IF(((S99*pax_cap*load_mid*ROUND(K99*L99*revleg_mid,0))-(((battery/range_nm)*D99*ROUND(K99*L99*revleg_mid,0)*VLOOKUP(B99,country_opex,3,FALSE))+V99+W99+X99+Y99+Z99))&lt;=0,"",VLOOKUP(B99,country_opex,7,FALSE)/((S99*pax_cap*load_mid*ROUND(K99*L99*revleg_mid,0))-(((battery/range_nm)*D99*ROUND(K99*L99*revleg_mid,0)*VLOOKUP(B99,country_opex,3,FALSE))+V99+W99+X99+Y99+Z99)))</f>
        <v/>
      </c>
      <c r="AW99" s="43">
        <f>IF(((S99*pax_cap*load_full*ROUND(K99*L99*revleg_full,0))-(((battery/range_nm)*D99*ROUND(K99*L99*revleg_full,0)*VLOOKUP(B99,country_opex,3,FALSE))+V99+W99+X99+Y99+Z99))&lt;=0,"",VLOOKUP(B99,country_opex,7,FALSE)/((S99*pax_cap*load_full*ROUND(K99*L99*revleg_full,0))-(((battery/range_nm)*D99*ROUND(K99*L99*revleg_full,0)*VLOOKUP(B99,country_opex,3,FALSE))+V99+W99+X99+Y99+Z99)))</f>
        <v/>
      </c>
      <c r="AX99" s="44" t="n"/>
      <c r="AY99" s="44" t="n"/>
    </row>
    <row r="100">
      <c r="A100" s="29" t="inlineStr">
        <is>
          <t>Yango</t>
        </is>
      </c>
      <c r="B100" s="29" t="inlineStr">
        <is>
          <t>Senegal</t>
        </is>
      </c>
      <c r="C100" s="30" t="inlineStr">
        <is>
          <t>Dakar / Mbour-Petite Cote → Foundiougne (Sine-Saloum delta)</t>
        </is>
      </c>
      <c r="D100" s="31" t="n">
        <v>60</v>
      </c>
      <c r="E100" s="26" t="n"/>
      <c r="F100" s="32" t="n"/>
      <c r="G100" s="32" t="n"/>
      <c r="H100" s="19" t="n">
        <v>1</v>
      </c>
      <c r="I100" s="33">
        <f>60*D100/cruise_kt</f>
        <v/>
      </c>
      <c r="J100" s="33">
        <f>I100+turn_min+dwell_min</f>
        <v/>
      </c>
      <c r="K100" s="34">
        <f>MIN(15,FLOOR(60*service_hr/J100,1))</f>
        <v/>
      </c>
      <c r="L100" s="34">
        <f>ROUND(365*mech_uptime*H100,0)</f>
        <v/>
      </c>
      <c r="M100" s="35">
        <f>mech_uptime</f>
        <v/>
      </c>
      <c r="N100" s="35">
        <f>revleg_sel</f>
        <v/>
      </c>
      <c r="O100" s="34">
        <f>ROUND(K100*L100*revleg_sel,0)</f>
        <v/>
      </c>
      <c r="P100" s="36">
        <f>load_sel</f>
        <v/>
      </c>
      <c r="Q100" s="36">
        <f>pax_cap*P100</f>
        <v/>
      </c>
      <c r="R100" s="34">
        <f>Q100*O100</f>
        <v/>
      </c>
      <c r="S100" s="37">
        <f>E100*discount</f>
        <v/>
      </c>
      <c r="T100" s="38">
        <f>S100*R100</f>
        <v/>
      </c>
      <c r="U100" s="38">
        <f>(battery/range_nm)*D100*O100*VLOOKUP(B100,country_opex,3,FALSE)</f>
        <v/>
      </c>
      <c r="V100" s="38">
        <f>VLOOKUP(B100,country_opex,2,FALSE)*crew_factor</f>
        <v/>
      </c>
      <c r="W100" s="38">
        <f>VLOOKUP(B100,country_opex,5,FALSE)</f>
        <v/>
      </c>
      <c r="X100" s="38">
        <f>maint</f>
        <v/>
      </c>
      <c r="Y100" s="38">
        <f>VLOOKUP(B100,country_opex,7,FALSE)*ins_pct</f>
        <v/>
      </c>
      <c r="Z100" s="38">
        <f>charge_berth</f>
        <v/>
      </c>
      <c r="AA100" s="38">
        <f>U100+V100+W100+X100+Y100+Z100</f>
        <v/>
      </c>
      <c r="AB100" s="38">
        <f>VLOOKUP(B100,country_opex,7,FALSE)/dep_years</f>
        <v/>
      </c>
      <c r="AC100" s="38">
        <f>T100-AA100</f>
        <v/>
      </c>
      <c r="AD100" s="35">
        <f>IF(T100=0,"",AC100/T100)</f>
        <v/>
      </c>
      <c r="AE100" s="36">
        <f>IF(AC100&lt;=0,"",VLOOKUP(B100,country_opex,7,FALSE)/AC100)</f>
        <v/>
      </c>
      <c r="AF100" s="33">
        <f>((D100*O100/diesel_nmpg)*diesel_co2pg-(battery/range_nm)*D100*O100*VLOOKUP(B100,country_opex,4,FALSE))/1000</f>
        <v/>
      </c>
      <c r="AG100" s="31" t="n"/>
      <c r="AH100" s="32" t="n"/>
      <c r="AI100" s="32" t="n"/>
      <c r="AJ100" s="39" t="n">
        <v>0.1</v>
      </c>
      <c r="AK100" s="34">
        <f>IF(AG100="","",AG100*AJ100)</f>
        <v/>
      </c>
      <c r="AL100" s="34">
        <f>IF(OR(AG100="",R100=0),"",MIN(IF(AT100="",9.9E+99,AT100),FLOOR(AK100/R100,1)))</f>
        <v/>
      </c>
      <c r="AM100" s="38">
        <f>IF(AL100="","",AL100*T100)</f>
        <v/>
      </c>
      <c r="AN100" s="36">
        <f>IF(OR(AG100="",R100=0),"",MIN(IF(AT100="",9.9E+99,AT100),AK100/R100))</f>
        <v/>
      </c>
      <c r="AO100" s="38">
        <f>IF(AN100="","",AN100*T100)</f>
        <v/>
      </c>
      <c r="AP100" s="40" t="n"/>
      <c r="AQ100" s="32" t="inlineStr">
        <is>
          <t>Estimated</t>
        </is>
      </c>
      <c r="AR100" s="41" t="n"/>
      <c r="AS100" s="41" t="n"/>
      <c r="AT100" s="42" t="n"/>
      <c r="AU100" s="43">
        <f>IF(((S100*pax_cap*load_thin*ROUND(K100*L100*revleg_thin,0))-(((battery/range_nm)*D100*ROUND(K100*L100*revleg_thin,0)*VLOOKUP(B100,country_opex,3,FALSE))+V100+W100+X100+Y100+Z100))&lt;=0,"",VLOOKUP(B100,country_opex,7,FALSE)/((S100*pax_cap*load_thin*ROUND(K100*L100*revleg_thin,0))-(((battery/range_nm)*D100*ROUND(K100*L100*revleg_thin,0)*VLOOKUP(B100,country_opex,3,FALSE))+V100+W100+X100+Y100+Z100)))</f>
        <v/>
      </c>
      <c r="AV100" s="43">
        <f>IF(((S100*pax_cap*load_mid*ROUND(K100*L100*revleg_mid,0))-(((battery/range_nm)*D100*ROUND(K100*L100*revleg_mid,0)*VLOOKUP(B100,country_opex,3,FALSE))+V100+W100+X100+Y100+Z100))&lt;=0,"",VLOOKUP(B100,country_opex,7,FALSE)/((S100*pax_cap*load_mid*ROUND(K100*L100*revleg_mid,0))-(((battery/range_nm)*D100*ROUND(K100*L100*revleg_mid,0)*VLOOKUP(B100,country_opex,3,FALSE))+V100+W100+X100+Y100+Z100)))</f>
        <v/>
      </c>
      <c r="AW100" s="43">
        <f>IF(((S100*pax_cap*load_full*ROUND(K100*L100*revleg_full,0))-(((battery/range_nm)*D100*ROUND(K100*L100*revleg_full,0)*VLOOKUP(B100,country_opex,3,FALSE))+V100+W100+X100+Y100+Z100))&lt;=0,"",VLOOKUP(B100,country_opex,7,FALSE)/((S100*pax_cap*load_full*ROUND(K100*L100*revleg_full,0))-(((battery/range_nm)*D100*ROUND(K100*L100*revleg_full,0)*VLOOKUP(B100,country_opex,3,FALSE))+V100+W100+X100+Y100+Z100)))</f>
        <v/>
      </c>
      <c r="AX100" s="44" t="n"/>
      <c r="AY100" s="44" t="n"/>
    </row>
    <row r="101">
      <c r="A101" s="29" t="inlineStr">
        <is>
          <t>Yango</t>
        </is>
      </c>
      <c r="B101" s="29" t="inlineStr">
        <is>
          <t>Tunisia</t>
        </is>
      </c>
      <c r="C101" s="30" t="inlineStr">
        <is>
          <t>Jorf (mainland) → Ajim (Djerba Island)</t>
        </is>
      </c>
      <c r="D101" s="31" t="n">
        <v>1.1</v>
      </c>
      <c r="E101" s="26" t="n"/>
      <c r="F101" s="32" t="n"/>
      <c r="G101" s="32" t="n"/>
      <c r="H101" s="19" t="n">
        <v>1</v>
      </c>
      <c r="I101" s="33">
        <f>60*D101/cruise_kt</f>
        <v/>
      </c>
      <c r="J101" s="33">
        <f>I101+turn_min+dwell_min</f>
        <v/>
      </c>
      <c r="K101" s="34">
        <f>MIN(15,FLOOR(60*service_hr/J101,1))</f>
        <v/>
      </c>
      <c r="L101" s="34">
        <f>ROUND(365*mech_uptime*H101,0)</f>
        <v/>
      </c>
      <c r="M101" s="35">
        <f>mech_uptime</f>
        <v/>
      </c>
      <c r="N101" s="35">
        <f>revleg_sel</f>
        <v/>
      </c>
      <c r="O101" s="34">
        <f>ROUND(K101*L101*revleg_sel,0)</f>
        <v/>
      </c>
      <c r="P101" s="36">
        <f>load_sel</f>
        <v/>
      </c>
      <c r="Q101" s="36">
        <f>pax_cap*P101</f>
        <v/>
      </c>
      <c r="R101" s="34">
        <f>Q101*O101</f>
        <v/>
      </c>
      <c r="S101" s="37">
        <f>E101*discount</f>
        <v/>
      </c>
      <c r="T101" s="38">
        <f>S101*R101</f>
        <v/>
      </c>
      <c r="U101" s="38">
        <f>(battery/range_nm)*D101*O101*VLOOKUP(B101,country_opex,3,FALSE)</f>
        <v/>
      </c>
      <c r="V101" s="38">
        <f>VLOOKUP(B101,country_opex,2,FALSE)*crew_factor</f>
        <v/>
      </c>
      <c r="W101" s="38">
        <f>VLOOKUP(B101,country_opex,5,FALSE)</f>
        <v/>
      </c>
      <c r="X101" s="38">
        <f>maint</f>
        <v/>
      </c>
      <c r="Y101" s="38">
        <f>VLOOKUP(B101,country_opex,7,FALSE)*ins_pct</f>
        <v/>
      </c>
      <c r="Z101" s="38">
        <f>charge_berth</f>
        <v/>
      </c>
      <c r="AA101" s="38">
        <f>U101+V101+W101+X101+Y101+Z101</f>
        <v/>
      </c>
      <c r="AB101" s="38">
        <f>VLOOKUP(B101,country_opex,7,FALSE)/dep_years</f>
        <v/>
      </c>
      <c r="AC101" s="38">
        <f>T101-AA101</f>
        <v/>
      </c>
      <c r="AD101" s="35">
        <f>IF(T101=0,"",AC101/T101)</f>
        <v/>
      </c>
      <c r="AE101" s="36">
        <f>IF(AC101&lt;=0,"",VLOOKUP(B101,country_opex,7,FALSE)/AC101)</f>
        <v/>
      </c>
      <c r="AF101" s="33">
        <f>((D101*O101/diesel_nmpg)*diesel_co2pg-(battery/range_nm)*D101*O101*VLOOKUP(B101,country_opex,4,FALSE))/1000</f>
        <v/>
      </c>
      <c r="AG101" s="31" t="n">
        <v>2463750</v>
      </c>
      <c r="AH101" s="32" t="n"/>
      <c r="AI101" s="32" t="n"/>
      <c r="AJ101" s="39" t="n">
        <v>0.1</v>
      </c>
      <c r="AK101" s="34">
        <f>IF(AG101="","",AG101*AJ101)</f>
        <v/>
      </c>
      <c r="AL101" s="34">
        <f>IF(OR(AG101="",R101=0),"",MIN(IF(AT101="",9.9E+99,AT101),FLOOR(AK101/R101,1)))</f>
        <v/>
      </c>
      <c r="AM101" s="38">
        <f>IF(AL101="","",AL101*T101)</f>
        <v/>
      </c>
      <c r="AN101" s="36">
        <f>IF(OR(AG101="",R101=0),"",MIN(IF(AT101="",9.9E+99,AT101),AK101/R101))</f>
        <v/>
      </c>
      <c r="AO101" s="38">
        <f>IF(AN101="","",AN101*T101)</f>
        <v/>
      </c>
      <c r="AP101" s="40" t="n"/>
      <c r="AQ101" s="32" t="inlineStr">
        <is>
          <t>Grounded</t>
        </is>
      </c>
      <c r="AR101" s="41" t="n"/>
      <c r="AS101" s="41" t="n"/>
      <c r="AT101" s="42" t="n"/>
      <c r="AU101" s="43">
        <f>IF(((S101*pax_cap*load_thin*ROUND(K101*L101*revleg_thin,0))-(((battery/range_nm)*D101*ROUND(K101*L101*revleg_thin,0)*VLOOKUP(B101,country_opex,3,FALSE))+V101+W101+X101+Y101+Z101))&lt;=0,"",VLOOKUP(B101,country_opex,7,FALSE)/((S101*pax_cap*load_thin*ROUND(K101*L101*revleg_thin,0))-(((battery/range_nm)*D101*ROUND(K101*L101*revleg_thin,0)*VLOOKUP(B101,country_opex,3,FALSE))+V101+W101+X101+Y101+Z101)))</f>
        <v/>
      </c>
      <c r="AV101" s="43">
        <f>IF(((S101*pax_cap*load_mid*ROUND(K101*L101*revleg_mid,0))-(((battery/range_nm)*D101*ROUND(K101*L101*revleg_mid,0)*VLOOKUP(B101,country_opex,3,FALSE))+V101+W101+X101+Y101+Z101))&lt;=0,"",VLOOKUP(B101,country_opex,7,FALSE)/((S101*pax_cap*load_mid*ROUND(K101*L101*revleg_mid,0))-(((battery/range_nm)*D101*ROUND(K101*L101*revleg_mid,0)*VLOOKUP(B101,country_opex,3,FALSE))+V101+W101+X101+Y101+Z101)))</f>
        <v/>
      </c>
      <c r="AW101" s="43">
        <f>IF(((S101*pax_cap*load_full*ROUND(K101*L101*revleg_full,0))-(((battery/range_nm)*D101*ROUND(K101*L101*revleg_full,0)*VLOOKUP(B101,country_opex,3,FALSE))+V101+W101+X101+Y101+Z101))&lt;=0,"",VLOOKUP(B101,country_opex,7,FALSE)/((S101*pax_cap*load_full*ROUND(K101*L101*revleg_full,0))-(((battery/range_nm)*D101*ROUND(K101*L101*revleg_full,0)*VLOOKUP(B101,country_opex,3,FALSE))+V101+W101+X101+Y101+Z101)))</f>
        <v/>
      </c>
      <c r="AX101" s="44" t="n"/>
      <c r="AY101" s="44" t="n"/>
    </row>
    <row r="102">
      <c r="A102" s="29" t="inlineStr">
        <is>
          <t>Yango</t>
        </is>
      </c>
      <c r="B102" s="29" t="inlineStr">
        <is>
          <t>Tunisia</t>
        </is>
      </c>
      <c r="C102" s="30" t="inlineStr">
        <is>
          <t>La Goulette → Sidi Bou Said</t>
        </is>
      </c>
      <c r="D102" s="31" t="n">
        <v>4</v>
      </c>
      <c r="E102" s="26" t="n">
        <v>27</v>
      </c>
      <c r="F102" s="32" t="inlineStr">
        <is>
          <t>T2</t>
        </is>
      </c>
      <c r="G102" s="32" t="inlineStr">
        <is>
          <t>med</t>
        </is>
      </c>
      <c r="H102" s="19" t="n">
        <v>1</v>
      </c>
      <c r="I102" s="33">
        <f>60*D102/cruise_kt</f>
        <v/>
      </c>
      <c r="J102" s="33">
        <f>I102+turn_min+dwell_min</f>
        <v/>
      </c>
      <c r="K102" s="34">
        <f>MIN(15,FLOOR(60*service_hr/J102,1))</f>
        <v/>
      </c>
      <c r="L102" s="34">
        <f>ROUND(365*mech_uptime*H102,0)</f>
        <v/>
      </c>
      <c r="M102" s="35">
        <f>mech_uptime</f>
        <v/>
      </c>
      <c r="N102" s="35">
        <f>revleg_sel</f>
        <v/>
      </c>
      <c r="O102" s="34">
        <f>ROUND(K102*L102*revleg_sel,0)</f>
        <v/>
      </c>
      <c r="P102" s="36">
        <f>load_sel</f>
        <v/>
      </c>
      <c r="Q102" s="36">
        <f>pax_cap*P102</f>
        <v/>
      </c>
      <c r="R102" s="34">
        <f>Q102*O102</f>
        <v/>
      </c>
      <c r="S102" s="37">
        <f>E102*discount</f>
        <v/>
      </c>
      <c r="T102" s="38">
        <f>S102*R102</f>
        <v/>
      </c>
      <c r="U102" s="38">
        <f>(battery/range_nm)*D102*O102*VLOOKUP(B102,country_opex,3,FALSE)</f>
        <v/>
      </c>
      <c r="V102" s="38">
        <f>VLOOKUP(B102,country_opex,2,FALSE)*crew_factor</f>
        <v/>
      </c>
      <c r="W102" s="38">
        <f>VLOOKUP(B102,country_opex,5,FALSE)</f>
        <v/>
      </c>
      <c r="X102" s="38">
        <f>maint</f>
        <v/>
      </c>
      <c r="Y102" s="38">
        <f>VLOOKUP(B102,country_opex,7,FALSE)*ins_pct</f>
        <v/>
      </c>
      <c r="Z102" s="38">
        <f>charge_berth</f>
        <v/>
      </c>
      <c r="AA102" s="38">
        <f>U102+V102+W102+X102+Y102+Z102</f>
        <v/>
      </c>
      <c r="AB102" s="38">
        <f>VLOOKUP(B102,country_opex,7,FALSE)/dep_years</f>
        <v/>
      </c>
      <c r="AC102" s="38">
        <f>T102-AA102</f>
        <v/>
      </c>
      <c r="AD102" s="35">
        <f>IF(T102=0,"",AC102/T102)</f>
        <v/>
      </c>
      <c r="AE102" s="36">
        <f>IF(AC102&lt;=0,"",VLOOKUP(B102,country_opex,7,FALSE)/AC102)</f>
        <v/>
      </c>
      <c r="AF102" s="33">
        <f>((D102*O102/diesel_nmpg)*diesel_co2pg-(battery/range_nm)*D102*O102*VLOOKUP(B102,country_opex,4,FALSE))/1000</f>
        <v/>
      </c>
      <c r="AG102" s="31" t="n">
        <v>222000</v>
      </c>
      <c r="AH102" s="32" t="n"/>
      <c r="AI102" s="32" t="n"/>
      <c r="AJ102" s="39" t="n">
        <v>0.1</v>
      </c>
      <c r="AK102" s="34">
        <f>IF(AG102="","",AG102*AJ102)</f>
        <v/>
      </c>
      <c r="AL102" s="34">
        <f>IF(OR(AG102="",R102=0),"",MIN(IF(AT102="",9.9E+99,AT102),FLOOR(AK102/R102,1)))</f>
        <v/>
      </c>
      <c r="AM102" s="38">
        <f>IF(AL102="","",AL102*T102)</f>
        <v/>
      </c>
      <c r="AN102" s="36">
        <f>IF(OR(AG102="",R102=0),"",MIN(IF(AT102="",9.9E+99,AT102),AK102/R102))</f>
        <v/>
      </c>
      <c r="AO102" s="38">
        <f>IF(AN102="","",AN102*T102)</f>
        <v/>
      </c>
      <c r="AP102" s="40" t="n"/>
      <c r="AQ102" s="32" t="inlineStr">
        <is>
          <t>Grounded</t>
        </is>
      </c>
      <c r="AR102" s="41" t="n"/>
      <c r="AS102" s="41" t="n"/>
      <c r="AT102" s="42" t="n"/>
      <c r="AU102" s="43">
        <f>IF(((S102*pax_cap*load_thin*ROUND(K102*L102*revleg_thin,0))-(((battery/range_nm)*D102*ROUND(K102*L102*revleg_thin,0)*VLOOKUP(B102,country_opex,3,FALSE))+V102+W102+X102+Y102+Z102))&lt;=0,"",VLOOKUP(B102,country_opex,7,FALSE)/((S102*pax_cap*load_thin*ROUND(K102*L102*revleg_thin,0))-(((battery/range_nm)*D102*ROUND(K102*L102*revleg_thin,0)*VLOOKUP(B102,country_opex,3,FALSE))+V102+W102+X102+Y102+Z102)))</f>
        <v/>
      </c>
      <c r="AV102" s="43">
        <f>IF(((S102*pax_cap*load_mid*ROUND(K102*L102*revleg_mid,0))-(((battery/range_nm)*D102*ROUND(K102*L102*revleg_mid,0)*VLOOKUP(B102,country_opex,3,FALSE))+V102+W102+X102+Y102+Z102))&lt;=0,"",VLOOKUP(B102,country_opex,7,FALSE)/((S102*pax_cap*load_mid*ROUND(K102*L102*revleg_mid,0))-(((battery/range_nm)*D102*ROUND(K102*L102*revleg_mid,0)*VLOOKUP(B102,country_opex,3,FALSE))+V102+W102+X102+Y102+Z102)))</f>
        <v/>
      </c>
      <c r="AW102" s="43">
        <f>IF(((S102*pax_cap*load_full*ROUND(K102*L102*revleg_full,0))-(((battery/range_nm)*D102*ROUND(K102*L102*revleg_full,0)*VLOOKUP(B102,country_opex,3,FALSE))+V102+W102+X102+Y102+Z102))&lt;=0,"",VLOOKUP(B102,country_opex,7,FALSE)/((S102*pax_cap*load_full*ROUND(K102*L102*revleg_full,0))-(((battery/range_nm)*D102*ROUND(K102*L102*revleg_full,0)*VLOOKUP(B102,country_opex,3,FALSE))+V102+W102+X102+Y102+Z102)))</f>
        <v/>
      </c>
      <c r="AX102" s="44" t="inlineStr">
        <is>
          <t>PREMIUM charter-divided tier: Gulf of Tunis / Sidi Bou Said per-seat excursion cruise ~EUR 25 (pirate-boat dinner cruise 'from EUR 30'; 3h marina cruise EUR 15-20) x 1.08 ~= $27. Nearest premium per-seat water product on this corridor; no scheduled fast catamaran exists.</t>
        </is>
      </c>
      <c r="AY102" s="44" t="n"/>
    </row>
    <row r="103">
      <c r="A103" s="29" t="inlineStr">
        <is>
          <t>Yango</t>
        </is>
      </c>
      <c r="B103" s="29" t="inlineStr">
        <is>
          <t>Tunisia</t>
        </is>
      </c>
      <c r="C103" s="30" t="inlineStr">
        <is>
          <t>Tunis (Tunis Marine) → La Goulette</t>
        </is>
      </c>
      <c r="D103" s="31" t="n">
        <v>5</v>
      </c>
      <c r="E103" s="26" t="n"/>
      <c r="F103" s="32" t="n"/>
      <c r="G103" s="32" t="n"/>
      <c r="H103" s="19" t="n">
        <v>1</v>
      </c>
      <c r="I103" s="33">
        <f>60*D103/cruise_kt</f>
        <v/>
      </c>
      <c r="J103" s="33">
        <f>I103+turn_min+dwell_min</f>
        <v/>
      </c>
      <c r="K103" s="34">
        <f>MIN(24,FLOOR(60*service_hr/J103,1))</f>
        <v/>
      </c>
      <c r="L103" s="34">
        <f>ROUND(365*mech_uptime*H103,0)</f>
        <v/>
      </c>
      <c r="M103" s="35">
        <f>mech_uptime</f>
        <v/>
      </c>
      <c r="N103" s="35">
        <f>revleg_sel</f>
        <v/>
      </c>
      <c r="O103" s="34">
        <f>ROUND(K103*L103*revleg_sel,0)</f>
        <v/>
      </c>
      <c r="P103" s="36">
        <f>load_sel</f>
        <v/>
      </c>
      <c r="Q103" s="36">
        <f>pax_cap*P103</f>
        <v/>
      </c>
      <c r="R103" s="34">
        <f>Q103*O103</f>
        <v/>
      </c>
      <c r="S103" s="37">
        <f>E103*discount</f>
        <v/>
      </c>
      <c r="T103" s="38">
        <f>S103*R103</f>
        <v/>
      </c>
      <c r="U103" s="38">
        <f>(battery/range_nm)*D103*O103*VLOOKUP(B103,country_opex,3,FALSE)</f>
        <v/>
      </c>
      <c r="V103" s="38">
        <f>VLOOKUP(B103,country_opex,2,FALSE)*crew_factor</f>
        <v/>
      </c>
      <c r="W103" s="38">
        <f>VLOOKUP(B103,country_opex,5,FALSE)</f>
        <v/>
      </c>
      <c r="X103" s="38">
        <f>maint</f>
        <v/>
      </c>
      <c r="Y103" s="38">
        <f>VLOOKUP(B103,country_opex,7,FALSE)*ins_pct</f>
        <v/>
      </c>
      <c r="Z103" s="38">
        <f>charge_berth</f>
        <v/>
      </c>
      <c r="AA103" s="38">
        <f>U103+V103+W103+X103+Y103+Z103</f>
        <v/>
      </c>
      <c r="AB103" s="38">
        <f>VLOOKUP(B103,country_opex,7,FALSE)/dep_years</f>
        <v/>
      </c>
      <c r="AC103" s="38">
        <f>T103-AA103</f>
        <v/>
      </c>
      <c r="AD103" s="35">
        <f>IF(T103=0,"",AC103/T103)</f>
        <v/>
      </c>
      <c r="AE103" s="36">
        <f>IF(AC103&lt;=0,"",VLOOKUP(B103,country_opex,7,FALSE)/AC103)</f>
        <v/>
      </c>
      <c r="AF103" s="33">
        <f>((D103*O103/diesel_nmpg)*diesel_co2pg-(battery/range_nm)*D103*O103*VLOOKUP(B103,country_opex,4,FALSE))/1000</f>
        <v/>
      </c>
      <c r="AG103" s="31" t="n">
        <v>296000</v>
      </c>
      <c r="AH103" s="32" t="n"/>
      <c r="AI103" s="32" t="n"/>
      <c r="AJ103" s="39" t="n">
        <v>0.1</v>
      </c>
      <c r="AK103" s="34">
        <f>IF(AG103="","",AG103*AJ103)</f>
        <v/>
      </c>
      <c r="AL103" s="34">
        <f>IF(OR(AG103="",R103=0),"",MIN(IF(AT103="",9.9E+99,AT103),FLOOR(AK103/R103,1)))</f>
        <v/>
      </c>
      <c r="AM103" s="38">
        <f>IF(AL103="","",AL103*T103)</f>
        <v/>
      </c>
      <c r="AN103" s="36">
        <f>IF(OR(AG103="",R103=0),"",MIN(IF(AT103="",9.9E+99,AT103),AK103/R103))</f>
        <v/>
      </c>
      <c r="AO103" s="38">
        <f>IF(AN103="","",AN103*T103)</f>
        <v/>
      </c>
      <c r="AP103" s="40" t="n"/>
      <c r="AQ103" s="32" t="inlineStr">
        <is>
          <t>Grounded</t>
        </is>
      </c>
      <c r="AR103" s="41" t="n"/>
      <c r="AS103" s="41" t="n"/>
      <c r="AT103" s="42" t="n"/>
      <c r="AU103" s="43">
        <f>IF(((S103*pax_cap*load_thin*ROUND(K103*L103*revleg_thin,0))-(((battery/range_nm)*D103*ROUND(K103*L103*revleg_thin,0)*VLOOKUP(B103,country_opex,3,FALSE))+V103+W103+X103+Y103+Z103))&lt;=0,"",VLOOKUP(B103,country_opex,7,FALSE)/((S103*pax_cap*load_thin*ROUND(K103*L103*revleg_thin,0))-(((battery/range_nm)*D103*ROUND(K103*L103*revleg_thin,0)*VLOOKUP(B103,country_opex,3,FALSE))+V103+W103+X103+Y103+Z103)))</f>
        <v/>
      </c>
      <c r="AV103" s="43">
        <f>IF(((S103*pax_cap*load_mid*ROUND(K103*L103*revleg_mid,0))-(((battery/range_nm)*D103*ROUND(K103*L103*revleg_mid,0)*VLOOKUP(B103,country_opex,3,FALSE))+V103+W103+X103+Y103+Z103))&lt;=0,"",VLOOKUP(B103,country_opex,7,FALSE)/((S103*pax_cap*load_mid*ROUND(K103*L103*revleg_mid,0))-(((battery/range_nm)*D103*ROUND(K103*L103*revleg_mid,0)*VLOOKUP(B103,country_opex,3,FALSE))+V103+W103+X103+Y103+Z103)))</f>
        <v/>
      </c>
      <c r="AW103" s="43">
        <f>IF(((S103*pax_cap*load_full*ROUND(K103*L103*revleg_full,0))-(((battery/range_nm)*D103*ROUND(K103*L103*revleg_full,0)*VLOOKUP(B103,country_opex,3,FALSE))+V103+W103+X103+Y103+Z103))&lt;=0,"",VLOOKUP(B103,country_opex,7,FALSE)/((S103*pax_cap*load_full*ROUND(K103*L103*revleg_full,0))-(((battery/range_nm)*D103*ROUND(K103*L103*revleg_full,0)*VLOOKUP(B103,country_opex,3,FALSE))+V103+W103+X103+Y103+Z103)))</f>
        <v/>
      </c>
      <c r="AX103" s="44" t="n"/>
      <c r="AY103" s="44" t="n"/>
    </row>
    <row r="104">
      <c r="A104" s="29" t="inlineStr">
        <is>
          <t>Yango</t>
        </is>
      </c>
      <c r="B104" s="29" t="inlineStr">
        <is>
          <t>Tunisia</t>
        </is>
      </c>
      <c r="C104" s="30" t="inlineStr">
        <is>
          <t>Tunis (La Goulette) → La Marsa / Gammarth</t>
        </is>
      </c>
      <c r="D104" s="31" t="n">
        <v>7</v>
      </c>
      <c r="E104" s="26" t="n"/>
      <c r="F104" s="32" t="n"/>
      <c r="G104" s="32" t="n"/>
      <c r="H104" s="19" t="n">
        <v>1</v>
      </c>
      <c r="I104" s="33">
        <f>60*D104/cruise_kt</f>
        <v/>
      </c>
      <c r="J104" s="33">
        <f>I104+turn_min+dwell_min</f>
        <v/>
      </c>
      <c r="K104" s="34">
        <f>MIN(24,FLOOR(60*service_hr/J104,1))</f>
        <v/>
      </c>
      <c r="L104" s="34">
        <f>ROUND(365*mech_uptime*H104,0)</f>
        <v/>
      </c>
      <c r="M104" s="35">
        <f>mech_uptime</f>
        <v/>
      </c>
      <c r="N104" s="35">
        <f>revleg_sel</f>
        <v/>
      </c>
      <c r="O104" s="34">
        <f>ROUND(K104*L104*revleg_sel,0)</f>
        <v/>
      </c>
      <c r="P104" s="36">
        <f>load_sel</f>
        <v/>
      </c>
      <c r="Q104" s="36">
        <f>pax_cap*P104</f>
        <v/>
      </c>
      <c r="R104" s="34">
        <f>Q104*O104</f>
        <v/>
      </c>
      <c r="S104" s="37">
        <f>E104*discount</f>
        <v/>
      </c>
      <c r="T104" s="38">
        <f>S104*R104</f>
        <v/>
      </c>
      <c r="U104" s="38">
        <f>(battery/range_nm)*D104*O104*VLOOKUP(B104,country_opex,3,FALSE)</f>
        <v/>
      </c>
      <c r="V104" s="38">
        <f>VLOOKUP(B104,country_opex,2,FALSE)*crew_factor</f>
        <v/>
      </c>
      <c r="W104" s="38">
        <f>VLOOKUP(B104,country_opex,5,FALSE)</f>
        <v/>
      </c>
      <c r="X104" s="38">
        <f>maint</f>
        <v/>
      </c>
      <c r="Y104" s="38">
        <f>VLOOKUP(B104,country_opex,7,FALSE)*ins_pct</f>
        <v/>
      </c>
      <c r="Z104" s="38">
        <f>charge_berth</f>
        <v/>
      </c>
      <c r="AA104" s="38">
        <f>U104+V104+W104+X104+Y104+Z104</f>
        <v/>
      </c>
      <c r="AB104" s="38">
        <f>VLOOKUP(B104,country_opex,7,FALSE)/dep_years</f>
        <v/>
      </c>
      <c r="AC104" s="38">
        <f>T104-AA104</f>
        <v/>
      </c>
      <c r="AD104" s="35">
        <f>IF(T104=0,"",AC104/T104)</f>
        <v/>
      </c>
      <c r="AE104" s="36">
        <f>IF(AC104&lt;=0,"",VLOOKUP(B104,country_opex,7,FALSE)/AC104)</f>
        <v/>
      </c>
      <c r="AF104" s="33">
        <f>((D104*O104/diesel_nmpg)*diesel_co2pg-(battery/range_nm)*D104*O104*VLOOKUP(B104,country_opex,4,FALSE))/1000</f>
        <v/>
      </c>
      <c r="AG104" s="31" t="n">
        <v>222000</v>
      </c>
      <c r="AH104" s="32" t="n"/>
      <c r="AI104" s="32" t="n"/>
      <c r="AJ104" s="39" t="n">
        <v>0.1</v>
      </c>
      <c r="AK104" s="34">
        <f>IF(AG104="","",AG104*AJ104)</f>
        <v/>
      </c>
      <c r="AL104" s="34">
        <f>IF(OR(AG104="",R104=0),"",MIN(IF(AT104="",9.9E+99,AT104),FLOOR(AK104/R104,1)))</f>
        <v/>
      </c>
      <c r="AM104" s="38">
        <f>IF(AL104="","",AL104*T104)</f>
        <v/>
      </c>
      <c r="AN104" s="36">
        <f>IF(OR(AG104="",R104=0),"",MIN(IF(AT104="",9.9E+99,AT104),AK104/R104))</f>
        <v/>
      </c>
      <c r="AO104" s="38">
        <f>IF(AN104="","",AN104*T104)</f>
        <v/>
      </c>
      <c r="AP104" s="40" t="n"/>
      <c r="AQ104" s="32" t="inlineStr">
        <is>
          <t>Grounded</t>
        </is>
      </c>
      <c r="AR104" s="41" t="n"/>
      <c r="AS104" s="41" t="n"/>
      <c r="AT104" s="42" t="n"/>
      <c r="AU104" s="43">
        <f>IF(((S104*pax_cap*load_thin*ROUND(K104*L104*revleg_thin,0))-(((battery/range_nm)*D104*ROUND(K104*L104*revleg_thin,0)*VLOOKUP(B104,country_opex,3,FALSE))+V104+W104+X104+Y104+Z104))&lt;=0,"",VLOOKUP(B104,country_opex,7,FALSE)/((S104*pax_cap*load_thin*ROUND(K104*L104*revleg_thin,0))-(((battery/range_nm)*D104*ROUND(K104*L104*revleg_thin,0)*VLOOKUP(B104,country_opex,3,FALSE))+V104+W104+X104+Y104+Z104)))</f>
        <v/>
      </c>
      <c r="AV104" s="43">
        <f>IF(((S104*pax_cap*load_mid*ROUND(K104*L104*revleg_mid,0))-(((battery/range_nm)*D104*ROUND(K104*L104*revleg_mid,0)*VLOOKUP(B104,country_opex,3,FALSE))+V104+W104+X104+Y104+Z104))&lt;=0,"",VLOOKUP(B104,country_opex,7,FALSE)/((S104*pax_cap*load_mid*ROUND(K104*L104*revleg_mid,0))-(((battery/range_nm)*D104*ROUND(K104*L104*revleg_mid,0)*VLOOKUP(B104,country_opex,3,FALSE))+V104+W104+X104+Y104+Z104)))</f>
        <v/>
      </c>
      <c r="AW104" s="43">
        <f>IF(((S104*pax_cap*load_full*ROUND(K104*L104*revleg_full,0))-(((battery/range_nm)*D104*ROUND(K104*L104*revleg_full,0)*VLOOKUP(B104,country_opex,3,FALSE))+V104+W104+X104+Y104+Z104))&lt;=0,"",VLOOKUP(B104,country_opex,7,FALSE)/((S104*pax_cap*load_full*ROUND(K104*L104*revleg_full,0))-(((battery/range_nm)*D104*ROUND(K104*L104*revleg_full,0)*VLOOKUP(B104,country_opex,3,FALSE))+V104+W104+X104+Y104+Z104)))</f>
        <v/>
      </c>
      <c r="AX104" s="44" t="n"/>
      <c r="AY104" s="44" t="n"/>
    </row>
    <row r="105">
      <c r="A105" s="29" t="inlineStr">
        <is>
          <t>Yango</t>
        </is>
      </c>
      <c r="B105" s="29" t="inlineStr">
        <is>
          <t>Tunisia</t>
        </is>
      </c>
      <c r="C105" s="30" t="inlineStr">
        <is>
          <t>Yasmine Hammamet → Nabeul</t>
        </is>
      </c>
      <c r="D105" s="31" t="n">
        <v>7</v>
      </c>
      <c r="E105" s="26" t="n">
        <v>22</v>
      </c>
      <c r="F105" s="32" t="inlineStr">
        <is>
          <t>T2</t>
        </is>
      </c>
      <c r="G105" s="32" t="inlineStr">
        <is>
          <t>med</t>
        </is>
      </c>
      <c r="H105" s="19" t="n">
        <v>1</v>
      </c>
      <c r="I105" s="33">
        <f>60*D105/cruise_kt</f>
        <v/>
      </c>
      <c r="J105" s="33">
        <f>I105+turn_min+dwell_min</f>
        <v/>
      </c>
      <c r="K105" s="34">
        <f>MIN(15,FLOOR(60*service_hr/J105,1))</f>
        <v/>
      </c>
      <c r="L105" s="34">
        <f>ROUND(365*mech_uptime*H105,0)</f>
        <v/>
      </c>
      <c r="M105" s="35">
        <f>mech_uptime</f>
        <v/>
      </c>
      <c r="N105" s="35">
        <f>revleg_sel</f>
        <v/>
      </c>
      <c r="O105" s="34">
        <f>ROUND(K105*L105*revleg_sel,0)</f>
        <v/>
      </c>
      <c r="P105" s="36">
        <f>load_sel</f>
        <v/>
      </c>
      <c r="Q105" s="36">
        <f>pax_cap*P105</f>
        <v/>
      </c>
      <c r="R105" s="34">
        <f>Q105*O105</f>
        <v/>
      </c>
      <c r="S105" s="37">
        <f>E105*discount</f>
        <v/>
      </c>
      <c r="T105" s="38">
        <f>S105*R105</f>
        <v/>
      </c>
      <c r="U105" s="38">
        <f>(battery/range_nm)*D105*O105*VLOOKUP(B105,country_opex,3,FALSE)</f>
        <v/>
      </c>
      <c r="V105" s="38">
        <f>VLOOKUP(B105,country_opex,2,FALSE)*crew_factor</f>
        <v/>
      </c>
      <c r="W105" s="38">
        <f>VLOOKUP(B105,country_opex,5,FALSE)</f>
        <v/>
      </c>
      <c r="X105" s="38">
        <f>maint</f>
        <v/>
      </c>
      <c r="Y105" s="38">
        <f>VLOOKUP(B105,country_opex,7,FALSE)*ins_pct</f>
        <v/>
      </c>
      <c r="Z105" s="38">
        <f>charge_berth</f>
        <v/>
      </c>
      <c r="AA105" s="38">
        <f>U105+V105+W105+X105+Y105+Z105</f>
        <v/>
      </c>
      <c r="AB105" s="38">
        <f>VLOOKUP(B105,country_opex,7,FALSE)/dep_years</f>
        <v/>
      </c>
      <c r="AC105" s="38">
        <f>T105-AA105</f>
        <v/>
      </c>
      <c r="AD105" s="35">
        <f>IF(T105=0,"",AC105/T105)</f>
        <v/>
      </c>
      <c r="AE105" s="36">
        <f>IF(AC105&lt;=0,"",VLOOKUP(B105,country_opex,7,FALSE)/AC105)</f>
        <v/>
      </c>
      <c r="AF105" s="33">
        <f>((D105*O105/diesel_nmpg)*diesel_co2pg-(battery/range_nm)*D105*O105*VLOOKUP(B105,country_opex,4,FALSE))/1000</f>
        <v/>
      </c>
      <c r="AG105" s="31" t="n"/>
      <c r="AH105" s="32" t="n"/>
      <c r="AI105" s="32" t="n"/>
      <c r="AJ105" s="39" t="n">
        <v>0.1</v>
      </c>
      <c r="AK105" s="34">
        <f>IF(AG105="","",AG105*AJ105)</f>
        <v/>
      </c>
      <c r="AL105" s="34">
        <f>IF(OR(AG105="",R105=0),"",MIN(IF(AT105="",9.9E+99,AT105),FLOOR(AK105/R105,1)))</f>
        <v/>
      </c>
      <c r="AM105" s="38">
        <f>IF(AL105="","",AL105*T105)</f>
        <v/>
      </c>
      <c r="AN105" s="36">
        <f>IF(OR(AG105="",R105=0),"",MIN(IF(AT105="",9.9E+99,AT105),AK105/R105))</f>
        <v/>
      </c>
      <c r="AO105" s="38">
        <f>IF(AN105="","",AN105*T105)</f>
        <v/>
      </c>
      <c r="AP105" s="40" t="n"/>
      <c r="AQ105" s="32" t="inlineStr">
        <is>
          <t>Estimated</t>
        </is>
      </c>
      <c r="AR105" s="41" t="n"/>
      <c r="AS105" s="41" t="n"/>
      <c r="AT105" s="42" t="n"/>
      <c r="AU105" s="43">
        <f>IF(((S105*pax_cap*load_thin*ROUND(K105*L105*revleg_thin,0))-(((battery/range_nm)*D105*ROUND(K105*L105*revleg_thin,0)*VLOOKUP(B105,country_opex,3,FALSE))+V105+W105+X105+Y105+Z105))&lt;=0,"",VLOOKUP(B105,country_opex,7,FALSE)/((S105*pax_cap*load_thin*ROUND(K105*L105*revleg_thin,0))-(((battery/range_nm)*D105*ROUND(K105*L105*revleg_thin,0)*VLOOKUP(B105,country_opex,3,FALSE))+V105+W105+X105+Y105+Z105)))</f>
        <v/>
      </c>
      <c r="AV105" s="43">
        <f>IF(((S105*pax_cap*load_mid*ROUND(K105*L105*revleg_mid,0))-(((battery/range_nm)*D105*ROUND(K105*L105*revleg_mid,0)*VLOOKUP(B105,country_opex,3,FALSE))+V105+W105+X105+Y105+Z105))&lt;=0,"",VLOOKUP(B105,country_opex,7,FALSE)/((S105*pax_cap*load_mid*ROUND(K105*L105*revleg_mid,0))-(((battery/range_nm)*D105*ROUND(K105*L105*revleg_mid,0)*VLOOKUP(B105,country_opex,3,FALSE))+V105+W105+X105+Y105+Z105)))</f>
        <v/>
      </c>
      <c r="AW105" s="43">
        <f>IF(((S105*pax_cap*load_full*ROUND(K105*L105*revleg_full,0))-(((battery/range_nm)*D105*ROUND(K105*L105*revleg_full,0)*VLOOKUP(B105,country_opex,3,FALSE))+V105+W105+X105+Y105+Z105))&lt;=0,"",VLOOKUP(B105,country_opex,7,FALSE)/((S105*pax_cap*load_full*ROUND(K105*L105*revleg_full,0))-(((battery/range_nm)*D105*ROUND(K105*L105*revleg_full,0)*VLOOKUP(B105,country_opex,3,FALSE))+V105+W105+X105+Y105+Z105)))</f>
        <v/>
      </c>
      <c r="AX105" s="44" t="inlineStr">
        <is>
          <t>PREMIUM charter-divided tier: Hammamet/Nabeul bay per-seat excursion boat ~EUR 15-25 (3h marina cruise w/ swim stop) -&gt; ~EUR 20 x 1.08 ~= $22. Nearest premium per-seat water product on the bay.</t>
        </is>
      </c>
      <c r="AY105" s="44" t="n"/>
    </row>
    <row r="106">
      <c r="A106" s="29" t="inlineStr">
        <is>
          <t>Yango</t>
        </is>
      </c>
      <c r="B106" s="29" t="inlineStr">
        <is>
          <t>Tunisia</t>
        </is>
      </c>
      <c r="C106" s="30" t="inlineStr">
        <is>
          <t>Sfax → Sidi Youssef (Kerkennah Islands)</t>
        </is>
      </c>
      <c r="D106" s="31" t="n">
        <v>11</v>
      </c>
      <c r="E106" s="26" t="n"/>
      <c r="F106" s="32" t="n"/>
      <c r="G106" s="32" t="n"/>
      <c r="H106" s="19" t="n">
        <v>1</v>
      </c>
      <c r="I106" s="33">
        <f>60*D106/cruise_kt</f>
        <v/>
      </c>
      <c r="J106" s="33">
        <f>I106+turn_min+dwell_min</f>
        <v/>
      </c>
      <c r="K106" s="34">
        <f>MIN(15,FLOOR(60*service_hr/J106,1))</f>
        <v/>
      </c>
      <c r="L106" s="34">
        <f>ROUND(365*mech_uptime*H106,0)</f>
        <v/>
      </c>
      <c r="M106" s="35">
        <f>mech_uptime</f>
        <v/>
      </c>
      <c r="N106" s="35">
        <f>revleg_sel</f>
        <v/>
      </c>
      <c r="O106" s="34">
        <f>ROUND(K106*L106*revleg_sel,0)</f>
        <v/>
      </c>
      <c r="P106" s="36">
        <f>load_sel</f>
        <v/>
      </c>
      <c r="Q106" s="36">
        <f>pax_cap*P106</f>
        <v/>
      </c>
      <c r="R106" s="34">
        <f>Q106*O106</f>
        <v/>
      </c>
      <c r="S106" s="37">
        <f>E106*discount</f>
        <v/>
      </c>
      <c r="T106" s="38">
        <f>S106*R106</f>
        <v/>
      </c>
      <c r="U106" s="38">
        <f>(battery/range_nm)*D106*O106*VLOOKUP(B106,country_opex,3,FALSE)</f>
        <v/>
      </c>
      <c r="V106" s="38">
        <f>VLOOKUP(B106,country_opex,2,FALSE)*crew_factor</f>
        <v/>
      </c>
      <c r="W106" s="38">
        <f>VLOOKUP(B106,country_opex,5,FALSE)</f>
        <v/>
      </c>
      <c r="X106" s="38">
        <f>maint</f>
        <v/>
      </c>
      <c r="Y106" s="38">
        <f>VLOOKUP(B106,country_opex,7,FALSE)*ins_pct</f>
        <v/>
      </c>
      <c r="Z106" s="38">
        <f>charge_berth</f>
        <v/>
      </c>
      <c r="AA106" s="38">
        <f>U106+V106+W106+X106+Y106+Z106</f>
        <v/>
      </c>
      <c r="AB106" s="38">
        <f>VLOOKUP(B106,country_opex,7,FALSE)/dep_years</f>
        <v/>
      </c>
      <c r="AC106" s="38">
        <f>T106-AA106</f>
        <v/>
      </c>
      <c r="AD106" s="35">
        <f>IF(T106=0,"",AC106/T106)</f>
        <v/>
      </c>
      <c r="AE106" s="36">
        <f>IF(AC106&lt;=0,"",VLOOKUP(B106,country_opex,7,FALSE)/AC106)</f>
        <v/>
      </c>
      <c r="AF106" s="33">
        <f>((D106*O106/diesel_nmpg)*diesel_co2pg-(battery/range_nm)*D106*O106*VLOOKUP(B106,country_opex,4,FALSE))/1000</f>
        <v/>
      </c>
      <c r="AG106" s="31" t="n">
        <v>1750000</v>
      </c>
      <c r="AH106" s="32" t="n"/>
      <c r="AI106" s="32" t="n"/>
      <c r="AJ106" s="39" t="n">
        <v>0.1</v>
      </c>
      <c r="AK106" s="34">
        <f>IF(AG106="","",AG106*AJ106)</f>
        <v/>
      </c>
      <c r="AL106" s="34">
        <f>IF(OR(AG106="",R106=0),"",MIN(IF(AT106="",9.9E+99,AT106),FLOOR(AK106/R106,1)))</f>
        <v/>
      </c>
      <c r="AM106" s="38">
        <f>IF(AL106="","",AL106*T106)</f>
        <v/>
      </c>
      <c r="AN106" s="36">
        <f>IF(OR(AG106="",R106=0),"",MIN(IF(AT106="",9.9E+99,AT106),AK106/R106))</f>
        <v/>
      </c>
      <c r="AO106" s="38">
        <f>IF(AN106="","",AN106*T106)</f>
        <v/>
      </c>
      <c r="AP106" s="40" t="n"/>
      <c r="AQ106" s="32" t="inlineStr">
        <is>
          <t>Grounded</t>
        </is>
      </c>
      <c r="AR106" s="41" t="n"/>
      <c r="AS106" s="41" t="n"/>
      <c r="AT106" s="42" t="n"/>
      <c r="AU106" s="43">
        <f>IF(((S106*pax_cap*load_thin*ROUND(K106*L106*revleg_thin,0))-(((battery/range_nm)*D106*ROUND(K106*L106*revleg_thin,0)*VLOOKUP(B106,country_opex,3,FALSE))+V106+W106+X106+Y106+Z106))&lt;=0,"",VLOOKUP(B106,country_opex,7,FALSE)/((S106*pax_cap*load_thin*ROUND(K106*L106*revleg_thin,0))-(((battery/range_nm)*D106*ROUND(K106*L106*revleg_thin,0)*VLOOKUP(B106,country_opex,3,FALSE))+V106+W106+X106+Y106+Z106)))</f>
        <v/>
      </c>
      <c r="AV106" s="43">
        <f>IF(((S106*pax_cap*load_mid*ROUND(K106*L106*revleg_mid,0))-(((battery/range_nm)*D106*ROUND(K106*L106*revleg_mid,0)*VLOOKUP(B106,country_opex,3,FALSE))+V106+W106+X106+Y106+Z106))&lt;=0,"",VLOOKUP(B106,country_opex,7,FALSE)/((S106*pax_cap*load_mid*ROUND(K106*L106*revleg_mid,0))-(((battery/range_nm)*D106*ROUND(K106*L106*revleg_mid,0)*VLOOKUP(B106,country_opex,3,FALSE))+V106+W106+X106+Y106+Z106)))</f>
        <v/>
      </c>
      <c r="AW106" s="43">
        <f>IF(((S106*pax_cap*load_full*ROUND(K106*L106*revleg_full,0))-(((battery/range_nm)*D106*ROUND(K106*L106*revleg_full,0)*VLOOKUP(B106,country_opex,3,FALSE))+V106+W106+X106+Y106+Z106))&lt;=0,"",VLOOKUP(B106,country_opex,7,FALSE)/((S106*pax_cap*load_full*ROUND(K106*L106*revleg_full,0))-(((battery/range_nm)*D106*ROUND(K106*L106*revleg_full,0)*VLOOKUP(B106,country_opex,3,FALSE))+V106+W106+X106+Y106+Z106)))</f>
        <v/>
      </c>
      <c r="AX106" s="44" t="n"/>
      <c r="AY106" s="44" t="n"/>
    </row>
    <row r="107">
      <c r="A107" s="29" t="inlineStr">
        <is>
          <t>Yango</t>
        </is>
      </c>
      <c r="B107" s="29" t="inlineStr">
        <is>
          <t>Tunisia</t>
        </is>
      </c>
      <c r="C107" s="30" t="inlineStr">
        <is>
          <t>Sousse (Port El Kantaoui) → Monastir (Marina)</t>
        </is>
      </c>
      <c r="D107" s="31" t="n">
        <v>12</v>
      </c>
      <c r="E107" s="26" t="n">
        <v>32</v>
      </c>
      <c r="F107" s="32" t="inlineStr">
        <is>
          <t>T2</t>
        </is>
      </c>
      <c r="G107" s="32" t="inlineStr">
        <is>
          <t>med</t>
        </is>
      </c>
      <c r="H107" s="19" t="n">
        <v>1</v>
      </c>
      <c r="I107" s="33">
        <f>60*D107/cruise_kt</f>
        <v/>
      </c>
      <c r="J107" s="33">
        <f>I107+turn_min+dwell_min</f>
        <v/>
      </c>
      <c r="K107" s="34">
        <f>MIN(24,FLOOR(60*service_hr/J107,1))</f>
        <v/>
      </c>
      <c r="L107" s="34">
        <f>ROUND(365*mech_uptime*H107,0)</f>
        <v/>
      </c>
      <c r="M107" s="35">
        <f>mech_uptime</f>
        <v/>
      </c>
      <c r="N107" s="35">
        <f>revleg_sel</f>
        <v/>
      </c>
      <c r="O107" s="34">
        <f>ROUND(K107*L107*revleg_sel,0)</f>
        <v/>
      </c>
      <c r="P107" s="36">
        <f>load_sel</f>
        <v/>
      </c>
      <c r="Q107" s="36">
        <f>pax_cap*P107</f>
        <v/>
      </c>
      <c r="R107" s="34">
        <f>Q107*O107</f>
        <v/>
      </c>
      <c r="S107" s="37">
        <f>E107*discount</f>
        <v/>
      </c>
      <c r="T107" s="38">
        <f>S107*R107</f>
        <v/>
      </c>
      <c r="U107" s="38">
        <f>(battery/range_nm)*D107*O107*VLOOKUP(B107,country_opex,3,FALSE)</f>
        <v/>
      </c>
      <c r="V107" s="38">
        <f>VLOOKUP(B107,country_opex,2,FALSE)*crew_factor</f>
        <v/>
      </c>
      <c r="W107" s="38">
        <f>VLOOKUP(B107,country_opex,5,FALSE)</f>
        <v/>
      </c>
      <c r="X107" s="38">
        <f>maint</f>
        <v/>
      </c>
      <c r="Y107" s="38">
        <f>VLOOKUP(B107,country_opex,7,FALSE)*ins_pct</f>
        <v/>
      </c>
      <c r="Z107" s="38">
        <f>charge_berth</f>
        <v/>
      </c>
      <c r="AA107" s="38">
        <f>U107+V107+W107+X107+Y107+Z107</f>
        <v/>
      </c>
      <c r="AB107" s="38">
        <f>VLOOKUP(B107,country_opex,7,FALSE)/dep_years</f>
        <v/>
      </c>
      <c r="AC107" s="38">
        <f>T107-AA107</f>
        <v/>
      </c>
      <c r="AD107" s="35">
        <f>IF(T107=0,"",AC107/T107)</f>
        <v/>
      </c>
      <c r="AE107" s="36">
        <f>IF(AC107&lt;=0,"",VLOOKUP(B107,country_opex,7,FALSE)/AC107)</f>
        <v/>
      </c>
      <c r="AF107" s="33">
        <f>((D107*O107/diesel_nmpg)*diesel_co2pg-(battery/range_nm)*D107*O107*VLOOKUP(B107,country_opex,4,FALSE))/1000</f>
        <v/>
      </c>
      <c r="AG107" s="31" t="n">
        <v>344000</v>
      </c>
      <c r="AH107" s="32" t="n"/>
      <c r="AI107" s="32" t="n"/>
      <c r="AJ107" s="39" t="n">
        <v>0.1</v>
      </c>
      <c r="AK107" s="34">
        <f>IF(AG107="","",AG107*AJ107)</f>
        <v/>
      </c>
      <c r="AL107" s="34">
        <f>IF(OR(AG107="",R107=0),"",MIN(IF(AT107="",9.9E+99,AT107),FLOOR(AK107/R107,1)))</f>
        <v/>
      </c>
      <c r="AM107" s="38">
        <f>IF(AL107="","",AL107*T107)</f>
        <v/>
      </c>
      <c r="AN107" s="36">
        <f>IF(OR(AG107="",R107=0),"",MIN(IF(AT107="",9.9E+99,AT107),AK107/R107))</f>
        <v/>
      </c>
      <c r="AO107" s="38">
        <f>IF(AN107="","",AN107*T107)</f>
        <v/>
      </c>
      <c r="AP107" s="40" t="n"/>
      <c r="AQ107" s="32" t="inlineStr">
        <is>
          <t>Grounded</t>
        </is>
      </c>
      <c r="AR107" s="41" t="n"/>
      <c r="AS107" s="41" t="n"/>
      <c r="AT107" s="42" t="n"/>
      <c r="AU107" s="43">
        <f>IF(((S107*pax_cap*load_thin*ROUND(K107*L107*revleg_thin,0))-(((battery/range_nm)*D107*ROUND(K107*L107*revleg_thin,0)*VLOOKUP(B107,country_opex,3,FALSE))+V107+W107+X107+Y107+Z107))&lt;=0,"",VLOOKUP(B107,country_opex,7,FALSE)/((S107*pax_cap*load_thin*ROUND(K107*L107*revleg_thin,0))-(((battery/range_nm)*D107*ROUND(K107*L107*revleg_thin,0)*VLOOKUP(B107,country_opex,3,FALSE))+V107+W107+X107+Y107+Z107)))</f>
        <v/>
      </c>
      <c r="AV107" s="43">
        <f>IF(((S107*pax_cap*load_mid*ROUND(K107*L107*revleg_mid,0))-(((battery/range_nm)*D107*ROUND(K107*L107*revleg_mid,0)*VLOOKUP(B107,country_opex,3,FALSE))+V107+W107+X107+Y107+Z107))&lt;=0,"",VLOOKUP(B107,country_opex,7,FALSE)/((S107*pax_cap*load_mid*ROUND(K107*L107*revleg_mid,0))-(((battery/range_nm)*D107*ROUND(K107*L107*revleg_mid,0)*VLOOKUP(B107,country_opex,3,FALSE))+V107+W107+X107+Y107+Z107)))</f>
        <v/>
      </c>
      <c r="AW107" s="43">
        <f>IF(((S107*pax_cap*load_full*ROUND(K107*L107*revleg_full,0))-(((battery/range_nm)*D107*ROUND(K107*L107*revleg_full,0)*VLOOKUP(B107,country_opex,3,FALSE))+V107+W107+X107+Y107+Z107))&lt;=0,"",VLOOKUP(B107,country_opex,7,FALSE)/((S107*pax_cap*load_full*ROUND(K107*L107*revleg_full,0))-(((battery/range_nm)*D107*ROUND(K107*L107*revleg_full,0)*VLOOKUP(B107,country_opex,3,FALSE))+V107+W107+X107+Y107+Z107)))</f>
        <v/>
      </c>
      <c r="AX107" s="44" t="inlineStr">
        <is>
          <t>PREMIUM charter-divided tier: Port El Kantaoui per-seat catamaran / 'pirate boat' coastal cruise ~EUR 25-35 (Catamaran Amira day-cruise; half-day pirate-boat Sousse-Monastir) -&gt; midpoint ~EUR 30 x 1.08 ~= $32. This is the nearest premium per-seat water product operating on this exact coast.</t>
        </is>
      </c>
      <c r="AY107" s="44" t="n"/>
    </row>
    <row r="108">
      <c r="A108" s="29" t="inlineStr">
        <is>
          <t>Yango</t>
        </is>
      </c>
      <c r="B108" s="29" t="inlineStr">
        <is>
          <t>Turkey</t>
        </is>
      </c>
      <c r="C108" s="30" t="inlineStr">
        <is>
          <t>Eminönü → Üsküdar</t>
        </is>
      </c>
      <c r="D108" s="31" t="n">
        <v>0.9</v>
      </c>
      <c r="E108" s="26" t="n">
        <v>18</v>
      </c>
      <c r="F108" s="32" t="inlineStr">
        <is>
          <t>T2</t>
        </is>
      </c>
      <c r="G108" s="32" t="inlineStr">
        <is>
          <t>med</t>
        </is>
      </c>
      <c r="H108" s="19" t="n">
        <v>1</v>
      </c>
      <c r="I108" s="33">
        <f>60*D108/cruise_kt</f>
        <v/>
      </c>
      <c r="J108" s="33">
        <f>I108+turn_min+dwell_min</f>
        <v/>
      </c>
      <c r="K108" s="34">
        <f>MIN(24,FLOOR(60*service_hr/J108,1))</f>
        <v/>
      </c>
      <c r="L108" s="34">
        <f>ROUND(365*mech_uptime*H108,0)</f>
        <v/>
      </c>
      <c r="M108" s="35">
        <f>mech_uptime</f>
        <v/>
      </c>
      <c r="N108" s="35">
        <f>revleg_sel</f>
        <v/>
      </c>
      <c r="O108" s="34">
        <f>ROUND(K108*L108*revleg_sel,0)</f>
        <v/>
      </c>
      <c r="P108" s="36">
        <f>load_sel</f>
        <v/>
      </c>
      <c r="Q108" s="36">
        <f>pax_cap*P108</f>
        <v/>
      </c>
      <c r="R108" s="34">
        <f>Q108*O108</f>
        <v/>
      </c>
      <c r="S108" s="37">
        <f>E108*discount</f>
        <v/>
      </c>
      <c r="T108" s="38">
        <f>S108*R108</f>
        <v/>
      </c>
      <c r="U108" s="38">
        <f>(battery/range_nm)*D108*O108*VLOOKUP(B108,country_opex,3,FALSE)</f>
        <v/>
      </c>
      <c r="V108" s="38">
        <f>VLOOKUP(B108,country_opex,2,FALSE)*crew_factor</f>
        <v/>
      </c>
      <c r="W108" s="38">
        <f>VLOOKUP(B108,country_opex,5,FALSE)</f>
        <v/>
      </c>
      <c r="X108" s="38">
        <f>maint</f>
        <v/>
      </c>
      <c r="Y108" s="38">
        <f>VLOOKUP(B108,country_opex,7,FALSE)*ins_pct</f>
        <v/>
      </c>
      <c r="Z108" s="38">
        <f>charge_berth</f>
        <v/>
      </c>
      <c r="AA108" s="38">
        <f>U108+V108+W108+X108+Y108+Z108</f>
        <v/>
      </c>
      <c r="AB108" s="38">
        <f>VLOOKUP(B108,country_opex,7,FALSE)/dep_years</f>
        <v/>
      </c>
      <c r="AC108" s="38">
        <f>T108-AA108</f>
        <v/>
      </c>
      <c r="AD108" s="35">
        <f>IF(T108=0,"",AC108/T108)</f>
        <v/>
      </c>
      <c r="AE108" s="36">
        <f>IF(AC108&lt;=0,"",VLOOKUP(B108,country_opex,7,FALSE)/AC108)</f>
        <v/>
      </c>
      <c r="AF108" s="33">
        <f>((D108*O108/diesel_nmpg)*diesel_co2pg-(battery/range_nm)*D108*O108*VLOOKUP(B108,country_opex,4,FALSE))/1000</f>
        <v/>
      </c>
      <c r="AG108" s="31" t="n">
        <v>880476</v>
      </c>
      <c r="AH108" s="32" t="n"/>
      <c r="AI108" s="32" t="inlineStr">
        <is>
          <t>med</t>
        </is>
      </c>
      <c r="AJ108" s="39" t="n">
        <v>0.25</v>
      </c>
      <c r="AK108" s="34">
        <f>IF(AG108="","",AG108*AJ108)</f>
        <v/>
      </c>
      <c r="AL108" s="34">
        <f>IF(OR(AG108="",R108=0),"",MIN(IF(AT108="",9.9E+99,AT108),FLOOR(AK108/R108,1)))</f>
        <v/>
      </c>
      <c r="AM108" s="38">
        <f>IF(AL108="","",AL108*T108)</f>
        <v/>
      </c>
      <c r="AN108" s="36">
        <f>IF(OR(AG108="",R108=0),"",MIN(IF(AT108="",9.9E+99,AT108),AK108/R108))</f>
        <v/>
      </c>
      <c r="AO108" s="38">
        <f>IF(AN108="","",AN108*T108)</f>
        <v/>
      </c>
      <c r="AP108" s="40" t="n"/>
      <c r="AQ108" s="32" t="inlineStr">
        <is>
          <t>Grounded</t>
        </is>
      </c>
      <c r="AR108" s="41" t="n"/>
      <c r="AS108" s="41" t="n"/>
      <c r="AT108" s="42" t="n"/>
      <c r="AU108" s="43">
        <f>IF(((S108*pax_cap*load_thin*ROUND(K108*L108*revleg_thin,0))-(((battery/range_nm)*D108*ROUND(K108*L108*revleg_thin,0)*VLOOKUP(B108,country_opex,3,FALSE))+V108+W108+X108+Y108+Z108))&lt;=0,"",VLOOKUP(B108,country_opex,7,FALSE)/((S108*pax_cap*load_thin*ROUND(K108*L108*revleg_thin,0))-(((battery/range_nm)*D108*ROUND(K108*L108*revleg_thin,0)*VLOOKUP(B108,country_opex,3,FALSE))+V108+W108+X108+Y108+Z108)))</f>
        <v/>
      </c>
      <c r="AV108" s="43">
        <f>IF(((S108*pax_cap*load_mid*ROUND(K108*L108*revleg_mid,0))-(((battery/range_nm)*D108*ROUND(K108*L108*revleg_mid,0)*VLOOKUP(B108,country_opex,3,FALSE))+V108+W108+X108+Y108+Z108))&lt;=0,"",VLOOKUP(B108,country_opex,7,FALSE)/((S108*pax_cap*load_mid*ROUND(K108*L108*revleg_mid,0))-(((battery/range_nm)*D108*ROUND(K108*L108*revleg_mid,0)*VLOOKUP(B108,country_opex,3,FALSE))+V108+W108+X108+Y108+Z108)))</f>
        <v/>
      </c>
      <c r="AW108" s="43">
        <f>IF(((S108*pax_cap*load_full*ROUND(K108*L108*revleg_full,0))-(((battery/range_nm)*D108*ROUND(K108*L108*revleg_full,0)*VLOOKUP(B108,country_opex,3,FALSE))+V108+W108+X108+Y108+Z108))&lt;=0,"",VLOOKUP(B108,country_opex,7,FALSE)/((S108*pax_cap*load_full*ROUND(K108*L108*revleg_full,0))-(((battery/range_nm)*D108*ROUND(K108*L108*revleg_full,0)*VLOOKUP(B108,country_opex,3,FALSE))+V108+W108+X108+Y108+Z108)))</f>
        <v/>
      </c>
      <c r="AX108" s="44" t="inlineStr">
        <is>
          <t>[LB-255 PREMIUM RE-FARE: subsidized comparable $2.53 lifted to premium on-demand floor $18.0] IMM Sea Taxi shared per-seat on 0.9 nm = (500+0.9×750)/10 = 117.5 TL ÷ 46.4 = $2.53 (whole-boat 1175 TL = $25.3).</t>
        </is>
      </c>
      <c r="AY108" s="44" t="n"/>
    </row>
    <row r="109">
      <c r="A109" s="29" t="inlineStr">
        <is>
          <t>Yango</t>
        </is>
      </c>
      <c r="B109" s="29" t="inlineStr">
        <is>
          <t>Turkey</t>
        </is>
      </c>
      <c r="C109" s="30" t="inlineStr">
        <is>
          <t>Karaköy → Kadıköy</t>
        </is>
      </c>
      <c r="D109" s="31" t="n">
        <v>2.4</v>
      </c>
      <c r="E109" s="26" t="n">
        <v>18</v>
      </c>
      <c r="F109" s="32" t="inlineStr">
        <is>
          <t>T2</t>
        </is>
      </c>
      <c r="G109" s="32" t="inlineStr">
        <is>
          <t>med</t>
        </is>
      </c>
      <c r="H109" s="19" t="n">
        <v>1</v>
      </c>
      <c r="I109" s="33">
        <f>60*D109/cruise_kt</f>
        <v/>
      </c>
      <c r="J109" s="33">
        <f>I109+turn_min+dwell_min</f>
        <v/>
      </c>
      <c r="K109" s="34">
        <f>MIN(24,FLOOR(60*service_hr/J109,1))</f>
        <v/>
      </c>
      <c r="L109" s="34">
        <f>ROUND(365*mech_uptime*H109,0)</f>
        <v/>
      </c>
      <c r="M109" s="35">
        <f>mech_uptime</f>
        <v/>
      </c>
      <c r="N109" s="35">
        <f>revleg_sel</f>
        <v/>
      </c>
      <c r="O109" s="34">
        <f>ROUND(K109*L109*revleg_sel,0)</f>
        <v/>
      </c>
      <c r="P109" s="36">
        <f>load_sel</f>
        <v/>
      </c>
      <c r="Q109" s="36">
        <f>pax_cap*P109</f>
        <v/>
      </c>
      <c r="R109" s="34">
        <f>Q109*O109</f>
        <v/>
      </c>
      <c r="S109" s="37">
        <f>E109*discount</f>
        <v/>
      </c>
      <c r="T109" s="38">
        <f>S109*R109</f>
        <v/>
      </c>
      <c r="U109" s="38">
        <f>(battery/range_nm)*D109*O109*VLOOKUP(B109,country_opex,3,FALSE)</f>
        <v/>
      </c>
      <c r="V109" s="38">
        <f>VLOOKUP(B109,country_opex,2,FALSE)*crew_factor</f>
        <v/>
      </c>
      <c r="W109" s="38">
        <f>VLOOKUP(B109,country_opex,5,FALSE)</f>
        <v/>
      </c>
      <c r="X109" s="38">
        <f>maint</f>
        <v/>
      </c>
      <c r="Y109" s="38">
        <f>VLOOKUP(B109,country_opex,7,FALSE)*ins_pct</f>
        <v/>
      </c>
      <c r="Z109" s="38">
        <f>charge_berth</f>
        <v/>
      </c>
      <c r="AA109" s="38">
        <f>U109+V109+W109+X109+Y109+Z109</f>
        <v/>
      </c>
      <c r="AB109" s="38">
        <f>VLOOKUP(B109,country_opex,7,FALSE)/dep_years</f>
        <v/>
      </c>
      <c r="AC109" s="38">
        <f>T109-AA109</f>
        <v/>
      </c>
      <c r="AD109" s="35">
        <f>IF(T109=0,"",AC109/T109)</f>
        <v/>
      </c>
      <c r="AE109" s="36">
        <f>IF(AC109&lt;=0,"",VLOOKUP(B109,country_opex,7,FALSE)/AC109)</f>
        <v/>
      </c>
      <c r="AF109" s="33">
        <f>((D109*O109/diesel_nmpg)*diesel_co2pg-(battery/range_nm)*D109*O109*VLOOKUP(B109,country_opex,4,FALSE))/1000</f>
        <v/>
      </c>
      <c r="AG109" s="31" t="n">
        <v>725476</v>
      </c>
      <c r="AH109" s="32" t="n"/>
      <c r="AI109" s="32" t="inlineStr">
        <is>
          <t>med</t>
        </is>
      </c>
      <c r="AJ109" s="39" t="n">
        <v>0.25</v>
      </c>
      <c r="AK109" s="34">
        <f>IF(AG109="","",AG109*AJ109)</f>
        <v/>
      </c>
      <c r="AL109" s="34">
        <f>IF(OR(AG109="",R109=0),"",MIN(IF(AT109="",9.9E+99,AT109),FLOOR(AK109/R109,1)))</f>
        <v/>
      </c>
      <c r="AM109" s="38">
        <f>IF(AL109="","",AL109*T109)</f>
        <v/>
      </c>
      <c r="AN109" s="36">
        <f>IF(OR(AG109="",R109=0),"",MIN(IF(AT109="",9.9E+99,AT109),AK109/R109))</f>
        <v/>
      </c>
      <c r="AO109" s="38">
        <f>IF(AN109="","",AN109*T109)</f>
        <v/>
      </c>
      <c r="AP109" s="40" t="n"/>
      <c r="AQ109" s="32" t="inlineStr">
        <is>
          <t>Grounded</t>
        </is>
      </c>
      <c r="AR109" s="41" t="n"/>
      <c r="AS109" s="41" t="n"/>
      <c r="AT109" s="42" t="n"/>
      <c r="AU109" s="43">
        <f>IF(((S109*pax_cap*load_thin*ROUND(K109*L109*revleg_thin,0))-(((battery/range_nm)*D109*ROUND(K109*L109*revleg_thin,0)*VLOOKUP(B109,country_opex,3,FALSE))+V109+W109+X109+Y109+Z109))&lt;=0,"",VLOOKUP(B109,country_opex,7,FALSE)/((S109*pax_cap*load_thin*ROUND(K109*L109*revleg_thin,0))-(((battery/range_nm)*D109*ROUND(K109*L109*revleg_thin,0)*VLOOKUP(B109,country_opex,3,FALSE))+V109+W109+X109+Y109+Z109)))</f>
        <v/>
      </c>
      <c r="AV109" s="43">
        <f>IF(((S109*pax_cap*load_mid*ROUND(K109*L109*revleg_mid,0))-(((battery/range_nm)*D109*ROUND(K109*L109*revleg_mid,0)*VLOOKUP(B109,country_opex,3,FALSE))+V109+W109+X109+Y109+Z109))&lt;=0,"",VLOOKUP(B109,country_opex,7,FALSE)/((S109*pax_cap*load_mid*ROUND(K109*L109*revleg_mid,0))-(((battery/range_nm)*D109*ROUND(K109*L109*revleg_mid,0)*VLOOKUP(B109,country_opex,3,FALSE))+V109+W109+X109+Y109+Z109)))</f>
        <v/>
      </c>
      <c r="AW109" s="43">
        <f>IF(((S109*pax_cap*load_full*ROUND(K109*L109*revleg_full,0))-(((battery/range_nm)*D109*ROUND(K109*L109*revleg_full,0)*VLOOKUP(B109,country_opex,3,FALSE))+V109+W109+X109+Y109+Z109))&lt;=0,"",VLOOKUP(B109,country_opex,7,FALSE)/((S109*pax_cap*load_full*ROUND(K109*L109*revleg_full,0))-(((battery/range_nm)*D109*ROUND(K109*L109*revleg_full,0)*VLOOKUP(B109,country_opex,3,FALSE))+V109+W109+X109+Y109+Z109)))</f>
        <v/>
      </c>
      <c r="AX109" s="44" t="inlineStr">
        <is>
          <t>[LB-255 PREMIUM RE-FARE: subsidized comparable $4.96 lifted to premium on-demand floor $18.0] IMM Sea Taxi shared per-seat on 2.4 nm = (500+2.4×750)/10 = 230 TL ÷ 46.4 = $4.96 (whole-boat charter 2300 TL = $49.6).</t>
        </is>
      </c>
      <c r="AY109" s="44" t="n"/>
    </row>
    <row r="110">
      <c r="A110" s="29" t="inlineStr">
        <is>
          <t>Yango</t>
        </is>
      </c>
      <c r="B110" s="29" t="inlineStr">
        <is>
          <t>Turkey</t>
        </is>
      </c>
      <c r="C110" s="30" t="inlineStr">
        <is>
          <t>İzmir (Konak) → Karşıyaka</t>
        </is>
      </c>
      <c r="D110" s="31" t="n">
        <v>2.5</v>
      </c>
      <c r="E110" s="26" t="n"/>
      <c r="F110" s="32" t="n"/>
      <c r="G110" s="32" t="n"/>
      <c r="H110" s="19" t="n">
        <v>1</v>
      </c>
      <c r="I110" s="33">
        <f>60*D110/cruise_kt</f>
        <v/>
      </c>
      <c r="J110" s="33">
        <f>I110+turn_min+dwell_min</f>
        <v/>
      </c>
      <c r="K110" s="34">
        <f>MIN(24,FLOOR(60*service_hr/J110,1))</f>
        <v/>
      </c>
      <c r="L110" s="34">
        <f>ROUND(365*mech_uptime*H110,0)</f>
        <v/>
      </c>
      <c r="M110" s="35">
        <f>mech_uptime</f>
        <v/>
      </c>
      <c r="N110" s="35">
        <f>revleg_sel</f>
        <v/>
      </c>
      <c r="O110" s="34">
        <f>ROUND(K110*L110*revleg_sel,0)</f>
        <v/>
      </c>
      <c r="P110" s="36">
        <f>load_sel</f>
        <v/>
      </c>
      <c r="Q110" s="36">
        <f>pax_cap*P110</f>
        <v/>
      </c>
      <c r="R110" s="34">
        <f>Q110*O110</f>
        <v/>
      </c>
      <c r="S110" s="37">
        <f>E110*discount</f>
        <v/>
      </c>
      <c r="T110" s="38">
        <f>S110*R110</f>
        <v/>
      </c>
      <c r="U110" s="38">
        <f>(battery/range_nm)*D110*O110*VLOOKUP(B110,country_opex,3,FALSE)</f>
        <v/>
      </c>
      <c r="V110" s="38">
        <f>VLOOKUP(B110,country_opex,2,FALSE)*crew_factor</f>
        <v/>
      </c>
      <c r="W110" s="38">
        <f>VLOOKUP(B110,country_opex,5,FALSE)</f>
        <v/>
      </c>
      <c r="X110" s="38">
        <f>maint</f>
        <v/>
      </c>
      <c r="Y110" s="38">
        <f>VLOOKUP(B110,country_opex,7,FALSE)*ins_pct</f>
        <v/>
      </c>
      <c r="Z110" s="38">
        <f>charge_berth</f>
        <v/>
      </c>
      <c r="AA110" s="38">
        <f>U110+V110+W110+X110+Y110+Z110</f>
        <v/>
      </c>
      <c r="AB110" s="38">
        <f>VLOOKUP(B110,country_opex,7,FALSE)/dep_years</f>
        <v/>
      </c>
      <c r="AC110" s="38">
        <f>T110-AA110</f>
        <v/>
      </c>
      <c r="AD110" s="35">
        <f>IF(T110=0,"",AC110/T110)</f>
        <v/>
      </c>
      <c r="AE110" s="36">
        <f>IF(AC110&lt;=0,"",VLOOKUP(B110,country_opex,7,FALSE)/AC110)</f>
        <v/>
      </c>
      <c r="AF110" s="33">
        <f>((D110*O110/diesel_nmpg)*diesel_co2pg-(battery/range_nm)*D110*O110*VLOOKUP(B110,country_opex,4,FALSE))/1000</f>
        <v/>
      </c>
      <c r="AG110" s="31" t="n">
        <v>14621849</v>
      </c>
      <c r="AH110" s="32" t="n"/>
      <c r="AI110" s="32" t="n"/>
      <c r="AJ110" s="39" t="n">
        <v>0.1</v>
      </c>
      <c r="AK110" s="34">
        <f>IF(AG110="","",AG110*AJ110)</f>
        <v/>
      </c>
      <c r="AL110" s="34">
        <f>IF(OR(AG110="",R110=0),"",MIN(IF(AT110="",9.9E+99,AT110),FLOOR(AK110/R110,1)))</f>
        <v/>
      </c>
      <c r="AM110" s="38">
        <f>IF(AL110="","",AL110*T110)</f>
        <v/>
      </c>
      <c r="AN110" s="36">
        <f>IF(OR(AG110="",R110=0),"",MIN(IF(AT110="",9.9E+99,AT110),AK110/R110))</f>
        <v/>
      </c>
      <c r="AO110" s="38">
        <f>IF(AN110="","",AN110*T110)</f>
        <v/>
      </c>
      <c r="AP110" s="40" t="n"/>
      <c r="AQ110" s="32" t="inlineStr">
        <is>
          <t>Grounded</t>
        </is>
      </c>
      <c r="AR110" s="41" t="n"/>
      <c r="AS110" s="41" t="n"/>
      <c r="AT110" s="42" t="n"/>
      <c r="AU110" s="43">
        <f>IF(((S110*pax_cap*load_thin*ROUND(K110*L110*revleg_thin,0))-(((battery/range_nm)*D110*ROUND(K110*L110*revleg_thin,0)*VLOOKUP(B110,country_opex,3,FALSE))+V110+W110+X110+Y110+Z110))&lt;=0,"",VLOOKUP(B110,country_opex,7,FALSE)/((S110*pax_cap*load_thin*ROUND(K110*L110*revleg_thin,0))-(((battery/range_nm)*D110*ROUND(K110*L110*revleg_thin,0)*VLOOKUP(B110,country_opex,3,FALSE))+V110+W110+X110+Y110+Z110)))</f>
        <v/>
      </c>
      <c r="AV110" s="43">
        <f>IF(((S110*pax_cap*load_mid*ROUND(K110*L110*revleg_mid,0))-(((battery/range_nm)*D110*ROUND(K110*L110*revleg_mid,0)*VLOOKUP(B110,country_opex,3,FALSE))+V110+W110+X110+Y110+Z110))&lt;=0,"",VLOOKUP(B110,country_opex,7,FALSE)/((S110*pax_cap*load_mid*ROUND(K110*L110*revleg_mid,0))-(((battery/range_nm)*D110*ROUND(K110*L110*revleg_mid,0)*VLOOKUP(B110,country_opex,3,FALSE))+V110+W110+X110+Y110+Z110)))</f>
        <v/>
      </c>
      <c r="AW110" s="43">
        <f>IF(((S110*pax_cap*load_full*ROUND(K110*L110*revleg_full,0))-(((battery/range_nm)*D110*ROUND(K110*L110*revleg_full,0)*VLOOKUP(B110,country_opex,3,FALSE))+V110+W110+X110+Y110+Z110))&lt;=0,"",VLOOKUP(B110,country_opex,7,FALSE)/((S110*pax_cap*load_full*ROUND(K110*L110*revleg_full,0))-(((battery/range_nm)*D110*ROUND(K110*L110*revleg_full,0)*VLOOKUP(B110,country_opex,3,FALSE))+V110+W110+X110+Y110+Z110)))</f>
        <v/>
      </c>
      <c r="AX110" s="44" t="n"/>
      <c r="AY110" s="44" t="n"/>
    </row>
    <row r="111">
      <c r="A111" s="29" t="inlineStr">
        <is>
          <t>Yango</t>
        </is>
      </c>
      <c r="B111" s="29" t="inlineStr">
        <is>
          <t>Turkey</t>
        </is>
      </c>
      <c r="C111" s="30" t="inlineStr">
        <is>
          <t>Istanbul (Galataport) → Beşiktaş / Bosphorus</t>
        </is>
      </c>
      <c r="D111" s="31" t="n">
        <v>2.6</v>
      </c>
      <c r="E111" s="26" t="n">
        <v>13</v>
      </c>
      <c r="F111" s="32" t="inlineStr">
        <is>
          <t>T2</t>
        </is>
      </c>
      <c r="G111" s="32" t="inlineStr">
        <is>
          <t>med</t>
        </is>
      </c>
      <c r="H111" s="19" t="n">
        <v>1</v>
      </c>
      <c r="I111" s="33">
        <f>60*D111/cruise_kt</f>
        <v/>
      </c>
      <c r="J111" s="33">
        <f>I111+turn_min+dwell_min</f>
        <v/>
      </c>
      <c r="K111" s="34">
        <f>MIN(24,FLOOR(60*service_hr/J111,1))</f>
        <v/>
      </c>
      <c r="L111" s="34">
        <f>ROUND(365*mech_uptime*H111,0)</f>
        <v/>
      </c>
      <c r="M111" s="35">
        <f>mech_uptime</f>
        <v/>
      </c>
      <c r="N111" s="35">
        <f>revleg_sel</f>
        <v/>
      </c>
      <c r="O111" s="34">
        <f>ROUND(K111*L111*revleg_sel,0)</f>
        <v/>
      </c>
      <c r="P111" s="36">
        <f>load_sel</f>
        <v/>
      </c>
      <c r="Q111" s="36">
        <f>pax_cap*P111</f>
        <v/>
      </c>
      <c r="R111" s="34">
        <f>Q111*O111</f>
        <v/>
      </c>
      <c r="S111" s="37">
        <f>E111*discount</f>
        <v/>
      </c>
      <c r="T111" s="38">
        <f>S111*R111</f>
        <v/>
      </c>
      <c r="U111" s="38">
        <f>(battery/range_nm)*D111*O111*VLOOKUP(B111,country_opex,3,FALSE)</f>
        <v/>
      </c>
      <c r="V111" s="38">
        <f>VLOOKUP(B111,country_opex,2,FALSE)*crew_factor</f>
        <v/>
      </c>
      <c r="W111" s="38">
        <f>VLOOKUP(B111,country_opex,5,FALSE)</f>
        <v/>
      </c>
      <c r="X111" s="38">
        <f>maint</f>
        <v/>
      </c>
      <c r="Y111" s="38">
        <f>VLOOKUP(B111,country_opex,7,FALSE)*ins_pct</f>
        <v/>
      </c>
      <c r="Z111" s="38">
        <f>charge_berth</f>
        <v/>
      </c>
      <c r="AA111" s="38">
        <f>U111+V111+W111+X111+Y111+Z111</f>
        <v/>
      </c>
      <c r="AB111" s="38">
        <f>VLOOKUP(B111,country_opex,7,FALSE)/dep_years</f>
        <v/>
      </c>
      <c r="AC111" s="38">
        <f>T111-AA111</f>
        <v/>
      </c>
      <c r="AD111" s="35">
        <f>IF(T111=0,"",AC111/T111)</f>
        <v/>
      </c>
      <c r="AE111" s="36">
        <f>IF(AC111&lt;=0,"",VLOOKUP(B111,country_opex,7,FALSE)/AC111)</f>
        <v/>
      </c>
      <c r="AF111" s="33">
        <f>((D111*O111/diesel_nmpg)*diesel_co2pg-(battery/range_nm)*D111*O111*VLOOKUP(B111,country_opex,4,FALSE))/1000</f>
        <v/>
      </c>
      <c r="AG111" s="31" t="n">
        <v>400000</v>
      </c>
      <c r="AH111" s="32" t="n"/>
      <c r="AI111" s="32" t="n"/>
      <c r="AJ111" s="39" t="n">
        <v>0.1</v>
      </c>
      <c r="AK111" s="34">
        <f>IF(AG111="","",AG111*AJ111)</f>
        <v/>
      </c>
      <c r="AL111" s="34">
        <f>IF(OR(AG111="",R111=0),"",MIN(IF(AT111="",9.9E+99,AT111),FLOOR(AK111/R111,1)))</f>
        <v/>
      </c>
      <c r="AM111" s="38">
        <f>IF(AL111="","",AL111*T111)</f>
        <v/>
      </c>
      <c r="AN111" s="36">
        <f>IF(OR(AG111="",R111=0),"",MIN(IF(AT111="",9.9E+99,AT111),AK111/R111))</f>
        <v/>
      </c>
      <c r="AO111" s="38">
        <f>IF(AN111="","",AN111*T111)</f>
        <v/>
      </c>
      <c r="AP111" s="40" t="n"/>
      <c r="AQ111" s="32" t="inlineStr">
        <is>
          <t>Grounded</t>
        </is>
      </c>
      <c r="AR111" s="41" t="n"/>
      <c r="AS111" s="41" t="n"/>
      <c r="AT111" s="42" t="n"/>
      <c r="AU111" s="43">
        <f>IF(((S111*pax_cap*load_thin*ROUND(K111*L111*revleg_thin,0))-(((battery/range_nm)*D111*ROUND(K111*L111*revleg_thin,0)*VLOOKUP(B111,country_opex,3,FALSE))+V111+W111+X111+Y111+Z111))&lt;=0,"",VLOOKUP(B111,country_opex,7,FALSE)/((S111*pax_cap*load_thin*ROUND(K111*L111*revleg_thin,0))-(((battery/range_nm)*D111*ROUND(K111*L111*revleg_thin,0)*VLOOKUP(B111,country_opex,3,FALSE))+V111+W111+X111+Y111+Z111)))</f>
        <v/>
      </c>
      <c r="AV111" s="43">
        <f>IF(((S111*pax_cap*load_mid*ROUND(K111*L111*revleg_mid,0))-(((battery/range_nm)*D111*ROUND(K111*L111*revleg_mid,0)*VLOOKUP(B111,country_opex,3,FALSE))+V111+W111+X111+Y111+Z111))&lt;=0,"",VLOOKUP(B111,country_opex,7,FALSE)/((S111*pax_cap*load_mid*ROUND(K111*L111*revleg_mid,0))-(((battery/range_nm)*D111*ROUND(K111*L111*revleg_mid,0)*VLOOKUP(B111,country_opex,3,FALSE))+V111+W111+X111+Y111+Z111)))</f>
        <v/>
      </c>
      <c r="AW111" s="43">
        <f>IF(((S111*pax_cap*load_full*ROUND(K111*L111*revleg_full,0))-(((battery/range_nm)*D111*ROUND(K111*L111*revleg_full,0)*VLOOKUP(B111,country_opex,3,FALSE))+V111+W111+X111+Y111+Z111))&lt;=0,"",VLOOKUP(B111,country_opex,7,FALSE)/((S111*pax_cap*load_full*ROUND(K111*L111*revleg_full,0))-(((battery/range_nm)*D111*ROUND(K111*L111*revleg_full,0)*VLOOKUP(B111,country_opex,3,FALSE))+V111+W111+X111+Y111+Z111)))</f>
        <v/>
      </c>
      <c r="AX111" s="44" t="inlineStr">
        <is>
          <t>EXISTING anchor retained — private/tourist Bosphorus hop-on premium (~600 TL). For reference, the IMM Sea Taxi shared per-seat on this 2.6 nm leg = (500+2.6×750)/10 = 245 TL = $5.28; whole-boat charter 2450 TL = $52.8.</t>
        </is>
      </c>
      <c r="AY111" s="44" t="n"/>
    </row>
    <row r="112">
      <c r="A112" s="29" t="inlineStr">
        <is>
          <t>Yango</t>
        </is>
      </c>
      <c r="B112" s="29" t="inlineStr">
        <is>
          <t>Turkey</t>
        </is>
      </c>
      <c r="C112" s="30" t="inlineStr">
        <is>
          <t>Eminönü → Kadıköy</t>
        </is>
      </c>
      <c r="D112" s="31" t="n">
        <v>2.6</v>
      </c>
      <c r="E112" s="26" t="n">
        <v>18</v>
      </c>
      <c r="F112" s="32" t="inlineStr">
        <is>
          <t>T2</t>
        </is>
      </c>
      <c r="G112" s="32" t="inlineStr">
        <is>
          <t>med</t>
        </is>
      </c>
      <c r="H112" s="19" t="n">
        <v>1</v>
      </c>
      <c r="I112" s="33">
        <f>60*D112/cruise_kt</f>
        <v/>
      </c>
      <c r="J112" s="33">
        <f>I112+turn_min+dwell_min</f>
        <v/>
      </c>
      <c r="K112" s="34">
        <f>MIN(24,FLOOR(60*service_hr/J112,1))</f>
        <v/>
      </c>
      <c r="L112" s="34">
        <f>ROUND(365*mech_uptime*H112,0)</f>
        <v/>
      </c>
      <c r="M112" s="35">
        <f>mech_uptime</f>
        <v/>
      </c>
      <c r="N112" s="35">
        <f>revleg_sel</f>
        <v/>
      </c>
      <c r="O112" s="34">
        <f>ROUND(K112*L112*revleg_sel,0)</f>
        <v/>
      </c>
      <c r="P112" s="36">
        <f>load_sel</f>
        <v/>
      </c>
      <c r="Q112" s="36">
        <f>pax_cap*P112</f>
        <v/>
      </c>
      <c r="R112" s="34">
        <f>Q112*O112</f>
        <v/>
      </c>
      <c r="S112" s="37">
        <f>E112*discount</f>
        <v/>
      </c>
      <c r="T112" s="38">
        <f>S112*R112</f>
        <v/>
      </c>
      <c r="U112" s="38">
        <f>(battery/range_nm)*D112*O112*VLOOKUP(B112,country_opex,3,FALSE)</f>
        <v/>
      </c>
      <c r="V112" s="38">
        <f>VLOOKUP(B112,country_opex,2,FALSE)*crew_factor</f>
        <v/>
      </c>
      <c r="W112" s="38">
        <f>VLOOKUP(B112,country_opex,5,FALSE)</f>
        <v/>
      </c>
      <c r="X112" s="38">
        <f>maint</f>
        <v/>
      </c>
      <c r="Y112" s="38">
        <f>VLOOKUP(B112,country_opex,7,FALSE)*ins_pct</f>
        <v/>
      </c>
      <c r="Z112" s="38">
        <f>charge_berth</f>
        <v/>
      </c>
      <c r="AA112" s="38">
        <f>U112+V112+W112+X112+Y112+Z112</f>
        <v/>
      </c>
      <c r="AB112" s="38">
        <f>VLOOKUP(B112,country_opex,7,FALSE)/dep_years</f>
        <v/>
      </c>
      <c r="AC112" s="38">
        <f>T112-AA112</f>
        <v/>
      </c>
      <c r="AD112" s="35">
        <f>IF(T112=0,"",AC112/T112)</f>
        <v/>
      </c>
      <c r="AE112" s="36">
        <f>IF(AC112&lt;=0,"",VLOOKUP(B112,country_opex,7,FALSE)/AC112)</f>
        <v/>
      </c>
      <c r="AF112" s="33">
        <f>((D112*O112/diesel_nmpg)*diesel_co2pg-(battery/range_nm)*D112*O112*VLOOKUP(B112,country_opex,4,FALSE))/1000</f>
        <v/>
      </c>
      <c r="AG112" s="31" t="n">
        <v>1091427</v>
      </c>
      <c r="AH112" s="32" t="n"/>
      <c r="AI112" s="32" t="inlineStr">
        <is>
          <t>med</t>
        </is>
      </c>
      <c r="AJ112" s="39" t="n">
        <v>0.25</v>
      </c>
      <c r="AK112" s="34">
        <f>IF(AG112="","",AG112*AJ112)</f>
        <v/>
      </c>
      <c r="AL112" s="34">
        <f>IF(OR(AG112="",R112=0),"",MIN(IF(AT112="",9.9E+99,AT112),FLOOR(AK112/R112,1)))</f>
        <v/>
      </c>
      <c r="AM112" s="38">
        <f>IF(AL112="","",AL112*T112)</f>
        <v/>
      </c>
      <c r="AN112" s="36">
        <f>IF(OR(AG112="",R112=0),"",MIN(IF(AT112="",9.9E+99,AT112),AK112/R112))</f>
        <v/>
      </c>
      <c r="AO112" s="38">
        <f>IF(AN112="","",AN112*T112)</f>
        <v/>
      </c>
      <c r="AP112" s="40" t="n"/>
      <c r="AQ112" s="32" t="inlineStr">
        <is>
          <t>Grounded</t>
        </is>
      </c>
      <c r="AR112" s="41" t="n"/>
      <c r="AS112" s="41" t="n"/>
      <c r="AT112" s="42" t="n"/>
      <c r="AU112" s="43">
        <f>IF(((S112*pax_cap*load_thin*ROUND(K112*L112*revleg_thin,0))-(((battery/range_nm)*D112*ROUND(K112*L112*revleg_thin,0)*VLOOKUP(B112,country_opex,3,FALSE))+V112+W112+X112+Y112+Z112))&lt;=0,"",VLOOKUP(B112,country_opex,7,FALSE)/((S112*pax_cap*load_thin*ROUND(K112*L112*revleg_thin,0))-(((battery/range_nm)*D112*ROUND(K112*L112*revleg_thin,0)*VLOOKUP(B112,country_opex,3,FALSE))+V112+W112+X112+Y112+Z112)))</f>
        <v/>
      </c>
      <c r="AV112" s="43">
        <f>IF(((S112*pax_cap*load_mid*ROUND(K112*L112*revleg_mid,0))-(((battery/range_nm)*D112*ROUND(K112*L112*revleg_mid,0)*VLOOKUP(B112,country_opex,3,FALSE))+V112+W112+X112+Y112+Z112))&lt;=0,"",VLOOKUP(B112,country_opex,7,FALSE)/((S112*pax_cap*load_mid*ROUND(K112*L112*revleg_mid,0))-(((battery/range_nm)*D112*ROUND(K112*L112*revleg_mid,0)*VLOOKUP(B112,country_opex,3,FALSE))+V112+W112+X112+Y112+Z112)))</f>
        <v/>
      </c>
      <c r="AW112" s="43">
        <f>IF(((S112*pax_cap*load_full*ROUND(K112*L112*revleg_full,0))-(((battery/range_nm)*D112*ROUND(K112*L112*revleg_full,0)*VLOOKUP(B112,country_opex,3,FALSE))+V112+W112+X112+Y112+Z112))&lt;=0,"",VLOOKUP(B112,country_opex,7,FALSE)/((S112*pax_cap*load_full*ROUND(K112*L112*revleg_full,0))-(((battery/range_nm)*D112*ROUND(K112*L112*revleg_full,0)*VLOOKUP(B112,country_opex,3,FALSE))+V112+W112+X112+Y112+Z112)))</f>
        <v/>
      </c>
      <c r="AX112" s="44" t="inlineStr">
        <is>
          <t>[LB-255 PREMIUM RE-FARE: subsidized comparable $5.28 lifted to premium on-demand floor $18.0] IMM Sea Taxi shared per-seat on 2.6 nm = (500+2.6×750)/10 = 245 TL ÷ 46.4 = $5.28 (whole-boat 2450 TL = $52.8).</t>
        </is>
      </c>
      <c r="AY112" s="44" t="n"/>
    </row>
    <row r="113">
      <c r="A113" s="29" t="inlineStr">
        <is>
          <t>Yango</t>
        </is>
      </c>
      <c r="B113" s="29" t="inlineStr">
        <is>
          <t>Turkey</t>
        </is>
      </c>
      <c r="C113" s="30" t="inlineStr">
        <is>
          <t>Beşiktaş → Kadıköy</t>
        </is>
      </c>
      <c r="D113" s="31" t="n">
        <v>2.6</v>
      </c>
      <c r="E113" s="26" t="n">
        <v>18</v>
      </c>
      <c r="F113" s="32" t="inlineStr">
        <is>
          <t>T2</t>
        </is>
      </c>
      <c r="G113" s="32" t="inlineStr">
        <is>
          <t>med</t>
        </is>
      </c>
      <c r="H113" s="19" t="n">
        <v>1</v>
      </c>
      <c r="I113" s="33">
        <f>60*D113/cruise_kt</f>
        <v/>
      </c>
      <c r="J113" s="33">
        <f>I113+turn_min+dwell_min</f>
        <v/>
      </c>
      <c r="K113" s="34">
        <f>MIN(24,FLOOR(60*service_hr/J113,1))</f>
        <v/>
      </c>
      <c r="L113" s="34">
        <f>ROUND(365*mech_uptime*H113,0)</f>
        <v/>
      </c>
      <c r="M113" s="35">
        <f>mech_uptime</f>
        <v/>
      </c>
      <c r="N113" s="35">
        <f>revleg_sel</f>
        <v/>
      </c>
      <c r="O113" s="34">
        <f>ROUND(K113*L113*revleg_sel,0)</f>
        <v/>
      </c>
      <c r="P113" s="36">
        <f>load_sel</f>
        <v/>
      </c>
      <c r="Q113" s="36">
        <f>pax_cap*P113</f>
        <v/>
      </c>
      <c r="R113" s="34">
        <f>Q113*O113</f>
        <v/>
      </c>
      <c r="S113" s="37">
        <f>E113*discount</f>
        <v/>
      </c>
      <c r="T113" s="38">
        <f>S113*R113</f>
        <v/>
      </c>
      <c r="U113" s="38">
        <f>(battery/range_nm)*D113*O113*VLOOKUP(B113,country_opex,3,FALSE)</f>
        <v/>
      </c>
      <c r="V113" s="38">
        <f>VLOOKUP(B113,country_opex,2,FALSE)*crew_factor</f>
        <v/>
      </c>
      <c r="W113" s="38">
        <f>VLOOKUP(B113,country_opex,5,FALSE)</f>
        <v/>
      </c>
      <c r="X113" s="38">
        <f>maint</f>
        <v/>
      </c>
      <c r="Y113" s="38">
        <f>VLOOKUP(B113,country_opex,7,FALSE)*ins_pct</f>
        <v/>
      </c>
      <c r="Z113" s="38">
        <f>charge_berth</f>
        <v/>
      </c>
      <c r="AA113" s="38">
        <f>U113+V113+W113+X113+Y113+Z113</f>
        <v/>
      </c>
      <c r="AB113" s="38">
        <f>VLOOKUP(B113,country_opex,7,FALSE)/dep_years</f>
        <v/>
      </c>
      <c r="AC113" s="38">
        <f>T113-AA113</f>
        <v/>
      </c>
      <c r="AD113" s="35">
        <f>IF(T113=0,"",AC113/T113)</f>
        <v/>
      </c>
      <c r="AE113" s="36">
        <f>IF(AC113&lt;=0,"",VLOOKUP(B113,country_opex,7,FALSE)/AC113)</f>
        <v/>
      </c>
      <c r="AF113" s="33">
        <f>((D113*O113/diesel_nmpg)*diesel_co2pg-(battery/range_nm)*D113*O113*VLOOKUP(B113,country_opex,4,FALSE))/1000</f>
        <v/>
      </c>
      <c r="AG113" s="31" t="n"/>
      <c r="AH113" s="32" t="n"/>
      <c r="AI113" s="32" t="n"/>
      <c r="AJ113" s="39" t="n">
        <v>0.1</v>
      </c>
      <c r="AK113" s="34">
        <f>IF(AG113="","",AG113*AJ113)</f>
        <v/>
      </c>
      <c r="AL113" s="34">
        <f>IF(OR(AG113="",R113=0),"",MIN(IF(AT113="",9.9E+99,AT113),FLOOR(AK113/R113,1)))</f>
        <v/>
      </c>
      <c r="AM113" s="38">
        <f>IF(AL113="","",AL113*T113)</f>
        <v/>
      </c>
      <c r="AN113" s="36">
        <f>IF(OR(AG113="",R113=0),"",MIN(IF(AT113="",9.9E+99,AT113),AK113/R113))</f>
        <v/>
      </c>
      <c r="AO113" s="38">
        <f>IF(AN113="","",AN113*T113)</f>
        <v/>
      </c>
      <c r="AP113" s="40" t="n"/>
      <c r="AQ113" s="32" t="inlineStr">
        <is>
          <t>Estimated</t>
        </is>
      </c>
      <c r="AR113" s="41" t="n"/>
      <c r="AS113" s="41" t="n"/>
      <c r="AT113" s="42" t="n"/>
      <c r="AU113" s="43">
        <f>IF(((S113*pax_cap*load_thin*ROUND(K113*L113*revleg_thin,0))-(((battery/range_nm)*D113*ROUND(K113*L113*revleg_thin,0)*VLOOKUP(B113,country_opex,3,FALSE))+V113+W113+X113+Y113+Z113))&lt;=0,"",VLOOKUP(B113,country_opex,7,FALSE)/((S113*pax_cap*load_thin*ROUND(K113*L113*revleg_thin,0))-(((battery/range_nm)*D113*ROUND(K113*L113*revleg_thin,0)*VLOOKUP(B113,country_opex,3,FALSE))+V113+W113+X113+Y113+Z113)))</f>
        <v/>
      </c>
      <c r="AV113" s="43">
        <f>IF(((S113*pax_cap*load_mid*ROUND(K113*L113*revleg_mid,0))-(((battery/range_nm)*D113*ROUND(K113*L113*revleg_mid,0)*VLOOKUP(B113,country_opex,3,FALSE))+V113+W113+X113+Y113+Z113))&lt;=0,"",VLOOKUP(B113,country_opex,7,FALSE)/((S113*pax_cap*load_mid*ROUND(K113*L113*revleg_mid,0))-(((battery/range_nm)*D113*ROUND(K113*L113*revleg_mid,0)*VLOOKUP(B113,country_opex,3,FALSE))+V113+W113+X113+Y113+Z113)))</f>
        <v/>
      </c>
      <c r="AW113" s="43">
        <f>IF(((S113*pax_cap*load_full*ROUND(K113*L113*revleg_full,0))-(((battery/range_nm)*D113*ROUND(K113*L113*revleg_full,0)*VLOOKUP(B113,country_opex,3,FALSE))+V113+W113+X113+Y113+Z113))&lt;=0,"",VLOOKUP(B113,country_opex,7,FALSE)/((S113*pax_cap*load_full*ROUND(K113*L113*revleg_full,0))-(((battery/range_nm)*D113*ROUND(K113*L113*revleg_full,0)*VLOOKUP(B113,country_opex,3,FALSE))+V113+W113+X113+Y113+Z113)))</f>
        <v/>
      </c>
      <c r="AX113" s="44" t="inlineStr">
        <is>
          <t>[LB-255 PREMIUM RE-FARE: subsidized comparable $5.28 lifted to premium on-demand floor $18.0] IMM Sea Taxi shared per-seat on 2.6 nm = (500+2.6×750)/10 = 245 TL ÷ 46.4 = $5.28.</t>
        </is>
      </c>
      <c r="AY113" s="44" t="n"/>
    </row>
    <row r="114">
      <c r="A114" s="29" t="inlineStr">
        <is>
          <t>Yango</t>
        </is>
      </c>
      <c r="B114" s="29" t="inlineStr">
        <is>
          <t>Turkey</t>
        </is>
      </c>
      <c r="C114" s="30" t="inlineStr">
        <is>
          <t>Kadıköy → Kabataş</t>
        </is>
      </c>
      <c r="D114" s="31" t="n">
        <v>2.6</v>
      </c>
      <c r="E114" s="26" t="n">
        <v>18</v>
      </c>
      <c r="F114" s="32" t="inlineStr">
        <is>
          <t>T2</t>
        </is>
      </c>
      <c r="G114" s="32" t="inlineStr">
        <is>
          <t>med</t>
        </is>
      </c>
      <c r="H114" s="19" t="n">
        <v>1</v>
      </c>
      <c r="I114" s="33">
        <f>60*D114/cruise_kt</f>
        <v/>
      </c>
      <c r="J114" s="33">
        <f>I114+turn_min+dwell_min</f>
        <v/>
      </c>
      <c r="K114" s="34">
        <f>MIN(24,FLOOR(60*service_hr/J114,1))</f>
        <v/>
      </c>
      <c r="L114" s="34">
        <f>ROUND(365*mech_uptime*H114,0)</f>
        <v/>
      </c>
      <c r="M114" s="35">
        <f>mech_uptime</f>
        <v/>
      </c>
      <c r="N114" s="35">
        <f>revleg_sel</f>
        <v/>
      </c>
      <c r="O114" s="34">
        <f>ROUND(K114*L114*revleg_sel,0)</f>
        <v/>
      </c>
      <c r="P114" s="36">
        <f>load_sel</f>
        <v/>
      </c>
      <c r="Q114" s="36">
        <f>pax_cap*P114</f>
        <v/>
      </c>
      <c r="R114" s="34">
        <f>Q114*O114</f>
        <v/>
      </c>
      <c r="S114" s="37">
        <f>E114*discount</f>
        <v/>
      </c>
      <c r="T114" s="38">
        <f>S114*R114</f>
        <v/>
      </c>
      <c r="U114" s="38">
        <f>(battery/range_nm)*D114*O114*VLOOKUP(B114,country_opex,3,FALSE)</f>
        <v/>
      </c>
      <c r="V114" s="38">
        <f>VLOOKUP(B114,country_opex,2,FALSE)*crew_factor</f>
        <v/>
      </c>
      <c r="W114" s="38">
        <f>VLOOKUP(B114,country_opex,5,FALSE)</f>
        <v/>
      </c>
      <c r="X114" s="38">
        <f>maint</f>
        <v/>
      </c>
      <c r="Y114" s="38">
        <f>VLOOKUP(B114,country_opex,7,FALSE)*ins_pct</f>
        <v/>
      </c>
      <c r="Z114" s="38">
        <f>charge_berth</f>
        <v/>
      </c>
      <c r="AA114" s="38">
        <f>U114+V114+W114+X114+Y114+Z114</f>
        <v/>
      </c>
      <c r="AB114" s="38">
        <f>VLOOKUP(B114,country_opex,7,FALSE)/dep_years</f>
        <v/>
      </c>
      <c r="AC114" s="38">
        <f>T114-AA114</f>
        <v/>
      </c>
      <c r="AD114" s="35">
        <f>IF(T114=0,"",AC114/T114)</f>
        <v/>
      </c>
      <c r="AE114" s="36">
        <f>IF(AC114&lt;=0,"",VLOOKUP(B114,country_opex,7,FALSE)/AC114)</f>
        <v/>
      </c>
      <c r="AF114" s="33">
        <f>((D114*O114/diesel_nmpg)*diesel_co2pg-(battery/range_nm)*D114*O114*VLOOKUP(B114,country_opex,4,FALSE))/1000</f>
        <v/>
      </c>
      <c r="AG114" s="31" t="n"/>
      <c r="AH114" s="32" t="n"/>
      <c r="AI114" s="32" t="n"/>
      <c r="AJ114" s="39" t="n">
        <v>0.1</v>
      </c>
      <c r="AK114" s="34">
        <f>IF(AG114="","",AG114*AJ114)</f>
        <v/>
      </c>
      <c r="AL114" s="34">
        <f>IF(OR(AG114="",R114=0),"",MIN(IF(AT114="",9.9E+99,AT114),FLOOR(AK114/R114,1)))</f>
        <v/>
      </c>
      <c r="AM114" s="38">
        <f>IF(AL114="","",AL114*T114)</f>
        <v/>
      </c>
      <c r="AN114" s="36">
        <f>IF(OR(AG114="",R114=0),"",MIN(IF(AT114="",9.9E+99,AT114),AK114/R114))</f>
        <v/>
      </c>
      <c r="AO114" s="38">
        <f>IF(AN114="","",AN114*T114)</f>
        <v/>
      </c>
      <c r="AP114" s="40" t="n"/>
      <c r="AQ114" s="32" t="inlineStr">
        <is>
          <t>Estimated</t>
        </is>
      </c>
      <c r="AR114" s="41" t="n"/>
      <c r="AS114" s="41" t="n"/>
      <c r="AT114" s="42" t="n"/>
      <c r="AU114" s="43">
        <f>IF(((S114*pax_cap*load_thin*ROUND(K114*L114*revleg_thin,0))-(((battery/range_nm)*D114*ROUND(K114*L114*revleg_thin,0)*VLOOKUP(B114,country_opex,3,FALSE))+V114+W114+X114+Y114+Z114))&lt;=0,"",VLOOKUP(B114,country_opex,7,FALSE)/((S114*pax_cap*load_thin*ROUND(K114*L114*revleg_thin,0))-(((battery/range_nm)*D114*ROUND(K114*L114*revleg_thin,0)*VLOOKUP(B114,country_opex,3,FALSE))+V114+W114+X114+Y114+Z114)))</f>
        <v/>
      </c>
      <c r="AV114" s="43">
        <f>IF(((S114*pax_cap*load_mid*ROUND(K114*L114*revleg_mid,0))-(((battery/range_nm)*D114*ROUND(K114*L114*revleg_mid,0)*VLOOKUP(B114,country_opex,3,FALSE))+V114+W114+X114+Y114+Z114))&lt;=0,"",VLOOKUP(B114,country_opex,7,FALSE)/((S114*pax_cap*load_mid*ROUND(K114*L114*revleg_mid,0))-(((battery/range_nm)*D114*ROUND(K114*L114*revleg_mid,0)*VLOOKUP(B114,country_opex,3,FALSE))+V114+W114+X114+Y114+Z114)))</f>
        <v/>
      </c>
      <c r="AW114" s="43">
        <f>IF(((S114*pax_cap*load_full*ROUND(K114*L114*revleg_full,0))-(((battery/range_nm)*D114*ROUND(K114*L114*revleg_full,0)*VLOOKUP(B114,country_opex,3,FALSE))+V114+W114+X114+Y114+Z114))&lt;=0,"",VLOOKUP(B114,country_opex,7,FALSE)/((S114*pax_cap*load_full*ROUND(K114*L114*revleg_full,0))-(((battery/range_nm)*D114*ROUND(K114*L114*revleg_full,0)*VLOOKUP(B114,country_opex,3,FALSE))+V114+W114+X114+Y114+Z114)))</f>
        <v/>
      </c>
      <c r="AX114" s="44" t="inlineStr">
        <is>
          <t>[LB-255 PREMIUM RE-FARE: subsidized comparable $5.28 lifted to premium on-demand floor $18.0] IMM Sea Taxi shared per-seat on 2.6 nm = (500+2.6×750)/10 = 245 TL ÷ 46.4 = $5.28.</t>
        </is>
      </c>
      <c r="AY114" s="44" t="n"/>
    </row>
    <row r="115">
      <c r="A115" s="29" t="inlineStr">
        <is>
          <t>Yango</t>
        </is>
      </c>
      <c r="B115" s="29" t="inlineStr">
        <is>
          <t>Turkey</t>
        </is>
      </c>
      <c r="C115" s="30" t="inlineStr">
        <is>
          <t>Bostancı → Büyükada (Princes' Islands)</t>
        </is>
      </c>
      <c r="D115" s="31" t="n">
        <v>4.5</v>
      </c>
      <c r="E115" s="26" t="n">
        <v>8.35</v>
      </c>
      <c r="F115" s="32" t="inlineStr">
        <is>
          <t>T2</t>
        </is>
      </c>
      <c r="G115" s="32" t="inlineStr">
        <is>
          <t>med</t>
        </is>
      </c>
      <c r="H115" s="19" t="n">
        <v>1</v>
      </c>
      <c r="I115" s="33">
        <f>60*D115/cruise_kt</f>
        <v/>
      </c>
      <c r="J115" s="33">
        <f>I115+turn_min+dwell_min</f>
        <v/>
      </c>
      <c r="K115" s="34">
        <f>MIN(15,FLOOR(60*service_hr/J115,1))</f>
        <v/>
      </c>
      <c r="L115" s="34">
        <f>ROUND(365*mech_uptime*H115,0)</f>
        <v/>
      </c>
      <c r="M115" s="35">
        <f>mech_uptime</f>
        <v/>
      </c>
      <c r="N115" s="35">
        <f>revleg_sel</f>
        <v/>
      </c>
      <c r="O115" s="34">
        <f>ROUND(K115*L115*revleg_sel,0)</f>
        <v/>
      </c>
      <c r="P115" s="36">
        <f>load_sel</f>
        <v/>
      </c>
      <c r="Q115" s="36">
        <f>pax_cap*P115</f>
        <v/>
      </c>
      <c r="R115" s="34">
        <f>Q115*O115</f>
        <v/>
      </c>
      <c r="S115" s="37">
        <f>E115*discount</f>
        <v/>
      </c>
      <c r="T115" s="38">
        <f>S115*R115</f>
        <v/>
      </c>
      <c r="U115" s="38">
        <f>(battery/range_nm)*D115*O115*VLOOKUP(B115,country_opex,3,FALSE)</f>
        <v/>
      </c>
      <c r="V115" s="38">
        <f>VLOOKUP(B115,country_opex,2,FALSE)*crew_factor</f>
        <v/>
      </c>
      <c r="W115" s="38">
        <f>VLOOKUP(B115,country_opex,5,FALSE)</f>
        <v/>
      </c>
      <c r="X115" s="38">
        <f>maint</f>
        <v/>
      </c>
      <c r="Y115" s="38">
        <f>VLOOKUP(B115,country_opex,7,FALSE)*ins_pct</f>
        <v/>
      </c>
      <c r="Z115" s="38">
        <f>charge_berth</f>
        <v/>
      </c>
      <c r="AA115" s="38">
        <f>U115+V115+W115+X115+Y115+Z115</f>
        <v/>
      </c>
      <c r="AB115" s="38">
        <f>VLOOKUP(B115,country_opex,7,FALSE)/dep_years</f>
        <v/>
      </c>
      <c r="AC115" s="38">
        <f>T115-AA115</f>
        <v/>
      </c>
      <c r="AD115" s="35">
        <f>IF(T115=0,"",AC115/T115)</f>
        <v/>
      </c>
      <c r="AE115" s="36">
        <f>IF(AC115&lt;=0,"",VLOOKUP(B115,country_opex,7,FALSE)/AC115)</f>
        <v/>
      </c>
      <c r="AF115" s="33">
        <f>((D115*O115/diesel_nmpg)*diesel_co2pg-(battery/range_nm)*D115*O115*VLOOKUP(B115,country_opex,4,FALSE))/1000</f>
        <v/>
      </c>
      <c r="AG115" s="31" t="n"/>
      <c r="AH115" s="32" t="n"/>
      <c r="AI115" s="32" t="n"/>
      <c r="AJ115" s="39" t="n">
        <v>0.1</v>
      </c>
      <c r="AK115" s="34">
        <f>IF(AG115="","",AG115*AJ115)</f>
        <v/>
      </c>
      <c r="AL115" s="34">
        <f>IF(OR(AG115="",R115=0),"",MIN(IF(AT115="",9.9E+99,AT115),FLOOR(AK115/R115,1)))</f>
        <v/>
      </c>
      <c r="AM115" s="38">
        <f>IF(AL115="","",AL115*T115)</f>
        <v/>
      </c>
      <c r="AN115" s="36">
        <f>IF(OR(AG115="",R115=0),"",MIN(IF(AT115="",9.9E+99,AT115),AK115/R115))</f>
        <v/>
      </c>
      <c r="AO115" s="38">
        <f>IF(AN115="","",AN115*T115)</f>
        <v/>
      </c>
      <c r="AP115" s="40" t="n"/>
      <c r="AQ115" s="32" t="inlineStr">
        <is>
          <t>Estimated</t>
        </is>
      </c>
      <c r="AR115" s="41" t="n"/>
      <c r="AS115" s="41" t="n"/>
      <c r="AT115" s="42" t="n"/>
      <c r="AU115" s="43">
        <f>IF(((S115*pax_cap*load_thin*ROUND(K115*L115*revleg_thin,0))-(((battery/range_nm)*D115*ROUND(K115*L115*revleg_thin,0)*VLOOKUP(B115,country_opex,3,FALSE))+V115+W115+X115+Y115+Z115))&lt;=0,"",VLOOKUP(B115,country_opex,7,FALSE)/((S115*pax_cap*load_thin*ROUND(K115*L115*revleg_thin,0))-(((battery/range_nm)*D115*ROUND(K115*L115*revleg_thin,0)*VLOOKUP(B115,country_opex,3,FALSE))+V115+W115+X115+Y115+Z115)))</f>
        <v/>
      </c>
      <c r="AV115" s="43">
        <f>IF(((S115*pax_cap*load_mid*ROUND(K115*L115*revleg_mid,0))-(((battery/range_nm)*D115*ROUND(K115*L115*revleg_mid,0)*VLOOKUP(B115,country_opex,3,FALSE))+V115+W115+X115+Y115+Z115))&lt;=0,"",VLOOKUP(B115,country_opex,7,FALSE)/((S115*pax_cap*load_mid*ROUND(K115*L115*revleg_mid,0))-(((battery/range_nm)*D115*ROUND(K115*L115*revleg_mid,0)*VLOOKUP(B115,country_opex,3,FALSE))+V115+W115+X115+Y115+Z115)))</f>
        <v/>
      </c>
      <c r="AW115" s="43">
        <f>IF(((S115*pax_cap*load_full*ROUND(K115*L115*revleg_full,0))-(((battery/range_nm)*D115*ROUND(K115*L115*revleg_full,0)*VLOOKUP(B115,country_opex,3,FALSE))+V115+W115+X115+Y115+Z115))&lt;=0,"",VLOOKUP(B115,country_opex,7,FALSE)/((S115*pax_cap*load_full*ROUND(K115*L115*revleg_full,0))-(((battery/range_nm)*D115*ROUND(K115*L115*revleg_full,0)*VLOOKUP(B115,country_opex,3,FALSE))+V115+W115+X115+Y115+Z115)))</f>
        <v/>
      </c>
      <c r="AX115" s="44" t="inlineStr">
        <is>
          <t>IMM Sea Taxi shared per-seat on 4.5 nm = (500+4.5×750)/10 = 387.5 TL ÷ 46.4 = $8.35 (whole-boat 3875 TL = $83.5).</t>
        </is>
      </c>
      <c r="AY115" s="44" t="n"/>
    </row>
    <row r="116">
      <c r="A116" s="29" t="inlineStr">
        <is>
          <t>Yango</t>
        </is>
      </c>
      <c r="B116" s="29" t="inlineStr">
        <is>
          <t>Turkey</t>
        </is>
      </c>
      <c r="C116" s="30" t="inlineStr">
        <is>
          <t>Fethiye → Ölüdeniz</t>
        </is>
      </c>
      <c r="D116" s="31" t="n">
        <v>6</v>
      </c>
      <c r="E116" s="26" t="n">
        <v>59</v>
      </c>
      <c r="F116" s="32" t="inlineStr">
        <is>
          <t>T2</t>
        </is>
      </c>
      <c r="G116" s="32" t="inlineStr">
        <is>
          <t>med</t>
        </is>
      </c>
      <c r="H116" s="19" t="n">
        <v>1</v>
      </c>
      <c r="I116" s="33">
        <f>60*D116/cruise_kt</f>
        <v/>
      </c>
      <c r="J116" s="33">
        <f>I116+turn_min+dwell_min</f>
        <v/>
      </c>
      <c r="K116" s="34">
        <f>MIN(15,FLOOR(60*service_hr/J116,1))</f>
        <v/>
      </c>
      <c r="L116" s="34">
        <f>ROUND(365*mech_uptime*H116,0)</f>
        <v/>
      </c>
      <c r="M116" s="35">
        <f>mech_uptime</f>
        <v/>
      </c>
      <c r="N116" s="35">
        <f>revleg_sel</f>
        <v/>
      </c>
      <c r="O116" s="34">
        <f>ROUND(K116*L116*revleg_sel,0)</f>
        <v/>
      </c>
      <c r="P116" s="36">
        <f>load_sel</f>
        <v/>
      </c>
      <c r="Q116" s="36">
        <f>pax_cap*P116</f>
        <v/>
      </c>
      <c r="R116" s="34">
        <f>Q116*O116</f>
        <v/>
      </c>
      <c r="S116" s="37">
        <f>E116*discount</f>
        <v/>
      </c>
      <c r="T116" s="38">
        <f>S116*R116</f>
        <v/>
      </c>
      <c r="U116" s="38">
        <f>(battery/range_nm)*D116*O116*VLOOKUP(B116,country_opex,3,FALSE)</f>
        <v/>
      </c>
      <c r="V116" s="38">
        <f>VLOOKUP(B116,country_opex,2,FALSE)*crew_factor</f>
        <v/>
      </c>
      <c r="W116" s="38">
        <f>VLOOKUP(B116,country_opex,5,FALSE)</f>
        <v/>
      </c>
      <c r="X116" s="38">
        <f>maint</f>
        <v/>
      </c>
      <c r="Y116" s="38">
        <f>VLOOKUP(B116,country_opex,7,FALSE)*ins_pct</f>
        <v/>
      </c>
      <c r="Z116" s="38">
        <f>charge_berth</f>
        <v/>
      </c>
      <c r="AA116" s="38">
        <f>U116+V116+W116+X116+Y116+Z116</f>
        <v/>
      </c>
      <c r="AB116" s="38">
        <f>VLOOKUP(B116,country_opex,7,FALSE)/dep_years</f>
        <v/>
      </c>
      <c r="AC116" s="38">
        <f>T116-AA116</f>
        <v/>
      </c>
      <c r="AD116" s="35">
        <f>IF(T116=0,"",AC116/T116)</f>
        <v/>
      </c>
      <c r="AE116" s="36">
        <f>IF(AC116&lt;=0,"",VLOOKUP(B116,country_opex,7,FALSE)/AC116)</f>
        <v/>
      </c>
      <c r="AF116" s="33">
        <f>((D116*O116/diesel_nmpg)*diesel_co2pg-(battery/range_nm)*D116*O116*VLOOKUP(B116,country_opex,4,FALSE))/1000</f>
        <v/>
      </c>
      <c r="AG116" s="31" t="n"/>
      <c r="AH116" s="32" t="n"/>
      <c r="AI116" s="32" t="n"/>
      <c r="AJ116" s="39" t="n">
        <v>0.1</v>
      </c>
      <c r="AK116" s="34">
        <f>IF(AG116="","",AG116*AJ116)</f>
        <v/>
      </c>
      <c r="AL116" s="34">
        <f>IF(OR(AG116="",R116=0),"",MIN(IF(AT116="",9.9E+99,AT116),FLOOR(AK116/R116,1)))</f>
        <v/>
      </c>
      <c r="AM116" s="38">
        <f>IF(AL116="","",AL116*T116)</f>
        <v/>
      </c>
      <c r="AN116" s="36">
        <f>IF(OR(AG116="",R116=0),"",MIN(IF(AT116="",9.9E+99,AT116),AK116/R116))</f>
        <v/>
      </c>
      <c r="AO116" s="38">
        <f>IF(AN116="","",AN116*T116)</f>
        <v/>
      </c>
      <c r="AP116" s="40" t="n"/>
      <c r="AQ116" s="32" t="inlineStr">
        <is>
          <t>Estimated</t>
        </is>
      </c>
      <c r="AR116" s="41" t="n"/>
      <c r="AS116" s="41" t="n"/>
      <c r="AT116" s="42" t="n"/>
      <c r="AU116" s="43">
        <f>IF(((S116*pax_cap*load_thin*ROUND(K116*L116*revleg_thin,0))-(((battery/range_nm)*D116*ROUND(K116*L116*revleg_thin,0)*VLOOKUP(B116,country_opex,3,FALSE))+V116+W116+X116+Y116+Z116))&lt;=0,"",VLOOKUP(B116,country_opex,7,FALSE)/((S116*pax_cap*load_thin*ROUND(K116*L116*revleg_thin,0))-(((battery/range_nm)*D116*ROUND(K116*L116*revleg_thin,0)*VLOOKUP(B116,country_opex,3,FALSE))+V116+W116+X116+Y116+Z116)))</f>
        <v/>
      </c>
      <c r="AV116" s="43">
        <f>IF(((S116*pax_cap*load_mid*ROUND(K116*L116*revleg_mid,0))-(((battery/range_nm)*D116*ROUND(K116*L116*revleg_mid,0)*VLOOKUP(B116,country_opex,3,FALSE))+V116+W116+X116+Y116+Z116))&lt;=0,"",VLOOKUP(B116,country_opex,7,FALSE)/((S116*pax_cap*load_mid*ROUND(K116*L116*revleg_mid,0))-(((battery/range_nm)*D116*ROUND(K116*L116*revleg_mid,0)*VLOOKUP(B116,country_opex,3,FALSE))+V116+W116+X116+Y116+Z116)))</f>
        <v/>
      </c>
      <c r="AW116" s="43">
        <f>IF(((S116*pax_cap*load_full*ROUND(K116*L116*revleg_full,0))-(((battery/range_nm)*D116*ROUND(K116*L116*revleg_full,0)*VLOOKUP(B116,country_opex,3,FALSE))+V116+W116+X116+Y116+Z116))&lt;=0,"",VLOOKUP(B116,country_opex,7,FALSE)/((S116*pax_cap*load_full*ROUND(K116*L116*revleg_full,0))-(((battery/range_nm)*D116*ROUND(K116*L116*revleg_full,0)*VLOOKUP(B116,country_opex,3,FALSE))+V116+W116+X116+Y116+Z116)))</f>
        <v/>
      </c>
      <c r="AX116" s="44" t="inlineStr">
        <is>
          <t>Fethiye/Ölüdeniz 6-Islands + Butterfly Valley + Blue Lagoon boat trip ~$59/adult (Tripadvisor) as premium per-seat day-cruise anchor.</t>
        </is>
      </c>
      <c r="AY116" s="44" t="n"/>
    </row>
    <row r="117">
      <c r="A117" s="29" t="inlineStr">
        <is>
          <t>Yango</t>
        </is>
      </c>
      <c r="B117" s="29" t="inlineStr">
        <is>
          <t>Turkey</t>
        </is>
      </c>
      <c r="C117" s="30" t="inlineStr">
        <is>
          <t>Çeşme → Chios (Greece)</t>
        </is>
      </c>
      <c r="D117" s="31" t="n">
        <v>7</v>
      </c>
      <c r="E117" s="26" t="n"/>
      <c r="F117" s="32" t="n"/>
      <c r="G117" s="32" t="n"/>
      <c r="H117" s="19" t="n">
        <v>1</v>
      </c>
      <c r="I117" s="33">
        <f>60*D117/cruise_kt</f>
        <v/>
      </c>
      <c r="J117" s="33">
        <f>I117+turn_min+dwell_min</f>
        <v/>
      </c>
      <c r="K117" s="34">
        <f>MIN(15,FLOOR(60*service_hr/J117,1))</f>
        <v/>
      </c>
      <c r="L117" s="34">
        <f>ROUND(365*mech_uptime*H117,0)</f>
        <v/>
      </c>
      <c r="M117" s="35">
        <f>mech_uptime</f>
        <v/>
      </c>
      <c r="N117" s="35">
        <f>revleg_sel</f>
        <v/>
      </c>
      <c r="O117" s="34">
        <f>ROUND(K117*L117*revleg_sel,0)</f>
        <v/>
      </c>
      <c r="P117" s="36">
        <f>load_sel</f>
        <v/>
      </c>
      <c r="Q117" s="36">
        <f>pax_cap*P117</f>
        <v/>
      </c>
      <c r="R117" s="34">
        <f>Q117*O117</f>
        <v/>
      </c>
      <c r="S117" s="37">
        <f>E117*discount</f>
        <v/>
      </c>
      <c r="T117" s="38">
        <f>S117*R117</f>
        <v/>
      </c>
      <c r="U117" s="38">
        <f>(battery/range_nm)*D117*O117*VLOOKUP(B117,country_opex,3,FALSE)</f>
        <v/>
      </c>
      <c r="V117" s="38">
        <f>VLOOKUP(B117,country_opex,2,FALSE)*crew_factor</f>
        <v/>
      </c>
      <c r="W117" s="38">
        <f>VLOOKUP(B117,country_opex,5,FALSE)</f>
        <v/>
      </c>
      <c r="X117" s="38">
        <f>maint</f>
        <v/>
      </c>
      <c r="Y117" s="38">
        <f>VLOOKUP(B117,country_opex,7,FALSE)*ins_pct</f>
        <v/>
      </c>
      <c r="Z117" s="38">
        <f>charge_berth</f>
        <v/>
      </c>
      <c r="AA117" s="38">
        <f>U117+V117+W117+X117+Y117+Z117</f>
        <v/>
      </c>
      <c r="AB117" s="38">
        <f>VLOOKUP(B117,country_opex,7,FALSE)/dep_years</f>
        <v/>
      </c>
      <c r="AC117" s="38">
        <f>T117-AA117</f>
        <v/>
      </c>
      <c r="AD117" s="35">
        <f>IF(T117=0,"",AC117/T117)</f>
        <v/>
      </c>
      <c r="AE117" s="36">
        <f>IF(AC117&lt;=0,"",VLOOKUP(B117,country_opex,7,FALSE)/AC117)</f>
        <v/>
      </c>
      <c r="AF117" s="33">
        <f>((D117*O117/diesel_nmpg)*diesel_co2pg-(battery/range_nm)*D117*O117*VLOOKUP(B117,country_opex,4,FALSE))/1000</f>
        <v/>
      </c>
      <c r="AG117" s="31" t="n"/>
      <c r="AH117" s="32" t="n"/>
      <c r="AI117" s="32" t="n"/>
      <c r="AJ117" s="39" t="n">
        <v>0.1</v>
      </c>
      <c r="AK117" s="34">
        <f>IF(AG117="","",AG117*AJ117)</f>
        <v/>
      </c>
      <c r="AL117" s="34">
        <f>IF(OR(AG117="",R117=0),"",MIN(IF(AT117="",9.9E+99,AT117),FLOOR(AK117/R117,1)))</f>
        <v/>
      </c>
      <c r="AM117" s="38">
        <f>IF(AL117="","",AL117*T117)</f>
        <v/>
      </c>
      <c r="AN117" s="36">
        <f>IF(OR(AG117="",R117=0),"",MIN(IF(AT117="",9.9E+99,AT117),AK117/R117))</f>
        <v/>
      </c>
      <c r="AO117" s="38">
        <f>IF(AN117="","",AN117*T117)</f>
        <v/>
      </c>
      <c r="AP117" s="40" t="n"/>
      <c r="AQ117" s="32" t="inlineStr">
        <is>
          <t>Estimated</t>
        </is>
      </c>
      <c r="AR117" s="41" t="n"/>
      <c r="AS117" s="41" t="n"/>
      <c r="AT117" s="42" t="n"/>
      <c r="AU117" s="43">
        <f>IF(((S117*pax_cap*load_thin*ROUND(K117*L117*revleg_thin,0))-(((battery/range_nm)*D117*ROUND(K117*L117*revleg_thin,0)*VLOOKUP(B117,country_opex,3,FALSE))+V117+W117+X117+Y117+Z117))&lt;=0,"",VLOOKUP(B117,country_opex,7,FALSE)/((S117*pax_cap*load_thin*ROUND(K117*L117*revleg_thin,0))-(((battery/range_nm)*D117*ROUND(K117*L117*revleg_thin,0)*VLOOKUP(B117,country_opex,3,FALSE))+V117+W117+X117+Y117+Z117)))</f>
        <v/>
      </c>
      <c r="AV117" s="43">
        <f>IF(((S117*pax_cap*load_mid*ROUND(K117*L117*revleg_mid,0))-(((battery/range_nm)*D117*ROUND(K117*L117*revleg_mid,0)*VLOOKUP(B117,country_opex,3,FALSE))+V117+W117+X117+Y117+Z117))&lt;=0,"",VLOOKUP(B117,country_opex,7,FALSE)/((S117*pax_cap*load_mid*ROUND(K117*L117*revleg_mid,0))-(((battery/range_nm)*D117*ROUND(K117*L117*revleg_mid,0)*VLOOKUP(B117,country_opex,3,FALSE))+V117+W117+X117+Y117+Z117)))</f>
        <v/>
      </c>
      <c r="AW117" s="43">
        <f>IF(((S117*pax_cap*load_full*ROUND(K117*L117*revleg_full,0))-(((battery/range_nm)*D117*ROUND(K117*L117*revleg_full,0)*VLOOKUP(B117,country_opex,3,FALSE))+V117+W117+X117+Y117+Z117))&lt;=0,"",VLOOKUP(B117,country_opex,7,FALSE)/((S117*pax_cap*load_full*ROUND(K117*L117*revleg_full,0))-(((battery/range_nm)*D117*ROUND(K117*L117*revleg_full,0)*VLOOKUP(B117,country_opex,3,FALSE))+V117+W117+X117+Y117+Z117)))</f>
        <v/>
      </c>
      <c r="AX117" s="44" t="n"/>
      <c r="AY117" s="44" t="n"/>
    </row>
    <row r="118">
      <c r="A118" s="29" t="inlineStr">
        <is>
          <t>Yango</t>
        </is>
      </c>
      <c r="B118" s="29" t="inlineStr">
        <is>
          <t>Turkey</t>
        </is>
      </c>
      <c r="C118" s="30" t="inlineStr">
        <is>
          <t>Fethiye → Göcek (12 Islands bays)</t>
        </is>
      </c>
      <c r="D118" s="31" t="n">
        <v>8</v>
      </c>
      <c r="E118" s="26" t="n">
        <v>38</v>
      </c>
      <c r="F118" s="32" t="inlineStr">
        <is>
          <t>T2</t>
        </is>
      </c>
      <c r="G118" s="32" t="inlineStr">
        <is>
          <t>med</t>
        </is>
      </c>
      <c r="H118" s="19" t="n">
        <v>1</v>
      </c>
      <c r="I118" s="33">
        <f>60*D118/cruise_kt</f>
        <v/>
      </c>
      <c r="J118" s="33">
        <f>I118+turn_min+dwell_min</f>
        <v/>
      </c>
      <c r="K118" s="34">
        <f>MIN(15,FLOOR(60*service_hr/J118,1))</f>
        <v/>
      </c>
      <c r="L118" s="34">
        <f>ROUND(365*mech_uptime*H118,0)</f>
        <v/>
      </c>
      <c r="M118" s="35">
        <f>mech_uptime</f>
        <v/>
      </c>
      <c r="N118" s="35">
        <f>revleg_sel</f>
        <v/>
      </c>
      <c r="O118" s="34">
        <f>ROUND(K118*L118*revleg_sel,0)</f>
        <v/>
      </c>
      <c r="P118" s="36">
        <f>load_sel</f>
        <v/>
      </c>
      <c r="Q118" s="36">
        <f>pax_cap*P118</f>
        <v/>
      </c>
      <c r="R118" s="34">
        <f>Q118*O118</f>
        <v/>
      </c>
      <c r="S118" s="37">
        <f>E118*discount</f>
        <v/>
      </c>
      <c r="T118" s="38">
        <f>S118*R118</f>
        <v/>
      </c>
      <c r="U118" s="38">
        <f>(battery/range_nm)*D118*O118*VLOOKUP(B118,country_opex,3,FALSE)</f>
        <v/>
      </c>
      <c r="V118" s="38">
        <f>VLOOKUP(B118,country_opex,2,FALSE)*crew_factor</f>
        <v/>
      </c>
      <c r="W118" s="38">
        <f>VLOOKUP(B118,country_opex,5,FALSE)</f>
        <v/>
      </c>
      <c r="X118" s="38">
        <f>maint</f>
        <v/>
      </c>
      <c r="Y118" s="38">
        <f>VLOOKUP(B118,country_opex,7,FALSE)*ins_pct</f>
        <v/>
      </c>
      <c r="Z118" s="38">
        <f>charge_berth</f>
        <v/>
      </c>
      <c r="AA118" s="38">
        <f>U118+V118+W118+X118+Y118+Z118</f>
        <v/>
      </c>
      <c r="AB118" s="38">
        <f>VLOOKUP(B118,country_opex,7,FALSE)/dep_years</f>
        <v/>
      </c>
      <c r="AC118" s="38">
        <f>T118-AA118</f>
        <v/>
      </c>
      <c r="AD118" s="35">
        <f>IF(T118=0,"",AC118/T118)</f>
        <v/>
      </c>
      <c r="AE118" s="36">
        <f>IF(AC118&lt;=0,"",VLOOKUP(B118,country_opex,7,FALSE)/AC118)</f>
        <v/>
      </c>
      <c r="AF118" s="33">
        <f>((D118*O118/diesel_nmpg)*diesel_co2pg-(battery/range_nm)*D118*O118*VLOOKUP(B118,country_opex,4,FALSE))/1000</f>
        <v/>
      </c>
      <c r="AG118" s="31" t="n"/>
      <c r="AH118" s="32" t="n"/>
      <c r="AI118" s="32" t="n"/>
      <c r="AJ118" s="39" t="n">
        <v>0.1</v>
      </c>
      <c r="AK118" s="34">
        <f>IF(AG118="","",AG118*AJ118)</f>
        <v/>
      </c>
      <c r="AL118" s="34">
        <f>IF(OR(AG118="",R118=0),"",MIN(IF(AT118="",9.9E+99,AT118),FLOOR(AK118/R118,1)))</f>
        <v/>
      </c>
      <c r="AM118" s="38">
        <f>IF(AL118="","",AL118*T118)</f>
        <v/>
      </c>
      <c r="AN118" s="36">
        <f>IF(OR(AG118="",R118=0),"",MIN(IF(AT118="",9.9E+99,AT118),AK118/R118))</f>
        <v/>
      </c>
      <c r="AO118" s="38">
        <f>IF(AN118="","",AN118*T118)</f>
        <v/>
      </c>
      <c r="AP118" s="40" t="n"/>
      <c r="AQ118" s="32" t="inlineStr">
        <is>
          <t>Estimated</t>
        </is>
      </c>
      <c r="AR118" s="41" t="n"/>
      <c r="AS118" s="41" t="n"/>
      <c r="AT118" s="42" t="n"/>
      <c r="AU118" s="43">
        <f>IF(((S118*pax_cap*load_thin*ROUND(K118*L118*revleg_thin,0))-(((battery/range_nm)*D118*ROUND(K118*L118*revleg_thin,0)*VLOOKUP(B118,country_opex,3,FALSE))+V118+W118+X118+Y118+Z118))&lt;=0,"",VLOOKUP(B118,country_opex,7,FALSE)/((S118*pax_cap*load_thin*ROUND(K118*L118*revleg_thin,0))-(((battery/range_nm)*D118*ROUND(K118*L118*revleg_thin,0)*VLOOKUP(B118,country_opex,3,FALSE))+V118+W118+X118+Y118+Z118)))</f>
        <v/>
      </c>
      <c r="AV118" s="43">
        <f>IF(((S118*pax_cap*load_mid*ROUND(K118*L118*revleg_mid,0))-(((battery/range_nm)*D118*ROUND(K118*L118*revleg_mid,0)*VLOOKUP(B118,country_opex,3,FALSE))+V118+W118+X118+Y118+Z118))&lt;=0,"",VLOOKUP(B118,country_opex,7,FALSE)/((S118*pax_cap*load_mid*ROUND(K118*L118*revleg_mid,0))-(((battery/range_nm)*D118*ROUND(K118*L118*revleg_mid,0)*VLOOKUP(B118,country_opex,3,FALSE))+V118+W118+X118+Y118+Z118)))</f>
        <v/>
      </c>
      <c r="AW118" s="43">
        <f>IF(((S118*pax_cap*load_full*ROUND(K118*L118*revleg_full,0))-(((battery/range_nm)*D118*ROUND(K118*L118*revleg_full,0)*VLOOKUP(B118,country_opex,3,FALSE))+V118+W118+X118+Y118+Z118))&lt;=0,"",VLOOKUP(B118,country_opex,7,FALSE)/((S118*pax_cap*load_full*ROUND(K118*L118*revleg_full,0))-(((battery/range_nm)*D118*ROUND(K118*L118*revleg_full,0)*VLOOKUP(B118,country_opex,3,FALSE))+V118+W118+X118+Y118+Z118)))</f>
        <v/>
      </c>
      <c r="AX118" s="44" t="inlineStr">
        <is>
          <t>12-Islands day-cruise per-adult comparable ~$35-40 (GetYourGuide/Tripadvisor Göcek &amp; Fethiye tours); $38 premium per-seat anchor.</t>
        </is>
      </c>
      <c r="AY118" s="44" t="n"/>
    </row>
    <row r="119">
      <c r="A119" s="29" t="inlineStr">
        <is>
          <t>Yango</t>
        </is>
      </c>
      <c r="B119" s="29" t="inlineStr">
        <is>
          <t>Turkey</t>
        </is>
      </c>
      <c r="C119" s="30" t="inlineStr">
        <is>
          <t>Bodrum → Gümüşlük</t>
        </is>
      </c>
      <c r="D119" s="31" t="n">
        <v>9</v>
      </c>
      <c r="E119" s="26" t="n">
        <v>30</v>
      </c>
      <c r="F119" s="32" t="inlineStr">
        <is>
          <t>T2</t>
        </is>
      </c>
      <c r="G119" s="32" t="inlineStr">
        <is>
          <t>med</t>
        </is>
      </c>
      <c r="H119" s="19" t="n">
        <v>1</v>
      </c>
      <c r="I119" s="33">
        <f>60*D119/cruise_kt</f>
        <v/>
      </c>
      <c r="J119" s="33">
        <f>I119+turn_min+dwell_min</f>
        <v/>
      </c>
      <c r="K119" s="34">
        <f>MIN(15,FLOOR(60*service_hr/J119,1))</f>
        <v/>
      </c>
      <c r="L119" s="34">
        <f>ROUND(365*mech_uptime*H119,0)</f>
        <v/>
      </c>
      <c r="M119" s="35">
        <f>mech_uptime</f>
        <v/>
      </c>
      <c r="N119" s="35">
        <f>revleg_sel</f>
        <v/>
      </c>
      <c r="O119" s="34">
        <f>ROUND(K119*L119*revleg_sel,0)</f>
        <v/>
      </c>
      <c r="P119" s="36">
        <f>load_sel</f>
        <v/>
      </c>
      <c r="Q119" s="36">
        <f>pax_cap*P119</f>
        <v/>
      </c>
      <c r="R119" s="34">
        <f>Q119*O119</f>
        <v/>
      </c>
      <c r="S119" s="37">
        <f>E119*discount</f>
        <v/>
      </c>
      <c r="T119" s="38">
        <f>S119*R119</f>
        <v/>
      </c>
      <c r="U119" s="38">
        <f>(battery/range_nm)*D119*O119*VLOOKUP(B119,country_opex,3,FALSE)</f>
        <v/>
      </c>
      <c r="V119" s="38">
        <f>VLOOKUP(B119,country_opex,2,FALSE)*crew_factor</f>
        <v/>
      </c>
      <c r="W119" s="38">
        <f>VLOOKUP(B119,country_opex,5,FALSE)</f>
        <v/>
      </c>
      <c r="X119" s="38">
        <f>maint</f>
        <v/>
      </c>
      <c r="Y119" s="38">
        <f>VLOOKUP(B119,country_opex,7,FALSE)*ins_pct</f>
        <v/>
      </c>
      <c r="Z119" s="38">
        <f>charge_berth</f>
        <v/>
      </c>
      <c r="AA119" s="38">
        <f>U119+V119+W119+X119+Y119+Z119</f>
        <v/>
      </c>
      <c r="AB119" s="38">
        <f>VLOOKUP(B119,country_opex,7,FALSE)/dep_years</f>
        <v/>
      </c>
      <c r="AC119" s="38">
        <f>T119-AA119</f>
        <v/>
      </c>
      <c r="AD119" s="35">
        <f>IF(T119=0,"",AC119/T119)</f>
        <v/>
      </c>
      <c r="AE119" s="36">
        <f>IF(AC119&lt;=0,"",VLOOKUP(B119,country_opex,7,FALSE)/AC119)</f>
        <v/>
      </c>
      <c r="AF119" s="33">
        <f>((D119*O119/diesel_nmpg)*diesel_co2pg-(battery/range_nm)*D119*O119*VLOOKUP(B119,country_opex,4,FALSE))/1000</f>
        <v/>
      </c>
      <c r="AG119" s="31" t="n"/>
      <c r="AH119" s="32" t="n"/>
      <c r="AI119" s="32" t="n"/>
      <c r="AJ119" s="39" t="n">
        <v>0.1</v>
      </c>
      <c r="AK119" s="34">
        <f>IF(AG119="","",AG119*AJ119)</f>
        <v/>
      </c>
      <c r="AL119" s="34">
        <f>IF(OR(AG119="",R119=0),"",MIN(IF(AT119="",9.9E+99,AT119),FLOOR(AK119/R119,1)))</f>
        <v/>
      </c>
      <c r="AM119" s="38">
        <f>IF(AL119="","",AL119*T119)</f>
        <v/>
      </c>
      <c r="AN119" s="36">
        <f>IF(OR(AG119="",R119=0),"",MIN(IF(AT119="",9.9E+99,AT119),AK119/R119))</f>
        <v/>
      </c>
      <c r="AO119" s="38">
        <f>IF(AN119="","",AN119*T119)</f>
        <v/>
      </c>
      <c r="AP119" s="40" t="n"/>
      <c r="AQ119" s="32" t="inlineStr">
        <is>
          <t>Estimated</t>
        </is>
      </c>
      <c r="AR119" s="41" t="n"/>
      <c r="AS119" s="41" t="n"/>
      <c r="AT119" s="42" t="n"/>
      <c r="AU119" s="43">
        <f>IF(((S119*pax_cap*load_thin*ROUND(K119*L119*revleg_thin,0))-(((battery/range_nm)*D119*ROUND(K119*L119*revleg_thin,0)*VLOOKUP(B119,country_opex,3,FALSE))+V119+W119+X119+Y119+Z119))&lt;=0,"",VLOOKUP(B119,country_opex,7,FALSE)/((S119*pax_cap*load_thin*ROUND(K119*L119*revleg_thin,0))-(((battery/range_nm)*D119*ROUND(K119*L119*revleg_thin,0)*VLOOKUP(B119,country_opex,3,FALSE))+V119+W119+X119+Y119+Z119)))</f>
        <v/>
      </c>
      <c r="AV119" s="43">
        <f>IF(((S119*pax_cap*load_mid*ROUND(K119*L119*revleg_mid,0))-(((battery/range_nm)*D119*ROUND(K119*L119*revleg_mid,0)*VLOOKUP(B119,country_opex,3,FALSE))+V119+W119+X119+Y119+Z119))&lt;=0,"",VLOOKUP(B119,country_opex,7,FALSE)/((S119*pax_cap*load_mid*ROUND(K119*L119*revleg_mid,0))-(((battery/range_nm)*D119*ROUND(K119*L119*revleg_mid,0)*VLOOKUP(B119,country_opex,3,FALSE))+V119+W119+X119+Y119+Z119)))</f>
        <v/>
      </c>
      <c r="AW119" s="43">
        <f>IF(((S119*pax_cap*load_full*ROUND(K119*L119*revleg_full,0))-(((battery/range_nm)*D119*ROUND(K119*L119*revleg_full,0)*VLOOKUP(B119,country_opex,3,FALSE))+V119+W119+X119+Y119+Z119))&lt;=0,"",VLOOKUP(B119,country_opex,7,FALSE)/((S119*pax_cap*load_full*ROUND(K119*L119*revleg_full,0))-(((battery/range_nm)*D119*ROUND(K119*L119*revleg_full,0)*VLOOKUP(B119,country_opex,3,FALSE))+V119+W119+X119+Y119+Z119)))</f>
        <v/>
      </c>
      <c r="AX119" s="44" t="inlineStr">
        <is>
          <t>Bodrum/Gümüşlük day-boat tour comparable ~$30/adult (Tripadvisor/GetYourGuide Bodrum cruises) used as premium per-seat leisure anchor (not pure point-to-point).</t>
        </is>
      </c>
      <c r="AY119" s="44" t="n"/>
    </row>
    <row r="120">
      <c r="A120" s="29" t="inlineStr">
        <is>
          <t>Yango</t>
        </is>
      </c>
      <c r="B120" s="29" t="inlineStr">
        <is>
          <t>Turkey</t>
        </is>
      </c>
      <c r="C120" s="30" t="inlineStr">
        <is>
          <t>Bodrum → Yalıkavak</t>
        </is>
      </c>
      <c r="D120" s="31" t="n">
        <v>9</v>
      </c>
      <c r="E120" s="26" t="n">
        <v>40</v>
      </c>
      <c r="F120" s="32" t="inlineStr">
        <is>
          <t>T2</t>
        </is>
      </c>
      <c r="G120" s="32" t="inlineStr">
        <is>
          <t>med</t>
        </is>
      </c>
      <c r="H120" s="19" t="n">
        <v>1</v>
      </c>
      <c r="I120" s="33">
        <f>60*D120/cruise_kt</f>
        <v/>
      </c>
      <c r="J120" s="33">
        <f>I120+turn_min+dwell_min</f>
        <v/>
      </c>
      <c r="K120" s="34">
        <f>MIN(15,FLOOR(60*service_hr/J120,1))</f>
        <v/>
      </c>
      <c r="L120" s="34">
        <f>ROUND(365*mech_uptime*H120,0)</f>
        <v/>
      </c>
      <c r="M120" s="35">
        <f>mech_uptime</f>
        <v/>
      </c>
      <c r="N120" s="35">
        <f>revleg_sel</f>
        <v/>
      </c>
      <c r="O120" s="34">
        <f>ROUND(K120*L120*revleg_sel,0)</f>
        <v/>
      </c>
      <c r="P120" s="36">
        <f>load_sel</f>
        <v/>
      </c>
      <c r="Q120" s="36">
        <f>pax_cap*P120</f>
        <v/>
      </c>
      <c r="R120" s="34">
        <f>Q120*O120</f>
        <v/>
      </c>
      <c r="S120" s="37">
        <f>E120*discount</f>
        <v/>
      </c>
      <c r="T120" s="38">
        <f>S120*R120</f>
        <v/>
      </c>
      <c r="U120" s="38">
        <f>(battery/range_nm)*D120*O120*VLOOKUP(B120,country_opex,3,FALSE)</f>
        <v/>
      </c>
      <c r="V120" s="38">
        <f>VLOOKUP(B120,country_opex,2,FALSE)*crew_factor</f>
        <v/>
      </c>
      <c r="W120" s="38">
        <f>VLOOKUP(B120,country_opex,5,FALSE)</f>
        <v/>
      </c>
      <c r="X120" s="38">
        <f>maint</f>
        <v/>
      </c>
      <c r="Y120" s="38">
        <f>VLOOKUP(B120,country_opex,7,FALSE)*ins_pct</f>
        <v/>
      </c>
      <c r="Z120" s="38">
        <f>charge_berth</f>
        <v/>
      </c>
      <c r="AA120" s="38">
        <f>U120+V120+W120+X120+Y120+Z120</f>
        <v/>
      </c>
      <c r="AB120" s="38">
        <f>VLOOKUP(B120,country_opex,7,FALSE)/dep_years</f>
        <v/>
      </c>
      <c r="AC120" s="38">
        <f>T120-AA120</f>
        <v/>
      </c>
      <c r="AD120" s="35">
        <f>IF(T120=0,"",AC120/T120)</f>
        <v/>
      </c>
      <c r="AE120" s="36">
        <f>IF(AC120&lt;=0,"",VLOOKUP(B120,country_opex,7,FALSE)/AC120)</f>
        <v/>
      </c>
      <c r="AF120" s="33">
        <f>((D120*O120/diesel_nmpg)*diesel_co2pg-(battery/range_nm)*D120*O120*VLOOKUP(B120,country_opex,4,FALSE))/1000</f>
        <v/>
      </c>
      <c r="AG120" s="31" t="n"/>
      <c r="AH120" s="32" t="n"/>
      <c r="AI120" s="32" t="n"/>
      <c r="AJ120" s="39" t="n">
        <v>0.1</v>
      </c>
      <c r="AK120" s="34">
        <f>IF(AG120="","",AG120*AJ120)</f>
        <v/>
      </c>
      <c r="AL120" s="34">
        <f>IF(OR(AG120="",R120=0),"",MIN(IF(AT120="",9.9E+99,AT120),FLOOR(AK120/R120,1)))</f>
        <v/>
      </c>
      <c r="AM120" s="38">
        <f>IF(AL120="","",AL120*T120)</f>
        <v/>
      </c>
      <c r="AN120" s="36">
        <f>IF(OR(AG120="",R120=0),"",MIN(IF(AT120="",9.9E+99,AT120),AK120/R120))</f>
        <v/>
      </c>
      <c r="AO120" s="38">
        <f>IF(AN120="","",AN120*T120)</f>
        <v/>
      </c>
      <c r="AP120" s="40" t="n"/>
      <c r="AQ120" s="32" t="inlineStr">
        <is>
          <t>Estimated</t>
        </is>
      </c>
      <c r="AR120" s="41" t="n"/>
      <c r="AS120" s="41" t="n"/>
      <c r="AT120" s="42" t="n"/>
      <c r="AU120" s="43">
        <f>IF(((S120*pax_cap*load_thin*ROUND(K120*L120*revleg_thin,0))-(((battery/range_nm)*D120*ROUND(K120*L120*revleg_thin,0)*VLOOKUP(B120,country_opex,3,FALSE))+V120+W120+X120+Y120+Z120))&lt;=0,"",VLOOKUP(B120,country_opex,7,FALSE)/((S120*pax_cap*load_thin*ROUND(K120*L120*revleg_thin,0))-(((battery/range_nm)*D120*ROUND(K120*L120*revleg_thin,0)*VLOOKUP(B120,country_opex,3,FALSE))+V120+W120+X120+Y120+Z120)))</f>
        <v/>
      </c>
      <c r="AV120" s="43">
        <f>IF(((S120*pax_cap*load_mid*ROUND(K120*L120*revleg_mid,0))-(((battery/range_nm)*D120*ROUND(K120*L120*revleg_mid,0)*VLOOKUP(B120,country_opex,3,FALSE))+V120+W120+X120+Y120+Z120))&lt;=0,"",VLOOKUP(B120,country_opex,7,FALSE)/((S120*pax_cap*load_mid*ROUND(K120*L120*revleg_mid,0))-(((battery/range_nm)*D120*ROUND(K120*L120*revleg_mid,0)*VLOOKUP(B120,country_opex,3,FALSE))+V120+W120+X120+Y120+Z120)))</f>
        <v/>
      </c>
      <c r="AW120" s="43">
        <f>IF(((S120*pax_cap*load_full*ROUND(K120*L120*revleg_full,0))-(((battery/range_nm)*D120*ROUND(K120*L120*revleg_full,0)*VLOOKUP(B120,country_opex,3,FALSE))+V120+W120+X120+Y120+Z120))&lt;=0,"",VLOOKUP(B120,country_opex,7,FALSE)/((S120*pax_cap*load_full*ROUND(K120*L120*revleg_full,0))-(((battery/range_nm)*D120*ROUND(K120*L120*revleg_full,0)*VLOOKUP(B120,country_opex,3,FALSE))+V120+W120+X120+Y120+Z120)))</f>
        <v/>
      </c>
      <c r="AX120" s="44" t="inlineStr">
        <is>
          <t>Bodrum-peninsula premium day/charter tender comparable ~$40/seat (Viator/GetYourGuide Bodrum luxury cruises) — superyacht-marina premium tier.</t>
        </is>
      </c>
      <c r="AY120" s="44" t="n"/>
    </row>
    <row r="121">
      <c r="A121" s="29" t="inlineStr">
        <is>
          <t>Yango</t>
        </is>
      </c>
      <c r="B121" s="29" t="inlineStr">
        <is>
          <t>Turkey</t>
        </is>
      </c>
      <c r="C121" s="30" t="inlineStr">
        <is>
          <t>Bodrum → Datça</t>
        </is>
      </c>
      <c r="D121" s="31" t="n">
        <v>10</v>
      </c>
      <c r="E121" s="26" t="n">
        <v>15.1</v>
      </c>
      <c r="F121" s="32" t="inlineStr">
        <is>
          <t>T2</t>
        </is>
      </c>
      <c r="G121" s="32" t="inlineStr">
        <is>
          <t>med</t>
        </is>
      </c>
      <c r="H121" s="19" t="n">
        <v>1</v>
      </c>
      <c r="I121" s="33">
        <f>60*D121/cruise_kt</f>
        <v/>
      </c>
      <c r="J121" s="33">
        <f>I121+turn_min+dwell_min</f>
        <v/>
      </c>
      <c r="K121" s="34">
        <f>MIN(24,FLOOR(60*service_hr/J121,1))</f>
        <v/>
      </c>
      <c r="L121" s="34">
        <f>ROUND(365*mech_uptime*H121,0)</f>
        <v/>
      </c>
      <c r="M121" s="35">
        <f>mech_uptime</f>
        <v/>
      </c>
      <c r="N121" s="35">
        <f>revleg_sel</f>
        <v/>
      </c>
      <c r="O121" s="34">
        <f>ROUND(K121*L121*revleg_sel,0)</f>
        <v/>
      </c>
      <c r="P121" s="36">
        <f>load_sel</f>
        <v/>
      </c>
      <c r="Q121" s="36">
        <f>pax_cap*P121</f>
        <v/>
      </c>
      <c r="R121" s="34">
        <f>Q121*O121</f>
        <v/>
      </c>
      <c r="S121" s="37">
        <f>E121*discount</f>
        <v/>
      </c>
      <c r="T121" s="38">
        <f>S121*R121</f>
        <v/>
      </c>
      <c r="U121" s="38">
        <f>(battery/range_nm)*D121*O121*VLOOKUP(B121,country_opex,3,FALSE)</f>
        <v/>
      </c>
      <c r="V121" s="38">
        <f>VLOOKUP(B121,country_opex,2,FALSE)*crew_factor</f>
        <v/>
      </c>
      <c r="W121" s="38">
        <f>VLOOKUP(B121,country_opex,5,FALSE)</f>
        <v/>
      </c>
      <c r="X121" s="38">
        <f>maint</f>
        <v/>
      </c>
      <c r="Y121" s="38">
        <f>VLOOKUP(B121,country_opex,7,FALSE)*ins_pct</f>
        <v/>
      </c>
      <c r="Z121" s="38">
        <f>charge_berth</f>
        <v/>
      </c>
      <c r="AA121" s="38">
        <f>U121+V121+W121+X121+Y121+Z121</f>
        <v/>
      </c>
      <c r="AB121" s="38">
        <f>VLOOKUP(B121,country_opex,7,FALSE)/dep_years</f>
        <v/>
      </c>
      <c r="AC121" s="38">
        <f>T121-AA121</f>
        <v/>
      </c>
      <c r="AD121" s="35">
        <f>IF(T121=0,"",AC121/T121)</f>
        <v/>
      </c>
      <c r="AE121" s="36">
        <f>IF(AC121&lt;=0,"",VLOOKUP(B121,country_opex,7,FALSE)/AC121)</f>
        <v/>
      </c>
      <c r="AF121" s="33">
        <f>((D121*O121/diesel_nmpg)*diesel_co2pg-(battery/range_nm)*D121*O121*VLOOKUP(B121,country_opex,4,FALSE))/1000</f>
        <v/>
      </c>
      <c r="AG121" s="31" t="n"/>
      <c r="AH121" s="32" t="n"/>
      <c r="AI121" s="32" t="n"/>
      <c r="AJ121" s="39" t="n">
        <v>0.1</v>
      </c>
      <c r="AK121" s="34">
        <f>IF(AG121="","",AG121*AJ121)</f>
        <v/>
      </c>
      <c r="AL121" s="34">
        <f>IF(OR(AG121="",R121=0),"",MIN(IF(AT121="",9.9E+99,AT121),FLOOR(AK121/R121,1)))</f>
        <v/>
      </c>
      <c r="AM121" s="38">
        <f>IF(AL121="","",AL121*T121)</f>
        <v/>
      </c>
      <c r="AN121" s="36">
        <f>IF(OR(AG121="",R121=0),"",MIN(IF(AT121="",9.9E+99,AT121),AK121/R121))</f>
        <v/>
      </c>
      <c r="AO121" s="38">
        <f>IF(AN121="","",AN121*T121)</f>
        <v/>
      </c>
      <c r="AP121" s="40" t="n"/>
      <c r="AQ121" s="32" t="inlineStr">
        <is>
          <t>Estimated</t>
        </is>
      </c>
      <c r="AR121" s="41" t="n"/>
      <c r="AS121" s="41" t="n"/>
      <c r="AT121" s="42" t="n"/>
      <c r="AU121" s="43">
        <f>IF(((S121*pax_cap*load_thin*ROUND(K121*L121*revleg_thin,0))-(((battery/range_nm)*D121*ROUND(K121*L121*revleg_thin,0)*VLOOKUP(B121,country_opex,3,FALSE))+V121+W121+X121+Y121+Z121))&lt;=0,"",VLOOKUP(B121,country_opex,7,FALSE)/((S121*pax_cap*load_thin*ROUND(K121*L121*revleg_thin,0))-(((battery/range_nm)*D121*ROUND(K121*L121*revleg_thin,0)*VLOOKUP(B121,country_opex,3,FALSE))+V121+W121+X121+Y121+Z121)))</f>
        <v/>
      </c>
      <c r="AV121" s="43">
        <f>IF(((S121*pax_cap*load_mid*ROUND(K121*L121*revleg_mid,0))-(((battery/range_nm)*D121*ROUND(K121*L121*revleg_mid,0)*VLOOKUP(B121,country_opex,3,FALSE))+V121+W121+X121+Y121+Z121))&lt;=0,"",VLOOKUP(B121,country_opex,7,FALSE)/((S121*pax_cap*load_mid*ROUND(K121*L121*revleg_mid,0))-(((battery/range_nm)*D121*ROUND(K121*L121*revleg_mid,0)*VLOOKUP(B121,country_opex,3,FALSE))+V121+W121+X121+Y121+Z121)))</f>
        <v/>
      </c>
      <c r="AW121" s="43">
        <f>IF(((S121*pax_cap*load_full*ROUND(K121*L121*revleg_full,0))-(((battery/range_nm)*D121*ROUND(K121*L121*revleg_full,0)*VLOOKUP(B121,country_opex,3,FALSE))+V121+W121+X121+Y121+Z121))&lt;=0,"",VLOOKUP(B121,country_opex,7,FALSE)/((S121*pax_cap*load_full*ROUND(K121*L121*revleg_full,0))-(((battery/range_nm)*D121*ROUND(K121*L121*revleg_full,0)*VLOOKUP(B121,country_opex,3,FALSE))+V121+W121+X121+Y121+Z121)))</f>
        <v/>
      </c>
      <c r="AX121" s="44" t="inlineStr">
        <is>
          <t>Bodrum→Datça scheduled ferry one-way 700 TL (Jun 2025, Turkey's For Life / bodrumferibot) ÷ 46.4 = $15.1; return 1,250 TL = $26.9.</t>
        </is>
      </c>
      <c r="AY121" s="44" t="n"/>
    </row>
    <row r="122">
      <c r="A122" s="29" t="inlineStr">
        <is>
          <t>Yango</t>
        </is>
      </c>
      <c r="B122" s="29" t="inlineStr">
        <is>
          <t>Turkey</t>
        </is>
      </c>
      <c r="C122" s="30" t="inlineStr">
        <is>
          <t>Bodrum → Turgutreis</t>
        </is>
      </c>
      <c r="D122" s="31" t="n">
        <v>10</v>
      </c>
      <c r="E122" s="26" t="n">
        <v>35</v>
      </c>
      <c r="F122" s="32" t="inlineStr">
        <is>
          <t>T2</t>
        </is>
      </c>
      <c r="G122" s="32" t="inlineStr">
        <is>
          <t>med</t>
        </is>
      </c>
      <c r="H122" s="19" t="n">
        <v>1</v>
      </c>
      <c r="I122" s="33">
        <f>60*D122/cruise_kt</f>
        <v/>
      </c>
      <c r="J122" s="33">
        <f>I122+turn_min+dwell_min</f>
        <v/>
      </c>
      <c r="K122" s="34">
        <f>MIN(15,FLOOR(60*service_hr/J122,1))</f>
        <v/>
      </c>
      <c r="L122" s="34">
        <f>ROUND(365*mech_uptime*H122,0)</f>
        <v/>
      </c>
      <c r="M122" s="35">
        <f>mech_uptime</f>
        <v/>
      </c>
      <c r="N122" s="35">
        <f>revleg_sel</f>
        <v/>
      </c>
      <c r="O122" s="34">
        <f>ROUND(K122*L122*revleg_sel,0)</f>
        <v/>
      </c>
      <c r="P122" s="36">
        <f>load_sel</f>
        <v/>
      </c>
      <c r="Q122" s="36">
        <f>pax_cap*P122</f>
        <v/>
      </c>
      <c r="R122" s="34">
        <f>Q122*O122</f>
        <v/>
      </c>
      <c r="S122" s="37">
        <f>E122*discount</f>
        <v/>
      </c>
      <c r="T122" s="38">
        <f>S122*R122</f>
        <v/>
      </c>
      <c r="U122" s="38">
        <f>(battery/range_nm)*D122*O122*VLOOKUP(B122,country_opex,3,FALSE)</f>
        <v/>
      </c>
      <c r="V122" s="38">
        <f>VLOOKUP(B122,country_opex,2,FALSE)*crew_factor</f>
        <v/>
      </c>
      <c r="W122" s="38">
        <f>VLOOKUP(B122,country_opex,5,FALSE)</f>
        <v/>
      </c>
      <c r="X122" s="38">
        <f>maint</f>
        <v/>
      </c>
      <c r="Y122" s="38">
        <f>VLOOKUP(B122,country_opex,7,FALSE)*ins_pct</f>
        <v/>
      </c>
      <c r="Z122" s="38">
        <f>charge_berth</f>
        <v/>
      </c>
      <c r="AA122" s="38">
        <f>U122+V122+W122+X122+Y122+Z122</f>
        <v/>
      </c>
      <c r="AB122" s="38">
        <f>VLOOKUP(B122,country_opex,7,FALSE)/dep_years</f>
        <v/>
      </c>
      <c r="AC122" s="38">
        <f>T122-AA122</f>
        <v/>
      </c>
      <c r="AD122" s="35">
        <f>IF(T122=0,"",AC122/T122)</f>
        <v/>
      </c>
      <c r="AE122" s="36">
        <f>IF(AC122&lt;=0,"",VLOOKUP(B122,country_opex,7,FALSE)/AC122)</f>
        <v/>
      </c>
      <c r="AF122" s="33">
        <f>((D122*O122/diesel_nmpg)*diesel_co2pg-(battery/range_nm)*D122*O122*VLOOKUP(B122,country_opex,4,FALSE))/1000</f>
        <v/>
      </c>
      <c r="AG122" s="31" t="n"/>
      <c r="AH122" s="32" t="n"/>
      <c r="AI122" s="32" t="n"/>
      <c r="AJ122" s="39" t="n">
        <v>0.1</v>
      </c>
      <c r="AK122" s="34">
        <f>IF(AG122="","",AG122*AJ122)</f>
        <v/>
      </c>
      <c r="AL122" s="34">
        <f>IF(OR(AG122="",R122=0),"",MIN(IF(AT122="",9.9E+99,AT122),FLOOR(AK122/R122,1)))</f>
        <v/>
      </c>
      <c r="AM122" s="38">
        <f>IF(AL122="","",AL122*T122)</f>
        <v/>
      </c>
      <c r="AN122" s="36">
        <f>IF(OR(AG122="",R122=0),"",MIN(IF(AT122="",9.9E+99,AT122),AK122/R122))</f>
        <v/>
      </c>
      <c r="AO122" s="38">
        <f>IF(AN122="","",AN122*T122)</f>
        <v/>
      </c>
      <c r="AP122" s="40" t="n"/>
      <c r="AQ122" s="32" t="inlineStr">
        <is>
          <t>Estimated</t>
        </is>
      </c>
      <c r="AR122" s="41" t="n"/>
      <c r="AS122" s="41" t="n"/>
      <c r="AT122" s="42" t="n"/>
      <c r="AU122" s="43">
        <f>IF(((S122*pax_cap*load_thin*ROUND(K122*L122*revleg_thin,0))-(((battery/range_nm)*D122*ROUND(K122*L122*revleg_thin,0)*VLOOKUP(B122,country_opex,3,FALSE))+V122+W122+X122+Y122+Z122))&lt;=0,"",VLOOKUP(B122,country_opex,7,FALSE)/((S122*pax_cap*load_thin*ROUND(K122*L122*revleg_thin,0))-(((battery/range_nm)*D122*ROUND(K122*L122*revleg_thin,0)*VLOOKUP(B122,country_opex,3,FALSE))+V122+W122+X122+Y122+Z122)))</f>
        <v/>
      </c>
      <c r="AV122" s="43">
        <f>IF(((S122*pax_cap*load_mid*ROUND(K122*L122*revleg_mid,0))-(((battery/range_nm)*D122*ROUND(K122*L122*revleg_mid,0)*VLOOKUP(B122,country_opex,3,FALSE))+V122+W122+X122+Y122+Z122))&lt;=0,"",VLOOKUP(B122,country_opex,7,FALSE)/((S122*pax_cap*load_mid*ROUND(K122*L122*revleg_mid,0))-(((battery/range_nm)*D122*ROUND(K122*L122*revleg_mid,0)*VLOOKUP(B122,country_opex,3,FALSE))+V122+W122+X122+Y122+Z122)))</f>
        <v/>
      </c>
      <c r="AW122" s="43">
        <f>IF(((S122*pax_cap*load_full*ROUND(K122*L122*revleg_full,0))-(((battery/range_nm)*D122*ROUND(K122*L122*revleg_full,0)*VLOOKUP(B122,country_opex,3,FALSE))+V122+W122+X122+Y122+Z122))&lt;=0,"",VLOOKUP(B122,country_opex,7,FALSE)/((S122*pax_cap*load_full*ROUND(K122*L122*revleg_full,0))-(((battery/range_nm)*D122*ROUND(K122*L122*revleg_full,0)*VLOOKUP(B122,country_opex,3,FALSE))+V122+W122+X122+Y122+Z122)))</f>
        <v/>
      </c>
      <c r="AX122" s="44" t="inlineStr">
        <is>
          <t>Bodrum-peninsula day/sunset cruise comparable ~$35/adult (Tripadvisor/Viator Bodrum &amp; Turgutreis tours).</t>
        </is>
      </c>
      <c r="AY122" s="44" t="n"/>
    </row>
    <row r="123">
      <c r="A123" s="29" t="inlineStr">
        <is>
          <t>Yango</t>
        </is>
      </c>
      <c r="B123" s="29" t="inlineStr">
        <is>
          <t>Turkey</t>
        </is>
      </c>
      <c r="C123" s="30" t="inlineStr">
        <is>
          <t>Kabataş → Büyükada (Princes' Islands)</t>
        </is>
      </c>
      <c r="D123" s="31" t="n">
        <v>11</v>
      </c>
      <c r="E123" s="26" t="n">
        <v>18.86</v>
      </c>
      <c r="F123" s="32" t="inlineStr">
        <is>
          <t>T2</t>
        </is>
      </c>
      <c r="G123" s="32" t="inlineStr">
        <is>
          <t>med</t>
        </is>
      </c>
      <c r="H123" s="19" t="n">
        <v>1</v>
      </c>
      <c r="I123" s="33">
        <f>60*D123/cruise_kt</f>
        <v/>
      </c>
      <c r="J123" s="33">
        <f>I123+turn_min+dwell_min</f>
        <v/>
      </c>
      <c r="K123" s="34">
        <f>MIN(15,FLOOR(60*service_hr/J123,1))</f>
        <v/>
      </c>
      <c r="L123" s="34">
        <f>ROUND(365*mech_uptime*H123,0)</f>
        <v/>
      </c>
      <c r="M123" s="35">
        <f>mech_uptime</f>
        <v/>
      </c>
      <c r="N123" s="35">
        <f>revleg_sel</f>
        <v/>
      </c>
      <c r="O123" s="34">
        <f>ROUND(K123*L123*revleg_sel,0)</f>
        <v/>
      </c>
      <c r="P123" s="36">
        <f>load_sel</f>
        <v/>
      </c>
      <c r="Q123" s="36">
        <f>pax_cap*P123</f>
        <v/>
      </c>
      <c r="R123" s="34">
        <f>Q123*O123</f>
        <v/>
      </c>
      <c r="S123" s="37">
        <f>E123*discount</f>
        <v/>
      </c>
      <c r="T123" s="38">
        <f>S123*R123</f>
        <v/>
      </c>
      <c r="U123" s="38">
        <f>(battery/range_nm)*D123*O123*VLOOKUP(B123,country_opex,3,FALSE)</f>
        <v/>
      </c>
      <c r="V123" s="38">
        <f>VLOOKUP(B123,country_opex,2,FALSE)*crew_factor</f>
        <v/>
      </c>
      <c r="W123" s="38">
        <f>VLOOKUP(B123,country_opex,5,FALSE)</f>
        <v/>
      </c>
      <c r="X123" s="38">
        <f>maint</f>
        <v/>
      </c>
      <c r="Y123" s="38">
        <f>VLOOKUP(B123,country_opex,7,FALSE)*ins_pct</f>
        <v/>
      </c>
      <c r="Z123" s="38">
        <f>charge_berth</f>
        <v/>
      </c>
      <c r="AA123" s="38">
        <f>U123+V123+W123+X123+Y123+Z123</f>
        <v/>
      </c>
      <c r="AB123" s="38">
        <f>VLOOKUP(B123,country_opex,7,FALSE)/dep_years</f>
        <v/>
      </c>
      <c r="AC123" s="38">
        <f>T123-AA123</f>
        <v/>
      </c>
      <c r="AD123" s="35">
        <f>IF(T123=0,"",AC123/T123)</f>
        <v/>
      </c>
      <c r="AE123" s="36">
        <f>IF(AC123&lt;=0,"",VLOOKUP(B123,country_opex,7,FALSE)/AC123)</f>
        <v/>
      </c>
      <c r="AF123" s="33">
        <f>((D123*O123/diesel_nmpg)*diesel_co2pg-(battery/range_nm)*D123*O123*VLOOKUP(B123,country_opex,4,FALSE))/1000</f>
        <v/>
      </c>
      <c r="AG123" s="31" t="n">
        <v>2000000</v>
      </c>
      <c r="AH123" s="32" t="n"/>
      <c r="AI123" s="32" t="n"/>
      <c r="AJ123" s="39" t="n">
        <v>0.1</v>
      </c>
      <c r="AK123" s="34">
        <f>IF(AG123="","",AG123*AJ123)</f>
        <v/>
      </c>
      <c r="AL123" s="34">
        <f>IF(OR(AG123="",R123=0),"",MIN(IF(AT123="",9.9E+99,AT123),FLOOR(AK123/R123,1)))</f>
        <v/>
      </c>
      <c r="AM123" s="38">
        <f>IF(AL123="","",AL123*T123)</f>
        <v/>
      </c>
      <c r="AN123" s="36">
        <f>IF(OR(AG123="",R123=0),"",MIN(IF(AT123="",9.9E+99,AT123),AK123/R123))</f>
        <v/>
      </c>
      <c r="AO123" s="38">
        <f>IF(AN123="","",AN123*T123)</f>
        <v/>
      </c>
      <c r="AP123" s="40" t="n"/>
      <c r="AQ123" s="32" t="inlineStr">
        <is>
          <t>Grounded</t>
        </is>
      </c>
      <c r="AR123" s="41" t="n"/>
      <c r="AS123" s="41" t="n"/>
      <c r="AT123" s="42" t="n"/>
      <c r="AU123" s="43">
        <f>IF(((S123*pax_cap*load_thin*ROUND(K123*L123*revleg_thin,0))-(((battery/range_nm)*D123*ROUND(K123*L123*revleg_thin,0)*VLOOKUP(B123,country_opex,3,FALSE))+V123+W123+X123+Y123+Z123))&lt;=0,"",VLOOKUP(B123,country_opex,7,FALSE)/((S123*pax_cap*load_thin*ROUND(K123*L123*revleg_thin,0))-(((battery/range_nm)*D123*ROUND(K123*L123*revleg_thin,0)*VLOOKUP(B123,country_opex,3,FALSE))+V123+W123+X123+Y123+Z123)))</f>
        <v/>
      </c>
      <c r="AV123" s="43">
        <f>IF(((S123*pax_cap*load_mid*ROUND(K123*L123*revleg_mid,0))-(((battery/range_nm)*D123*ROUND(K123*L123*revleg_mid,0)*VLOOKUP(B123,country_opex,3,FALSE))+V123+W123+X123+Y123+Z123))&lt;=0,"",VLOOKUP(B123,country_opex,7,FALSE)/((S123*pax_cap*load_mid*ROUND(K123*L123*revleg_mid,0))-(((battery/range_nm)*D123*ROUND(K123*L123*revleg_mid,0)*VLOOKUP(B123,country_opex,3,FALSE))+V123+W123+X123+Y123+Z123)))</f>
        <v/>
      </c>
      <c r="AW123" s="43">
        <f>IF(((S123*pax_cap*load_full*ROUND(K123*L123*revleg_full,0))-(((battery/range_nm)*D123*ROUND(K123*L123*revleg_full,0)*VLOOKUP(B123,country_opex,3,FALSE))+V123+W123+X123+Y123+Z123))&lt;=0,"",VLOOKUP(B123,country_opex,7,FALSE)/((S123*pax_cap*load_full*ROUND(K123*L123*revleg_full,0))-(((battery/range_nm)*D123*ROUND(K123*L123*revleg_full,0)*VLOOKUP(B123,country_opex,3,FALSE))+V123+W123+X123+Y123+Z123)))</f>
        <v/>
      </c>
      <c r="AX123" s="44" t="inlineStr">
        <is>
          <t>IMM Sea Taxi shared per-seat on 11 nm = (500+11×750)/10 = 875 TL ÷ 46.4 = $18.86 (whole-boat 8750 TL = $188.6). Scheduled premium = İDO/Şehir Hatları fast-ferry Adalar tier.</t>
        </is>
      </c>
      <c r="AY123" s="44" t="n"/>
    </row>
    <row r="124">
      <c r="A124" s="29" t="inlineStr">
        <is>
          <t>Yango</t>
        </is>
      </c>
      <c r="B124" s="29" t="inlineStr">
        <is>
          <t>Turkey</t>
        </is>
      </c>
      <c r="C124" s="30" t="inlineStr">
        <is>
          <t>Bodrum → Kos (Greece)</t>
        </is>
      </c>
      <c r="D124" s="31" t="n">
        <v>12</v>
      </c>
      <c r="E124" s="26" t="n">
        <v>35</v>
      </c>
      <c r="F124" s="32" t="inlineStr">
        <is>
          <t>T2</t>
        </is>
      </c>
      <c r="G124" s="32" t="inlineStr">
        <is>
          <t>med</t>
        </is>
      </c>
      <c r="H124" s="19" t="n">
        <v>1</v>
      </c>
      <c r="I124" s="33">
        <f>60*D124/cruise_kt</f>
        <v/>
      </c>
      <c r="J124" s="33">
        <f>I124+turn_min+dwell_min</f>
        <v/>
      </c>
      <c r="K124" s="34">
        <f>MIN(15,FLOOR(60*service_hr/J124,1))</f>
        <v/>
      </c>
      <c r="L124" s="34">
        <f>ROUND(365*mech_uptime*H124,0)</f>
        <v/>
      </c>
      <c r="M124" s="35">
        <f>mech_uptime</f>
        <v/>
      </c>
      <c r="N124" s="35">
        <f>revleg_sel</f>
        <v/>
      </c>
      <c r="O124" s="34">
        <f>ROUND(K124*L124*revleg_sel,0)</f>
        <v/>
      </c>
      <c r="P124" s="36">
        <f>load_sel</f>
        <v/>
      </c>
      <c r="Q124" s="36">
        <f>pax_cap*P124</f>
        <v/>
      </c>
      <c r="R124" s="34">
        <f>Q124*O124</f>
        <v/>
      </c>
      <c r="S124" s="37">
        <f>E124*discount</f>
        <v/>
      </c>
      <c r="T124" s="38">
        <f>S124*R124</f>
        <v/>
      </c>
      <c r="U124" s="38">
        <f>(battery/range_nm)*D124*O124*VLOOKUP(B124,country_opex,3,FALSE)</f>
        <v/>
      </c>
      <c r="V124" s="38">
        <f>VLOOKUP(B124,country_opex,2,FALSE)*crew_factor</f>
        <v/>
      </c>
      <c r="W124" s="38">
        <f>VLOOKUP(B124,country_opex,5,FALSE)</f>
        <v/>
      </c>
      <c r="X124" s="38">
        <f>maint</f>
        <v/>
      </c>
      <c r="Y124" s="38">
        <f>VLOOKUP(B124,country_opex,7,FALSE)*ins_pct</f>
        <v/>
      </c>
      <c r="Z124" s="38">
        <f>charge_berth</f>
        <v/>
      </c>
      <c r="AA124" s="38">
        <f>U124+V124+W124+X124+Y124+Z124</f>
        <v/>
      </c>
      <c r="AB124" s="38">
        <f>VLOOKUP(B124,country_opex,7,FALSE)/dep_years</f>
        <v/>
      </c>
      <c r="AC124" s="38">
        <f>T124-AA124</f>
        <v/>
      </c>
      <c r="AD124" s="35">
        <f>IF(T124=0,"",AC124/T124)</f>
        <v/>
      </c>
      <c r="AE124" s="36">
        <f>IF(AC124&lt;=0,"",VLOOKUP(B124,country_opex,7,FALSE)/AC124)</f>
        <v/>
      </c>
      <c r="AF124" s="33">
        <f>((D124*O124/diesel_nmpg)*diesel_co2pg-(battery/range_nm)*D124*O124*VLOOKUP(B124,country_opex,4,FALSE))/1000</f>
        <v/>
      </c>
      <c r="AG124" s="31" t="n">
        <v>138149</v>
      </c>
      <c r="AH124" s="32" t="n"/>
      <c r="AI124" s="32" t="n"/>
      <c r="AJ124" s="39" t="n">
        <v>0.1</v>
      </c>
      <c r="AK124" s="34">
        <f>IF(AG124="","",AG124*AJ124)</f>
        <v/>
      </c>
      <c r="AL124" s="34">
        <f>IF(OR(AG124="",R124=0),"",MIN(IF(AT124="",9.9E+99,AT124),FLOOR(AK124/R124,1)))</f>
        <v/>
      </c>
      <c r="AM124" s="38">
        <f>IF(AL124="","",AL124*T124)</f>
        <v/>
      </c>
      <c r="AN124" s="36">
        <f>IF(OR(AG124="",R124=0),"",MIN(IF(AT124="",9.9E+99,AT124),AK124/R124))</f>
        <v/>
      </c>
      <c r="AO124" s="38">
        <f>IF(AN124="","",AN124*T124)</f>
        <v/>
      </c>
      <c r="AP124" s="40" t="n"/>
      <c r="AQ124" s="32" t="inlineStr">
        <is>
          <t>Grounded</t>
        </is>
      </c>
      <c r="AR124" s="41" t="n"/>
      <c r="AS124" s="41" t="n"/>
      <c r="AT124" s="42" t="n"/>
      <c r="AU124" s="43">
        <f>IF(((S124*pax_cap*load_thin*ROUND(K124*L124*revleg_thin,0))-(((battery/range_nm)*D124*ROUND(K124*L124*revleg_thin,0)*VLOOKUP(B124,country_opex,3,FALSE))+V124+W124+X124+Y124+Z124))&lt;=0,"",VLOOKUP(B124,country_opex,7,FALSE)/((S124*pax_cap*load_thin*ROUND(K124*L124*revleg_thin,0))-(((battery/range_nm)*D124*ROUND(K124*L124*revleg_thin,0)*VLOOKUP(B124,country_opex,3,FALSE))+V124+W124+X124+Y124+Z124)))</f>
        <v/>
      </c>
      <c r="AV124" s="43">
        <f>IF(((S124*pax_cap*load_mid*ROUND(K124*L124*revleg_mid,0))-(((battery/range_nm)*D124*ROUND(K124*L124*revleg_mid,0)*VLOOKUP(B124,country_opex,3,FALSE))+V124+W124+X124+Y124+Z124))&lt;=0,"",VLOOKUP(B124,country_opex,7,FALSE)/((S124*pax_cap*load_mid*ROUND(K124*L124*revleg_mid,0))-(((battery/range_nm)*D124*ROUND(K124*L124*revleg_mid,0)*VLOOKUP(B124,country_opex,3,FALSE))+V124+W124+X124+Y124+Z124)))</f>
        <v/>
      </c>
      <c r="AW124" s="43">
        <f>IF(((S124*pax_cap*load_full*ROUND(K124*L124*revleg_full,0))-(((battery/range_nm)*D124*ROUND(K124*L124*revleg_full,0)*VLOOKUP(B124,country_opex,3,FALSE))+V124+W124+X124+Y124+Z124))&lt;=0,"",VLOOKUP(B124,country_opex,7,FALSE)/((S124*pax_cap*load_full*ROUND(K124*L124*revleg_full,0))-(((battery/range_nm)*D124*ROUND(K124*L124*revleg_full,0)*VLOOKUP(B124,country_opex,3,FALSE))+V124+W124+X124+Y124+Z124)))</f>
        <v/>
      </c>
      <c r="AX124" s="44" t="inlineStr">
        <is>
          <t>Scheduled fast catamaran Bodrum→Kos adult one-way €25-40 (Bodrum Express Lines / ferrybodrum); midpoint €32 × 1.08 = $34.6 ≈ $35.</t>
        </is>
      </c>
      <c r="AY124" s="44" t="n"/>
    </row>
    <row r="125">
      <c r="A125" s="29" t="inlineStr">
        <is>
          <t>Yango</t>
        </is>
      </c>
      <c r="B125" s="29" t="inlineStr">
        <is>
          <t>Turkey</t>
        </is>
      </c>
      <c r="C125" s="30" t="inlineStr">
        <is>
          <t>Kuşadası → Samos (Greece)</t>
        </is>
      </c>
      <c r="D125" s="31" t="n">
        <v>12</v>
      </c>
      <c r="E125" s="26" t="n"/>
      <c r="F125" s="32" t="n"/>
      <c r="G125" s="32" t="n"/>
      <c r="H125" s="19" t="n">
        <v>1</v>
      </c>
      <c r="I125" s="33">
        <f>60*D125/cruise_kt</f>
        <v/>
      </c>
      <c r="J125" s="33">
        <f>I125+turn_min+dwell_min</f>
        <v/>
      </c>
      <c r="K125" s="34">
        <f>MIN(15,FLOOR(60*service_hr/J125,1))</f>
        <v/>
      </c>
      <c r="L125" s="34">
        <f>ROUND(365*mech_uptime*H125,0)</f>
        <v/>
      </c>
      <c r="M125" s="35">
        <f>mech_uptime</f>
        <v/>
      </c>
      <c r="N125" s="35">
        <f>revleg_sel</f>
        <v/>
      </c>
      <c r="O125" s="34">
        <f>ROUND(K125*L125*revleg_sel,0)</f>
        <v/>
      </c>
      <c r="P125" s="36">
        <f>load_sel</f>
        <v/>
      </c>
      <c r="Q125" s="36">
        <f>pax_cap*P125</f>
        <v/>
      </c>
      <c r="R125" s="34">
        <f>Q125*O125</f>
        <v/>
      </c>
      <c r="S125" s="37">
        <f>E125*discount</f>
        <v/>
      </c>
      <c r="T125" s="38">
        <f>S125*R125</f>
        <v/>
      </c>
      <c r="U125" s="38">
        <f>(battery/range_nm)*D125*O125*VLOOKUP(B125,country_opex,3,FALSE)</f>
        <v/>
      </c>
      <c r="V125" s="38">
        <f>VLOOKUP(B125,country_opex,2,FALSE)*crew_factor</f>
        <v/>
      </c>
      <c r="W125" s="38">
        <f>VLOOKUP(B125,country_opex,5,FALSE)</f>
        <v/>
      </c>
      <c r="X125" s="38">
        <f>maint</f>
        <v/>
      </c>
      <c r="Y125" s="38">
        <f>VLOOKUP(B125,country_opex,7,FALSE)*ins_pct</f>
        <v/>
      </c>
      <c r="Z125" s="38">
        <f>charge_berth</f>
        <v/>
      </c>
      <c r="AA125" s="38">
        <f>U125+V125+W125+X125+Y125+Z125</f>
        <v/>
      </c>
      <c r="AB125" s="38">
        <f>VLOOKUP(B125,country_opex,7,FALSE)/dep_years</f>
        <v/>
      </c>
      <c r="AC125" s="38">
        <f>T125-AA125</f>
        <v/>
      </c>
      <c r="AD125" s="35">
        <f>IF(T125=0,"",AC125/T125)</f>
        <v/>
      </c>
      <c r="AE125" s="36">
        <f>IF(AC125&lt;=0,"",VLOOKUP(B125,country_opex,7,FALSE)/AC125)</f>
        <v/>
      </c>
      <c r="AF125" s="33">
        <f>((D125*O125/diesel_nmpg)*diesel_co2pg-(battery/range_nm)*D125*O125*VLOOKUP(B125,country_opex,4,FALSE))/1000</f>
        <v/>
      </c>
      <c r="AG125" s="31" t="n"/>
      <c r="AH125" s="32" t="n"/>
      <c r="AI125" s="32" t="n"/>
      <c r="AJ125" s="39" t="n">
        <v>0.1</v>
      </c>
      <c r="AK125" s="34">
        <f>IF(AG125="","",AG125*AJ125)</f>
        <v/>
      </c>
      <c r="AL125" s="34">
        <f>IF(OR(AG125="",R125=0),"",MIN(IF(AT125="",9.9E+99,AT125),FLOOR(AK125/R125,1)))</f>
        <v/>
      </c>
      <c r="AM125" s="38">
        <f>IF(AL125="","",AL125*T125)</f>
        <v/>
      </c>
      <c r="AN125" s="36">
        <f>IF(OR(AG125="",R125=0),"",MIN(IF(AT125="",9.9E+99,AT125),AK125/R125))</f>
        <v/>
      </c>
      <c r="AO125" s="38">
        <f>IF(AN125="","",AN125*T125)</f>
        <v/>
      </c>
      <c r="AP125" s="40" t="n"/>
      <c r="AQ125" s="32" t="inlineStr">
        <is>
          <t>Estimated</t>
        </is>
      </c>
      <c r="AR125" s="41" t="n"/>
      <c r="AS125" s="41" t="n"/>
      <c r="AT125" s="42" t="n"/>
      <c r="AU125" s="43">
        <f>IF(((S125*pax_cap*load_thin*ROUND(K125*L125*revleg_thin,0))-(((battery/range_nm)*D125*ROUND(K125*L125*revleg_thin,0)*VLOOKUP(B125,country_opex,3,FALSE))+V125+W125+X125+Y125+Z125))&lt;=0,"",VLOOKUP(B125,country_opex,7,FALSE)/((S125*pax_cap*load_thin*ROUND(K125*L125*revleg_thin,0))-(((battery/range_nm)*D125*ROUND(K125*L125*revleg_thin,0)*VLOOKUP(B125,country_opex,3,FALSE))+V125+W125+X125+Y125+Z125)))</f>
        <v/>
      </c>
      <c r="AV125" s="43">
        <f>IF(((S125*pax_cap*load_mid*ROUND(K125*L125*revleg_mid,0))-(((battery/range_nm)*D125*ROUND(K125*L125*revleg_mid,0)*VLOOKUP(B125,country_opex,3,FALSE))+V125+W125+X125+Y125+Z125))&lt;=0,"",VLOOKUP(B125,country_opex,7,FALSE)/((S125*pax_cap*load_mid*ROUND(K125*L125*revleg_mid,0))-(((battery/range_nm)*D125*ROUND(K125*L125*revleg_mid,0)*VLOOKUP(B125,country_opex,3,FALSE))+V125+W125+X125+Y125+Z125)))</f>
        <v/>
      </c>
      <c r="AW125" s="43">
        <f>IF(((S125*pax_cap*load_full*ROUND(K125*L125*revleg_full,0))-(((battery/range_nm)*D125*ROUND(K125*L125*revleg_full,0)*VLOOKUP(B125,country_opex,3,FALSE))+V125+W125+X125+Y125+Z125))&lt;=0,"",VLOOKUP(B125,country_opex,7,FALSE)/((S125*pax_cap*load_full*ROUND(K125*L125*revleg_full,0))-(((battery/range_nm)*D125*ROUND(K125*L125*revleg_full,0)*VLOOKUP(B125,country_opex,3,FALSE))+V125+W125+X125+Y125+Z125)))</f>
        <v/>
      </c>
      <c r="AX125" s="44" t="n"/>
      <c r="AY125" s="44" t="n"/>
    </row>
    <row r="126">
      <c r="A126" s="29" t="inlineStr">
        <is>
          <t>Yango</t>
        </is>
      </c>
      <c r="B126" s="29" t="inlineStr">
        <is>
          <t>Turkey</t>
        </is>
      </c>
      <c r="C126" s="30" t="inlineStr">
        <is>
          <t>Sabiha Gökçen Airport (Pendik) → Kabataş / Beşiktaş (city)</t>
        </is>
      </c>
      <c r="D126" s="31" t="n">
        <v>15</v>
      </c>
      <c r="E126" s="26" t="n">
        <v>25.3</v>
      </c>
      <c r="F126" s="32" t="inlineStr">
        <is>
          <t>T2</t>
        </is>
      </c>
      <c r="G126" s="32" t="inlineStr">
        <is>
          <t>med</t>
        </is>
      </c>
      <c r="H126" s="19" t="n">
        <v>1</v>
      </c>
      <c r="I126" s="33">
        <f>60*D126/cruise_kt</f>
        <v/>
      </c>
      <c r="J126" s="33">
        <f>I126+turn_min+dwell_min</f>
        <v/>
      </c>
      <c r="K126" s="34">
        <f>MIN(15,FLOOR(60*service_hr/J126,1))</f>
        <v/>
      </c>
      <c r="L126" s="34">
        <f>ROUND(365*mech_uptime*H126,0)</f>
        <v/>
      </c>
      <c r="M126" s="35">
        <f>mech_uptime</f>
        <v/>
      </c>
      <c r="N126" s="35">
        <f>revleg_sel</f>
        <v/>
      </c>
      <c r="O126" s="34">
        <f>ROUND(K126*L126*revleg_sel,0)</f>
        <v/>
      </c>
      <c r="P126" s="36">
        <f>load_sel</f>
        <v/>
      </c>
      <c r="Q126" s="36">
        <f>pax_cap*P126</f>
        <v/>
      </c>
      <c r="R126" s="34">
        <f>Q126*O126</f>
        <v/>
      </c>
      <c r="S126" s="37">
        <f>E126*discount</f>
        <v/>
      </c>
      <c r="T126" s="38">
        <f>S126*R126</f>
        <v/>
      </c>
      <c r="U126" s="38">
        <f>(battery/range_nm)*D126*O126*VLOOKUP(B126,country_opex,3,FALSE)</f>
        <v/>
      </c>
      <c r="V126" s="38">
        <f>VLOOKUP(B126,country_opex,2,FALSE)*crew_factor</f>
        <v/>
      </c>
      <c r="W126" s="38">
        <f>VLOOKUP(B126,country_opex,5,FALSE)</f>
        <v/>
      </c>
      <c r="X126" s="38">
        <f>maint</f>
        <v/>
      </c>
      <c r="Y126" s="38">
        <f>VLOOKUP(B126,country_opex,7,FALSE)*ins_pct</f>
        <v/>
      </c>
      <c r="Z126" s="38">
        <f>charge_berth</f>
        <v/>
      </c>
      <c r="AA126" s="38">
        <f>U126+V126+W126+X126+Y126+Z126</f>
        <v/>
      </c>
      <c r="AB126" s="38">
        <f>VLOOKUP(B126,country_opex,7,FALSE)/dep_years</f>
        <v/>
      </c>
      <c r="AC126" s="38">
        <f>T126-AA126</f>
        <v/>
      </c>
      <c r="AD126" s="35">
        <f>IF(T126=0,"",AC126/T126)</f>
        <v/>
      </c>
      <c r="AE126" s="36">
        <f>IF(AC126&lt;=0,"",VLOOKUP(B126,country_opex,7,FALSE)/AC126)</f>
        <v/>
      </c>
      <c r="AF126" s="33">
        <f>((D126*O126/diesel_nmpg)*diesel_co2pg-(battery/range_nm)*D126*O126*VLOOKUP(B126,country_opex,4,FALSE))/1000</f>
        <v/>
      </c>
      <c r="AG126" s="31" t="n"/>
      <c r="AH126" s="32" t="n"/>
      <c r="AI126" s="32" t="n"/>
      <c r="AJ126" s="39" t="n">
        <v>0.1</v>
      </c>
      <c r="AK126" s="34">
        <f>IF(AG126="","",AG126*AJ126)</f>
        <v/>
      </c>
      <c r="AL126" s="34">
        <f>IF(OR(AG126="",R126=0),"",MIN(IF(AT126="",9.9E+99,AT126),FLOOR(AK126/R126,1)))</f>
        <v/>
      </c>
      <c r="AM126" s="38">
        <f>IF(AL126="","",AL126*T126)</f>
        <v/>
      </c>
      <c r="AN126" s="36">
        <f>IF(OR(AG126="",R126=0),"",MIN(IF(AT126="",9.9E+99,AT126),AK126/R126))</f>
        <v/>
      </c>
      <c r="AO126" s="38">
        <f>IF(AN126="","",AN126*T126)</f>
        <v/>
      </c>
      <c r="AP126" s="40" t="n"/>
      <c r="AQ126" s="32" t="inlineStr">
        <is>
          <t>Estimated</t>
        </is>
      </c>
      <c r="AR126" s="41" t="n"/>
      <c r="AS126" s="41" t="n"/>
      <c r="AT126" s="42" t="n"/>
      <c r="AU126" s="43">
        <f>IF(((S126*pax_cap*load_thin*ROUND(K126*L126*revleg_thin,0))-(((battery/range_nm)*D126*ROUND(K126*L126*revleg_thin,0)*VLOOKUP(B126,country_opex,3,FALSE))+V126+W126+X126+Y126+Z126))&lt;=0,"",VLOOKUP(B126,country_opex,7,FALSE)/((S126*pax_cap*load_thin*ROUND(K126*L126*revleg_thin,0))-(((battery/range_nm)*D126*ROUND(K126*L126*revleg_thin,0)*VLOOKUP(B126,country_opex,3,FALSE))+V126+W126+X126+Y126+Z126)))</f>
        <v/>
      </c>
      <c r="AV126" s="43">
        <f>IF(((S126*pax_cap*load_mid*ROUND(K126*L126*revleg_mid,0))-(((battery/range_nm)*D126*ROUND(K126*L126*revleg_mid,0)*VLOOKUP(B126,country_opex,3,FALSE))+V126+W126+X126+Y126+Z126))&lt;=0,"",VLOOKUP(B126,country_opex,7,FALSE)/((S126*pax_cap*load_mid*ROUND(K126*L126*revleg_mid,0))-(((battery/range_nm)*D126*ROUND(K126*L126*revleg_mid,0)*VLOOKUP(B126,country_opex,3,FALSE))+V126+W126+X126+Y126+Z126)))</f>
        <v/>
      </c>
      <c r="AW126" s="43">
        <f>IF(((S126*pax_cap*load_full*ROUND(K126*L126*revleg_full,0))-(((battery/range_nm)*D126*ROUND(K126*L126*revleg_full,0)*VLOOKUP(B126,country_opex,3,FALSE))+V126+W126+X126+Y126+Z126))&lt;=0,"",VLOOKUP(B126,country_opex,7,FALSE)/((S126*pax_cap*load_full*ROUND(K126*L126*revleg_full,0))-(((battery/range_nm)*D126*ROUND(K126*L126*revleg_full,0)*VLOOKUP(B126,country_opex,3,FALSE))+V126+W126+X126+Y126+Z126)))</f>
        <v/>
      </c>
      <c r="AX126" s="44" t="inlineStr">
        <is>
          <t>IMM Sea Taxi shared per-seat on 15 nm = (500+15×750)/10 = 1175 TL ÷ 46.4 = $25.3 (whole-boat charter 11,750 TL = $253).</t>
        </is>
      </c>
      <c r="AY126" s="44" t="n"/>
    </row>
    <row r="127">
      <c r="A127" s="29" t="inlineStr">
        <is>
          <t>Yango</t>
        </is>
      </c>
      <c r="B127" s="29" t="inlineStr">
        <is>
          <t>Turkey</t>
        </is>
      </c>
      <c r="C127" s="30" t="inlineStr">
        <is>
          <t>Marmaris → Datça</t>
        </is>
      </c>
      <c r="D127" s="31" t="n">
        <v>18</v>
      </c>
      <c r="E127" s="26" t="n">
        <v>40</v>
      </c>
      <c r="F127" s="32" t="inlineStr">
        <is>
          <t>T2</t>
        </is>
      </c>
      <c r="G127" s="32" t="inlineStr">
        <is>
          <t>med</t>
        </is>
      </c>
      <c r="H127" s="19" t="n">
        <v>1</v>
      </c>
      <c r="I127" s="33">
        <f>60*D127/cruise_kt</f>
        <v/>
      </c>
      <c r="J127" s="33">
        <f>I127+turn_min+dwell_min</f>
        <v/>
      </c>
      <c r="K127" s="34">
        <f>MIN(15,FLOOR(60*service_hr/J127,1))</f>
        <v/>
      </c>
      <c r="L127" s="34">
        <f>ROUND(365*mech_uptime*H127,0)</f>
        <v/>
      </c>
      <c r="M127" s="35">
        <f>mech_uptime</f>
        <v/>
      </c>
      <c r="N127" s="35">
        <f>revleg_sel</f>
        <v/>
      </c>
      <c r="O127" s="34">
        <f>ROUND(K127*L127*revleg_sel,0)</f>
        <v/>
      </c>
      <c r="P127" s="36">
        <f>load_sel</f>
        <v/>
      </c>
      <c r="Q127" s="36">
        <f>pax_cap*P127</f>
        <v/>
      </c>
      <c r="R127" s="34">
        <f>Q127*O127</f>
        <v/>
      </c>
      <c r="S127" s="37">
        <f>E127*discount</f>
        <v/>
      </c>
      <c r="T127" s="38">
        <f>S127*R127</f>
        <v/>
      </c>
      <c r="U127" s="38">
        <f>(battery/range_nm)*D127*O127*VLOOKUP(B127,country_opex,3,FALSE)</f>
        <v/>
      </c>
      <c r="V127" s="38">
        <f>VLOOKUP(B127,country_opex,2,FALSE)*crew_factor</f>
        <v/>
      </c>
      <c r="W127" s="38">
        <f>VLOOKUP(B127,country_opex,5,FALSE)</f>
        <v/>
      </c>
      <c r="X127" s="38">
        <f>maint</f>
        <v/>
      </c>
      <c r="Y127" s="38">
        <f>VLOOKUP(B127,country_opex,7,FALSE)*ins_pct</f>
        <v/>
      </c>
      <c r="Z127" s="38">
        <f>charge_berth</f>
        <v/>
      </c>
      <c r="AA127" s="38">
        <f>U127+V127+W127+X127+Y127+Z127</f>
        <v/>
      </c>
      <c r="AB127" s="38">
        <f>VLOOKUP(B127,country_opex,7,FALSE)/dep_years</f>
        <v/>
      </c>
      <c r="AC127" s="38">
        <f>T127-AA127</f>
        <v/>
      </c>
      <c r="AD127" s="35">
        <f>IF(T127=0,"",AC127/T127)</f>
        <v/>
      </c>
      <c r="AE127" s="36">
        <f>IF(AC127&lt;=0,"",VLOOKUP(B127,country_opex,7,FALSE)/AC127)</f>
        <v/>
      </c>
      <c r="AF127" s="33">
        <f>((D127*O127/diesel_nmpg)*diesel_co2pg-(battery/range_nm)*D127*O127*VLOOKUP(B127,country_opex,4,FALSE))/1000</f>
        <v/>
      </c>
      <c r="AG127" s="31" t="n"/>
      <c r="AH127" s="32" t="n"/>
      <c r="AI127" s="32" t="n"/>
      <c r="AJ127" s="39" t="n">
        <v>0.1</v>
      </c>
      <c r="AK127" s="34">
        <f>IF(AG127="","",AG127*AJ127)</f>
        <v/>
      </c>
      <c r="AL127" s="34">
        <f>IF(OR(AG127="",R127=0),"",MIN(IF(AT127="",9.9E+99,AT127),FLOOR(AK127/R127,1)))</f>
        <v/>
      </c>
      <c r="AM127" s="38">
        <f>IF(AL127="","",AL127*T127)</f>
        <v/>
      </c>
      <c r="AN127" s="36">
        <f>IF(OR(AG127="",R127=0),"",MIN(IF(AT127="",9.9E+99,AT127),AK127/R127))</f>
        <v/>
      </c>
      <c r="AO127" s="38">
        <f>IF(AN127="","",AN127*T127)</f>
        <v/>
      </c>
      <c r="AP127" s="40" t="n"/>
      <c r="AQ127" s="32" t="inlineStr">
        <is>
          <t>Estimated</t>
        </is>
      </c>
      <c r="AR127" s="41" t="n"/>
      <c r="AS127" s="41" t="n"/>
      <c r="AT127" s="42" t="n"/>
      <c r="AU127" s="43">
        <f>IF(((S127*pax_cap*load_thin*ROUND(K127*L127*revleg_thin,0))-(((battery/range_nm)*D127*ROUND(K127*L127*revleg_thin,0)*VLOOKUP(B127,country_opex,3,FALSE))+V127+W127+X127+Y127+Z127))&lt;=0,"",VLOOKUP(B127,country_opex,7,FALSE)/((S127*pax_cap*load_thin*ROUND(K127*L127*revleg_thin,0))-(((battery/range_nm)*D127*ROUND(K127*L127*revleg_thin,0)*VLOOKUP(B127,country_opex,3,FALSE))+V127+W127+X127+Y127+Z127)))</f>
        <v/>
      </c>
      <c r="AV127" s="43">
        <f>IF(((S127*pax_cap*load_mid*ROUND(K127*L127*revleg_mid,0))-(((battery/range_nm)*D127*ROUND(K127*L127*revleg_mid,0)*VLOOKUP(B127,country_opex,3,FALSE))+V127+W127+X127+Y127+Z127))&lt;=0,"",VLOOKUP(B127,country_opex,7,FALSE)/((S127*pax_cap*load_mid*ROUND(K127*L127*revleg_mid,0))-(((battery/range_nm)*D127*ROUND(K127*L127*revleg_mid,0)*VLOOKUP(B127,country_opex,3,FALSE))+V127+W127+X127+Y127+Z127)))</f>
        <v/>
      </c>
      <c r="AW127" s="43">
        <f>IF(((S127*pax_cap*load_full*ROUND(K127*L127*revleg_full,0))-(((battery/range_nm)*D127*ROUND(K127*L127*revleg_full,0)*VLOOKUP(B127,country_opex,3,FALSE))+V127+W127+X127+Y127+Z127))&lt;=0,"",VLOOKUP(B127,country_opex,7,FALSE)/((S127*pax_cap*load_full*ROUND(K127*L127*revleg_full,0))-(((battery/range_nm)*D127*ROUND(K127*L127*revleg_full,0)*VLOOKUP(B127,country_opex,3,FALSE))+V127+W127+X127+Y127+Z127)))</f>
        <v/>
      </c>
      <c r="AX127" s="44" t="inlineStr">
        <is>
          <t>Marmaris→Datça cabin-charter/day-boat per-person comparable ~$40 (Blue Cruise Bodrum Marmaris-Datça route). Scheduled point-to-point not separately tariffed → leisure anchor.</t>
        </is>
      </c>
      <c r="AY127" s="44" t="n"/>
    </row>
    <row r="128">
      <c r="A128" s="29" t="inlineStr">
        <is>
          <t>Yango</t>
        </is>
      </c>
      <c r="B128" s="29" t="inlineStr">
        <is>
          <t>Turkey</t>
        </is>
      </c>
      <c r="C128" s="30" t="inlineStr">
        <is>
          <t>Bodrum → Didim</t>
        </is>
      </c>
      <c r="D128" s="31" t="n">
        <v>20</v>
      </c>
      <c r="E128" s="26" t="n">
        <v>27</v>
      </c>
      <c r="F128" s="32" t="inlineStr">
        <is>
          <t>T2</t>
        </is>
      </c>
      <c r="G128" s="32" t="inlineStr">
        <is>
          <t>med</t>
        </is>
      </c>
      <c r="H128" s="19" t="n">
        <v>1</v>
      </c>
      <c r="I128" s="33">
        <f>60*D128/cruise_kt</f>
        <v/>
      </c>
      <c r="J128" s="33">
        <f>I128+turn_min+dwell_min</f>
        <v/>
      </c>
      <c r="K128" s="34">
        <f>MIN(24,FLOOR(60*service_hr/J128,1))</f>
        <v/>
      </c>
      <c r="L128" s="34">
        <f>ROUND(365*mech_uptime*H128,0)</f>
        <v/>
      </c>
      <c r="M128" s="35">
        <f>mech_uptime</f>
        <v/>
      </c>
      <c r="N128" s="35">
        <f>revleg_sel</f>
        <v/>
      </c>
      <c r="O128" s="34">
        <f>ROUND(K128*L128*revleg_sel,0)</f>
        <v/>
      </c>
      <c r="P128" s="36">
        <f>load_sel</f>
        <v/>
      </c>
      <c r="Q128" s="36">
        <f>pax_cap*P128</f>
        <v/>
      </c>
      <c r="R128" s="34">
        <f>Q128*O128</f>
        <v/>
      </c>
      <c r="S128" s="37">
        <f>E128*discount</f>
        <v/>
      </c>
      <c r="T128" s="38">
        <f>S128*R128</f>
        <v/>
      </c>
      <c r="U128" s="38">
        <f>(battery/range_nm)*D128*O128*VLOOKUP(B128,country_opex,3,FALSE)</f>
        <v/>
      </c>
      <c r="V128" s="38">
        <f>VLOOKUP(B128,country_opex,2,FALSE)*crew_factor</f>
        <v/>
      </c>
      <c r="W128" s="38">
        <f>VLOOKUP(B128,country_opex,5,FALSE)</f>
        <v/>
      </c>
      <c r="X128" s="38">
        <f>maint</f>
        <v/>
      </c>
      <c r="Y128" s="38">
        <f>VLOOKUP(B128,country_opex,7,FALSE)*ins_pct</f>
        <v/>
      </c>
      <c r="Z128" s="38">
        <f>charge_berth</f>
        <v/>
      </c>
      <c r="AA128" s="38">
        <f>U128+V128+W128+X128+Y128+Z128</f>
        <v/>
      </c>
      <c r="AB128" s="38">
        <f>VLOOKUP(B128,country_opex,7,FALSE)/dep_years</f>
        <v/>
      </c>
      <c r="AC128" s="38">
        <f>T128-AA128</f>
        <v/>
      </c>
      <c r="AD128" s="35">
        <f>IF(T128=0,"",AC128/T128)</f>
        <v/>
      </c>
      <c r="AE128" s="36">
        <f>IF(AC128&lt;=0,"",VLOOKUP(B128,country_opex,7,FALSE)/AC128)</f>
        <v/>
      </c>
      <c r="AF128" s="33">
        <f>((D128*O128/diesel_nmpg)*diesel_co2pg-(battery/range_nm)*D128*O128*VLOOKUP(B128,country_opex,4,FALSE))/1000</f>
        <v/>
      </c>
      <c r="AG128" s="31" t="n"/>
      <c r="AH128" s="32" t="n"/>
      <c r="AI128" s="32" t="n"/>
      <c r="AJ128" s="39" t="n">
        <v>0.1</v>
      </c>
      <c r="AK128" s="34">
        <f>IF(AG128="","",AG128*AJ128)</f>
        <v/>
      </c>
      <c r="AL128" s="34">
        <f>IF(OR(AG128="",R128=0),"",MIN(IF(AT128="",9.9E+99,AT128),FLOOR(AK128/R128,1)))</f>
        <v/>
      </c>
      <c r="AM128" s="38">
        <f>IF(AL128="","",AL128*T128)</f>
        <v/>
      </c>
      <c r="AN128" s="36">
        <f>IF(OR(AG128="",R128=0),"",MIN(IF(AT128="",9.9E+99,AT128),AK128/R128))</f>
        <v/>
      </c>
      <c r="AO128" s="38">
        <f>IF(AN128="","",AN128*T128)</f>
        <v/>
      </c>
      <c r="AP128" s="40" t="n"/>
      <c r="AQ128" s="32" t="inlineStr">
        <is>
          <t>Estimated</t>
        </is>
      </c>
      <c r="AR128" s="41" t="n"/>
      <c r="AS128" s="41" t="n"/>
      <c r="AT128" s="42" t="n"/>
      <c r="AU128" s="43">
        <f>IF(((S128*pax_cap*load_thin*ROUND(K128*L128*revleg_thin,0))-(((battery/range_nm)*D128*ROUND(K128*L128*revleg_thin,0)*VLOOKUP(B128,country_opex,3,FALSE))+V128+W128+X128+Y128+Z128))&lt;=0,"",VLOOKUP(B128,country_opex,7,FALSE)/((S128*pax_cap*load_thin*ROUND(K128*L128*revleg_thin,0))-(((battery/range_nm)*D128*ROUND(K128*L128*revleg_thin,0)*VLOOKUP(B128,country_opex,3,FALSE))+V128+W128+X128+Y128+Z128)))</f>
        <v/>
      </c>
      <c r="AV128" s="43">
        <f>IF(((S128*pax_cap*load_mid*ROUND(K128*L128*revleg_mid,0))-(((battery/range_nm)*D128*ROUND(K128*L128*revleg_mid,0)*VLOOKUP(B128,country_opex,3,FALSE))+V128+W128+X128+Y128+Z128))&lt;=0,"",VLOOKUP(B128,country_opex,7,FALSE)/((S128*pax_cap*load_mid*ROUND(K128*L128*revleg_mid,0))-(((battery/range_nm)*D128*ROUND(K128*L128*revleg_mid,0)*VLOOKUP(B128,country_opex,3,FALSE))+V128+W128+X128+Y128+Z128)))</f>
        <v/>
      </c>
      <c r="AW128" s="43">
        <f>IF(((S128*pax_cap*load_full*ROUND(K128*L128*revleg_full,0))-(((battery/range_nm)*D128*ROUND(K128*L128*revleg_full,0)*VLOOKUP(B128,country_opex,3,FALSE))+V128+W128+X128+Y128+Z128))&lt;=0,"",VLOOKUP(B128,country_opex,7,FALSE)/((S128*pax_cap*load_full*ROUND(K128*L128*revleg_full,0))-(((battery/range_nm)*D128*ROUND(K128*L128*revleg_full,0)*VLOOKUP(B128,country_opex,3,FALSE))+V128+W128+X128+Y128+Z128)))</f>
        <v/>
      </c>
      <c r="AX128" s="44" t="inlineStr">
        <is>
          <t>Didim→Turgutreis/Bodrum catamaran ~€25 (Didim Sea Lines / Voices Newspaper 2024 tariff) × 1.08 = $27.</t>
        </is>
      </c>
      <c r="AY128" s="44" t="n"/>
    </row>
    <row r="129">
      <c r="A129" s="29" t="inlineStr">
        <is>
          <t>Yango</t>
        </is>
      </c>
      <c r="B129" s="29" t="inlineStr">
        <is>
          <t>Turkey</t>
        </is>
      </c>
      <c r="C129" s="30" t="inlineStr">
        <is>
          <t>Antalya → Kemer</t>
        </is>
      </c>
      <c r="D129" s="31" t="n">
        <v>22</v>
      </c>
      <c r="E129" s="26" t="n">
        <v>45</v>
      </c>
      <c r="F129" s="32" t="inlineStr">
        <is>
          <t>T2</t>
        </is>
      </c>
      <c r="G129" s="32" t="inlineStr">
        <is>
          <t>med</t>
        </is>
      </c>
      <c r="H129" s="19" t="n">
        <v>1</v>
      </c>
      <c r="I129" s="33">
        <f>60*D129/cruise_kt</f>
        <v/>
      </c>
      <c r="J129" s="33">
        <f>I129+turn_min+dwell_min</f>
        <v/>
      </c>
      <c r="K129" s="34">
        <f>MIN(24,FLOOR(60*service_hr/J129,1))</f>
        <v/>
      </c>
      <c r="L129" s="34">
        <f>ROUND(365*mech_uptime*H129,0)</f>
        <v/>
      </c>
      <c r="M129" s="35">
        <f>mech_uptime</f>
        <v/>
      </c>
      <c r="N129" s="35">
        <f>revleg_sel</f>
        <v/>
      </c>
      <c r="O129" s="34">
        <f>ROUND(K129*L129*revleg_sel,0)</f>
        <v/>
      </c>
      <c r="P129" s="36">
        <f>load_sel</f>
        <v/>
      </c>
      <c r="Q129" s="36">
        <f>pax_cap*P129</f>
        <v/>
      </c>
      <c r="R129" s="34">
        <f>Q129*O129</f>
        <v/>
      </c>
      <c r="S129" s="37">
        <f>E129*discount</f>
        <v/>
      </c>
      <c r="T129" s="38">
        <f>S129*R129</f>
        <v/>
      </c>
      <c r="U129" s="38">
        <f>(battery/range_nm)*D129*O129*VLOOKUP(B129,country_opex,3,FALSE)</f>
        <v/>
      </c>
      <c r="V129" s="38">
        <f>VLOOKUP(B129,country_opex,2,FALSE)*crew_factor</f>
        <v/>
      </c>
      <c r="W129" s="38">
        <f>VLOOKUP(B129,country_opex,5,FALSE)</f>
        <v/>
      </c>
      <c r="X129" s="38">
        <f>maint</f>
        <v/>
      </c>
      <c r="Y129" s="38">
        <f>VLOOKUP(B129,country_opex,7,FALSE)*ins_pct</f>
        <v/>
      </c>
      <c r="Z129" s="38">
        <f>charge_berth</f>
        <v/>
      </c>
      <c r="AA129" s="38">
        <f>U129+V129+W129+X129+Y129+Z129</f>
        <v/>
      </c>
      <c r="AB129" s="38">
        <f>VLOOKUP(B129,country_opex,7,FALSE)/dep_years</f>
        <v/>
      </c>
      <c r="AC129" s="38">
        <f>T129-AA129</f>
        <v/>
      </c>
      <c r="AD129" s="35">
        <f>IF(T129=0,"",AC129/T129)</f>
        <v/>
      </c>
      <c r="AE129" s="36">
        <f>IF(AC129&lt;=0,"",VLOOKUP(B129,country_opex,7,FALSE)/AC129)</f>
        <v/>
      </c>
      <c r="AF129" s="33">
        <f>((D129*O129/diesel_nmpg)*diesel_co2pg-(battery/range_nm)*D129*O129*VLOOKUP(B129,country_opex,4,FALSE))/1000</f>
        <v/>
      </c>
      <c r="AG129" s="31" t="n"/>
      <c r="AH129" s="32" t="n"/>
      <c r="AI129" s="32" t="n"/>
      <c r="AJ129" s="39" t="n">
        <v>0.1</v>
      </c>
      <c r="AK129" s="34">
        <f>IF(AG129="","",AG129*AJ129)</f>
        <v/>
      </c>
      <c r="AL129" s="34">
        <f>IF(OR(AG129="",R129=0),"",MIN(IF(AT129="",9.9E+99,AT129),FLOOR(AK129/R129,1)))</f>
        <v/>
      </c>
      <c r="AM129" s="38">
        <f>IF(AL129="","",AL129*T129)</f>
        <v/>
      </c>
      <c r="AN129" s="36">
        <f>IF(OR(AG129="",R129=0),"",MIN(IF(AT129="",9.9E+99,AT129),AK129/R129))</f>
        <v/>
      </c>
      <c r="AO129" s="38">
        <f>IF(AN129="","",AN129*T129)</f>
        <v/>
      </c>
      <c r="AP129" s="40" t="n"/>
      <c r="AQ129" s="32" t="inlineStr">
        <is>
          <t>Estimated</t>
        </is>
      </c>
      <c r="AR129" s="41" t="n"/>
      <c r="AS129" s="41" t="n"/>
      <c r="AT129" s="42" t="n"/>
      <c r="AU129" s="43">
        <f>IF(((S129*pax_cap*load_thin*ROUND(K129*L129*revleg_thin,0))-(((battery/range_nm)*D129*ROUND(K129*L129*revleg_thin,0)*VLOOKUP(B129,country_opex,3,FALSE))+V129+W129+X129+Y129+Z129))&lt;=0,"",VLOOKUP(B129,country_opex,7,FALSE)/((S129*pax_cap*load_thin*ROUND(K129*L129*revleg_thin,0))-(((battery/range_nm)*D129*ROUND(K129*L129*revleg_thin,0)*VLOOKUP(B129,country_opex,3,FALSE))+V129+W129+X129+Y129+Z129)))</f>
        <v/>
      </c>
      <c r="AV129" s="43">
        <f>IF(((S129*pax_cap*load_mid*ROUND(K129*L129*revleg_mid,0))-(((battery/range_nm)*D129*ROUND(K129*L129*revleg_mid,0)*VLOOKUP(B129,country_opex,3,FALSE))+V129+W129+X129+Y129+Z129))&lt;=0,"",VLOOKUP(B129,country_opex,7,FALSE)/((S129*pax_cap*load_mid*ROUND(K129*L129*revleg_mid,0))-(((battery/range_nm)*D129*ROUND(K129*L129*revleg_mid,0)*VLOOKUP(B129,country_opex,3,FALSE))+V129+W129+X129+Y129+Z129)))</f>
        <v/>
      </c>
      <c r="AW129" s="43">
        <f>IF(((S129*pax_cap*load_full*ROUND(K129*L129*revleg_full,0))-(((battery/range_nm)*D129*ROUND(K129*L129*revleg_full,0)*VLOOKUP(B129,country_opex,3,FALSE))+V129+W129+X129+Y129+Z129))&lt;=0,"",VLOOKUP(B129,country_opex,7,FALSE)/((S129*pax_cap*load_full*ROUND(K129*L129*revleg_full,0))-(((battery/range_nm)*D129*ROUND(K129*L129*revleg_full,0)*VLOOKUP(B129,country_opex,3,FALSE))+V129+W129+X129+Y129+Z129)))</f>
        <v/>
      </c>
      <c r="AX129" s="44" t="inlineStr">
        <is>
          <t>Kemer full-day pirate-boat cruise comparable ~$41-53 (Viator/Tinggly/Tripadvisor); $45 premium per-seat anchor.</t>
        </is>
      </c>
      <c r="AY129" s="44" t="n"/>
    </row>
    <row r="130">
      <c r="A130" s="29" t="inlineStr">
        <is>
          <t>Yango</t>
        </is>
      </c>
      <c r="B130" s="29" t="inlineStr">
        <is>
          <t>Turkey</t>
        </is>
      </c>
      <c r="C130" s="30" t="inlineStr">
        <is>
          <t>Marmaris → Göcek</t>
        </is>
      </c>
      <c r="D130" s="31" t="n">
        <v>24</v>
      </c>
      <c r="E130" s="26" t="n">
        <v>45</v>
      </c>
      <c r="F130" s="32" t="inlineStr">
        <is>
          <t>T2</t>
        </is>
      </c>
      <c r="G130" s="32" t="inlineStr">
        <is>
          <t>med</t>
        </is>
      </c>
      <c r="H130" s="19" t="n">
        <v>1</v>
      </c>
      <c r="I130" s="33">
        <f>60*D130/cruise_kt</f>
        <v/>
      </c>
      <c r="J130" s="33">
        <f>I130+turn_min+dwell_min</f>
        <v/>
      </c>
      <c r="K130" s="34">
        <f>MIN(15,FLOOR(60*service_hr/J130,1))</f>
        <v/>
      </c>
      <c r="L130" s="34">
        <f>ROUND(365*mech_uptime*H130,0)</f>
        <v/>
      </c>
      <c r="M130" s="35">
        <f>mech_uptime</f>
        <v/>
      </c>
      <c r="N130" s="35">
        <f>revleg_sel</f>
        <v/>
      </c>
      <c r="O130" s="34">
        <f>ROUND(K130*L130*revleg_sel,0)</f>
        <v/>
      </c>
      <c r="P130" s="36">
        <f>load_sel</f>
        <v/>
      </c>
      <c r="Q130" s="36">
        <f>pax_cap*P130</f>
        <v/>
      </c>
      <c r="R130" s="34">
        <f>Q130*O130</f>
        <v/>
      </c>
      <c r="S130" s="37">
        <f>E130*discount</f>
        <v/>
      </c>
      <c r="T130" s="38">
        <f>S130*R130</f>
        <v/>
      </c>
      <c r="U130" s="38">
        <f>(battery/range_nm)*D130*O130*VLOOKUP(B130,country_opex,3,FALSE)</f>
        <v/>
      </c>
      <c r="V130" s="38">
        <f>VLOOKUP(B130,country_opex,2,FALSE)*crew_factor</f>
        <v/>
      </c>
      <c r="W130" s="38">
        <f>VLOOKUP(B130,country_opex,5,FALSE)</f>
        <v/>
      </c>
      <c r="X130" s="38">
        <f>maint</f>
        <v/>
      </c>
      <c r="Y130" s="38">
        <f>VLOOKUP(B130,country_opex,7,FALSE)*ins_pct</f>
        <v/>
      </c>
      <c r="Z130" s="38">
        <f>charge_berth</f>
        <v/>
      </c>
      <c r="AA130" s="38">
        <f>U130+V130+W130+X130+Y130+Z130</f>
        <v/>
      </c>
      <c r="AB130" s="38">
        <f>VLOOKUP(B130,country_opex,7,FALSE)/dep_years</f>
        <v/>
      </c>
      <c r="AC130" s="38">
        <f>T130-AA130</f>
        <v/>
      </c>
      <c r="AD130" s="35">
        <f>IF(T130=0,"",AC130/T130)</f>
        <v/>
      </c>
      <c r="AE130" s="36">
        <f>IF(AC130&lt;=0,"",VLOOKUP(B130,country_opex,7,FALSE)/AC130)</f>
        <v/>
      </c>
      <c r="AF130" s="33">
        <f>((D130*O130/diesel_nmpg)*diesel_co2pg-(battery/range_nm)*D130*O130*VLOOKUP(B130,country_opex,4,FALSE))/1000</f>
        <v/>
      </c>
      <c r="AG130" s="31" t="n"/>
      <c r="AH130" s="32" t="n"/>
      <c r="AI130" s="32" t="n"/>
      <c r="AJ130" s="39" t="n">
        <v>0.1</v>
      </c>
      <c r="AK130" s="34">
        <f>IF(AG130="","",AG130*AJ130)</f>
        <v/>
      </c>
      <c r="AL130" s="34">
        <f>IF(OR(AG130="",R130=0),"",MIN(IF(AT130="",9.9E+99,AT130),FLOOR(AK130/R130,1)))</f>
        <v/>
      </c>
      <c r="AM130" s="38">
        <f>IF(AL130="","",AL130*T130)</f>
        <v/>
      </c>
      <c r="AN130" s="36">
        <f>IF(OR(AG130="",R130=0),"",MIN(IF(AT130="",9.9E+99,AT130),AK130/R130))</f>
        <v/>
      </c>
      <c r="AO130" s="38">
        <f>IF(AN130="","",AN130*T130)</f>
        <v/>
      </c>
      <c r="AP130" s="40" t="n"/>
      <c r="AQ130" s="32" t="inlineStr">
        <is>
          <t>Estimated</t>
        </is>
      </c>
      <c r="AR130" s="41" t="n"/>
      <c r="AS130" s="41" t="n"/>
      <c r="AT130" s="42" t="n"/>
      <c r="AU130" s="43">
        <f>IF(((S130*pax_cap*load_thin*ROUND(K130*L130*revleg_thin,0))-(((battery/range_nm)*D130*ROUND(K130*L130*revleg_thin,0)*VLOOKUP(B130,country_opex,3,FALSE))+V130+W130+X130+Y130+Z130))&lt;=0,"",VLOOKUP(B130,country_opex,7,FALSE)/((S130*pax_cap*load_thin*ROUND(K130*L130*revleg_thin,0))-(((battery/range_nm)*D130*ROUND(K130*L130*revleg_thin,0)*VLOOKUP(B130,country_opex,3,FALSE))+V130+W130+X130+Y130+Z130)))</f>
        <v/>
      </c>
      <c r="AV130" s="43">
        <f>IF(((S130*pax_cap*load_mid*ROUND(K130*L130*revleg_mid,0))-(((battery/range_nm)*D130*ROUND(K130*L130*revleg_mid,0)*VLOOKUP(B130,country_opex,3,FALSE))+V130+W130+X130+Y130+Z130))&lt;=0,"",VLOOKUP(B130,country_opex,7,FALSE)/((S130*pax_cap*load_mid*ROUND(K130*L130*revleg_mid,0))-(((battery/range_nm)*D130*ROUND(K130*L130*revleg_mid,0)*VLOOKUP(B130,country_opex,3,FALSE))+V130+W130+X130+Y130+Z130)))</f>
        <v/>
      </c>
      <c r="AW130" s="43">
        <f>IF(((S130*pax_cap*load_full*ROUND(K130*L130*revleg_full,0))-(((battery/range_nm)*D130*ROUND(K130*L130*revleg_full,0)*VLOOKUP(B130,country_opex,3,FALSE))+V130+W130+X130+Y130+Z130))&lt;=0,"",VLOOKUP(B130,country_opex,7,FALSE)/((S130*pax_cap*load_full*ROUND(K130*L130*revleg_full,0))-(((battery/range_nm)*D130*ROUND(K130*L130*revleg_full,0)*VLOOKUP(B130,country_opex,3,FALSE))+V130+W130+X130+Y130+Z130)))</f>
        <v/>
      </c>
      <c r="AX130" s="44" t="inlineStr">
        <is>
          <t>Marmaris/Göcek gulet &amp; blue-cruise day-leg per-seat comparable ~$45 (Blue Cruise / Tripadvisor Marmaris-Datça/Göcek cabin charters, per-day per-person).</t>
        </is>
      </c>
      <c r="AY130" s="44" t="n"/>
    </row>
    <row r="131">
      <c r="A131" s="29" t="inlineStr">
        <is>
          <t>Yango</t>
        </is>
      </c>
      <c r="B131" s="29" t="inlineStr">
        <is>
          <t>Turkey</t>
        </is>
      </c>
      <c r="C131" s="30" t="inlineStr">
        <is>
          <t>Marmaris → Rhodes (Greece)</t>
        </is>
      </c>
      <c r="D131" s="31" t="n">
        <v>30</v>
      </c>
      <c r="E131" s="26" t="n">
        <v>59</v>
      </c>
      <c r="F131" s="32" t="inlineStr">
        <is>
          <t>T2</t>
        </is>
      </c>
      <c r="G131" s="32" t="inlineStr">
        <is>
          <t>med</t>
        </is>
      </c>
      <c r="H131" s="19" t="n">
        <v>1</v>
      </c>
      <c r="I131" s="33">
        <f>60*D131/cruise_kt</f>
        <v/>
      </c>
      <c r="J131" s="33">
        <f>I131+turn_min+dwell_min</f>
        <v/>
      </c>
      <c r="K131" s="34">
        <f>MIN(15,FLOOR(60*service_hr/J131,1))</f>
        <v/>
      </c>
      <c r="L131" s="34">
        <f>ROUND(365*mech_uptime*H131,0)</f>
        <v/>
      </c>
      <c r="M131" s="35">
        <f>mech_uptime</f>
        <v/>
      </c>
      <c r="N131" s="35">
        <f>revleg_sel</f>
        <v/>
      </c>
      <c r="O131" s="34">
        <f>ROUND(K131*L131*revleg_sel,0)</f>
        <v/>
      </c>
      <c r="P131" s="36">
        <f>load_sel</f>
        <v/>
      </c>
      <c r="Q131" s="36">
        <f>pax_cap*P131</f>
        <v/>
      </c>
      <c r="R131" s="34">
        <f>Q131*O131</f>
        <v/>
      </c>
      <c r="S131" s="37">
        <f>E131*discount</f>
        <v/>
      </c>
      <c r="T131" s="38">
        <f>S131*R131</f>
        <v/>
      </c>
      <c r="U131" s="38">
        <f>(battery/range_nm)*D131*O131*VLOOKUP(B131,country_opex,3,FALSE)</f>
        <v/>
      </c>
      <c r="V131" s="38">
        <f>VLOOKUP(B131,country_opex,2,FALSE)*crew_factor</f>
        <v/>
      </c>
      <c r="W131" s="38">
        <f>VLOOKUP(B131,country_opex,5,FALSE)</f>
        <v/>
      </c>
      <c r="X131" s="38">
        <f>maint</f>
        <v/>
      </c>
      <c r="Y131" s="38">
        <f>VLOOKUP(B131,country_opex,7,FALSE)*ins_pct</f>
        <v/>
      </c>
      <c r="Z131" s="38">
        <f>charge_berth</f>
        <v/>
      </c>
      <c r="AA131" s="38">
        <f>U131+V131+W131+X131+Y131+Z131</f>
        <v/>
      </c>
      <c r="AB131" s="38">
        <f>VLOOKUP(B131,country_opex,7,FALSE)/dep_years</f>
        <v/>
      </c>
      <c r="AC131" s="38">
        <f>T131-AA131</f>
        <v/>
      </c>
      <c r="AD131" s="35">
        <f>IF(T131=0,"",AC131/T131)</f>
        <v/>
      </c>
      <c r="AE131" s="36">
        <f>IF(AC131&lt;=0,"",VLOOKUP(B131,country_opex,7,FALSE)/AC131)</f>
        <v/>
      </c>
      <c r="AF131" s="33">
        <f>((D131*O131/diesel_nmpg)*diesel_co2pg-(battery/range_nm)*D131*O131*VLOOKUP(B131,country_opex,4,FALSE))/1000</f>
        <v/>
      </c>
      <c r="AG131" s="31" t="n"/>
      <c r="AH131" s="32" t="n"/>
      <c r="AI131" s="32" t="n"/>
      <c r="AJ131" s="39" t="n">
        <v>0.1</v>
      </c>
      <c r="AK131" s="34">
        <f>IF(AG131="","",AG131*AJ131)</f>
        <v/>
      </c>
      <c r="AL131" s="34">
        <f>IF(OR(AG131="",R131=0),"",MIN(IF(AT131="",9.9E+99,AT131),FLOOR(AK131/R131,1)))</f>
        <v/>
      </c>
      <c r="AM131" s="38">
        <f>IF(AL131="","",AL131*T131)</f>
        <v/>
      </c>
      <c r="AN131" s="36">
        <f>IF(OR(AG131="",R131=0),"",MIN(IF(AT131="",9.9E+99,AT131),AK131/R131))</f>
        <v/>
      </c>
      <c r="AO131" s="38">
        <f>IF(AN131="","",AN131*T131)</f>
        <v/>
      </c>
      <c r="AP131" s="40" t="n"/>
      <c r="AQ131" s="32" t="inlineStr">
        <is>
          <t>Estimated</t>
        </is>
      </c>
      <c r="AR131" s="41" t="n"/>
      <c r="AS131" s="41" t="n"/>
      <c r="AT131" s="42" t="n"/>
      <c r="AU131" s="43">
        <f>IF(((S131*pax_cap*load_thin*ROUND(K131*L131*revleg_thin,0))-(((battery/range_nm)*D131*ROUND(K131*L131*revleg_thin,0)*VLOOKUP(B131,country_opex,3,FALSE))+V131+W131+X131+Y131+Z131))&lt;=0,"",VLOOKUP(B131,country_opex,7,FALSE)/((S131*pax_cap*load_thin*ROUND(K131*L131*revleg_thin,0))-(((battery/range_nm)*D131*ROUND(K131*L131*revleg_thin,0)*VLOOKUP(B131,country_opex,3,FALSE))+V131+W131+X131+Y131+Z131)))</f>
        <v/>
      </c>
      <c r="AV131" s="43">
        <f>IF(((S131*pax_cap*load_mid*ROUND(K131*L131*revleg_mid,0))-(((battery/range_nm)*D131*ROUND(K131*L131*revleg_mid,0)*VLOOKUP(B131,country_opex,3,FALSE))+V131+W131+X131+Y131+Z131))&lt;=0,"",VLOOKUP(B131,country_opex,7,FALSE)/((S131*pax_cap*load_mid*ROUND(K131*L131*revleg_mid,0))-(((battery/range_nm)*D131*ROUND(K131*L131*revleg_mid,0)*VLOOKUP(B131,country_opex,3,FALSE))+V131+W131+X131+Y131+Z131)))</f>
        <v/>
      </c>
      <c r="AW131" s="43">
        <f>IF(((S131*pax_cap*load_full*ROUND(K131*L131*revleg_full,0))-(((battery/range_nm)*D131*ROUND(K131*L131*revleg_full,0)*VLOOKUP(B131,country_opex,3,FALSE))+V131+W131+X131+Y131+Z131))&lt;=0,"",VLOOKUP(B131,country_opex,7,FALSE)/((S131*pax_cap*load_full*ROUND(K131*L131*revleg_full,0))-(((battery/range_nm)*D131*ROUND(K131*L131*revleg_full,0)*VLOOKUP(B131,country_opex,3,FALSE))+V131+W131+X131+Y131+Z131)))</f>
        <v/>
      </c>
      <c r="AX131" s="44" t="inlineStr">
        <is>
          <t>Scheduled fast catamaran Marmaris→Rhodes one-way ~€55 (Yeşil Marmaris Lines), ~45 min; €55 × 1.08 = $59.</t>
        </is>
      </c>
      <c r="AY131" s="44" t="n"/>
    </row>
    <row r="132">
      <c r="A132" s="29" t="inlineStr">
        <is>
          <t>Yango</t>
        </is>
      </c>
      <c r="B132" s="29" t="inlineStr">
        <is>
          <t>Turkey</t>
        </is>
      </c>
      <c r="C132" s="30" t="inlineStr">
        <is>
          <t>Antalya → Side</t>
        </is>
      </c>
      <c r="D132" s="31" t="n">
        <v>33</v>
      </c>
      <c r="E132" s="26" t="n">
        <v>50</v>
      </c>
      <c r="F132" s="32" t="inlineStr">
        <is>
          <t>T2</t>
        </is>
      </c>
      <c r="G132" s="32" t="inlineStr">
        <is>
          <t>med</t>
        </is>
      </c>
      <c r="H132" s="19" t="n">
        <v>1</v>
      </c>
      <c r="I132" s="33">
        <f>60*D132/cruise_kt</f>
        <v/>
      </c>
      <c r="J132" s="33">
        <f>I132+turn_min+dwell_min</f>
        <v/>
      </c>
      <c r="K132" s="34">
        <f>MIN(24,FLOOR(60*service_hr/J132,1))</f>
        <v/>
      </c>
      <c r="L132" s="34">
        <f>ROUND(365*mech_uptime*H132,0)</f>
        <v/>
      </c>
      <c r="M132" s="35">
        <f>mech_uptime</f>
        <v/>
      </c>
      <c r="N132" s="35">
        <f>revleg_sel</f>
        <v/>
      </c>
      <c r="O132" s="34">
        <f>ROUND(K132*L132*revleg_sel,0)</f>
        <v/>
      </c>
      <c r="P132" s="36">
        <f>load_sel</f>
        <v/>
      </c>
      <c r="Q132" s="36">
        <f>pax_cap*P132</f>
        <v/>
      </c>
      <c r="R132" s="34">
        <f>Q132*O132</f>
        <v/>
      </c>
      <c r="S132" s="37">
        <f>E132*discount</f>
        <v/>
      </c>
      <c r="T132" s="38">
        <f>S132*R132</f>
        <v/>
      </c>
      <c r="U132" s="38">
        <f>(battery/range_nm)*D132*O132*VLOOKUP(B132,country_opex,3,FALSE)</f>
        <v/>
      </c>
      <c r="V132" s="38">
        <f>VLOOKUP(B132,country_opex,2,FALSE)*crew_factor</f>
        <v/>
      </c>
      <c r="W132" s="38">
        <f>VLOOKUP(B132,country_opex,5,FALSE)</f>
        <v/>
      </c>
      <c r="X132" s="38">
        <f>maint</f>
        <v/>
      </c>
      <c r="Y132" s="38">
        <f>VLOOKUP(B132,country_opex,7,FALSE)*ins_pct</f>
        <v/>
      </c>
      <c r="Z132" s="38">
        <f>charge_berth</f>
        <v/>
      </c>
      <c r="AA132" s="38">
        <f>U132+V132+W132+X132+Y132+Z132</f>
        <v/>
      </c>
      <c r="AB132" s="38">
        <f>VLOOKUP(B132,country_opex,7,FALSE)/dep_years</f>
        <v/>
      </c>
      <c r="AC132" s="38">
        <f>T132-AA132</f>
        <v/>
      </c>
      <c r="AD132" s="35">
        <f>IF(T132=0,"",AC132/T132)</f>
        <v/>
      </c>
      <c r="AE132" s="36">
        <f>IF(AC132&lt;=0,"",VLOOKUP(B132,country_opex,7,FALSE)/AC132)</f>
        <v/>
      </c>
      <c r="AF132" s="33">
        <f>((D132*O132/diesel_nmpg)*diesel_co2pg-(battery/range_nm)*D132*O132*VLOOKUP(B132,country_opex,4,FALSE))/1000</f>
        <v/>
      </c>
      <c r="AG132" s="31" t="n"/>
      <c r="AH132" s="32" t="n"/>
      <c r="AI132" s="32" t="n"/>
      <c r="AJ132" s="39" t="n">
        <v>0.1</v>
      </c>
      <c r="AK132" s="34">
        <f>IF(AG132="","",AG132*AJ132)</f>
        <v/>
      </c>
      <c r="AL132" s="34">
        <f>IF(OR(AG132="",R132=0),"",MIN(IF(AT132="",9.9E+99,AT132),FLOOR(AK132/R132,1)))</f>
        <v/>
      </c>
      <c r="AM132" s="38">
        <f>IF(AL132="","",AL132*T132)</f>
        <v/>
      </c>
      <c r="AN132" s="36">
        <f>IF(OR(AG132="",R132=0),"",MIN(IF(AT132="",9.9E+99,AT132),AK132/R132))</f>
        <v/>
      </c>
      <c r="AO132" s="38">
        <f>IF(AN132="","",AN132*T132)</f>
        <v/>
      </c>
      <c r="AP132" s="40" t="n"/>
      <c r="AQ132" s="32" t="inlineStr">
        <is>
          <t>Estimated</t>
        </is>
      </c>
      <c r="AR132" s="41" t="n"/>
      <c r="AS132" s="41" t="n"/>
      <c r="AT132" s="42" t="n"/>
      <c r="AU132" s="43">
        <f>IF(((S132*pax_cap*load_thin*ROUND(K132*L132*revleg_thin,0))-(((battery/range_nm)*D132*ROUND(K132*L132*revleg_thin,0)*VLOOKUP(B132,country_opex,3,FALSE))+V132+W132+X132+Y132+Z132))&lt;=0,"",VLOOKUP(B132,country_opex,7,FALSE)/((S132*pax_cap*load_thin*ROUND(K132*L132*revleg_thin,0))-(((battery/range_nm)*D132*ROUND(K132*L132*revleg_thin,0)*VLOOKUP(B132,country_opex,3,FALSE))+V132+W132+X132+Y132+Z132)))</f>
        <v/>
      </c>
      <c r="AV132" s="43">
        <f>IF(((S132*pax_cap*load_mid*ROUND(K132*L132*revleg_mid,0))-(((battery/range_nm)*D132*ROUND(K132*L132*revleg_mid,0)*VLOOKUP(B132,country_opex,3,FALSE))+V132+W132+X132+Y132+Z132))&lt;=0,"",VLOOKUP(B132,country_opex,7,FALSE)/((S132*pax_cap*load_mid*ROUND(K132*L132*revleg_mid,0))-(((battery/range_nm)*D132*ROUND(K132*L132*revleg_mid,0)*VLOOKUP(B132,country_opex,3,FALSE))+V132+W132+X132+Y132+Z132)))</f>
        <v/>
      </c>
      <c r="AW132" s="43">
        <f>IF(((S132*pax_cap*load_full*ROUND(K132*L132*revleg_full,0))-(((battery/range_nm)*D132*ROUND(K132*L132*revleg_full,0)*VLOOKUP(B132,country_opex,3,FALSE))+V132+W132+X132+Y132+Z132))&lt;=0,"",VLOOKUP(B132,country_opex,7,FALSE)/((S132*pax_cap*load_full*ROUND(K132*L132*revleg_full,0))-(((battery/range_nm)*D132*ROUND(K132*L132*revleg_full,0)*VLOOKUP(B132,country_opex,3,FALSE))+V132+W132+X132+Y132+Z132)))</f>
        <v/>
      </c>
      <c r="AX132" s="44" t="inlineStr">
        <is>
          <t>Side full-day boat cruise comparable ~$44-60/adult (Tripadvisor/GetYourGuide Side cruises); $50 premium per-seat anchor.</t>
        </is>
      </c>
      <c r="AY132" s="44" t="n"/>
    </row>
    <row r="133">
      <c r="A133" s="29" t="inlineStr">
        <is>
          <t>Yango</t>
        </is>
      </c>
      <c r="B133" s="29" t="inlineStr">
        <is>
          <t>Turkey</t>
        </is>
      </c>
      <c r="C133" s="30" t="inlineStr">
        <is>
          <t>İzmir → Çeşme</t>
        </is>
      </c>
      <c r="D133" s="31" t="n">
        <v>38</v>
      </c>
      <c r="E133" s="26" t="n"/>
      <c r="F133" s="32" t="n"/>
      <c r="G133" s="32" t="n"/>
      <c r="H133" s="19" t="n">
        <v>1</v>
      </c>
      <c r="I133" s="33">
        <f>60*D133/cruise_kt</f>
        <v/>
      </c>
      <c r="J133" s="33">
        <f>I133+turn_min+dwell_min</f>
        <v/>
      </c>
      <c r="K133" s="34">
        <f>MIN(24,FLOOR(60*service_hr/J133,1))</f>
        <v/>
      </c>
      <c r="L133" s="34">
        <f>ROUND(365*mech_uptime*H133,0)</f>
        <v/>
      </c>
      <c r="M133" s="35">
        <f>mech_uptime</f>
        <v/>
      </c>
      <c r="N133" s="35">
        <f>revleg_sel</f>
        <v/>
      </c>
      <c r="O133" s="34">
        <f>ROUND(K133*L133*revleg_sel,0)</f>
        <v/>
      </c>
      <c r="P133" s="36">
        <f>load_sel</f>
        <v/>
      </c>
      <c r="Q133" s="36">
        <f>pax_cap*P133</f>
        <v/>
      </c>
      <c r="R133" s="34">
        <f>Q133*O133</f>
        <v/>
      </c>
      <c r="S133" s="37">
        <f>E133*discount</f>
        <v/>
      </c>
      <c r="T133" s="38">
        <f>S133*R133</f>
        <v/>
      </c>
      <c r="U133" s="38">
        <f>(battery/range_nm)*D133*O133*VLOOKUP(B133,country_opex,3,FALSE)</f>
        <v/>
      </c>
      <c r="V133" s="38">
        <f>VLOOKUP(B133,country_opex,2,FALSE)*crew_factor</f>
        <v/>
      </c>
      <c r="W133" s="38">
        <f>VLOOKUP(B133,country_opex,5,FALSE)</f>
        <v/>
      </c>
      <c r="X133" s="38">
        <f>maint</f>
        <v/>
      </c>
      <c r="Y133" s="38">
        <f>VLOOKUP(B133,country_opex,7,FALSE)*ins_pct</f>
        <v/>
      </c>
      <c r="Z133" s="38">
        <f>charge_berth</f>
        <v/>
      </c>
      <c r="AA133" s="38">
        <f>U133+V133+W133+X133+Y133+Z133</f>
        <v/>
      </c>
      <c r="AB133" s="38">
        <f>VLOOKUP(B133,country_opex,7,FALSE)/dep_years</f>
        <v/>
      </c>
      <c r="AC133" s="38">
        <f>T133-AA133</f>
        <v/>
      </c>
      <c r="AD133" s="35">
        <f>IF(T133=0,"",AC133/T133)</f>
        <v/>
      </c>
      <c r="AE133" s="36">
        <f>IF(AC133&lt;=0,"",VLOOKUP(B133,country_opex,7,FALSE)/AC133)</f>
        <v/>
      </c>
      <c r="AF133" s="33">
        <f>((D133*O133/diesel_nmpg)*diesel_co2pg-(battery/range_nm)*D133*O133*VLOOKUP(B133,country_opex,4,FALSE))/1000</f>
        <v/>
      </c>
      <c r="AG133" s="31" t="n"/>
      <c r="AH133" s="32" t="n"/>
      <c r="AI133" s="32" t="n"/>
      <c r="AJ133" s="39" t="n">
        <v>0.1</v>
      </c>
      <c r="AK133" s="34">
        <f>IF(AG133="","",AG133*AJ133)</f>
        <v/>
      </c>
      <c r="AL133" s="34">
        <f>IF(OR(AG133="",R133=0),"",MIN(IF(AT133="",9.9E+99,AT133),FLOOR(AK133/R133,1)))</f>
        <v/>
      </c>
      <c r="AM133" s="38">
        <f>IF(AL133="","",AL133*T133)</f>
        <v/>
      </c>
      <c r="AN133" s="36">
        <f>IF(OR(AG133="",R133=0),"",MIN(IF(AT133="",9.9E+99,AT133),AK133/R133))</f>
        <v/>
      </c>
      <c r="AO133" s="38">
        <f>IF(AN133="","",AN133*T133)</f>
        <v/>
      </c>
      <c r="AP133" s="40" t="n"/>
      <c r="AQ133" s="32" t="inlineStr">
        <is>
          <t>Estimated</t>
        </is>
      </c>
      <c r="AR133" s="41" t="n"/>
      <c r="AS133" s="41" t="n"/>
      <c r="AT133" s="42" t="n"/>
      <c r="AU133" s="43">
        <f>IF(((S133*pax_cap*load_thin*ROUND(K133*L133*revleg_thin,0))-(((battery/range_nm)*D133*ROUND(K133*L133*revleg_thin,0)*VLOOKUP(B133,country_opex,3,FALSE))+V133+W133+X133+Y133+Z133))&lt;=0,"",VLOOKUP(B133,country_opex,7,FALSE)/((S133*pax_cap*load_thin*ROUND(K133*L133*revleg_thin,0))-(((battery/range_nm)*D133*ROUND(K133*L133*revleg_thin,0)*VLOOKUP(B133,country_opex,3,FALSE))+V133+W133+X133+Y133+Z133)))</f>
        <v/>
      </c>
      <c r="AV133" s="43">
        <f>IF(((S133*pax_cap*load_mid*ROUND(K133*L133*revleg_mid,0))-(((battery/range_nm)*D133*ROUND(K133*L133*revleg_mid,0)*VLOOKUP(B133,country_opex,3,FALSE))+V133+W133+X133+Y133+Z133))&lt;=0,"",VLOOKUP(B133,country_opex,7,FALSE)/((S133*pax_cap*load_mid*ROUND(K133*L133*revleg_mid,0))-(((battery/range_nm)*D133*ROUND(K133*L133*revleg_mid,0)*VLOOKUP(B133,country_opex,3,FALSE))+V133+W133+X133+Y133+Z133)))</f>
        <v/>
      </c>
      <c r="AW133" s="43">
        <f>IF(((S133*pax_cap*load_full*ROUND(K133*L133*revleg_full,0))-(((battery/range_nm)*D133*ROUND(K133*L133*revleg_full,0)*VLOOKUP(B133,country_opex,3,FALSE))+V133+W133+X133+Y133+Z133))&lt;=0,"",VLOOKUP(B133,country_opex,7,FALSE)/((S133*pax_cap*load_full*ROUND(K133*L133*revleg_full,0))-(((battery/range_nm)*D133*ROUND(K133*L133*revleg_full,0)*VLOOKUP(B133,country_opex,3,FALSE))+V133+W133+X133+Y133+Z133)))</f>
        <v/>
      </c>
      <c r="AX133" s="44" t="n"/>
      <c r="AY133" s="44" t="n"/>
    </row>
    <row r="134">
      <c r="A134" s="29" t="inlineStr">
        <is>
          <t>Yango</t>
        </is>
      </c>
      <c r="B134" s="29" t="inlineStr">
        <is>
          <t>Turkey</t>
        </is>
      </c>
      <c r="C134" s="30" t="inlineStr">
        <is>
          <t>Fethiye → Rhodes (Greece)</t>
        </is>
      </c>
      <c r="D134" s="31" t="n">
        <v>42</v>
      </c>
      <c r="E134" s="26" t="n">
        <v>64</v>
      </c>
      <c r="F134" s="32" t="inlineStr">
        <is>
          <t>T2</t>
        </is>
      </c>
      <c r="G134" s="32" t="inlineStr">
        <is>
          <t>med</t>
        </is>
      </c>
      <c r="H134" s="19" t="n">
        <v>1</v>
      </c>
      <c r="I134" s="33">
        <f>60*D134/cruise_kt</f>
        <v/>
      </c>
      <c r="J134" s="33">
        <f>I134+turn_min+dwell_min</f>
        <v/>
      </c>
      <c r="K134" s="34">
        <f>MIN(15,FLOOR(60*service_hr/J134,1))</f>
        <v/>
      </c>
      <c r="L134" s="34">
        <f>ROUND(365*mech_uptime*H134,0)</f>
        <v/>
      </c>
      <c r="M134" s="35">
        <f>mech_uptime</f>
        <v/>
      </c>
      <c r="N134" s="35">
        <f>revleg_sel</f>
        <v/>
      </c>
      <c r="O134" s="34">
        <f>ROUND(K134*L134*revleg_sel,0)</f>
        <v/>
      </c>
      <c r="P134" s="36">
        <f>load_sel</f>
        <v/>
      </c>
      <c r="Q134" s="36">
        <f>pax_cap*P134</f>
        <v/>
      </c>
      <c r="R134" s="34">
        <f>Q134*O134</f>
        <v/>
      </c>
      <c r="S134" s="37">
        <f>E134*discount</f>
        <v/>
      </c>
      <c r="T134" s="38">
        <f>S134*R134</f>
        <v/>
      </c>
      <c r="U134" s="38">
        <f>(battery/range_nm)*D134*O134*VLOOKUP(B134,country_opex,3,FALSE)</f>
        <v/>
      </c>
      <c r="V134" s="38">
        <f>VLOOKUP(B134,country_opex,2,FALSE)*crew_factor</f>
        <v/>
      </c>
      <c r="W134" s="38">
        <f>VLOOKUP(B134,country_opex,5,FALSE)</f>
        <v/>
      </c>
      <c r="X134" s="38">
        <f>maint</f>
        <v/>
      </c>
      <c r="Y134" s="38">
        <f>VLOOKUP(B134,country_opex,7,FALSE)*ins_pct</f>
        <v/>
      </c>
      <c r="Z134" s="38">
        <f>charge_berth</f>
        <v/>
      </c>
      <c r="AA134" s="38">
        <f>U134+V134+W134+X134+Y134+Z134</f>
        <v/>
      </c>
      <c r="AB134" s="38">
        <f>VLOOKUP(B134,country_opex,7,FALSE)/dep_years</f>
        <v/>
      </c>
      <c r="AC134" s="38">
        <f>T134-AA134</f>
        <v/>
      </c>
      <c r="AD134" s="35">
        <f>IF(T134=0,"",AC134/T134)</f>
        <v/>
      </c>
      <c r="AE134" s="36">
        <f>IF(AC134&lt;=0,"",VLOOKUP(B134,country_opex,7,FALSE)/AC134)</f>
        <v/>
      </c>
      <c r="AF134" s="33">
        <f>((D134*O134/diesel_nmpg)*diesel_co2pg-(battery/range_nm)*D134*O134*VLOOKUP(B134,country_opex,4,FALSE))/1000</f>
        <v/>
      </c>
      <c r="AG134" s="31" t="n"/>
      <c r="AH134" s="32" t="n"/>
      <c r="AI134" s="32" t="n"/>
      <c r="AJ134" s="39" t="n">
        <v>0.1</v>
      </c>
      <c r="AK134" s="34">
        <f>IF(AG134="","",AG134*AJ134)</f>
        <v/>
      </c>
      <c r="AL134" s="34">
        <f>IF(OR(AG134="",R134=0),"",MIN(IF(AT134="",9.9E+99,AT134),FLOOR(AK134/R134,1)))</f>
        <v/>
      </c>
      <c r="AM134" s="38">
        <f>IF(AL134="","",AL134*T134)</f>
        <v/>
      </c>
      <c r="AN134" s="36">
        <f>IF(OR(AG134="",R134=0),"",MIN(IF(AT134="",9.9E+99,AT134),AK134/R134))</f>
        <v/>
      </c>
      <c r="AO134" s="38">
        <f>IF(AN134="","",AN134*T134)</f>
        <v/>
      </c>
      <c r="AP134" s="40" t="n"/>
      <c r="AQ134" s="32" t="inlineStr">
        <is>
          <t>Estimated</t>
        </is>
      </c>
      <c r="AR134" s="41" t="n"/>
      <c r="AS134" s="41" t="n"/>
      <c r="AT134" s="42" t="n"/>
      <c r="AU134" s="43">
        <f>IF(((S134*pax_cap*load_thin*ROUND(K134*L134*revleg_thin,0))-(((battery/range_nm)*D134*ROUND(K134*L134*revleg_thin,0)*VLOOKUP(B134,country_opex,3,FALSE))+V134+W134+X134+Y134+Z134))&lt;=0,"",VLOOKUP(B134,country_opex,7,FALSE)/((S134*pax_cap*load_thin*ROUND(K134*L134*revleg_thin,0))-(((battery/range_nm)*D134*ROUND(K134*L134*revleg_thin,0)*VLOOKUP(B134,country_opex,3,FALSE))+V134+W134+X134+Y134+Z134)))</f>
        <v/>
      </c>
      <c r="AV134" s="43">
        <f>IF(((S134*pax_cap*load_mid*ROUND(K134*L134*revleg_mid,0))-(((battery/range_nm)*D134*ROUND(K134*L134*revleg_mid,0)*VLOOKUP(B134,country_opex,3,FALSE))+V134+W134+X134+Y134+Z134))&lt;=0,"",VLOOKUP(B134,country_opex,7,FALSE)/((S134*pax_cap*load_mid*ROUND(K134*L134*revleg_mid,0))-(((battery/range_nm)*D134*ROUND(K134*L134*revleg_mid,0)*VLOOKUP(B134,country_opex,3,FALSE))+V134+W134+X134+Y134+Z134)))</f>
        <v/>
      </c>
      <c r="AW134" s="43">
        <f>IF(((S134*pax_cap*load_full*ROUND(K134*L134*revleg_full,0))-(((battery/range_nm)*D134*ROUND(K134*L134*revleg_full,0)*VLOOKUP(B134,country_opex,3,FALSE))+V134+W134+X134+Y134+Z134))&lt;=0,"",VLOOKUP(B134,country_opex,7,FALSE)/((S134*pax_cap*load_full*ROUND(K134*L134*revleg_full,0))-(((battery/range_nm)*D134*ROUND(K134*L134*revleg_full,0)*VLOOKUP(B134,country_opex,3,FALSE))+V134+W134+X134+Y134+Z134)))</f>
        <v/>
      </c>
      <c r="AX134" s="44" t="inlineStr">
        <is>
          <t>Fethiye→Rhodes fast catamaran from $64 one-way (Direct Ferries), ~1h40.</t>
        </is>
      </c>
      <c r="AY134" s="44" t="n"/>
    </row>
    <row r="135">
      <c r="A135" s="29" t="inlineStr">
        <is>
          <t>Yango</t>
        </is>
      </c>
      <c r="B135" s="29" t="inlineStr">
        <is>
          <t>United Arab Emirates</t>
        </is>
      </c>
      <c r="C135" s="30" t="inlineStr">
        <is>
          <t>One&amp;Only The Palm Jetty → Jumeirah Zabeel Saray Jetty</t>
        </is>
      </c>
      <c r="D135" s="31" t="n">
        <v>0.5</v>
      </c>
      <c r="E135" s="26" t="n">
        <v>130</v>
      </c>
      <c r="F135" s="32" t="inlineStr">
        <is>
          <t>T5</t>
        </is>
      </c>
      <c r="G135" s="32" t="inlineStr">
        <is>
          <t>low</t>
        </is>
      </c>
      <c r="H135" s="19" t="n">
        <v>1</v>
      </c>
      <c r="I135" s="33">
        <f>60*D135/cruise_kt</f>
        <v/>
      </c>
      <c r="J135" s="33">
        <f>I135+turn_min+dwell_min</f>
        <v/>
      </c>
      <c r="K135" s="34">
        <f>MIN(24,FLOOR(60*service_hr/J135,1))</f>
        <v/>
      </c>
      <c r="L135" s="34">
        <f>ROUND(365*mech_uptime*H135,0)</f>
        <v/>
      </c>
      <c r="M135" s="35">
        <f>mech_uptime</f>
        <v/>
      </c>
      <c r="N135" s="35">
        <f>revleg_sel</f>
        <v/>
      </c>
      <c r="O135" s="34">
        <f>ROUND(K135*L135*revleg_sel,0)</f>
        <v/>
      </c>
      <c r="P135" s="36">
        <f>load_sel</f>
        <v/>
      </c>
      <c r="Q135" s="36">
        <f>pax_cap*P135</f>
        <v/>
      </c>
      <c r="R135" s="34">
        <f>Q135*O135</f>
        <v/>
      </c>
      <c r="S135" s="37">
        <f>E135*discount</f>
        <v/>
      </c>
      <c r="T135" s="38">
        <f>S135*R135</f>
        <v/>
      </c>
      <c r="U135" s="38">
        <f>(battery/range_nm)*D135*O135*VLOOKUP(B135,country_opex,3,FALSE)</f>
        <v/>
      </c>
      <c r="V135" s="38">
        <f>VLOOKUP(B135,country_opex,2,FALSE)*crew_factor</f>
        <v/>
      </c>
      <c r="W135" s="38">
        <f>VLOOKUP(B135,country_opex,5,FALSE)</f>
        <v/>
      </c>
      <c r="X135" s="38">
        <f>maint</f>
        <v/>
      </c>
      <c r="Y135" s="38">
        <f>VLOOKUP(B135,country_opex,7,FALSE)*ins_pct</f>
        <v/>
      </c>
      <c r="Z135" s="38">
        <f>charge_berth</f>
        <v/>
      </c>
      <c r="AA135" s="38">
        <f>U135+V135+W135+X135+Y135+Z135</f>
        <v/>
      </c>
      <c r="AB135" s="38">
        <f>VLOOKUP(B135,country_opex,7,FALSE)/dep_years</f>
        <v/>
      </c>
      <c r="AC135" s="38">
        <f>T135-AA135</f>
        <v/>
      </c>
      <c r="AD135" s="35">
        <f>IF(T135=0,"",AC135/T135)</f>
        <v/>
      </c>
      <c r="AE135" s="36">
        <f>IF(AC135&lt;=0,"",VLOOKUP(B135,country_opex,7,FALSE)/AC135)</f>
        <v/>
      </c>
      <c r="AF135" s="33">
        <f>((D135*O135/diesel_nmpg)*diesel_co2pg-(battery/range_nm)*D135*O135*VLOOKUP(B135,country_opex,4,FALSE))/1000</f>
        <v/>
      </c>
      <c r="AG135" s="31" t="n">
        <v>25000</v>
      </c>
      <c r="AH135" s="32" t="inlineStr">
        <is>
          <t>T3</t>
        </is>
      </c>
      <c r="AI135" s="32" t="inlineStr">
        <is>
          <t>low</t>
        </is>
      </c>
      <c r="AJ135" s="39" t="n">
        <v>0.1</v>
      </c>
      <c r="AK135" s="34">
        <f>IF(AG135="","",AG135*AJ135)</f>
        <v/>
      </c>
      <c r="AL135" s="34">
        <f>IF(OR(AG135="",R135=0),"",MIN(IF(AT135="",9.9E+99,AT135),FLOOR(AK135/R135,1)))</f>
        <v/>
      </c>
      <c r="AM135" s="38">
        <f>IF(AL135="","",AL135*T135)</f>
        <v/>
      </c>
      <c r="AN135" s="36">
        <f>IF(OR(AG135="",R135=0),"",MIN(IF(AT135="",9.9E+99,AT135),AK135/R135))</f>
        <v/>
      </c>
      <c r="AO135" s="38">
        <f>IF(AN135="","",AN135*T135)</f>
        <v/>
      </c>
      <c r="AP135" s="40" t="n"/>
      <c r="AQ135" s="32" t="inlineStr">
        <is>
          <t>Grounded</t>
        </is>
      </c>
      <c r="AR135" s="41" t="n"/>
      <c r="AS135" s="41" t="n"/>
      <c r="AT135" s="42" t="n"/>
      <c r="AU135" s="43">
        <f>IF(((S135*pax_cap*load_thin*ROUND(K135*L135*revleg_thin,0))-(((battery/range_nm)*D135*ROUND(K135*L135*revleg_thin,0)*VLOOKUP(B135,country_opex,3,FALSE))+V135+W135+X135+Y135+Z135))&lt;=0,"",VLOOKUP(B135,country_opex,7,FALSE)/((S135*pax_cap*load_thin*ROUND(K135*L135*revleg_thin,0))-(((battery/range_nm)*D135*ROUND(K135*L135*revleg_thin,0)*VLOOKUP(B135,country_opex,3,FALSE))+V135+W135+X135+Y135+Z135)))</f>
        <v/>
      </c>
      <c r="AV135" s="43">
        <f>IF(((S135*pax_cap*load_mid*ROUND(K135*L135*revleg_mid,0))-(((battery/range_nm)*D135*ROUND(K135*L135*revleg_mid,0)*VLOOKUP(B135,country_opex,3,FALSE))+V135+W135+X135+Y135+Z135))&lt;=0,"",VLOOKUP(B135,country_opex,7,FALSE)/((S135*pax_cap*load_mid*ROUND(K135*L135*revleg_mid,0))-(((battery/range_nm)*D135*ROUND(K135*L135*revleg_mid,0)*VLOOKUP(B135,country_opex,3,FALSE))+V135+W135+X135+Y135+Z135)))</f>
        <v/>
      </c>
      <c r="AW135" s="43">
        <f>IF(((S135*pax_cap*load_full*ROUND(K135*L135*revleg_full,0))-(((battery/range_nm)*D135*ROUND(K135*L135*revleg_full,0)*VLOOKUP(B135,country_opex,3,FALSE))+V135+W135+X135+Y135+Z135))&lt;=0,"",VLOOKUP(B135,country_opex,7,FALSE)/((S135*pax_cap*load_full*ROUND(K135*L135*revleg_full,0))-(((battery/range_nm)*D135*ROUND(K135*L135*revleg_full,0)*VLOOKUP(B135,country_opex,3,FALSE))+V135+W135+X135+Y135+Z135)))</f>
        <v/>
      </c>
      <c r="AX135" s="44" t="inlineStr">
        <is>
          <t>Palm ultra-lux cluster (One&amp;Only&lt;-&gt;Zabeel Saray). Road-served. T5/low.</t>
        </is>
      </c>
      <c r="AY135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36">
      <c r="A136" s="29" t="inlineStr">
        <is>
          <t>Yango</t>
        </is>
      </c>
      <c r="B136" s="29" t="inlineStr">
        <is>
          <t>United Arab Emirates</t>
        </is>
      </c>
      <c r="C136" s="30" t="inlineStr">
        <is>
          <t>Dubai Harbour Marina → Bluewaters Marina</t>
        </is>
      </c>
      <c r="D136" s="31" t="n">
        <v>1.1</v>
      </c>
      <c r="E136" s="26" t="n">
        <v>45</v>
      </c>
      <c r="F136" s="32" t="inlineStr">
        <is>
          <t>T1</t>
        </is>
      </c>
      <c r="G136" s="32" t="inlineStr">
        <is>
          <t>high</t>
        </is>
      </c>
      <c r="H136" s="19" t="n">
        <v>1</v>
      </c>
      <c r="I136" s="33">
        <f>60*D136/cruise_kt</f>
        <v/>
      </c>
      <c r="J136" s="33">
        <f>I136+turn_min+dwell_min</f>
        <v/>
      </c>
      <c r="K136" s="34">
        <f>MIN(24,FLOOR(60*service_hr/J136,1))</f>
        <v/>
      </c>
      <c r="L136" s="34">
        <f>ROUND(365*mech_uptime*H136,0)</f>
        <v/>
      </c>
      <c r="M136" s="35">
        <f>mech_uptime</f>
        <v/>
      </c>
      <c r="N136" s="35">
        <f>revleg_sel</f>
        <v/>
      </c>
      <c r="O136" s="34">
        <f>ROUND(K136*L136*revleg_sel,0)</f>
        <v/>
      </c>
      <c r="P136" s="36">
        <f>load_sel</f>
        <v/>
      </c>
      <c r="Q136" s="36">
        <f>pax_cap*P136</f>
        <v/>
      </c>
      <c r="R136" s="34">
        <f>Q136*O136</f>
        <v/>
      </c>
      <c r="S136" s="37">
        <f>E136*discount</f>
        <v/>
      </c>
      <c r="T136" s="38">
        <f>S136*R136</f>
        <v/>
      </c>
      <c r="U136" s="38">
        <f>(battery/range_nm)*D136*O136*VLOOKUP(B136,country_opex,3,FALSE)</f>
        <v/>
      </c>
      <c r="V136" s="38">
        <f>VLOOKUP(B136,country_opex,2,FALSE)*crew_factor</f>
        <v/>
      </c>
      <c r="W136" s="38">
        <f>VLOOKUP(B136,country_opex,5,FALSE)</f>
        <v/>
      </c>
      <c r="X136" s="38">
        <f>maint</f>
        <v/>
      </c>
      <c r="Y136" s="38">
        <f>VLOOKUP(B136,country_opex,7,FALSE)*ins_pct</f>
        <v/>
      </c>
      <c r="Z136" s="38">
        <f>charge_berth</f>
        <v/>
      </c>
      <c r="AA136" s="38">
        <f>U136+V136+W136+X136+Y136+Z136</f>
        <v/>
      </c>
      <c r="AB136" s="38">
        <f>VLOOKUP(B136,country_opex,7,FALSE)/dep_years</f>
        <v/>
      </c>
      <c r="AC136" s="38">
        <f>T136-AA136</f>
        <v/>
      </c>
      <c r="AD136" s="35">
        <f>IF(T136=0,"",AC136/T136)</f>
        <v/>
      </c>
      <c r="AE136" s="36">
        <f>IF(AC136&lt;=0,"",VLOOKUP(B136,country_opex,7,FALSE)/AC136)</f>
        <v/>
      </c>
      <c r="AF136" s="33">
        <f>((D136*O136/diesel_nmpg)*diesel_co2pg-(battery/range_nm)*D136*O136*VLOOKUP(B136,country_opex,4,FALSE))/1000</f>
        <v/>
      </c>
      <c r="AG136" s="31" t="n">
        <v>200000</v>
      </c>
      <c r="AH136" s="32" t="inlineStr">
        <is>
          <t>T5</t>
        </is>
      </c>
      <c r="AI136" s="32" t="inlineStr">
        <is>
          <t>low</t>
        </is>
      </c>
      <c r="AJ136" s="39" t="n">
        <v>0.1</v>
      </c>
      <c r="AK136" s="34">
        <f>IF(AG136="","",AG136*AJ136)</f>
        <v/>
      </c>
      <c r="AL136" s="34">
        <f>IF(OR(AG136="",R136=0),"",MIN(IF(AT136="",9.9E+99,AT136),FLOOR(AK136/R136,1)))</f>
        <v/>
      </c>
      <c r="AM136" s="38">
        <f>IF(AL136="","",AL136*T136)</f>
        <v/>
      </c>
      <c r="AN136" s="36">
        <f>IF(OR(AG136="",R136=0),"",MIN(IF(AT136="",9.9E+99,AT136),AK136/R136))</f>
        <v/>
      </c>
      <c r="AO136" s="38">
        <f>IF(AN136="","",AN136*T136)</f>
        <v/>
      </c>
      <c r="AP136" s="40" t="n"/>
      <c r="AQ136" s="32" t="inlineStr">
        <is>
          <t>Grounded</t>
        </is>
      </c>
      <c r="AR136" s="41" t="n"/>
      <c r="AS136" s="41" t="n"/>
      <c r="AT136" s="42" t="n"/>
      <c r="AU136" s="43">
        <f>IF(((S136*pax_cap*load_thin*ROUND(K136*L136*revleg_thin,0))-(((battery/range_nm)*D136*ROUND(K136*L136*revleg_thin,0)*VLOOKUP(B136,country_opex,3,FALSE))+V136+W136+X136+Y136+Z136))&lt;=0,"",VLOOKUP(B136,country_opex,7,FALSE)/((S136*pax_cap*load_thin*ROUND(K136*L136*revleg_thin,0))-(((battery/range_nm)*D136*ROUND(K136*L136*revleg_thin,0)*VLOOKUP(B136,country_opex,3,FALSE))+V136+W136+X136+Y136+Z136)))</f>
        <v/>
      </c>
      <c r="AV136" s="43">
        <f>IF(((S136*pax_cap*load_mid*ROUND(K136*L136*revleg_mid,0))-(((battery/range_nm)*D136*ROUND(K136*L136*revleg_mid,0)*VLOOKUP(B136,country_opex,3,FALSE))+V136+W136+X136+Y136+Z136))&lt;=0,"",VLOOKUP(B136,country_opex,7,FALSE)/((S136*pax_cap*load_mid*ROUND(K136*L136*revleg_mid,0))-(((battery/range_nm)*D136*ROUND(K136*L136*revleg_mid,0)*VLOOKUP(B136,country_opex,3,FALSE))+V136+W136+X136+Y136+Z136)))</f>
        <v/>
      </c>
      <c r="AW136" s="43">
        <f>IF(((S136*pax_cap*load_full*ROUND(K136*L136*revleg_full,0))-(((battery/range_nm)*D136*ROUND(K136*L136*revleg_full,0)*VLOOKUP(B136,country_opex,3,FALSE))+V136+W136+X136+Y136+Z136))&lt;=0,"",VLOOKUP(B136,country_opex,7,FALSE)/((S136*pax_cap*load_full*ROUND(K136*L136*revleg_full,0))-(((battery/range_nm)*D136*ROUND(K136*L136*revleg_full,0)*VLOOKUP(B136,country_opex,3,FALSE))+V136+W136+X136+Y136+Z136)))</f>
        <v/>
      </c>
      <c r="AX136" s="44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AY136" s="44" t="inlineStr">
        <is>
          <t>RTA marine = 18.4M riders 2025 (WAM, T1); bulk are ~1km Creek abras (R3-ABRA, different micro-corridor). Premium non-abra modes a small fraction.</t>
        </is>
      </c>
    </row>
    <row r="137">
      <c r="A137" s="29" t="inlineStr">
        <is>
          <t>Yango</t>
        </is>
      </c>
      <c r="B137" s="29" t="inlineStr">
        <is>
          <t>United Arab Emirates</t>
        </is>
      </c>
      <c r="C137" s="30" t="inlineStr">
        <is>
          <t>Kempinski Hotel &amp; Residences Palm Jumeirah Jetty → Atlantis The Palm Jetty</t>
        </is>
      </c>
      <c r="D137" s="31" t="n">
        <v>1.2</v>
      </c>
      <c r="E137" s="26" t="n">
        <v>130</v>
      </c>
      <c r="F137" s="32" t="inlineStr">
        <is>
          <t>T5</t>
        </is>
      </c>
      <c r="G137" s="32" t="inlineStr">
        <is>
          <t>low</t>
        </is>
      </c>
      <c r="H137" s="19" t="n">
        <v>1</v>
      </c>
      <c r="I137" s="33">
        <f>60*D137/cruise_kt</f>
        <v/>
      </c>
      <c r="J137" s="33">
        <f>I137+turn_min+dwell_min</f>
        <v/>
      </c>
      <c r="K137" s="34">
        <f>MIN(24,FLOOR(60*service_hr/J137,1))</f>
        <v/>
      </c>
      <c r="L137" s="34">
        <f>ROUND(365*mech_uptime*H137,0)</f>
        <v/>
      </c>
      <c r="M137" s="35">
        <f>mech_uptime</f>
        <v/>
      </c>
      <c r="N137" s="35">
        <f>revleg_sel</f>
        <v/>
      </c>
      <c r="O137" s="34">
        <f>ROUND(K137*L137*revleg_sel,0)</f>
        <v/>
      </c>
      <c r="P137" s="36">
        <f>load_sel</f>
        <v/>
      </c>
      <c r="Q137" s="36">
        <f>pax_cap*P137</f>
        <v/>
      </c>
      <c r="R137" s="34">
        <f>Q137*O137</f>
        <v/>
      </c>
      <c r="S137" s="37">
        <f>E137*discount</f>
        <v/>
      </c>
      <c r="T137" s="38">
        <f>S137*R137</f>
        <v/>
      </c>
      <c r="U137" s="38">
        <f>(battery/range_nm)*D137*O137*VLOOKUP(B137,country_opex,3,FALSE)</f>
        <v/>
      </c>
      <c r="V137" s="38">
        <f>VLOOKUP(B137,country_opex,2,FALSE)*crew_factor</f>
        <v/>
      </c>
      <c r="W137" s="38">
        <f>VLOOKUP(B137,country_opex,5,FALSE)</f>
        <v/>
      </c>
      <c r="X137" s="38">
        <f>maint</f>
        <v/>
      </c>
      <c r="Y137" s="38">
        <f>VLOOKUP(B137,country_opex,7,FALSE)*ins_pct</f>
        <v/>
      </c>
      <c r="Z137" s="38">
        <f>charge_berth</f>
        <v/>
      </c>
      <c r="AA137" s="38">
        <f>U137+V137+W137+X137+Y137+Z137</f>
        <v/>
      </c>
      <c r="AB137" s="38">
        <f>VLOOKUP(B137,country_opex,7,FALSE)/dep_years</f>
        <v/>
      </c>
      <c r="AC137" s="38">
        <f>T137-AA137</f>
        <v/>
      </c>
      <c r="AD137" s="35">
        <f>IF(T137=0,"",AC137/T137)</f>
        <v/>
      </c>
      <c r="AE137" s="36">
        <f>IF(AC137&lt;=0,"",VLOOKUP(B137,country_opex,7,FALSE)/AC137)</f>
        <v/>
      </c>
      <c r="AF137" s="33">
        <f>((D137*O137/diesel_nmpg)*diesel_co2pg-(battery/range_nm)*D137*O137*VLOOKUP(B137,country_opex,4,FALSE))/1000</f>
        <v/>
      </c>
      <c r="AG137" s="31" t="n">
        <v>30000</v>
      </c>
      <c r="AH137" s="32" t="inlineStr">
        <is>
          <t>T3</t>
        </is>
      </c>
      <c r="AI137" s="32" t="inlineStr">
        <is>
          <t>low</t>
        </is>
      </c>
      <c r="AJ137" s="39" t="n">
        <v>0.1</v>
      </c>
      <c r="AK137" s="34">
        <f>IF(AG137="","",AG137*AJ137)</f>
        <v/>
      </c>
      <c r="AL137" s="34">
        <f>IF(OR(AG137="",R137=0),"",MIN(IF(AT137="",9.9E+99,AT137),FLOOR(AK137/R137,1)))</f>
        <v/>
      </c>
      <c r="AM137" s="38">
        <f>IF(AL137="","",AL137*T137)</f>
        <v/>
      </c>
      <c r="AN137" s="36">
        <f>IF(OR(AG137="",R137=0),"",MIN(IF(AT137="",9.9E+99,AT137),AK137/R137))</f>
        <v/>
      </c>
      <c r="AO137" s="38">
        <f>IF(AN137="","",AN137*T137)</f>
        <v/>
      </c>
      <c r="AP137" s="40" t="n"/>
      <c r="AQ137" s="32" t="inlineStr">
        <is>
          <t>Grounded</t>
        </is>
      </c>
      <c r="AR137" s="41" t="n"/>
      <c r="AS137" s="41" t="n"/>
      <c r="AT137" s="42" t="n"/>
      <c r="AU137" s="43">
        <f>IF(((S137*pax_cap*load_thin*ROUND(K137*L137*revleg_thin,0))-(((battery/range_nm)*D137*ROUND(K137*L137*revleg_thin,0)*VLOOKUP(B137,country_opex,3,FALSE))+V137+W137+X137+Y137+Z137))&lt;=0,"",VLOOKUP(B137,country_opex,7,FALSE)/((S137*pax_cap*load_thin*ROUND(K137*L137*revleg_thin,0))-(((battery/range_nm)*D137*ROUND(K137*L137*revleg_thin,0)*VLOOKUP(B137,country_opex,3,FALSE))+V137+W137+X137+Y137+Z137)))</f>
        <v/>
      </c>
      <c r="AV137" s="43">
        <f>IF(((S137*pax_cap*load_mid*ROUND(K137*L137*revleg_mid,0))-(((battery/range_nm)*D137*ROUND(K137*L137*revleg_mid,0)*VLOOKUP(B137,country_opex,3,FALSE))+V137+W137+X137+Y137+Z137))&lt;=0,"",VLOOKUP(B137,country_opex,7,FALSE)/((S137*pax_cap*load_mid*ROUND(K137*L137*revleg_mid,0))-(((battery/range_nm)*D137*ROUND(K137*L137*revleg_mid,0)*VLOOKUP(B137,country_opex,3,FALSE))+V137+W137+X137+Y137+Z137)))</f>
        <v/>
      </c>
      <c r="AW137" s="43">
        <f>IF(((S137*pax_cap*load_full*ROUND(K137*L137*revleg_full,0))-(((battery/range_nm)*D137*ROUND(K137*L137*revleg_full,0)*VLOOKUP(B137,country_opex,3,FALSE))+V137+W137+X137+Y137+Z137))&lt;=0,"",VLOOKUP(B137,country_opex,7,FALSE)/((S137*pax_cap*load_full*ROUND(K137*L137*revleg_full,0))-(((battery/range_nm)*D137*ROUND(K137*L137*revleg_full,0)*VLOOKUP(B137,country_opex,3,FALSE))+V137+W137+X137+Y137+Z137)))</f>
        <v/>
      </c>
      <c r="AX137" s="44" t="inlineStr">
        <is>
          <t>Palm resort cluster (Kempinski&lt;-&gt;Atlantis). Road-served. T5/low.</t>
        </is>
      </c>
      <c r="AY137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38">
      <c r="A138" s="29" t="inlineStr">
        <is>
          <t>Yango</t>
        </is>
      </c>
      <c r="B138" s="29" t="inlineStr">
        <is>
          <t>United Arab Emirates</t>
        </is>
      </c>
      <c r="C138" s="30" t="inlineStr">
        <is>
          <t>La Mer / J1 Beach Jetty → Nikki Beach Resort Pearl Jumeirah Jetty</t>
        </is>
      </c>
      <c r="D138" s="31" t="n">
        <v>1.2</v>
      </c>
      <c r="E138" s="26" t="n">
        <v>110</v>
      </c>
      <c r="F138" s="32" t="inlineStr">
        <is>
          <t>T5</t>
        </is>
      </c>
      <c r="G138" s="32" t="inlineStr">
        <is>
          <t>low</t>
        </is>
      </c>
      <c r="H138" s="19" t="n">
        <v>1</v>
      </c>
      <c r="I138" s="33">
        <f>60*D138/cruise_kt</f>
        <v/>
      </c>
      <c r="J138" s="33">
        <f>I138+turn_min+dwell_min</f>
        <v/>
      </c>
      <c r="K138" s="34">
        <f>MIN(24,FLOOR(60*service_hr/J138,1))</f>
        <v/>
      </c>
      <c r="L138" s="34">
        <f>ROUND(365*mech_uptime*H138,0)</f>
        <v/>
      </c>
      <c r="M138" s="35">
        <f>mech_uptime</f>
        <v/>
      </c>
      <c r="N138" s="35">
        <f>revleg_sel</f>
        <v/>
      </c>
      <c r="O138" s="34">
        <f>ROUND(K138*L138*revleg_sel,0)</f>
        <v/>
      </c>
      <c r="P138" s="36">
        <f>load_sel</f>
        <v/>
      </c>
      <c r="Q138" s="36">
        <f>pax_cap*P138</f>
        <v/>
      </c>
      <c r="R138" s="34">
        <f>Q138*O138</f>
        <v/>
      </c>
      <c r="S138" s="37">
        <f>E138*discount</f>
        <v/>
      </c>
      <c r="T138" s="38">
        <f>S138*R138</f>
        <v/>
      </c>
      <c r="U138" s="38">
        <f>(battery/range_nm)*D138*O138*VLOOKUP(B138,country_opex,3,FALSE)</f>
        <v/>
      </c>
      <c r="V138" s="38">
        <f>VLOOKUP(B138,country_opex,2,FALSE)*crew_factor</f>
        <v/>
      </c>
      <c r="W138" s="38">
        <f>VLOOKUP(B138,country_opex,5,FALSE)</f>
        <v/>
      </c>
      <c r="X138" s="38">
        <f>maint</f>
        <v/>
      </c>
      <c r="Y138" s="38">
        <f>VLOOKUP(B138,country_opex,7,FALSE)*ins_pct</f>
        <v/>
      </c>
      <c r="Z138" s="38">
        <f>charge_berth</f>
        <v/>
      </c>
      <c r="AA138" s="38">
        <f>U138+V138+W138+X138+Y138+Z138</f>
        <v/>
      </c>
      <c r="AB138" s="38">
        <f>VLOOKUP(B138,country_opex,7,FALSE)/dep_years</f>
        <v/>
      </c>
      <c r="AC138" s="38">
        <f>T138-AA138</f>
        <v/>
      </c>
      <c r="AD138" s="35">
        <f>IF(T138=0,"",AC138/T138)</f>
        <v/>
      </c>
      <c r="AE138" s="36">
        <f>IF(AC138&lt;=0,"",VLOOKUP(B138,country_opex,7,FALSE)/AC138)</f>
        <v/>
      </c>
      <c r="AF138" s="33">
        <f>((D138*O138/diesel_nmpg)*diesel_co2pg-(battery/range_nm)*D138*O138*VLOOKUP(B138,country_opex,4,FALSE))/1000</f>
        <v/>
      </c>
      <c r="AG138" s="31" t="n">
        <v>25000</v>
      </c>
      <c r="AH138" s="32" t="inlineStr">
        <is>
          <t>T3</t>
        </is>
      </c>
      <c r="AI138" s="32" t="inlineStr">
        <is>
          <t>low</t>
        </is>
      </c>
      <c r="AJ138" s="39" t="n">
        <v>0.1</v>
      </c>
      <c r="AK138" s="34">
        <f>IF(AG138="","",AG138*AJ138)</f>
        <v/>
      </c>
      <c r="AL138" s="34">
        <f>IF(OR(AG138="",R138=0),"",MIN(IF(AT138="",9.9E+99,AT138),FLOOR(AK138/R138,1)))</f>
        <v/>
      </c>
      <c r="AM138" s="38">
        <f>IF(AL138="","",AL138*T138)</f>
        <v/>
      </c>
      <c r="AN138" s="36">
        <f>IF(OR(AG138="",R138=0),"",MIN(IF(AT138="",9.9E+99,AT138),AK138/R138))</f>
        <v/>
      </c>
      <c r="AO138" s="38">
        <f>IF(AN138="","",AN138*T138)</f>
        <v/>
      </c>
      <c r="AP138" s="40" t="n"/>
      <c r="AQ138" s="32" t="inlineStr">
        <is>
          <t>Grounded</t>
        </is>
      </c>
      <c r="AR138" s="41" t="n"/>
      <c r="AS138" s="41" t="n"/>
      <c r="AT138" s="42" t="n"/>
      <c r="AU138" s="43">
        <f>IF(((S138*pax_cap*load_thin*ROUND(K138*L138*revleg_thin,0))-(((battery/range_nm)*D138*ROUND(K138*L138*revleg_thin,0)*VLOOKUP(B138,country_opex,3,FALSE))+V138+W138+X138+Y138+Z138))&lt;=0,"",VLOOKUP(B138,country_opex,7,FALSE)/((S138*pax_cap*load_thin*ROUND(K138*L138*revleg_thin,0))-(((battery/range_nm)*D138*ROUND(K138*L138*revleg_thin,0)*VLOOKUP(B138,country_opex,3,FALSE))+V138+W138+X138+Y138+Z138)))</f>
        <v/>
      </c>
      <c r="AV138" s="43">
        <f>IF(((S138*pax_cap*load_mid*ROUND(K138*L138*revleg_mid,0))-(((battery/range_nm)*D138*ROUND(K138*L138*revleg_mid,0)*VLOOKUP(B138,country_opex,3,FALSE))+V138+W138+X138+Y138+Z138))&lt;=0,"",VLOOKUP(B138,country_opex,7,FALSE)/((S138*pax_cap*load_mid*ROUND(K138*L138*revleg_mid,0))-(((battery/range_nm)*D138*ROUND(K138*L138*revleg_mid,0)*VLOOKUP(B138,country_opex,3,FALSE))+V138+W138+X138+Y138+Z138)))</f>
        <v/>
      </c>
      <c r="AW138" s="43">
        <f>IF(((S138*pax_cap*load_full*ROUND(K138*L138*revleg_full,0))-(((battery/range_nm)*D138*ROUND(K138*L138*revleg_full,0)*VLOOKUP(B138,country_opex,3,FALSE))+V138+W138+X138+Y138+Z138))&lt;=0,"",VLOOKUP(B138,country_opex,7,FALSE)/((S138*pax_cap*load_full*ROUND(K138*L138*revleg_full,0))-(((battery/range_nm)*D138*ROUND(K138*L138*revleg_full,0)*VLOOKUP(B138,country_opex,3,FALSE))+V138+W138+X138+Y138+Z138)))</f>
        <v/>
      </c>
      <c r="AX138" s="44" t="inlineStr">
        <is>
          <t>Urban Dubai beach-club leisure hop. Road-served. T5/low.</t>
        </is>
      </c>
      <c r="AY138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39">
      <c r="A139" s="29" t="inlineStr">
        <is>
          <t>Yango</t>
        </is>
      </c>
      <c r="B139" s="29" t="inlineStr">
        <is>
          <t>United Arab Emirates</t>
        </is>
      </c>
      <c r="C139" s="30" t="inlineStr">
        <is>
          <t>Palm Jumeirah Marina West → Atlantis The Palm Jetty</t>
        </is>
      </c>
      <c r="D139" s="31" t="n">
        <v>1.3</v>
      </c>
      <c r="E139" s="26" t="n">
        <v>150</v>
      </c>
      <c r="F139" s="32" t="inlineStr">
        <is>
          <t>T5</t>
        </is>
      </c>
      <c r="G139" s="32" t="inlineStr">
        <is>
          <t>low</t>
        </is>
      </c>
      <c r="H139" s="19" t="n">
        <v>1</v>
      </c>
      <c r="I139" s="33">
        <f>60*D139/cruise_kt</f>
        <v/>
      </c>
      <c r="J139" s="33">
        <f>I139+turn_min+dwell_min</f>
        <v/>
      </c>
      <c r="K139" s="34">
        <f>MIN(24,FLOOR(60*service_hr/J139,1))</f>
        <v/>
      </c>
      <c r="L139" s="34">
        <f>ROUND(365*mech_uptime*H139,0)</f>
        <v/>
      </c>
      <c r="M139" s="35">
        <f>mech_uptime</f>
        <v/>
      </c>
      <c r="N139" s="35">
        <f>revleg_sel</f>
        <v/>
      </c>
      <c r="O139" s="34">
        <f>ROUND(K139*L139*revleg_sel,0)</f>
        <v/>
      </c>
      <c r="P139" s="36">
        <f>load_sel</f>
        <v/>
      </c>
      <c r="Q139" s="36">
        <f>pax_cap*P139</f>
        <v/>
      </c>
      <c r="R139" s="34">
        <f>Q139*O139</f>
        <v/>
      </c>
      <c r="S139" s="37">
        <f>E139*discount</f>
        <v/>
      </c>
      <c r="T139" s="38">
        <f>S139*R139</f>
        <v/>
      </c>
      <c r="U139" s="38">
        <f>(battery/range_nm)*D139*O139*VLOOKUP(B139,country_opex,3,FALSE)</f>
        <v/>
      </c>
      <c r="V139" s="38">
        <f>VLOOKUP(B139,country_opex,2,FALSE)*crew_factor</f>
        <v/>
      </c>
      <c r="W139" s="38">
        <f>VLOOKUP(B139,country_opex,5,FALSE)</f>
        <v/>
      </c>
      <c r="X139" s="38">
        <f>maint</f>
        <v/>
      </c>
      <c r="Y139" s="38">
        <f>VLOOKUP(B139,country_opex,7,FALSE)*ins_pct</f>
        <v/>
      </c>
      <c r="Z139" s="38">
        <f>charge_berth</f>
        <v/>
      </c>
      <c r="AA139" s="38">
        <f>U139+V139+W139+X139+Y139+Z139</f>
        <v/>
      </c>
      <c r="AB139" s="38">
        <f>VLOOKUP(B139,country_opex,7,FALSE)/dep_years</f>
        <v/>
      </c>
      <c r="AC139" s="38">
        <f>T139-AA139</f>
        <v/>
      </c>
      <c r="AD139" s="35">
        <f>IF(T139=0,"",AC139/T139)</f>
        <v/>
      </c>
      <c r="AE139" s="36">
        <f>IF(AC139&lt;=0,"",VLOOKUP(B139,country_opex,7,FALSE)/AC139)</f>
        <v/>
      </c>
      <c r="AF139" s="33">
        <f>((D139*O139/diesel_nmpg)*diesel_co2pg-(battery/range_nm)*D139*O139*VLOOKUP(B139,country_opex,4,FALSE))/1000</f>
        <v/>
      </c>
      <c r="AG139" s="31" t="n">
        <v>120000</v>
      </c>
      <c r="AH139" s="32" t="inlineStr">
        <is>
          <t>T2</t>
        </is>
      </c>
      <c r="AI139" s="32" t="inlineStr">
        <is>
          <t>medium</t>
        </is>
      </c>
      <c r="AJ139" s="39" t="n">
        <v>0.1</v>
      </c>
      <c r="AK139" s="34">
        <f>IF(AG139="","",AG139*AJ139)</f>
        <v/>
      </c>
      <c r="AL139" s="34">
        <f>IF(OR(AG139="",R139=0),"",MIN(IF(AT139="",9.9E+99,AT139),FLOOR(AK139/R139,1)))</f>
        <v/>
      </c>
      <c r="AM139" s="38">
        <f>IF(AL139="","",AL139*T139)</f>
        <v/>
      </c>
      <c r="AN139" s="36">
        <f>IF(OR(AG139="",R139=0),"",MIN(IF(AT139="",9.9E+99,AT139),AK139/R139))</f>
        <v/>
      </c>
      <c r="AO139" s="38">
        <f>IF(AN139="","",AN139*T139)</f>
        <v/>
      </c>
      <c r="AP139" s="40" t="n"/>
      <c r="AQ139" s="32" t="inlineStr">
        <is>
          <t>Grounded</t>
        </is>
      </c>
      <c r="AR139" s="41" t="n"/>
      <c r="AS139" s="41" t="n"/>
      <c r="AT139" s="42" t="n"/>
      <c r="AU139" s="43">
        <f>IF(((S139*pax_cap*load_thin*ROUND(K139*L139*revleg_thin,0))-(((battery/range_nm)*D139*ROUND(K139*L139*revleg_thin,0)*VLOOKUP(B139,country_opex,3,FALSE))+V139+W139+X139+Y139+Z139))&lt;=0,"",VLOOKUP(B139,country_opex,7,FALSE)/((S139*pax_cap*load_thin*ROUND(K139*L139*revleg_thin,0))-(((battery/range_nm)*D139*ROUND(K139*L139*revleg_thin,0)*VLOOKUP(B139,country_opex,3,FALSE))+V139+W139+X139+Y139+Z139)))</f>
        <v/>
      </c>
      <c r="AV139" s="43">
        <f>IF(((S139*pax_cap*load_mid*ROUND(K139*L139*revleg_mid,0))-(((battery/range_nm)*D139*ROUND(K139*L139*revleg_mid,0)*VLOOKUP(B139,country_opex,3,FALSE))+V139+W139+X139+Y139+Z139))&lt;=0,"",VLOOKUP(B139,country_opex,7,FALSE)/((S139*pax_cap*load_mid*ROUND(K139*L139*revleg_mid,0))-(((battery/range_nm)*D139*ROUND(K139*L139*revleg_mid,0)*VLOOKUP(B139,country_opex,3,FALSE))+V139+W139+X139+Y139+Z139)))</f>
        <v/>
      </c>
      <c r="AW139" s="43">
        <f>IF(((S139*pax_cap*load_full*ROUND(K139*L139*revleg_full,0))-(((battery/range_nm)*D139*ROUND(K139*L139*revleg_full,0)*VLOOKUP(B139,country_opex,3,FALSE))+V139+W139+X139+Y139+Z139))&lt;=0,"",VLOOKUP(B139,country_opex,7,FALSE)/((S139*pax_cap*load_full*ROUND(K139*L139*revleg_full,0))-(((battery/range_nm)*D139*ROUND(K139*L139*revleg_full,0)*VLOOKUP(B139,country_opex,3,FALSE))+V139+W139+X139+Y139+Z139)))</f>
        <v/>
      </c>
      <c r="AX139" s="44" t="inlineStr">
        <is>
          <t>Atlantis The Palm (1,544 rooms) road-served; premium marine arrival opportunity-to-create. T5/low.</t>
        </is>
      </c>
      <c r="AY139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40">
      <c r="A140" s="29" t="inlineStr">
        <is>
          <t>Yango</t>
        </is>
      </c>
      <c r="B140" s="29" t="inlineStr">
        <is>
          <t>United Arab Emirates</t>
        </is>
      </c>
      <c r="C140" s="30" t="inlineStr">
        <is>
          <t>Dubai Creek Marina → Al Seef Marine Transport Station</t>
        </is>
      </c>
      <c r="D140" s="31" t="n">
        <v>1.5</v>
      </c>
      <c r="E140" s="26" t="n">
        <v>41</v>
      </c>
      <c r="F140" s="32" t="inlineStr">
        <is>
          <t>T1</t>
        </is>
      </c>
      <c r="G140" s="32" t="inlineStr">
        <is>
          <t>high</t>
        </is>
      </c>
      <c r="H140" s="19" t="n">
        <v>1</v>
      </c>
      <c r="I140" s="33">
        <f>60*D140/cruise_kt</f>
        <v/>
      </c>
      <c r="J140" s="33">
        <f>I140+turn_min+dwell_min</f>
        <v/>
      </c>
      <c r="K140" s="34">
        <f>MIN(24,FLOOR(60*service_hr/J140,1))</f>
        <v/>
      </c>
      <c r="L140" s="34">
        <f>ROUND(365*mech_uptime*H140,0)</f>
        <v/>
      </c>
      <c r="M140" s="35">
        <f>mech_uptime</f>
        <v/>
      </c>
      <c r="N140" s="35">
        <f>revleg_sel</f>
        <v/>
      </c>
      <c r="O140" s="34">
        <f>ROUND(K140*L140*revleg_sel,0)</f>
        <v/>
      </c>
      <c r="P140" s="36">
        <f>load_sel</f>
        <v/>
      </c>
      <c r="Q140" s="36">
        <f>pax_cap*P140</f>
        <v/>
      </c>
      <c r="R140" s="34">
        <f>Q140*O140</f>
        <v/>
      </c>
      <c r="S140" s="37">
        <f>E140*discount</f>
        <v/>
      </c>
      <c r="T140" s="38">
        <f>S140*R140</f>
        <v/>
      </c>
      <c r="U140" s="38">
        <f>(battery/range_nm)*D140*O140*VLOOKUP(B140,country_opex,3,FALSE)</f>
        <v/>
      </c>
      <c r="V140" s="38">
        <f>VLOOKUP(B140,country_opex,2,FALSE)*crew_factor</f>
        <v/>
      </c>
      <c r="W140" s="38">
        <f>VLOOKUP(B140,country_opex,5,FALSE)</f>
        <v/>
      </c>
      <c r="X140" s="38">
        <f>maint</f>
        <v/>
      </c>
      <c r="Y140" s="38">
        <f>VLOOKUP(B140,country_opex,7,FALSE)*ins_pct</f>
        <v/>
      </c>
      <c r="Z140" s="38">
        <f>charge_berth</f>
        <v/>
      </c>
      <c r="AA140" s="38">
        <f>U140+V140+W140+X140+Y140+Z140</f>
        <v/>
      </c>
      <c r="AB140" s="38">
        <f>VLOOKUP(B140,country_opex,7,FALSE)/dep_years</f>
        <v/>
      </c>
      <c r="AC140" s="38">
        <f>T140-AA140</f>
        <v/>
      </c>
      <c r="AD140" s="35">
        <f>IF(T140=0,"",AC140/T140)</f>
        <v/>
      </c>
      <c r="AE140" s="36">
        <f>IF(AC140&lt;=0,"",VLOOKUP(B140,country_opex,7,FALSE)/AC140)</f>
        <v/>
      </c>
      <c r="AF140" s="33">
        <f>((D140*O140/diesel_nmpg)*diesel_co2pg-(battery/range_nm)*D140*O140*VLOOKUP(B140,country_opex,4,FALSE))/1000</f>
        <v/>
      </c>
      <c r="AG140" s="31" t="n">
        <v>120000</v>
      </c>
      <c r="AH140" s="32" t="inlineStr">
        <is>
          <t>T5</t>
        </is>
      </c>
      <c r="AI140" s="32" t="inlineStr">
        <is>
          <t>low</t>
        </is>
      </c>
      <c r="AJ140" s="39" t="n">
        <v>0.1</v>
      </c>
      <c r="AK140" s="34">
        <f>IF(AG140="","",AG140*AJ140)</f>
        <v/>
      </c>
      <c r="AL140" s="34">
        <f>IF(OR(AG140="",R140=0),"",MIN(IF(AT140="",9.9E+99,AT140),FLOOR(AK140/R140,1)))</f>
        <v/>
      </c>
      <c r="AM140" s="38">
        <f>IF(AL140="","",AL140*T140)</f>
        <v/>
      </c>
      <c r="AN140" s="36">
        <f>IF(OR(AG140="",R140=0),"",MIN(IF(AT140="",9.9E+99,AT140),AK140/R140))</f>
        <v/>
      </c>
      <c r="AO140" s="38">
        <f>IF(AN140="","",AN140*T140)</f>
        <v/>
      </c>
      <c r="AP140" s="40" t="n"/>
      <c r="AQ140" s="32" t="inlineStr">
        <is>
          <t>Grounded</t>
        </is>
      </c>
      <c r="AR140" s="41" t="n"/>
      <c r="AS140" s="41" t="n"/>
      <c r="AT140" s="42" t="n"/>
      <c r="AU140" s="43">
        <f>IF(((S140*pax_cap*load_thin*ROUND(K140*L140*revleg_thin,0))-(((battery/range_nm)*D140*ROUND(K140*L140*revleg_thin,0)*VLOOKUP(B140,country_opex,3,FALSE))+V140+W140+X140+Y140+Z140))&lt;=0,"",VLOOKUP(B140,country_opex,7,FALSE)/((S140*pax_cap*load_thin*ROUND(K140*L140*revleg_thin,0))-(((battery/range_nm)*D140*ROUND(K140*L140*revleg_thin,0)*VLOOKUP(B140,country_opex,3,FALSE))+V140+W140+X140+Y140+Z140)))</f>
        <v/>
      </c>
      <c r="AV140" s="43">
        <f>IF(((S140*pax_cap*load_mid*ROUND(K140*L140*revleg_mid,0))-(((battery/range_nm)*D140*ROUND(K140*L140*revleg_mid,0)*VLOOKUP(B140,country_opex,3,FALSE))+V140+W140+X140+Y140+Z140))&lt;=0,"",VLOOKUP(B140,country_opex,7,FALSE)/((S140*pax_cap*load_mid*ROUND(K140*L140*revleg_mid,0))-(((battery/range_nm)*D140*ROUND(K140*L140*revleg_mid,0)*VLOOKUP(B140,country_opex,3,FALSE))+V140+W140+X140+Y140+Z140)))</f>
        <v/>
      </c>
      <c r="AW140" s="43">
        <f>IF(((S140*pax_cap*load_full*ROUND(K140*L140*revleg_full,0))-(((battery/range_nm)*D140*ROUND(K140*L140*revleg_full,0)*VLOOKUP(B140,country_opex,3,FALSE))+V140+W140+X140+Y140+Z140))&lt;=0,"",VLOOKUP(B140,country_opex,7,FALSE)/((S140*pax_cap*load_full*ROUND(K140*L140*revleg_full,0))-(((battery/range_nm)*D140*ROUND(K140*L140*revleg_full,0)*VLOOKUP(B140,country_opex,3,FALSE))+V140+W140+X140+Y140+Z140)))</f>
        <v/>
      </c>
      <c r="AX140" s="44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AY140" s="44" t="inlineStr">
        <is>
          <t>18.4M RTA marine is ~all sub-1km abras (R3-ABRA); premium water-taxi/ferry tier is a small fraction.</t>
        </is>
      </c>
    </row>
    <row r="141">
      <c r="A141" s="29" t="inlineStr">
        <is>
          <t>Yango</t>
        </is>
      </c>
      <c r="B141" s="29" t="inlineStr">
        <is>
          <t>United Arab Emirates</t>
        </is>
      </c>
      <c r="C141" s="30" t="inlineStr">
        <is>
          <t>Yacht Marina → The Westin Dubai Mina Seyahi Beach Resort &amp; Marina</t>
        </is>
      </c>
      <c r="D141" s="31" t="n">
        <v>1.5</v>
      </c>
      <c r="E141" s="26" t="n">
        <v>95</v>
      </c>
      <c r="F141" s="32" t="inlineStr">
        <is>
          <t>T4</t>
        </is>
      </c>
      <c r="G141" s="32" t="inlineStr">
        <is>
          <t>low</t>
        </is>
      </c>
      <c r="H141" s="19" t="n">
        <v>1</v>
      </c>
      <c r="I141" s="33">
        <f>60*D141/cruise_kt</f>
        <v/>
      </c>
      <c r="J141" s="33">
        <f>I141+turn_min+dwell_min</f>
        <v/>
      </c>
      <c r="K141" s="34">
        <f>MIN(24,FLOOR(60*service_hr/J141,1))</f>
        <v/>
      </c>
      <c r="L141" s="34">
        <f>ROUND(365*mech_uptime*H141,0)</f>
        <v/>
      </c>
      <c r="M141" s="35">
        <f>mech_uptime</f>
        <v/>
      </c>
      <c r="N141" s="35">
        <f>revleg_sel</f>
        <v/>
      </c>
      <c r="O141" s="34">
        <f>ROUND(K141*L141*revleg_sel,0)</f>
        <v/>
      </c>
      <c r="P141" s="36">
        <f>load_sel</f>
        <v/>
      </c>
      <c r="Q141" s="36">
        <f>pax_cap*P141</f>
        <v/>
      </c>
      <c r="R141" s="34">
        <f>Q141*O141</f>
        <v/>
      </c>
      <c r="S141" s="37">
        <f>E141*discount</f>
        <v/>
      </c>
      <c r="T141" s="38">
        <f>S141*R141</f>
        <v/>
      </c>
      <c r="U141" s="38">
        <f>(battery/range_nm)*D141*O141*VLOOKUP(B141,country_opex,3,FALSE)</f>
        <v/>
      </c>
      <c r="V141" s="38">
        <f>VLOOKUP(B141,country_opex,2,FALSE)*crew_factor</f>
        <v/>
      </c>
      <c r="W141" s="38">
        <f>VLOOKUP(B141,country_opex,5,FALSE)</f>
        <v/>
      </c>
      <c r="X141" s="38">
        <f>maint</f>
        <v/>
      </c>
      <c r="Y141" s="38">
        <f>VLOOKUP(B141,country_opex,7,FALSE)*ins_pct</f>
        <v/>
      </c>
      <c r="Z141" s="38">
        <f>charge_berth</f>
        <v/>
      </c>
      <c r="AA141" s="38">
        <f>U141+V141+W141+X141+Y141+Z141</f>
        <v/>
      </c>
      <c r="AB141" s="38">
        <f>VLOOKUP(B141,country_opex,7,FALSE)/dep_years</f>
        <v/>
      </c>
      <c r="AC141" s="38">
        <f>T141-AA141</f>
        <v/>
      </c>
      <c r="AD141" s="35">
        <f>IF(T141=0,"",AC141/T141)</f>
        <v/>
      </c>
      <c r="AE141" s="36">
        <f>IF(AC141&lt;=0,"",VLOOKUP(B141,country_opex,7,FALSE)/AC141)</f>
        <v/>
      </c>
      <c r="AF141" s="33">
        <f>((D141*O141/diesel_nmpg)*diesel_co2pg-(battery/range_nm)*D141*O141*VLOOKUP(B141,country_opex,4,FALSE))/1000</f>
        <v/>
      </c>
      <c r="AG141" s="31" t="n">
        <v>25000</v>
      </c>
      <c r="AH141" s="32" t="inlineStr">
        <is>
          <t>T3</t>
        </is>
      </c>
      <c r="AI141" s="32" t="inlineStr">
        <is>
          <t>low</t>
        </is>
      </c>
      <c r="AJ141" s="39" t="n">
        <v>0.1</v>
      </c>
      <c r="AK141" s="34">
        <f>IF(AG141="","",AG141*AJ141)</f>
        <v/>
      </c>
      <c r="AL141" s="34">
        <f>IF(OR(AG141="",R141=0),"",MIN(IF(AT141="",9.9E+99,AT141),FLOOR(AK141/R141,1)))</f>
        <v/>
      </c>
      <c r="AM141" s="38">
        <f>IF(AL141="","",AL141*T141)</f>
        <v/>
      </c>
      <c r="AN141" s="36">
        <f>IF(OR(AG141="",R141=0),"",MIN(IF(AT141="",9.9E+99,AT141),AK141/R141))</f>
        <v/>
      </c>
      <c r="AO141" s="38">
        <f>IF(AN141="","",AN141*T141)</f>
        <v/>
      </c>
      <c r="AP141" s="40" t="n"/>
      <c r="AQ141" s="32" t="inlineStr">
        <is>
          <t>Grounded</t>
        </is>
      </c>
      <c r="AR141" s="41" t="n"/>
      <c r="AS141" s="41" t="n"/>
      <c r="AT141" s="42" t="n"/>
      <c r="AU141" s="43">
        <f>IF(((S141*pax_cap*load_thin*ROUND(K141*L141*revleg_thin,0))-(((battery/range_nm)*D141*ROUND(K141*L141*revleg_thin,0)*VLOOKUP(B141,country_opex,3,FALSE))+V141+W141+X141+Y141+Z141))&lt;=0,"",VLOOKUP(B141,country_opex,7,FALSE)/((S141*pax_cap*load_thin*ROUND(K141*L141*revleg_thin,0))-(((battery/range_nm)*D141*ROUND(K141*L141*revleg_thin,0)*VLOOKUP(B141,country_opex,3,FALSE))+V141+W141+X141+Y141+Z141)))</f>
        <v/>
      </c>
      <c r="AV141" s="43">
        <f>IF(((S141*pax_cap*load_mid*ROUND(K141*L141*revleg_mid,0))-(((battery/range_nm)*D141*ROUND(K141*L141*revleg_mid,0)*VLOOKUP(B141,country_opex,3,FALSE))+V141+W141+X141+Y141+Z141))&lt;=0,"",VLOOKUP(B141,country_opex,7,FALSE)/((S141*pax_cap*load_mid*ROUND(K141*L141*revleg_mid,0))-(((battery/range_nm)*D141*ROUND(K141*L141*revleg_mid,0)*VLOOKUP(B141,country_opex,3,FALSE))+V141+W141+X141+Y141+Z141)))</f>
        <v/>
      </c>
      <c r="AW141" s="43">
        <f>IF(((S141*pax_cap*load_full*ROUND(K141*L141*revleg_full,0))-(((battery/range_nm)*D141*ROUND(K141*L141*revleg_full,0)*VLOOKUP(B141,country_opex,3,FALSE))+V141+W141+X141+Y141+Z141))&lt;=0,"",VLOOKUP(B141,country_opex,7,FALSE)/((S141*pax_cap*load_full*ROUND(K141*L141*revleg_full,0))-(((battery/range_nm)*D141*ROUND(K141*L141*revleg_full,0)*VLOOKUP(B141,country_opex,3,FALSE))+V141+W141+X141+Y141+Z141)))</f>
        <v/>
      </c>
      <c r="AX141" s="44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AY141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2">
      <c r="A142" s="29" t="inlineStr">
        <is>
          <t>Yango</t>
        </is>
      </c>
      <c r="B142" s="29" t="inlineStr">
        <is>
          <t>United Arab Emirates</t>
        </is>
      </c>
      <c r="C142" s="30" t="inlineStr">
        <is>
          <t>Marina Mall / Breakwater Marina → Lulu Island Jetty</t>
        </is>
      </c>
      <c r="D142" s="31" t="n">
        <v>1.7</v>
      </c>
      <c r="E142" s="26" t="n">
        <v>45</v>
      </c>
      <c r="F142" s="32" t="inlineStr">
        <is>
          <t>T4</t>
        </is>
      </c>
      <c r="G142" s="32" t="inlineStr">
        <is>
          <t>low</t>
        </is>
      </c>
      <c r="H142" s="19" t="n">
        <v>1</v>
      </c>
      <c r="I142" s="33">
        <f>60*D142/cruise_kt</f>
        <v/>
      </c>
      <c r="J142" s="33">
        <f>I142+turn_min+dwell_min</f>
        <v/>
      </c>
      <c r="K142" s="34">
        <f>MIN(24,FLOOR(60*service_hr/J142,1))</f>
        <v/>
      </c>
      <c r="L142" s="34">
        <f>ROUND(365*mech_uptime*H142,0)</f>
        <v/>
      </c>
      <c r="M142" s="35">
        <f>mech_uptime</f>
        <v/>
      </c>
      <c r="N142" s="35">
        <f>revleg_sel</f>
        <v/>
      </c>
      <c r="O142" s="34">
        <f>ROUND(K142*L142*revleg_sel,0)</f>
        <v/>
      </c>
      <c r="P142" s="36">
        <f>load_sel</f>
        <v/>
      </c>
      <c r="Q142" s="36">
        <f>pax_cap*P142</f>
        <v/>
      </c>
      <c r="R142" s="34">
        <f>Q142*O142</f>
        <v/>
      </c>
      <c r="S142" s="37">
        <f>E142*discount</f>
        <v/>
      </c>
      <c r="T142" s="38">
        <f>S142*R142</f>
        <v/>
      </c>
      <c r="U142" s="38">
        <f>(battery/range_nm)*D142*O142*VLOOKUP(B142,country_opex,3,FALSE)</f>
        <v/>
      </c>
      <c r="V142" s="38">
        <f>VLOOKUP(B142,country_opex,2,FALSE)*crew_factor</f>
        <v/>
      </c>
      <c r="W142" s="38">
        <f>VLOOKUP(B142,country_opex,5,FALSE)</f>
        <v/>
      </c>
      <c r="X142" s="38">
        <f>maint</f>
        <v/>
      </c>
      <c r="Y142" s="38">
        <f>VLOOKUP(B142,country_opex,7,FALSE)*ins_pct</f>
        <v/>
      </c>
      <c r="Z142" s="38">
        <f>charge_berth</f>
        <v/>
      </c>
      <c r="AA142" s="38">
        <f>U142+V142+W142+X142+Y142+Z142</f>
        <v/>
      </c>
      <c r="AB142" s="38">
        <f>VLOOKUP(B142,country_opex,7,FALSE)/dep_years</f>
        <v/>
      </c>
      <c r="AC142" s="38">
        <f>T142-AA142</f>
        <v/>
      </c>
      <c r="AD142" s="35">
        <f>IF(T142=0,"",AC142/T142)</f>
        <v/>
      </c>
      <c r="AE142" s="36">
        <f>IF(AC142&lt;=0,"",VLOOKUP(B142,country_opex,7,FALSE)/AC142)</f>
        <v/>
      </c>
      <c r="AF142" s="33">
        <f>((D142*O142/diesel_nmpg)*diesel_co2pg-(battery/range_nm)*D142*O142*VLOOKUP(B142,country_opex,4,FALSE))/1000</f>
        <v/>
      </c>
      <c r="AG142" s="31" t="n">
        <v>20000</v>
      </c>
      <c r="AH142" s="32" t="inlineStr">
        <is>
          <t>T5</t>
        </is>
      </c>
      <c r="AI142" s="32" t="inlineStr">
        <is>
          <t>low</t>
        </is>
      </c>
      <c r="AJ142" s="39" t="n">
        <v>0.1</v>
      </c>
      <c r="AK142" s="34">
        <f>IF(AG142="","",AG142*AJ142)</f>
        <v/>
      </c>
      <c r="AL142" s="34">
        <f>IF(OR(AG142="",R142=0),"",MIN(IF(AT142="",9.9E+99,AT142),FLOOR(AK142/R142,1)))</f>
        <v/>
      </c>
      <c r="AM142" s="38">
        <f>IF(AL142="","",AL142*T142)</f>
        <v/>
      </c>
      <c r="AN142" s="36">
        <f>IF(OR(AG142="",R142=0),"",MIN(IF(AT142="",9.9E+99,AT142),AK142/R142))</f>
        <v/>
      </c>
      <c r="AO142" s="38">
        <f>IF(AN142="","",AN142*T142)</f>
        <v/>
      </c>
      <c r="AP142" s="40" t="n"/>
      <c r="AQ142" s="32" t="inlineStr">
        <is>
          <t>Grounded</t>
        </is>
      </c>
      <c r="AR142" s="41" t="n"/>
      <c r="AS142" s="41" t="n"/>
      <c r="AT142" s="42" t="n"/>
      <c r="AU142" s="43">
        <f>IF(((S142*pax_cap*load_thin*ROUND(K142*L142*revleg_thin,0))-(((battery/range_nm)*D142*ROUND(K142*L142*revleg_thin,0)*VLOOKUP(B142,country_opex,3,FALSE))+V142+W142+X142+Y142+Z142))&lt;=0,"",VLOOKUP(B142,country_opex,7,FALSE)/((S142*pax_cap*load_thin*ROUND(K142*L142*revleg_thin,0))-(((battery/range_nm)*D142*ROUND(K142*L142*revleg_thin,0)*VLOOKUP(B142,country_opex,3,FALSE))+V142+W142+X142+Y142+Z142)))</f>
        <v/>
      </c>
      <c r="AV142" s="43">
        <f>IF(((S142*pax_cap*load_mid*ROUND(K142*L142*revleg_mid,0))-(((battery/range_nm)*D142*ROUND(K142*L142*revleg_mid,0)*VLOOKUP(B142,country_opex,3,FALSE))+V142+W142+X142+Y142+Z142))&lt;=0,"",VLOOKUP(B142,country_opex,7,FALSE)/((S142*pax_cap*load_mid*ROUND(K142*L142*revleg_mid,0))-(((battery/range_nm)*D142*ROUND(K142*L142*revleg_mid,0)*VLOOKUP(B142,country_opex,3,FALSE))+V142+W142+X142+Y142+Z142)))</f>
        <v/>
      </c>
      <c r="AW142" s="43">
        <f>IF(((S142*pax_cap*load_full*ROUND(K142*L142*revleg_full,0))-(((battery/range_nm)*D142*ROUND(K142*L142*revleg_full,0)*VLOOKUP(B142,country_opex,3,FALSE))+V142+W142+X142+Y142+Z142))&lt;=0,"",VLOOKUP(B142,country_opex,7,FALSE)/((S142*pax_cap*load_full*ROUND(K142*L142*revleg_full,0))-(((battery/range_nm)*D142*ROUND(K142*L142*revleg_full,0)*VLOOKUP(B142,country_opex,3,FALSE))+V142+W142+X142+Y142+Z142)))</f>
        <v/>
      </c>
      <c r="AX142" s="44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AY142" s="44" t="inlineStr">
        <is>
          <t>Lulu boat-only (R3-EXCEPTION) but undeveloped/limited-access -&gt; small day-visit pool.</t>
        </is>
      </c>
    </row>
    <row r="143">
      <c r="A143" s="29" t="inlineStr">
        <is>
          <t>Yango</t>
        </is>
      </c>
      <c r="B143" s="29" t="inlineStr">
        <is>
          <t>United Arab Emirates</t>
        </is>
      </c>
      <c r="C143" s="30" t="inlineStr">
        <is>
          <t>Dubai Harbour Marina → Palm Jumeirah Marina West</t>
        </is>
      </c>
      <c r="D143" s="31" t="n">
        <v>2.1</v>
      </c>
      <c r="E143" s="26" t="n">
        <v>48</v>
      </c>
      <c r="F143" s="32" t="inlineStr">
        <is>
          <t>T1</t>
        </is>
      </c>
      <c r="G143" s="32" t="inlineStr">
        <is>
          <t>high</t>
        </is>
      </c>
      <c r="H143" s="19" t="n">
        <v>1</v>
      </c>
      <c r="I143" s="33">
        <f>60*D143/cruise_kt</f>
        <v/>
      </c>
      <c r="J143" s="33">
        <f>I143+turn_min+dwell_min</f>
        <v/>
      </c>
      <c r="K143" s="34">
        <f>MIN(24,FLOOR(60*service_hr/J143,1))</f>
        <v/>
      </c>
      <c r="L143" s="34">
        <f>ROUND(365*mech_uptime*H143,0)</f>
        <v/>
      </c>
      <c r="M143" s="35">
        <f>mech_uptime</f>
        <v/>
      </c>
      <c r="N143" s="35">
        <f>revleg_sel</f>
        <v/>
      </c>
      <c r="O143" s="34">
        <f>ROUND(K143*L143*revleg_sel,0)</f>
        <v/>
      </c>
      <c r="P143" s="36">
        <f>load_sel</f>
        <v/>
      </c>
      <c r="Q143" s="36">
        <f>pax_cap*P143</f>
        <v/>
      </c>
      <c r="R143" s="34">
        <f>Q143*O143</f>
        <v/>
      </c>
      <c r="S143" s="37">
        <f>E143*discount</f>
        <v/>
      </c>
      <c r="T143" s="38">
        <f>S143*R143</f>
        <v/>
      </c>
      <c r="U143" s="38">
        <f>(battery/range_nm)*D143*O143*VLOOKUP(B143,country_opex,3,FALSE)</f>
        <v/>
      </c>
      <c r="V143" s="38">
        <f>VLOOKUP(B143,country_opex,2,FALSE)*crew_factor</f>
        <v/>
      </c>
      <c r="W143" s="38">
        <f>VLOOKUP(B143,country_opex,5,FALSE)</f>
        <v/>
      </c>
      <c r="X143" s="38">
        <f>maint</f>
        <v/>
      </c>
      <c r="Y143" s="38">
        <f>VLOOKUP(B143,country_opex,7,FALSE)*ins_pct</f>
        <v/>
      </c>
      <c r="Z143" s="38">
        <f>charge_berth</f>
        <v/>
      </c>
      <c r="AA143" s="38">
        <f>U143+V143+W143+X143+Y143+Z143</f>
        <v/>
      </c>
      <c r="AB143" s="38">
        <f>VLOOKUP(B143,country_opex,7,FALSE)/dep_years</f>
        <v/>
      </c>
      <c r="AC143" s="38">
        <f>T143-AA143</f>
        <v/>
      </c>
      <c r="AD143" s="35">
        <f>IF(T143=0,"",AC143/T143)</f>
        <v/>
      </c>
      <c r="AE143" s="36">
        <f>IF(AC143&lt;=0,"",VLOOKUP(B143,country_opex,7,FALSE)/AC143)</f>
        <v/>
      </c>
      <c r="AF143" s="33">
        <f>((D143*O143/diesel_nmpg)*diesel_co2pg-(battery/range_nm)*D143*O143*VLOOKUP(B143,country_opex,4,FALSE))/1000</f>
        <v/>
      </c>
      <c r="AG143" s="31" t="n">
        <v>35000</v>
      </c>
      <c r="AH143" s="32" t="inlineStr">
        <is>
          <t>T3</t>
        </is>
      </c>
      <c r="AI143" s="32" t="inlineStr">
        <is>
          <t>low</t>
        </is>
      </c>
      <c r="AJ143" s="39" t="n">
        <v>0.1</v>
      </c>
      <c r="AK143" s="34">
        <f>IF(AG143="","",AG143*AJ143)</f>
        <v/>
      </c>
      <c r="AL143" s="34">
        <f>IF(OR(AG143="",R143=0),"",MIN(IF(AT143="",9.9E+99,AT143),FLOOR(AK143/R143,1)))</f>
        <v/>
      </c>
      <c r="AM143" s="38">
        <f>IF(AL143="","",AL143*T143)</f>
        <v/>
      </c>
      <c r="AN143" s="36">
        <f>IF(OR(AG143="",R143=0),"",MIN(IF(AT143="",9.9E+99,AT143),AK143/R143))</f>
        <v/>
      </c>
      <c r="AO143" s="38">
        <f>IF(AN143="","",AN143*T143)</f>
        <v/>
      </c>
      <c r="AP143" s="40" t="n"/>
      <c r="AQ143" s="32" t="inlineStr">
        <is>
          <t>Grounded</t>
        </is>
      </c>
      <c r="AR143" s="41" t="n"/>
      <c r="AS143" s="41" t="n"/>
      <c r="AT143" s="42" t="n"/>
      <c r="AU143" s="43">
        <f>IF(((S143*pax_cap*load_thin*ROUND(K143*L143*revleg_thin,0))-(((battery/range_nm)*D143*ROUND(K143*L143*revleg_thin,0)*VLOOKUP(B143,country_opex,3,FALSE))+V143+W143+X143+Y143+Z143))&lt;=0,"",VLOOKUP(B143,country_opex,7,FALSE)/((S143*pax_cap*load_thin*ROUND(K143*L143*revleg_thin,0))-(((battery/range_nm)*D143*ROUND(K143*L143*revleg_thin,0)*VLOOKUP(B143,country_opex,3,FALSE))+V143+W143+X143+Y143+Z143)))</f>
        <v/>
      </c>
      <c r="AV143" s="43">
        <f>IF(((S143*pax_cap*load_mid*ROUND(K143*L143*revleg_mid,0))-(((battery/range_nm)*D143*ROUND(K143*L143*revleg_mid,0)*VLOOKUP(B143,country_opex,3,FALSE))+V143+W143+X143+Y143+Z143))&lt;=0,"",VLOOKUP(B143,country_opex,7,FALSE)/((S143*pax_cap*load_mid*ROUND(K143*L143*revleg_mid,0))-(((battery/range_nm)*D143*ROUND(K143*L143*revleg_mid,0)*VLOOKUP(B143,country_opex,3,FALSE))+V143+W143+X143+Y143+Z143)))</f>
        <v/>
      </c>
      <c r="AW143" s="43">
        <f>IF(((S143*pax_cap*load_full*ROUND(K143*L143*revleg_full,0))-(((battery/range_nm)*D143*ROUND(K143*L143*revleg_full,0)*VLOOKUP(B143,country_opex,3,FALSE))+V143+W143+X143+Y143+Z143))&lt;=0,"",VLOOKUP(B143,country_opex,7,FALSE)/((S143*pax_cap*load_full*ROUND(K143*L143*revleg_full,0))-(((battery/range_nm)*D143*ROUND(K143*L143*revleg_full,0)*VLOOKUP(B143,country_opex,3,FALSE))+V143+W143+X143+Y143+Z143)))</f>
        <v/>
      </c>
      <c r="AX143" s="44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AY14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4">
      <c r="A144" s="29" t="inlineStr">
        <is>
          <t>Yango</t>
        </is>
      </c>
      <c r="B144" s="29" t="inlineStr">
        <is>
          <t>United Arab Emirates</t>
        </is>
      </c>
      <c r="C144" s="30" t="inlineStr">
        <is>
          <t>Al Bateen Marina → Emirates Palace Marina</t>
        </is>
      </c>
      <c r="D144" s="31" t="n">
        <v>2.2</v>
      </c>
      <c r="E144" s="26" t="n">
        <v>150</v>
      </c>
      <c r="F144" s="32" t="inlineStr">
        <is>
          <t>T5</t>
        </is>
      </c>
      <c r="G144" s="32" t="inlineStr">
        <is>
          <t>low</t>
        </is>
      </c>
      <c r="H144" s="19" t="n">
        <v>1</v>
      </c>
      <c r="I144" s="33">
        <f>60*D144/cruise_kt</f>
        <v/>
      </c>
      <c r="J144" s="33">
        <f>I144+turn_min+dwell_min</f>
        <v/>
      </c>
      <c r="K144" s="34">
        <f>MIN(24,FLOOR(60*service_hr/J144,1))</f>
        <v/>
      </c>
      <c r="L144" s="34">
        <f>ROUND(365*mech_uptime*H144,0)</f>
        <v/>
      </c>
      <c r="M144" s="35">
        <f>mech_uptime</f>
        <v/>
      </c>
      <c r="N144" s="35">
        <f>revleg_sel</f>
        <v/>
      </c>
      <c r="O144" s="34">
        <f>ROUND(K144*L144*revleg_sel,0)</f>
        <v/>
      </c>
      <c r="P144" s="36">
        <f>load_sel</f>
        <v/>
      </c>
      <c r="Q144" s="36">
        <f>pax_cap*P144</f>
        <v/>
      </c>
      <c r="R144" s="34">
        <f>Q144*O144</f>
        <v/>
      </c>
      <c r="S144" s="37">
        <f>E144*discount</f>
        <v/>
      </c>
      <c r="T144" s="38">
        <f>S144*R144</f>
        <v/>
      </c>
      <c r="U144" s="38">
        <f>(battery/range_nm)*D144*O144*VLOOKUP(B144,country_opex,3,FALSE)</f>
        <v/>
      </c>
      <c r="V144" s="38">
        <f>VLOOKUP(B144,country_opex,2,FALSE)*crew_factor</f>
        <v/>
      </c>
      <c r="W144" s="38">
        <f>VLOOKUP(B144,country_opex,5,FALSE)</f>
        <v/>
      </c>
      <c r="X144" s="38">
        <f>maint</f>
        <v/>
      </c>
      <c r="Y144" s="38">
        <f>VLOOKUP(B144,country_opex,7,FALSE)*ins_pct</f>
        <v/>
      </c>
      <c r="Z144" s="38">
        <f>charge_berth</f>
        <v/>
      </c>
      <c r="AA144" s="38">
        <f>U144+V144+W144+X144+Y144+Z144</f>
        <v/>
      </c>
      <c r="AB144" s="38">
        <f>VLOOKUP(B144,country_opex,7,FALSE)/dep_years</f>
        <v/>
      </c>
      <c r="AC144" s="38">
        <f>T144-AA144</f>
        <v/>
      </c>
      <c r="AD144" s="35">
        <f>IF(T144=0,"",AC144/T144)</f>
        <v/>
      </c>
      <c r="AE144" s="36">
        <f>IF(AC144&lt;=0,"",VLOOKUP(B144,country_opex,7,FALSE)/AC144)</f>
        <v/>
      </c>
      <c r="AF144" s="33">
        <f>((D144*O144/diesel_nmpg)*diesel_co2pg-(battery/range_nm)*D144*O144*VLOOKUP(B144,country_opex,4,FALSE))/1000</f>
        <v/>
      </c>
      <c r="AG144" s="31" t="n">
        <v>20000</v>
      </c>
      <c r="AH144" s="32" t="inlineStr">
        <is>
          <t>T3</t>
        </is>
      </c>
      <c r="AI144" s="32" t="inlineStr">
        <is>
          <t>low</t>
        </is>
      </c>
      <c r="AJ144" s="39" t="n">
        <v>0.1</v>
      </c>
      <c r="AK144" s="34">
        <f>IF(AG144="","",AG144*AJ144)</f>
        <v/>
      </c>
      <c r="AL144" s="34">
        <f>IF(OR(AG144="",R144=0),"",MIN(IF(AT144="",9.9E+99,AT144),FLOOR(AK144/R144,1)))</f>
        <v/>
      </c>
      <c r="AM144" s="38">
        <f>IF(AL144="","",AL144*T144)</f>
        <v/>
      </c>
      <c r="AN144" s="36">
        <f>IF(OR(AG144="",R144=0),"",MIN(IF(AT144="",9.9E+99,AT144),AK144/R144))</f>
        <v/>
      </c>
      <c r="AO144" s="38">
        <f>IF(AN144="","",AN144*T144)</f>
        <v/>
      </c>
      <c r="AP144" s="40" t="n"/>
      <c r="AQ144" s="32" t="inlineStr">
        <is>
          <t>Grounded</t>
        </is>
      </c>
      <c r="AR144" s="41" t="n"/>
      <c r="AS144" s="41" t="n"/>
      <c r="AT144" s="42" t="n"/>
      <c r="AU144" s="43">
        <f>IF(((S144*pax_cap*load_thin*ROUND(K144*L144*revleg_thin,0))-(((battery/range_nm)*D144*ROUND(K144*L144*revleg_thin,0)*VLOOKUP(B144,country_opex,3,FALSE))+V144+W144+X144+Y144+Z144))&lt;=0,"",VLOOKUP(B144,country_opex,7,FALSE)/((S144*pax_cap*load_thin*ROUND(K144*L144*revleg_thin,0))-(((battery/range_nm)*D144*ROUND(K144*L144*revleg_thin,0)*VLOOKUP(B144,country_opex,3,FALSE))+V144+W144+X144+Y144+Z144)))</f>
        <v/>
      </c>
      <c r="AV144" s="43">
        <f>IF(((S144*pax_cap*load_mid*ROUND(K144*L144*revleg_mid,0))-(((battery/range_nm)*D144*ROUND(K144*L144*revleg_mid,0)*VLOOKUP(B144,country_opex,3,FALSE))+V144+W144+X144+Y144+Z144))&lt;=0,"",VLOOKUP(B144,country_opex,7,FALSE)/((S144*pax_cap*load_mid*ROUND(K144*L144*revleg_mid,0))-(((battery/range_nm)*D144*ROUND(K144*L144*revleg_mid,0)*VLOOKUP(B144,country_opex,3,FALSE))+V144+W144+X144+Y144+Z144)))</f>
        <v/>
      </c>
      <c r="AW144" s="43">
        <f>IF(((S144*pax_cap*load_full*ROUND(K144*L144*revleg_full,0))-(((battery/range_nm)*D144*ROUND(K144*L144*revleg_full,0)*VLOOKUP(B144,country_opex,3,FALSE))+V144+W144+X144+Y144+Z144))&lt;=0,"",VLOOKUP(B144,country_opex,7,FALSE)/((S144*pax_cap*load_full*ROUND(K144*L144*revleg_full,0))-(((battery/range_nm)*D144*ROUND(K144*L144*revleg_full,0)*VLOOKUP(B144,country_opex,3,FALSE))+V144+W144+X144+Y144+Z144)))</f>
        <v/>
      </c>
      <c r="AX144" s="44" t="inlineStr">
        <is>
          <t>Emirates Palace (flagship AD luxury hotel) marina arrival; road-served; opportunity-to-create. T5/low.</t>
        </is>
      </c>
      <c r="AY14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5">
      <c r="A145" s="29" t="inlineStr">
        <is>
          <t>Yango</t>
        </is>
      </c>
      <c r="B145" s="29" t="inlineStr">
        <is>
          <t>United Arab Emirates</t>
        </is>
      </c>
      <c r="C145" s="30" t="inlineStr">
        <is>
          <t>Côte d'Azur Resort Marina (Heart of Europe) → Anantara World Islands Resort Jetty (planned)</t>
        </is>
      </c>
      <c r="D145" s="31" t="n">
        <v>2.4</v>
      </c>
      <c r="E145" s="26" t="n">
        <v>150</v>
      </c>
      <c r="F145" s="32" t="inlineStr">
        <is>
          <t>T5</t>
        </is>
      </c>
      <c r="G145" s="32" t="inlineStr">
        <is>
          <t>low</t>
        </is>
      </c>
      <c r="H145" s="19" t="n">
        <v>1</v>
      </c>
      <c r="I145" s="33">
        <f>60*D145/cruise_kt</f>
        <v/>
      </c>
      <c r="J145" s="33">
        <f>I145+turn_min+dwell_min</f>
        <v/>
      </c>
      <c r="K145" s="34">
        <f>MIN(24,FLOOR(60*service_hr/J145,1))</f>
        <v/>
      </c>
      <c r="L145" s="34">
        <f>ROUND(365*mech_uptime*H145,0)</f>
        <v/>
      </c>
      <c r="M145" s="35">
        <f>mech_uptime</f>
        <v/>
      </c>
      <c r="N145" s="35">
        <f>revleg_sel</f>
        <v/>
      </c>
      <c r="O145" s="34">
        <f>ROUND(K145*L145*revleg_sel,0)</f>
        <v/>
      </c>
      <c r="P145" s="36">
        <f>load_sel</f>
        <v/>
      </c>
      <c r="Q145" s="36">
        <f>pax_cap*P145</f>
        <v/>
      </c>
      <c r="R145" s="34">
        <f>Q145*O145</f>
        <v/>
      </c>
      <c r="S145" s="37">
        <f>E145*discount</f>
        <v/>
      </c>
      <c r="T145" s="38">
        <f>S145*R145</f>
        <v/>
      </c>
      <c r="U145" s="38">
        <f>(battery/range_nm)*D145*O145*VLOOKUP(B145,country_opex,3,FALSE)</f>
        <v/>
      </c>
      <c r="V145" s="38">
        <f>VLOOKUP(B145,country_opex,2,FALSE)*crew_factor</f>
        <v/>
      </c>
      <c r="W145" s="38">
        <f>VLOOKUP(B145,country_opex,5,FALSE)</f>
        <v/>
      </c>
      <c r="X145" s="38">
        <f>maint</f>
        <v/>
      </c>
      <c r="Y145" s="38">
        <f>VLOOKUP(B145,country_opex,7,FALSE)*ins_pct</f>
        <v/>
      </c>
      <c r="Z145" s="38">
        <f>charge_berth</f>
        <v/>
      </c>
      <c r="AA145" s="38">
        <f>U145+V145+W145+X145+Y145+Z145</f>
        <v/>
      </c>
      <c r="AB145" s="38">
        <f>VLOOKUP(B145,country_opex,7,FALSE)/dep_years</f>
        <v/>
      </c>
      <c r="AC145" s="38">
        <f>T145-AA145</f>
        <v/>
      </c>
      <c r="AD145" s="35">
        <f>IF(T145=0,"",AC145/T145)</f>
        <v/>
      </c>
      <c r="AE145" s="36">
        <f>IF(AC145&lt;=0,"",VLOOKUP(B145,country_opex,7,FALSE)/AC145)</f>
        <v/>
      </c>
      <c r="AF145" s="33">
        <f>((D145*O145/diesel_nmpg)*diesel_co2pg-(battery/range_nm)*D145*O145*VLOOKUP(B145,country_opex,4,FALSE))/1000</f>
        <v/>
      </c>
      <c r="AG145" s="31" t="n">
        <v>25000</v>
      </c>
      <c r="AH145" s="32" t="inlineStr">
        <is>
          <t>T3</t>
        </is>
      </c>
      <c r="AI145" s="32" t="inlineStr">
        <is>
          <t>low</t>
        </is>
      </c>
      <c r="AJ145" s="39" t="n">
        <v>0.1</v>
      </c>
      <c r="AK145" s="34">
        <f>IF(AG145="","",AG145*AJ145)</f>
        <v/>
      </c>
      <c r="AL145" s="34">
        <f>IF(OR(AG145="",R145=0),"",MIN(IF(AT145="",9.9E+99,AT145),FLOOR(AK145/R145,1)))</f>
        <v/>
      </c>
      <c r="AM145" s="38">
        <f>IF(AL145="","",AL145*T145)</f>
        <v/>
      </c>
      <c r="AN145" s="36">
        <f>IF(OR(AG145="",R145=0),"",MIN(IF(AT145="",9.9E+99,AT145),AK145/R145))</f>
        <v/>
      </c>
      <c r="AO145" s="38">
        <f>IF(AN145="","",AN145*T145)</f>
        <v/>
      </c>
      <c r="AP145" s="40" t="n"/>
      <c r="AQ145" s="32" t="inlineStr">
        <is>
          <t>Grounded</t>
        </is>
      </c>
      <c r="AR145" s="41" t="n"/>
      <c r="AS145" s="41" t="n"/>
      <c r="AT145" s="42" t="n"/>
      <c r="AU145" s="43">
        <f>IF(((S145*pax_cap*load_thin*ROUND(K145*L145*revleg_thin,0))-(((battery/range_nm)*D145*ROUND(K145*L145*revleg_thin,0)*VLOOKUP(B145,country_opex,3,FALSE))+V145+W145+X145+Y145+Z145))&lt;=0,"",VLOOKUP(B145,country_opex,7,FALSE)/((S145*pax_cap*load_thin*ROUND(K145*L145*revleg_thin,0))-(((battery/range_nm)*D145*ROUND(K145*L145*revleg_thin,0)*VLOOKUP(B145,country_opex,3,FALSE))+V145+W145+X145+Y145+Z145)))</f>
        <v/>
      </c>
      <c r="AV145" s="43">
        <f>IF(((S145*pax_cap*load_mid*ROUND(K145*L145*revleg_mid,0))-(((battery/range_nm)*D145*ROUND(K145*L145*revleg_mid,0)*VLOOKUP(B145,country_opex,3,FALSE))+V145+W145+X145+Y145+Z145))&lt;=0,"",VLOOKUP(B145,country_opex,7,FALSE)/((S145*pax_cap*load_mid*ROUND(K145*L145*revleg_mid,0))-(((battery/range_nm)*D145*ROUND(K145*L145*revleg_mid,0)*VLOOKUP(B145,country_opex,3,FALSE))+V145+W145+X145+Y145+Z145)))</f>
        <v/>
      </c>
      <c r="AW145" s="43">
        <f>IF(((S145*pax_cap*load_full*ROUND(K145*L145*revleg_full,0))-(((battery/range_nm)*D145*ROUND(K145*L145*revleg_full,0)*VLOOKUP(B145,country_opex,3,FALSE))+V145+W145+X145+Y145+Z145))&lt;=0,"",VLOOKUP(B145,country_opex,7,FALSE)/((S145*pax_cap*load_full*ROUND(K145*L145*revleg_full,0))-(((battery/range_nm)*D145*ROUND(K145*L145*revleg_full,0)*VLOOKUP(B145,country_opex,3,FALSE))+V145+W145+X145+Y145+Z145)))</f>
        <v/>
      </c>
      <c r="AX145" s="44" t="inlineStr">
        <is>
          <t>Intra-The-World offshore hop; both boat-only. Greenfield premium per-seat. T5/low.</t>
        </is>
      </c>
      <c r="AY145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6">
      <c r="A146" s="29" t="inlineStr">
        <is>
          <t>Yango</t>
        </is>
      </c>
      <c r="B146" s="29" t="inlineStr">
        <is>
          <t>United Arab Emirates</t>
        </is>
      </c>
      <c r="C146" s="30" t="inlineStr">
        <is>
          <t>Marina Mall / Breakwater Marina → Al Bateen Marina</t>
        </is>
      </c>
      <c r="D146" s="31" t="n">
        <v>2.6</v>
      </c>
      <c r="E146" s="26" t="n">
        <v>45</v>
      </c>
      <c r="F146" s="32" t="inlineStr">
        <is>
          <t>T4</t>
        </is>
      </c>
      <c r="G146" s="32" t="inlineStr">
        <is>
          <t>low</t>
        </is>
      </c>
      <c r="H146" s="19" t="n">
        <v>1</v>
      </c>
      <c r="I146" s="33">
        <f>60*D146/cruise_kt</f>
        <v/>
      </c>
      <c r="J146" s="33">
        <f>I146+turn_min+dwell_min</f>
        <v/>
      </c>
      <c r="K146" s="34">
        <f>MIN(24,FLOOR(60*service_hr/J146,1))</f>
        <v/>
      </c>
      <c r="L146" s="34">
        <f>ROUND(365*mech_uptime*H146,0)</f>
        <v/>
      </c>
      <c r="M146" s="35">
        <f>mech_uptime</f>
        <v/>
      </c>
      <c r="N146" s="35">
        <f>revleg_sel</f>
        <v/>
      </c>
      <c r="O146" s="34">
        <f>ROUND(K146*L146*revleg_sel,0)</f>
        <v/>
      </c>
      <c r="P146" s="36">
        <f>load_sel</f>
        <v/>
      </c>
      <c r="Q146" s="36">
        <f>pax_cap*P146</f>
        <v/>
      </c>
      <c r="R146" s="34">
        <f>Q146*O146</f>
        <v/>
      </c>
      <c r="S146" s="37">
        <f>E146*discount</f>
        <v/>
      </c>
      <c r="T146" s="38">
        <f>S146*R146</f>
        <v/>
      </c>
      <c r="U146" s="38">
        <f>(battery/range_nm)*D146*O146*VLOOKUP(B146,country_opex,3,FALSE)</f>
        <v/>
      </c>
      <c r="V146" s="38">
        <f>VLOOKUP(B146,country_opex,2,FALSE)*crew_factor</f>
        <v/>
      </c>
      <c r="W146" s="38">
        <f>VLOOKUP(B146,country_opex,5,FALSE)</f>
        <v/>
      </c>
      <c r="X146" s="38">
        <f>maint</f>
        <v/>
      </c>
      <c r="Y146" s="38">
        <f>VLOOKUP(B146,country_opex,7,FALSE)*ins_pct</f>
        <v/>
      </c>
      <c r="Z146" s="38">
        <f>charge_berth</f>
        <v/>
      </c>
      <c r="AA146" s="38">
        <f>U146+V146+W146+X146+Y146+Z146</f>
        <v/>
      </c>
      <c r="AB146" s="38">
        <f>VLOOKUP(B146,country_opex,7,FALSE)/dep_years</f>
        <v/>
      </c>
      <c r="AC146" s="38">
        <f>T146-AA146</f>
        <v/>
      </c>
      <c r="AD146" s="35">
        <f>IF(T146=0,"",AC146/T146)</f>
        <v/>
      </c>
      <c r="AE146" s="36">
        <f>IF(AC146&lt;=0,"",VLOOKUP(B146,country_opex,7,FALSE)/AC146)</f>
        <v/>
      </c>
      <c r="AF146" s="33">
        <f>((D146*O146/diesel_nmpg)*diesel_co2pg-(battery/range_nm)*D146*O146*VLOOKUP(B146,country_opex,4,FALSE))/1000</f>
        <v/>
      </c>
      <c r="AG146" s="31" t="n">
        <v>50000</v>
      </c>
      <c r="AH146" s="32" t="inlineStr">
        <is>
          <t>T3</t>
        </is>
      </c>
      <c r="AI146" s="32" t="inlineStr">
        <is>
          <t>low</t>
        </is>
      </c>
      <c r="AJ146" s="39" t="n">
        <v>0.1</v>
      </c>
      <c r="AK146" s="34">
        <f>IF(AG146="","",AG146*AJ146)</f>
        <v/>
      </c>
      <c r="AL146" s="34">
        <f>IF(OR(AG146="",R146=0),"",MIN(IF(AT146="",9.9E+99,AT146),FLOOR(AK146/R146,1)))</f>
        <v/>
      </c>
      <c r="AM146" s="38">
        <f>IF(AL146="","",AL146*T146)</f>
        <v/>
      </c>
      <c r="AN146" s="36">
        <f>IF(OR(AG146="",R146=0),"",MIN(IF(AT146="",9.9E+99,AT146),AK146/R146))</f>
        <v/>
      </c>
      <c r="AO146" s="38">
        <f>IF(AN146="","",AN146*T146)</f>
        <v/>
      </c>
      <c r="AP146" s="40" t="n"/>
      <c r="AQ146" s="32" t="inlineStr">
        <is>
          <t>Grounded</t>
        </is>
      </c>
      <c r="AR146" s="41" t="n"/>
      <c r="AS146" s="41" t="n"/>
      <c r="AT146" s="42" t="n"/>
      <c r="AU146" s="43">
        <f>IF(((S146*pax_cap*load_thin*ROUND(K146*L146*revleg_thin,0))-(((battery/range_nm)*D146*ROUND(K146*L146*revleg_thin,0)*VLOOKUP(B146,country_opex,3,FALSE))+V146+W146+X146+Y146+Z146))&lt;=0,"",VLOOKUP(B146,country_opex,7,FALSE)/((S146*pax_cap*load_thin*ROUND(K146*L146*revleg_thin,0))-(((battery/range_nm)*D146*ROUND(K146*L146*revleg_thin,0)*VLOOKUP(B146,country_opex,3,FALSE))+V146+W146+X146+Y146+Z146)))</f>
        <v/>
      </c>
      <c r="AV146" s="43">
        <f>IF(((S146*pax_cap*load_mid*ROUND(K146*L146*revleg_mid,0))-(((battery/range_nm)*D146*ROUND(K146*L146*revleg_mid,0)*VLOOKUP(B146,country_opex,3,FALSE))+V146+W146+X146+Y146+Z146))&lt;=0,"",VLOOKUP(B146,country_opex,7,FALSE)/((S146*pax_cap*load_mid*ROUND(K146*L146*revleg_mid,0))-(((battery/range_nm)*D146*ROUND(K146*L146*revleg_mid,0)*VLOOKUP(B146,country_opex,3,FALSE))+V146+W146+X146+Y146+Z146)))</f>
        <v/>
      </c>
      <c r="AW146" s="43">
        <f>IF(((S146*pax_cap*load_full*ROUND(K146*L146*revleg_full,0))-(((battery/range_nm)*D146*ROUND(K146*L146*revleg_full,0)*VLOOKUP(B146,country_opex,3,FALSE))+V146+W146+X146+Y146+Z146))&lt;=0,"",VLOOKUP(B146,country_opex,7,FALSE)/((S146*pax_cap*load_full*ROUND(K146*L146*revleg_full,0))-(((battery/range_nm)*D146*ROUND(K146*L146*revleg_full,0)*VLOOKUP(B146,country_opex,3,FALSE))+V146+W146+X146+Y146+Z146)))</f>
        <v/>
      </c>
      <c r="AX146" s="44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AY14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7">
      <c r="A147" s="29" t="inlineStr">
        <is>
          <t>Yango</t>
        </is>
      </c>
      <c r="B147" s="29" t="inlineStr">
        <is>
          <t>United Arab Emirates</t>
        </is>
      </c>
      <c r="C147" s="30" t="inlineStr">
        <is>
          <t>Bulgari Yacht Club &amp; Marina → La Mer / J1 Beach Jetty</t>
        </is>
      </c>
      <c r="D147" s="31" t="n">
        <v>2.6</v>
      </c>
      <c r="E147" s="26" t="n">
        <v>120</v>
      </c>
      <c r="F147" s="32" t="inlineStr">
        <is>
          <t>T5</t>
        </is>
      </c>
      <c r="G147" s="32" t="inlineStr">
        <is>
          <t>low</t>
        </is>
      </c>
      <c r="H147" s="19" t="n">
        <v>1</v>
      </c>
      <c r="I147" s="33">
        <f>60*D147/cruise_kt</f>
        <v/>
      </c>
      <c r="J147" s="33">
        <f>I147+turn_min+dwell_min</f>
        <v/>
      </c>
      <c r="K147" s="34">
        <f>MIN(24,FLOOR(60*service_hr/J147,1))</f>
        <v/>
      </c>
      <c r="L147" s="34">
        <f>ROUND(365*mech_uptime*H147,0)</f>
        <v/>
      </c>
      <c r="M147" s="35">
        <f>mech_uptime</f>
        <v/>
      </c>
      <c r="N147" s="35">
        <f>revleg_sel</f>
        <v/>
      </c>
      <c r="O147" s="34">
        <f>ROUND(K147*L147*revleg_sel,0)</f>
        <v/>
      </c>
      <c r="P147" s="36">
        <f>load_sel</f>
        <v/>
      </c>
      <c r="Q147" s="36">
        <f>pax_cap*P147</f>
        <v/>
      </c>
      <c r="R147" s="34">
        <f>Q147*O147</f>
        <v/>
      </c>
      <c r="S147" s="37">
        <f>E147*discount</f>
        <v/>
      </c>
      <c r="T147" s="38">
        <f>S147*R147</f>
        <v/>
      </c>
      <c r="U147" s="38">
        <f>(battery/range_nm)*D147*O147*VLOOKUP(B147,country_opex,3,FALSE)</f>
        <v/>
      </c>
      <c r="V147" s="38">
        <f>VLOOKUP(B147,country_opex,2,FALSE)*crew_factor</f>
        <v/>
      </c>
      <c r="W147" s="38">
        <f>VLOOKUP(B147,country_opex,5,FALSE)</f>
        <v/>
      </c>
      <c r="X147" s="38">
        <f>maint</f>
        <v/>
      </c>
      <c r="Y147" s="38">
        <f>VLOOKUP(B147,country_opex,7,FALSE)*ins_pct</f>
        <v/>
      </c>
      <c r="Z147" s="38">
        <f>charge_berth</f>
        <v/>
      </c>
      <c r="AA147" s="38">
        <f>U147+V147+W147+X147+Y147+Z147</f>
        <v/>
      </c>
      <c r="AB147" s="38">
        <f>VLOOKUP(B147,country_opex,7,FALSE)/dep_years</f>
        <v/>
      </c>
      <c r="AC147" s="38">
        <f>T147-AA147</f>
        <v/>
      </c>
      <c r="AD147" s="35">
        <f>IF(T147=0,"",AC147/T147)</f>
        <v/>
      </c>
      <c r="AE147" s="36">
        <f>IF(AC147&lt;=0,"",VLOOKUP(B147,country_opex,7,FALSE)/AC147)</f>
        <v/>
      </c>
      <c r="AF147" s="33">
        <f>((D147*O147/diesel_nmpg)*diesel_co2pg-(battery/range_nm)*D147*O147*VLOOKUP(B147,country_opex,4,FALSE))/1000</f>
        <v/>
      </c>
      <c r="AG147" s="31" t="n">
        <v>30000</v>
      </c>
      <c r="AH147" s="32" t="inlineStr">
        <is>
          <t>T3</t>
        </is>
      </c>
      <c r="AI147" s="32" t="inlineStr">
        <is>
          <t>low</t>
        </is>
      </c>
      <c r="AJ147" s="39" t="n">
        <v>0.1</v>
      </c>
      <c r="AK147" s="34">
        <f>IF(AG147="","",AG147*AJ147)</f>
        <v/>
      </c>
      <c r="AL147" s="34">
        <f>IF(OR(AG147="",R147=0),"",MIN(IF(AT147="",9.9E+99,AT147),FLOOR(AK147/R147,1)))</f>
        <v/>
      </c>
      <c r="AM147" s="38">
        <f>IF(AL147="","",AL147*T147)</f>
        <v/>
      </c>
      <c r="AN147" s="36">
        <f>IF(OR(AG147="",R147=0),"",MIN(IF(AT147="",9.9E+99,AT147),AK147/R147))</f>
        <v/>
      </c>
      <c r="AO147" s="38">
        <f>IF(AN147="","",AN147*T147)</f>
        <v/>
      </c>
      <c r="AP147" s="40" t="n"/>
      <c r="AQ147" s="32" t="inlineStr">
        <is>
          <t>Grounded</t>
        </is>
      </c>
      <c r="AR147" s="41" t="n"/>
      <c r="AS147" s="41" t="n"/>
      <c r="AT147" s="42" t="n"/>
      <c r="AU147" s="43">
        <f>IF(((S147*pax_cap*load_thin*ROUND(K147*L147*revleg_thin,0))-(((battery/range_nm)*D147*ROUND(K147*L147*revleg_thin,0)*VLOOKUP(B147,country_opex,3,FALSE))+V147+W147+X147+Y147+Z147))&lt;=0,"",VLOOKUP(B147,country_opex,7,FALSE)/((S147*pax_cap*load_thin*ROUND(K147*L147*revleg_thin,0))-(((battery/range_nm)*D147*ROUND(K147*L147*revleg_thin,0)*VLOOKUP(B147,country_opex,3,FALSE))+V147+W147+X147+Y147+Z147)))</f>
        <v/>
      </c>
      <c r="AV147" s="43">
        <f>IF(((S147*pax_cap*load_mid*ROUND(K147*L147*revleg_mid,0))-(((battery/range_nm)*D147*ROUND(K147*L147*revleg_mid,0)*VLOOKUP(B147,country_opex,3,FALSE))+V147+W147+X147+Y147+Z147))&lt;=0,"",VLOOKUP(B147,country_opex,7,FALSE)/((S147*pax_cap*load_mid*ROUND(K147*L147*revleg_mid,0))-(((battery/range_nm)*D147*ROUND(K147*L147*revleg_mid,0)*VLOOKUP(B147,country_opex,3,FALSE))+V147+W147+X147+Y147+Z147)))</f>
        <v/>
      </c>
      <c r="AW147" s="43">
        <f>IF(((S147*pax_cap*load_full*ROUND(K147*L147*revleg_full,0))-(((battery/range_nm)*D147*ROUND(K147*L147*revleg_full,0)*VLOOKUP(B147,country_opex,3,FALSE))+V147+W147+X147+Y147+Z147))&lt;=0,"",VLOOKUP(B147,country_opex,7,FALSE)/((S147*pax_cap*load_full*ROUND(K147*L147*revleg_full,0))-(((battery/range_nm)*D147*ROUND(K147*L147*revleg_full,0)*VLOOKUP(B147,country_opex,3,FALSE))+V147+W147+X147+Y147+Z147)))</f>
        <v/>
      </c>
      <c r="AX147" s="44" t="inlineStr">
        <is>
          <t>Urban Dubai beach-club leisure hop (Bulgari Bay&lt;-&gt;La Mer/J1). Road-served. T5/low.</t>
        </is>
      </c>
      <c r="AY147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8">
      <c r="A148" s="29" t="inlineStr">
        <is>
          <t>Yango</t>
        </is>
      </c>
      <c r="B148" s="29" t="inlineStr">
        <is>
          <t>United Arab Emirates</t>
        </is>
      </c>
      <c r="C148" s="30" t="inlineStr">
        <is>
          <t>Al Bateen Marina → Hudayriat Marina</t>
        </is>
      </c>
      <c r="D148" s="31" t="n">
        <v>3.6</v>
      </c>
      <c r="E148" s="26" t="n">
        <v>90</v>
      </c>
      <c r="F148" s="32" t="inlineStr">
        <is>
          <t>T4</t>
        </is>
      </c>
      <c r="G148" s="32" t="inlineStr">
        <is>
          <t>low</t>
        </is>
      </c>
      <c r="H148" s="19" t="n">
        <v>1</v>
      </c>
      <c r="I148" s="33">
        <f>60*D148/cruise_kt</f>
        <v/>
      </c>
      <c r="J148" s="33">
        <f>I148+turn_min+dwell_min</f>
        <v/>
      </c>
      <c r="K148" s="34">
        <f>MIN(24,FLOOR(60*service_hr/J148,1))</f>
        <v/>
      </c>
      <c r="L148" s="34">
        <f>ROUND(365*mech_uptime*H148,0)</f>
        <v/>
      </c>
      <c r="M148" s="35">
        <f>mech_uptime</f>
        <v/>
      </c>
      <c r="N148" s="35">
        <f>revleg_sel</f>
        <v/>
      </c>
      <c r="O148" s="34">
        <f>ROUND(K148*L148*revleg_sel,0)</f>
        <v/>
      </c>
      <c r="P148" s="36">
        <f>load_sel</f>
        <v/>
      </c>
      <c r="Q148" s="36">
        <f>pax_cap*P148</f>
        <v/>
      </c>
      <c r="R148" s="34">
        <f>Q148*O148</f>
        <v/>
      </c>
      <c r="S148" s="37">
        <f>E148*discount</f>
        <v/>
      </c>
      <c r="T148" s="38">
        <f>S148*R148</f>
        <v/>
      </c>
      <c r="U148" s="38">
        <f>(battery/range_nm)*D148*O148*VLOOKUP(B148,country_opex,3,FALSE)</f>
        <v/>
      </c>
      <c r="V148" s="38">
        <f>VLOOKUP(B148,country_opex,2,FALSE)*crew_factor</f>
        <v/>
      </c>
      <c r="W148" s="38">
        <f>VLOOKUP(B148,country_opex,5,FALSE)</f>
        <v/>
      </c>
      <c r="X148" s="38">
        <f>maint</f>
        <v/>
      </c>
      <c r="Y148" s="38">
        <f>VLOOKUP(B148,country_opex,7,FALSE)*ins_pct</f>
        <v/>
      </c>
      <c r="Z148" s="38">
        <f>charge_berth</f>
        <v/>
      </c>
      <c r="AA148" s="38">
        <f>U148+V148+W148+X148+Y148+Z148</f>
        <v/>
      </c>
      <c r="AB148" s="38">
        <f>VLOOKUP(B148,country_opex,7,FALSE)/dep_years</f>
        <v/>
      </c>
      <c r="AC148" s="38">
        <f>T148-AA148</f>
        <v/>
      </c>
      <c r="AD148" s="35">
        <f>IF(T148=0,"",AC148/T148)</f>
        <v/>
      </c>
      <c r="AE148" s="36">
        <f>IF(AC148&lt;=0,"",VLOOKUP(B148,country_opex,7,FALSE)/AC148)</f>
        <v/>
      </c>
      <c r="AF148" s="33">
        <f>((D148*O148/diesel_nmpg)*diesel_co2pg-(battery/range_nm)*D148*O148*VLOOKUP(B148,country_opex,4,FALSE))/1000</f>
        <v/>
      </c>
      <c r="AG148" s="31" t="n">
        <v>35000</v>
      </c>
      <c r="AH148" s="32" t="inlineStr">
        <is>
          <t>T3</t>
        </is>
      </c>
      <c r="AI148" s="32" t="inlineStr">
        <is>
          <t>low</t>
        </is>
      </c>
      <c r="AJ148" s="39" t="n">
        <v>0.1</v>
      </c>
      <c r="AK148" s="34">
        <f>IF(AG148="","",AG148*AJ148)</f>
        <v/>
      </c>
      <c r="AL148" s="34">
        <f>IF(OR(AG148="",R148=0),"",MIN(IF(AT148="",9.9E+99,AT148),FLOOR(AK148/R148,1)))</f>
        <v/>
      </c>
      <c r="AM148" s="38">
        <f>IF(AL148="","",AL148*T148)</f>
        <v/>
      </c>
      <c r="AN148" s="36">
        <f>IF(OR(AG148="",R148=0),"",MIN(IF(AT148="",9.9E+99,AT148),AK148/R148))</f>
        <v/>
      </c>
      <c r="AO148" s="38">
        <f>IF(AN148="","",AN148*T148)</f>
        <v/>
      </c>
      <c r="AP148" s="40" t="n"/>
      <c r="AQ148" s="32" t="inlineStr">
        <is>
          <t>Grounded</t>
        </is>
      </c>
      <c r="AR148" s="41" t="n"/>
      <c r="AS148" s="41" t="n"/>
      <c r="AT148" s="42" t="n"/>
      <c r="AU148" s="43">
        <f>IF(((S148*pax_cap*load_thin*ROUND(K148*L148*revleg_thin,0))-(((battery/range_nm)*D148*ROUND(K148*L148*revleg_thin,0)*VLOOKUP(B148,country_opex,3,FALSE))+V148+W148+X148+Y148+Z148))&lt;=0,"",VLOOKUP(B148,country_opex,7,FALSE)/((S148*pax_cap*load_thin*ROUND(K148*L148*revleg_thin,0))-(((battery/range_nm)*D148*ROUND(K148*L148*revleg_thin,0)*VLOOKUP(B148,country_opex,3,FALSE))+V148+W148+X148+Y148+Z148)))</f>
        <v/>
      </c>
      <c r="AV148" s="43">
        <f>IF(((S148*pax_cap*load_mid*ROUND(K148*L148*revleg_mid,0))-(((battery/range_nm)*D148*ROUND(K148*L148*revleg_mid,0)*VLOOKUP(B148,country_opex,3,FALSE))+V148+W148+X148+Y148+Z148))&lt;=0,"",VLOOKUP(B148,country_opex,7,FALSE)/((S148*pax_cap*load_mid*ROUND(K148*L148*revleg_mid,0))-(((battery/range_nm)*D148*ROUND(K148*L148*revleg_mid,0)*VLOOKUP(B148,country_opex,3,FALSE))+V148+W148+X148+Y148+Z148)))</f>
        <v/>
      </c>
      <c r="AW148" s="43">
        <f>IF(((S148*pax_cap*load_full*ROUND(K148*L148*revleg_full,0))-(((battery/range_nm)*D148*ROUND(K148*L148*revleg_full,0)*VLOOKUP(B148,country_opex,3,FALSE))+V148+W148+X148+Y148+Z148))&lt;=0,"",VLOOKUP(B148,country_opex,7,FALSE)/((S148*pax_cap*load_full*ROUND(K148*L148*revleg_full,0))-(((battery/range_nm)*D148*ROUND(K148*L148*revleg_full,0)*VLOOKUP(B148,country_opex,3,FALSE))+V148+W148+X148+Y148+Z148)))</f>
        <v/>
      </c>
      <c r="AX148" s="44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AY148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9">
      <c r="A149" s="29" t="inlineStr">
        <is>
          <t>Yango</t>
        </is>
      </c>
      <c r="B149" s="29" t="inlineStr">
        <is>
          <t>United Arab Emirates</t>
        </is>
      </c>
      <c r="C149" s="30" t="inlineStr">
        <is>
          <t>Côte d'Azur Resort Marina (Heart of Europe) → Bulgari Yacht Club &amp; Marina</t>
        </is>
      </c>
      <c r="D149" s="31" t="n">
        <v>4.2</v>
      </c>
      <c r="E149" s="26" t="n">
        <v>150</v>
      </c>
      <c r="F149" s="32" t="inlineStr">
        <is>
          <t>T5</t>
        </is>
      </c>
      <c r="G149" s="32" t="inlineStr">
        <is>
          <t>low</t>
        </is>
      </c>
      <c r="H149" s="19" t="n">
        <v>1</v>
      </c>
      <c r="I149" s="33">
        <f>60*D149/cruise_kt</f>
        <v/>
      </c>
      <c r="J149" s="33">
        <f>I149+turn_min+dwell_min</f>
        <v/>
      </c>
      <c r="K149" s="34">
        <f>MIN(24,FLOOR(60*service_hr/J149,1))</f>
        <v/>
      </c>
      <c r="L149" s="34">
        <f>ROUND(365*mech_uptime*H149,0)</f>
        <v/>
      </c>
      <c r="M149" s="35">
        <f>mech_uptime</f>
        <v/>
      </c>
      <c r="N149" s="35">
        <f>revleg_sel</f>
        <v/>
      </c>
      <c r="O149" s="34">
        <f>ROUND(K149*L149*revleg_sel,0)</f>
        <v/>
      </c>
      <c r="P149" s="36">
        <f>load_sel</f>
        <v/>
      </c>
      <c r="Q149" s="36">
        <f>pax_cap*P149</f>
        <v/>
      </c>
      <c r="R149" s="34">
        <f>Q149*O149</f>
        <v/>
      </c>
      <c r="S149" s="37">
        <f>E149*discount</f>
        <v/>
      </c>
      <c r="T149" s="38">
        <f>S149*R149</f>
        <v/>
      </c>
      <c r="U149" s="38">
        <f>(battery/range_nm)*D149*O149*VLOOKUP(B149,country_opex,3,FALSE)</f>
        <v/>
      </c>
      <c r="V149" s="38">
        <f>VLOOKUP(B149,country_opex,2,FALSE)*crew_factor</f>
        <v/>
      </c>
      <c r="W149" s="38">
        <f>VLOOKUP(B149,country_opex,5,FALSE)</f>
        <v/>
      </c>
      <c r="X149" s="38">
        <f>maint</f>
        <v/>
      </c>
      <c r="Y149" s="38">
        <f>VLOOKUP(B149,country_opex,7,FALSE)*ins_pct</f>
        <v/>
      </c>
      <c r="Z149" s="38">
        <f>charge_berth</f>
        <v/>
      </c>
      <c r="AA149" s="38">
        <f>U149+V149+W149+X149+Y149+Z149</f>
        <v/>
      </c>
      <c r="AB149" s="38">
        <f>VLOOKUP(B149,country_opex,7,FALSE)/dep_years</f>
        <v/>
      </c>
      <c r="AC149" s="38">
        <f>T149-AA149</f>
        <v/>
      </c>
      <c r="AD149" s="35">
        <f>IF(T149=0,"",AC149/T149)</f>
        <v/>
      </c>
      <c r="AE149" s="36">
        <f>IF(AC149&lt;=0,"",VLOOKUP(B149,country_opex,7,FALSE)/AC149)</f>
        <v/>
      </c>
      <c r="AF149" s="33">
        <f>((D149*O149/diesel_nmpg)*diesel_co2pg-(battery/range_nm)*D149*O149*VLOOKUP(B149,country_opex,4,FALSE))/1000</f>
        <v/>
      </c>
      <c r="AG149" s="31" t="n">
        <v>20000</v>
      </c>
      <c r="AH149" s="32" t="inlineStr">
        <is>
          <t>T3</t>
        </is>
      </c>
      <c r="AI149" s="32" t="inlineStr">
        <is>
          <t>low</t>
        </is>
      </c>
      <c r="AJ149" s="39" t="n">
        <v>0.1</v>
      </c>
      <c r="AK149" s="34">
        <f>IF(AG149="","",AG149*AJ149)</f>
        <v/>
      </c>
      <c r="AL149" s="34">
        <f>IF(OR(AG149="",R149=0),"",MIN(IF(AT149="",9.9E+99,AT149),FLOOR(AK149/R149,1)))</f>
        <v/>
      </c>
      <c r="AM149" s="38">
        <f>IF(AL149="","",AL149*T149)</f>
        <v/>
      </c>
      <c r="AN149" s="36">
        <f>IF(OR(AG149="",R149=0),"",MIN(IF(AT149="",9.9E+99,AT149),AK149/R149))</f>
        <v/>
      </c>
      <c r="AO149" s="38">
        <f>IF(AN149="","",AN149*T149)</f>
        <v/>
      </c>
      <c r="AP149" s="40" t="n"/>
      <c r="AQ149" s="32" t="inlineStr">
        <is>
          <t>Grounded</t>
        </is>
      </c>
      <c r="AR149" s="41" t="n"/>
      <c r="AS149" s="41" t="n"/>
      <c r="AT149" s="42" t="n"/>
      <c r="AU149" s="43">
        <f>IF(((S149*pax_cap*load_thin*ROUND(K149*L149*revleg_thin,0))-(((battery/range_nm)*D149*ROUND(K149*L149*revleg_thin,0)*VLOOKUP(B149,country_opex,3,FALSE))+V149+W149+X149+Y149+Z149))&lt;=0,"",VLOOKUP(B149,country_opex,7,FALSE)/((S149*pax_cap*load_thin*ROUND(K149*L149*revleg_thin,0))-(((battery/range_nm)*D149*ROUND(K149*L149*revleg_thin,0)*VLOOKUP(B149,country_opex,3,FALSE))+V149+W149+X149+Y149+Z149)))</f>
        <v/>
      </c>
      <c r="AV149" s="43">
        <f>IF(((S149*pax_cap*load_mid*ROUND(K149*L149*revleg_mid,0))-(((battery/range_nm)*D149*ROUND(K149*L149*revleg_mid,0)*VLOOKUP(B149,country_opex,3,FALSE))+V149+W149+X149+Y149+Z149))&lt;=0,"",VLOOKUP(B149,country_opex,7,FALSE)/((S149*pax_cap*load_mid*ROUND(K149*L149*revleg_mid,0))-(((battery/range_nm)*D149*ROUND(K149*L149*revleg_mid,0)*VLOOKUP(B149,country_opex,3,FALSE))+V149+W149+X149+Y149+Z149)))</f>
        <v/>
      </c>
      <c r="AW149" s="43">
        <f>IF(((S149*pax_cap*load_full*ROUND(K149*L149*revleg_full,0))-(((battery/range_nm)*D149*ROUND(K149*L149*revleg_full,0)*VLOOKUP(B149,country_opex,3,FALSE))+V149+W149+X149+Y149+Z149))&lt;=0,"",VLOOKUP(B149,country_opex,7,FALSE)/((S149*pax_cap*load_full*ROUND(K149*L149*revleg_full,0))-(((battery/range_nm)*D149*ROUND(K149*L149*revleg_full,0)*VLOOKUP(B149,country_opex,3,FALSE))+V149+W149+X149+Y149+Z149)))</f>
        <v/>
      </c>
      <c r="AX149" s="44" t="inlineStr">
        <is>
          <t>The World (boat-only)&lt;-&gt;Bulgari (Jumeirah Bay) luxury hop. Greenfield. T5/low.</t>
        </is>
      </c>
      <c r="AY149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50">
      <c r="A150" s="29" t="inlineStr">
        <is>
          <t>Yango</t>
        </is>
      </c>
      <c r="B150" s="29" t="inlineStr">
        <is>
          <t>United Arab Emirates</t>
        </is>
      </c>
      <c r="C150" s="30" t="inlineStr">
        <is>
          <t>Saadiyat Beach Club Jetty → Zaya Nurai Island Jetty</t>
        </is>
      </c>
      <c r="D150" s="31" t="n">
        <v>4.4</v>
      </c>
      <c r="E150" s="26" t="n">
        <v>150</v>
      </c>
      <c r="F150" s="32" t="inlineStr">
        <is>
          <t>T3</t>
        </is>
      </c>
      <c r="G150" s="32" t="inlineStr">
        <is>
          <t>med</t>
        </is>
      </c>
      <c r="H150" s="19" t="n">
        <v>1</v>
      </c>
      <c r="I150" s="33">
        <f>60*D150/cruise_kt</f>
        <v/>
      </c>
      <c r="J150" s="33">
        <f>I150+turn_min+dwell_min</f>
        <v/>
      </c>
      <c r="K150" s="34">
        <f>MIN(24,FLOOR(60*service_hr/J150,1))</f>
        <v/>
      </c>
      <c r="L150" s="34">
        <f>ROUND(365*mech_uptime*H150,0)</f>
        <v/>
      </c>
      <c r="M150" s="35">
        <f>mech_uptime</f>
        <v/>
      </c>
      <c r="N150" s="35">
        <f>revleg_sel</f>
        <v/>
      </c>
      <c r="O150" s="34">
        <f>ROUND(K150*L150*revleg_sel,0)</f>
        <v/>
      </c>
      <c r="P150" s="36">
        <f>load_sel</f>
        <v/>
      </c>
      <c r="Q150" s="36">
        <f>pax_cap*P150</f>
        <v/>
      </c>
      <c r="R150" s="34">
        <f>Q150*O150</f>
        <v/>
      </c>
      <c r="S150" s="37">
        <f>E150*discount</f>
        <v/>
      </c>
      <c r="T150" s="38">
        <f>S150*R150</f>
        <v/>
      </c>
      <c r="U150" s="38">
        <f>(battery/range_nm)*D150*O150*VLOOKUP(B150,country_opex,3,FALSE)</f>
        <v/>
      </c>
      <c r="V150" s="38">
        <f>VLOOKUP(B150,country_opex,2,FALSE)*crew_factor</f>
        <v/>
      </c>
      <c r="W150" s="38">
        <f>VLOOKUP(B150,country_opex,5,FALSE)</f>
        <v/>
      </c>
      <c r="X150" s="38">
        <f>maint</f>
        <v/>
      </c>
      <c r="Y150" s="38">
        <f>VLOOKUP(B150,country_opex,7,FALSE)*ins_pct</f>
        <v/>
      </c>
      <c r="Z150" s="38">
        <f>charge_berth</f>
        <v/>
      </c>
      <c r="AA150" s="38">
        <f>U150+V150+W150+X150+Y150+Z150</f>
        <v/>
      </c>
      <c r="AB150" s="38">
        <f>VLOOKUP(B150,country_opex,7,FALSE)/dep_years</f>
        <v/>
      </c>
      <c r="AC150" s="38">
        <f>T150-AA150</f>
        <v/>
      </c>
      <c r="AD150" s="35">
        <f>IF(T150=0,"",AC150/T150)</f>
        <v/>
      </c>
      <c r="AE150" s="36">
        <f>IF(AC150&lt;=0,"",VLOOKUP(B150,country_opex,7,FALSE)/AC150)</f>
        <v/>
      </c>
      <c r="AF150" s="33">
        <f>((D150*O150/diesel_nmpg)*diesel_co2pg-(battery/range_nm)*D150*O150*VLOOKUP(B150,country_opex,4,FALSE))/1000</f>
        <v/>
      </c>
      <c r="AG150" s="31" t="n">
        <v>45000</v>
      </c>
      <c r="AH150" s="32" t="inlineStr">
        <is>
          <t>T5</t>
        </is>
      </c>
      <c r="AI150" s="32" t="inlineStr">
        <is>
          <t>low</t>
        </is>
      </c>
      <c r="AJ150" s="39" t="n">
        <v>0.1</v>
      </c>
      <c r="AK150" s="34">
        <f>IF(AG150="","",AG150*AJ150)</f>
        <v/>
      </c>
      <c r="AL150" s="34">
        <f>IF(OR(AG150="",R150=0),"",MIN(IF(AT150="",9.9E+99,AT150),FLOOR(AK150/R150,1)))</f>
        <v/>
      </c>
      <c r="AM150" s="38">
        <f>IF(AL150="","",AL150*T150)</f>
        <v/>
      </c>
      <c r="AN150" s="36">
        <f>IF(OR(AG150="",R150=0),"",MIN(IF(AT150="",9.9E+99,AT150),AK150/R150))</f>
        <v/>
      </c>
      <c r="AO150" s="38">
        <f>IF(AN150="","",AN150*T150)</f>
        <v/>
      </c>
      <c r="AP150" s="40" t="n"/>
      <c r="AQ150" s="32" t="inlineStr">
        <is>
          <t>Grounded</t>
        </is>
      </c>
      <c r="AR150" s="41" t="n"/>
      <c r="AS150" s="41" t="n"/>
      <c r="AT150" s="42" t="n"/>
      <c r="AU150" s="43">
        <f>IF(((S150*pax_cap*load_thin*ROUND(K150*L150*revleg_thin,0))-(((battery/range_nm)*D150*ROUND(K150*L150*revleg_thin,0)*VLOOKUP(B150,country_opex,3,FALSE))+V150+W150+X150+Y150+Z150))&lt;=0,"",VLOOKUP(B150,country_opex,7,FALSE)/((S150*pax_cap*load_thin*ROUND(K150*L150*revleg_thin,0))-(((battery/range_nm)*D150*ROUND(K150*L150*revleg_thin,0)*VLOOKUP(B150,country_opex,3,FALSE))+V150+W150+X150+Y150+Z150)))</f>
        <v/>
      </c>
      <c r="AV150" s="43">
        <f>IF(((S150*pax_cap*load_mid*ROUND(K150*L150*revleg_mid,0))-(((battery/range_nm)*D150*ROUND(K150*L150*revleg_mid,0)*VLOOKUP(B150,country_opex,3,FALSE))+V150+W150+X150+Y150+Z150))&lt;=0,"",VLOOKUP(B150,country_opex,7,FALSE)/((S150*pax_cap*load_mid*ROUND(K150*L150*revleg_mid,0))-(((battery/range_nm)*D150*ROUND(K150*L150*revleg_mid,0)*VLOOKUP(B150,country_opex,3,FALSE))+V150+W150+X150+Y150+Z150)))</f>
        <v/>
      </c>
      <c r="AW150" s="43">
        <f>IF(((S150*pax_cap*load_full*ROUND(K150*L150*revleg_full,0))-(((battery/range_nm)*D150*ROUND(K150*L150*revleg_full,0)*VLOOKUP(B150,country_opex,3,FALSE))+V150+W150+X150+Y150+Z150))&lt;=0,"",VLOOKUP(B150,country_opex,7,FALSE)/((S150*pax_cap*load_full*ROUND(K150*L150*revleg_full,0))-(((battery/range_nm)*D150*ROUND(K150*L150*revleg_full,0)*VLOOKUP(B150,country_opex,3,FALSE))+V150+W150+X150+Y150+Z150)))</f>
        <v/>
      </c>
      <c r="AX150" s="44" t="inlineStr">
        <is>
          <t>Saadiyat Beach Club-&gt;Zaya Nurai Island (4.4nm). WATER-ONLY (12-15min boat from Saadiyat; boat-only, 32 villas + 23 residences). Day-pass + transfer redemption ladder; premium per-seat $150.</t>
        </is>
      </c>
      <c r="AY150" s="44" t="inlineStr">
        <is>
          <t>Boat-only -&gt; FULLY addressable (R3-EXCEPTION). 32 villas + 23 residences stay-pool + day-club guests (major Saadiyat day-trip).</t>
        </is>
      </c>
    </row>
    <row r="151">
      <c r="A151" s="29" t="inlineStr">
        <is>
          <t>Yango</t>
        </is>
      </c>
      <c r="B151" s="29" t="inlineStr">
        <is>
          <t>United Arab Emirates</t>
        </is>
      </c>
      <c r="C151" s="30" t="inlineStr">
        <is>
          <t>Dubai Harbour Marina → Atlantis The Royal Jetty</t>
        </is>
      </c>
      <c r="D151" s="31" t="n">
        <v>4.9</v>
      </c>
      <c r="E151" s="26" t="n">
        <v>175</v>
      </c>
      <c r="F151" s="32" t="inlineStr">
        <is>
          <t>T5</t>
        </is>
      </c>
      <c r="G151" s="32" t="inlineStr">
        <is>
          <t>low</t>
        </is>
      </c>
      <c r="H151" s="19" t="n">
        <v>1</v>
      </c>
      <c r="I151" s="33">
        <f>60*D151/cruise_kt</f>
        <v/>
      </c>
      <c r="J151" s="33">
        <f>I151+turn_min+dwell_min</f>
        <v/>
      </c>
      <c r="K151" s="34">
        <f>MIN(24,FLOOR(60*service_hr/J151,1))</f>
        <v/>
      </c>
      <c r="L151" s="34">
        <f>ROUND(365*mech_uptime*H151,0)</f>
        <v/>
      </c>
      <c r="M151" s="35">
        <f>mech_uptime</f>
        <v/>
      </c>
      <c r="N151" s="35">
        <f>revleg_sel</f>
        <v/>
      </c>
      <c r="O151" s="34">
        <f>ROUND(K151*L151*revleg_sel,0)</f>
        <v/>
      </c>
      <c r="P151" s="36">
        <f>load_sel</f>
        <v/>
      </c>
      <c r="Q151" s="36">
        <f>pax_cap*P151</f>
        <v/>
      </c>
      <c r="R151" s="34">
        <f>Q151*O151</f>
        <v/>
      </c>
      <c r="S151" s="37">
        <f>E151*discount</f>
        <v/>
      </c>
      <c r="T151" s="38">
        <f>S151*R151</f>
        <v/>
      </c>
      <c r="U151" s="38">
        <f>(battery/range_nm)*D151*O151*VLOOKUP(B151,country_opex,3,FALSE)</f>
        <v/>
      </c>
      <c r="V151" s="38">
        <f>VLOOKUP(B151,country_opex,2,FALSE)*crew_factor</f>
        <v/>
      </c>
      <c r="W151" s="38">
        <f>VLOOKUP(B151,country_opex,5,FALSE)</f>
        <v/>
      </c>
      <c r="X151" s="38">
        <f>maint</f>
        <v/>
      </c>
      <c r="Y151" s="38">
        <f>VLOOKUP(B151,country_opex,7,FALSE)*ins_pct</f>
        <v/>
      </c>
      <c r="Z151" s="38">
        <f>charge_berth</f>
        <v/>
      </c>
      <c r="AA151" s="38">
        <f>U151+V151+W151+X151+Y151+Z151</f>
        <v/>
      </c>
      <c r="AB151" s="38">
        <f>VLOOKUP(B151,country_opex,7,FALSE)/dep_years</f>
        <v/>
      </c>
      <c r="AC151" s="38">
        <f>T151-AA151</f>
        <v/>
      </c>
      <c r="AD151" s="35">
        <f>IF(T151=0,"",AC151/T151)</f>
        <v/>
      </c>
      <c r="AE151" s="36">
        <f>IF(AC151&lt;=0,"",VLOOKUP(B151,country_opex,7,FALSE)/AC151)</f>
        <v/>
      </c>
      <c r="AF151" s="33">
        <f>((D151*O151/diesel_nmpg)*diesel_co2pg-(battery/range_nm)*D151*O151*VLOOKUP(B151,country_opex,4,FALSE))/1000</f>
        <v/>
      </c>
      <c r="AG151" s="31" t="n">
        <v>10000</v>
      </c>
      <c r="AH151" s="32" t="inlineStr">
        <is>
          <t>T5</t>
        </is>
      </c>
      <c r="AI151" s="32" t="inlineStr">
        <is>
          <t>low</t>
        </is>
      </c>
      <c r="AJ151" s="39" t="n">
        <v>0.1</v>
      </c>
      <c r="AK151" s="34">
        <f>IF(AG151="","",AG151*AJ151)</f>
        <v/>
      </c>
      <c r="AL151" s="34">
        <f>IF(OR(AG151="",R151=0),"",MIN(IF(AT151="",9.9E+99,AT151),FLOOR(AK151/R151,1)))</f>
        <v/>
      </c>
      <c r="AM151" s="38">
        <f>IF(AL151="","",AL151*T151)</f>
        <v/>
      </c>
      <c r="AN151" s="36">
        <f>IF(OR(AG151="",R151=0),"",MIN(IF(AT151="",9.9E+99,AT151),AK151/R151))</f>
        <v/>
      </c>
      <c r="AO151" s="38">
        <f>IF(AN151="","",AN151*T151)</f>
        <v/>
      </c>
      <c r="AP151" s="40" t="n"/>
      <c r="AQ151" s="32" t="inlineStr">
        <is>
          <t>Grounded</t>
        </is>
      </c>
      <c r="AR151" s="41" t="n"/>
      <c r="AS151" s="41" t="n"/>
      <c r="AT151" s="42" t="n"/>
      <c r="AU151" s="43">
        <f>IF(((S151*pax_cap*load_thin*ROUND(K151*L151*revleg_thin,0))-(((battery/range_nm)*D151*ROUND(K151*L151*revleg_thin,0)*VLOOKUP(B151,country_opex,3,FALSE))+V151+W151+X151+Y151+Z151))&lt;=0,"",VLOOKUP(B151,country_opex,7,FALSE)/((S151*pax_cap*load_thin*ROUND(K151*L151*revleg_thin,0))-(((battery/range_nm)*D151*ROUND(K151*L151*revleg_thin,0)*VLOOKUP(B151,country_opex,3,FALSE))+V151+W151+X151+Y151+Z151)))</f>
        <v/>
      </c>
      <c r="AV151" s="43">
        <f>IF(((S151*pax_cap*load_mid*ROUND(K151*L151*revleg_mid,0))-(((battery/range_nm)*D151*ROUND(K151*L151*revleg_mid,0)*VLOOKUP(B151,country_opex,3,FALSE))+V151+W151+X151+Y151+Z151))&lt;=0,"",VLOOKUP(B151,country_opex,7,FALSE)/((S151*pax_cap*load_mid*ROUND(K151*L151*revleg_mid,0))-(((battery/range_nm)*D151*ROUND(K151*L151*revleg_mid,0)*VLOOKUP(B151,country_opex,3,FALSE))+V151+W151+X151+Y151+Z151)))</f>
        <v/>
      </c>
      <c r="AW151" s="43">
        <f>IF(((S151*pax_cap*load_full*ROUND(K151*L151*revleg_full,0))-(((battery/range_nm)*D151*ROUND(K151*L151*revleg_full,0)*VLOOKUP(B151,country_opex,3,FALSE))+V151+W151+X151+Y151+Z151))&lt;=0,"",VLOOKUP(B151,country_opex,7,FALSE)/((S151*pax_cap*load_full*ROUND(K151*L151*revleg_full,0))-(((battery/range_nm)*D151*ROUND(K151*L151*revleg_full,0)*VLOOKUP(B151,country_opex,3,FALSE))+V151+W151+X151+Y151+Z151)))</f>
        <v/>
      </c>
      <c r="AX151" s="44" t="inlineStr">
        <is>
          <t>Atlantis The Royal (795 keys) road-served; signature marine arrival opportunity-to-create. T5/low.</t>
        </is>
      </c>
      <c r="AY151" s="44" t="inlineStr">
        <is>
          <t>OPT-IN luxury-arrival fraction only (R3-LAND road-served). 795 keys x occ -&gt; small opt-in marine pool.</t>
        </is>
      </c>
    </row>
    <row r="152">
      <c r="A152" s="29" t="inlineStr">
        <is>
          <t>Yango</t>
        </is>
      </c>
      <c r="B152" s="29" t="inlineStr">
        <is>
          <t>United Arab Emirates</t>
        </is>
      </c>
      <c r="C152" s="30" t="inlineStr">
        <is>
          <t>Jebel Dhanna / Ruwais Ferry Terminal → Sir Bani Yas Cruise Port</t>
        </is>
      </c>
      <c r="D152" s="31" t="n">
        <v>5.3</v>
      </c>
      <c r="E152" s="26" t="n">
        <v>90</v>
      </c>
      <c r="F152" s="32" t="inlineStr">
        <is>
          <t>T5</t>
        </is>
      </c>
      <c r="G152" s="32" t="inlineStr">
        <is>
          <t>low</t>
        </is>
      </c>
      <c r="H152" s="19" t="n">
        <v>1</v>
      </c>
      <c r="I152" s="33">
        <f>60*D152/cruise_kt</f>
        <v/>
      </c>
      <c r="J152" s="33">
        <f>I152+turn_min+dwell_min</f>
        <v/>
      </c>
      <c r="K152" s="34">
        <f>MIN(24,FLOOR(60*service_hr/J152,1))</f>
        <v/>
      </c>
      <c r="L152" s="34">
        <f>ROUND(365*mech_uptime*H152,0)</f>
        <v/>
      </c>
      <c r="M152" s="35">
        <f>mech_uptime</f>
        <v/>
      </c>
      <c r="N152" s="35">
        <f>revleg_sel</f>
        <v/>
      </c>
      <c r="O152" s="34">
        <f>ROUND(K152*L152*revleg_sel,0)</f>
        <v/>
      </c>
      <c r="P152" s="36">
        <f>load_sel</f>
        <v/>
      </c>
      <c r="Q152" s="36">
        <f>pax_cap*P152</f>
        <v/>
      </c>
      <c r="R152" s="34">
        <f>Q152*O152</f>
        <v/>
      </c>
      <c r="S152" s="37">
        <f>E152*discount</f>
        <v/>
      </c>
      <c r="T152" s="38">
        <f>S152*R152</f>
        <v/>
      </c>
      <c r="U152" s="38">
        <f>(battery/range_nm)*D152*O152*VLOOKUP(B152,country_opex,3,FALSE)</f>
        <v/>
      </c>
      <c r="V152" s="38">
        <f>VLOOKUP(B152,country_opex,2,FALSE)*crew_factor</f>
        <v/>
      </c>
      <c r="W152" s="38">
        <f>VLOOKUP(B152,country_opex,5,FALSE)</f>
        <v/>
      </c>
      <c r="X152" s="38">
        <f>maint</f>
        <v/>
      </c>
      <c r="Y152" s="38">
        <f>VLOOKUP(B152,country_opex,7,FALSE)*ins_pct</f>
        <v/>
      </c>
      <c r="Z152" s="38">
        <f>charge_berth</f>
        <v/>
      </c>
      <c r="AA152" s="38">
        <f>U152+V152+W152+X152+Y152+Z152</f>
        <v/>
      </c>
      <c r="AB152" s="38">
        <f>VLOOKUP(B152,country_opex,7,FALSE)/dep_years</f>
        <v/>
      </c>
      <c r="AC152" s="38">
        <f>T152-AA152</f>
        <v/>
      </c>
      <c r="AD152" s="35">
        <f>IF(T152=0,"",AC152/T152)</f>
        <v/>
      </c>
      <c r="AE152" s="36">
        <f>IF(AC152&lt;=0,"",VLOOKUP(B152,country_opex,7,FALSE)/AC152)</f>
        <v/>
      </c>
      <c r="AF152" s="33">
        <f>((D152*O152/diesel_nmpg)*diesel_co2pg-(battery/range_nm)*D152*O152*VLOOKUP(B152,country_opex,4,FALSE))/1000</f>
        <v/>
      </c>
      <c r="AG152" s="31" t="n">
        <v>60000</v>
      </c>
      <c r="AH152" s="32" t="inlineStr">
        <is>
          <t>T5</t>
        </is>
      </c>
      <c r="AI152" s="32" t="inlineStr">
        <is>
          <t>low</t>
        </is>
      </c>
      <c r="AJ152" s="39" t="n">
        <v>0.1</v>
      </c>
      <c r="AK152" s="34">
        <f>IF(AG152="","",AG152*AJ152)</f>
        <v/>
      </c>
      <c r="AL152" s="34">
        <f>IF(OR(AG152="",R152=0),"",MIN(IF(AT152="",9.9E+99,AT152),FLOOR(AK152/R152,1)))</f>
        <v/>
      </c>
      <c r="AM152" s="38">
        <f>IF(AL152="","",AL152*T152)</f>
        <v/>
      </c>
      <c r="AN152" s="36">
        <f>IF(OR(AG152="",R152=0),"",MIN(IF(AT152="",9.9E+99,AT152),AK152/R152))</f>
        <v/>
      </c>
      <c r="AO152" s="38">
        <f>IF(AN152="","",AN152*T152)</f>
        <v/>
      </c>
      <c r="AP152" s="40" t="n"/>
      <c r="AQ152" s="32" t="inlineStr">
        <is>
          <t>Grounded</t>
        </is>
      </c>
      <c r="AR152" s="41" t="n"/>
      <c r="AS152" s="41" t="n"/>
      <c r="AT152" s="42" t="n"/>
      <c r="AU152" s="43">
        <f>IF(((S152*pax_cap*load_thin*ROUND(K152*L152*revleg_thin,0))-(((battery/range_nm)*D152*ROUND(K152*L152*revleg_thin,0)*VLOOKUP(B152,country_opex,3,FALSE))+V152+W152+X152+Y152+Z152))&lt;=0,"",VLOOKUP(B152,country_opex,7,FALSE)/((S152*pax_cap*load_thin*ROUND(K152*L152*revleg_thin,0))-(((battery/range_nm)*D152*ROUND(K152*L152*revleg_thin,0)*VLOOKUP(B152,country_opex,3,FALSE))+V152+W152+X152+Y152+Z152)))</f>
        <v/>
      </c>
      <c r="AV152" s="43">
        <f>IF(((S152*pax_cap*load_mid*ROUND(K152*L152*revleg_mid,0))-(((battery/range_nm)*D152*ROUND(K152*L152*revleg_mid,0)*VLOOKUP(B152,country_opex,3,FALSE))+V152+W152+X152+Y152+Z152))&lt;=0,"",VLOOKUP(B152,country_opex,7,FALSE)/((S152*pax_cap*load_mid*ROUND(K152*L152*revleg_mid,0))-(((battery/range_nm)*D152*ROUND(K152*L152*revleg_mid,0)*VLOOKUP(B152,country_opex,3,FALSE))+V152+W152+X152+Y152+Z152)))</f>
        <v/>
      </c>
      <c r="AW152" s="43">
        <f>IF(((S152*pax_cap*load_full*ROUND(K152*L152*revleg_full,0))-(((battery/range_nm)*D152*ROUND(K152*L152*revleg_full,0)*VLOOKUP(B152,country_opex,3,FALSE))+V152+W152+X152+Y152+Z152))&lt;=0,"",VLOOKUP(B152,country_opex,7,FALSE)/((S152*pax_cap*load_full*ROUND(K152*L152*revleg_full,0))-(((battery/range_nm)*D152*ROUND(K152*L152*revleg_full,0)*VLOOKUP(B152,country_opex,3,FALSE))+V152+W152+X152+Y152+Z152)))</f>
        <v/>
      </c>
      <c r="AX152" s="44" t="inlineStr">
        <is>
          <t>Sir Bani Yas boat-only (~8km offshore). 3 Anantara resorts ~124 keys. Guest boat transfer FREE today (R-UAE-1) -&gt; $90 opportunity-to-create / day-guest analog. T5/low.</t>
        </is>
      </c>
      <c r="AY152" s="44" t="inlineStr">
        <is>
          <t>Sir Bani Yas boat-only (R3-EXCEPTION). 3 Anantara resorts ~124 keys + Arabian Wildlife Park day-visitors via Jebel Dhanna ferry.</t>
        </is>
      </c>
    </row>
    <row r="153">
      <c r="A153" s="29" t="inlineStr">
        <is>
          <t>Yango</t>
        </is>
      </c>
      <c r="B153" s="29" t="inlineStr">
        <is>
          <t>United Arab Emirates</t>
        </is>
      </c>
      <c r="C153" s="30" t="inlineStr">
        <is>
          <t>Dubai Harbour Marina → Burj Al Arab Private Jetty</t>
        </is>
      </c>
      <c r="D153" s="31" t="n">
        <v>6.9</v>
      </c>
      <c r="E153" s="26" t="n">
        <v>250</v>
      </c>
      <c r="F153" s="32" t="inlineStr">
        <is>
          <t>T5</t>
        </is>
      </c>
      <c r="G153" s="32" t="inlineStr">
        <is>
          <t>low</t>
        </is>
      </c>
      <c r="H153" s="19" t="n">
        <v>1</v>
      </c>
      <c r="I153" s="33">
        <f>60*D153/cruise_kt</f>
        <v/>
      </c>
      <c r="J153" s="33">
        <f>I153+turn_min+dwell_min</f>
        <v/>
      </c>
      <c r="K153" s="34">
        <f>MIN(24,FLOOR(60*service_hr/J153,1))</f>
        <v/>
      </c>
      <c r="L153" s="34">
        <f>ROUND(365*mech_uptime*H153,0)</f>
        <v/>
      </c>
      <c r="M153" s="35">
        <f>mech_uptime</f>
        <v/>
      </c>
      <c r="N153" s="35">
        <f>revleg_sel</f>
        <v/>
      </c>
      <c r="O153" s="34">
        <f>ROUND(K153*L153*revleg_sel,0)</f>
        <v/>
      </c>
      <c r="P153" s="36">
        <f>load_sel</f>
        <v/>
      </c>
      <c r="Q153" s="36">
        <f>pax_cap*P153</f>
        <v/>
      </c>
      <c r="R153" s="34">
        <f>Q153*O153</f>
        <v/>
      </c>
      <c r="S153" s="37">
        <f>E153*discount</f>
        <v/>
      </c>
      <c r="T153" s="38">
        <f>S153*R153</f>
        <v/>
      </c>
      <c r="U153" s="38">
        <f>(battery/range_nm)*D153*O153*VLOOKUP(B153,country_opex,3,FALSE)</f>
        <v/>
      </c>
      <c r="V153" s="38">
        <f>VLOOKUP(B153,country_opex,2,FALSE)*crew_factor</f>
        <v/>
      </c>
      <c r="W153" s="38">
        <f>VLOOKUP(B153,country_opex,5,FALSE)</f>
        <v/>
      </c>
      <c r="X153" s="38">
        <f>maint</f>
        <v/>
      </c>
      <c r="Y153" s="38">
        <f>VLOOKUP(B153,country_opex,7,FALSE)*ins_pct</f>
        <v/>
      </c>
      <c r="Z153" s="38">
        <f>charge_berth</f>
        <v/>
      </c>
      <c r="AA153" s="38">
        <f>U153+V153+W153+X153+Y153+Z153</f>
        <v/>
      </c>
      <c r="AB153" s="38">
        <f>VLOOKUP(B153,country_opex,7,FALSE)/dep_years</f>
        <v/>
      </c>
      <c r="AC153" s="38">
        <f>T153-AA153</f>
        <v/>
      </c>
      <c r="AD153" s="35">
        <f>IF(T153=0,"",AC153/T153)</f>
        <v/>
      </c>
      <c r="AE153" s="36">
        <f>IF(AC153&lt;=0,"",VLOOKUP(B153,country_opex,7,FALSE)/AC153)</f>
        <v/>
      </c>
      <c r="AF153" s="33">
        <f>((D153*O153/diesel_nmpg)*diesel_co2pg-(battery/range_nm)*D153*O153*VLOOKUP(B153,country_opex,4,FALSE))/1000</f>
        <v/>
      </c>
      <c r="AG153" s="31" t="n">
        <v>5000</v>
      </c>
      <c r="AH153" s="32" t="inlineStr">
        <is>
          <t>T5</t>
        </is>
      </c>
      <c r="AI153" s="32" t="inlineStr">
        <is>
          <t>low</t>
        </is>
      </c>
      <c r="AJ153" s="39" t="n">
        <v>0.1</v>
      </c>
      <c r="AK153" s="34">
        <f>IF(AG153="","",AG153*AJ153)</f>
        <v/>
      </c>
      <c r="AL153" s="34">
        <f>IF(OR(AG153="",R153=0),"",MIN(IF(AT153="",9.9E+99,AT153),FLOOR(AK153/R153,1)))</f>
        <v/>
      </c>
      <c r="AM153" s="38">
        <f>IF(AL153="","",AL153*T153)</f>
        <v/>
      </c>
      <c r="AN153" s="36">
        <f>IF(OR(AG153="",R153=0),"",MIN(IF(AT153="",9.9E+99,AT153),AK153/R153))</f>
        <v/>
      </c>
      <c r="AO153" s="38">
        <f>IF(AN153="","",AN153*T153)</f>
        <v/>
      </c>
      <c r="AP153" s="40" t="n"/>
      <c r="AQ153" s="32" t="inlineStr">
        <is>
          <t>Grounded</t>
        </is>
      </c>
      <c r="AR153" s="41" t="n"/>
      <c r="AS153" s="41" t="n"/>
      <c r="AT153" s="42" t="n"/>
      <c r="AU153" s="43">
        <f>IF(((S153*pax_cap*load_thin*ROUND(K153*L153*revleg_thin,0))-(((battery/range_nm)*D153*ROUND(K153*L153*revleg_thin,0)*VLOOKUP(B153,country_opex,3,FALSE))+V153+W153+X153+Y153+Z153))&lt;=0,"",VLOOKUP(B153,country_opex,7,FALSE)/((S153*pax_cap*load_thin*ROUND(K153*L153*revleg_thin,0))-(((battery/range_nm)*D153*ROUND(K153*L153*revleg_thin,0)*VLOOKUP(B153,country_opex,3,FALSE))+V153+W153+X153+Y153+Z153)))</f>
        <v/>
      </c>
      <c r="AV153" s="43">
        <f>IF(((S153*pax_cap*load_mid*ROUND(K153*L153*revleg_mid,0))-(((battery/range_nm)*D153*ROUND(K153*L153*revleg_mid,0)*VLOOKUP(B153,country_opex,3,FALSE))+V153+W153+X153+Y153+Z153))&lt;=0,"",VLOOKUP(B153,country_opex,7,FALSE)/((S153*pax_cap*load_mid*ROUND(K153*L153*revleg_mid,0))-(((battery/range_nm)*D153*ROUND(K153*L153*revleg_mid,0)*VLOOKUP(B153,country_opex,3,FALSE))+V153+W153+X153+Y153+Z153)))</f>
        <v/>
      </c>
      <c r="AW153" s="43">
        <f>IF(((S153*pax_cap*load_full*ROUND(K153*L153*revleg_full,0))-(((battery/range_nm)*D153*ROUND(K153*L153*revleg_full,0)*VLOOKUP(B153,country_opex,3,FALSE))+V153+W153+X153+Y153+Z153))&lt;=0,"",VLOOKUP(B153,country_opex,7,FALSE)/((S153*pax_cap*load_full*ROUND(K153*L153*revleg_full,0))-(((battery/range_nm)*D153*ROUND(K153*L153*revleg_full,0)*VLOOKUP(B153,country_opex,3,FALSE))+V153+W153+X153+Y153+Z153)))</f>
        <v/>
      </c>
      <c r="AX153" s="44" t="inlineStr">
        <is>
          <t>Burj Al Arab (202 suites) road-served; iconic signature marine arrival. T5/low.</t>
        </is>
      </c>
      <c r="AY153" s="44" t="inlineStr">
        <is>
          <t>OPT-IN only (R3-LAND). 202 suites x occ -&gt; modest base + experiential day-guest yacht-arrivals.</t>
        </is>
      </c>
    </row>
    <row r="154">
      <c r="A154" s="29" t="inlineStr">
        <is>
          <t>Yango</t>
        </is>
      </c>
      <c r="B154" s="29" t="inlineStr">
        <is>
          <t>United Arab Emirates</t>
        </is>
      </c>
      <c r="C154" s="30" t="inlineStr">
        <is>
          <t>Marina Mall / Breakwater Marina → Reem Island Marina (Najmat / Marina Square)</t>
        </is>
      </c>
      <c r="D154" s="31" t="n">
        <v>7.1</v>
      </c>
      <c r="E154" s="26" t="n">
        <v>60</v>
      </c>
      <c r="F154" s="32" t="inlineStr">
        <is>
          <t>T4</t>
        </is>
      </c>
      <c r="G154" s="32" t="inlineStr">
        <is>
          <t>low</t>
        </is>
      </c>
      <c r="H154" s="19" t="n">
        <v>1</v>
      </c>
      <c r="I154" s="33">
        <f>60*D154/cruise_kt</f>
        <v/>
      </c>
      <c r="J154" s="33">
        <f>I154+turn_min+dwell_min</f>
        <v/>
      </c>
      <c r="K154" s="34">
        <f>MIN(24,FLOOR(60*service_hr/J154,1))</f>
        <v/>
      </c>
      <c r="L154" s="34">
        <f>ROUND(365*mech_uptime*H154,0)</f>
        <v/>
      </c>
      <c r="M154" s="35">
        <f>mech_uptime</f>
        <v/>
      </c>
      <c r="N154" s="35">
        <f>revleg_sel</f>
        <v/>
      </c>
      <c r="O154" s="34">
        <f>ROUND(K154*L154*revleg_sel,0)</f>
        <v/>
      </c>
      <c r="P154" s="36">
        <f>load_sel</f>
        <v/>
      </c>
      <c r="Q154" s="36">
        <f>pax_cap*P154</f>
        <v/>
      </c>
      <c r="R154" s="34">
        <f>Q154*O154</f>
        <v/>
      </c>
      <c r="S154" s="37">
        <f>E154*discount</f>
        <v/>
      </c>
      <c r="T154" s="38">
        <f>S154*R154</f>
        <v/>
      </c>
      <c r="U154" s="38">
        <f>(battery/range_nm)*D154*O154*VLOOKUP(B154,country_opex,3,FALSE)</f>
        <v/>
      </c>
      <c r="V154" s="38">
        <f>VLOOKUP(B154,country_opex,2,FALSE)*crew_factor</f>
        <v/>
      </c>
      <c r="W154" s="38">
        <f>VLOOKUP(B154,country_opex,5,FALSE)</f>
        <v/>
      </c>
      <c r="X154" s="38">
        <f>maint</f>
        <v/>
      </c>
      <c r="Y154" s="38">
        <f>VLOOKUP(B154,country_opex,7,FALSE)*ins_pct</f>
        <v/>
      </c>
      <c r="Z154" s="38">
        <f>charge_berth</f>
        <v/>
      </c>
      <c r="AA154" s="38">
        <f>U154+V154+W154+X154+Y154+Z154</f>
        <v/>
      </c>
      <c r="AB154" s="38">
        <f>VLOOKUP(B154,country_opex,7,FALSE)/dep_years</f>
        <v/>
      </c>
      <c r="AC154" s="38">
        <f>T154-AA154</f>
        <v/>
      </c>
      <c r="AD154" s="35">
        <f>IF(T154=0,"",AC154/T154)</f>
        <v/>
      </c>
      <c r="AE154" s="36">
        <f>IF(AC154&lt;=0,"",VLOOKUP(B154,country_opex,7,FALSE)/AC154)</f>
        <v/>
      </c>
      <c r="AF154" s="33">
        <f>((D154*O154/diesel_nmpg)*diesel_co2pg-(battery/range_nm)*D154*O154*VLOOKUP(B154,country_opex,4,FALSE))/1000</f>
        <v/>
      </c>
      <c r="AG154" s="31" t="n">
        <v>35000</v>
      </c>
      <c r="AH154" s="32" t="inlineStr">
        <is>
          <t>T3</t>
        </is>
      </c>
      <c r="AI154" s="32" t="inlineStr">
        <is>
          <t>low</t>
        </is>
      </c>
      <c r="AJ154" s="39" t="n">
        <v>0.1</v>
      </c>
      <c r="AK154" s="34">
        <f>IF(AG154="","",AG154*AJ154)</f>
        <v/>
      </c>
      <c r="AL154" s="34">
        <f>IF(OR(AG154="",R154=0),"",MIN(IF(AT154="",9.9E+99,AT154),FLOOR(AK154/R154,1)))</f>
        <v/>
      </c>
      <c r="AM154" s="38">
        <f>IF(AL154="","",AL154*T154)</f>
        <v/>
      </c>
      <c r="AN154" s="36">
        <f>IF(OR(AG154="",R154=0),"",MIN(IF(AT154="",9.9E+99,AT154),AK154/R154))</f>
        <v/>
      </c>
      <c r="AO154" s="38">
        <f>IF(AN154="","",AN154*T154)</f>
        <v/>
      </c>
      <c r="AP154" s="40" t="n"/>
      <c r="AQ154" s="32" t="inlineStr">
        <is>
          <t>Grounded</t>
        </is>
      </c>
      <c r="AR154" s="41" t="n"/>
      <c r="AS154" s="41" t="n"/>
      <c r="AT154" s="42" t="n"/>
      <c r="AU154" s="43">
        <f>IF(((S154*pax_cap*load_thin*ROUND(K154*L154*revleg_thin,0))-(((battery/range_nm)*D154*ROUND(K154*L154*revleg_thin,0)*VLOOKUP(B154,country_opex,3,FALSE))+V154+W154+X154+Y154+Z154))&lt;=0,"",VLOOKUP(B154,country_opex,7,FALSE)/((S154*pax_cap*load_thin*ROUND(K154*L154*revleg_thin,0))-(((battery/range_nm)*D154*ROUND(K154*L154*revleg_thin,0)*VLOOKUP(B154,country_opex,3,FALSE))+V154+W154+X154+Y154+Z154)))</f>
        <v/>
      </c>
      <c r="AV154" s="43">
        <f>IF(((S154*pax_cap*load_mid*ROUND(K154*L154*revleg_mid,0))-(((battery/range_nm)*D154*ROUND(K154*L154*revleg_mid,0)*VLOOKUP(B154,country_opex,3,FALSE))+V154+W154+X154+Y154+Z154))&lt;=0,"",VLOOKUP(B154,country_opex,7,FALSE)/((S154*pax_cap*load_mid*ROUND(K154*L154*revleg_mid,0))-(((battery/range_nm)*D154*ROUND(K154*L154*revleg_mid,0)*VLOOKUP(B154,country_opex,3,FALSE))+V154+W154+X154+Y154+Z154)))</f>
        <v/>
      </c>
      <c r="AW154" s="43">
        <f>IF(((S154*pax_cap*load_full*ROUND(K154*L154*revleg_full,0))-(((battery/range_nm)*D154*ROUND(K154*L154*revleg_full,0)*VLOOKUP(B154,country_opex,3,FALSE))+V154+W154+X154+Y154+Z154))&lt;=0,"",VLOOKUP(B154,country_opex,7,FALSE)/((S154*pax_cap*load_full*ROUND(K154*L154*revleg_full,0))-(((battery/range_nm)*D154*ROUND(K154*L154*revleg_full,0)*VLOOKUP(B154,country_opex,3,FALSE))+V154+W154+X154+Y154+Z154)))</f>
        <v/>
      </c>
      <c r="AX154" s="44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AY15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55">
      <c r="A155" s="29" t="inlineStr">
        <is>
          <t>Yango</t>
        </is>
      </c>
      <c r="B155" s="29" t="inlineStr">
        <is>
          <t>United Arab Emirates</t>
        </is>
      </c>
      <c r="C155" s="30" t="inlineStr">
        <is>
          <t>Dubai Harbour Marina → Anantara World Islands Resort Jetty (planned)</t>
        </is>
      </c>
      <c r="D155" s="31" t="n">
        <v>7.9</v>
      </c>
      <c r="E155" s="26" t="n">
        <v>80</v>
      </c>
      <c r="F155" s="32" t="inlineStr">
        <is>
          <t>T4</t>
        </is>
      </c>
      <c r="G155" s="32" t="inlineStr">
        <is>
          <t>low</t>
        </is>
      </c>
      <c r="H155" s="19" t="n">
        <v>1</v>
      </c>
      <c r="I155" s="33">
        <f>60*D155/cruise_kt</f>
        <v/>
      </c>
      <c r="J155" s="33">
        <f>I155+turn_min+dwell_min</f>
        <v/>
      </c>
      <c r="K155" s="34">
        <f>MIN(24,FLOOR(60*service_hr/J155,1))</f>
        <v/>
      </c>
      <c r="L155" s="34">
        <f>ROUND(365*mech_uptime*H155,0)</f>
        <v/>
      </c>
      <c r="M155" s="35">
        <f>mech_uptime</f>
        <v/>
      </c>
      <c r="N155" s="35">
        <f>revleg_sel</f>
        <v/>
      </c>
      <c r="O155" s="34">
        <f>ROUND(K155*L155*revleg_sel,0)</f>
        <v/>
      </c>
      <c r="P155" s="36">
        <f>load_sel</f>
        <v/>
      </c>
      <c r="Q155" s="36">
        <f>pax_cap*P155</f>
        <v/>
      </c>
      <c r="R155" s="34">
        <f>Q155*O155</f>
        <v/>
      </c>
      <c r="S155" s="37">
        <f>E155*discount</f>
        <v/>
      </c>
      <c r="T155" s="38">
        <f>S155*R155</f>
        <v/>
      </c>
      <c r="U155" s="38">
        <f>(battery/range_nm)*D155*O155*VLOOKUP(B155,country_opex,3,FALSE)</f>
        <v/>
      </c>
      <c r="V155" s="38">
        <f>VLOOKUP(B155,country_opex,2,FALSE)*crew_factor</f>
        <v/>
      </c>
      <c r="W155" s="38">
        <f>VLOOKUP(B155,country_opex,5,FALSE)</f>
        <v/>
      </c>
      <c r="X155" s="38">
        <f>maint</f>
        <v/>
      </c>
      <c r="Y155" s="38">
        <f>VLOOKUP(B155,country_opex,7,FALSE)*ins_pct</f>
        <v/>
      </c>
      <c r="Z155" s="38">
        <f>charge_berth</f>
        <v/>
      </c>
      <c r="AA155" s="38">
        <f>U155+V155+W155+X155+Y155+Z155</f>
        <v/>
      </c>
      <c r="AB155" s="38">
        <f>VLOOKUP(B155,country_opex,7,FALSE)/dep_years</f>
        <v/>
      </c>
      <c r="AC155" s="38">
        <f>T155-AA155</f>
        <v/>
      </c>
      <c r="AD155" s="35">
        <f>IF(T155=0,"",AC155/T155)</f>
        <v/>
      </c>
      <c r="AE155" s="36">
        <f>IF(AC155&lt;=0,"",VLOOKUP(B155,country_opex,7,FALSE)/AC155)</f>
        <v/>
      </c>
      <c r="AF155" s="33">
        <f>((D155*O155/diesel_nmpg)*diesel_co2pg-(battery/range_nm)*D155*O155*VLOOKUP(B155,country_opex,4,FALSE))/1000</f>
        <v/>
      </c>
      <c r="AG155" s="31" t="n">
        <v>30000</v>
      </c>
      <c r="AH155" s="32" t="inlineStr">
        <is>
          <t>T5</t>
        </is>
      </c>
      <c r="AI155" s="32" t="inlineStr">
        <is>
          <t>low</t>
        </is>
      </c>
      <c r="AJ155" s="39" t="n">
        <v>0.1</v>
      </c>
      <c r="AK155" s="34">
        <f>IF(AG155="","",AG155*AJ155)</f>
        <v/>
      </c>
      <c r="AL155" s="34">
        <f>IF(OR(AG155="",R155=0),"",MIN(IF(AT155="",9.9E+99,AT155),FLOOR(AK155/R155,1)))</f>
        <v/>
      </c>
      <c r="AM155" s="38">
        <f>IF(AL155="","",AL155*T155)</f>
        <v/>
      </c>
      <c r="AN155" s="36">
        <f>IF(OR(AG155="",R155=0),"",MIN(IF(AT155="",9.9E+99,AT155),AK155/R155))</f>
        <v/>
      </c>
      <c r="AO155" s="38">
        <f>IF(AN155="","",AN155*T155)</f>
        <v/>
      </c>
      <c r="AP155" s="40" t="n"/>
      <c r="AQ155" s="32" t="inlineStr">
        <is>
          <t>Grounded</t>
        </is>
      </c>
      <c r="AR155" s="41" t="n"/>
      <c r="AS155" s="41" t="n"/>
      <c r="AT155" s="42" t="n"/>
      <c r="AU155" s="43">
        <f>IF(((S155*pax_cap*load_thin*ROUND(K155*L155*revleg_thin,0))-(((battery/range_nm)*D155*ROUND(K155*L155*revleg_thin,0)*VLOOKUP(B155,country_opex,3,FALSE))+V155+W155+X155+Y155+Z155))&lt;=0,"",VLOOKUP(B155,country_opex,7,FALSE)/((S155*pax_cap*load_thin*ROUND(K155*L155*revleg_thin,0))-(((battery/range_nm)*D155*ROUND(K155*L155*revleg_thin,0)*VLOOKUP(B155,country_opex,3,FALSE))+V155+W155+X155+Y155+Z155)))</f>
        <v/>
      </c>
      <c r="AV155" s="43">
        <f>IF(((S155*pax_cap*load_mid*ROUND(K155*L155*revleg_mid,0))-(((battery/range_nm)*D155*ROUND(K155*L155*revleg_mid,0)*VLOOKUP(B155,country_opex,3,FALSE))+V155+W155+X155+Y155+Z155))&lt;=0,"",VLOOKUP(B155,country_opex,7,FALSE)/((S155*pax_cap*load_mid*ROUND(K155*L155*revleg_mid,0))-(((battery/range_nm)*D155*ROUND(K155*L155*revleg_mid,0)*VLOOKUP(B155,country_opex,3,FALSE))+V155+W155+X155+Y155+Z155)))</f>
        <v/>
      </c>
      <c r="AW155" s="43">
        <f>IF(((S155*pax_cap*load_full*ROUND(K155*L155*revleg_full,0))-(((battery/range_nm)*D155*ROUND(K155*L155*revleg_full,0)*VLOOKUP(B155,country_opex,3,FALSE))+V155+W155+X155+Y155+Z155))&lt;=0,"",VLOOKUP(B155,country_opex,7,FALSE)/((S155*pax_cap*load_full*ROUND(K155*L155*revleg_full,0))-(((battery/range_nm)*D155*ROUND(K155*L155*revleg_full,0)*VLOOKUP(B155,country_opex,3,FALSE))+V155+W155+X155+Y155+Z155)))</f>
        <v/>
      </c>
      <c r="AX155" s="44" t="inlineStr">
        <is>
          <t>Anantara World Islands Resort (boat-only; Forbes/Expedia 'accessible only by boat'). Resort shuttle ~AED 150/pax RETURN (~$20/way); premium per-seat modeled $80.</t>
        </is>
      </c>
      <c r="AY155" s="44" t="inlineStr">
        <is>
          <t>Boot-only -&gt; arrivals=crossing ridership FULLY addressable (R3-EXCEPTION). ~70 keys x ~65% occ + day-guests.</t>
        </is>
      </c>
    </row>
    <row r="156">
      <c r="A156" s="29" t="inlineStr">
        <is>
          <t>Yango</t>
        </is>
      </c>
      <c r="B156" s="29" t="inlineStr">
        <is>
          <t>United Arab Emirates</t>
        </is>
      </c>
      <c r="C156" s="30" t="inlineStr">
        <is>
          <t>Saadiyat Beach Club Jetty → Marina Mall / Breakwater Marina</t>
        </is>
      </c>
      <c r="D156" s="31" t="n">
        <v>8.9</v>
      </c>
      <c r="E156" s="26" t="n">
        <v>70</v>
      </c>
      <c r="F156" s="32" t="inlineStr">
        <is>
          <t>T4</t>
        </is>
      </c>
      <c r="G156" s="32" t="inlineStr">
        <is>
          <t>low</t>
        </is>
      </c>
      <c r="H156" s="19" t="n">
        <v>1</v>
      </c>
      <c r="I156" s="33">
        <f>60*D156/cruise_kt</f>
        <v/>
      </c>
      <c r="J156" s="33">
        <f>I156+turn_min+dwell_min</f>
        <v/>
      </c>
      <c r="K156" s="34">
        <f>MIN(24,FLOOR(60*service_hr/J156,1))</f>
        <v/>
      </c>
      <c r="L156" s="34">
        <f>ROUND(365*mech_uptime*H156,0)</f>
        <v/>
      </c>
      <c r="M156" s="35">
        <f>mech_uptime</f>
        <v/>
      </c>
      <c r="N156" s="35">
        <f>revleg_sel</f>
        <v/>
      </c>
      <c r="O156" s="34">
        <f>ROUND(K156*L156*revleg_sel,0)</f>
        <v/>
      </c>
      <c r="P156" s="36">
        <f>load_sel</f>
        <v/>
      </c>
      <c r="Q156" s="36">
        <f>pax_cap*P156</f>
        <v/>
      </c>
      <c r="R156" s="34">
        <f>Q156*O156</f>
        <v/>
      </c>
      <c r="S156" s="37">
        <f>E156*discount</f>
        <v/>
      </c>
      <c r="T156" s="38">
        <f>S156*R156</f>
        <v/>
      </c>
      <c r="U156" s="38">
        <f>(battery/range_nm)*D156*O156*VLOOKUP(B156,country_opex,3,FALSE)</f>
        <v/>
      </c>
      <c r="V156" s="38">
        <f>VLOOKUP(B156,country_opex,2,FALSE)*crew_factor</f>
        <v/>
      </c>
      <c r="W156" s="38">
        <f>VLOOKUP(B156,country_opex,5,FALSE)</f>
        <v/>
      </c>
      <c r="X156" s="38">
        <f>maint</f>
        <v/>
      </c>
      <c r="Y156" s="38">
        <f>VLOOKUP(B156,country_opex,7,FALSE)*ins_pct</f>
        <v/>
      </c>
      <c r="Z156" s="38">
        <f>charge_berth</f>
        <v/>
      </c>
      <c r="AA156" s="38">
        <f>U156+V156+W156+X156+Y156+Z156</f>
        <v/>
      </c>
      <c r="AB156" s="38">
        <f>VLOOKUP(B156,country_opex,7,FALSE)/dep_years</f>
        <v/>
      </c>
      <c r="AC156" s="38">
        <f>T156-AA156</f>
        <v/>
      </c>
      <c r="AD156" s="35">
        <f>IF(T156=0,"",AC156/T156)</f>
        <v/>
      </c>
      <c r="AE156" s="36">
        <f>IF(AC156&lt;=0,"",VLOOKUP(B156,country_opex,7,FALSE)/AC156)</f>
        <v/>
      </c>
      <c r="AF156" s="33">
        <f>((D156*O156/diesel_nmpg)*diesel_co2pg-(battery/range_nm)*D156*O156*VLOOKUP(B156,country_opex,4,FALSE))/1000</f>
        <v/>
      </c>
      <c r="AG156" s="31" t="n">
        <v>25000</v>
      </c>
      <c r="AH156" s="32" t="inlineStr">
        <is>
          <t>T3</t>
        </is>
      </c>
      <c r="AI156" s="32" t="inlineStr">
        <is>
          <t>low</t>
        </is>
      </c>
      <c r="AJ156" s="39" t="n">
        <v>0.1</v>
      </c>
      <c r="AK156" s="34">
        <f>IF(AG156="","",AG156*AJ156)</f>
        <v/>
      </c>
      <c r="AL156" s="34">
        <f>IF(OR(AG156="",R156=0),"",MIN(IF(AT156="",9.9E+99,AT156),FLOOR(AK156/R156,1)))</f>
        <v/>
      </c>
      <c r="AM156" s="38">
        <f>IF(AL156="","",AL156*T156)</f>
        <v/>
      </c>
      <c r="AN156" s="36">
        <f>IF(OR(AG156="",R156=0),"",MIN(IF(AT156="",9.9E+99,AT156),AK156/R156))</f>
        <v/>
      </c>
      <c r="AO156" s="38">
        <f>IF(AN156="","",AN156*T156)</f>
        <v/>
      </c>
      <c r="AP156" s="40" t="n"/>
      <c r="AQ156" s="32" t="inlineStr">
        <is>
          <t>Grounded</t>
        </is>
      </c>
      <c r="AR156" s="41" t="n"/>
      <c r="AS156" s="41" t="n"/>
      <c r="AT156" s="42" t="n"/>
      <c r="AU156" s="43">
        <f>IF(((S156*pax_cap*load_thin*ROUND(K156*L156*revleg_thin,0))-(((battery/range_nm)*D156*ROUND(K156*L156*revleg_thin,0)*VLOOKUP(B156,country_opex,3,FALSE))+V156+W156+X156+Y156+Z156))&lt;=0,"",VLOOKUP(B156,country_opex,7,FALSE)/((S156*pax_cap*load_thin*ROUND(K156*L156*revleg_thin,0))-(((battery/range_nm)*D156*ROUND(K156*L156*revleg_thin,0)*VLOOKUP(B156,country_opex,3,FALSE))+V156+W156+X156+Y156+Z156)))</f>
        <v/>
      </c>
      <c r="AV156" s="43">
        <f>IF(((S156*pax_cap*load_mid*ROUND(K156*L156*revleg_mid,0))-(((battery/range_nm)*D156*ROUND(K156*L156*revleg_mid,0)*VLOOKUP(B156,country_opex,3,FALSE))+V156+W156+X156+Y156+Z156))&lt;=0,"",VLOOKUP(B156,country_opex,7,FALSE)/((S156*pax_cap*load_mid*ROUND(K156*L156*revleg_mid,0))-(((battery/range_nm)*D156*ROUND(K156*L156*revleg_mid,0)*VLOOKUP(B156,country_opex,3,FALSE))+V156+W156+X156+Y156+Z156)))</f>
        <v/>
      </c>
      <c r="AW156" s="43">
        <f>IF(((S156*pax_cap*load_full*ROUND(K156*L156*revleg_full,0))-(((battery/range_nm)*D156*ROUND(K156*L156*revleg_full,0)*VLOOKUP(B156,country_opex,3,FALSE))+V156+W156+X156+Y156+Z156))&lt;=0,"",VLOOKUP(B156,country_opex,7,FALSE)/((S156*pax_cap*load_full*ROUND(K156*L156*revleg_full,0))-(((battery/range_nm)*D156*ROUND(K156*L156*revleg_full,0)*VLOOKUP(B156,country_opex,3,FALSE))+V156+W156+X156+Y156+Z156)))</f>
        <v/>
      </c>
      <c r="AX156" s="44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AY15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57">
      <c r="A157" s="29" t="inlineStr">
        <is>
          <t>Yango</t>
        </is>
      </c>
      <c r="B157" s="29" t="inlineStr">
        <is>
          <t>United Arab Emirates</t>
        </is>
      </c>
      <c r="C157" s="30" t="inlineStr">
        <is>
          <t>Dubai Harbour Marina → Côte d'Azur Resort Marina (Heart of Europe)</t>
        </is>
      </c>
      <c r="D157" s="31" t="n">
        <v>9.199999999999999</v>
      </c>
      <c r="E157" s="26" t="n">
        <v>175</v>
      </c>
      <c r="F157" s="32" t="inlineStr">
        <is>
          <t>T5</t>
        </is>
      </c>
      <c r="G157" s="32" t="inlineStr">
        <is>
          <t>low</t>
        </is>
      </c>
      <c r="H157" s="19" t="n">
        <v>1</v>
      </c>
      <c r="I157" s="33">
        <f>60*D157/cruise_kt</f>
        <v/>
      </c>
      <c r="J157" s="33">
        <f>I157+turn_min+dwell_min</f>
        <v/>
      </c>
      <c r="K157" s="34">
        <f>MIN(24,FLOOR(60*service_hr/J157,1))</f>
        <v/>
      </c>
      <c r="L157" s="34">
        <f>ROUND(365*mech_uptime*H157,0)</f>
        <v/>
      </c>
      <c r="M157" s="35">
        <f>mech_uptime</f>
        <v/>
      </c>
      <c r="N157" s="35">
        <f>revleg_sel</f>
        <v/>
      </c>
      <c r="O157" s="34">
        <f>ROUND(K157*L157*revleg_sel,0)</f>
        <v/>
      </c>
      <c r="P157" s="36">
        <f>load_sel</f>
        <v/>
      </c>
      <c r="Q157" s="36">
        <f>pax_cap*P157</f>
        <v/>
      </c>
      <c r="R157" s="34">
        <f>Q157*O157</f>
        <v/>
      </c>
      <c r="S157" s="37">
        <f>E157*discount</f>
        <v/>
      </c>
      <c r="T157" s="38">
        <f>S157*R157</f>
        <v/>
      </c>
      <c r="U157" s="38">
        <f>(battery/range_nm)*D157*O157*VLOOKUP(B157,country_opex,3,FALSE)</f>
        <v/>
      </c>
      <c r="V157" s="38">
        <f>VLOOKUP(B157,country_opex,2,FALSE)*crew_factor</f>
        <v/>
      </c>
      <c r="W157" s="38">
        <f>VLOOKUP(B157,country_opex,5,FALSE)</f>
        <v/>
      </c>
      <c r="X157" s="38">
        <f>maint</f>
        <v/>
      </c>
      <c r="Y157" s="38">
        <f>VLOOKUP(B157,country_opex,7,FALSE)*ins_pct</f>
        <v/>
      </c>
      <c r="Z157" s="38">
        <f>charge_berth</f>
        <v/>
      </c>
      <c r="AA157" s="38">
        <f>U157+V157+W157+X157+Y157+Z157</f>
        <v/>
      </c>
      <c r="AB157" s="38">
        <f>VLOOKUP(B157,country_opex,7,FALSE)/dep_years</f>
        <v/>
      </c>
      <c r="AC157" s="38">
        <f>T157-AA157</f>
        <v/>
      </c>
      <c r="AD157" s="35">
        <f>IF(T157=0,"",AC157/T157)</f>
        <v/>
      </c>
      <c r="AE157" s="36">
        <f>IF(AC157&lt;=0,"",VLOOKUP(B157,country_opex,7,FALSE)/AC157)</f>
        <v/>
      </c>
      <c r="AF157" s="33">
        <f>((D157*O157/diesel_nmpg)*diesel_co2pg-(battery/range_nm)*D157*O157*VLOOKUP(B157,country_opex,4,FALSE))/1000</f>
        <v/>
      </c>
      <c r="AG157" s="31" t="n">
        <v>70000</v>
      </c>
      <c r="AH157" s="32" t="inlineStr">
        <is>
          <t>T2</t>
        </is>
      </c>
      <c r="AI157" s="32" t="inlineStr">
        <is>
          <t>medium</t>
        </is>
      </c>
      <c r="AJ157" s="39" t="n">
        <v>0.1</v>
      </c>
      <c r="AK157" s="34">
        <f>IF(AG157="","",AG157*AJ157)</f>
        <v/>
      </c>
      <c r="AL157" s="34">
        <f>IF(OR(AG157="",R157=0),"",MIN(IF(AT157="",9.9E+99,AT157),FLOOR(AK157/R157,1)))</f>
        <v/>
      </c>
      <c r="AM157" s="38">
        <f>IF(AL157="","",AL157*T157)</f>
        <v/>
      </c>
      <c r="AN157" s="36">
        <f>IF(OR(AG157="",R157=0),"",MIN(IF(AT157="",9.9E+99,AT157),AK157/R157))</f>
        <v/>
      </c>
      <c r="AO157" s="38">
        <f>IF(AN157="","",AN157*T157)</f>
        <v/>
      </c>
      <c r="AP157" s="40" t="n"/>
      <c r="AQ157" s="32" t="inlineStr">
        <is>
          <t>Grounded</t>
        </is>
      </c>
      <c r="AR157" s="41" t="n"/>
      <c r="AS157" s="41" t="n"/>
      <c r="AT157" s="42" t="n"/>
      <c r="AU157" s="43">
        <f>IF(((S157*pax_cap*load_thin*ROUND(K157*L157*revleg_thin,0))-(((battery/range_nm)*D157*ROUND(K157*L157*revleg_thin,0)*VLOOKUP(B157,country_opex,3,FALSE))+V157+W157+X157+Y157+Z157))&lt;=0,"",VLOOKUP(B157,country_opex,7,FALSE)/((S157*pax_cap*load_thin*ROUND(K157*L157*revleg_thin,0))-(((battery/range_nm)*D157*ROUND(K157*L157*revleg_thin,0)*VLOOKUP(B157,country_opex,3,FALSE))+V157+W157+X157+Y157+Z157)))</f>
        <v/>
      </c>
      <c r="AV157" s="43">
        <f>IF(((S157*pax_cap*load_mid*ROUND(K157*L157*revleg_mid,0))-(((battery/range_nm)*D157*ROUND(K157*L157*revleg_mid,0)*VLOOKUP(B157,country_opex,3,FALSE))+V157+W157+X157+Y157+Z157))&lt;=0,"",VLOOKUP(B157,country_opex,7,FALSE)/((S157*pax_cap*load_mid*ROUND(K157*L157*revleg_mid,0))-(((battery/range_nm)*D157*ROUND(K157*L157*revleg_mid,0)*VLOOKUP(B157,country_opex,3,FALSE))+V157+W157+X157+Y157+Z157)))</f>
        <v/>
      </c>
      <c r="AW157" s="43">
        <f>IF(((S157*pax_cap*load_full*ROUND(K157*L157*revleg_full,0))-(((battery/range_nm)*D157*ROUND(K157*L157*revleg_full,0)*VLOOKUP(B157,country_opex,3,FALSE))+V157+W157+X157+Y157+Z157))&lt;=0,"",VLOOKUP(B157,country_opex,7,FALSE)/((S157*pax_cap*load_full*ROUND(K157*L157*revleg_full,0))-(((battery/range_nm)*D157*ROUND(K157*L157*revleg_full,0)*VLOOKUP(B157,country_opex,3,FALSE))+V157+W157+X157+Y157+Z157)))</f>
        <v/>
      </c>
      <c r="AX157" s="44" t="inlineStr">
        <is>
          <t>The World (Heart of Europe/Cote d'Azur) boat-only offshore. Shared per-seat $56-120/pax; resort transfers bundled. T5/low - opportunity-to-create.</t>
        </is>
      </c>
      <c r="AY157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58">
      <c r="A158" s="29" t="inlineStr">
        <is>
          <t>Yango</t>
        </is>
      </c>
      <c r="B158" s="29" t="inlineStr">
        <is>
          <t>United Arab Emirates</t>
        </is>
      </c>
      <c r="C158" s="30" t="inlineStr">
        <is>
          <t>Bluewaters Marina → Heart of Europe — Main Marina (The World)</t>
        </is>
      </c>
      <c r="D158" s="31" t="n">
        <v>9.880000000000001</v>
      </c>
      <c r="E158" s="26" t="n">
        <v>175</v>
      </c>
      <c r="F158" s="32" t="inlineStr">
        <is>
          <t>T5</t>
        </is>
      </c>
      <c r="G158" s="32" t="inlineStr">
        <is>
          <t>low</t>
        </is>
      </c>
      <c r="H158" s="19" t="n">
        <v>1</v>
      </c>
      <c r="I158" s="33">
        <f>60*D158/cruise_kt</f>
        <v/>
      </c>
      <c r="J158" s="33">
        <f>I158+turn_min+dwell_min</f>
        <v/>
      </c>
      <c r="K158" s="34">
        <f>MIN(24,FLOOR(60*service_hr/J158,1))</f>
        <v/>
      </c>
      <c r="L158" s="34">
        <f>ROUND(365*mech_uptime*H158,0)</f>
        <v/>
      </c>
      <c r="M158" s="35">
        <f>mech_uptime</f>
        <v/>
      </c>
      <c r="N158" s="35">
        <f>revleg_sel</f>
        <v/>
      </c>
      <c r="O158" s="34">
        <f>ROUND(K158*L158*revleg_sel,0)</f>
        <v/>
      </c>
      <c r="P158" s="36">
        <f>load_sel</f>
        <v/>
      </c>
      <c r="Q158" s="36">
        <f>pax_cap*P158</f>
        <v/>
      </c>
      <c r="R158" s="34">
        <f>Q158*O158</f>
        <v/>
      </c>
      <c r="S158" s="37">
        <f>E158*discount</f>
        <v/>
      </c>
      <c r="T158" s="38">
        <f>S158*R158</f>
        <v/>
      </c>
      <c r="U158" s="38">
        <f>(battery/range_nm)*D158*O158*VLOOKUP(B158,country_opex,3,FALSE)</f>
        <v/>
      </c>
      <c r="V158" s="38">
        <f>VLOOKUP(B158,country_opex,2,FALSE)*crew_factor</f>
        <v/>
      </c>
      <c r="W158" s="38">
        <f>VLOOKUP(B158,country_opex,5,FALSE)</f>
        <v/>
      </c>
      <c r="X158" s="38">
        <f>maint</f>
        <v/>
      </c>
      <c r="Y158" s="38">
        <f>VLOOKUP(B158,country_opex,7,FALSE)*ins_pct</f>
        <v/>
      </c>
      <c r="Z158" s="38">
        <f>charge_berth</f>
        <v/>
      </c>
      <c r="AA158" s="38">
        <f>U158+V158+W158+X158+Y158+Z158</f>
        <v/>
      </c>
      <c r="AB158" s="38">
        <f>VLOOKUP(B158,country_opex,7,FALSE)/dep_years</f>
        <v/>
      </c>
      <c r="AC158" s="38">
        <f>T158-AA158</f>
        <v/>
      </c>
      <c r="AD158" s="35">
        <f>IF(T158=0,"",AC158/T158)</f>
        <v/>
      </c>
      <c r="AE158" s="36">
        <f>IF(AC158&lt;=0,"",VLOOKUP(B158,country_opex,7,FALSE)/AC158)</f>
        <v/>
      </c>
      <c r="AF158" s="33">
        <f>((D158*O158/diesel_nmpg)*diesel_co2pg-(battery/range_nm)*D158*O158*VLOOKUP(B158,country_opex,4,FALSE))/1000</f>
        <v/>
      </c>
      <c r="AG158" s="31" t="n">
        <v>20000</v>
      </c>
      <c r="AH158" s="32" t="inlineStr">
        <is>
          <t>T3</t>
        </is>
      </c>
      <c r="AI158" s="32" t="inlineStr">
        <is>
          <t>low</t>
        </is>
      </c>
      <c r="AJ158" s="39" t="n">
        <v>0.1</v>
      </c>
      <c r="AK158" s="34">
        <f>IF(AG158="","",AG158*AJ158)</f>
        <v/>
      </c>
      <c r="AL158" s="34">
        <f>IF(OR(AG158="",R158=0),"",MIN(IF(AT158="",9.9E+99,AT158),FLOOR(AK158/R158,1)))</f>
        <v/>
      </c>
      <c r="AM158" s="38">
        <f>IF(AL158="","",AL158*T158)</f>
        <v/>
      </c>
      <c r="AN158" s="36">
        <f>IF(OR(AG158="",R158=0),"",MIN(IF(AT158="",9.9E+99,AT158),AK158/R158))</f>
        <v/>
      </c>
      <c r="AO158" s="38">
        <f>IF(AN158="","",AN158*T158)</f>
        <v/>
      </c>
      <c r="AP158" s="40" t="n"/>
      <c r="AQ158" s="32" t="inlineStr">
        <is>
          <t>Grounded</t>
        </is>
      </c>
      <c r="AR158" s="41" t="n"/>
      <c r="AS158" s="41" t="n"/>
      <c r="AT158" s="42" t="n"/>
      <c r="AU158" s="43">
        <f>IF(((S158*pax_cap*load_thin*ROUND(K158*L158*revleg_thin,0))-(((battery/range_nm)*D158*ROUND(K158*L158*revleg_thin,0)*VLOOKUP(B158,country_opex,3,FALSE))+V158+W158+X158+Y158+Z158))&lt;=0,"",VLOOKUP(B158,country_opex,7,FALSE)/((S158*pax_cap*load_thin*ROUND(K158*L158*revleg_thin,0))-(((battery/range_nm)*D158*ROUND(K158*L158*revleg_thin,0)*VLOOKUP(B158,country_opex,3,FALSE))+V158+W158+X158+Y158+Z158)))</f>
        <v/>
      </c>
      <c r="AV158" s="43">
        <f>IF(((S158*pax_cap*load_mid*ROUND(K158*L158*revleg_mid,0))-(((battery/range_nm)*D158*ROUND(K158*L158*revleg_mid,0)*VLOOKUP(B158,country_opex,3,FALSE))+V158+W158+X158+Y158+Z158))&lt;=0,"",VLOOKUP(B158,country_opex,7,FALSE)/((S158*pax_cap*load_mid*ROUND(K158*L158*revleg_mid,0))-(((battery/range_nm)*D158*ROUND(K158*L158*revleg_mid,0)*VLOOKUP(B158,country_opex,3,FALSE))+V158+W158+X158+Y158+Z158)))</f>
        <v/>
      </c>
      <c r="AW158" s="43">
        <f>IF(((S158*pax_cap*load_full*ROUND(K158*L158*revleg_full,0))-(((battery/range_nm)*D158*ROUND(K158*L158*revleg_full,0)*VLOOKUP(B158,country_opex,3,FALSE))+V158+W158+X158+Y158+Z158))&lt;=0,"",VLOOKUP(B158,country_opex,7,FALSE)/((S158*pax_cap*load_full*ROUND(K158*L158*revleg_full,0))-(((battery/range_nm)*D158*ROUND(K158*L158*revleg_full,0)*VLOOKUP(B158,country_opex,3,FALSE))+V158+W158+X158+Y158+Z158)))</f>
        <v/>
      </c>
      <c r="AX158" s="44" t="inlineStr">
        <is>
          <t>The World (Heart of Europe) boat-only offshore; greenfield. T5/low.</t>
        </is>
      </c>
      <c r="AY158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59">
      <c r="A159" s="29" t="inlineStr">
        <is>
          <t>Yango</t>
        </is>
      </c>
      <c r="B159" s="29" t="inlineStr">
        <is>
          <t>United Arab Emirates</t>
        </is>
      </c>
      <c r="C159" s="30" t="inlineStr">
        <is>
          <t>Dubai Harbour Marina → Bulgari Yacht Club &amp; Marina</t>
        </is>
      </c>
      <c r="D159" s="31" t="n">
        <v>10.2</v>
      </c>
      <c r="E159" s="26" t="n">
        <v>200</v>
      </c>
      <c r="F159" s="32" t="inlineStr">
        <is>
          <t>T5</t>
        </is>
      </c>
      <c r="G159" s="32" t="inlineStr">
        <is>
          <t>low</t>
        </is>
      </c>
      <c r="H159" s="19" t="n">
        <v>1</v>
      </c>
      <c r="I159" s="33">
        <f>60*D159/cruise_kt</f>
        <v/>
      </c>
      <c r="J159" s="33">
        <f>I159+turn_min+dwell_min</f>
        <v/>
      </c>
      <c r="K159" s="34">
        <f>MIN(24,FLOOR(60*service_hr/J159,1))</f>
        <v/>
      </c>
      <c r="L159" s="34">
        <f>ROUND(365*mech_uptime*H159,0)</f>
        <v/>
      </c>
      <c r="M159" s="35">
        <f>mech_uptime</f>
        <v/>
      </c>
      <c r="N159" s="35">
        <f>revleg_sel</f>
        <v/>
      </c>
      <c r="O159" s="34">
        <f>ROUND(K159*L159*revleg_sel,0)</f>
        <v/>
      </c>
      <c r="P159" s="36">
        <f>load_sel</f>
        <v/>
      </c>
      <c r="Q159" s="36">
        <f>pax_cap*P159</f>
        <v/>
      </c>
      <c r="R159" s="34">
        <f>Q159*O159</f>
        <v/>
      </c>
      <c r="S159" s="37">
        <f>E159*discount</f>
        <v/>
      </c>
      <c r="T159" s="38">
        <f>S159*R159</f>
        <v/>
      </c>
      <c r="U159" s="38">
        <f>(battery/range_nm)*D159*O159*VLOOKUP(B159,country_opex,3,FALSE)</f>
        <v/>
      </c>
      <c r="V159" s="38">
        <f>VLOOKUP(B159,country_opex,2,FALSE)*crew_factor</f>
        <v/>
      </c>
      <c r="W159" s="38">
        <f>VLOOKUP(B159,country_opex,5,FALSE)</f>
        <v/>
      </c>
      <c r="X159" s="38">
        <f>maint</f>
        <v/>
      </c>
      <c r="Y159" s="38">
        <f>VLOOKUP(B159,country_opex,7,FALSE)*ins_pct</f>
        <v/>
      </c>
      <c r="Z159" s="38">
        <f>charge_berth</f>
        <v/>
      </c>
      <c r="AA159" s="38">
        <f>U159+V159+W159+X159+Y159+Z159</f>
        <v/>
      </c>
      <c r="AB159" s="38">
        <f>VLOOKUP(B159,country_opex,7,FALSE)/dep_years</f>
        <v/>
      </c>
      <c r="AC159" s="38">
        <f>T159-AA159</f>
        <v/>
      </c>
      <c r="AD159" s="35">
        <f>IF(T159=0,"",AC159/T159)</f>
        <v/>
      </c>
      <c r="AE159" s="36">
        <f>IF(AC159&lt;=0,"",VLOOKUP(B159,country_opex,7,FALSE)/AC159)</f>
        <v/>
      </c>
      <c r="AF159" s="33">
        <f>((D159*O159/diesel_nmpg)*diesel_co2pg-(battery/range_nm)*D159*O159*VLOOKUP(B159,country_opex,4,FALSE))/1000</f>
        <v/>
      </c>
      <c r="AG159" s="31" t="n">
        <v>4000</v>
      </c>
      <c r="AH159" s="32" t="inlineStr">
        <is>
          <t>T5</t>
        </is>
      </c>
      <c r="AI159" s="32" t="inlineStr">
        <is>
          <t>low</t>
        </is>
      </c>
      <c r="AJ159" s="39" t="n">
        <v>0.1</v>
      </c>
      <c r="AK159" s="34">
        <f>IF(AG159="","",AG159*AJ159)</f>
        <v/>
      </c>
      <c r="AL159" s="34">
        <f>IF(OR(AG159="",R159=0),"",MIN(IF(AT159="",9.9E+99,AT159),FLOOR(AK159/R159,1)))</f>
        <v/>
      </c>
      <c r="AM159" s="38">
        <f>IF(AL159="","",AL159*T159)</f>
        <v/>
      </c>
      <c r="AN159" s="36">
        <f>IF(OR(AG159="",R159=0),"",MIN(IF(AT159="",9.9E+99,AT159),AK159/R159))</f>
        <v/>
      </c>
      <c r="AO159" s="38">
        <f>IF(AN159="","",AN159*T159)</f>
        <v/>
      </c>
      <c r="AP159" s="40" t="n"/>
      <c r="AQ159" s="32" t="inlineStr">
        <is>
          <t>Grounded</t>
        </is>
      </c>
      <c r="AR159" s="41" t="n"/>
      <c r="AS159" s="41" t="n"/>
      <c r="AT159" s="42" t="n"/>
      <c r="AU159" s="43">
        <f>IF(((S159*pax_cap*load_thin*ROUND(K159*L159*revleg_thin,0))-(((battery/range_nm)*D159*ROUND(K159*L159*revleg_thin,0)*VLOOKUP(B159,country_opex,3,FALSE))+V159+W159+X159+Y159+Z159))&lt;=0,"",VLOOKUP(B159,country_opex,7,FALSE)/((S159*pax_cap*load_thin*ROUND(K159*L159*revleg_thin,0))-(((battery/range_nm)*D159*ROUND(K159*L159*revleg_thin,0)*VLOOKUP(B159,country_opex,3,FALSE))+V159+W159+X159+Y159+Z159)))</f>
        <v/>
      </c>
      <c r="AV159" s="43">
        <f>IF(((S159*pax_cap*load_mid*ROUND(K159*L159*revleg_mid,0))-(((battery/range_nm)*D159*ROUND(K159*L159*revleg_mid,0)*VLOOKUP(B159,country_opex,3,FALSE))+V159+W159+X159+Y159+Z159))&lt;=0,"",VLOOKUP(B159,country_opex,7,FALSE)/((S159*pax_cap*load_mid*ROUND(K159*L159*revleg_mid,0))-(((battery/range_nm)*D159*ROUND(K159*L159*revleg_mid,0)*VLOOKUP(B159,country_opex,3,FALSE))+V159+W159+X159+Y159+Z159)))</f>
        <v/>
      </c>
      <c r="AW159" s="43">
        <f>IF(((S159*pax_cap*load_full*ROUND(K159*L159*revleg_full,0))-(((battery/range_nm)*D159*ROUND(K159*L159*revleg_full,0)*VLOOKUP(B159,country_opex,3,FALSE))+V159+W159+X159+Y159+Z159))&lt;=0,"",VLOOKUP(B159,country_opex,7,FALSE)/((S159*pax_cap*load_full*ROUND(K159*L159*revleg_full,0))-(((battery/range_nm)*D159*ROUND(K159*L159*revleg_full,0)*VLOOKUP(B159,country_opex,3,FALSE))+V159+W159+X159+Y159+Z159)))</f>
        <v/>
      </c>
      <c r="AX159" s="44" t="inlineStr">
        <is>
          <t>Bulgari Resort Dubai ~129 keys + Bulgari Yacht Club &amp; Marina; road-served. T5/low.</t>
        </is>
      </c>
      <c r="AY159" s="44" t="inlineStr">
        <is>
          <t>OPT-IN only (R3-LAND). ~129-key resort + yacht-club members.</t>
        </is>
      </c>
    </row>
    <row r="160">
      <c r="A160" s="29" t="inlineStr">
        <is>
          <t>Yango</t>
        </is>
      </c>
      <c r="B160" s="29" t="inlineStr">
        <is>
          <t>United Arab Emirates</t>
        </is>
      </c>
      <c r="C160" s="30" t="inlineStr">
        <is>
          <t>Emirates Palace Marina → Saadiyat Beach Club Jetty</t>
        </is>
      </c>
      <c r="D160" s="31" t="n">
        <v>10.4</v>
      </c>
      <c r="E160" s="26" t="n">
        <v>175</v>
      </c>
      <c r="F160" s="32" t="inlineStr">
        <is>
          <t>T5</t>
        </is>
      </c>
      <c r="G160" s="32" t="inlineStr">
        <is>
          <t>low</t>
        </is>
      </c>
      <c r="H160" s="19" t="n">
        <v>1</v>
      </c>
      <c r="I160" s="33">
        <f>60*D160/cruise_kt</f>
        <v/>
      </c>
      <c r="J160" s="33">
        <f>I160+turn_min+dwell_min</f>
        <v/>
      </c>
      <c r="K160" s="34">
        <f>MIN(24,FLOOR(60*service_hr/J160,1))</f>
        <v/>
      </c>
      <c r="L160" s="34">
        <f>ROUND(365*mech_uptime*H160,0)</f>
        <v/>
      </c>
      <c r="M160" s="35">
        <f>mech_uptime</f>
        <v/>
      </c>
      <c r="N160" s="35">
        <f>revleg_sel</f>
        <v/>
      </c>
      <c r="O160" s="34">
        <f>ROUND(K160*L160*revleg_sel,0)</f>
        <v/>
      </c>
      <c r="P160" s="36">
        <f>load_sel</f>
        <v/>
      </c>
      <c r="Q160" s="36">
        <f>pax_cap*P160</f>
        <v/>
      </c>
      <c r="R160" s="34">
        <f>Q160*O160</f>
        <v/>
      </c>
      <c r="S160" s="37">
        <f>E160*discount</f>
        <v/>
      </c>
      <c r="T160" s="38">
        <f>S160*R160</f>
        <v/>
      </c>
      <c r="U160" s="38">
        <f>(battery/range_nm)*D160*O160*VLOOKUP(B160,country_opex,3,FALSE)</f>
        <v/>
      </c>
      <c r="V160" s="38">
        <f>VLOOKUP(B160,country_opex,2,FALSE)*crew_factor</f>
        <v/>
      </c>
      <c r="W160" s="38">
        <f>VLOOKUP(B160,country_opex,5,FALSE)</f>
        <v/>
      </c>
      <c r="X160" s="38">
        <f>maint</f>
        <v/>
      </c>
      <c r="Y160" s="38">
        <f>VLOOKUP(B160,country_opex,7,FALSE)*ins_pct</f>
        <v/>
      </c>
      <c r="Z160" s="38">
        <f>charge_berth</f>
        <v/>
      </c>
      <c r="AA160" s="38">
        <f>U160+V160+W160+X160+Y160+Z160</f>
        <v/>
      </c>
      <c r="AB160" s="38">
        <f>VLOOKUP(B160,country_opex,7,FALSE)/dep_years</f>
        <v/>
      </c>
      <c r="AC160" s="38">
        <f>T160-AA160</f>
        <v/>
      </c>
      <c r="AD160" s="35">
        <f>IF(T160=0,"",AC160/T160)</f>
        <v/>
      </c>
      <c r="AE160" s="36">
        <f>IF(AC160&lt;=0,"",VLOOKUP(B160,country_opex,7,FALSE)/AC160)</f>
        <v/>
      </c>
      <c r="AF160" s="33">
        <f>((D160*O160/diesel_nmpg)*diesel_co2pg-(battery/range_nm)*D160*O160*VLOOKUP(B160,country_opex,4,FALSE))/1000</f>
        <v/>
      </c>
      <c r="AG160" s="31" t="n">
        <v>3000</v>
      </c>
      <c r="AH160" s="32" t="inlineStr">
        <is>
          <t>T5</t>
        </is>
      </c>
      <c r="AI160" s="32" t="inlineStr">
        <is>
          <t>low</t>
        </is>
      </c>
      <c r="AJ160" s="39" t="n">
        <v>0.1</v>
      </c>
      <c r="AK160" s="34">
        <f>IF(AG160="","",AG160*AJ160)</f>
        <v/>
      </c>
      <c r="AL160" s="34">
        <f>IF(OR(AG160="",R160=0),"",MIN(IF(AT160="",9.9E+99,AT160),FLOOR(AK160/R160,1)))</f>
        <v/>
      </c>
      <c r="AM160" s="38">
        <f>IF(AL160="","",AL160*T160)</f>
        <v/>
      </c>
      <c r="AN160" s="36">
        <f>IF(OR(AG160="",R160=0),"",MIN(IF(AT160="",9.9E+99,AT160),AK160/R160))</f>
        <v/>
      </c>
      <c r="AO160" s="38">
        <f>IF(AN160="","",AN160*T160)</f>
        <v/>
      </c>
      <c r="AP160" s="40" t="n"/>
      <c r="AQ160" s="32" t="inlineStr">
        <is>
          <t>Grounded</t>
        </is>
      </c>
      <c r="AR160" s="41" t="n"/>
      <c r="AS160" s="41" t="n"/>
      <c r="AT160" s="42" t="n"/>
      <c r="AU160" s="43">
        <f>IF(((S160*pax_cap*load_thin*ROUND(K160*L160*revleg_thin,0))-(((battery/range_nm)*D160*ROUND(K160*L160*revleg_thin,0)*VLOOKUP(B160,country_opex,3,FALSE))+V160+W160+X160+Y160+Z160))&lt;=0,"",VLOOKUP(B160,country_opex,7,FALSE)/((S160*pax_cap*load_thin*ROUND(K160*L160*revleg_thin,0))-(((battery/range_nm)*D160*ROUND(K160*L160*revleg_thin,0)*VLOOKUP(B160,country_opex,3,FALSE))+V160+W160+X160+Y160+Z160)))</f>
        <v/>
      </c>
      <c r="AV160" s="43">
        <f>IF(((S160*pax_cap*load_mid*ROUND(K160*L160*revleg_mid,0))-(((battery/range_nm)*D160*ROUND(K160*L160*revleg_mid,0)*VLOOKUP(B160,country_opex,3,FALSE))+V160+W160+X160+Y160+Z160))&lt;=0,"",VLOOKUP(B160,country_opex,7,FALSE)/((S160*pax_cap*load_mid*ROUND(K160*L160*revleg_mid,0))-(((battery/range_nm)*D160*ROUND(K160*L160*revleg_mid,0)*VLOOKUP(B160,country_opex,3,FALSE))+V160+W160+X160+Y160+Z160)))</f>
        <v/>
      </c>
      <c r="AW160" s="43">
        <f>IF(((S160*pax_cap*load_full*ROUND(K160*L160*revleg_full,0))-(((battery/range_nm)*D160*ROUND(K160*L160*revleg_full,0)*VLOOKUP(B160,country_opex,3,FALSE))+V160+W160+X160+Y160+Z160))&lt;=0,"",VLOOKUP(B160,country_opex,7,FALSE)/((S160*pax_cap*load_full*ROUND(K160*L160*revleg_full,0))-(((battery/range_nm)*D160*ROUND(K160*L160*revleg_full,0)*VLOOKUP(B160,country_opex,3,FALSE))+V160+W160+X160+Y160+Z160)))</f>
        <v/>
      </c>
      <c r="AX160" s="44" t="inlineStr">
        <is>
          <t>Emirates Palace&lt;-&gt;Saadiyat experiential luxury hop; both road-served. T5/low.</t>
        </is>
      </c>
      <c r="AY160" s="44" t="inlineStr">
        <is>
          <t>OPT-IN only (R3-LAND: both road-served). Experiential luxury hop.</t>
        </is>
      </c>
    </row>
    <row r="161">
      <c r="A161" s="29" t="inlineStr">
        <is>
          <t>Yango</t>
        </is>
      </c>
      <c r="B161" s="29" t="inlineStr">
        <is>
          <t>United Arab Emirates</t>
        </is>
      </c>
      <c r="C161" s="30" t="inlineStr">
        <is>
          <t>Dubai Marina → Downtown / Dubai Creek</t>
        </is>
      </c>
      <c r="D161" s="31" t="n">
        <v>12</v>
      </c>
      <c r="E161" s="26" t="n"/>
      <c r="F161" s="32" t="n"/>
      <c r="G161" s="32" t="n"/>
      <c r="H161" s="19" t="n">
        <v>1</v>
      </c>
      <c r="I161" s="33">
        <f>60*D161/cruise_kt</f>
        <v/>
      </c>
      <c r="J161" s="33">
        <f>I161+turn_min+dwell_min</f>
        <v/>
      </c>
      <c r="K161" s="34">
        <f>MIN(24,FLOOR(60*service_hr/J161,1))</f>
        <v/>
      </c>
      <c r="L161" s="34">
        <f>ROUND(365*mech_uptime*H161,0)</f>
        <v/>
      </c>
      <c r="M161" s="35">
        <f>mech_uptime</f>
        <v/>
      </c>
      <c r="N161" s="35">
        <f>revleg_sel</f>
        <v/>
      </c>
      <c r="O161" s="34">
        <f>ROUND(K161*L161*revleg_sel,0)</f>
        <v/>
      </c>
      <c r="P161" s="36">
        <f>load_sel</f>
        <v/>
      </c>
      <c r="Q161" s="36">
        <f>pax_cap*P161</f>
        <v/>
      </c>
      <c r="R161" s="34">
        <f>Q161*O161</f>
        <v/>
      </c>
      <c r="S161" s="37">
        <f>E161*discount</f>
        <v/>
      </c>
      <c r="T161" s="38">
        <f>S161*R161</f>
        <v/>
      </c>
      <c r="U161" s="38">
        <f>(battery/range_nm)*D161*O161*VLOOKUP(B161,country_opex,3,FALSE)</f>
        <v/>
      </c>
      <c r="V161" s="38">
        <f>VLOOKUP(B161,country_opex,2,FALSE)*crew_factor</f>
        <v/>
      </c>
      <c r="W161" s="38">
        <f>VLOOKUP(B161,country_opex,5,FALSE)</f>
        <v/>
      </c>
      <c r="X161" s="38">
        <f>maint</f>
        <v/>
      </c>
      <c r="Y161" s="38">
        <f>VLOOKUP(B161,country_opex,7,FALSE)*ins_pct</f>
        <v/>
      </c>
      <c r="Z161" s="38">
        <f>charge_berth</f>
        <v/>
      </c>
      <c r="AA161" s="38">
        <f>U161+V161+W161+X161+Y161+Z161</f>
        <v/>
      </c>
      <c r="AB161" s="38">
        <f>VLOOKUP(B161,country_opex,7,FALSE)/dep_years</f>
        <v/>
      </c>
      <c r="AC161" s="38">
        <f>T161-AA161</f>
        <v/>
      </c>
      <c r="AD161" s="35">
        <f>IF(T161=0,"",AC161/T161)</f>
        <v/>
      </c>
      <c r="AE161" s="36">
        <f>IF(AC161&lt;=0,"",VLOOKUP(B161,country_opex,7,FALSE)/AC161)</f>
        <v/>
      </c>
      <c r="AF161" s="33">
        <f>((D161*O161/diesel_nmpg)*diesel_co2pg-(battery/range_nm)*D161*O161*VLOOKUP(B161,country_opex,4,FALSE))/1000</f>
        <v/>
      </c>
      <c r="AG161" s="31" t="n"/>
      <c r="AH161" s="32" t="n"/>
      <c r="AI161" s="32" t="n"/>
      <c r="AJ161" s="39" t="n">
        <v>0.1</v>
      </c>
      <c r="AK161" s="34">
        <f>IF(AG161="","",AG161*AJ161)</f>
        <v/>
      </c>
      <c r="AL161" s="34">
        <f>IF(OR(AG161="",R161=0),"",MIN(IF(AT161="",9.9E+99,AT161),FLOOR(AK161/R161,1)))</f>
        <v/>
      </c>
      <c r="AM161" s="38">
        <f>IF(AL161="","",AL161*T161)</f>
        <v/>
      </c>
      <c r="AN161" s="36">
        <f>IF(OR(AG161="",R161=0),"",MIN(IF(AT161="",9.9E+99,AT161),AK161/R161))</f>
        <v/>
      </c>
      <c r="AO161" s="38">
        <f>IF(AN161="","",AN161*T161)</f>
        <v/>
      </c>
      <c r="AP161" s="40" t="n"/>
      <c r="AQ161" s="32" t="inlineStr">
        <is>
          <t>Estimated</t>
        </is>
      </c>
      <c r="AR161" s="41" t="n"/>
      <c r="AS161" s="41" t="n"/>
      <c r="AT161" s="42" t="n"/>
      <c r="AU161" s="43">
        <f>IF(((S161*pax_cap*load_thin*ROUND(K161*L161*revleg_thin,0))-(((battery/range_nm)*D161*ROUND(K161*L161*revleg_thin,0)*VLOOKUP(B161,country_opex,3,FALSE))+V161+W161+X161+Y161+Z161))&lt;=0,"",VLOOKUP(B161,country_opex,7,FALSE)/((S161*pax_cap*load_thin*ROUND(K161*L161*revleg_thin,0))-(((battery/range_nm)*D161*ROUND(K161*L161*revleg_thin,0)*VLOOKUP(B161,country_opex,3,FALSE))+V161+W161+X161+Y161+Z161)))</f>
        <v/>
      </c>
      <c r="AV161" s="43">
        <f>IF(((S161*pax_cap*load_mid*ROUND(K161*L161*revleg_mid,0))-(((battery/range_nm)*D161*ROUND(K161*L161*revleg_mid,0)*VLOOKUP(B161,country_opex,3,FALSE))+V161+W161+X161+Y161+Z161))&lt;=0,"",VLOOKUP(B161,country_opex,7,FALSE)/((S161*pax_cap*load_mid*ROUND(K161*L161*revleg_mid,0))-(((battery/range_nm)*D161*ROUND(K161*L161*revleg_mid,0)*VLOOKUP(B161,country_opex,3,FALSE))+V161+W161+X161+Y161+Z161)))</f>
        <v/>
      </c>
      <c r="AW161" s="43">
        <f>IF(((S161*pax_cap*load_full*ROUND(K161*L161*revleg_full,0))-(((battery/range_nm)*D161*ROUND(K161*L161*revleg_full,0)*VLOOKUP(B161,country_opex,3,FALSE))+V161+W161+X161+Y161+Z161))&lt;=0,"",VLOOKUP(B161,country_opex,7,FALSE)/((S161*pax_cap*load_full*ROUND(K161*L161*revleg_full,0))-(((battery/range_nm)*D161*ROUND(K161*L161*revleg_full,0)*VLOOKUP(B161,country_opex,3,FALSE))+V161+W161+X161+Y161+Z161)))</f>
        <v/>
      </c>
      <c r="AX161" s="44" t="n"/>
      <c r="AY161" s="44" t="n"/>
    </row>
    <row r="162">
      <c r="A162" s="29" t="inlineStr">
        <is>
          <t>Yango</t>
        </is>
      </c>
      <c r="B162" s="29" t="inlineStr">
        <is>
          <t>United Arab Emirates</t>
        </is>
      </c>
      <c r="C162" s="30" t="inlineStr">
        <is>
          <t>Dubai Marina → Downtown Creek</t>
        </is>
      </c>
      <c r="D162" s="31" t="n">
        <v>12</v>
      </c>
      <c r="E162" s="26" t="n"/>
      <c r="F162" s="32" t="n"/>
      <c r="G162" s="32" t="n"/>
      <c r="H162" s="19" t="n">
        <v>1</v>
      </c>
      <c r="I162" s="33">
        <f>60*D162/cruise_kt</f>
        <v/>
      </c>
      <c r="J162" s="33">
        <f>I162+turn_min+dwell_min</f>
        <v/>
      </c>
      <c r="K162" s="34">
        <f>MIN(24,FLOOR(60*service_hr/J162,1))</f>
        <v/>
      </c>
      <c r="L162" s="34">
        <f>ROUND(365*mech_uptime*H162,0)</f>
        <v/>
      </c>
      <c r="M162" s="35">
        <f>mech_uptime</f>
        <v/>
      </c>
      <c r="N162" s="35">
        <f>revleg_sel</f>
        <v/>
      </c>
      <c r="O162" s="34">
        <f>ROUND(K162*L162*revleg_sel,0)</f>
        <v/>
      </c>
      <c r="P162" s="36">
        <f>load_sel</f>
        <v/>
      </c>
      <c r="Q162" s="36">
        <f>pax_cap*P162</f>
        <v/>
      </c>
      <c r="R162" s="34">
        <f>Q162*O162</f>
        <v/>
      </c>
      <c r="S162" s="37">
        <f>E162*discount</f>
        <v/>
      </c>
      <c r="T162" s="38">
        <f>S162*R162</f>
        <v/>
      </c>
      <c r="U162" s="38">
        <f>(battery/range_nm)*D162*O162*VLOOKUP(B162,country_opex,3,FALSE)</f>
        <v/>
      </c>
      <c r="V162" s="38">
        <f>VLOOKUP(B162,country_opex,2,FALSE)*crew_factor</f>
        <v/>
      </c>
      <c r="W162" s="38">
        <f>VLOOKUP(B162,country_opex,5,FALSE)</f>
        <v/>
      </c>
      <c r="X162" s="38">
        <f>maint</f>
        <v/>
      </c>
      <c r="Y162" s="38">
        <f>VLOOKUP(B162,country_opex,7,FALSE)*ins_pct</f>
        <v/>
      </c>
      <c r="Z162" s="38">
        <f>charge_berth</f>
        <v/>
      </c>
      <c r="AA162" s="38">
        <f>U162+V162+W162+X162+Y162+Z162</f>
        <v/>
      </c>
      <c r="AB162" s="38">
        <f>VLOOKUP(B162,country_opex,7,FALSE)/dep_years</f>
        <v/>
      </c>
      <c r="AC162" s="38">
        <f>T162-AA162</f>
        <v/>
      </c>
      <c r="AD162" s="35">
        <f>IF(T162=0,"",AC162/T162)</f>
        <v/>
      </c>
      <c r="AE162" s="36">
        <f>IF(AC162&lt;=0,"",VLOOKUP(B162,country_opex,7,FALSE)/AC162)</f>
        <v/>
      </c>
      <c r="AF162" s="33">
        <f>((D162*O162/diesel_nmpg)*diesel_co2pg-(battery/range_nm)*D162*O162*VLOOKUP(B162,country_opex,4,FALSE))/1000</f>
        <v/>
      </c>
      <c r="AG162" s="31" t="n"/>
      <c r="AH162" s="32" t="n"/>
      <c r="AI162" s="32" t="n"/>
      <c r="AJ162" s="39" t="n">
        <v>0.1</v>
      </c>
      <c r="AK162" s="34">
        <f>IF(AG162="","",AG162*AJ162)</f>
        <v/>
      </c>
      <c r="AL162" s="34">
        <f>IF(OR(AG162="",R162=0),"",MIN(IF(AT162="",9.9E+99,AT162),FLOOR(AK162/R162,1)))</f>
        <v/>
      </c>
      <c r="AM162" s="38">
        <f>IF(AL162="","",AL162*T162)</f>
        <v/>
      </c>
      <c r="AN162" s="36">
        <f>IF(OR(AG162="",R162=0),"",MIN(IF(AT162="",9.9E+99,AT162),AK162/R162))</f>
        <v/>
      </c>
      <c r="AO162" s="38">
        <f>IF(AN162="","",AN162*T162)</f>
        <v/>
      </c>
      <c r="AP162" s="40" t="n"/>
      <c r="AQ162" s="32" t="inlineStr">
        <is>
          <t>Estimated</t>
        </is>
      </c>
      <c r="AR162" s="41" t="n"/>
      <c r="AS162" s="41" t="n"/>
      <c r="AT162" s="42" t="n"/>
      <c r="AU162" s="43">
        <f>IF(((S162*pax_cap*load_thin*ROUND(K162*L162*revleg_thin,0))-(((battery/range_nm)*D162*ROUND(K162*L162*revleg_thin,0)*VLOOKUP(B162,country_opex,3,FALSE))+V162+W162+X162+Y162+Z162))&lt;=0,"",VLOOKUP(B162,country_opex,7,FALSE)/((S162*pax_cap*load_thin*ROUND(K162*L162*revleg_thin,0))-(((battery/range_nm)*D162*ROUND(K162*L162*revleg_thin,0)*VLOOKUP(B162,country_opex,3,FALSE))+V162+W162+X162+Y162+Z162)))</f>
        <v/>
      </c>
      <c r="AV162" s="43">
        <f>IF(((S162*pax_cap*load_mid*ROUND(K162*L162*revleg_mid,0))-(((battery/range_nm)*D162*ROUND(K162*L162*revleg_mid,0)*VLOOKUP(B162,country_opex,3,FALSE))+V162+W162+X162+Y162+Z162))&lt;=0,"",VLOOKUP(B162,country_opex,7,FALSE)/((S162*pax_cap*load_mid*ROUND(K162*L162*revleg_mid,0))-(((battery/range_nm)*D162*ROUND(K162*L162*revleg_mid,0)*VLOOKUP(B162,country_opex,3,FALSE))+V162+W162+X162+Y162+Z162)))</f>
        <v/>
      </c>
      <c r="AW162" s="43">
        <f>IF(((S162*pax_cap*load_full*ROUND(K162*L162*revleg_full,0))-(((battery/range_nm)*D162*ROUND(K162*L162*revleg_full,0)*VLOOKUP(B162,country_opex,3,FALSE))+V162+W162+X162+Y162+Z162))&lt;=0,"",VLOOKUP(B162,country_opex,7,FALSE)/((S162*pax_cap*load_full*ROUND(K162*L162*revleg_full,0))-(((battery/range_nm)*D162*ROUND(K162*L162*revleg_full,0)*VLOOKUP(B162,country_opex,3,FALSE))+V162+W162+X162+Y162+Z162)))</f>
        <v/>
      </c>
      <c r="AX162" s="44" t="n"/>
      <c r="AY162" s="44" t="n"/>
    </row>
    <row r="163">
      <c r="A163" s="29" t="inlineStr">
        <is>
          <t>Yango</t>
        </is>
      </c>
      <c r="B163" s="29" t="inlineStr">
        <is>
          <t>United Arab Emirates</t>
        </is>
      </c>
      <c r="C163" s="30" t="inlineStr">
        <is>
          <t>Yas Marina → Zaya Nurai Island Jetty</t>
        </is>
      </c>
      <c r="D163" s="31" t="n">
        <v>12.6</v>
      </c>
      <c r="E163" s="26" t="n">
        <v>175</v>
      </c>
      <c r="F163" s="32" t="inlineStr">
        <is>
          <t>T5</t>
        </is>
      </c>
      <c r="G163" s="32" t="inlineStr">
        <is>
          <t>low</t>
        </is>
      </c>
      <c r="H163" s="19" t="n">
        <v>1</v>
      </c>
      <c r="I163" s="33">
        <f>60*D163/cruise_kt</f>
        <v/>
      </c>
      <c r="J163" s="33">
        <f>I163+turn_min+dwell_min</f>
        <v/>
      </c>
      <c r="K163" s="34">
        <f>MIN(24,FLOOR(60*service_hr/J163,1))</f>
        <v/>
      </c>
      <c r="L163" s="34">
        <f>ROUND(365*mech_uptime*H163,0)</f>
        <v/>
      </c>
      <c r="M163" s="35">
        <f>mech_uptime</f>
        <v/>
      </c>
      <c r="N163" s="35">
        <f>revleg_sel</f>
        <v/>
      </c>
      <c r="O163" s="34">
        <f>ROUND(K163*L163*revleg_sel,0)</f>
        <v/>
      </c>
      <c r="P163" s="36">
        <f>load_sel</f>
        <v/>
      </c>
      <c r="Q163" s="36">
        <f>pax_cap*P163</f>
        <v/>
      </c>
      <c r="R163" s="34">
        <f>Q163*O163</f>
        <v/>
      </c>
      <c r="S163" s="37">
        <f>E163*discount</f>
        <v/>
      </c>
      <c r="T163" s="38">
        <f>S163*R163</f>
        <v/>
      </c>
      <c r="U163" s="38">
        <f>(battery/range_nm)*D163*O163*VLOOKUP(B163,country_opex,3,FALSE)</f>
        <v/>
      </c>
      <c r="V163" s="38">
        <f>VLOOKUP(B163,country_opex,2,FALSE)*crew_factor</f>
        <v/>
      </c>
      <c r="W163" s="38">
        <f>VLOOKUP(B163,country_opex,5,FALSE)</f>
        <v/>
      </c>
      <c r="X163" s="38">
        <f>maint</f>
        <v/>
      </c>
      <c r="Y163" s="38">
        <f>VLOOKUP(B163,country_opex,7,FALSE)*ins_pct</f>
        <v/>
      </c>
      <c r="Z163" s="38">
        <f>charge_berth</f>
        <v/>
      </c>
      <c r="AA163" s="38">
        <f>U163+V163+W163+X163+Y163+Z163</f>
        <v/>
      </c>
      <c r="AB163" s="38">
        <f>VLOOKUP(B163,country_opex,7,FALSE)/dep_years</f>
        <v/>
      </c>
      <c r="AC163" s="38">
        <f>T163-AA163</f>
        <v/>
      </c>
      <c r="AD163" s="35">
        <f>IF(T163=0,"",AC163/T163)</f>
        <v/>
      </c>
      <c r="AE163" s="36">
        <f>IF(AC163&lt;=0,"",VLOOKUP(B163,country_opex,7,FALSE)/AC163)</f>
        <v/>
      </c>
      <c r="AF163" s="33">
        <f>((D163*O163/diesel_nmpg)*diesel_co2pg-(battery/range_nm)*D163*O163*VLOOKUP(B163,country_opex,4,FALSE))/1000</f>
        <v/>
      </c>
      <c r="AG163" s="31" t="n">
        <v>15000</v>
      </c>
      <c r="AH163" s="32" t="inlineStr">
        <is>
          <t>T3</t>
        </is>
      </c>
      <c r="AI163" s="32" t="inlineStr">
        <is>
          <t>low</t>
        </is>
      </c>
      <c r="AJ163" s="39" t="n">
        <v>0.1</v>
      </c>
      <c r="AK163" s="34">
        <f>IF(AG163="","",AG163*AJ163)</f>
        <v/>
      </c>
      <c r="AL163" s="34">
        <f>IF(OR(AG163="",R163=0),"",MIN(IF(AT163="",9.9E+99,AT163),FLOOR(AK163/R163,1)))</f>
        <v/>
      </c>
      <c r="AM163" s="38">
        <f>IF(AL163="","",AL163*T163)</f>
        <v/>
      </c>
      <c r="AN163" s="36">
        <f>IF(OR(AG163="",R163=0),"",MIN(IF(AT163="",9.9E+99,AT163),AK163/R163))</f>
        <v/>
      </c>
      <c r="AO163" s="38">
        <f>IF(AN163="","",AN163*T163)</f>
        <v/>
      </c>
      <c r="AP163" s="40" t="n"/>
      <c r="AQ163" s="32" t="inlineStr">
        <is>
          <t>Grounded</t>
        </is>
      </c>
      <c r="AR163" s="41" t="n"/>
      <c r="AS163" s="41" t="n"/>
      <c r="AT163" s="42" t="n"/>
      <c r="AU163" s="43">
        <f>IF(((S163*pax_cap*load_thin*ROUND(K163*L163*revleg_thin,0))-(((battery/range_nm)*D163*ROUND(K163*L163*revleg_thin,0)*VLOOKUP(B163,country_opex,3,FALSE))+V163+W163+X163+Y163+Z163))&lt;=0,"",VLOOKUP(B163,country_opex,7,FALSE)/((S163*pax_cap*load_thin*ROUND(K163*L163*revleg_thin,0))-(((battery/range_nm)*D163*ROUND(K163*L163*revleg_thin,0)*VLOOKUP(B163,country_opex,3,FALSE))+V163+W163+X163+Y163+Z163)))</f>
        <v/>
      </c>
      <c r="AV163" s="43">
        <f>IF(((S163*pax_cap*load_mid*ROUND(K163*L163*revleg_mid,0))-(((battery/range_nm)*D163*ROUND(K163*L163*revleg_mid,0)*VLOOKUP(B163,country_opex,3,FALSE))+V163+W163+X163+Y163+Z163))&lt;=0,"",VLOOKUP(B163,country_opex,7,FALSE)/((S163*pax_cap*load_mid*ROUND(K163*L163*revleg_mid,0))-(((battery/range_nm)*D163*ROUND(K163*L163*revleg_mid,0)*VLOOKUP(B163,country_opex,3,FALSE))+V163+W163+X163+Y163+Z163)))</f>
        <v/>
      </c>
      <c r="AW163" s="43">
        <f>IF(((S163*pax_cap*load_full*ROUND(K163*L163*revleg_full,0))-(((battery/range_nm)*D163*ROUND(K163*L163*revleg_full,0)*VLOOKUP(B163,country_opex,3,FALSE))+V163+W163+X163+Y163+Z163))&lt;=0,"",VLOOKUP(B163,country_opex,7,FALSE)/((S163*pax_cap*load_full*ROUND(K163*L163*revleg_full,0))-(((battery/range_nm)*D163*ROUND(K163*L163*revleg_full,0)*VLOOKUP(B163,country_opex,3,FALSE))+V163+W163+X163+Y163+Z163)))</f>
        <v/>
      </c>
      <c r="AX163" s="44" t="inlineStr">
        <is>
          <t>Zaya Nurai boat-only, but real transfers depart Saadiyat (4.4nm) not Yas Marina (12.6nm) -&gt; R3-PIER. $175 modeled; demand NULL. T5/low.</t>
        </is>
      </c>
      <c r="AY16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64">
      <c r="A164" s="29" t="inlineStr">
        <is>
          <t>Yango</t>
        </is>
      </c>
      <c r="B164" s="29" t="inlineStr">
        <is>
          <t>United Arab Emirates</t>
        </is>
      </c>
      <c r="C164" s="30" t="inlineStr">
        <is>
          <t>Yas Marina → Saadiyat Beach Club Jetty</t>
        </is>
      </c>
      <c r="D164" s="31" t="n">
        <v>13</v>
      </c>
      <c r="E164" s="26" t="n">
        <v>75</v>
      </c>
      <c r="F164" s="32" t="inlineStr">
        <is>
          <t>T4</t>
        </is>
      </c>
      <c r="G164" s="32" t="inlineStr">
        <is>
          <t>low</t>
        </is>
      </c>
      <c r="H164" s="19" t="n">
        <v>1</v>
      </c>
      <c r="I164" s="33">
        <f>60*D164/cruise_kt</f>
        <v/>
      </c>
      <c r="J164" s="33">
        <f>I164+turn_min+dwell_min</f>
        <v/>
      </c>
      <c r="K164" s="34">
        <f>MIN(24,FLOOR(60*service_hr/J164,1))</f>
        <v/>
      </c>
      <c r="L164" s="34">
        <f>ROUND(365*mech_uptime*H164,0)</f>
        <v/>
      </c>
      <c r="M164" s="35">
        <f>mech_uptime</f>
        <v/>
      </c>
      <c r="N164" s="35">
        <f>revleg_sel</f>
        <v/>
      </c>
      <c r="O164" s="34">
        <f>ROUND(K164*L164*revleg_sel,0)</f>
        <v/>
      </c>
      <c r="P164" s="36">
        <f>load_sel</f>
        <v/>
      </c>
      <c r="Q164" s="36">
        <f>pax_cap*P164</f>
        <v/>
      </c>
      <c r="R164" s="34">
        <f>Q164*O164</f>
        <v/>
      </c>
      <c r="S164" s="37">
        <f>E164*discount</f>
        <v/>
      </c>
      <c r="T164" s="38">
        <f>S164*R164</f>
        <v/>
      </c>
      <c r="U164" s="38">
        <f>(battery/range_nm)*D164*O164*VLOOKUP(B164,country_opex,3,FALSE)</f>
        <v/>
      </c>
      <c r="V164" s="38">
        <f>VLOOKUP(B164,country_opex,2,FALSE)*crew_factor</f>
        <v/>
      </c>
      <c r="W164" s="38">
        <f>VLOOKUP(B164,country_opex,5,FALSE)</f>
        <v/>
      </c>
      <c r="X164" s="38">
        <f>maint</f>
        <v/>
      </c>
      <c r="Y164" s="38">
        <f>VLOOKUP(B164,country_opex,7,FALSE)*ins_pct</f>
        <v/>
      </c>
      <c r="Z164" s="38">
        <f>charge_berth</f>
        <v/>
      </c>
      <c r="AA164" s="38">
        <f>U164+V164+W164+X164+Y164+Z164</f>
        <v/>
      </c>
      <c r="AB164" s="38">
        <f>VLOOKUP(B164,country_opex,7,FALSE)/dep_years</f>
        <v/>
      </c>
      <c r="AC164" s="38">
        <f>T164-AA164</f>
        <v/>
      </c>
      <c r="AD164" s="35">
        <f>IF(T164=0,"",AC164/T164)</f>
        <v/>
      </c>
      <c r="AE164" s="36">
        <f>IF(AC164&lt;=0,"",VLOOKUP(B164,country_opex,7,FALSE)/AC164)</f>
        <v/>
      </c>
      <c r="AF164" s="33">
        <f>((D164*O164/diesel_nmpg)*diesel_co2pg-(battery/range_nm)*D164*O164*VLOOKUP(B164,country_opex,4,FALSE))/1000</f>
        <v/>
      </c>
      <c r="AG164" s="31" t="n">
        <v>30000</v>
      </c>
      <c r="AH164" s="32" t="inlineStr">
        <is>
          <t>T3</t>
        </is>
      </c>
      <c r="AI164" s="32" t="inlineStr">
        <is>
          <t>low</t>
        </is>
      </c>
      <c r="AJ164" s="39" t="n">
        <v>0.1</v>
      </c>
      <c r="AK164" s="34">
        <f>IF(AG164="","",AG164*AJ164)</f>
        <v/>
      </c>
      <c r="AL164" s="34">
        <f>IF(OR(AG164="",R164=0),"",MIN(IF(AT164="",9.9E+99,AT164),FLOOR(AK164/R164,1)))</f>
        <v/>
      </c>
      <c r="AM164" s="38">
        <f>IF(AL164="","",AL164*T164)</f>
        <v/>
      </c>
      <c r="AN164" s="36">
        <f>IF(OR(AG164="",R164=0),"",MIN(IF(AT164="",9.9E+99,AT164),AK164/R164))</f>
        <v/>
      </c>
      <c r="AO164" s="38">
        <f>IF(AN164="","",AN164*T164)</f>
        <v/>
      </c>
      <c r="AP164" s="40" t="n"/>
      <c r="AQ164" s="32" t="inlineStr">
        <is>
          <t>Grounded</t>
        </is>
      </c>
      <c r="AR164" s="41" t="n"/>
      <c r="AS164" s="41" t="n"/>
      <c r="AT164" s="42" t="n"/>
      <c r="AU164" s="43">
        <f>IF(((S164*pax_cap*load_thin*ROUND(K164*L164*revleg_thin,0))-(((battery/range_nm)*D164*ROUND(K164*L164*revleg_thin,0)*VLOOKUP(B164,country_opex,3,FALSE))+V164+W164+X164+Y164+Z164))&lt;=0,"",VLOOKUP(B164,country_opex,7,FALSE)/((S164*pax_cap*load_thin*ROUND(K164*L164*revleg_thin,0))-(((battery/range_nm)*D164*ROUND(K164*L164*revleg_thin,0)*VLOOKUP(B164,country_opex,3,FALSE))+V164+W164+X164+Y164+Z164)))</f>
        <v/>
      </c>
      <c r="AV164" s="43">
        <f>IF(((S164*pax_cap*load_mid*ROUND(K164*L164*revleg_mid,0))-(((battery/range_nm)*D164*ROUND(K164*L164*revleg_mid,0)*VLOOKUP(B164,country_opex,3,FALSE))+V164+W164+X164+Y164+Z164))&lt;=0,"",VLOOKUP(B164,country_opex,7,FALSE)/((S164*pax_cap*load_mid*ROUND(K164*L164*revleg_mid,0))-(((battery/range_nm)*D164*ROUND(K164*L164*revleg_mid,0)*VLOOKUP(B164,country_opex,3,FALSE))+V164+W164+X164+Y164+Z164)))</f>
        <v/>
      </c>
      <c r="AW164" s="43">
        <f>IF(((S164*pax_cap*load_full*ROUND(K164*L164*revleg_full,0))-(((battery/range_nm)*D164*ROUND(K164*L164*revleg_full,0)*VLOOKUP(B164,country_opex,3,FALSE))+V164+W164+X164+Y164+Z164))&lt;=0,"",VLOOKUP(B164,country_opex,7,FALSE)/((S164*pax_cap*load_full*ROUND(K164*L164*revleg_full,0))-(((battery/range_nm)*D164*ROUND(K164*L164*revleg_full,0)*VLOOKUP(B164,country_opex,3,FALSE))+V164+W164+X164+Y164+Z164)))</f>
        <v/>
      </c>
      <c r="AX164" s="44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AY16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65">
      <c r="A165" s="29" t="inlineStr">
        <is>
          <t>Yango</t>
        </is>
      </c>
      <c r="B165" s="29" t="inlineStr">
        <is>
          <t>United Arab Emirates</t>
        </is>
      </c>
      <c r="C165" s="30" t="inlineStr">
        <is>
          <t>Dibba Marina (Fujairah) → Khorfakkan Corniche / Port (Sharjah enclave)</t>
        </is>
      </c>
      <c r="D165" s="31" t="n">
        <v>20.4</v>
      </c>
      <c r="E165" s="26" t="n">
        <v>65</v>
      </c>
      <c r="F165" s="32" t="inlineStr">
        <is>
          <t>T3</t>
        </is>
      </c>
      <c r="G165" s="32" t="inlineStr">
        <is>
          <t>med</t>
        </is>
      </c>
      <c r="H165" s="19" t="n">
        <v>1</v>
      </c>
      <c r="I165" s="33">
        <f>60*D165/cruise_kt</f>
        <v/>
      </c>
      <c r="J165" s="33">
        <f>I165+turn_min+dwell_min</f>
        <v/>
      </c>
      <c r="K165" s="34">
        <f>MIN(24,FLOOR(60*service_hr/J165,1))</f>
        <v/>
      </c>
      <c r="L165" s="34">
        <f>ROUND(365*mech_uptime*H165,0)</f>
        <v/>
      </c>
      <c r="M165" s="35">
        <f>mech_uptime</f>
        <v/>
      </c>
      <c r="N165" s="35">
        <f>revleg_sel</f>
        <v/>
      </c>
      <c r="O165" s="34">
        <f>ROUND(K165*L165*revleg_sel,0)</f>
        <v/>
      </c>
      <c r="P165" s="36">
        <f>load_sel</f>
        <v/>
      </c>
      <c r="Q165" s="36">
        <f>pax_cap*P165</f>
        <v/>
      </c>
      <c r="R165" s="34">
        <f>Q165*O165</f>
        <v/>
      </c>
      <c r="S165" s="37">
        <f>E165*discount</f>
        <v/>
      </c>
      <c r="T165" s="38">
        <f>S165*R165</f>
        <v/>
      </c>
      <c r="U165" s="38">
        <f>(battery/range_nm)*D165*O165*VLOOKUP(B165,country_opex,3,FALSE)</f>
        <v/>
      </c>
      <c r="V165" s="38">
        <f>VLOOKUP(B165,country_opex,2,FALSE)*crew_factor</f>
        <v/>
      </c>
      <c r="W165" s="38">
        <f>VLOOKUP(B165,country_opex,5,FALSE)</f>
        <v/>
      </c>
      <c r="X165" s="38">
        <f>maint</f>
        <v/>
      </c>
      <c r="Y165" s="38">
        <f>VLOOKUP(B165,country_opex,7,FALSE)*ins_pct</f>
        <v/>
      </c>
      <c r="Z165" s="38">
        <f>charge_berth</f>
        <v/>
      </c>
      <c r="AA165" s="38">
        <f>U165+V165+W165+X165+Y165+Z165</f>
        <v/>
      </c>
      <c r="AB165" s="38">
        <f>VLOOKUP(B165,country_opex,7,FALSE)/dep_years</f>
        <v/>
      </c>
      <c r="AC165" s="38">
        <f>T165-AA165</f>
        <v/>
      </c>
      <c r="AD165" s="35">
        <f>IF(T165=0,"",AC165/T165)</f>
        <v/>
      </c>
      <c r="AE165" s="36">
        <f>IF(AC165&lt;=0,"",VLOOKUP(B165,country_opex,7,FALSE)/AC165)</f>
        <v/>
      </c>
      <c r="AF165" s="33">
        <f>((D165*O165/diesel_nmpg)*diesel_co2pg-(battery/range_nm)*D165*O165*VLOOKUP(B165,country_opex,4,FALSE))/1000</f>
        <v/>
      </c>
      <c r="AG165" s="31" t="n">
        <v>60000</v>
      </c>
      <c r="AH165" s="32" t="inlineStr">
        <is>
          <t>T4</t>
        </is>
      </c>
      <c r="AI165" s="32" t="inlineStr">
        <is>
          <t>low</t>
        </is>
      </c>
      <c r="AJ165" s="39" t="n">
        <v>0.1</v>
      </c>
      <c r="AK165" s="34">
        <f>IF(AG165="","",AG165*AJ165)</f>
        <v/>
      </c>
      <c r="AL165" s="34">
        <f>IF(OR(AG165="",R165=0),"",MIN(IF(AT165="",9.9E+99,AT165),FLOOR(AK165/R165,1)))</f>
        <v/>
      </c>
      <c r="AM165" s="38">
        <f>IF(AL165="","",AL165*T165)</f>
        <v/>
      </c>
      <c r="AN165" s="36">
        <f>IF(OR(AG165="",R165=0),"",MIN(IF(AT165="",9.9E+99,AT165),AK165/R165))</f>
        <v/>
      </c>
      <c r="AO165" s="38">
        <f>IF(AN165="","",AN165*T165)</f>
        <v/>
      </c>
      <c r="AP165" s="40" t="n"/>
      <c r="AQ165" s="32" t="inlineStr">
        <is>
          <t>Grounded</t>
        </is>
      </c>
      <c r="AR165" s="41" t="n"/>
      <c r="AS165" s="41" t="n"/>
      <c r="AT165" s="42" t="n"/>
      <c r="AU165" s="43">
        <f>IF(((S165*pax_cap*load_thin*ROUND(K165*L165*revleg_thin,0))-(((battery/range_nm)*D165*ROUND(K165*L165*revleg_thin,0)*VLOOKUP(B165,country_opex,3,FALSE))+V165+W165+X165+Y165+Z165))&lt;=0,"",VLOOKUP(B165,country_opex,7,FALSE)/((S165*pax_cap*load_thin*ROUND(K165*L165*revleg_thin,0))-(((battery/range_nm)*D165*ROUND(K165*L165*revleg_thin,0)*VLOOKUP(B165,country_opex,3,FALSE))+V165+W165+X165+Y165+Z165)))</f>
        <v/>
      </c>
      <c r="AV165" s="43">
        <f>IF(((S165*pax_cap*load_mid*ROUND(K165*L165*revleg_mid,0))-(((battery/range_nm)*D165*ROUND(K165*L165*revleg_mid,0)*VLOOKUP(B165,country_opex,3,FALSE))+V165+W165+X165+Y165+Z165))&lt;=0,"",VLOOKUP(B165,country_opex,7,FALSE)/((S165*pax_cap*load_mid*ROUND(K165*L165*revleg_mid,0))-(((battery/range_nm)*D165*ROUND(K165*L165*revleg_mid,0)*VLOOKUP(B165,country_opex,3,FALSE))+V165+W165+X165+Y165+Z165)))</f>
        <v/>
      </c>
      <c r="AW165" s="43">
        <f>IF(((S165*pax_cap*load_full*ROUND(K165*L165*revleg_full,0))-(((battery/range_nm)*D165*ROUND(K165*L165*revleg_full,0)*VLOOKUP(B165,country_opex,3,FALSE))+V165+W165+X165+Y165+Z165))&lt;=0,"",VLOOKUP(B165,country_opex,7,FALSE)/((S165*pax_cap*load_full*ROUND(K165*L165*revleg_full,0))-(((battery/range_nm)*D165*ROUND(K165*L165*revleg_full,0)*VLOOKUP(B165,country_opex,3,FALSE))+V165+W165+X165+Y165+Z165)))</f>
        <v/>
      </c>
      <c r="AX165" s="44" t="inlineStr">
        <is>
          <t>Fujairah east-coast day-trip boats: Dibba/Khor Fakkan dhow &amp; speedboat tours AED 140-210/pax (Instagram/Tripadvisor/Viator 2025); Musandam dhow cruises similar.</t>
        </is>
      </c>
      <c r="AY165" s="44" t="inlineStr">
        <is>
          <t>Fujairah arrivals crossed 340,000 (+22% YoY), 209 hotels, 70-100% occ (UAE Ministry/Fujairah Tourism); east-coast diving/Musandam day-trips genuinely water-based.</t>
        </is>
      </c>
    </row>
    <row r="166">
      <c r="A166" s="29" t="inlineStr">
        <is>
          <t>Yango</t>
        </is>
      </c>
      <c r="B166" s="29" t="inlineStr">
        <is>
          <t>United Arab Emirates</t>
        </is>
      </c>
      <c r="C166" s="30" t="inlineStr">
        <is>
          <t>Dubai Harbour Marina → Al Khan Lagoon mouth</t>
        </is>
      </c>
      <c r="D166" s="31" t="n">
        <v>25.1</v>
      </c>
      <c r="E166" s="26" t="n">
        <v>85</v>
      </c>
      <c r="F166" s="32" t="inlineStr">
        <is>
          <t>T5</t>
        </is>
      </c>
      <c r="G166" s="32" t="inlineStr">
        <is>
          <t>low</t>
        </is>
      </c>
      <c r="H166" s="19" t="n">
        <v>1</v>
      </c>
      <c r="I166" s="33">
        <f>60*D166/cruise_kt</f>
        <v/>
      </c>
      <c r="J166" s="33">
        <f>I166+turn_min+dwell_min</f>
        <v/>
      </c>
      <c r="K166" s="34">
        <f>MIN(24,FLOOR(60*service_hr/J166,1))</f>
        <v/>
      </c>
      <c r="L166" s="34">
        <f>ROUND(365*mech_uptime*H166,0)</f>
        <v/>
      </c>
      <c r="M166" s="35">
        <f>mech_uptime</f>
        <v/>
      </c>
      <c r="N166" s="35">
        <f>revleg_sel</f>
        <v/>
      </c>
      <c r="O166" s="34">
        <f>ROUND(K166*L166*revleg_sel,0)</f>
        <v/>
      </c>
      <c r="P166" s="36">
        <f>load_sel</f>
        <v/>
      </c>
      <c r="Q166" s="36">
        <f>pax_cap*P166</f>
        <v/>
      </c>
      <c r="R166" s="34">
        <f>Q166*O166</f>
        <v/>
      </c>
      <c r="S166" s="37">
        <f>E166*discount</f>
        <v/>
      </c>
      <c r="T166" s="38">
        <f>S166*R166</f>
        <v/>
      </c>
      <c r="U166" s="38">
        <f>(battery/range_nm)*D166*O166*VLOOKUP(B166,country_opex,3,FALSE)</f>
        <v/>
      </c>
      <c r="V166" s="38">
        <f>VLOOKUP(B166,country_opex,2,FALSE)*crew_factor</f>
        <v/>
      </c>
      <c r="W166" s="38">
        <f>VLOOKUP(B166,country_opex,5,FALSE)</f>
        <v/>
      </c>
      <c r="X166" s="38">
        <f>maint</f>
        <v/>
      </c>
      <c r="Y166" s="38">
        <f>VLOOKUP(B166,country_opex,7,FALSE)*ins_pct</f>
        <v/>
      </c>
      <c r="Z166" s="38">
        <f>charge_berth</f>
        <v/>
      </c>
      <c r="AA166" s="38">
        <f>U166+V166+W166+X166+Y166+Z166</f>
        <v/>
      </c>
      <c r="AB166" s="38">
        <f>VLOOKUP(B166,country_opex,7,FALSE)/dep_years</f>
        <v/>
      </c>
      <c r="AC166" s="38">
        <f>T166-AA166</f>
        <v/>
      </c>
      <c r="AD166" s="35">
        <f>IF(T166=0,"",AC166/T166)</f>
        <v/>
      </c>
      <c r="AE166" s="36">
        <f>IF(AC166&lt;=0,"",VLOOKUP(B166,country_opex,7,FALSE)/AC166)</f>
        <v/>
      </c>
      <c r="AF166" s="33">
        <f>((D166*O166/diesel_nmpg)*diesel_co2pg-(battery/range_nm)*D166*O166*VLOOKUP(B166,country_opex,4,FALSE))/1000</f>
        <v/>
      </c>
      <c r="AG166" s="31" t="n">
        <v>40000</v>
      </c>
      <c r="AH166" s="32" t="inlineStr">
        <is>
          <t>T2</t>
        </is>
      </c>
      <c r="AI166" s="32" t="inlineStr">
        <is>
          <t>low</t>
        </is>
      </c>
      <c r="AJ166" s="39" t="n">
        <v>0.1</v>
      </c>
      <c r="AK166" s="34">
        <f>IF(AG166="","",AG166*AJ166)</f>
        <v/>
      </c>
      <c r="AL166" s="34">
        <f>IF(OR(AG166="",R166=0),"",MIN(IF(AT166="",9.9E+99,AT166),FLOOR(AK166/R166,1)))</f>
        <v/>
      </c>
      <c r="AM166" s="38">
        <f>IF(AL166="","",AL166*T166)</f>
        <v/>
      </c>
      <c r="AN166" s="36">
        <f>IF(OR(AG166="",R166=0),"",MIN(IF(AT166="",9.9E+99,AT166),AK166/R166))</f>
        <v/>
      </c>
      <c r="AO166" s="38">
        <f>IF(AN166="","",AN166*T166)</f>
        <v/>
      </c>
      <c r="AP166" s="40" t="n"/>
      <c r="AQ166" s="32" t="inlineStr">
        <is>
          <t>Grounded</t>
        </is>
      </c>
      <c r="AR166" s="41" t="n"/>
      <c r="AS166" s="41" t="n"/>
      <c r="AT166" s="42" t="n"/>
      <c r="AU166" s="43">
        <f>IF(((S166*pax_cap*load_thin*ROUND(K166*L166*revleg_thin,0))-(((battery/range_nm)*D166*ROUND(K166*L166*revleg_thin,0)*VLOOKUP(B166,country_opex,3,FALSE))+V166+W166+X166+Y166+Z166))&lt;=0,"",VLOOKUP(B166,country_opex,7,FALSE)/((S166*pax_cap*load_thin*ROUND(K166*L166*revleg_thin,0))-(((battery/range_nm)*D166*ROUND(K166*L166*revleg_thin,0)*VLOOKUP(B166,country_opex,3,FALSE))+V166+W166+X166+Y166+Z166)))</f>
        <v/>
      </c>
      <c r="AV166" s="43">
        <f>IF(((S166*pax_cap*load_mid*ROUND(K166*L166*revleg_mid,0))-(((battery/range_nm)*D166*ROUND(K166*L166*revleg_mid,0)*VLOOKUP(B166,country_opex,3,FALSE))+V166+W166+X166+Y166+Z166))&lt;=0,"",VLOOKUP(B166,country_opex,7,FALSE)/((S166*pax_cap*load_mid*ROUND(K166*L166*revleg_mid,0))-(((battery/range_nm)*D166*ROUND(K166*L166*revleg_mid,0)*VLOOKUP(B166,country_opex,3,FALSE))+V166+W166+X166+Y166+Z166)))</f>
        <v/>
      </c>
      <c r="AW166" s="43">
        <f>IF(((S166*pax_cap*load_full*ROUND(K166*L166*revleg_full,0))-(((battery/range_nm)*D166*ROUND(K166*L166*revleg_full,0)*VLOOKUP(B166,country_opex,3,FALSE))+V166+W166+X166+Y166+Z166))&lt;=0,"",VLOOKUP(B166,country_opex,7,FALSE)/((S166*pax_cap*load_full*ROUND(K166*L166*revleg_full,0))-(((battery/range_nm)*D166*ROUND(K166*L166*revleg_full,0)*VLOOKUP(B166,country_opex,3,FALSE))+V166+W166+X166+Y166+Z166)))</f>
        <v/>
      </c>
      <c r="AX166" s="44" t="inlineStr">
        <is>
          <t>Dubai-Sharjah Ferry Gold AED 25 subsidized-commuter (R5-EXT). Premium per-seat $85 modeled (between subsidized ferry and charter). T5/low.</t>
        </is>
      </c>
      <c r="AY166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67">
      <c r="A167" s="29" t="inlineStr">
        <is>
          <t>Yango</t>
        </is>
      </c>
      <c r="B167" s="29" t="inlineStr">
        <is>
          <t>United Arab Emirates</t>
        </is>
      </c>
      <c r="C167" s="30" t="inlineStr">
        <is>
          <t>Dubai → Abu Dhabi (Corniche)</t>
        </is>
      </c>
      <c r="D167" s="31" t="n">
        <v>55.8</v>
      </c>
      <c r="E167" s="26" t="n"/>
      <c r="F167" s="32" t="n"/>
      <c r="G167" s="32" t="n"/>
      <c r="H167" s="19" t="n">
        <v>1</v>
      </c>
      <c r="I167" s="33">
        <f>60*D167/cruise_kt</f>
        <v/>
      </c>
      <c r="J167" s="33">
        <f>I167+turn_min+dwell_min</f>
        <v/>
      </c>
      <c r="K167" s="34">
        <f>MIN(15,FLOOR(60*service_hr/J167,1))</f>
        <v/>
      </c>
      <c r="L167" s="34">
        <f>ROUND(365*mech_uptime*H167,0)</f>
        <v/>
      </c>
      <c r="M167" s="35">
        <f>mech_uptime</f>
        <v/>
      </c>
      <c r="N167" s="35">
        <f>revleg_sel</f>
        <v/>
      </c>
      <c r="O167" s="34">
        <f>ROUND(K167*L167*revleg_sel,0)</f>
        <v/>
      </c>
      <c r="P167" s="36">
        <f>load_sel</f>
        <v/>
      </c>
      <c r="Q167" s="36">
        <f>pax_cap*P167</f>
        <v/>
      </c>
      <c r="R167" s="34">
        <f>Q167*O167</f>
        <v/>
      </c>
      <c r="S167" s="37">
        <f>E167*discount</f>
        <v/>
      </c>
      <c r="T167" s="38">
        <f>S167*R167</f>
        <v/>
      </c>
      <c r="U167" s="38">
        <f>(battery/range_nm)*D167*O167*VLOOKUP(B167,country_opex,3,FALSE)</f>
        <v/>
      </c>
      <c r="V167" s="38">
        <f>VLOOKUP(B167,country_opex,2,FALSE)*crew_factor</f>
        <v/>
      </c>
      <c r="W167" s="38">
        <f>VLOOKUP(B167,country_opex,5,FALSE)</f>
        <v/>
      </c>
      <c r="X167" s="38">
        <f>maint</f>
        <v/>
      </c>
      <c r="Y167" s="38">
        <f>VLOOKUP(B167,country_opex,7,FALSE)*ins_pct</f>
        <v/>
      </c>
      <c r="Z167" s="38">
        <f>charge_berth</f>
        <v/>
      </c>
      <c r="AA167" s="38">
        <f>U167+V167+W167+X167+Y167+Z167</f>
        <v/>
      </c>
      <c r="AB167" s="38">
        <f>VLOOKUP(B167,country_opex,7,FALSE)/dep_years</f>
        <v/>
      </c>
      <c r="AC167" s="38">
        <f>T167-AA167</f>
        <v/>
      </c>
      <c r="AD167" s="35">
        <f>IF(T167=0,"",AC167/T167)</f>
        <v/>
      </c>
      <c r="AE167" s="36">
        <f>IF(AC167&lt;=0,"",VLOOKUP(B167,country_opex,7,FALSE)/AC167)</f>
        <v/>
      </c>
      <c r="AF167" s="33">
        <f>((D167*O167/diesel_nmpg)*diesel_co2pg-(battery/range_nm)*D167*O167*VLOOKUP(B167,country_opex,4,FALSE))/1000</f>
        <v/>
      </c>
      <c r="AG167" s="31" t="n"/>
      <c r="AH167" s="32" t="n"/>
      <c r="AI167" s="32" t="n"/>
      <c r="AJ167" s="39" t="n">
        <v>0.1</v>
      </c>
      <c r="AK167" s="34">
        <f>IF(AG167="","",AG167*AJ167)</f>
        <v/>
      </c>
      <c r="AL167" s="34">
        <f>IF(OR(AG167="",R167=0),"",MIN(IF(AT167="",9.9E+99,AT167),FLOOR(AK167/R167,1)))</f>
        <v/>
      </c>
      <c r="AM167" s="38">
        <f>IF(AL167="","",AL167*T167)</f>
        <v/>
      </c>
      <c r="AN167" s="36">
        <f>IF(OR(AG167="",R167=0),"",MIN(IF(AT167="",9.9E+99,AT167),AK167/R167))</f>
        <v/>
      </c>
      <c r="AO167" s="38">
        <f>IF(AN167="","",AN167*T167)</f>
        <v/>
      </c>
      <c r="AP167" s="40" t="n"/>
      <c r="AQ167" s="32" t="inlineStr">
        <is>
          <t>Estimated</t>
        </is>
      </c>
      <c r="AR167" s="41" t="n"/>
      <c r="AS167" s="41" t="n"/>
      <c r="AT167" s="42" t="n"/>
      <c r="AU167" s="43">
        <f>IF(((S167*pax_cap*load_thin*ROUND(K167*L167*revleg_thin,0))-(((battery/range_nm)*D167*ROUND(K167*L167*revleg_thin,0)*VLOOKUP(B167,country_opex,3,FALSE))+V167+W167+X167+Y167+Z167))&lt;=0,"",VLOOKUP(B167,country_opex,7,FALSE)/((S167*pax_cap*load_thin*ROUND(K167*L167*revleg_thin,0))-(((battery/range_nm)*D167*ROUND(K167*L167*revleg_thin,0)*VLOOKUP(B167,country_opex,3,FALSE))+V167+W167+X167+Y167+Z167)))</f>
        <v/>
      </c>
      <c r="AV167" s="43">
        <f>IF(((S167*pax_cap*load_mid*ROUND(K167*L167*revleg_mid,0))-(((battery/range_nm)*D167*ROUND(K167*L167*revleg_mid,0)*VLOOKUP(B167,country_opex,3,FALSE))+V167+W167+X167+Y167+Z167))&lt;=0,"",VLOOKUP(B167,country_opex,7,FALSE)/((S167*pax_cap*load_mid*ROUND(K167*L167*revleg_mid,0))-(((battery/range_nm)*D167*ROUND(K167*L167*revleg_mid,0)*VLOOKUP(B167,country_opex,3,FALSE))+V167+W167+X167+Y167+Z167)))</f>
        <v/>
      </c>
      <c r="AW167" s="43">
        <f>IF(((S167*pax_cap*load_full*ROUND(K167*L167*revleg_full,0))-(((battery/range_nm)*D167*ROUND(K167*L167*revleg_full,0)*VLOOKUP(B167,country_opex,3,FALSE))+V167+W167+X167+Y167+Z167))&lt;=0,"",VLOOKUP(B167,country_opex,7,FALSE)/((S167*pax_cap*load_full*ROUND(K167*L167*revleg_full,0))-(((battery/range_nm)*D167*ROUND(K167*L167*revleg_full,0)*VLOOKUP(B167,country_opex,3,FALSE))+V167+W167+X167+Y167+Z167)))</f>
        <v/>
      </c>
      <c r="AX167" s="44" t="n"/>
      <c r="AY167" s="44" t="n"/>
    </row>
    <row r="168">
      <c r="A168" s="29" t="inlineStr">
        <is>
          <t>Yango</t>
        </is>
      </c>
      <c r="B168" s="29" t="inlineStr">
        <is>
          <t>United Arab Emirates</t>
        </is>
      </c>
      <c r="C168" s="30" t="inlineStr">
        <is>
          <t>Dubai Marina → Abu Dhabi Corniche</t>
        </is>
      </c>
      <c r="D168" s="31" t="n">
        <v>55.8</v>
      </c>
      <c r="E168" s="26" t="n"/>
      <c r="F168" s="32" t="n"/>
      <c r="G168" s="32" t="n"/>
      <c r="H168" s="19" t="n">
        <v>1</v>
      </c>
      <c r="I168" s="33">
        <f>60*D168/cruise_kt</f>
        <v/>
      </c>
      <c r="J168" s="33">
        <f>I168+turn_min+dwell_min</f>
        <v/>
      </c>
      <c r="K168" s="34">
        <f>MIN(24,FLOOR(60*service_hr/J168,1))</f>
        <v/>
      </c>
      <c r="L168" s="34">
        <f>ROUND(365*mech_uptime*H168,0)</f>
        <v/>
      </c>
      <c r="M168" s="35">
        <f>mech_uptime</f>
        <v/>
      </c>
      <c r="N168" s="35">
        <f>revleg_sel</f>
        <v/>
      </c>
      <c r="O168" s="34">
        <f>ROUND(K168*L168*revleg_sel,0)</f>
        <v/>
      </c>
      <c r="P168" s="36">
        <f>load_sel</f>
        <v/>
      </c>
      <c r="Q168" s="36">
        <f>pax_cap*P168</f>
        <v/>
      </c>
      <c r="R168" s="34">
        <f>Q168*O168</f>
        <v/>
      </c>
      <c r="S168" s="37">
        <f>E168*discount</f>
        <v/>
      </c>
      <c r="T168" s="38">
        <f>S168*R168</f>
        <v/>
      </c>
      <c r="U168" s="38">
        <f>(battery/range_nm)*D168*O168*VLOOKUP(B168,country_opex,3,FALSE)</f>
        <v/>
      </c>
      <c r="V168" s="38">
        <f>VLOOKUP(B168,country_opex,2,FALSE)*crew_factor</f>
        <v/>
      </c>
      <c r="W168" s="38">
        <f>VLOOKUP(B168,country_opex,5,FALSE)</f>
        <v/>
      </c>
      <c r="X168" s="38">
        <f>maint</f>
        <v/>
      </c>
      <c r="Y168" s="38">
        <f>VLOOKUP(B168,country_opex,7,FALSE)*ins_pct</f>
        <v/>
      </c>
      <c r="Z168" s="38">
        <f>charge_berth</f>
        <v/>
      </c>
      <c r="AA168" s="38">
        <f>U168+V168+W168+X168+Y168+Z168</f>
        <v/>
      </c>
      <c r="AB168" s="38">
        <f>VLOOKUP(B168,country_opex,7,FALSE)/dep_years</f>
        <v/>
      </c>
      <c r="AC168" s="38">
        <f>T168-AA168</f>
        <v/>
      </c>
      <c r="AD168" s="35">
        <f>IF(T168=0,"",AC168/T168)</f>
        <v/>
      </c>
      <c r="AE168" s="36">
        <f>IF(AC168&lt;=0,"",VLOOKUP(B168,country_opex,7,FALSE)/AC168)</f>
        <v/>
      </c>
      <c r="AF168" s="33">
        <f>((D168*O168/diesel_nmpg)*diesel_co2pg-(battery/range_nm)*D168*O168*VLOOKUP(B168,country_opex,4,FALSE))/1000</f>
        <v/>
      </c>
      <c r="AG168" s="31" t="n"/>
      <c r="AH168" s="32" t="n"/>
      <c r="AI168" s="32" t="n"/>
      <c r="AJ168" s="39" t="n">
        <v>0.1</v>
      </c>
      <c r="AK168" s="34">
        <f>IF(AG168="","",AG168*AJ168)</f>
        <v/>
      </c>
      <c r="AL168" s="34">
        <f>IF(OR(AG168="",R168=0),"",MIN(IF(AT168="",9.9E+99,AT168),FLOOR(AK168/R168,1)))</f>
        <v/>
      </c>
      <c r="AM168" s="38">
        <f>IF(AL168="","",AL168*T168)</f>
        <v/>
      </c>
      <c r="AN168" s="36">
        <f>IF(OR(AG168="",R168=0),"",MIN(IF(AT168="",9.9E+99,AT168),AK168/R168))</f>
        <v/>
      </c>
      <c r="AO168" s="38">
        <f>IF(AN168="","",AN168*T168)</f>
        <v/>
      </c>
      <c r="AP168" s="40" t="n"/>
      <c r="AQ168" s="32" t="inlineStr">
        <is>
          <t>Estimated</t>
        </is>
      </c>
      <c r="AR168" s="41" t="n"/>
      <c r="AS168" s="41" t="n"/>
      <c r="AT168" s="42" t="n"/>
      <c r="AU168" s="43">
        <f>IF(((S168*pax_cap*load_thin*ROUND(K168*L168*revleg_thin,0))-(((battery/range_nm)*D168*ROUND(K168*L168*revleg_thin,0)*VLOOKUP(B168,country_opex,3,FALSE))+V168+W168+X168+Y168+Z168))&lt;=0,"",VLOOKUP(B168,country_opex,7,FALSE)/((S168*pax_cap*load_thin*ROUND(K168*L168*revleg_thin,0))-(((battery/range_nm)*D168*ROUND(K168*L168*revleg_thin,0)*VLOOKUP(B168,country_opex,3,FALSE))+V168+W168+X168+Y168+Z168)))</f>
        <v/>
      </c>
      <c r="AV168" s="43">
        <f>IF(((S168*pax_cap*load_mid*ROUND(K168*L168*revleg_mid,0))-(((battery/range_nm)*D168*ROUND(K168*L168*revleg_mid,0)*VLOOKUP(B168,country_opex,3,FALSE))+V168+W168+X168+Y168+Z168))&lt;=0,"",VLOOKUP(B168,country_opex,7,FALSE)/((S168*pax_cap*load_mid*ROUND(K168*L168*revleg_mid,0))-(((battery/range_nm)*D168*ROUND(K168*L168*revleg_mid,0)*VLOOKUP(B168,country_opex,3,FALSE))+V168+W168+X168+Y168+Z168)))</f>
        <v/>
      </c>
      <c r="AW168" s="43">
        <f>IF(((S168*pax_cap*load_full*ROUND(K168*L168*revleg_full,0))-(((battery/range_nm)*D168*ROUND(K168*L168*revleg_full,0)*VLOOKUP(B168,country_opex,3,FALSE))+V168+W168+X168+Y168+Z168))&lt;=0,"",VLOOKUP(B168,country_opex,7,FALSE)/((S168*pax_cap*load_full*ROUND(K168*L168*revleg_full,0))-(((battery/range_nm)*D168*ROUND(K168*L168*revleg_full,0)*VLOOKUP(B168,country_opex,3,FALSE))+V168+W168+X168+Y168+Z168)))</f>
        <v/>
      </c>
      <c r="AX168" s="44" t="n"/>
      <c r="AY168" s="44" t="n"/>
    </row>
    <row r="169">
      <c r="A169" s="29" t="inlineStr">
        <is>
          <t>Yango</t>
        </is>
      </c>
      <c r="B169" s="29" t="inlineStr">
        <is>
          <t>United Arab Emirates</t>
        </is>
      </c>
      <c r="C169" s="30" t="inlineStr">
        <is>
          <t>Dubai Harbour Marina → Wynn Al Marjan Island arrival lagoon</t>
        </is>
      </c>
      <c r="D169" s="31" t="n">
        <v>56</v>
      </c>
      <c r="E169" s="26" t="n">
        <v>200</v>
      </c>
      <c r="F169" s="32" t="inlineStr">
        <is>
          <t>T5</t>
        </is>
      </c>
      <c r="G169" s="32" t="inlineStr">
        <is>
          <t>low</t>
        </is>
      </c>
      <c r="H169" s="19" t="n">
        <v>1</v>
      </c>
      <c r="I169" s="33">
        <f>60*D169/cruise_kt</f>
        <v/>
      </c>
      <c r="J169" s="33">
        <f>I169+turn_min+dwell_min</f>
        <v/>
      </c>
      <c r="K169" s="34">
        <f>MIN(24,FLOOR(60*service_hr/J169,1))</f>
        <v/>
      </c>
      <c r="L169" s="34">
        <f>ROUND(365*mech_uptime*H169,0)</f>
        <v/>
      </c>
      <c r="M169" s="35">
        <f>mech_uptime</f>
        <v/>
      </c>
      <c r="N169" s="35">
        <f>revleg_sel</f>
        <v/>
      </c>
      <c r="O169" s="34">
        <f>ROUND(K169*L169*revleg_sel,0)</f>
        <v/>
      </c>
      <c r="P169" s="36">
        <f>load_sel</f>
        <v/>
      </c>
      <c r="Q169" s="36">
        <f>pax_cap*P169</f>
        <v/>
      </c>
      <c r="R169" s="34">
        <f>Q169*O169</f>
        <v/>
      </c>
      <c r="S169" s="37">
        <f>E169*discount</f>
        <v/>
      </c>
      <c r="T169" s="38">
        <f>S169*R169</f>
        <v/>
      </c>
      <c r="U169" s="38">
        <f>(battery/range_nm)*D169*O169*VLOOKUP(B169,country_opex,3,FALSE)</f>
        <v/>
      </c>
      <c r="V169" s="38">
        <f>VLOOKUP(B169,country_opex,2,FALSE)*crew_factor</f>
        <v/>
      </c>
      <c r="W169" s="38">
        <f>VLOOKUP(B169,country_opex,5,FALSE)</f>
        <v/>
      </c>
      <c r="X169" s="38">
        <f>maint</f>
        <v/>
      </c>
      <c r="Y169" s="38">
        <f>VLOOKUP(B169,country_opex,7,FALSE)*ins_pct</f>
        <v/>
      </c>
      <c r="Z169" s="38">
        <f>charge_berth</f>
        <v/>
      </c>
      <c r="AA169" s="38">
        <f>U169+V169+W169+X169+Y169+Z169</f>
        <v/>
      </c>
      <c r="AB169" s="38">
        <f>VLOOKUP(B169,country_opex,7,FALSE)/dep_years</f>
        <v/>
      </c>
      <c r="AC169" s="38">
        <f>T169-AA169</f>
        <v/>
      </c>
      <c r="AD169" s="35">
        <f>IF(T169=0,"",AC169/T169)</f>
        <v/>
      </c>
      <c r="AE169" s="36">
        <f>IF(AC169&lt;=0,"",VLOOKUP(B169,country_opex,7,FALSE)/AC169)</f>
        <v/>
      </c>
      <c r="AF169" s="33">
        <f>((D169*O169/diesel_nmpg)*diesel_co2pg-(battery/range_nm)*D169*O169*VLOOKUP(B169,country_opex,4,FALSE))/1000</f>
        <v/>
      </c>
      <c r="AG169" s="31" t="n">
        <v>60000</v>
      </c>
      <c r="AH169" s="32" t="inlineStr">
        <is>
          <t>T2</t>
        </is>
      </c>
      <c r="AI169" s="32" t="inlineStr">
        <is>
          <t>medium</t>
        </is>
      </c>
      <c r="AJ169" s="39" t="n">
        <v>0.1</v>
      </c>
      <c r="AK169" s="34">
        <f>IF(AG169="","",AG169*AJ169)</f>
        <v/>
      </c>
      <c r="AL169" s="34">
        <f>IF(OR(AG169="",R169=0),"",MIN(IF(AT169="",9.9E+99,AT169),FLOOR(AK169/R169,1)))</f>
        <v/>
      </c>
      <c r="AM169" s="38">
        <f>IF(AL169="","",AL169*T169)</f>
        <v/>
      </c>
      <c r="AN169" s="36">
        <f>IF(OR(AG169="",R169=0),"",MIN(IF(AT169="",9.9E+99,AT169),AK169/R169))</f>
        <v/>
      </c>
      <c r="AO169" s="38">
        <f>IF(AN169="","",AN169*T169)</f>
        <v/>
      </c>
      <c r="AP169" s="40" t="n"/>
      <c r="AQ169" s="32" t="inlineStr">
        <is>
          <t>Grounded</t>
        </is>
      </c>
      <c r="AR169" s="41" t="n"/>
      <c r="AS169" s="41" t="n"/>
      <c r="AT169" s="42" t="n"/>
      <c r="AU169" s="43">
        <f>IF(((S169*pax_cap*load_thin*ROUND(K169*L169*revleg_thin,0))-(((battery/range_nm)*D169*ROUND(K169*L169*revleg_thin,0)*VLOOKUP(B169,country_opex,3,FALSE))+V169+W169+X169+Y169+Z169))&lt;=0,"",VLOOKUP(B169,country_opex,7,FALSE)/((S169*pax_cap*load_thin*ROUND(K169*L169*revleg_thin,0))-(((battery/range_nm)*D169*ROUND(K169*L169*revleg_thin,0)*VLOOKUP(B169,country_opex,3,FALSE))+V169+W169+X169+Y169+Z169)))</f>
        <v/>
      </c>
      <c r="AV169" s="43">
        <f>IF(((S169*pax_cap*load_mid*ROUND(K169*L169*revleg_mid,0))-(((battery/range_nm)*D169*ROUND(K169*L169*revleg_mid,0)*VLOOKUP(B169,country_opex,3,FALSE))+V169+W169+X169+Y169+Z169))&lt;=0,"",VLOOKUP(B169,country_opex,7,FALSE)/((S169*pax_cap*load_mid*ROUND(K169*L169*revleg_mid,0))-(((battery/range_nm)*D169*ROUND(K169*L169*revleg_mid,0)*VLOOKUP(B169,country_opex,3,FALSE))+V169+W169+X169+Y169+Z169)))</f>
        <v/>
      </c>
      <c r="AW169" s="43">
        <f>IF(((S169*pax_cap*load_full*ROUND(K169*L169*revleg_full,0))-(((battery/range_nm)*D169*ROUND(K169*L169*revleg_full,0)*VLOOKUP(B169,country_opex,3,FALSE))+V169+W169+X169+Y169+Z169))&lt;=0,"",VLOOKUP(B169,country_opex,7,FALSE)/((S169*pax_cap*load_full*ROUND(K169*L169*revleg_full,0))-(((battery/range_nm)*D169*ROUND(K169*L169*revleg_full,0)*VLOOKUP(B169,country_opex,3,FALSE))+V169+W169+X169+Y169+Z169)))</f>
        <v/>
      </c>
      <c r="AX169" s="44" t="inlineStr">
        <is>
          <t>Wynn Al Marjan (first UAE gaming resort) opens early 2027: 1,217 rooms + 297 residences. No marine transfer today. T5/low - greenfield.</t>
        </is>
      </c>
      <c r="AY169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70">
      <c r="A170" s="29" t="inlineStr">
        <is>
          <t>Yango</t>
        </is>
      </c>
      <c r="B170" s="29" t="inlineStr">
        <is>
          <t>United Arab Emirates</t>
        </is>
      </c>
      <c r="C170" s="30" t="inlineStr">
        <is>
          <t>Dubai Harbour Marina → Marina Mall / Breakwater Marina</t>
        </is>
      </c>
      <c r="D170" s="31" t="n">
        <v>59.8</v>
      </c>
      <c r="E170" s="26" t="n">
        <v>110</v>
      </c>
      <c r="F170" s="32" t="inlineStr">
        <is>
          <t>T5</t>
        </is>
      </c>
      <c r="G170" s="32" t="inlineStr">
        <is>
          <t>low</t>
        </is>
      </c>
      <c r="H170" s="19" t="n">
        <v>1</v>
      </c>
      <c r="I170" s="33">
        <f>60*D170/cruise_kt</f>
        <v/>
      </c>
      <c r="J170" s="33">
        <f>I170+turn_min+dwell_min</f>
        <v/>
      </c>
      <c r="K170" s="34">
        <f>MIN(24,FLOOR(60*service_hr/J170,1))</f>
        <v/>
      </c>
      <c r="L170" s="34">
        <f>ROUND(365*mech_uptime*H170,0)</f>
        <v/>
      </c>
      <c r="M170" s="35">
        <f>mech_uptime</f>
        <v/>
      </c>
      <c r="N170" s="35">
        <f>revleg_sel</f>
        <v/>
      </c>
      <c r="O170" s="34">
        <f>ROUND(K170*L170*revleg_sel,0)</f>
        <v/>
      </c>
      <c r="P170" s="36">
        <f>load_sel</f>
        <v/>
      </c>
      <c r="Q170" s="36">
        <f>pax_cap*P170</f>
        <v/>
      </c>
      <c r="R170" s="34">
        <f>Q170*O170</f>
        <v/>
      </c>
      <c r="S170" s="37">
        <f>E170*discount</f>
        <v/>
      </c>
      <c r="T170" s="38">
        <f>S170*R170</f>
        <v/>
      </c>
      <c r="U170" s="38">
        <f>(battery/range_nm)*D170*O170*VLOOKUP(B170,country_opex,3,FALSE)</f>
        <v/>
      </c>
      <c r="V170" s="38">
        <f>VLOOKUP(B170,country_opex,2,FALSE)*crew_factor</f>
        <v/>
      </c>
      <c r="W170" s="38">
        <f>VLOOKUP(B170,country_opex,5,FALSE)</f>
        <v/>
      </c>
      <c r="X170" s="38">
        <f>maint</f>
        <v/>
      </c>
      <c r="Y170" s="38">
        <f>VLOOKUP(B170,country_opex,7,FALSE)*ins_pct</f>
        <v/>
      </c>
      <c r="Z170" s="38">
        <f>charge_berth</f>
        <v/>
      </c>
      <c r="AA170" s="38">
        <f>U170+V170+W170+X170+Y170+Z170</f>
        <v/>
      </c>
      <c r="AB170" s="38">
        <f>VLOOKUP(B170,country_opex,7,FALSE)/dep_years</f>
        <v/>
      </c>
      <c r="AC170" s="38">
        <f>T170-AA170</f>
        <v/>
      </c>
      <c r="AD170" s="35">
        <f>IF(T170=0,"",AC170/T170)</f>
        <v/>
      </c>
      <c r="AE170" s="36">
        <f>IF(AC170&lt;=0,"",VLOOKUP(B170,country_opex,7,FALSE)/AC170)</f>
        <v/>
      </c>
      <c r="AF170" s="33">
        <f>((D170*O170/diesel_nmpg)*diesel_co2pg-(battery/range_nm)*D170*O170*VLOOKUP(B170,country_opex,4,FALSE))/1000</f>
        <v/>
      </c>
      <c r="AG170" s="31" t="n">
        <v>25000</v>
      </c>
      <c r="AH170" s="32" t="inlineStr">
        <is>
          <t>T2</t>
        </is>
      </c>
      <c r="AI170" s="32" t="inlineStr">
        <is>
          <t>low</t>
        </is>
      </c>
      <c r="AJ170" s="39" t="n">
        <v>0.1</v>
      </c>
      <c r="AK170" s="34">
        <f>IF(AG170="","",AG170*AJ170)</f>
        <v/>
      </c>
      <c r="AL170" s="34">
        <f>IF(OR(AG170="",R170=0),"",MIN(IF(AT170="",9.9E+99,AT170),FLOOR(AK170/R170,1)))</f>
        <v/>
      </c>
      <c r="AM170" s="38">
        <f>IF(AL170="","",AL170*T170)</f>
        <v/>
      </c>
      <c r="AN170" s="36">
        <f>IF(OR(AG170="",R170=0),"",MIN(IF(AT170="",9.9E+99,AT170),AK170/R170))</f>
        <v/>
      </c>
      <c r="AO170" s="38">
        <f>IF(AN170="","",AN170*T170)</f>
        <v/>
      </c>
      <c r="AP170" s="40" t="n"/>
      <c r="AQ170" s="32" t="inlineStr">
        <is>
          <t>Grounded</t>
        </is>
      </c>
      <c r="AR170" s="41" t="n"/>
      <c r="AS170" s="41" t="n"/>
      <c r="AT170" s="42" t="n"/>
      <c r="AU170" s="43">
        <f>IF(((S170*pax_cap*load_thin*ROUND(K170*L170*revleg_thin,0))-(((battery/range_nm)*D170*ROUND(K170*L170*revleg_thin,0)*VLOOKUP(B170,country_opex,3,FALSE))+V170+W170+X170+Y170+Z170))&lt;=0,"",VLOOKUP(B170,country_opex,7,FALSE)/((S170*pax_cap*load_thin*ROUND(K170*L170*revleg_thin,0))-(((battery/range_nm)*D170*ROUND(K170*L170*revleg_thin,0)*VLOOKUP(B170,country_opex,3,FALSE))+V170+W170+X170+Y170+Z170)))</f>
        <v/>
      </c>
      <c r="AV170" s="43">
        <f>IF(((S170*pax_cap*load_mid*ROUND(K170*L170*revleg_mid,0))-(((battery/range_nm)*D170*ROUND(K170*L170*revleg_mid,0)*VLOOKUP(B170,country_opex,3,FALSE))+V170+W170+X170+Y170+Z170))&lt;=0,"",VLOOKUP(B170,country_opex,7,FALSE)/((S170*pax_cap*load_mid*ROUND(K170*L170*revleg_mid,0))-(((battery/range_nm)*D170*ROUND(K170*L170*revleg_mid,0)*VLOOKUP(B170,country_opex,3,FALSE))+V170+W170+X170+Y170+Z170)))</f>
        <v/>
      </c>
      <c r="AW170" s="43">
        <f>IF(((S170*pax_cap*load_full*ROUND(K170*L170*revleg_full,0))-(((battery/range_nm)*D170*ROUND(K170*L170*revleg_full,0)*VLOOKUP(B170,country_opex,3,FALSE))+V170+W170+X170+Y170+Z170))&lt;=0,"",VLOOKUP(B170,country_opex,7,FALSE)/((S170*pax_cap*load_full*ROUND(K170*L170*revleg_full,0))-(((battery/range_nm)*D170*ROUND(K170*L170*revleg_full,0)*VLOOKUP(B170,country_opex,3,FALSE))+V170+W170+X170+Y170+Z170)))</f>
        <v/>
      </c>
      <c r="AX170" s="44" t="inlineStr">
        <is>
          <t>No Dubai&lt;-&gt;AD ferry. Whole-yacht charter AED 4,500/hr (8-pax ~$95-150/seat); limo AED 250-350. T5/low - opportunity-to-create.</t>
        </is>
      </c>
      <c r="AY170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71">
      <c r="A171" s="45" t="inlineStr">
        <is>
          <t>TOTAL / median</t>
        </is>
      </c>
      <c r="T171" s="46">
        <f>SUM(T4:T170)</f>
        <v/>
      </c>
      <c r="AC171" s="46">
        <f>SUM(AC4:AC170)</f>
        <v/>
      </c>
      <c r="AD171" s="47">
        <f>IF(T171=0,"",AC171/T171)</f>
        <v/>
      </c>
      <c r="AL171" s="48">
        <f>SUM(AL4:AL170)</f>
        <v/>
      </c>
      <c r="AM171" s="46">
        <f>SUM(AM4:AM170)</f>
        <v/>
      </c>
    </row>
    <row r="173">
      <c r="A173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74">
      <c r="A174" s="24" t="inlineStr">
        <is>
          <t>Market</t>
        </is>
      </c>
      <c r="B174" s="24" t="inlineStr">
        <is>
          <t>Fleet basis</t>
        </is>
      </c>
      <c r="C174" s="24" t="inlineStr">
        <is>
          <t>Raw vessels (sum)</t>
        </is>
      </c>
      <c r="D174" s="24" t="inlineStr">
        <is>
          <t>Fleet (rounded once)</t>
        </is>
      </c>
      <c r="E174" s="24" t="inlineStr">
        <is>
          <t>Market rev/yr (raw sum)</t>
        </is>
      </c>
    </row>
    <row r="175">
      <c r="A175" s="25" t="inlineStr">
        <is>
          <t>Yango</t>
        </is>
      </c>
      <c r="B175" s="13" t="inlineStr">
        <is>
          <t>network_sum / ceil</t>
        </is>
      </c>
      <c r="C175" s="23">
        <f>SUMIFS(AN4:AN170,A4:A170,"Yango",AP4:AP170,"=",AQ4:AQ170,"Grounded")</f>
        <v/>
      </c>
      <c r="D175" s="49">
        <f>IF(C175=0,0,CEILING(C175,1))</f>
        <v/>
      </c>
      <c r="E175" s="50">
        <f>SUMIFS(AO4:AO170,A4:A170,"Yango",AP4:AP170,"=",AQ4:AQ170,"Grounded")</f>
        <v/>
      </c>
    </row>
    <row r="176">
      <c r="A176" s="45" t="inlineStr">
        <is>
          <t>GROUNDED FLOOR (PUBLISHED)</t>
        </is>
      </c>
      <c r="D176" s="48">
        <f>SUM(D175:D175)</f>
        <v/>
      </c>
      <c r="E176" s="46">
        <f>SUM(E175:E175)</f>
        <v/>
      </c>
    </row>
    <row r="177">
      <c r="A177" s="20" t="inlineStr">
        <is>
          <t>ESTIMATED DEMAND (country-median cascade; held OUT of grounded floor)</t>
        </is>
      </c>
      <c r="D177" s="51">
        <f>SUMIF(AQ4:AQ170,"Estimated",AL4:AL170)</f>
        <v/>
      </c>
      <c r="E177" s="52">
        <f>SUMIF(AQ4:AQ170,"Estimated",AM4:AM170)</f>
        <v/>
      </c>
    </row>
    <row r="178">
      <c r="A178" s="20" t="inlineStr">
        <is>
          <t>ESTIMATED UPSIDE (LB-99 modal-shift / experience-upside tiers; held OUT of grounded floor)</t>
        </is>
      </c>
      <c r="D178" s="51">
        <f>SUMIF(AQ4:AQ170,"Upside tier",AL4:AL170)</f>
        <v/>
      </c>
      <c r="E178" s="52">
        <f>SUMIF(AQ4:AQ170,"Upside tier",AM4:AM170)</f>
        <v/>
      </c>
    </row>
    <row r="179">
      <c r="A179" s="20" t="inlineStr">
        <is>
          <t>FORWARD SAM (2030-dated; held OUT of grounded floor)</t>
        </is>
      </c>
      <c r="D179" s="51">
        <f>SUMIF(AQ4:AQ170,"Forward SAM",AL4:AL170)</f>
        <v/>
      </c>
      <c r="E179" s="52">
        <f>SUMIF(AQ4:AQ170,"Forward SAM",AM4:AM170)</f>
        <v/>
      </c>
    </row>
    <row r="181">
      <c r="A181" s="53" t="inlineStr">
        <is>
          <t>Held for Quanta-LR (&gt;70nm, roadmap H2 2026+):</t>
        </is>
      </c>
      <c r="C181" s="54" t="inlineStr">
        <is>
          <t>Marina Mall / Breakwater Marina → Sir Bani Yas Cruise Port (93.1nm)</t>
        </is>
      </c>
    </row>
    <row r="182">
      <c r="C182" s="54" t="inlineStr">
        <is>
          <t>Dubai Harbour Marina → Old Doha Port (195.42nm)</t>
        </is>
      </c>
    </row>
    <row r="183">
      <c r="C183" s="54" t="inlineStr">
        <is>
          <t>Marina Mall / Breakwater Marina → Bahrain Financial Harbour Marina (235.44nm)</t>
        </is>
      </c>
    </row>
    <row r="184">
      <c r="C184" s="54" t="inlineStr">
        <is>
          <t>Jeddah → NEOM (Sindalah) (463.9nm)</t>
        </is>
      </c>
    </row>
    <row r="185">
      <c r="C185" s="54" t="inlineStr">
        <is>
          <t>Shura Island hub → AMAALA (Triple Bay) (82.9nm)</t>
        </is>
      </c>
    </row>
    <row r="186">
      <c r="C186" s="54" t="inlineStr">
        <is>
          <t>Jeddah gateway → The Red Sea archipelago (275.5nm)</t>
        </is>
      </c>
    </row>
    <row r="187">
      <c r="C187" s="54" t="inlineStr">
        <is>
          <t>The Red Sea → NEOM (Sindalah) / Jeddah gateway (196.9nm)</t>
        </is>
      </c>
    </row>
    <row r="188">
      <c r="C188" s="54" t="inlineStr">
        <is>
          <t>Baku (Alat — Baku International Sea Port) → Turkmenbashi (150nm)</t>
        </is>
      </c>
    </row>
    <row r="189">
      <c r="C189" s="54" t="inlineStr">
        <is>
          <t>Baku (Alat — Baku International Sea Port) → Aktau / Kuryk (Kazakhstan) (250nm)</t>
        </is>
      </c>
    </row>
    <row r="190">
      <c r="C190" s="54" t="inlineStr">
        <is>
          <t>Kuryk (Port of Kuryk) → Baku (Alat — Baku International Sea Port, Azerbaijan) (215nm)</t>
        </is>
      </c>
    </row>
    <row r="191">
      <c r="C191" s="54" t="inlineStr">
        <is>
          <t>Aktau (Aktau Sea Port) → Baku (Alat, Azerbaijan) (230nm)</t>
        </is>
      </c>
    </row>
    <row r="192">
      <c r="C192" s="54" t="inlineStr">
        <is>
          <t>Haifa → Limassol (Cyprus) (147.1nm)</t>
        </is>
      </c>
    </row>
    <row r="193">
      <c r="C193" s="54" t="inlineStr">
        <is>
          <t>Karachi (Keamari) → Gwadar (255nm)</t>
        </is>
      </c>
    </row>
    <row r="194">
      <c r="C194" s="54" t="inlineStr">
        <is>
          <t>Dakar (Gare maritime / Port) → Ziguinchor (Port de Ziguinchor, Casamance) (200nm)</t>
        </is>
      </c>
    </row>
    <row r="195">
      <c r="C195" s="54" t="inlineStr">
        <is>
          <t>Dakar → Saint-Louis (du Senegal) (90nm)</t>
        </is>
      </c>
    </row>
    <row r="196">
      <c r="C196" s="54" t="inlineStr">
        <is>
          <t>Tunis (La Goulette) → Palermo (Sicily, Italy) (170nm)</t>
        </is>
      </c>
    </row>
    <row r="197">
      <c r="C197" s="54" t="inlineStr">
        <is>
          <t>Nador (Beni Ensar) → Almeria (Spain) (92nm)</t>
        </is>
      </c>
    </row>
    <row r="198">
      <c r="C198" s="54" t="inlineStr">
        <is>
          <t>Doha (Lusail Marina) → Manama (Bahrain Financial Harbour) (94.5nm)</t>
        </is>
      </c>
    </row>
    <row r="199">
      <c r="C199" s="54" t="inlineStr">
        <is>
          <t>The Red Sea → NEOM (Sindalah) / Jeddah gateway (196.9nm)</t>
        </is>
      </c>
    </row>
  </sheetData>
  <mergeCells count="2">
    <mergeCell ref="A173:L17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0.1076</v>
      </c>
      <c r="E11" s="14" t="inlineStr">
        <is>
          <t>New-entrant ~11%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(~11%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(~11%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2026-07-06T02:58:49Z</dcterms:created>
  <dcterms:modified xsi:type="dcterms:W3CDTF">2026-07-06T02:58:50Z</dcterms:modified>
</cp:coreProperties>
</file>