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economics'!$D$45</definedName>
    <definedName name="som_floor_rev">'Corridor economics'!$E$45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Careem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10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~1 sailing/70min in a 12h window; a believable on-demand premium duty cycle, not capacity-max (Jaideep 2026-06-19).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0.45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0.55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United Arab Emirates</t>
        </is>
      </c>
      <c r="B4" s="26" t="n">
        <v>40000</v>
      </c>
      <c r="C4" s="27" t="n">
        <v>0.08500000000000001</v>
      </c>
      <c r="D4" s="19" t="n">
        <v>0.4</v>
      </c>
      <c r="E4" s="26" t="n">
        <v>22000</v>
      </c>
      <c r="F4" s="19" t="n">
        <v>0.74</v>
      </c>
      <c r="G4" s="26" t="n">
        <v>600000</v>
      </c>
      <c r="H4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Careem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UAE (Careem)</t>
        </is>
      </c>
      <c r="B4" s="29" t="inlineStr">
        <is>
          <t>United Arab Emirates</t>
        </is>
      </c>
      <c r="C4" s="30" t="inlineStr">
        <is>
          <t>One&amp;Only The Palm Jetty → Jumeirah Zabeel Saray Jetty</t>
        </is>
      </c>
      <c r="D4" s="31" t="n">
        <v>0.5</v>
      </c>
      <c r="E4" s="26" t="n">
        <v>130</v>
      </c>
      <c r="F4" s="32" t="inlineStr">
        <is>
          <t>T5</t>
        </is>
      </c>
      <c r="G4" s="32" t="inlineStr">
        <is>
          <t>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MIN(10,FLOOR(60*service_hr/J4,1))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25000</v>
      </c>
      <c r="AH4" s="32" t="inlineStr">
        <is>
          <t>T3</t>
        </is>
      </c>
      <c r="AI4" s="32" t="inlineStr">
        <is>
          <t>low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Palm ultra-lux cluster (One&amp;Only&lt;-&gt;Zabeel Saray). Road-served. T5/low.</t>
        </is>
      </c>
      <c r="AX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5">
      <c r="A5" s="29" t="inlineStr">
        <is>
          <t>UAE (Careem)</t>
        </is>
      </c>
      <c r="B5" s="29" t="inlineStr">
        <is>
          <t>United Arab Emirates</t>
        </is>
      </c>
      <c r="C5" s="30" t="inlineStr">
        <is>
          <t>Dubai Harbour Marina → Bluewaters Marina</t>
        </is>
      </c>
      <c r="D5" s="31" t="n">
        <v>1.1</v>
      </c>
      <c r="E5" s="26" t="n">
        <v>45</v>
      </c>
      <c r="F5" s="32" t="inlineStr">
        <is>
          <t>T1</t>
        </is>
      </c>
      <c r="G5" s="32" t="inlineStr">
        <is>
          <t>high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MIN(10,FLOOR(60*service_hr/J5,1))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200000</v>
      </c>
      <c r="AH5" s="32" t="inlineStr">
        <is>
          <t>T5</t>
        </is>
      </c>
      <c r="AI5" s="32" t="inlineStr">
        <is>
          <t>low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X5" s="44" t="inlineStr">
        <is>
          <t>RTA marine = 18.4M riders 2025 (WAM, T1); bulk are ~1km Creek abras (R3-ABRA, different micro-corridor). Premium non-abra modes a small fraction.</t>
        </is>
      </c>
    </row>
    <row r="6">
      <c r="A6" s="29" t="inlineStr">
        <is>
          <t>UAE (Careem)</t>
        </is>
      </c>
      <c r="B6" s="29" t="inlineStr">
        <is>
          <t>United Arab Emirates</t>
        </is>
      </c>
      <c r="C6" s="30" t="inlineStr">
        <is>
          <t>Kempinski Hotel &amp; Residences Palm Jumeirah Jetty → Atlantis The Palm Jetty</t>
        </is>
      </c>
      <c r="D6" s="31" t="n">
        <v>1.2</v>
      </c>
      <c r="E6" s="26" t="n">
        <v>130</v>
      </c>
      <c r="F6" s="32" t="inlineStr">
        <is>
          <t>T5</t>
        </is>
      </c>
      <c r="G6" s="32" t="inlineStr">
        <is>
          <t>low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MIN(10,FLOOR(60*service_hr/J6,1))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30000</v>
      </c>
      <c r="AH6" s="32" t="inlineStr">
        <is>
          <t>T3</t>
        </is>
      </c>
      <c r="AI6" s="32" t="inlineStr">
        <is>
          <t>low</t>
        </is>
      </c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Palm resort cluster (Kempinski&lt;-&gt;Atlantis). Road-served. T5/low.</t>
        </is>
      </c>
      <c r="AX6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7">
      <c r="A7" s="29" t="inlineStr">
        <is>
          <t>UAE (Careem)</t>
        </is>
      </c>
      <c r="B7" s="29" t="inlineStr">
        <is>
          <t>United Arab Emirates</t>
        </is>
      </c>
      <c r="C7" s="30" t="inlineStr">
        <is>
          <t>La Mer / J1 Beach Jetty → Nikki Beach Resort Pearl Jumeirah Jetty</t>
        </is>
      </c>
      <c r="D7" s="31" t="n">
        <v>1.2</v>
      </c>
      <c r="E7" s="26" t="n">
        <v>110</v>
      </c>
      <c r="F7" s="32" t="inlineStr">
        <is>
          <t>T5</t>
        </is>
      </c>
      <c r="G7" s="32" t="inlineStr">
        <is>
          <t>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MIN(10,FLOOR(60*service_hr/J7,1))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25000</v>
      </c>
      <c r="AH7" s="32" t="inlineStr">
        <is>
          <t>T3</t>
        </is>
      </c>
      <c r="AI7" s="32" t="inlineStr">
        <is>
          <t>low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Urban Dubai beach-club leisure hop. Road-served. T5/low.</t>
        </is>
      </c>
      <c r="AX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">
      <c r="A8" s="29" t="inlineStr">
        <is>
          <t>UAE (Careem)</t>
        </is>
      </c>
      <c r="B8" s="29" t="inlineStr">
        <is>
          <t>United Arab Emirates</t>
        </is>
      </c>
      <c r="C8" s="30" t="inlineStr">
        <is>
          <t>Palm Jumeirah Marina West → Atlantis The Palm Jetty</t>
        </is>
      </c>
      <c r="D8" s="31" t="n">
        <v>1.3</v>
      </c>
      <c r="E8" s="26" t="n">
        <v>150</v>
      </c>
      <c r="F8" s="32" t="inlineStr">
        <is>
          <t>T5</t>
        </is>
      </c>
      <c r="G8" s="32" t="inlineStr">
        <is>
          <t>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MIN(10,FLOOR(60*service_hr/J8,1))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120000</v>
      </c>
      <c r="AH8" s="32" t="inlineStr">
        <is>
          <t>T2</t>
        </is>
      </c>
      <c r="AI8" s="32" t="inlineStr">
        <is>
          <t>medium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Atlantis The Palm (1,544 rooms) road-served; premium marine arrival opportunity-to-create. T5/low.</t>
        </is>
      </c>
      <c r="AX8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9">
      <c r="A9" s="29" t="inlineStr">
        <is>
          <t>UAE (Careem)</t>
        </is>
      </c>
      <c r="B9" s="29" t="inlineStr">
        <is>
          <t>United Arab Emirates</t>
        </is>
      </c>
      <c r="C9" s="30" t="inlineStr">
        <is>
          <t>Dubai Creek Marina → Al Seef Marine Transport Station</t>
        </is>
      </c>
      <c r="D9" s="31" t="n">
        <v>1.5</v>
      </c>
      <c r="E9" s="26" t="n">
        <v>41</v>
      </c>
      <c r="F9" s="32" t="inlineStr">
        <is>
          <t>T1</t>
        </is>
      </c>
      <c r="G9" s="32" t="inlineStr">
        <is>
          <t>high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MIN(10,FLOOR(60*service_hr/J9,1))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120000</v>
      </c>
      <c r="AH9" s="32" t="inlineStr">
        <is>
          <t>T5</t>
        </is>
      </c>
      <c r="AI9" s="32" t="inlineStr">
        <is>
          <t>low</t>
        </is>
      </c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X9" s="44" t="inlineStr">
        <is>
          <t>18.4M RTA marine is ~all sub-1km abras (R3-ABRA); premium water-taxi/ferry tier is a small fraction.</t>
        </is>
      </c>
    </row>
    <row r="10">
      <c r="A10" s="29" t="inlineStr">
        <is>
          <t>UAE (Careem)</t>
        </is>
      </c>
      <c r="B10" s="29" t="inlineStr">
        <is>
          <t>United Arab Emirates</t>
        </is>
      </c>
      <c r="C10" s="30" t="inlineStr">
        <is>
          <t>Yacht Marina → The Westin Dubai Mina Seyahi Beach Resort &amp; Marina</t>
        </is>
      </c>
      <c r="D10" s="31" t="n">
        <v>1.5</v>
      </c>
      <c r="E10" s="26" t="n">
        <v>95</v>
      </c>
      <c r="F10" s="32" t="inlineStr">
        <is>
          <t>T4</t>
        </is>
      </c>
      <c r="G10" s="32" t="inlineStr">
        <is>
          <t>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MIN(10,FLOOR(60*service_hr/J10,1))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25000</v>
      </c>
      <c r="AH10" s="32" t="inlineStr">
        <is>
          <t>T3</t>
        </is>
      </c>
      <c r="AI10" s="32" t="inlineStr">
        <is>
          <t>low</t>
        </is>
      </c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X10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1">
      <c r="A11" s="29" t="inlineStr">
        <is>
          <t>UAE (Careem)</t>
        </is>
      </c>
      <c r="B11" s="29" t="inlineStr">
        <is>
          <t>United Arab Emirates</t>
        </is>
      </c>
      <c r="C11" s="30" t="inlineStr">
        <is>
          <t>Marina Mall / Breakwater Marina → Lulu Island Jetty</t>
        </is>
      </c>
      <c r="D11" s="31" t="n">
        <v>1.7</v>
      </c>
      <c r="E11" s="26" t="n">
        <v>45</v>
      </c>
      <c r="F11" s="32" t="inlineStr">
        <is>
          <t>T4</t>
        </is>
      </c>
      <c r="G11" s="32" t="inlineStr">
        <is>
          <t>low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MIN(10,FLOOR(60*service_hr/J11,1))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20000</v>
      </c>
      <c r="AH11" s="32" t="inlineStr">
        <is>
          <t>T5</t>
        </is>
      </c>
      <c r="AI11" s="32" t="inlineStr">
        <is>
          <t>low</t>
        </is>
      </c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X11" s="44" t="inlineStr">
        <is>
          <t>Lulu boat-only (R3-EXCEPTION) but undeveloped/limited-access -&gt; small day-visit pool.</t>
        </is>
      </c>
    </row>
    <row r="12">
      <c r="A12" s="29" t="inlineStr">
        <is>
          <t>UAE (Careem)</t>
        </is>
      </c>
      <c r="B12" s="29" t="inlineStr">
        <is>
          <t>United Arab Emirates</t>
        </is>
      </c>
      <c r="C12" s="30" t="inlineStr">
        <is>
          <t>Dubai Harbour Marina → Palm Jumeirah Marina West</t>
        </is>
      </c>
      <c r="D12" s="31" t="n">
        <v>2.1</v>
      </c>
      <c r="E12" s="26" t="n">
        <v>48</v>
      </c>
      <c r="F12" s="32" t="inlineStr">
        <is>
          <t>T1</t>
        </is>
      </c>
      <c r="G12" s="32" t="inlineStr">
        <is>
          <t>high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MIN(10,FLOOR(60*service_hr/J12,1))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35000</v>
      </c>
      <c r="AH12" s="32" t="inlineStr">
        <is>
          <t>T3</t>
        </is>
      </c>
      <c r="AI12" s="32" t="inlineStr">
        <is>
          <t>low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X12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3">
      <c r="A13" s="29" t="inlineStr">
        <is>
          <t>UAE (Careem)</t>
        </is>
      </c>
      <c r="B13" s="29" t="inlineStr">
        <is>
          <t>United Arab Emirates</t>
        </is>
      </c>
      <c r="C13" s="30" t="inlineStr">
        <is>
          <t>Al Bateen Marina → Emirates Palace Marina</t>
        </is>
      </c>
      <c r="D13" s="31" t="n">
        <v>2.2</v>
      </c>
      <c r="E13" s="26" t="n">
        <v>150</v>
      </c>
      <c r="F13" s="32" t="inlineStr">
        <is>
          <t>T5</t>
        </is>
      </c>
      <c r="G13" s="32" t="inlineStr">
        <is>
          <t>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MIN(10,FLOOR(60*service_hr/J13,1))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20000</v>
      </c>
      <c r="AH13" s="32" t="inlineStr">
        <is>
          <t>T3</t>
        </is>
      </c>
      <c r="AI13" s="32" t="inlineStr">
        <is>
          <t>low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Emirates Palace (flagship AD luxury hotel) marina arrival; road-served; opportunity-to-create. T5/low.</t>
        </is>
      </c>
      <c r="AX1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">
      <c r="A14" s="29" t="inlineStr">
        <is>
          <t>UAE (Careem)</t>
        </is>
      </c>
      <c r="B14" s="29" t="inlineStr">
        <is>
          <t>United Arab Emirates</t>
        </is>
      </c>
      <c r="C14" s="30" t="inlineStr">
        <is>
          <t>Côte d'Azur Resort Marina (Heart of Europe) → Anantara World Islands Resort Jetty (planned)</t>
        </is>
      </c>
      <c r="D14" s="31" t="n">
        <v>2.4</v>
      </c>
      <c r="E14" s="26" t="n">
        <v>150</v>
      </c>
      <c r="F14" s="32" t="inlineStr">
        <is>
          <t>T5</t>
        </is>
      </c>
      <c r="G14" s="32" t="inlineStr">
        <is>
          <t>low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MIN(10,FLOOR(60*service_hr/J14,1))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25000</v>
      </c>
      <c r="AH14" s="32" t="inlineStr">
        <is>
          <t>T3</t>
        </is>
      </c>
      <c r="AI14" s="32" t="inlineStr">
        <is>
          <t>low</t>
        </is>
      </c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>Intra-The-World offshore hop; both boat-only. Greenfield premium per-seat. T5/low.</t>
        </is>
      </c>
      <c r="AX1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5">
      <c r="A15" s="29" t="inlineStr">
        <is>
          <t>UAE (Careem)</t>
        </is>
      </c>
      <c r="B15" s="29" t="inlineStr">
        <is>
          <t>United Arab Emirates</t>
        </is>
      </c>
      <c r="C15" s="30" t="inlineStr">
        <is>
          <t>Marina Mall / Breakwater Marina → Al Bateen Marina</t>
        </is>
      </c>
      <c r="D15" s="31" t="n">
        <v>2.6</v>
      </c>
      <c r="E15" s="26" t="n">
        <v>45</v>
      </c>
      <c r="F15" s="32" t="inlineStr">
        <is>
          <t>T4</t>
        </is>
      </c>
      <c r="G15" s="32" t="inlineStr">
        <is>
          <t>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MIN(10,FLOOR(60*service_hr/J15,1))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50000</v>
      </c>
      <c r="AH15" s="32" t="inlineStr">
        <is>
          <t>T3</t>
        </is>
      </c>
      <c r="AI15" s="32" t="inlineStr">
        <is>
          <t>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X1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6">
      <c r="A16" s="29" t="inlineStr">
        <is>
          <t>UAE (Careem)</t>
        </is>
      </c>
      <c r="B16" s="29" t="inlineStr">
        <is>
          <t>United Arab Emirates</t>
        </is>
      </c>
      <c r="C16" s="30" t="inlineStr">
        <is>
          <t>Bulgari Yacht Club &amp; Marina → La Mer / J1 Beach Jetty</t>
        </is>
      </c>
      <c r="D16" s="31" t="n">
        <v>2.6</v>
      </c>
      <c r="E16" s="26" t="n">
        <v>120</v>
      </c>
      <c r="F16" s="32" t="inlineStr">
        <is>
          <t>T5</t>
        </is>
      </c>
      <c r="G16" s="32" t="inlineStr">
        <is>
          <t>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MIN(10,FLOOR(60*service_hr/J16,1))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30000</v>
      </c>
      <c r="AH16" s="32" t="inlineStr">
        <is>
          <t>T3</t>
        </is>
      </c>
      <c r="AI16" s="32" t="inlineStr">
        <is>
          <t>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Urban Dubai beach-club leisure hop (Bulgari Bay&lt;-&gt;La Mer/J1). Road-served. T5/low.</t>
        </is>
      </c>
      <c r="AX16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7">
      <c r="A17" s="29" t="inlineStr">
        <is>
          <t>UAE (Careem)</t>
        </is>
      </c>
      <c r="B17" s="29" t="inlineStr">
        <is>
          <t>United Arab Emirates</t>
        </is>
      </c>
      <c r="C17" s="30" t="inlineStr">
        <is>
          <t>Al Bateen Marina → Hudayriat Marina</t>
        </is>
      </c>
      <c r="D17" s="31" t="n">
        <v>3.6</v>
      </c>
      <c r="E17" s="26" t="n">
        <v>90</v>
      </c>
      <c r="F17" s="32" t="inlineStr">
        <is>
          <t>T4</t>
        </is>
      </c>
      <c r="G17" s="32" t="inlineStr">
        <is>
          <t>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MIN(10,FLOOR(60*service_hr/J17,1))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35000</v>
      </c>
      <c r="AH17" s="32" t="inlineStr">
        <is>
          <t>T3</t>
        </is>
      </c>
      <c r="AI17" s="32" t="inlineStr">
        <is>
          <t>low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X1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">
      <c r="A18" s="29" t="inlineStr">
        <is>
          <t>UAE (Careem)</t>
        </is>
      </c>
      <c r="B18" s="29" t="inlineStr">
        <is>
          <t>United Arab Emirates</t>
        </is>
      </c>
      <c r="C18" s="30" t="inlineStr">
        <is>
          <t>Côte d'Azur Resort Marina (Heart of Europe) → Bulgari Yacht Club &amp; Marina</t>
        </is>
      </c>
      <c r="D18" s="31" t="n">
        <v>4.2</v>
      </c>
      <c r="E18" s="26" t="n">
        <v>150</v>
      </c>
      <c r="F18" s="32" t="inlineStr">
        <is>
          <t>T5</t>
        </is>
      </c>
      <c r="G18" s="32" t="inlineStr">
        <is>
          <t>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MIN(10,FLOOR(60*service_hr/J18,1))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20000</v>
      </c>
      <c r="AH18" s="32" t="inlineStr">
        <is>
          <t>T3</t>
        </is>
      </c>
      <c r="AI18" s="32" t="inlineStr">
        <is>
          <t>low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The World (boat-only)&lt;-&gt;Bulgari (Jumeirah Bay) luxury hop. Greenfield. T5/low.</t>
        </is>
      </c>
      <c r="AX1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9">
      <c r="A19" s="29" t="inlineStr">
        <is>
          <t>UAE (Careem)</t>
        </is>
      </c>
      <c r="B19" s="29" t="inlineStr">
        <is>
          <t>United Arab Emirates</t>
        </is>
      </c>
      <c r="C19" s="30" t="inlineStr">
        <is>
          <t>Saadiyat Beach Club Jetty → Zaya Nurai Island Jetty</t>
        </is>
      </c>
      <c r="D19" s="31" t="n">
        <v>4.4</v>
      </c>
      <c r="E19" s="26" t="n">
        <v>150</v>
      </c>
      <c r="F19" s="32" t="inlineStr">
        <is>
          <t>T3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MIN(10,FLOOR(60*service_hr/J19,1))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45000</v>
      </c>
      <c r="AH19" s="32" t="inlineStr">
        <is>
          <t>T5</t>
        </is>
      </c>
      <c r="AI19" s="32" t="inlineStr">
        <is>
          <t>low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Saadiyat Beach Club-&gt;Zaya Nurai Island (4.4nm). WATER-ONLY (12-15min boat from Saadiyat; boat-only, 32 villas + 23 residences). Day-pass + transfer redemption ladder; premium per-seat $150.</t>
        </is>
      </c>
      <c r="AX19" s="44" t="inlineStr">
        <is>
          <t>Boat-only -&gt; FULLY addressable (R3-EXCEPTION). 32 villas + 23 residences stay-pool + day-club guests (major Saadiyat day-trip).</t>
        </is>
      </c>
    </row>
    <row r="20">
      <c r="A20" s="29" t="inlineStr">
        <is>
          <t>UAE (Careem)</t>
        </is>
      </c>
      <c r="B20" s="29" t="inlineStr">
        <is>
          <t>United Arab Emirates</t>
        </is>
      </c>
      <c r="C20" s="30" t="inlineStr">
        <is>
          <t>Dubai Harbour Marina → Atlantis The Royal Jetty</t>
        </is>
      </c>
      <c r="D20" s="31" t="n">
        <v>4.9</v>
      </c>
      <c r="E20" s="26" t="n">
        <v>175</v>
      </c>
      <c r="F20" s="32" t="inlineStr">
        <is>
          <t>T5</t>
        </is>
      </c>
      <c r="G20" s="32" t="inlineStr">
        <is>
          <t>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MIN(10,FLOOR(60*service_hr/J20,1))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10000</v>
      </c>
      <c r="AH20" s="32" t="inlineStr">
        <is>
          <t>T5</t>
        </is>
      </c>
      <c r="AI20" s="32" t="inlineStr">
        <is>
          <t>low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Atlantis The Royal (795 keys) road-served; signature marine arrival opportunity-to-create. T5/low.</t>
        </is>
      </c>
      <c r="AX20" s="44" t="inlineStr">
        <is>
          <t>OPT-IN luxury-arrival fraction only (R3-LAND road-served). 795 keys x occ -&gt; small opt-in marine pool.</t>
        </is>
      </c>
    </row>
    <row r="21">
      <c r="A21" s="29" t="inlineStr">
        <is>
          <t>UAE (Careem)</t>
        </is>
      </c>
      <c r="B21" s="29" t="inlineStr">
        <is>
          <t>United Arab Emirates</t>
        </is>
      </c>
      <c r="C21" s="30" t="inlineStr">
        <is>
          <t>Jebel Dhanna / Ruwais Ferry Terminal → Sir Bani Yas Cruise Port</t>
        </is>
      </c>
      <c r="D21" s="31" t="n">
        <v>5.3</v>
      </c>
      <c r="E21" s="26" t="n">
        <v>90</v>
      </c>
      <c r="F21" s="32" t="inlineStr">
        <is>
          <t>T5</t>
        </is>
      </c>
      <c r="G21" s="32" t="inlineStr">
        <is>
          <t>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MIN(10,FLOOR(60*service_hr/J21,1))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60000</v>
      </c>
      <c r="AH21" s="32" t="inlineStr">
        <is>
          <t>T5</t>
        </is>
      </c>
      <c r="AI21" s="32" t="inlineStr">
        <is>
          <t>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Sir Bani Yas boat-only (~8km offshore). 3 Anantara resorts ~124 keys. Guest boat transfer FREE today (R-UAE-1) -&gt; $90 opportunity-to-create / day-guest analog. T5/low.</t>
        </is>
      </c>
      <c r="AX21" s="44" t="inlineStr">
        <is>
          <t>Sir Bani Yas boat-only (R3-EXCEPTION). 3 Anantara resorts ~124 keys + Arabian Wildlife Park day-visitors via Jebel Dhanna ferry.</t>
        </is>
      </c>
    </row>
    <row r="22">
      <c r="A22" s="29" t="inlineStr">
        <is>
          <t>UAE (Careem)</t>
        </is>
      </c>
      <c r="B22" s="29" t="inlineStr">
        <is>
          <t>United Arab Emirates</t>
        </is>
      </c>
      <c r="C22" s="30" t="inlineStr">
        <is>
          <t>Dubai Harbour Marina → Burj Al Arab Private Jetty</t>
        </is>
      </c>
      <c r="D22" s="31" t="n">
        <v>6.9</v>
      </c>
      <c r="E22" s="26" t="n">
        <v>250</v>
      </c>
      <c r="F22" s="32" t="inlineStr">
        <is>
          <t>T5</t>
        </is>
      </c>
      <c r="G22" s="32" t="inlineStr">
        <is>
          <t>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MIN(10,FLOOR(60*service_hr/J22,1))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5000</v>
      </c>
      <c r="AH22" s="32" t="inlineStr">
        <is>
          <t>T5</t>
        </is>
      </c>
      <c r="AI22" s="32" t="inlineStr">
        <is>
          <t>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Burj Al Arab (202 suites) road-served; iconic signature marine arrival. T5/low.</t>
        </is>
      </c>
      <c r="AX22" s="44" t="inlineStr">
        <is>
          <t>OPT-IN only (R3-LAND). 202 suites x occ -&gt; modest base + experiential day-guest yacht-arrivals.</t>
        </is>
      </c>
    </row>
    <row r="23">
      <c r="A23" s="29" t="inlineStr">
        <is>
          <t>UAE (Careem)</t>
        </is>
      </c>
      <c r="B23" s="29" t="inlineStr">
        <is>
          <t>United Arab Emirates</t>
        </is>
      </c>
      <c r="C23" s="30" t="inlineStr">
        <is>
          <t>Marina Mall / Breakwater Marina → Reem Island Marina (Najmat / Marina Square)</t>
        </is>
      </c>
      <c r="D23" s="31" t="n">
        <v>7.1</v>
      </c>
      <c r="E23" s="26" t="n">
        <v>60</v>
      </c>
      <c r="F23" s="32" t="inlineStr">
        <is>
          <t>T4</t>
        </is>
      </c>
      <c r="G23" s="32" t="inlineStr">
        <is>
          <t>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MIN(10,FLOOR(60*service_hr/J23,1))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35000</v>
      </c>
      <c r="AH23" s="32" t="inlineStr">
        <is>
          <t>T3</t>
        </is>
      </c>
      <c r="AI23" s="32" t="inlineStr">
        <is>
          <t>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X2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24">
      <c r="A24" s="29" t="inlineStr">
        <is>
          <t>UAE (Careem)</t>
        </is>
      </c>
      <c r="B24" s="29" t="inlineStr">
        <is>
          <t>United Arab Emirates</t>
        </is>
      </c>
      <c r="C24" s="30" t="inlineStr">
        <is>
          <t>Dubai Harbour Marina → Anantara World Islands Resort Jetty (planned)</t>
        </is>
      </c>
      <c r="D24" s="31" t="n">
        <v>7.9</v>
      </c>
      <c r="E24" s="26" t="n">
        <v>80</v>
      </c>
      <c r="F24" s="32" t="inlineStr">
        <is>
          <t>T4</t>
        </is>
      </c>
      <c r="G24" s="32" t="inlineStr">
        <is>
          <t>low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MIN(10,FLOOR(60*service_hr/J24,1))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30000</v>
      </c>
      <c r="AH24" s="32" t="inlineStr">
        <is>
          <t>T5</t>
        </is>
      </c>
      <c r="AI24" s="32" t="inlineStr">
        <is>
          <t>low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Anantara World Islands Resort (boat-only; Forbes/Expedia 'accessible only by boat'). Resort shuttle ~AED 150/pax RETURN (~$20/way); premium per-seat modeled $80.</t>
        </is>
      </c>
      <c r="AX24" s="44" t="inlineStr">
        <is>
          <t>Boot-only -&gt; arrivals=crossing ridership FULLY addressable (R3-EXCEPTION). ~70 keys x ~65% occ + day-guests.</t>
        </is>
      </c>
    </row>
    <row r="25">
      <c r="A25" s="29" t="inlineStr">
        <is>
          <t>UAE (Careem)</t>
        </is>
      </c>
      <c r="B25" s="29" t="inlineStr">
        <is>
          <t>United Arab Emirates</t>
        </is>
      </c>
      <c r="C25" s="30" t="inlineStr">
        <is>
          <t>Saadiyat Beach Club Jetty → Marina Mall / Breakwater Marina</t>
        </is>
      </c>
      <c r="D25" s="31" t="n">
        <v>8.9</v>
      </c>
      <c r="E25" s="26" t="n">
        <v>70</v>
      </c>
      <c r="F25" s="32" t="inlineStr">
        <is>
          <t>T4</t>
        </is>
      </c>
      <c r="G25" s="32" t="inlineStr">
        <is>
          <t>low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MIN(10,FLOOR(60*service_hr/J25,1))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25000</v>
      </c>
      <c r="AH25" s="32" t="inlineStr">
        <is>
          <t>T3</t>
        </is>
      </c>
      <c r="AI25" s="32" t="inlineStr">
        <is>
          <t>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X2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26">
      <c r="A26" s="29" t="inlineStr">
        <is>
          <t>UAE (Careem)</t>
        </is>
      </c>
      <c r="B26" s="29" t="inlineStr">
        <is>
          <t>United Arab Emirates</t>
        </is>
      </c>
      <c r="C26" s="30" t="inlineStr">
        <is>
          <t>Dubai Harbour Marina → Côte d'Azur Resort Marina (Heart of Europe)</t>
        </is>
      </c>
      <c r="D26" s="31" t="n">
        <v>9.199999999999999</v>
      </c>
      <c r="E26" s="26" t="n">
        <v>175</v>
      </c>
      <c r="F26" s="32" t="inlineStr">
        <is>
          <t>T5</t>
        </is>
      </c>
      <c r="G26" s="32" t="inlineStr">
        <is>
          <t>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MIN(10,FLOOR(60*service_hr/J26,1))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70000</v>
      </c>
      <c r="AH26" s="32" t="inlineStr">
        <is>
          <t>T2</t>
        </is>
      </c>
      <c r="AI26" s="32" t="inlineStr">
        <is>
          <t>medium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The World (Heart of Europe/Cote d'Azur) boat-only offshore. Shared per-seat $56-120/pax; resort transfers bundled. T5/low - opportunity-to-create.</t>
        </is>
      </c>
      <c r="AX26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27">
      <c r="A27" s="29" t="inlineStr">
        <is>
          <t>UAE (Careem)</t>
        </is>
      </c>
      <c r="B27" s="29" t="inlineStr">
        <is>
          <t>United Arab Emirates</t>
        </is>
      </c>
      <c r="C27" s="30" t="inlineStr">
        <is>
          <t>Bluewaters Marina → Heart of Europe — Main Marina (The World)</t>
        </is>
      </c>
      <c r="D27" s="31" t="n">
        <v>9.880000000000001</v>
      </c>
      <c r="E27" s="26" t="n">
        <v>175</v>
      </c>
      <c r="F27" s="32" t="inlineStr">
        <is>
          <t>T5</t>
        </is>
      </c>
      <c r="G27" s="32" t="inlineStr">
        <is>
          <t>low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MIN(10,FLOOR(60*service_hr/J27,1))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20000</v>
      </c>
      <c r="AH27" s="32" t="inlineStr">
        <is>
          <t>T3</t>
        </is>
      </c>
      <c r="AI27" s="32" t="inlineStr">
        <is>
          <t>low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The World (Heart of Europe) boat-only offshore; greenfield. T5/low.</t>
        </is>
      </c>
      <c r="AX2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28">
      <c r="A28" s="29" t="inlineStr">
        <is>
          <t>UAE (Careem)</t>
        </is>
      </c>
      <c r="B28" s="29" t="inlineStr">
        <is>
          <t>United Arab Emirates</t>
        </is>
      </c>
      <c r="C28" s="30" t="inlineStr">
        <is>
          <t>Dubai Harbour Marina → Bulgari Yacht Club &amp; Marina</t>
        </is>
      </c>
      <c r="D28" s="31" t="n">
        <v>10.2</v>
      </c>
      <c r="E28" s="26" t="n">
        <v>200</v>
      </c>
      <c r="F28" s="32" t="inlineStr">
        <is>
          <t>T5</t>
        </is>
      </c>
      <c r="G28" s="32" t="inlineStr">
        <is>
          <t>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MIN(10,FLOOR(60*service_hr/J28,1))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4000</v>
      </c>
      <c r="AH28" s="32" t="inlineStr">
        <is>
          <t>T5</t>
        </is>
      </c>
      <c r="AI28" s="32" t="inlineStr">
        <is>
          <t>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Bulgari Resort Dubai ~129 keys + Bulgari Yacht Club &amp; Marina; road-served. T5/low.</t>
        </is>
      </c>
      <c r="AX28" s="44" t="inlineStr">
        <is>
          <t>OPT-IN only (R3-LAND). ~129-key resort + yacht-club members.</t>
        </is>
      </c>
    </row>
    <row r="29">
      <c r="A29" s="29" t="inlineStr">
        <is>
          <t>UAE (Careem)</t>
        </is>
      </c>
      <c r="B29" s="29" t="inlineStr">
        <is>
          <t>United Arab Emirates</t>
        </is>
      </c>
      <c r="C29" s="30" t="inlineStr">
        <is>
          <t>Emirates Palace Marina → Saadiyat Beach Club Jetty</t>
        </is>
      </c>
      <c r="D29" s="31" t="n">
        <v>10.4</v>
      </c>
      <c r="E29" s="26" t="n">
        <v>175</v>
      </c>
      <c r="F29" s="32" t="inlineStr">
        <is>
          <t>T5</t>
        </is>
      </c>
      <c r="G29" s="32" t="inlineStr">
        <is>
          <t>low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MIN(10,FLOOR(60*service_hr/J29,1))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3000</v>
      </c>
      <c r="AH29" s="32" t="inlineStr">
        <is>
          <t>T5</t>
        </is>
      </c>
      <c r="AI29" s="32" t="inlineStr">
        <is>
          <t>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Emirates Palace&lt;-&gt;Saadiyat experiential luxury hop; both road-served. T5/low.</t>
        </is>
      </c>
      <c r="AX29" s="44" t="inlineStr">
        <is>
          <t>OPT-IN only (R3-LAND: both road-served). Experiential luxury hop.</t>
        </is>
      </c>
    </row>
    <row r="30">
      <c r="A30" s="29" t="inlineStr">
        <is>
          <t>UAE (Careem)</t>
        </is>
      </c>
      <c r="B30" s="29" t="inlineStr">
        <is>
          <t>United Arab Emirates</t>
        </is>
      </c>
      <c r="C30" s="30" t="inlineStr">
        <is>
          <t>Dubai Marina → Downtown Creek</t>
        </is>
      </c>
      <c r="D30" s="31" t="n">
        <v>12</v>
      </c>
      <c r="E30" s="26" t="n"/>
      <c r="F30" s="32" t="n"/>
      <c r="G30" s="32" t="n"/>
      <c r="H30" s="19" t="n">
        <v>1</v>
      </c>
      <c r="I30" s="33">
        <f>60*D30/cruise_kt</f>
        <v/>
      </c>
      <c r="J30" s="33">
        <f>I30+turn_min+dwell_min</f>
        <v/>
      </c>
      <c r="K30" s="34">
        <f>MIN(10,FLOOR(60*service_hr/J30,1))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n"/>
      <c r="AX30" s="44" t="n"/>
    </row>
    <row r="31">
      <c r="A31" s="29" t="inlineStr">
        <is>
          <t>UAE (Careem)</t>
        </is>
      </c>
      <c r="B31" s="29" t="inlineStr">
        <is>
          <t>United Arab Emirates</t>
        </is>
      </c>
      <c r="C31" s="30" t="inlineStr">
        <is>
          <t>Dubai Marina → Downtown / Dubai Creek</t>
        </is>
      </c>
      <c r="D31" s="31" t="n">
        <v>12</v>
      </c>
      <c r="E31" s="26" t="n"/>
      <c r="F31" s="32" t="n"/>
      <c r="G31" s="32" t="n"/>
      <c r="H31" s="19" t="n">
        <v>1</v>
      </c>
      <c r="I31" s="33">
        <f>60*D31/cruise_kt</f>
        <v/>
      </c>
      <c r="J31" s="33">
        <f>I31+turn_min+dwell_min</f>
        <v/>
      </c>
      <c r="K31" s="34">
        <f>MIN(10,FLOOR(60*service_hr/J31,1))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n"/>
      <c r="AI31" s="32" t="n"/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n"/>
      <c r="AX31" s="44" t="n"/>
    </row>
    <row r="32">
      <c r="A32" s="29" t="inlineStr">
        <is>
          <t>UAE (Careem)</t>
        </is>
      </c>
      <c r="B32" s="29" t="inlineStr">
        <is>
          <t>United Arab Emirates</t>
        </is>
      </c>
      <c r="C32" s="30" t="inlineStr">
        <is>
          <t>Yas Marina → Zaya Nurai Island Jetty</t>
        </is>
      </c>
      <c r="D32" s="31" t="n">
        <v>12.6</v>
      </c>
      <c r="E32" s="26" t="n">
        <v>175</v>
      </c>
      <c r="F32" s="32" t="inlineStr">
        <is>
          <t>T5</t>
        </is>
      </c>
      <c r="G32" s="32" t="inlineStr">
        <is>
          <t>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MIN(10,FLOOR(60*service_hr/J32,1))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15000</v>
      </c>
      <c r="AH32" s="32" t="inlineStr">
        <is>
          <t>T3</t>
        </is>
      </c>
      <c r="AI32" s="32" t="inlineStr">
        <is>
          <t>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Zaya Nurai boat-only, but real transfers depart Saadiyat (4.4nm) not Yas Marina (12.6nm) -&gt; R3-PIER. $175 modeled; demand NULL. T5/low.</t>
        </is>
      </c>
      <c r="AX32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33">
      <c r="A33" s="29" t="inlineStr">
        <is>
          <t>UAE (Careem)</t>
        </is>
      </c>
      <c r="B33" s="29" t="inlineStr">
        <is>
          <t>United Arab Emirates</t>
        </is>
      </c>
      <c r="C33" s="30" t="inlineStr">
        <is>
          <t>Yas Marina → Saadiyat Beach Club Jetty</t>
        </is>
      </c>
      <c r="D33" s="31" t="n">
        <v>13</v>
      </c>
      <c r="E33" s="26" t="n">
        <v>75</v>
      </c>
      <c r="F33" s="32" t="inlineStr">
        <is>
          <t>T4</t>
        </is>
      </c>
      <c r="G33" s="32" t="inlineStr">
        <is>
          <t>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MIN(10,FLOOR(60*service_hr/J33,1))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30000</v>
      </c>
      <c r="AH33" s="32" t="inlineStr">
        <is>
          <t>T3</t>
        </is>
      </c>
      <c r="AI33" s="32" t="inlineStr">
        <is>
          <t>low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X3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34">
      <c r="A34" s="29" t="inlineStr">
        <is>
          <t>UAE (Careem)</t>
        </is>
      </c>
      <c r="B34" s="29" t="inlineStr">
        <is>
          <t>United Arab Emirates</t>
        </is>
      </c>
      <c r="C34" s="30" t="inlineStr">
        <is>
          <t>Dibba Marina (Fujairah) → Khorfakkan Corniche / Port (Sharjah enclave)</t>
        </is>
      </c>
      <c r="D34" s="31" t="n">
        <v>20.4</v>
      </c>
      <c r="E34" s="26" t="n">
        <v>65</v>
      </c>
      <c r="F34" s="32" t="inlineStr">
        <is>
          <t>T3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MIN(10,FLOOR(60*service_hr/J34,1))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60000</v>
      </c>
      <c r="AH34" s="32" t="inlineStr">
        <is>
          <t>T4</t>
        </is>
      </c>
      <c r="AI34" s="32" t="inlineStr">
        <is>
          <t>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Fujairah east-coast day-trip boats: Dibba/Khor Fakkan dhow &amp; speedboat tours AED 140-210/pax (Instagram/Tripadvisor/Viator 2025); Musandam dhow cruises similar.</t>
        </is>
      </c>
      <c r="AX34" s="44" t="inlineStr">
        <is>
          <t>Fujairah arrivals crossed 340,000 (+22% YoY), 209 hotels, 70-100% occ (UAE Ministry/Fujairah Tourism); east-coast diving/Musandam day-trips genuinely water-based.</t>
        </is>
      </c>
    </row>
    <row r="35">
      <c r="A35" s="29" t="inlineStr">
        <is>
          <t>UAE (Careem)</t>
        </is>
      </c>
      <c r="B35" s="29" t="inlineStr">
        <is>
          <t>United Arab Emirates</t>
        </is>
      </c>
      <c r="C35" s="30" t="inlineStr">
        <is>
          <t>Dubai Harbour Marina → Al Khan Lagoon mouth</t>
        </is>
      </c>
      <c r="D35" s="31" t="n">
        <v>25.1</v>
      </c>
      <c r="E35" s="26" t="n">
        <v>85</v>
      </c>
      <c r="F35" s="32" t="inlineStr">
        <is>
          <t>T5</t>
        </is>
      </c>
      <c r="G35" s="32" t="inlineStr">
        <is>
          <t>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MIN(10,FLOOR(60*service_hr/J35,1))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40000</v>
      </c>
      <c r="AH35" s="32" t="inlineStr">
        <is>
          <t>T2</t>
        </is>
      </c>
      <c r="AI35" s="32" t="inlineStr">
        <is>
          <t>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Dubai-Sharjah Ferry Gold AED 25 subsidized-commuter (R5-EXT). Premium per-seat $85 modeled (between subsidized ferry and charter). T5/low.</t>
        </is>
      </c>
      <c r="AX35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36">
      <c r="A36" s="29" t="inlineStr">
        <is>
          <t>UAE (Careem)</t>
        </is>
      </c>
      <c r="B36" s="29" t="inlineStr">
        <is>
          <t>United Arab Emirates</t>
        </is>
      </c>
      <c r="C36" s="30" t="inlineStr">
        <is>
          <t>Dubai → Abu Dhabi (Corniche)</t>
        </is>
      </c>
      <c r="D36" s="31" t="n">
        <v>55.8</v>
      </c>
      <c r="E36" s="26" t="n"/>
      <c r="F36" s="32" t="n"/>
      <c r="G36" s="32" t="n"/>
      <c r="H36" s="19" t="n">
        <v>1</v>
      </c>
      <c r="I36" s="33">
        <f>60*D36/cruise_kt</f>
        <v/>
      </c>
      <c r="J36" s="33">
        <f>I36+turn_min+dwell_min</f>
        <v/>
      </c>
      <c r="K36" s="34">
        <f>MIN(10,FLOOR(60*service_hr/J36,1))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/>
      <c r="AH36" s="32" t="n"/>
      <c r="AI36" s="32" t="n"/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n"/>
      <c r="AX36" s="44" t="n"/>
    </row>
    <row r="37">
      <c r="A37" s="29" t="inlineStr">
        <is>
          <t>UAE (Careem)</t>
        </is>
      </c>
      <c r="B37" s="29" t="inlineStr">
        <is>
          <t>United Arab Emirates</t>
        </is>
      </c>
      <c r="C37" s="30" t="inlineStr">
        <is>
          <t>Dubai Marina → Abu Dhabi Corniche</t>
        </is>
      </c>
      <c r="D37" s="31" t="n">
        <v>55.8</v>
      </c>
      <c r="E37" s="26" t="n"/>
      <c r="F37" s="32" t="n"/>
      <c r="G37" s="32" t="n"/>
      <c r="H37" s="19" t="n">
        <v>1</v>
      </c>
      <c r="I37" s="33">
        <f>60*D37/cruise_kt</f>
        <v/>
      </c>
      <c r="J37" s="33">
        <f>I37+turn_min+dwell_min</f>
        <v/>
      </c>
      <c r="K37" s="34">
        <f>MIN(10,FLOOR(60*service_hr/J37,1))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/>
      <c r="AH37" s="32" t="n"/>
      <c r="AI37" s="32" t="n"/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n"/>
      <c r="AX37" s="44" t="n"/>
    </row>
    <row r="38">
      <c r="A38" s="29" t="inlineStr">
        <is>
          <t>UAE (Careem)</t>
        </is>
      </c>
      <c r="B38" s="29" t="inlineStr">
        <is>
          <t>United Arab Emirates</t>
        </is>
      </c>
      <c r="C38" s="30" t="inlineStr">
        <is>
          <t>Dubai Harbour Marina → Wynn Al Marjan Island arrival lagoon</t>
        </is>
      </c>
      <c r="D38" s="31" t="n">
        <v>56</v>
      </c>
      <c r="E38" s="26" t="n">
        <v>200</v>
      </c>
      <c r="F38" s="32" t="inlineStr">
        <is>
          <t>T5</t>
        </is>
      </c>
      <c r="G38" s="32" t="inlineStr">
        <is>
          <t>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MIN(10,FLOOR(60*service_hr/J38,1))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60000</v>
      </c>
      <c r="AH38" s="32" t="inlineStr">
        <is>
          <t>T2</t>
        </is>
      </c>
      <c r="AI38" s="32" t="inlineStr">
        <is>
          <t>medium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Wynn Al Marjan (first UAE gaming resort) opens early 2027: 1,217 rooms + 297 residences. No marine transfer today. T5/low - greenfield.</t>
        </is>
      </c>
      <c r="AX38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39">
      <c r="A39" s="29" t="inlineStr">
        <is>
          <t>UAE (Careem)</t>
        </is>
      </c>
      <c r="B39" s="29" t="inlineStr">
        <is>
          <t>United Arab Emirates</t>
        </is>
      </c>
      <c r="C39" s="30" t="inlineStr">
        <is>
          <t>Dubai Harbour Marina → Marina Mall / Breakwater Marina</t>
        </is>
      </c>
      <c r="D39" s="31" t="n">
        <v>59.8</v>
      </c>
      <c r="E39" s="26" t="n">
        <v>110</v>
      </c>
      <c r="F39" s="32" t="inlineStr">
        <is>
          <t>T5</t>
        </is>
      </c>
      <c r="G39" s="32" t="inlineStr">
        <is>
          <t>low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MIN(10,FLOOR(60*service_hr/J39,1))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25000</v>
      </c>
      <c r="AH39" s="32" t="inlineStr">
        <is>
          <t>T2</t>
        </is>
      </c>
      <c r="AI39" s="32" t="inlineStr">
        <is>
          <t>low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No Dubai&lt;-&gt;AD ferry. Whole-yacht charter AED 4,500/hr (8-pax ~$95-150/seat); limo AED 250-350. T5/low - opportunity-to-create.</t>
        </is>
      </c>
      <c r="AX39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40">
      <c r="A40" s="45" t="inlineStr">
        <is>
          <t>TOTAL / median</t>
        </is>
      </c>
      <c r="T40" s="46">
        <f>SUM(T4:T39)</f>
        <v/>
      </c>
      <c r="AC40" s="46">
        <f>SUM(AC4:AC39)</f>
        <v/>
      </c>
      <c r="AD40" s="47">
        <f>IF(T40=0,"",AC40/T40)</f>
        <v/>
      </c>
      <c r="AL40" s="48">
        <f>SUM(AL4:AL39)</f>
        <v/>
      </c>
      <c r="AM40" s="46">
        <f>SUM(AM4:AM39)</f>
        <v/>
      </c>
    </row>
    <row r="42">
      <c r="A42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43">
      <c r="A43" s="24" t="inlineStr">
        <is>
          <t>Market</t>
        </is>
      </c>
      <c r="B43" s="24" t="inlineStr">
        <is>
          <t>Fleet basis</t>
        </is>
      </c>
      <c r="C43" s="24" t="inlineStr">
        <is>
          <t>Raw vessels (sum)</t>
        </is>
      </c>
      <c r="D43" s="24" t="inlineStr">
        <is>
          <t>Fleet (rounded once)</t>
        </is>
      </c>
      <c r="E43" s="24" t="inlineStr">
        <is>
          <t>Market rev/yr (raw sum)</t>
        </is>
      </c>
    </row>
    <row r="44">
      <c r="A44" s="25" t="inlineStr">
        <is>
          <t>UAE (Careem)</t>
        </is>
      </c>
      <c r="B44" s="13" t="inlineStr">
        <is>
          <t>network_sum / ceil</t>
        </is>
      </c>
      <c r="C44" s="23">
        <f>SUMIFS(AN4:AN39,A4:A39,"UAE (Careem)",AP4:AP39,"=",AQ4:AQ39,"=",AR4:AR39,"=")</f>
        <v/>
      </c>
      <c r="D44" s="49">
        <f>IF(C44=0,0,CEILING(C44,1))</f>
        <v/>
      </c>
      <c r="E44" s="50">
        <f>SUMIFS(AO4:AO39,A4:A39,"UAE (Careem)",AP4:AP39,"=",AQ4:AQ39,"=",AR4:AR39,"=")</f>
        <v/>
      </c>
    </row>
    <row r="45">
      <c r="A45" s="45" t="inlineStr">
        <is>
          <t>GROUNDED FLOOR (PUBLISHED)</t>
        </is>
      </c>
      <c r="D45" s="48">
        <f>SUM(D44:D44)</f>
        <v/>
      </c>
      <c r="E45" s="46">
        <f>SUM(E44:E44)</f>
        <v/>
      </c>
    </row>
    <row r="47">
      <c r="A47" s="51" t="inlineStr">
        <is>
          <t>Held for Quanta-LR (&gt;70nm, roadmap H2 2026+):</t>
        </is>
      </c>
      <c r="C47" s="52" t="inlineStr">
        <is>
          <t>Marina Mall / Breakwater Marina → Sir Bani Yas Cruise Port (93.1nm)</t>
        </is>
      </c>
    </row>
    <row r="48">
      <c r="C48" s="52" t="inlineStr">
        <is>
          <t>Dubai Harbour Marina → Old Doha Port (195.42nm)</t>
        </is>
      </c>
    </row>
    <row r="49">
      <c r="C49" s="52" t="inlineStr">
        <is>
          <t>Marina Mall / Breakwater Marina → Bahrain Financial Harbour Marina (235.44nm)</t>
        </is>
      </c>
    </row>
  </sheetData>
  <mergeCells count="2">
    <mergeCell ref="A1:L1"/>
    <mergeCell ref="A42:L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1.129</v>
      </c>
      <c r="C8" s="19" t="n">
        <v>1.206</v>
      </c>
      <c r="D8" s="19" t="n">
        <v>1.283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2026-06-21T04:10:37Z</dcterms:created>
  <dcterms:modified xsi:type="dcterms:W3CDTF">2026-06-21T04:10:37Z</dcterms:modified>
</cp:coreProperties>
</file>