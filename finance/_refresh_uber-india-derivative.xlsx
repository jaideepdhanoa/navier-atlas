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opex'!$A$4:$G$4</definedName>
    <definedName name="som_floor_fleet">'Corridor economics'!$D$30</definedName>
    <definedName name="som_floor_rev">'Corridor economics'!$E$30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Uber-India-Derivative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India</t>
        </is>
      </c>
      <c r="B4" s="26" t="n">
        <v>19000</v>
      </c>
      <c r="C4" s="27" t="n">
        <v>0.08500000000000001</v>
      </c>
      <c r="D4" s="19" t="n">
        <v>0.727</v>
      </c>
      <c r="E4" s="26" t="n">
        <v>10000</v>
      </c>
      <c r="F4" s="19" t="n">
        <v>0.5</v>
      </c>
      <c r="G4" s="26" t="n">
        <v>600000</v>
      </c>
      <c r="H4" s="14" t="inlineStr">
        <is>
          <t>ERI Economic Research Institute ship-captain salary page for India (last updated 2026-06-20): average ship captain pay INR 1,588,602/yr, range INR 1,102,490-1,934,917. Converted at ~INR85/USD gives ~$18.7k average; model rounds to $19k/yr for India coastal passenger-vessel captain baseline. Deckhand/terminal staff are handled outside this country reference where applicable; source is salary-survey/commercial, not official wage order. | India Climate and Energy Dashboard (NITI/official-source aggregator) FY25: average cost of supply ₹7.10/kWh and average revenue ₹7.04/kWh; commercial billing-rate range shown ₹4.06-₹14.72/kWh, industrial range ₹3.43-₹13.69/kWh. Converted at ~INR85/USD: all-India average ~$0.083/kWh; use $0.085/kWh as blended commercial/marina charging baseline. | Modeled berth/insurance/admin/vessel-year. J.M. Baxi marina overview states Kochi International Marina is India’s first/only fully fledged international-standard marina, 36 berths expanding to 50, with fuel/water/electricity/sewage/maintenance; India still lacks widespread world-class marina supply and many boats use existing port berths. Use low-confidence $10k/yr, comparable to Indonesia/Philippines/Vietnam bands and below Thailand/Malaysia until market-specific marina quotes are captured.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Uber-India-Derivative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9" t="inlineStr">
        <is>
          <t>India Kolkata Uber India Derivative</t>
        </is>
      </c>
      <c r="B4" s="29" t="inlineStr">
        <is>
          <t>India</t>
        </is>
      </c>
      <c r="C4" s="30" t="inlineStr">
        <is>
          <t>Howrah Ferry Ghat → Fairlie Place Ferry</t>
        </is>
      </c>
      <c r="D4" s="31" t="n">
        <v>0.8</v>
      </c>
      <c r="E4" s="26" t="n">
        <v>18</v>
      </c>
      <c r="F4" s="32" t="n"/>
      <c r="G4" s="32" t="n"/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1600000</v>
      </c>
      <c r="AH4" s="32" t="n"/>
      <c r="AI4" s="32" t="n"/>
      <c r="AJ4" s="39" t="n">
        <v>0.1</v>
      </c>
      <c r="AK4" s="34">
        <f>IF(AG4="","",AG4*AJ4)</f>
        <v/>
      </c>
      <c r="AL4" s="34">
        <f>IF(OR(AG4="",R4=0),"",MIN(IF(AS4="",9.9E+99,AS4),FLOOR(AK4/R4,1)))</f>
        <v/>
      </c>
      <c r="AM4" s="38">
        <f>IF(AL4="","",AL4*T4)</f>
        <v/>
      </c>
      <c r="AN4" s="36">
        <f>IF(OR(AG4="",R4=0),"",MIN(IF(AS4="",9.9E+99,AS4),AK4/R4))</f>
        <v/>
      </c>
      <c r="AO4" s="38">
        <f>IF(AN4="","",AN4*T4)</f>
        <v/>
      </c>
      <c r="AP4" s="40" t="n"/>
      <c r="AQ4" s="41" t="n"/>
      <c r="AR4" s="41" t="n"/>
      <c r="AS4" s="42" t="n"/>
      <c r="AT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U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V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W4" s="44" t="inlineStr">
        <is>
          <t xml:space="preserve">[LB-255 PREMIUM RE-FARE: subsidized comparable $2.5 lifted to premium on-demand floor $18.0] </t>
        </is>
      </c>
      <c r="AX4" s="44" t="n"/>
    </row>
    <row r="5">
      <c r="A5" s="29" t="inlineStr">
        <is>
          <t>India Kolkata Uber India Derivative</t>
        </is>
      </c>
      <c r="B5" s="29" t="inlineStr">
        <is>
          <t>India</t>
        </is>
      </c>
      <c r="C5" s="30" t="inlineStr">
        <is>
          <t>Howrah Ferry Ghat → Millennium Park Jetty</t>
        </is>
      </c>
      <c r="D5" s="31" t="n">
        <v>0.9</v>
      </c>
      <c r="E5" s="26" t="n">
        <v>18</v>
      </c>
      <c r="F5" s="32" t="n"/>
      <c r="G5" s="32" t="n"/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1600000</v>
      </c>
      <c r="AH5" s="32" t="n"/>
      <c r="AI5" s="32" t="n"/>
      <c r="AJ5" s="39" t="n">
        <v>0.1</v>
      </c>
      <c r="AK5" s="34">
        <f>IF(AG5="","",AG5*AJ5)</f>
        <v/>
      </c>
      <c r="AL5" s="34">
        <f>IF(OR(AG5="",R5=0),"",MIN(IF(AS5="",9.9E+99,AS5),FLOOR(AK5/R5,1)))</f>
        <v/>
      </c>
      <c r="AM5" s="38">
        <f>IF(AL5="","",AL5*T5)</f>
        <v/>
      </c>
      <c r="AN5" s="36">
        <f>IF(OR(AG5="",R5=0),"",MIN(IF(AS5="",9.9E+99,AS5),AK5/R5))</f>
        <v/>
      </c>
      <c r="AO5" s="38">
        <f>IF(AN5="","",AN5*T5)</f>
        <v/>
      </c>
      <c r="AP5" s="40" t="n"/>
      <c r="AQ5" s="41" t="n"/>
      <c r="AR5" s="41" t="n"/>
      <c r="AS5" s="42" t="n"/>
      <c r="AT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U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V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W5" s="44" t="inlineStr">
        <is>
          <t xml:space="preserve">[LB-255 PREMIUM RE-FARE: subsidized comparable $2.5 lifted to premium on-demand floor $18.0] </t>
        </is>
      </c>
      <c r="AX5" s="44" t="n"/>
    </row>
    <row r="6">
      <c r="A6" s="29" t="inlineStr">
        <is>
          <t>India Kolkata Uber India Derivative</t>
        </is>
      </c>
      <c r="B6" s="29" t="inlineStr">
        <is>
          <t>India</t>
        </is>
      </c>
      <c r="C6" s="30" t="inlineStr">
        <is>
          <t>Dakshineswar Ferry Ghat → Belur Math Ferry Ghat</t>
        </is>
      </c>
      <c r="D6" s="31" t="n">
        <v>1.3</v>
      </c>
      <c r="E6" s="26" t="n">
        <v>18</v>
      </c>
      <c r="F6" s="32" t="n"/>
      <c r="G6" s="32" t="n"/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1600000</v>
      </c>
      <c r="AH6" s="32" t="n"/>
      <c r="AI6" s="32" t="n"/>
      <c r="AJ6" s="39" t="n">
        <v>0.1</v>
      </c>
      <c r="AK6" s="34">
        <f>IF(AG6="","",AG6*AJ6)</f>
        <v/>
      </c>
      <c r="AL6" s="34">
        <f>IF(OR(AG6="",R6=0),"",MIN(IF(AS6="",9.9E+99,AS6),FLOOR(AK6/R6,1)))</f>
        <v/>
      </c>
      <c r="AM6" s="38">
        <f>IF(AL6="","",AL6*T6)</f>
        <v/>
      </c>
      <c r="AN6" s="36">
        <f>IF(OR(AG6="",R6=0),"",MIN(IF(AS6="",9.9E+99,AS6),AK6/R6))</f>
        <v/>
      </c>
      <c r="AO6" s="38">
        <f>IF(AN6="","",AN6*T6)</f>
        <v/>
      </c>
      <c r="AP6" s="40" t="n"/>
      <c r="AQ6" s="41" t="n"/>
      <c r="AR6" s="41" t="n"/>
      <c r="AS6" s="42" t="n"/>
      <c r="AT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U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V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W6" s="44" t="inlineStr">
        <is>
          <t xml:space="preserve">[LB-255 PREMIUM RE-FARE: subsidized comparable $2.5 lifted to premium on-demand floor $18.0] </t>
        </is>
      </c>
      <c r="AX6" s="44" t="n"/>
    </row>
    <row r="7">
      <c r="A7" s="29" t="inlineStr">
        <is>
          <t>India Kolkata Uber India Derivative</t>
        </is>
      </c>
      <c r="B7" s="29" t="inlineStr">
        <is>
          <t>India</t>
        </is>
      </c>
      <c r="C7" s="30" t="inlineStr">
        <is>
          <t>Fairlie Place Ferry → Bagbazar Ghat</t>
        </is>
      </c>
      <c r="D7" s="31" t="n">
        <v>1.7</v>
      </c>
      <c r="E7" s="26" t="n">
        <v>18</v>
      </c>
      <c r="F7" s="32" t="n"/>
      <c r="G7" s="32" t="n"/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1600000</v>
      </c>
      <c r="AH7" s="32" t="n"/>
      <c r="AI7" s="32" t="n"/>
      <c r="AJ7" s="39" t="n">
        <v>0.1</v>
      </c>
      <c r="AK7" s="34">
        <f>IF(AG7="","",AG7*AJ7)</f>
        <v/>
      </c>
      <c r="AL7" s="34">
        <f>IF(OR(AG7="",R7=0),"",MIN(IF(AS7="",9.9E+99,AS7),FLOOR(AK7/R7,1)))</f>
        <v/>
      </c>
      <c r="AM7" s="38">
        <f>IF(AL7="","",AL7*T7)</f>
        <v/>
      </c>
      <c r="AN7" s="36">
        <f>IF(OR(AG7="",R7=0),"",MIN(IF(AS7="",9.9E+99,AS7),AK7/R7))</f>
        <v/>
      </c>
      <c r="AO7" s="38">
        <f>IF(AN7="","",AN7*T7)</f>
        <v/>
      </c>
      <c r="AP7" s="40" t="n"/>
      <c r="AQ7" s="41" t="n"/>
      <c r="AR7" s="41" t="n"/>
      <c r="AS7" s="42" t="n"/>
      <c r="AT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U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V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W7" s="44" t="inlineStr">
        <is>
          <t xml:space="preserve">[LB-255 PREMIUM RE-FARE: subsidized comparable $2.5 lifted to premium on-demand floor $18.0] </t>
        </is>
      </c>
      <c r="AX7" s="44" t="n"/>
    </row>
    <row r="8">
      <c r="A8" s="29" t="inlineStr">
        <is>
          <t>Uber Mumbai</t>
        </is>
      </c>
      <c r="B8" s="29" t="inlineStr">
        <is>
          <t>India</t>
        </is>
      </c>
      <c r="C8" s="30" t="inlineStr">
        <is>
          <t>Gateway of India → Mumbai Harbour</t>
        </is>
      </c>
      <c r="D8" s="31" t="n">
        <v>2.1</v>
      </c>
      <c r="E8" s="26" t="n"/>
      <c r="F8" s="32" t="inlineStr">
        <is>
          <t>T3</t>
        </is>
      </c>
      <c r="G8" s="32" t="inlineStr">
        <is>
          <t>med-low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/>
      <c r="AH8" s="32" t="inlineStr">
        <is>
          <t>T3</t>
        </is>
      </c>
      <c r="AI8" s="32" t="inlineStr">
        <is>
          <t>partial-load-anchor-only</t>
        </is>
      </c>
      <c r="AJ8" s="39" t="n">
        <v>0.1</v>
      </c>
      <c r="AK8" s="34">
        <f>IF(AG8="","",AG8*AJ8)</f>
        <v/>
      </c>
      <c r="AL8" s="34">
        <f>IF(OR(AG8="",R8=0),"",MIN(IF(AS8="",9.9E+99,AS8),FLOOR(AK8/R8,1)))</f>
        <v/>
      </c>
      <c r="AM8" s="38">
        <f>IF(AL8="","",AL8*T8)</f>
        <v/>
      </c>
      <c r="AN8" s="36">
        <f>IF(OR(AG8="",R8=0),"",MIN(IF(AS8="",9.9E+99,AS8),AK8/R8))</f>
        <v/>
      </c>
      <c r="AO8" s="38">
        <f>IF(AN8="","",AN8*T8)</f>
        <v/>
      </c>
      <c r="AP8" s="40" t="n"/>
      <c r="AQ8" s="41" t="n"/>
      <c r="AR8" s="41" t="inlineStr">
        <is>
          <t>experience_upside</t>
        </is>
      </c>
      <c r="AS8" s="42" t="n"/>
      <c r="AT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U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V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W8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8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9">
      <c r="A9" s="29" t="inlineStr">
        <is>
          <t>Uber Mumbai</t>
        </is>
      </c>
      <c r="B9" s="29" t="inlineStr">
        <is>
          <t>India</t>
        </is>
      </c>
      <c r="C9" s="30" t="inlineStr">
        <is>
          <t>Bombay Harbour → Elephanta Caves</t>
        </is>
      </c>
      <c r="D9" s="31" t="n">
        <v>3.2</v>
      </c>
      <c r="E9" s="26" t="n"/>
      <c r="F9" s="32" t="inlineStr">
        <is>
          <t>T3</t>
        </is>
      </c>
      <c r="G9" s="32" t="inlineStr">
        <is>
          <t>med-low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/>
      <c r="AH9" s="32" t="inlineStr">
        <is>
          <t>T3</t>
        </is>
      </c>
      <c r="AI9" s="32" t="inlineStr">
        <is>
          <t>partial-load-anchor-only</t>
        </is>
      </c>
      <c r="AJ9" s="39" t="n">
        <v>0.1</v>
      </c>
      <c r="AK9" s="34">
        <f>IF(AG9="","",AG9*AJ9)</f>
        <v/>
      </c>
      <c r="AL9" s="34">
        <f>IF(OR(AG9="",R9=0),"",MIN(IF(AS9="",9.9E+99,AS9),FLOOR(AK9/R9,1)))</f>
        <v/>
      </c>
      <c r="AM9" s="38">
        <f>IF(AL9="","",AL9*T9)</f>
        <v/>
      </c>
      <c r="AN9" s="36">
        <f>IF(OR(AG9="",R9=0),"",MIN(IF(AS9="",9.9E+99,AS9),AK9/R9))</f>
        <v/>
      </c>
      <c r="AO9" s="38">
        <f>IF(AN9="","",AN9*T9)</f>
        <v/>
      </c>
      <c r="AP9" s="40" t="n"/>
      <c r="AQ9" s="41" t="n"/>
      <c r="AR9" s="41" t="inlineStr">
        <is>
          <t>experience_upside</t>
        </is>
      </c>
      <c r="AS9" s="42" t="n"/>
      <c r="AT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U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V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W9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9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0">
      <c r="A10" s="29" t="inlineStr">
        <is>
          <t>India Chennai Uber India Derivative</t>
        </is>
      </c>
      <c r="B10" s="29" t="inlineStr">
        <is>
          <t>India</t>
        </is>
      </c>
      <c r="C10" s="30" t="inlineStr">
        <is>
          <t>Chennai Port WQIV Cruise Terminal → Marina Beach Waterfront</t>
        </is>
      </c>
      <c r="D10" s="31" t="n">
        <v>3.2</v>
      </c>
      <c r="E10" s="26" t="n">
        <v>12</v>
      </c>
      <c r="F10" s="32" t="n"/>
      <c r="G10" s="32" t="n"/>
      <c r="H10" s="19" t="n">
        <v>1</v>
      </c>
      <c r="I10" s="33">
        <f>60*D10/cruise_kt</f>
        <v/>
      </c>
      <c r="J10" s="33">
        <f>I10+turn_min+dwell_min</f>
        <v/>
      </c>
      <c r="K10" s="34">
        <f>MIN(15,FLOOR(60*service_hr/J10,1))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400000</v>
      </c>
      <c r="AH10" s="32" t="n"/>
      <c r="AI10" s="32" t="n"/>
      <c r="AJ10" s="39" t="n">
        <v>0.1</v>
      </c>
      <c r="AK10" s="34">
        <f>IF(AG10="","",AG10*AJ10)</f>
        <v/>
      </c>
      <c r="AL10" s="34">
        <f>IF(OR(AG10="",R10=0),"",MIN(IF(AS10="",9.9E+99,AS10),FLOOR(AK10/R10,1)))</f>
        <v/>
      </c>
      <c r="AM10" s="38">
        <f>IF(AL10="","",AL10*T10)</f>
        <v/>
      </c>
      <c r="AN10" s="36">
        <f>IF(OR(AG10="",R10=0),"",MIN(IF(AS10="",9.9E+99,AS10),AK10/R10))</f>
        <v/>
      </c>
      <c r="AO10" s="38">
        <f>IF(AN10="","",AN10*T10)</f>
        <v/>
      </c>
      <c r="AP10" s="40" t="n"/>
      <c r="AQ10" s="41" t="n"/>
      <c r="AR10" s="41" t="n"/>
      <c r="AS10" s="42" t="n"/>
      <c r="AT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U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V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W10" s="44" t="n"/>
      <c r="AX10" s="44" t="n"/>
    </row>
    <row r="11">
      <c r="A11" s="29" t="inlineStr">
        <is>
          <t>Uber Mumbai</t>
        </is>
      </c>
      <c r="B11" s="29" t="inlineStr">
        <is>
          <t>India</t>
        </is>
      </c>
      <c r="C11" s="30" t="inlineStr">
        <is>
          <t>Gateway of India → Mumbai Harbour</t>
        </is>
      </c>
      <c r="D11" s="31" t="n">
        <v>3.4</v>
      </c>
      <c r="E11" s="26" t="n"/>
      <c r="F11" s="32" t="inlineStr">
        <is>
          <t>T3</t>
        </is>
      </c>
      <c r="G11" s="32" t="inlineStr">
        <is>
          <t>med-low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MIN(15,FLOOR(60*service_hr/J11,1))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/>
      <c r="AH11" s="32" t="inlineStr">
        <is>
          <t>T3</t>
        </is>
      </c>
      <c r="AI11" s="32" t="inlineStr">
        <is>
          <t>partial-load-anchor-only</t>
        </is>
      </c>
      <c r="AJ11" s="39" t="n">
        <v>0.1</v>
      </c>
      <c r="AK11" s="34">
        <f>IF(AG11="","",AG11*AJ11)</f>
        <v/>
      </c>
      <c r="AL11" s="34">
        <f>IF(OR(AG11="",R11=0),"",MIN(IF(AS11="",9.9E+99,AS11),FLOOR(AK11/R11,1)))</f>
        <v/>
      </c>
      <c r="AM11" s="38">
        <f>IF(AL11="","",AL11*T11)</f>
        <v/>
      </c>
      <c r="AN11" s="36">
        <f>IF(OR(AG11="",R11=0),"",MIN(IF(AS11="",9.9E+99,AS11),AK11/R11))</f>
        <v/>
      </c>
      <c r="AO11" s="38">
        <f>IF(AN11="","",AN11*T11)</f>
        <v/>
      </c>
      <c r="AP11" s="40" t="n"/>
      <c r="AQ11" s="41" t="n"/>
      <c r="AR11" s="41" t="inlineStr">
        <is>
          <t>experience_upside</t>
        </is>
      </c>
      <c r="AS11" s="42" t="n"/>
      <c r="AT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U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V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W11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11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2">
      <c r="A12" s="29" t="inlineStr">
        <is>
          <t>Uber Mumbai</t>
        </is>
      </c>
      <c r="B12" s="29" t="inlineStr">
        <is>
          <t>India</t>
        </is>
      </c>
      <c r="C12" s="30" t="inlineStr">
        <is>
          <t>Gateway of India → Mumbai Harbour</t>
        </is>
      </c>
      <c r="D12" s="31" t="n">
        <v>3.5</v>
      </c>
      <c r="E12" s="26" t="n"/>
      <c r="F12" s="32" t="inlineStr">
        <is>
          <t>T3</t>
        </is>
      </c>
      <c r="G12" s="32" t="inlineStr">
        <is>
          <t>med-low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MIN(15,FLOOR(60*service_hr/J12,1))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/>
      <c r="AH12" s="32" t="inlineStr">
        <is>
          <t>T3</t>
        </is>
      </c>
      <c r="AI12" s="32" t="inlineStr">
        <is>
          <t>partial-load-anchor-only</t>
        </is>
      </c>
      <c r="AJ12" s="39" t="n">
        <v>0.1</v>
      </c>
      <c r="AK12" s="34">
        <f>IF(AG12="","",AG12*AJ12)</f>
        <v/>
      </c>
      <c r="AL12" s="34">
        <f>IF(OR(AG12="",R12=0),"",MIN(IF(AS12="",9.9E+99,AS12),FLOOR(AK12/R12,1)))</f>
        <v/>
      </c>
      <c r="AM12" s="38">
        <f>IF(AL12="","",AL12*T12)</f>
        <v/>
      </c>
      <c r="AN12" s="36">
        <f>IF(OR(AG12="",R12=0),"",MIN(IF(AS12="",9.9E+99,AS12),AK12/R12))</f>
        <v/>
      </c>
      <c r="AO12" s="38">
        <f>IF(AN12="","",AN12*T12)</f>
        <v/>
      </c>
      <c r="AP12" s="40" t="n"/>
      <c r="AQ12" s="41" t="n"/>
      <c r="AR12" s="41" t="inlineStr">
        <is>
          <t>experience_upside</t>
        </is>
      </c>
      <c r="AS12" s="42" t="n"/>
      <c r="AT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U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V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W12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12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3">
      <c r="A13" s="29" t="inlineStr">
        <is>
          <t>Uber Mumbai</t>
        </is>
      </c>
      <c r="B13" s="29" t="inlineStr">
        <is>
          <t>India</t>
        </is>
      </c>
      <c r="C13" s="30" t="inlineStr">
        <is>
          <t>Mora → Elephanta Caves</t>
        </is>
      </c>
      <c r="D13" s="31" t="n">
        <v>3.8</v>
      </c>
      <c r="E13" s="26" t="n"/>
      <c r="F13" s="32" t="inlineStr">
        <is>
          <t>T3</t>
        </is>
      </c>
      <c r="G13" s="32" t="inlineStr">
        <is>
          <t>med-low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MIN(15,FLOOR(60*service_hr/J13,1))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/>
      <c r="AH13" s="32" t="inlineStr">
        <is>
          <t>T3</t>
        </is>
      </c>
      <c r="AI13" s="32" t="inlineStr">
        <is>
          <t>partial-load-anchor-only</t>
        </is>
      </c>
      <c r="AJ13" s="39" t="n">
        <v>0.1</v>
      </c>
      <c r="AK13" s="34">
        <f>IF(AG13="","",AG13*AJ13)</f>
        <v/>
      </c>
      <c r="AL13" s="34">
        <f>IF(OR(AG13="",R13=0),"",MIN(IF(AS13="",9.9E+99,AS13),FLOOR(AK13/R13,1)))</f>
        <v/>
      </c>
      <c r="AM13" s="38">
        <f>IF(AL13="","",AL13*T13)</f>
        <v/>
      </c>
      <c r="AN13" s="36">
        <f>IF(OR(AG13="",R13=0),"",MIN(IF(AS13="",9.9E+99,AS13),AK13/R13))</f>
        <v/>
      </c>
      <c r="AO13" s="38">
        <f>IF(AN13="","",AN13*T13)</f>
        <v/>
      </c>
      <c r="AP13" s="40" t="n"/>
      <c r="AQ13" s="41" t="n"/>
      <c r="AR13" s="41" t="inlineStr">
        <is>
          <t>experience_upside</t>
        </is>
      </c>
      <c r="AS13" s="42" t="n"/>
      <c r="AT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U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V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W13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13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4">
      <c r="A14" s="29" t="inlineStr">
        <is>
          <t>Uber Mumbai</t>
        </is>
      </c>
      <c r="B14" s="29" t="inlineStr">
        <is>
          <t>India</t>
        </is>
      </c>
      <c r="C14" s="30" t="inlineStr">
        <is>
          <t>BSA Mandwa → Marina Bay Bistro @KARANJA Fishing Dock</t>
        </is>
      </c>
      <c r="D14" s="31" t="n">
        <v>4.5</v>
      </c>
      <c r="E14" s="26" t="n"/>
      <c r="F14" s="32" t="inlineStr">
        <is>
          <t>T3</t>
        </is>
      </c>
      <c r="G14" s="32" t="inlineStr">
        <is>
          <t>med-low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MIN(15,FLOOR(60*service_hr/J14,1))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/>
      <c r="AH14" s="32" t="inlineStr">
        <is>
          <t>T3</t>
        </is>
      </c>
      <c r="AI14" s="32" t="inlineStr">
        <is>
          <t>partial-load-anchor-only</t>
        </is>
      </c>
      <c r="AJ14" s="39" t="n">
        <v>0.1</v>
      </c>
      <c r="AK14" s="34">
        <f>IF(AG14="","",AG14*AJ14)</f>
        <v/>
      </c>
      <c r="AL14" s="34">
        <f>IF(OR(AG14="",R14=0),"",MIN(IF(AS14="",9.9E+99,AS14),FLOOR(AK14/R14,1)))</f>
        <v/>
      </c>
      <c r="AM14" s="38">
        <f>IF(AL14="","",AL14*T14)</f>
        <v/>
      </c>
      <c r="AN14" s="36">
        <f>IF(OR(AG14="",R14=0),"",MIN(IF(AS14="",9.9E+99,AS14),AK14/R14))</f>
        <v/>
      </c>
      <c r="AO14" s="38">
        <f>IF(AN14="","",AN14*T14)</f>
        <v/>
      </c>
      <c r="AP14" s="40" t="n"/>
      <c r="AQ14" s="41" t="n"/>
      <c r="AR14" s="41" t="inlineStr">
        <is>
          <t>experience_upside</t>
        </is>
      </c>
      <c r="AS14" s="42" t="n"/>
      <c r="AT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U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V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W14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14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5">
      <c r="A15" s="29" t="inlineStr">
        <is>
          <t>Uber Mumbai</t>
        </is>
      </c>
      <c r="B15" s="29" t="inlineStr">
        <is>
          <t>India</t>
        </is>
      </c>
      <c r="C15" s="30" t="inlineStr">
        <is>
          <t>Mandwa Jetty → Mumbai Harbour</t>
        </is>
      </c>
      <c r="D15" s="31" t="n">
        <v>4.6</v>
      </c>
      <c r="E15" s="26" t="n"/>
      <c r="F15" s="32" t="inlineStr">
        <is>
          <t>T3</t>
        </is>
      </c>
      <c r="G15" s="32" t="inlineStr">
        <is>
          <t>med-low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MIN(15,FLOOR(60*service_hr/J15,1))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/>
      <c r="AH15" s="32" t="inlineStr">
        <is>
          <t>T3</t>
        </is>
      </c>
      <c r="AI15" s="32" t="inlineStr">
        <is>
          <t>partial-load-anchor-only</t>
        </is>
      </c>
      <c r="AJ15" s="39" t="n">
        <v>0.1</v>
      </c>
      <c r="AK15" s="34">
        <f>IF(AG15="","",AG15*AJ15)</f>
        <v/>
      </c>
      <c r="AL15" s="34">
        <f>IF(OR(AG15="",R15=0),"",MIN(IF(AS15="",9.9E+99,AS15),FLOOR(AK15/R15,1)))</f>
        <v/>
      </c>
      <c r="AM15" s="38">
        <f>IF(AL15="","",AL15*T15)</f>
        <v/>
      </c>
      <c r="AN15" s="36">
        <f>IF(OR(AG15="",R15=0),"",MIN(IF(AS15="",9.9E+99,AS15),AK15/R15))</f>
        <v/>
      </c>
      <c r="AO15" s="38">
        <f>IF(AN15="","",AN15*T15)</f>
        <v/>
      </c>
      <c r="AP15" s="40" t="n"/>
      <c r="AQ15" s="41" t="n"/>
      <c r="AR15" s="41" t="inlineStr">
        <is>
          <t>experience_upside</t>
        </is>
      </c>
      <c r="AS15" s="42" t="n"/>
      <c r="AT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U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V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W15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15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6">
      <c r="A16" s="29" t="inlineStr">
        <is>
          <t>Uber Mumbai</t>
        </is>
      </c>
      <c r="B16" s="29" t="inlineStr">
        <is>
          <t>India</t>
        </is>
      </c>
      <c r="C16" s="30" t="inlineStr">
        <is>
          <t>Elephanta Caves → Mumbai Trans-Harbour Navi Mumbai Toll Plaza</t>
        </is>
      </c>
      <c r="D16" s="31" t="n">
        <v>5.6</v>
      </c>
      <c r="E16" s="26" t="n"/>
      <c r="F16" s="32" t="inlineStr">
        <is>
          <t>T3</t>
        </is>
      </c>
      <c r="G16" s="32" t="inlineStr">
        <is>
          <t>med-low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MIN(15,FLOOR(60*service_hr/J16,1))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/>
      <c r="AH16" s="32" t="inlineStr">
        <is>
          <t>T3</t>
        </is>
      </c>
      <c r="AI16" s="32" t="inlineStr">
        <is>
          <t>partial-load-anchor-only</t>
        </is>
      </c>
      <c r="AJ16" s="39" t="n">
        <v>0.1</v>
      </c>
      <c r="AK16" s="34">
        <f>IF(AG16="","",AG16*AJ16)</f>
        <v/>
      </c>
      <c r="AL16" s="34">
        <f>IF(OR(AG16="",R16=0),"",MIN(IF(AS16="",9.9E+99,AS16),FLOOR(AK16/R16,1)))</f>
        <v/>
      </c>
      <c r="AM16" s="38">
        <f>IF(AL16="","",AL16*T16)</f>
        <v/>
      </c>
      <c r="AN16" s="36">
        <f>IF(OR(AG16="",R16=0),"",MIN(IF(AS16="",9.9E+99,AS16),AK16/R16))</f>
        <v/>
      </c>
      <c r="AO16" s="38">
        <f>IF(AN16="","",AN16*T16)</f>
        <v/>
      </c>
      <c r="AP16" s="40" t="n"/>
      <c r="AQ16" s="41" t="n"/>
      <c r="AR16" s="41" t="inlineStr">
        <is>
          <t>experience_upside</t>
        </is>
      </c>
      <c r="AS16" s="42" t="n"/>
      <c r="AT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U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V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W16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16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7">
      <c r="A17" s="29" t="inlineStr">
        <is>
          <t>Uber Mumbai</t>
        </is>
      </c>
      <c r="B17" s="29" t="inlineStr">
        <is>
          <t>India</t>
        </is>
      </c>
      <c r="C17" s="30" t="inlineStr">
        <is>
          <t>JNPT Ferry Service → Mumbai Trans-Harbour Navi Mumbai Toll Plaza</t>
        </is>
      </c>
      <c r="D17" s="31" t="n">
        <v>5.9</v>
      </c>
      <c r="E17" s="26" t="n"/>
      <c r="F17" s="32" t="inlineStr">
        <is>
          <t>T3</t>
        </is>
      </c>
      <c r="G17" s="32" t="inlineStr">
        <is>
          <t>med-low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MIN(15,FLOOR(60*service_hr/J17,1))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/>
      <c r="AH17" s="32" t="inlineStr">
        <is>
          <t>T3</t>
        </is>
      </c>
      <c r="AI17" s="32" t="inlineStr">
        <is>
          <t>partial-load-anchor-only</t>
        </is>
      </c>
      <c r="AJ17" s="39" t="n">
        <v>0.1</v>
      </c>
      <c r="AK17" s="34">
        <f>IF(AG17="","",AG17*AJ17)</f>
        <v/>
      </c>
      <c r="AL17" s="34">
        <f>IF(OR(AG17="",R17=0),"",MIN(IF(AS17="",9.9E+99,AS17),FLOOR(AK17/R17,1)))</f>
        <v/>
      </c>
      <c r="AM17" s="38">
        <f>IF(AL17="","",AL17*T17)</f>
        <v/>
      </c>
      <c r="AN17" s="36">
        <f>IF(OR(AG17="",R17=0),"",MIN(IF(AS17="",9.9E+99,AS17),AK17/R17))</f>
        <v/>
      </c>
      <c r="AO17" s="38">
        <f>IF(AN17="","",AN17*T17)</f>
        <v/>
      </c>
      <c r="AP17" s="40" t="n"/>
      <c r="AQ17" s="41" t="n"/>
      <c r="AR17" s="41" t="inlineStr">
        <is>
          <t>experience_upside</t>
        </is>
      </c>
      <c r="AS17" s="42" t="n"/>
      <c r="AT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U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V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W17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17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8">
      <c r="A18" s="29" t="inlineStr">
        <is>
          <t>Uber Mumbai</t>
        </is>
      </c>
      <c r="B18" s="29" t="inlineStr">
        <is>
          <t>India</t>
        </is>
      </c>
      <c r="C18" s="30" t="inlineStr">
        <is>
          <t>Pirpau Jetty → Mumbai Trans-Harbour Navi Mumbai Toll Plaza</t>
        </is>
      </c>
      <c r="D18" s="31" t="n">
        <v>6.2</v>
      </c>
      <c r="E18" s="26" t="n"/>
      <c r="F18" s="32" t="inlineStr">
        <is>
          <t>T3</t>
        </is>
      </c>
      <c r="G18" s="32" t="inlineStr">
        <is>
          <t>med-low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MIN(15,FLOOR(60*service_hr/J18,1))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/>
      <c r="AH18" s="32" t="inlineStr">
        <is>
          <t>T3</t>
        </is>
      </c>
      <c r="AI18" s="32" t="inlineStr">
        <is>
          <t>partial-load-anchor-only</t>
        </is>
      </c>
      <c r="AJ18" s="39" t="n">
        <v>0.1</v>
      </c>
      <c r="AK18" s="34">
        <f>IF(AG18="","",AG18*AJ18)</f>
        <v/>
      </c>
      <c r="AL18" s="34">
        <f>IF(OR(AG18="",R18=0),"",MIN(IF(AS18="",9.9E+99,AS18),FLOOR(AK18/R18,1)))</f>
        <v/>
      </c>
      <c r="AM18" s="38">
        <f>IF(AL18="","",AL18*T18)</f>
        <v/>
      </c>
      <c r="AN18" s="36">
        <f>IF(OR(AG18="",R18=0),"",MIN(IF(AS18="",9.9E+99,AS18),AK18/R18))</f>
        <v/>
      </c>
      <c r="AO18" s="38">
        <f>IF(AN18="","",AN18*T18)</f>
        <v/>
      </c>
      <c r="AP18" s="40" t="n"/>
      <c r="AQ18" s="41" t="n"/>
      <c r="AR18" s="41" t="inlineStr">
        <is>
          <t>experience_upside</t>
        </is>
      </c>
      <c r="AS18" s="42" t="n"/>
      <c r="AT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U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V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W18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18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9">
      <c r="A19" s="29" t="inlineStr">
        <is>
          <t>Uber Mumbai</t>
        </is>
      </c>
      <c r="B19" s="29" t="inlineStr">
        <is>
          <t>India</t>
        </is>
      </c>
      <c r="C19" s="30" t="inlineStr">
        <is>
          <t>Mandwa Jetty → Mumbai Harbour</t>
        </is>
      </c>
      <c r="D19" s="31" t="n">
        <v>7.8</v>
      </c>
      <c r="E19" s="26" t="n"/>
      <c r="F19" s="32" t="inlineStr">
        <is>
          <t>T3</t>
        </is>
      </c>
      <c r="G19" s="32" t="inlineStr">
        <is>
          <t>med-low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MIN(15,FLOOR(60*service_hr/J19,1))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/>
      <c r="AH19" s="32" t="inlineStr">
        <is>
          <t>T3</t>
        </is>
      </c>
      <c r="AI19" s="32" t="inlineStr">
        <is>
          <t>partial-load-anchor-only</t>
        </is>
      </c>
      <c r="AJ19" s="39" t="n">
        <v>0.1</v>
      </c>
      <c r="AK19" s="34">
        <f>IF(AG19="","",AG19*AJ19)</f>
        <v/>
      </c>
      <c r="AL19" s="34">
        <f>IF(OR(AG19="",R19=0),"",MIN(IF(AS19="",9.9E+99,AS19),FLOOR(AK19/R19,1)))</f>
        <v/>
      </c>
      <c r="AM19" s="38">
        <f>IF(AL19="","",AL19*T19)</f>
        <v/>
      </c>
      <c r="AN19" s="36">
        <f>IF(OR(AG19="",R19=0),"",MIN(IF(AS19="",9.9E+99,AS19),AK19/R19))</f>
        <v/>
      </c>
      <c r="AO19" s="38">
        <f>IF(AN19="","",AN19*T19)</f>
        <v/>
      </c>
      <c r="AP19" s="40" t="n"/>
      <c r="AQ19" s="41" t="n"/>
      <c r="AR19" s="41" t="inlineStr">
        <is>
          <t>experience_upside</t>
        </is>
      </c>
      <c r="AS19" s="42" t="n"/>
      <c r="AT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U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V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W19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19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20">
      <c r="A20" s="29" t="inlineStr">
        <is>
          <t>Uber Mumbai</t>
        </is>
      </c>
      <c r="B20" s="29" t="inlineStr">
        <is>
          <t>India</t>
        </is>
      </c>
      <c r="C20" s="30" t="inlineStr">
        <is>
          <t>Mumbai Harbour → Mandwa Jetty</t>
        </is>
      </c>
      <c r="D20" s="31" t="n">
        <v>7.9</v>
      </c>
      <c r="E20" s="26" t="n"/>
      <c r="F20" s="32" t="inlineStr">
        <is>
          <t>T3</t>
        </is>
      </c>
      <c r="G20" s="32" t="inlineStr">
        <is>
          <t>med-low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MIN(15,FLOOR(60*service_hr/J20,1))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/>
      <c r="AH20" s="32" t="inlineStr">
        <is>
          <t>T3</t>
        </is>
      </c>
      <c r="AI20" s="32" t="inlineStr">
        <is>
          <t>partial-load-anchor-only</t>
        </is>
      </c>
      <c r="AJ20" s="39" t="n">
        <v>0.1</v>
      </c>
      <c r="AK20" s="34">
        <f>IF(AG20="","",AG20*AJ20)</f>
        <v/>
      </c>
      <c r="AL20" s="34">
        <f>IF(OR(AG20="",R20=0),"",MIN(IF(AS20="",9.9E+99,AS20),FLOOR(AK20/R20,1)))</f>
        <v/>
      </c>
      <c r="AM20" s="38">
        <f>IF(AL20="","",AL20*T20)</f>
        <v/>
      </c>
      <c r="AN20" s="36">
        <f>IF(OR(AG20="",R20=0),"",MIN(IF(AS20="",9.9E+99,AS20),AK20/R20))</f>
        <v/>
      </c>
      <c r="AO20" s="38">
        <f>IF(AN20="","",AN20*T20)</f>
        <v/>
      </c>
      <c r="AP20" s="40" t="n"/>
      <c r="AQ20" s="41" t="n"/>
      <c r="AR20" s="41" t="inlineStr">
        <is>
          <t>experience_upside</t>
        </is>
      </c>
      <c r="AS20" s="42" t="n"/>
      <c r="AT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U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V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W20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20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21">
      <c r="A21" s="29" t="inlineStr">
        <is>
          <t>Uber Mumbai</t>
        </is>
      </c>
      <c r="B21" s="29" t="inlineStr">
        <is>
          <t>India</t>
        </is>
      </c>
      <c r="C21" s="30" t="inlineStr">
        <is>
          <t>Versova Ferry Wharf → Gateway of India</t>
        </is>
      </c>
      <c r="D21" s="31" t="n">
        <v>12.43</v>
      </c>
      <c r="E21" s="26" t="n"/>
      <c r="F21" s="32" t="inlineStr">
        <is>
          <t>T3</t>
        </is>
      </c>
      <c r="G21" s="32" t="inlineStr">
        <is>
          <t>med-low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MIN(15,FLOOR(60*service_hr/J21,1))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/>
      <c r="AH21" s="32" t="inlineStr">
        <is>
          <t>T3</t>
        </is>
      </c>
      <c r="AI21" s="32" t="inlineStr">
        <is>
          <t>partial-load-anchor-only</t>
        </is>
      </c>
      <c r="AJ21" s="39" t="n">
        <v>0.1</v>
      </c>
      <c r="AK21" s="34">
        <f>IF(AG21="","",AG21*AJ21)</f>
        <v/>
      </c>
      <c r="AL21" s="34">
        <f>IF(OR(AG21="",R21=0),"",MIN(IF(AS21="",9.9E+99,AS21),FLOOR(AK21/R21,1)))</f>
        <v/>
      </c>
      <c r="AM21" s="38">
        <f>IF(AL21="","",AL21*T21)</f>
        <v/>
      </c>
      <c r="AN21" s="36">
        <f>IF(OR(AG21="",R21=0),"",MIN(IF(AS21="",9.9E+99,AS21),AK21/R21))</f>
        <v/>
      </c>
      <c r="AO21" s="38">
        <f>IF(AN21="","",AN21*T21)</f>
        <v/>
      </c>
      <c r="AP21" s="40" t="n"/>
      <c r="AQ21" s="41" t="n"/>
      <c r="AR21" s="41" t="inlineStr">
        <is>
          <t>experience_upside</t>
        </is>
      </c>
      <c r="AS21" s="42" t="n"/>
      <c r="AT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U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V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W21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21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22">
      <c r="A22" s="29" t="inlineStr">
        <is>
          <t>India Kolkata Uber India Derivative</t>
        </is>
      </c>
      <c r="B22" s="29" t="inlineStr">
        <is>
          <t>India</t>
        </is>
      </c>
      <c r="C22" s="30" t="inlineStr">
        <is>
          <t>Millennium Park Jetty → Chandannagar Riverfront</t>
        </is>
      </c>
      <c r="D22" s="31" t="n">
        <v>17.9</v>
      </c>
      <c r="E22" s="26" t="n">
        <v>18</v>
      </c>
      <c r="F22" s="32" t="n"/>
      <c r="G22" s="32" t="n"/>
      <c r="H22" s="19" t="n">
        <v>1</v>
      </c>
      <c r="I22" s="33">
        <f>60*D22/cruise_kt</f>
        <v/>
      </c>
      <c r="J22" s="33">
        <f>I22+turn_min+dwell_min</f>
        <v/>
      </c>
      <c r="K22" s="34">
        <f>MIN(15,FLOOR(60*service_hr/J22,1))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>
        <v>1600000</v>
      </c>
      <c r="AH22" s="32" t="n"/>
      <c r="AI22" s="32" t="n"/>
      <c r="AJ22" s="39" t="n">
        <v>0.1</v>
      </c>
      <c r="AK22" s="34">
        <f>IF(AG22="","",AG22*AJ22)</f>
        <v/>
      </c>
      <c r="AL22" s="34">
        <f>IF(OR(AG22="",R22=0),"",MIN(IF(AS22="",9.9E+99,AS22),FLOOR(AK22/R22,1)))</f>
        <v/>
      </c>
      <c r="AM22" s="38">
        <f>IF(AL22="","",AL22*T22)</f>
        <v/>
      </c>
      <c r="AN22" s="36">
        <f>IF(OR(AG22="",R22=0),"",MIN(IF(AS22="",9.9E+99,AS22),AK22/R22))</f>
        <v/>
      </c>
      <c r="AO22" s="38">
        <f>IF(AN22="","",AN22*T22)</f>
        <v/>
      </c>
      <c r="AP22" s="40" t="n"/>
      <c r="AQ22" s="41" t="n"/>
      <c r="AR22" s="41" t="n"/>
      <c r="AS22" s="42" t="n"/>
      <c r="AT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U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V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W22" s="44" t="inlineStr">
        <is>
          <t xml:space="preserve">[LB-255 PREMIUM RE-FARE: subsidized comparable $2.5 lifted to premium on-demand floor $18.0] </t>
        </is>
      </c>
      <c r="AX22" s="44" t="n"/>
    </row>
    <row r="23">
      <c r="A23" s="45" t="inlineStr">
        <is>
          <t>TOTAL / median</t>
        </is>
      </c>
      <c r="T23" s="46">
        <f>SUM(T4:T22)</f>
        <v/>
      </c>
      <c r="AC23" s="46">
        <f>SUM(AC4:AC22)</f>
        <v/>
      </c>
      <c r="AD23" s="47">
        <f>IF(T23=0,"",AC23/T23)</f>
        <v/>
      </c>
      <c r="AL23" s="48">
        <f>SUM(AL4:AL22)</f>
        <v/>
      </c>
      <c r="AM23" s="46">
        <f>SUM(AM4:AM22)</f>
        <v/>
      </c>
    </row>
    <row r="25">
      <c r="A25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26">
      <c r="A26" s="24" t="inlineStr">
        <is>
          <t>Market</t>
        </is>
      </c>
      <c r="B26" s="24" t="inlineStr">
        <is>
          <t>Fleet basis</t>
        </is>
      </c>
      <c r="C26" s="24" t="inlineStr">
        <is>
          <t>Raw vessels (sum)</t>
        </is>
      </c>
      <c r="D26" s="24" t="inlineStr">
        <is>
          <t>Fleet (rounded once)</t>
        </is>
      </c>
      <c r="E26" s="24" t="inlineStr">
        <is>
          <t>Market rev/yr (raw sum)</t>
        </is>
      </c>
    </row>
    <row r="27">
      <c r="A27" s="25" t="inlineStr">
        <is>
          <t>India Kolkata Uber India Derivative</t>
        </is>
      </c>
      <c r="B27" s="13" t="inlineStr">
        <is>
          <t>network_sum</t>
        </is>
      </c>
      <c r="C27" s="23">
        <f>SUMIFS(AN4:AN22,A4:A22,"India Kolkata Uber India Derivative",AP4:AP22,"=",AQ4:AQ22,"=",AR4:AR22,"=")</f>
        <v/>
      </c>
      <c r="D27" s="49">
        <f>ROUND(C27,0)</f>
        <v/>
      </c>
      <c r="E27" s="50">
        <f>SUMIFS(AO4:AO22,A4:A22,"India Kolkata Uber India Derivative",AP4:AP22,"=",AQ4:AQ22,"=",AR4:AR22,"=")</f>
        <v/>
      </c>
    </row>
    <row r="28">
      <c r="A28" s="25" t="inlineStr">
        <is>
          <t>Uber Mumbai</t>
        </is>
      </c>
      <c r="B28" s="13" t="inlineStr">
        <is>
          <t>per_corridor_floor</t>
        </is>
      </c>
      <c r="C28" s="13" t="inlineStr">
        <is>
          <t>—</t>
        </is>
      </c>
      <c r="D28" s="49">
        <f>SUMIFS(AL4:AL22,A4:A22,"Uber Mumbai",AP4:AP22,"=",AQ4:AQ22,"=",AR4:AR22,"=")</f>
        <v/>
      </c>
      <c r="E28" s="50">
        <f>SUMIFS(AM4:AM22,A4:A22,"Uber Mumbai",AP4:AP22,"=",AQ4:AQ22,"=",AR4:AR22,"=")</f>
        <v/>
      </c>
    </row>
    <row r="29">
      <c r="A29" s="25" t="inlineStr">
        <is>
          <t>India Chennai Uber India Derivative</t>
        </is>
      </c>
      <c r="B29" s="13" t="inlineStr">
        <is>
          <t>network_sum</t>
        </is>
      </c>
      <c r="C29" s="23">
        <f>SUMIFS(AN4:AN22,A4:A22,"India Chennai Uber India Derivative",AP4:AP22,"=",AQ4:AQ22,"=",AR4:AR22,"=")</f>
        <v/>
      </c>
      <c r="D29" s="49">
        <f>ROUND(C29,0)</f>
        <v/>
      </c>
      <c r="E29" s="50">
        <f>SUMIFS(AO4:AO22,A4:A22,"India Chennai Uber India Derivative",AP4:AP22,"=",AQ4:AQ22,"=",AR4:AR22,"=")</f>
        <v/>
      </c>
    </row>
    <row r="30">
      <c r="A30" s="45" t="inlineStr">
        <is>
          <t>GROUNDED FLOOR (PUBLISHED)</t>
        </is>
      </c>
      <c r="D30" s="48">
        <f>SUM(D27:D29)</f>
        <v/>
      </c>
      <c r="E30" s="46">
        <f>SUM(E27:E29)</f>
        <v/>
      </c>
    </row>
    <row r="31">
      <c r="A31" s="20" t="inlineStr">
        <is>
          <t>ESTIMATED UPSIDE (LB-99 modal-shift / experience-upside tiers; held OUT of grounded floor)</t>
        </is>
      </c>
      <c r="D31" s="51">
        <f>SUMIF(AR4:AR22,"&lt;&gt;",AL4:AL22)</f>
        <v/>
      </c>
      <c r="E31" s="52">
        <f>SUMIF(AR4:AR22,"&lt;&gt;",AM4:AM22)</f>
        <v/>
      </c>
    </row>
    <row r="33">
      <c r="A33" s="53" t="inlineStr">
        <is>
          <t>Held for Quanta-LR (&gt;70nm, roadmap H2 2026+):</t>
        </is>
      </c>
      <c r="C33" s="54" t="inlineStr">
        <is>
          <t>Chennai Port WQIV Cruise Terminal → Cuddalore Port (90.0nm)</t>
        </is>
      </c>
    </row>
    <row r="34">
      <c r="C34" s="54" t="inlineStr">
        <is>
          <t>Chennai Port WQIV Cruise Terminal → Puducherry Port (76.6nm)</t>
        </is>
      </c>
    </row>
  </sheetData>
  <mergeCells count="2">
    <mergeCell ref="A1:L1"/>
    <mergeCell ref="A25:L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2026-06-22T01:18:05Z</dcterms:created>
  <dcterms:modified xsi:type="dcterms:W3CDTF">2026-06-22T01:18:05Z</dcterms:modified>
</cp:coreProperties>
</file>