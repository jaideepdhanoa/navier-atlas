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economics'!$D$30</definedName>
    <definedName name="som_floor_rev">'Corridor economics'!$E$30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Uber-India-Derivative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Uber-India-Derivative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India Kolkata Uber India Derivative</t>
        </is>
      </c>
      <c r="B4" s="29" t="inlineStr">
        <is>
          <t>India</t>
        </is>
      </c>
      <c r="C4" s="30" t="inlineStr">
        <is>
          <t>Howrah Ferry Ghat → Fairlie Place Ferry</t>
        </is>
      </c>
      <c r="D4" s="31" t="n">
        <v>0.8</v>
      </c>
      <c r="E4" s="26" t="n">
        <v>18</v>
      </c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1600000</v>
      </c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 xml:space="preserve">[LB-255 PREMIUM RE-FARE: subsidized comparable $2.5 lifted to premium on-demand floor $18.0] </t>
        </is>
      </c>
      <c r="AX4" s="44" t="n"/>
    </row>
    <row r="5">
      <c r="A5" s="29" t="inlineStr">
        <is>
          <t>India Kolkata Uber India Derivative</t>
        </is>
      </c>
      <c r="B5" s="29" t="inlineStr">
        <is>
          <t>India</t>
        </is>
      </c>
      <c r="C5" s="30" t="inlineStr">
        <is>
          <t>Howrah Ferry Ghat → Millennium Park Jetty</t>
        </is>
      </c>
      <c r="D5" s="31" t="n">
        <v>0.9</v>
      </c>
      <c r="E5" s="26" t="n">
        <v>18</v>
      </c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1600000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 xml:space="preserve">[LB-255 PREMIUM RE-FARE: subsidized comparable $2.5 lifted to premium on-demand floor $18.0] </t>
        </is>
      </c>
      <c r="AX5" s="44" t="n"/>
    </row>
    <row r="6">
      <c r="A6" s="29" t="inlineStr">
        <is>
          <t>India Kolkata Uber India Derivative</t>
        </is>
      </c>
      <c r="B6" s="29" t="inlineStr">
        <is>
          <t>India</t>
        </is>
      </c>
      <c r="C6" s="30" t="inlineStr">
        <is>
          <t>Dakshineswar Ferry Ghat → Belur Math Ferry Ghat</t>
        </is>
      </c>
      <c r="D6" s="31" t="n">
        <v>1.3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1600000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 xml:space="preserve">[LB-255 PREMIUM RE-FARE: subsidized comparable $2.5 lifted to premium on-demand floor $18.0] </t>
        </is>
      </c>
      <c r="AX6" s="44" t="n"/>
    </row>
    <row r="7">
      <c r="A7" s="29" t="inlineStr">
        <is>
          <t>India Kolkata Uber India Derivative</t>
        </is>
      </c>
      <c r="B7" s="29" t="inlineStr">
        <is>
          <t>India</t>
        </is>
      </c>
      <c r="C7" s="30" t="inlineStr">
        <is>
          <t>Fairlie Place Ferry → Bagbazar Ghat</t>
        </is>
      </c>
      <c r="D7" s="31" t="n">
        <v>1.7</v>
      </c>
      <c r="E7" s="26" t="n">
        <v>18</v>
      </c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1600000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 xml:space="preserve">[LB-255 PREMIUM RE-FARE: subsidized comparable $2.5 lifted to premium on-demand floor $18.0] </t>
        </is>
      </c>
      <c r="AX7" s="44" t="n"/>
    </row>
    <row r="8">
      <c r="A8" s="29" t="inlineStr">
        <is>
          <t>Uber Mumbai</t>
        </is>
      </c>
      <c r="B8" s="29" t="inlineStr">
        <is>
          <t>India</t>
        </is>
      </c>
      <c r="C8" s="30" t="inlineStr">
        <is>
          <t>Gateway of India → Mumbai Harbour</t>
        </is>
      </c>
      <c r="D8" s="31" t="n">
        <v>2.1</v>
      </c>
      <c r="E8" s="26" t="n"/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inlineStr">
        <is>
          <t>T3</t>
        </is>
      </c>
      <c r="AI8" s="32" t="inlineStr">
        <is>
          <t>partial-load-anchor-only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inlineStr">
        <is>
          <t>experience_upside</t>
        </is>
      </c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9">
      <c r="A9" s="29" t="inlineStr">
        <is>
          <t>Uber Mumbai</t>
        </is>
      </c>
      <c r="B9" s="29" t="inlineStr">
        <is>
          <t>India</t>
        </is>
      </c>
      <c r="C9" s="30" t="inlineStr">
        <is>
          <t>Bombay Harbour → Elephanta Caves</t>
        </is>
      </c>
      <c r="D9" s="31" t="n">
        <v>3.2</v>
      </c>
      <c r="E9" s="26" t="n"/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inlineStr">
        <is>
          <t>T3</t>
        </is>
      </c>
      <c r="AI9" s="32" t="inlineStr">
        <is>
          <t>partial-load-anchor-only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inlineStr">
        <is>
          <t>experience_upside</t>
        </is>
      </c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0">
      <c r="A10" s="29" t="inlineStr">
        <is>
          <t>India Chennai Uber India Derivative</t>
        </is>
      </c>
      <c r="B10" s="29" t="inlineStr">
        <is>
          <t>India</t>
        </is>
      </c>
      <c r="C10" s="30" t="inlineStr">
        <is>
          <t>Chennai Port WQIV Cruise Terminal → Marina Beach Waterfront</t>
        </is>
      </c>
      <c r="D10" s="31" t="n">
        <v>3.2</v>
      </c>
      <c r="E10" s="26" t="n">
        <v>12</v>
      </c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400000</v>
      </c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Uber Mumbai</t>
        </is>
      </c>
      <c r="B11" s="29" t="inlineStr">
        <is>
          <t>India</t>
        </is>
      </c>
      <c r="C11" s="30" t="inlineStr">
        <is>
          <t>Gateway of India → Mumbai Harbour</t>
        </is>
      </c>
      <c r="D11" s="31" t="n">
        <v>3.4</v>
      </c>
      <c r="E11" s="26" t="n"/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inlineStr">
        <is>
          <t>T3</t>
        </is>
      </c>
      <c r="AI11" s="32" t="inlineStr">
        <is>
          <t>partial-load-anchor-only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inlineStr">
        <is>
          <t>experience_upside</t>
        </is>
      </c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1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2">
      <c r="A12" s="29" t="inlineStr">
        <is>
          <t>Uber Mumbai</t>
        </is>
      </c>
      <c r="B12" s="29" t="inlineStr">
        <is>
          <t>India</t>
        </is>
      </c>
      <c r="C12" s="30" t="inlineStr">
        <is>
          <t>Gateway of India → Mumbai Harbour</t>
        </is>
      </c>
      <c r="D12" s="31" t="n">
        <v>3.5</v>
      </c>
      <c r="E12" s="26" t="n"/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MIN(10,FLOOR(60*service_hr/J12,1))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/>
      <c r="AH12" s="32" t="inlineStr">
        <is>
          <t>T3</t>
        </is>
      </c>
      <c r="AI12" s="32" t="inlineStr">
        <is>
          <t>partial-load-anchor-only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inlineStr">
        <is>
          <t>experience_upside</t>
        </is>
      </c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2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3">
      <c r="A13" s="29" t="inlineStr">
        <is>
          <t>Uber Mumbai</t>
        </is>
      </c>
      <c r="B13" s="29" t="inlineStr">
        <is>
          <t>India</t>
        </is>
      </c>
      <c r="C13" s="30" t="inlineStr">
        <is>
          <t>Mora → Elephanta Caves</t>
        </is>
      </c>
      <c r="D13" s="31" t="n">
        <v>3.8</v>
      </c>
      <c r="E13" s="26" t="n"/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/>
      <c r="AH13" s="32" t="inlineStr">
        <is>
          <t>T3</t>
        </is>
      </c>
      <c r="AI13" s="32" t="inlineStr">
        <is>
          <t>partial-load-anchor-only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inlineStr">
        <is>
          <t>experience_upside</t>
        </is>
      </c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3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4">
      <c r="A14" s="29" t="inlineStr">
        <is>
          <t>Uber Mumbai</t>
        </is>
      </c>
      <c r="B14" s="29" t="inlineStr">
        <is>
          <t>India</t>
        </is>
      </c>
      <c r="C14" s="30" t="inlineStr">
        <is>
          <t>BSA Mandwa → Marina Bay Bistro @KARANJA Fishing Dock</t>
        </is>
      </c>
      <c r="D14" s="31" t="n">
        <v>4.5</v>
      </c>
      <c r="E14" s="26" t="n"/>
      <c r="F14" s="32" t="inlineStr">
        <is>
          <t>T3</t>
        </is>
      </c>
      <c r="G14" s="32" t="inlineStr">
        <is>
          <t>med-low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MIN(10,FLOOR(60*service_hr/J14,1))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inlineStr">
        <is>
          <t>T3</t>
        </is>
      </c>
      <c r="AI14" s="32" t="inlineStr">
        <is>
          <t>partial-load-anchor-only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inlineStr">
        <is>
          <t>experience_upside</t>
        </is>
      </c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4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5">
      <c r="A15" s="29" t="inlineStr">
        <is>
          <t>Uber Mumbai</t>
        </is>
      </c>
      <c r="B15" s="29" t="inlineStr">
        <is>
          <t>India</t>
        </is>
      </c>
      <c r="C15" s="30" t="inlineStr">
        <is>
          <t>Mandwa Jetty → Mumbai Harbour</t>
        </is>
      </c>
      <c r="D15" s="31" t="n">
        <v>4.6</v>
      </c>
      <c r="E15" s="26" t="n"/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MIN(10,FLOOR(60*service_hr/J15,1))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/>
      <c r="AH15" s="32" t="inlineStr">
        <is>
          <t>T3</t>
        </is>
      </c>
      <c r="AI15" s="32" t="inlineStr">
        <is>
          <t>partial-load-anchor-only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inlineStr">
        <is>
          <t>experience_upside</t>
        </is>
      </c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5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6">
      <c r="A16" s="29" t="inlineStr">
        <is>
          <t>Uber Mumbai</t>
        </is>
      </c>
      <c r="B16" s="29" t="inlineStr">
        <is>
          <t>India</t>
        </is>
      </c>
      <c r="C16" s="30" t="inlineStr">
        <is>
          <t>Elephanta Caves → Mumbai Trans-Harbour Navi Mumbai Toll Plaza</t>
        </is>
      </c>
      <c r="D16" s="31" t="n">
        <v>5.6</v>
      </c>
      <c r="E16" s="26" t="n"/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MIN(10,FLOOR(60*service_hr/J16,1))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/>
      <c r="AH16" s="32" t="inlineStr">
        <is>
          <t>T3</t>
        </is>
      </c>
      <c r="AI16" s="32" t="inlineStr">
        <is>
          <t>partial-load-anchor-only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inlineStr">
        <is>
          <t>experience_upside</t>
        </is>
      </c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6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7">
      <c r="A17" s="29" t="inlineStr">
        <is>
          <t>Uber Mumbai</t>
        </is>
      </c>
      <c r="B17" s="29" t="inlineStr">
        <is>
          <t>India</t>
        </is>
      </c>
      <c r="C17" s="30" t="inlineStr">
        <is>
          <t>JNPT Ferry Service → Mumbai Trans-Harbour Navi Mumbai Toll Plaza</t>
        </is>
      </c>
      <c r="D17" s="31" t="n">
        <v>5.9</v>
      </c>
      <c r="E17" s="26" t="n"/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inlineStr">
        <is>
          <t>T3</t>
        </is>
      </c>
      <c r="AI17" s="32" t="inlineStr">
        <is>
          <t>partial-load-anchor-only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inlineStr">
        <is>
          <t>experience_upside</t>
        </is>
      </c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7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8">
      <c r="A18" s="29" t="inlineStr">
        <is>
          <t>Uber Mumbai</t>
        </is>
      </c>
      <c r="B18" s="29" t="inlineStr">
        <is>
          <t>India</t>
        </is>
      </c>
      <c r="C18" s="30" t="inlineStr">
        <is>
          <t>Pirpau Jetty → Mumbai Trans-Harbour Navi Mumbai Toll Plaza</t>
        </is>
      </c>
      <c r="D18" s="31" t="n">
        <v>6.2</v>
      </c>
      <c r="E18" s="26" t="n"/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MIN(10,FLOOR(60*service_hr/J18,1))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inlineStr">
        <is>
          <t>T3</t>
        </is>
      </c>
      <c r="AI18" s="32" t="inlineStr">
        <is>
          <t>partial-load-anchor-only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inlineStr">
        <is>
          <t>experience_upside</t>
        </is>
      </c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8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19">
      <c r="A19" s="29" t="inlineStr">
        <is>
          <t>Uber Mumbai</t>
        </is>
      </c>
      <c r="B19" s="29" t="inlineStr">
        <is>
          <t>India</t>
        </is>
      </c>
      <c r="C19" s="30" t="inlineStr">
        <is>
          <t>Mandwa Jetty → Mumbai Harbour</t>
        </is>
      </c>
      <c r="D19" s="31" t="n">
        <v>7.8</v>
      </c>
      <c r="E19" s="26" t="n"/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MIN(10,FLOOR(60*service_hr/J19,1))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inlineStr">
        <is>
          <t>T3</t>
        </is>
      </c>
      <c r="AI19" s="32" t="inlineStr">
        <is>
          <t>partial-load-anchor-only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inlineStr">
        <is>
          <t>experience_upside</t>
        </is>
      </c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9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20">
      <c r="A20" s="29" t="inlineStr">
        <is>
          <t>Uber Mumbai</t>
        </is>
      </c>
      <c r="B20" s="29" t="inlineStr">
        <is>
          <t>India</t>
        </is>
      </c>
      <c r="C20" s="30" t="inlineStr">
        <is>
          <t>Mumbai Harbour → Mandwa Jetty</t>
        </is>
      </c>
      <c r="D20" s="31" t="n">
        <v>7.9</v>
      </c>
      <c r="E20" s="26" t="n"/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MIN(10,FLOOR(60*service_hr/J20,1))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inlineStr">
        <is>
          <t>T3</t>
        </is>
      </c>
      <c r="AI20" s="32" t="inlineStr">
        <is>
          <t>partial-load-anchor-only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inlineStr">
        <is>
          <t>experience_upside</t>
        </is>
      </c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20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21">
      <c r="A21" s="29" t="inlineStr">
        <is>
          <t>Uber Mumbai</t>
        </is>
      </c>
      <c r="B21" s="29" t="inlineStr">
        <is>
          <t>India</t>
        </is>
      </c>
      <c r="C21" s="30" t="inlineStr">
        <is>
          <t>Versova Ferry Wharf → Gateway of India</t>
        </is>
      </c>
      <c r="D21" s="31" t="n">
        <v>12.43</v>
      </c>
      <c r="E21" s="26" t="n"/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MIN(10,FLOOR(60*service_hr/J21,1))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inlineStr">
        <is>
          <t>T3</t>
        </is>
      </c>
      <c r="AI21" s="32" t="inlineStr">
        <is>
          <t>partial-load-anchor-only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inlineStr">
        <is>
          <t>experience_upside</t>
        </is>
      </c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21" s="44" t="inlineStr">
        <is>
          <t>Mumbai water taxi demand anchors: Indian Express (2023-02-08) reported Nayantara/NAYAN XI 200-seat DCT→Mandwa via Belapur had poor DCT ridership but averaged 120 passengers from Belapur; fares ₹400 lower deck/₹450 upper/business. The Hindu (2022-11-13) reported Belapur→Elephanta filling ~80% capacity on a 32-seat vessel with three round trips, Belapur→JNPT doing well, and DCT→Mandwa 60 round trips in 10 days with &lt;10% occupancy on 200-seat vessel. These are direct observed load/service-health anchors, not annual passenger counts; annual demand remains null.</t>
        </is>
      </c>
    </row>
    <row r="22">
      <c r="A22" s="29" t="inlineStr">
        <is>
          <t>India Kolkata Uber India Derivative</t>
        </is>
      </c>
      <c r="B22" s="29" t="inlineStr">
        <is>
          <t>India</t>
        </is>
      </c>
      <c r="C22" s="30" t="inlineStr">
        <is>
          <t>Millennium Park Jetty → Chandannagar Riverfront</t>
        </is>
      </c>
      <c r="D22" s="31" t="n">
        <v>17.9</v>
      </c>
      <c r="E22" s="26" t="n">
        <v>18</v>
      </c>
      <c r="F22" s="32" t="n"/>
      <c r="G22" s="32" t="n"/>
      <c r="H22" s="19" t="n">
        <v>1</v>
      </c>
      <c r="I22" s="33">
        <f>60*D22/cruise_kt</f>
        <v/>
      </c>
      <c r="J22" s="33">
        <f>I22+turn_min+dwell_min</f>
        <v/>
      </c>
      <c r="K22" s="34">
        <f>MIN(10,FLOOR(60*service_hr/J22,1))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1600000</v>
      </c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 xml:space="preserve">[LB-255 PREMIUM RE-FARE: subsidized comparable $2.5 lifted to premium on-demand floor $18.0] </t>
        </is>
      </c>
      <c r="AX22" s="44" t="n"/>
    </row>
    <row r="23">
      <c r="A23" s="45" t="inlineStr">
        <is>
          <t>TOTAL / median</t>
        </is>
      </c>
      <c r="T23" s="46">
        <f>SUM(T4:T22)</f>
        <v/>
      </c>
      <c r="AC23" s="46">
        <f>SUM(AC4:AC22)</f>
        <v/>
      </c>
      <c r="AD23" s="47">
        <f>IF(T23=0,"",AC23/T23)</f>
        <v/>
      </c>
      <c r="AL23" s="48">
        <f>SUM(AL4:AL22)</f>
        <v/>
      </c>
      <c r="AM23" s="46">
        <f>SUM(AM4:AM22)</f>
        <v/>
      </c>
    </row>
    <row r="25">
      <c r="A2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6">
      <c r="A26" s="24" t="inlineStr">
        <is>
          <t>Market</t>
        </is>
      </c>
      <c r="B26" s="24" t="inlineStr">
        <is>
          <t>Fleet basis</t>
        </is>
      </c>
      <c r="C26" s="24" t="inlineStr">
        <is>
          <t>Raw vessels (sum)</t>
        </is>
      </c>
      <c r="D26" s="24" t="inlineStr">
        <is>
          <t>Fleet (rounded once)</t>
        </is>
      </c>
      <c r="E26" s="24" t="inlineStr">
        <is>
          <t>Market rev/yr (raw sum)</t>
        </is>
      </c>
    </row>
    <row r="27">
      <c r="A27" s="25" t="inlineStr">
        <is>
          <t>India Kolkata Uber India Derivative</t>
        </is>
      </c>
      <c r="B27" s="13" t="inlineStr">
        <is>
          <t>network_sum</t>
        </is>
      </c>
      <c r="C27" s="23">
        <f>SUMIFS(AN4:AN22,A4:A22,"India Kolkata Uber India Derivative",AP4:AP22,"=",AQ4:AQ22,"=",AR4:AR22,"=")</f>
        <v/>
      </c>
      <c r="D27" s="49">
        <f>ROUND(C27,0)</f>
        <v/>
      </c>
      <c r="E27" s="50">
        <f>SUMIFS(AO4:AO22,A4:A22,"India Kolkata Uber India Derivative",AP4:AP22,"=",AQ4:AQ22,"=",AR4:AR22,"=")</f>
        <v/>
      </c>
    </row>
    <row r="28">
      <c r="A28" s="25" t="inlineStr">
        <is>
          <t>Uber Mumbai</t>
        </is>
      </c>
      <c r="B28" s="13" t="inlineStr">
        <is>
          <t>per_corridor_floor</t>
        </is>
      </c>
      <c r="C28" s="13" t="inlineStr">
        <is>
          <t>—</t>
        </is>
      </c>
      <c r="D28" s="49">
        <f>SUMIFS(AL4:AL22,A4:A22,"Uber Mumbai",AP4:AP22,"=",AQ4:AQ22,"=",AR4:AR22,"=")</f>
        <v/>
      </c>
      <c r="E28" s="50">
        <f>SUMIFS(AM4:AM22,A4:A22,"Uber Mumbai",AP4:AP22,"=",AQ4:AQ22,"=",AR4:AR22,"=")</f>
        <v/>
      </c>
    </row>
    <row r="29">
      <c r="A29" s="25" t="inlineStr">
        <is>
          <t>India Chennai Uber India Derivative</t>
        </is>
      </c>
      <c r="B29" s="13" t="inlineStr">
        <is>
          <t>network_sum</t>
        </is>
      </c>
      <c r="C29" s="23">
        <f>SUMIFS(AN4:AN22,A4:A22,"India Chennai Uber India Derivative",AP4:AP22,"=",AQ4:AQ22,"=",AR4:AR22,"=")</f>
        <v/>
      </c>
      <c r="D29" s="49">
        <f>ROUND(C29,0)</f>
        <v/>
      </c>
      <c r="E29" s="50">
        <f>SUMIFS(AO4:AO22,A4:A22,"India Chennai Uber India Derivative",AP4:AP22,"=",AQ4:AQ22,"=",AR4:AR22,"=")</f>
        <v/>
      </c>
    </row>
    <row r="30">
      <c r="A30" s="45" t="inlineStr">
        <is>
          <t>GROUNDED FLOOR (PUBLISHED)</t>
        </is>
      </c>
      <c r="D30" s="48">
        <f>SUM(D27:D29)</f>
        <v/>
      </c>
      <c r="E30" s="46">
        <f>SUM(E27:E29)</f>
        <v/>
      </c>
    </row>
    <row r="31">
      <c r="A31" s="20" t="inlineStr">
        <is>
          <t>ESTIMATED UPSIDE (LB-99 modal-shift / experience-upside tiers; held OUT of grounded floor)</t>
        </is>
      </c>
      <c r="D31" s="51">
        <f>SUMIF(AR4:AR22,"&lt;&gt;",AL4:AL22)</f>
        <v/>
      </c>
      <c r="E31" s="52">
        <f>SUMIF(AR4:AR22,"&lt;&gt;",AM4:AM22)</f>
        <v/>
      </c>
    </row>
    <row r="33">
      <c r="A33" s="53" t="inlineStr">
        <is>
          <t>Held for Quanta-LR (&gt;70nm, roadmap H2 2026+):</t>
        </is>
      </c>
      <c r="C33" s="54" t="inlineStr">
        <is>
          <t>Chennai Port WQIV Cruise Terminal → Cuddalore Port (90.0nm)</t>
        </is>
      </c>
    </row>
    <row r="34">
      <c r="C34" s="54" t="inlineStr">
        <is>
          <t>Chennai Port WQIV Cruise Terminal → Puducherry Port (76.6nm)</t>
        </is>
      </c>
    </row>
  </sheetData>
  <mergeCells count="2">
    <mergeCell ref="A1:L1"/>
    <mergeCell ref="A25:L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2026-06-21T05:37:07Z</dcterms:created>
  <dcterms:modified xsi:type="dcterms:W3CDTF">2026-06-21T05:37:07Z</dcterms:modified>
</cp:coreProperties>
</file>