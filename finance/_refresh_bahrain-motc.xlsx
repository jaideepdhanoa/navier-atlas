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</definedName>
    <definedName name="som_floor_rev">'Corridor economics'!$E$11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Bahrain-Motc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Bahrain</t>
        </is>
      </c>
      <c r="B4" s="26" t="n">
        <v>36000</v>
      </c>
      <c r="C4" s="27" t="n">
        <v>0.08</v>
      </c>
      <c r="D4" s="19" t="n">
        <v>0.55</v>
      </c>
      <c r="E4" s="26" t="n">
        <v>15000</v>
      </c>
      <c r="F4" s="19" t="n">
        <v>0.63</v>
      </c>
      <c r="G4" s="26" t="n">
        <v>600000</v>
      </c>
      <c r="H4" s="14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Bahrain-Motc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Bahrain Motc</t>
        </is>
      </c>
      <c r="B4" s="29" t="inlineStr">
        <is>
          <t>Bahrain</t>
        </is>
      </c>
      <c r="C4" s="30" t="inlineStr">
        <is>
          <t>Sitra (Ad-Dur) Hawar Ferry Terminal → Bahrain Yacht Club</t>
        </is>
      </c>
      <c r="D4" s="31" t="n">
        <v>1.2</v>
      </c>
      <c r="E4" s="26" t="n">
        <v>28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22500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Bahrain Motc</t>
        </is>
      </c>
      <c r="B5" s="29" t="inlineStr">
        <is>
          <t>Bahrain</t>
        </is>
      </c>
      <c r="C5" s="30" t="inlineStr">
        <is>
          <t>Manama → Eastern Province</t>
        </is>
      </c>
      <c r="D5" s="31" t="n">
        <v>21.2</v>
      </c>
      <c r="E5" s="26" t="n">
        <v>28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22500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45" t="inlineStr">
        <is>
          <t>TOTAL / median</t>
        </is>
      </c>
      <c r="T6" s="46">
        <f>SUM(T4:T5)</f>
        <v/>
      </c>
      <c r="AC6" s="46">
        <f>SUM(AC4:AC5)</f>
        <v/>
      </c>
      <c r="AD6" s="47">
        <f>IF(T6=0,"",AC6/T6)</f>
        <v/>
      </c>
      <c r="AL6" s="48">
        <f>SUM(AL4:AL5)</f>
        <v/>
      </c>
      <c r="AM6" s="46">
        <f>SUM(AM4:AM5)</f>
        <v/>
      </c>
    </row>
    <row r="8">
      <c r="A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">
      <c r="A9" s="24" t="inlineStr">
        <is>
          <t>Market</t>
        </is>
      </c>
      <c r="B9" s="24" t="inlineStr">
        <is>
          <t>Fleet basis</t>
        </is>
      </c>
      <c r="C9" s="24" t="inlineStr">
        <is>
          <t>Raw vessels (sum)</t>
        </is>
      </c>
      <c r="D9" s="24" t="inlineStr">
        <is>
          <t>Fleet (rounded once)</t>
        </is>
      </c>
      <c r="E9" s="24" t="inlineStr">
        <is>
          <t>Market rev/yr (raw sum)</t>
        </is>
      </c>
    </row>
    <row r="10">
      <c r="A10" s="25" t="inlineStr">
        <is>
          <t>Gulf Authority Bahrain Motc</t>
        </is>
      </c>
      <c r="B10" s="13" t="inlineStr">
        <is>
          <t>network_sum / ceil</t>
        </is>
      </c>
      <c r="C10" s="23">
        <f>SUMIFS(AN4:AN5,A4:A5,"Gulf Authority Bahrain Motc",AP4:AP5,"=",AQ4:AQ5,"=",AR4:AR5,"=")</f>
        <v/>
      </c>
      <c r="D10" s="49">
        <f>IF(C10=0,0,CEILING(C10,1))</f>
        <v/>
      </c>
      <c r="E10" s="50">
        <f>SUMIFS(AO4:AO5,A4:A5,"Gulf Authority Bahrain Motc",AP4:AP5,"=",AQ4:AQ5,"=",AR4:AR5,"=")</f>
        <v/>
      </c>
    </row>
    <row r="11">
      <c r="A11" s="45" t="inlineStr">
        <is>
          <t>GROUNDED FLOOR (PUBLISHED)</t>
        </is>
      </c>
      <c r="D11" s="48">
        <f>SUM(D10:D10)</f>
        <v/>
      </c>
      <c r="E11" s="46">
        <f>SUM(E10:E10)</f>
        <v/>
      </c>
    </row>
    <row r="13">
      <c r="A13" s="51" t="inlineStr">
        <is>
          <t>Held for Quanta-LR (&gt;70nm, roadmap H2 2026+):</t>
        </is>
      </c>
      <c r="C13" s="52" t="inlineStr">
        <is>
          <t>Manama → Doha (98.8nm)</t>
        </is>
      </c>
    </row>
    <row r="14">
      <c r="C14" s="52" t="inlineStr">
        <is>
          <t>Manama → Dubai (290.6nm)</t>
        </is>
      </c>
    </row>
    <row r="15">
      <c r="C15" s="52" t="inlineStr">
        <is>
          <t>Abu Dhabi → Manama (264.1nm)</t>
        </is>
      </c>
    </row>
    <row r="16">
      <c r="C16" s="52" t="inlineStr">
        <is>
          <t>Ras Al Khaimah → Muscat (263.5nm)</t>
        </is>
      </c>
    </row>
    <row r="17">
      <c r="C17" s="52" t="inlineStr">
        <is>
          <t>Ras Al Khaimah → Doha (240.7nm)</t>
        </is>
      </c>
    </row>
    <row r="18">
      <c r="C18" s="52" t="inlineStr">
        <is>
          <t>Ras Al Khaimah → Manama (289.7nm)</t>
        </is>
      </c>
    </row>
  </sheetData>
  <mergeCells count="2">
    <mergeCell ref="A8:L8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2026-06-21T16:25:28Z</dcterms:created>
  <dcterms:modified xsi:type="dcterms:W3CDTF">2026-06-21T16:25:28Z</dcterms:modified>
</cp:coreProperties>
</file>