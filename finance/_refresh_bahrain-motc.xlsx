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opex'!$A$4:$G$5</definedName>
    <definedName name="som_floor_fleet">'Corridor economics'!$D$53</definedName>
    <definedName name="som_floor_rev">'Corridor economics'!$E$53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Bahrain-Motc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Bahrain</t>
        </is>
      </c>
      <c r="B4" s="26" t="n">
        <v>36000</v>
      </c>
      <c r="C4" s="27" t="n">
        <v>0.08</v>
      </c>
      <c r="D4" s="19" t="n">
        <v>0.55</v>
      </c>
      <c r="E4" s="26" t="n">
        <v>15000</v>
      </c>
      <c r="F4" s="19" t="n">
        <v>0.63</v>
      </c>
      <c r="G4" s="26" t="n">
        <v>600000</v>
      </c>
      <c r="H4" s="14" t="inlineStr">
        <is>
          <t>GCC expat marine crew, slightly below Saudi. Job ads (Instagram 2026): private boat captain BHD 250-350/mo (~$660-930/mo). Blended 1 commercial tourism-boat captain (~BHD 1,000/mo ~$2,650) + deckhand (~BHD 400/mo ~$1,060) fully-loaded (visa/accom provided) ~= ~$36k/vessel/yr @BHD 0.376. High-income GCC; just below Saudi $42k. | SUBSIDIZED. EWA non-subsidized (expat/commercial) rate 32 fils/kWh = BHD 0.032 = ~$0.085 (GulfInsider/Reddit 2026). GlobalPetrolPrices business BHD 0.029 = $0.077 (Sep 2025). Anchored $0.08. @BHD 0.376 (pegged). | Modeled berth+insurance+admin/vessel/yr. Bahrain marine ops (Manama/Marina) mid-high GCC; below Saudi $18k, above Taiwan $14k. Tagged low. | CAPEX LB-243 US/EU=$900K else $600K</t>
        </is>
      </c>
    </row>
    <row r="5">
      <c r="A5" s="25" t="inlineStr">
        <is>
          <t>United Arab Emirates</t>
        </is>
      </c>
      <c r="B5" s="26" t="n">
        <v>40000</v>
      </c>
      <c r="C5" s="27" t="n">
        <v>0.08500000000000001</v>
      </c>
      <c r="D5" s="19" t="n">
        <v>0.4</v>
      </c>
      <c r="E5" s="26" t="n">
        <v>22000</v>
      </c>
      <c r="F5" s="19" t="n">
        <v>0.74</v>
      </c>
      <c r="G5" s="26" t="n">
        <v>600000</v>
      </c>
      <c r="H5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Bahrain-Motc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Gulf Authority Bahrain Motc</t>
        </is>
      </c>
      <c r="B4" s="29" t="inlineStr">
        <is>
          <t>Bahrain</t>
        </is>
      </c>
      <c r="C4" s="30" t="inlineStr">
        <is>
          <t>Sitra (Ad-Dur) Hawar Ferry Terminal → Bahrain Yacht Club</t>
        </is>
      </c>
      <c r="D4" s="31" t="n">
        <v>1.2</v>
      </c>
      <c r="E4" s="26" t="n">
        <v>28</v>
      </c>
      <c r="F4" s="32" t="inlineStr">
        <is>
          <t>T3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22500</v>
      </c>
      <c r="AH4" s="32" t="inlineStr">
        <is>
          <t>T3</t>
        </is>
      </c>
      <c r="AI4" s="32" t="inlineStr">
        <is>
          <t>med-low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n"/>
      <c r="AY4" s="44" t="n"/>
    </row>
    <row r="5">
      <c r="A5" s="29" t="inlineStr">
        <is>
          <t>Gulf Authority Bahrain Motc</t>
        </is>
      </c>
      <c r="B5" s="29" t="inlineStr">
        <is>
          <t>Bahrain</t>
        </is>
      </c>
      <c r="C5" s="30" t="inlineStr">
        <is>
          <t>Manama → Eastern Province</t>
        </is>
      </c>
      <c r="D5" s="31" t="n">
        <v>21.2</v>
      </c>
      <c r="E5" s="26" t="n">
        <v>28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22500</v>
      </c>
      <c r="AH5" s="32" t="inlineStr">
        <is>
          <t>T3</t>
        </is>
      </c>
      <c r="AI5" s="32" t="inlineStr">
        <is>
          <t>med-low</t>
        </is>
      </c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n"/>
      <c r="AY5" s="44" t="n"/>
    </row>
    <row r="6">
      <c r="A6" s="29" t="inlineStr">
        <is>
          <t>Gulf Authority Bahrain Motc</t>
        </is>
      </c>
      <c r="B6" s="29" t="inlineStr">
        <is>
          <t>United Arab Emirates</t>
        </is>
      </c>
      <c r="C6" s="30" t="inlineStr">
        <is>
          <t>Al Marjan Island public arrival marina → Rixos Bab Al Bahr beach jetty</t>
        </is>
      </c>
      <c r="D6" s="31" t="n">
        <v>0.2</v>
      </c>
      <c r="E6" s="26" t="n"/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/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Estimated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n"/>
      <c r="AY6" s="44" t="n"/>
    </row>
    <row r="7">
      <c r="A7" s="29" t="inlineStr">
        <is>
          <t>Gulf Authority Bahrain Motc</t>
        </is>
      </c>
      <c r="B7" s="29" t="inlineStr">
        <is>
          <t>United Arab Emirates</t>
        </is>
      </c>
      <c r="C7" s="30" t="inlineStr">
        <is>
          <t>Marjan Island Resort &amp; Spa beach jetty → Hampton by Hilton Marjan Island beach landing</t>
        </is>
      </c>
      <c r="D7" s="31" t="n">
        <v>0.4</v>
      </c>
      <c r="E7" s="26" t="n"/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Estimated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n"/>
      <c r="AY7" s="44" t="n"/>
    </row>
    <row r="8">
      <c r="A8" s="29" t="inlineStr">
        <is>
          <t>Gulf Authority Bahrain Motc</t>
        </is>
      </c>
      <c r="B8" s="29" t="inlineStr">
        <is>
          <t>United Arab Emirates</t>
        </is>
      </c>
      <c r="C8" s="30" t="inlineStr">
        <is>
          <t>Ras Al Khaimah Harbour → RAK Corniche public pier</t>
        </is>
      </c>
      <c r="D8" s="31" t="n">
        <v>0.4</v>
      </c>
      <c r="E8" s="26" t="n"/>
      <c r="F8" s="32" t="n"/>
      <c r="G8" s="32" t="n"/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n"/>
      <c r="AI8" s="32" t="n"/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Estimated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n"/>
      <c r="AY8" s="44" t="n"/>
    </row>
    <row r="9">
      <c r="A9" s="29" t="inlineStr">
        <is>
          <t>Gulf Authority Bahrain Motc</t>
        </is>
      </c>
      <c r="B9" s="29" t="inlineStr">
        <is>
          <t>United Arab Emirates</t>
        </is>
      </c>
      <c r="C9" s="30" t="inlineStr">
        <is>
          <t>Anantara Mina Al Arab Ras Al Khaimah Resort jetty → InterContinental Ras Al Khaimah Mina Al Arab Resort &amp; Spa jetty</t>
        </is>
      </c>
      <c r="D9" s="31" t="n">
        <v>0.6</v>
      </c>
      <c r="E9" s="26" t="n"/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/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Estimated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n"/>
      <c r="AY9" s="44" t="n"/>
    </row>
    <row r="10">
      <c r="A10" s="29" t="inlineStr">
        <is>
          <t>Gulf Authority Bahrain Motc</t>
        </is>
      </c>
      <c r="B10" s="29" t="inlineStr">
        <is>
          <t>United Arab Emirates</t>
        </is>
      </c>
      <c r="C10" s="30" t="inlineStr">
        <is>
          <t>Wynn Al Marjan Island arrival lagoon → Marjan Island Resort &amp; Spa beach jetty</t>
        </is>
      </c>
      <c r="D10" s="31" t="n">
        <v>0.6</v>
      </c>
      <c r="E10" s="26" t="n"/>
      <c r="F10" s="32" t="n"/>
      <c r="G10" s="32" t="n"/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n"/>
      <c r="AY10" s="44" t="n"/>
    </row>
    <row r="11">
      <c r="A11" s="29" t="inlineStr">
        <is>
          <t>Gulf Authority Bahrain Motc</t>
        </is>
      </c>
      <c r="B11" s="29" t="inlineStr">
        <is>
          <t>United Arab Emirates</t>
        </is>
      </c>
      <c r="C11" s="30" t="inlineStr">
        <is>
          <t>Al Hamra Marina &amp; Royal Yacht Club RAK → Waldorf Astoria Ras Al Khaimah jetty</t>
        </is>
      </c>
      <c r="D11" s="31" t="n">
        <v>0.7</v>
      </c>
      <c r="E11" s="26" t="n"/>
      <c r="F11" s="32" t="n"/>
      <c r="G11" s="32" t="n"/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Estimated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n"/>
      <c r="AY11" s="44" t="n"/>
    </row>
    <row r="12">
      <c r="A12" s="29" t="inlineStr">
        <is>
          <t>Gulf Authority Bahrain Motc</t>
        </is>
      </c>
      <c r="B12" s="29" t="inlineStr">
        <is>
          <t>United Arab Emirates</t>
        </is>
      </c>
      <c r="C12" s="30" t="inlineStr">
        <is>
          <t>Al Marjan Island public arrival marina → Hampton by Hilton Marjan Island beach landing</t>
        </is>
      </c>
      <c r="D12" s="31" t="n">
        <v>0.8</v>
      </c>
      <c r="E12" s="26" t="n"/>
      <c r="F12" s="32" t="n"/>
      <c r="G12" s="32" t="n"/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/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Estimated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n"/>
      <c r="AY12" s="44" t="n"/>
    </row>
    <row r="13">
      <c r="A13" s="29" t="inlineStr">
        <is>
          <t>Gulf Authority Bahrain Motc</t>
        </is>
      </c>
      <c r="B13" s="29" t="inlineStr">
        <is>
          <t>United Arab Emirates</t>
        </is>
      </c>
      <c r="C13" s="30" t="inlineStr">
        <is>
          <t>Anantara Mina Al Arab Ras Al Khaimah Resort jetty → Mina Al Arab marina / lagoon basin</t>
        </is>
      </c>
      <c r="D13" s="31" t="n">
        <v>0.9</v>
      </c>
      <c r="E13" s="26" t="n"/>
      <c r="F13" s="32" t="n"/>
      <c r="G13" s="32" t="n"/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/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Estimated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n"/>
      <c r="AY13" s="44" t="n"/>
    </row>
    <row r="14">
      <c r="A14" s="29" t="inlineStr">
        <is>
          <t>Gulf Authority Bahrain Motc</t>
        </is>
      </c>
      <c r="B14" s="29" t="inlineStr">
        <is>
          <t>United Arab Emirates</t>
        </is>
      </c>
      <c r="C14" s="30" t="inlineStr">
        <is>
          <t>Mina Al Arab marina / lagoon basin → InterContinental Ras Al Khaimah Mina Al Arab Resort &amp; Spa jetty</t>
        </is>
      </c>
      <c r="D14" s="31" t="n">
        <v>0.9</v>
      </c>
      <c r="E14" s="26" t="n"/>
      <c r="F14" s="32" t="n"/>
      <c r="G14" s="32" t="n"/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Estimated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n"/>
      <c r="AY14" s="44" t="n"/>
    </row>
    <row r="15">
      <c r="A15" s="29" t="inlineStr">
        <is>
          <t>Gulf Authority Bahrain Motc</t>
        </is>
      </c>
      <c r="B15" s="29" t="inlineStr">
        <is>
          <t>United Arab Emirates</t>
        </is>
      </c>
      <c r="C15" s="30" t="inlineStr">
        <is>
          <t>Rixos Bab Al Bahr beach jetty → Hampton by Hilton Marjan Island beach landing</t>
        </is>
      </c>
      <c r="D15" s="31" t="n">
        <v>1</v>
      </c>
      <c r="E15" s="26" t="n"/>
      <c r="F15" s="32" t="n"/>
      <c r="G15" s="32" t="n"/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/>
      <c r="AH15" s="32" t="n"/>
      <c r="AI15" s="32" t="n"/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Estimated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n"/>
      <c r="AY15" s="44" t="n"/>
    </row>
    <row r="16">
      <c r="A16" s="29" t="inlineStr">
        <is>
          <t>Gulf Authority Bahrain Motc</t>
        </is>
      </c>
      <c r="B16" s="29" t="inlineStr">
        <is>
          <t>United Arab Emirates</t>
        </is>
      </c>
      <c r="C16" s="30" t="inlineStr">
        <is>
          <t>Wynn Al Marjan Island arrival lagoon → Hampton by Hilton Marjan Island beach landing</t>
        </is>
      </c>
      <c r="D16" s="31" t="n">
        <v>1</v>
      </c>
      <c r="E16" s="26" t="n"/>
      <c r="F16" s="32" t="n"/>
      <c r="G16" s="32" t="n"/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/>
      <c r="AH16" s="32" t="n"/>
      <c r="AI16" s="32" t="n"/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Estimated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n"/>
      <c r="AY16" s="44" t="n"/>
    </row>
    <row r="17">
      <c r="A17" s="29" t="inlineStr">
        <is>
          <t>Gulf Authority Bahrain Motc</t>
        </is>
      </c>
      <c r="B17" s="29" t="inlineStr">
        <is>
          <t>United Arab Emirates</t>
        </is>
      </c>
      <c r="C17" s="30" t="inlineStr">
        <is>
          <t>Ras Al Khaimah Harbour → Hilton Garden Inn Ras Al Khaimah (Corniche) jetty</t>
        </is>
      </c>
      <c r="D17" s="31" t="n">
        <v>1.1</v>
      </c>
      <c r="E17" s="26" t="n"/>
      <c r="F17" s="32" t="n"/>
      <c r="G17" s="32" t="n"/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Estimated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n"/>
      <c r="AY17" s="44" t="n"/>
    </row>
    <row r="18">
      <c r="A18" s="29" t="inlineStr">
        <is>
          <t>Gulf Authority Bahrain Motc</t>
        </is>
      </c>
      <c r="B18" s="29" t="inlineStr">
        <is>
          <t>United Arab Emirates</t>
        </is>
      </c>
      <c r="C18" s="30" t="inlineStr">
        <is>
          <t>Bin Majid Beach Resort jetty → Acacia by Bin Majid jetty</t>
        </is>
      </c>
      <c r="D18" s="31" t="n">
        <v>1.2</v>
      </c>
      <c r="E18" s="26" t="n"/>
      <c r="F18" s="32" t="n"/>
      <c r="G18" s="32" t="n"/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Estimated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n"/>
      <c r="AY18" s="44" t="n"/>
    </row>
    <row r="19">
      <c r="A19" s="29" t="inlineStr">
        <is>
          <t>Gulf Authority Bahrain Motc</t>
        </is>
      </c>
      <c r="B19" s="29" t="inlineStr">
        <is>
          <t>United Arab Emirates</t>
        </is>
      </c>
      <c r="C19" s="30" t="inlineStr">
        <is>
          <t>Hilton Garden Inn Ras Al Khaimah (Corniche) jetty → RAK Corniche public pier</t>
        </is>
      </c>
      <c r="D19" s="31" t="n">
        <v>1.2</v>
      </c>
      <c r="E19" s="26" t="n"/>
      <c r="F19" s="32" t="n"/>
      <c r="G19" s="32" t="n"/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/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Estimated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n"/>
      <c r="AY19" s="44" t="n"/>
    </row>
    <row r="20">
      <c r="A20" s="29" t="inlineStr">
        <is>
          <t>Gulf Authority Bahrain Motc</t>
        </is>
      </c>
      <c r="B20" s="29" t="inlineStr">
        <is>
          <t>United Arab Emirates</t>
        </is>
      </c>
      <c r="C20" s="30" t="inlineStr">
        <is>
          <t>Al Zorah Marina 1 → Ajman Marina</t>
        </is>
      </c>
      <c r="D20" s="31" t="n">
        <v>1.6</v>
      </c>
      <c r="E20" s="26" t="n"/>
      <c r="F20" s="32" t="n"/>
      <c r="G20" s="32" t="n"/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/>
      <c r="AH20" s="32" t="n"/>
      <c r="AI20" s="32" t="n"/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Estimated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n"/>
      <c r="AY20" s="44" t="n"/>
    </row>
    <row r="21">
      <c r="A21" s="29" t="inlineStr">
        <is>
          <t>Gulf Authority Bahrain Motc</t>
        </is>
      </c>
      <c r="B21" s="29" t="inlineStr">
        <is>
          <t>United Arab Emirates</t>
        </is>
      </c>
      <c r="C21" s="30" t="inlineStr">
        <is>
          <t>Raksa → Ras Al Khaimah Harbour</t>
        </is>
      </c>
      <c r="D21" s="31" t="n">
        <v>1.9</v>
      </c>
      <c r="E21" s="26" t="n"/>
      <c r="F21" s="32" t="n"/>
      <c r="G21" s="32" t="n"/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/>
      <c r="AH21" s="32" t="n"/>
      <c r="AI21" s="32" t="n"/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Estimated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n"/>
      <c r="AY21" s="44" t="n"/>
    </row>
    <row r="22">
      <c r="A22" s="29" t="inlineStr">
        <is>
          <t>Gulf Authority Bahrain Motc</t>
        </is>
      </c>
      <c r="B22" s="29" t="inlineStr">
        <is>
          <t>United Arab Emirates</t>
        </is>
      </c>
      <c r="C22" s="30" t="inlineStr">
        <is>
          <t>Sha'am Fishing Boat Harbour → Sha'am coastal staging point</t>
        </is>
      </c>
      <c r="D22" s="31" t="n">
        <v>2.1</v>
      </c>
      <c r="E22" s="26" t="n"/>
      <c r="F22" s="32" t="n"/>
      <c r="G22" s="32" t="n"/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/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Estimated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n"/>
      <c r="AY22" s="44" t="n"/>
    </row>
    <row r="23">
      <c r="A23" s="29" t="inlineStr">
        <is>
          <t>Gulf Authority Bahrain Motc</t>
        </is>
      </c>
      <c r="B23" s="29" t="inlineStr">
        <is>
          <t>United Arab Emirates</t>
        </is>
      </c>
      <c r="C23" s="30" t="inlineStr">
        <is>
          <t>The Cove Rotana Resort jetty → Anantara Mina Al Arab Ras Al Khaimah Resort jetty</t>
        </is>
      </c>
      <c r="D23" s="31" t="n">
        <v>2.2</v>
      </c>
      <c r="E23" s="26" t="n"/>
      <c r="F23" s="32" t="n"/>
      <c r="G23" s="32" t="n"/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/>
      <c r="AH23" s="32" t="n"/>
      <c r="AI23" s="32" t="n"/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Estimated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n"/>
      <c r="AY23" s="44" t="n"/>
    </row>
    <row r="24">
      <c r="A24" s="29" t="inlineStr">
        <is>
          <t>Gulf Authority Bahrain Motc</t>
        </is>
      </c>
      <c r="B24" s="29" t="inlineStr">
        <is>
          <t>United Arab Emirates</t>
        </is>
      </c>
      <c r="C24" s="30" t="inlineStr">
        <is>
          <t>ميناء صيادين غليلة → Sha'am Fishing Boat Harbour</t>
        </is>
      </c>
      <c r="D24" s="31" t="n">
        <v>2.5</v>
      </c>
      <c r="E24" s="26" t="n"/>
      <c r="F24" s="32" t="n"/>
      <c r="G24" s="32" t="n"/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/>
      <c r="AH24" s="32" t="n"/>
      <c r="AI24" s="32" t="n"/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Estimated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n"/>
      <c r="AY24" s="44" t="n"/>
    </row>
    <row r="25">
      <c r="A25" s="29" t="inlineStr">
        <is>
          <t>Gulf Authority Bahrain Motc</t>
        </is>
      </c>
      <c r="B25" s="29" t="inlineStr">
        <is>
          <t>United Arab Emirates</t>
        </is>
      </c>
      <c r="C25" s="30" t="inlineStr">
        <is>
          <t>Daba Port → Dibba Al-Hisn Marina - Sharjah</t>
        </is>
      </c>
      <c r="D25" s="31" t="n">
        <v>2.7</v>
      </c>
      <c r="E25" s="26" t="n"/>
      <c r="F25" s="32" t="n"/>
      <c r="G25" s="32" t="n"/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n"/>
      <c r="AY25" s="44" t="n"/>
    </row>
    <row r="26">
      <c r="A26" s="29" t="inlineStr">
        <is>
          <t>Gulf Authority Bahrain Motc</t>
        </is>
      </c>
      <c r="B26" s="29" t="inlineStr">
        <is>
          <t>United Arab Emirates</t>
        </is>
      </c>
      <c r="C26" s="30" t="inlineStr">
        <is>
          <t>ميناء صيادين غليلة → ميناء صيادين خورخوير</t>
        </is>
      </c>
      <c r="D26" s="31" t="n">
        <v>2.8</v>
      </c>
      <c r="E26" s="26" t="n"/>
      <c r="F26" s="32" t="n"/>
      <c r="G26" s="32" t="n"/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/>
      <c r="AH26" s="32" t="n"/>
      <c r="AI26" s="32" t="n"/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Estimated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n"/>
      <c r="AY26" s="44" t="n"/>
    </row>
    <row r="27">
      <c r="A27" s="29" t="inlineStr">
        <is>
          <t>Gulf Authority Bahrain Motc</t>
        </is>
      </c>
      <c r="B27" s="29" t="inlineStr">
        <is>
          <t>United Arab Emirates</t>
        </is>
      </c>
      <c r="C27" s="30" t="inlineStr">
        <is>
          <t>Acacia by Bin Majid jetty → The Cove Rotana Resort jetty</t>
        </is>
      </c>
      <c r="D27" s="31" t="n">
        <v>2.9</v>
      </c>
      <c r="E27" s="26" t="n"/>
      <c r="F27" s="32" t="n"/>
      <c r="G27" s="32" t="n"/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/>
      <c r="AH27" s="32" t="n"/>
      <c r="AI27" s="32" t="n"/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Estimated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n"/>
      <c r="AY27" s="44" t="n"/>
    </row>
    <row r="28">
      <c r="A28" s="29" t="inlineStr">
        <is>
          <t>Gulf Authority Bahrain Motc</t>
        </is>
      </c>
      <c r="B28" s="29" t="inlineStr">
        <is>
          <t>United Arab Emirates</t>
        </is>
      </c>
      <c r="C28" s="30" t="inlineStr">
        <is>
          <t>Bin Majid Beach Resort jetty → The Cove Rotana Resort jetty</t>
        </is>
      </c>
      <c r="D28" s="31" t="n">
        <v>3</v>
      </c>
      <c r="E28" s="26" t="n"/>
      <c r="F28" s="32" t="n"/>
      <c r="G28" s="32" t="n"/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/>
      <c r="AH28" s="32" t="n"/>
      <c r="AI28" s="32" t="n"/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Estimated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n"/>
      <c r="AY28" s="44" t="n"/>
    </row>
    <row r="29">
      <c r="A29" s="29" t="inlineStr">
        <is>
          <t>Gulf Authority Bahrain Motc</t>
        </is>
      </c>
      <c r="B29" s="29" t="inlineStr">
        <is>
          <t>United Arab Emirates</t>
        </is>
      </c>
      <c r="C29" s="30" t="inlineStr">
        <is>
          <t>Raksa → Hilton Garden Inn Ras Al Khaimah (Corniche) jetty</t>
        </is>
      </c>
      <c r="D29" s="31" t="n">
        <v>3</v>
      </c>
      <c r="E29" s="26" t="n"/>
      <c r="F29" s="32" t="n"/>
      <c r="G29" s="32" t="n"/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/>
      <c r="AH29" s="32" t="n"/>
      <c r="AI29" s="32" t="n"/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Estimated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n"/>
      <c r="AY29" s="44" t="n"/>
    </row>
    <row r="30">
      <c r="A30" s="29" t="inlineStr">
        <is>
          <t>Gulf Authority Bahrain Motc</t>
        </is>
      </c>
      <c r="B30" s="29" t="inlineStr">
        <is>
          <t>United Arab Emirates</t>
        </is>
      </c>
      <c r="C30" s="30" t="inlineStr">
        <is>
          <t>Al Zorah Marina 1 → Hamriyah Port Main Harbour</t>
        </is>
      </c>
      <c r="D30" s="31" t="n">
        <v>3.2</v>
      </c>
      <c r="E30" s="26" t="n"/>
      <c r="F30" s="32" t="n"/>
      <c r="G30" s="32" t="n"/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Estimated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n"/>
      <c r="AY30" s="44" t="n"/>
    </row>
    <row r="31">
      <c r="A31" s="29" t="inlineStr">
        <is>
          <t>Gulf Authority Bahrain Motc</t>
        </is>
      </c>
      <c r="B31" s="29" t="inlineStr">
        <is>
          <t>United Arab Emirates</t>
        </is>
      </c>
      <c r="C31" s="30" t="inlineStr">
        <is>
          <t>Ajman Marina → Hamriyah Port Main Harbour</t>
        </is>
      </c>
      <c r="D31" s="31" t="n">
        <v>3.9</v>
      </c>
      <c r="E31" s="26" t="n"/>
      <c r="F31" s="32" t="n"/>
      <c r="G31" s="32" t="n"/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n"/>
      <c r="AI31" s="32" t="n"/>
      <c r="AJ31" s="39" t="n">
        <v>0.1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Estimated</t>
        </is>
      </c>
      <c r="AR31" s="41" t="n"/>
      <c r="AS31" s="41" t="n"/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n"/>
      <c r="AY31" s="44" t="n"/>
    </row>
    <row r="32">
      <c r="A32" s="29" t="inlineStr">
        <is>
          <t>Gulf Authority Bahrain Motc</t>
        </is>
      </c>
      <c r="B32" s="29" t="inlineStr">
        <is>
          <t>United Arab Emirates</t>
        </is>
      </c>
      <c r="C32" s="30" t="inlineStr">
        <is>
          <t>Sha'am coastal staging point → ميناء صيادين غليلة</t>
        </is>
      </c>
      <c r="D32" s="31" t="n">
        <v>3.9</v>
      </c>
      <c r="E32" s="26" t="n"/>
      <c r="F32" s="32" t="n"/>
      <c r="G32" s="32" t="n"/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/>
      <c r="AH32" s="32" t="n"/>
      <c r="AI32" s="32" t="n"/>
      <c r="AJ32" s="39" t="n">
        <v>0.1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Estimated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n"/>
      <c r="AY32" s="44" t="n"/>
    </row>
    <row r="33">
      <c r="A33" s="29" t="inlineStr">
        <is>
          <t>Gulf Authority Bahrain Motc</t>
        </is>
      </c>
      <c r="B33" s="29" t="inlineStr">
        <is>
          <t>United Arab Emirates</t>
        </is>
      </c>
      <c r="C33" s="30" t="inlineStr">
        <is>
          <t>ميناء صيادين خورخوير → Sha'am Fishing Boat Harbour</t>
        </is>
      </c>
      <c r="D33" s="31" t="n">
        <v>4.3</v>
      </c>
      <c r="E33" s="26" t="n"/>
      <c r="F33" s="32" t="n"/>
      <c r="G33" s="32" t="n"/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/>
      <c r="AH33" s="32" t="n"/>
      <c r="AI33" s="32" t="n"/>
      <c r="AJ33" s="39" t="n">
        <v>0.1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Estimated</t>
        </is>
      </c>
      <c r="AR33" s="41" t="n"/>
      <c r="AS33" s="41" t="n"/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n"/>
      <c r="AY33" s="44" t="n"/>
    </row>
    <row r="34">
      <c r="A34" s="29" t="inlineStr">
        <is>
          <t>Gulf Authority Bahrain Motc</t>
        </is>
      </c>
      <c r="B34" s="29" t="inlineStr">
        <is>
          <t>United Arab Emirates</t>
        </is>
      </c>
      <c r="C34" s="30" t="inlineStr">
        <is>
          <t>Gumda Fishing Harbour → Sha'am coastal staging point</t>
        </is>
      </c>
      <c r="D34" s="31" t="n">
        <v>5.3</v>
      </c>
      <c r="E34" s="26" t="n"/>
      <c r="F34" s="32" t="n"/>
      <c r="G34" s="32" t="n"/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/>
      <c r="AH34" s="32" t="n"/>
      <c r="AI34" s="32" t="n"/>
      <c r="AJ34" s="39" t="n">
        <v>0.1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Estimated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n"/>
      <c r="AY34" s="44" t="n"/>
    </row>
    <row r="35">
      <c r="A35" s="29" t="inlineStr">
        <is>
          <t>Gulf Authority Bahrain Motc</t>
        </is>
      </c>
      <c r="B35" s="29" t="inlineStr">
        <is>
          <t>United Arab Emirates</t>
        </is>
      </c>
      <c r="C35" s="30" t="inlineStr">
        <is>
          <t>Zighy Marina → Dibba Al-Hisn Marina - Sharjah</t>
        </is>
      </c>
      <c r="D35" s="31" t="n">
        <v>5.3</v>
      </c>
      <c r="E35" s="26" t="n"/>
      <c r="F35" s="32" t="n"/>
      <c r="G35" s="32" t="n"/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/>
      <c r="AH35" s="32" t="n"/>
      <c r="AI35" s="32" t="n"/>
      <c r="AJ35" s="39" t="n">
        <v>0.1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Estimated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n"/>
      <c r="AY35" s="44" t="n"/>
    </row>
    <row r="36">
      <c r="A36" s="29" t="inlineStr">
        <is>
          <t>Gulf Authority Bahrain Motc</t>
        </is>
      </c>
      <c r="B36" s="29" t="inlineStr">
        <is>
          <t>United Arab Emirates</t>
        </is>
      </c>
      <c r="C36" s="30" t="inlineStr">
        <is>
          <t>Gumda Fishing Harbour → Sha'am Fishing Boat Harbour</t>
        </is>
      </c>
      <c r="D36" s="31" t="n">
        <v>7.2</v>
      </c>
      <c r="E36" s="26" t="n"/>
      <c r="F36" s="32" t="n"/>
      <c r="G36" s="32" t="n"/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/>
      <c r="AH36" s="32" t="n"/>
      <c r="AI36" s="32" t="n"/>
      <c r="AJ36" s="39" t="n">
        <v>0.1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Estimated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n"/>
      <c r="AY36" s="44" t="n"/>
    </row>
    <row r="37">
      <c r="A37" s="29" t="inlineStr">
        <is>
          <t>Gulf Authority Bahrain Motc</t>
        </is>
      </c>
      <c r="B37" s="29" t="inlineStr">
        <is>
          <t>United Arab Emirates</t>
        </is>
      </c>
      <c r="C37" s="30" t="inlineStr">
        <is>
          <t>UAQ Marine Club → Hamriyah Port Main Harbour</t>
        </is>
      </c>
      <c r="D37" s="31" t="n">
        <v>10.5</v>
      </c>
      <c r="E37" s="26" t="n"/>
      <c r="F37" s="32" t="n"/>
      <c r="G37" s="32" t="n"/>
      <c r="H37" s="19" t="n">
        <v>1</v>
      </c>
      <c r="I37" s="33">
        <f>60*D37/cruise_kt</f>
        <v/>
      </c>
      <c r="J37" s="33">
        <f>I37+turn_min+dwell_min</f>
        <v/>
      </c>
      <c r="K37" s="34">
        <f>MIN(15,FLOOR(60*service_hr/J37,1))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/>
      <c r="AH37" s="32" t="n"/>
      <c r="AI37" s="32" t="n"/>
      <c r="AJ37" s="39" t="n">
        <v>0.1</v>
      </c>
      <c r="AK37" s="34">
        <f>IF(AG37="","",AG37*AJ37)</f>
        <v/>
      </c>
      <c r="AL37" s="34">
        <f>IF(OR(AG37="",R37=0),"",MIN(IF(AT37="",9.9E+99,AT37),FLOOR(AK37/R37,1)))</f>
        <v/>
      </c>
      <c r="AM37" s="38">
        <f>IF(AL37="","",AL37*T37)</f>
        <v/>
      </c>
      <c r="AN37" s="36">
        <f>IF(OR(AG37="",R37=0),"",MIN(IF(AT37="",9.9E+99,AT37),AK37/R37))</f>
        <v/>
      </c>
      <c r="AO37" s="38">
        <f>IF(AN37="","",AN37*T37)</f>
        <v/>
      </c>
      <c r="AP37" s="40" t="n"/>
      <c r="AQ37" s="32" t="inlineStr">
        <is>
          <t>Estimated</t>
        </is>
      </c>
      <c r="AR37" s="41" t="n"/>
      <c r="AS37" s="41" t="n"/>
      <c r="AT37" s="42" t="n"/>
      <c r="AU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V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W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X37" s="44" t="n"/>
      <c r="AY37" s="44" t="n"/>
    </row>
    <row r="38">
      <c r="A38" s="29" t="inlineStr">
        <is>
          <t>Gulf Authority Bahrain Motc</t>
        </is>
      </c>
      <c r="B38" s="29" t="inlineStr">
        <is>
          <t>United Arab Emirates</t>
        </is>
      </c>
      <c r="C38" s="30" t="inlineStr">
        <is>
          <t>UAQ Marine Club → Rixos Bab Al Bahr beach jetty</t>
        </is>
      </c>
      <c r="D38" s="31" t="n">
        <v>11.8</v>
      </c>
      <c r="E38" s="26" t="n"/>
      <c r="F38" s="32" t="n"/>
      <c r="G38" s="32" t="n"/>
      <c r="H38" s="19" t="n">
        <v>1</v>
      </c>
      <c r="I38" s="33">
        <f>60*D38/cruise_kt</f>
        <v/>
      </c>
      <c r="J38" s="33">
        <f>I38+turn_min+dwell_min</f>
        <v/>
      </c>
      <c r="K38" s="34">
        <f>MIN(15,FLOOR(60*service_hr/J38,1))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/>
      <c r="AH38" s="32" t="n"/>
      <c r="AI38" s="32" t="n"/>
      <c r="AJ38" s="39" t="n">
        <v>0.1</v>
      </c>
      <c r="AK38" s="34">
        <f>IF(AG38="","",AG38*AJ38)</f>
        <v/>
      </c>
      <c r="AL38" s="34">
        <f>IF(OR(AG38="",R38=0),"",MIN(IF(AT38="",9.9E+99,AT38),FLOOR(AK38/R38,1)))</f>
        <v/>
      </c>
      <c r="AM38" s="38">
        <f>IF(AL38="","",AL38*T38)</f>
        <v/>
      </c>
      <c r="AN38" s="36">
        <f>IF(OR(AG38="",R38=0),"",MIN(IF(AT38="",9.9E+99,AT38),AK38/R38))</f>
        <v/>
      </c>
      <c r="AO38" s="38">
        <f>IF(AN38="","",AN38*T38)</f>
        <v/>
      </c>
      <c r="AP38" s="40" t="n"/>
      <c r="AQ38" s="32" t="inlineStr">
        <is>
          <t>Estimated</t>
        </is>
      </c>
      <c r="AR38" s="41" t="n"/>
      <c r="AS38" s="41" t="n"/>
      <c r="AT38" s="42" t="n"/>
      <c r="AU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V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W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X38" s="44" t="n"/>
      <c r="AY38" s="44" t="n"/>
    </row>
    <row r="39">
      <c r="A39" s="29" t="inlineStr">
        <is>
          <t>Gulf Authority Bahrain Motc</t>
        </is>
      </c>
      <c r="B39" s="29" t="inlineStr">
        <is>
          <t>United Arab Emirates</t>
        </is>
      </c>
      <c r="C39" s="30" t="inlineStr">
        <is>
          <t>Ras Al Khaimah → ميناء صيادين غليلة</t>
        </is>
      </c>
      <c r="D39" s="31" t="n">
        <v>11.9</v>
      </c>
      <c r="E39" s="26" t="n"/>
      <c r="F39" s="32" t="n"/>
      <c r="G39" s="32" t="n"/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/>
      <c r="AH39" s="32" t="n"/>
      <c r="AI39" s="32" t="n"/>
      <c r="AJ39" s="39" t="n">
        <v>0.1</v>
      </c>
      <c r="AK39" s="34">
        <f>IF(AG39="","",AG39*AJ39)</f>
        <v/>
      </c>
      <c r="AL39" s="34">
        <f>IF(OR(AG39="",R39=0),"",MIN(IF(AT39="",9.9E+99,AT39),FLOOR(AK39/R39,1)))</f>
        <v/>
      </c>
      <c r="AM39" s="38">
        <f>IF(AL39="","",AL39*T39)</f>
        <v/>
      </c>
      <c r="AN39" s="36">
        <f>IF(OR(AG39="",R39=0),"",MIN(IF(AT39="",9.9E+99,AT39),AK39/R39))</f>
        <v/>
      </c>
      <c r="AO39" s="38">
        <f>IF(AN39="","",AN39*T39)</f>
        <v/>
      </c>
      <c r="AP39" s="40" t="n"/>
      <c r="AQ39" s="32" t="inlineStr">
        <is>
          <t>Estimated</t>
        </is>
      </c>
      <c r="AR39" s="41" t="n"/>
      <c r="AS39" s="41" t="n"/>
      <c r="AT39" s="42" t="n"/>
      <c r="AU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V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W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X39" s="44" t="n"/>
      <c r="AY39" s="44" t="n"/>
    </row>
    <row r="40">
      <c r="A40" s="29" t="inlineStr">
        <is>
          <t>Gulf Authority Bahrain Motc</t>
        </is>
      </c>
      <c r="B40" s="29" t="inlineStr">
        <is>
          <t>United Arab Emirates</t>
        </is>
      </c>
      <c r="C40" s="30" t="inlineStr">
        <is>
          <t>Ras Al Khaimah → Al Hamra Marina &amp; Royal Yacht Club RAK</t>
        </is>
      </c>
      <c r="D40" s="31" t="n">
        <v>13.6</v>
      </c>
      <c r="E40" s="26" t="n"/>
      <c r="F40" s="32" t="n"/>
      <c r="G40" s="32" t="n"/>
      <c r="H40" s="19" t="n">
        <v>1</v>
      </c>
      <c r="I40" s="33">
        <f>60*D40/cruise_kt</f>
        <v/>
      </c>
      <c r="J40" s="33">
        <f>I40+turn_min+dwell_min</f>
        <v/>
      </c>
      <c r="K40" s="34">
        <f>MIN(15,FLOOR(60*service_hr/J40,1))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/>
      <c r="AH40" s="32" t="n"/>
      <c r="AI40" s="32" t="n"/>
      <c r="AJ40" s="39" t="n">
        <v>0.1</v>
      </c>
      <c r="AK40" s="34">
        <f>IF(AG40="","",AG40*AJ40)</f>
        <v/>
      </c>
      <c r="AL40" s="34">
        <f>IF(OR(AG40="",R40=0),"",MIN(IF(AT40="",9.9E+99,AT40),FLOOR(AK40/R40,1)))</f>
        <v/>
      </c>
      <c r="AM40" s="38">
        <f>IF(AL40="","",AL40*T40)</f>
        <v/>
      </c>
      <c r="AN40" s="36">
        <f>IF(OR(AG40="",R40=0),"",MIN(IF(AT40="",9.9E+99,AT40),AK40/R40))</f>
        <v/>
      </c>
      <c r="AO40" s="38">
        <f>IF(AN40="","",AN40*T40)</f>
        <v/>
      </c>
      <c r="AP40" s="40" t="n"/>
      <c r="AQ40" s="32" t="inlineStr">
        <is>
          <t>Estimated</t>
        </is>
      </c>
      <c r="AR40" s="41" t="n"/>
      <c r="AS40" s="41" t="n"/>
      <c r="AT40" s="42" t="n"/>
      <c r="AU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V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W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X40" s="44" t="n"/>
      <c r="AY40" s="44" t="n"/>
    </row>
    <row r="41">
      <c r="A41" s="29" t="inlineStr">
        <is>
          <t>Gulf Authority Bahrain Motc</t>
        </is>
      </c>
      <c r="B41" s="29" t="inlineStr">
        <is>
          <t>United Arab Emirates</t>
        </is>
      </c>
      <c r="C41" s="30" t="inlineStr">
        <is>
          <t>Ras Al Khaimah → Al Marjan Island public arrival marina</t>
        </is>
      </c>
      <c r="D41" s="31" t="n">
        <v>16</v>
      </c>
      <c r="E41" s="26" t="n"/>
      <c r="F41" s="32" t="n"/>
      <c r="G41" s="32" t="n"/>
      <c r="H41" s="19" t="n">
        <v>1</v>
      </c>
      <c r="I41" s="33">
        <f>60*D41/cruise_kt</f>
        <v/>
      </c>
      <c r="J41" s="33">
        <f>I41+turn_min+dwell_min</f>
        <v/>
      </c>
      <c r="K41" s="34">
        <f>MIN(15,FLOOR(60*service_hr/J41,1))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/>
      <c r="AH41" s="32" t="n"/>
      <c r="AI41" s="32" t="n"/>
      <c r="AJ41" s="39" t="n">
        <v>0.1</v>
      </c>
      <c r="AK41" s="34">
        <f>IF(AG41="","",AG41*AJ41)</f>
        <v/>
      </c>
      <c r="AL41" s="34">
        <f>IF(OR(AG41="",R41=0),"",MIN(IF(AT41="",9.9E+99,AT41),FLOOR(AK41/R41,1)))</f>
        <v/>
      </c>
      <c r="AM41" s="38">
        <f>IF(AL41="","",AL41*T41)</f>
        <v/>
      </c>
      <c r="AN41" s="36">
        <f>IF(OR(AG41="",R41=0),"",MIN(IF(AT41="",9.9E+99,AT41),AK41/R41))</f>
        <v/>
      </c>
      <c r="AO41" s="38">
        <f>IF(AN41="","",AN41*T41)</f>
        <v/>
      </c>
      <c r="AP41" s="40" t="n"/>
      <c r="AQ41" s="32" t="inlineStr">
        <is>
          <t>Estimated</t>
        </is>
      </c>
      <c r="AR41" s="41" t="n"/>
      <c r="AS41" s="41" t="n"/>
      <c r="AT41" s="42" t="n"/>
      <c r="AU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V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W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X41" s="44" t="n"/>
      <c r="AY41" s="44" t="n"/>
    </row>
    <row r="42">
      <c r="A42" s="29" t="inlineStr">
        <is>
          <t>Gulf Authority Bahrain Motc</t>
        </is>
      </c>
      <c r="B42" s="29" t="inlineStr">
        <is>
          <t>United Arab Emirates</t>
        </is>
      </c>
      <c r="C42" s="30" t="inlineStr">
        <is>
          <t>Ras Al Khaimah → UAQ Marine Club</t>
        </is>
      </c>
      <c r="D42" s="31" t="n">
        <v>26.6</v>
      </c>
      <c r="E42" s="26" t="n"/>
      <c r="F42" s="32" t="n"/>
      <c r="G42" s="32" t="n"/>
      <c r="H42" s="19" t="n">
        <v>1</v>
      </c>
      <c r="I42" s="33">
        <f>60*D42/cruise_kt</f>
        <v/>
      </c>
      <c r="J42" s="33">
        <f>I42+turn_min+dwell_min</f>
        <v/>
      </c>
      <c r="K42" s="34">
        <f>MIN(15,FLOOR(60*service_hr/J42,1))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/>
      <c r="AH42" s="32" t="n"/>
      <c r="AI42" s="32" t="n"/>
      <c r="AJ42" s="39" t="n">
        <v>0.1</v>
      </c>
      <c r="AK42" s="34">
        <f>IF(AG42="","",AG42*AJ42)</f>
        <v/>
      </c>
      <c r="AL42" s="34">
        <f>IF(OR(AG42="",R42=0),"",MIN(IF(AT42="",9.9E+99,AT42),FLOOR(AK42/R42,1)))</f>
        <v/>
      </c>
      <c r="AM42" s="38">
        <f>IF(AL42="","",AL42*T42)</f>
        <v/>
      </c>
      <c r="AN42" s="36">
        <f>IF(OR(AG42="",R42=0),"",MIN(IF(AT42="",9.9E+99,AT42),AK42/R42))</f>
        <v/>
      </c>
      <c r="AO42" s="38">
        <f>IF(AN42="","",AN42*T42)</f>
        <v/>
      </c>
      <c r="AP42" s="40" t="n"/>
      <c r="AQ42" s="32" t="inlineStr">
        <is>
          <t>Estimated</t>
        </is>
      </c>
      <c r="AR42" s="41" t="n"/>
      <c r="AS42" s="41" t="n"/>
      <c r="AT42" s="42" t="n"/>
      <c r="AU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V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W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X42" s="44" t="n"/>
      <c r="AY42" s="44" t="n"/>
    </row>
    <row r="43">
      <c r="A43" s="29" t="inlineStr">
        <is>
          <t>Gulf Authority Bahrain Motc</t>
        </is>
      </c>
      <c r="B43" s="29" t="inlineStr">
        <is>
          <t>United Arab Emirates</t>
        </is>
      </c>
      <c r="C43" s="30" t="inlineStr">
        <is>
          <t>Ras Al Khaimah → Ajman Marina</t>
        </is>
      </c>
      <c r="D43" s="31" t="n">
        <v>39</v>
      </c>
      <c r="E43" s="26" t="n"/>
      <c r="F43" s="32" t="n"/>
      <c r="G43" s="32" t="n"/>
      <c r="H43" s="19" t="n">
        <v>1</v>
      </c>
      <c r="I43" s="33">
        <f>60*D43/cruise_kt</f>
        <v/>
      </c>
      <c r="J43" s="33">
        <f>I43+turn_min+dwell_min</f>
        <v/>
      </c>
      <c r="K43" s="34">
        <f>MIN(15,FLOOR(60*service_hr/J43,1))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/>
      <c r="AH43" s="32" t="n"/>
      <c r="AI43" s="32" t="n"/>
      <c r="AJ43" s="39" t="n">
        <v>0.1</v>
      </c>
      <c r="AK43" s="34">
        <f>IF(AG43="","",AG43*AJ43)</f>
        <v/>
      </c>
      <c r="AL43" s="34">
        <f>IF(OR(AG43="",R43=0),"",MIN(IF(AT43="",9.9E+99,AT43),FLOOR(AK43/R43,1)))</f>
        <v/>
      </c>
      <c r="AM43" s="38">
        <f>IF(AL43="","",AL43*T43)</f>
        <v/>
      </c>
      <c r="AN43" s="36">
        <f>IF(OR(AG43="",R43=0),"",MIN(IF(AT43="",9.9E+99,AT43),AK43/R43))</f>
        <v/>
      </c>
      <c r="AO43" s="38">
        <f>IF(AN43="","",AN43*T43)</f>
        <v/>
      </c>
      <c r="AP43" s="40" t="n"/>
      <c r="AQ43" s="32" t="inlineStr">
        <is>
          <t>Estimated</t>
        </is>
      </c>
      <c r="AR43" s="41" t="n"/>
      <c r="AS43" s="41" t="n"/>
      <c r="AT43" s="42" t="n"/>
      <c r="AU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V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W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X43" s="44" t="n"/>
      <c r="AY43" s="44" t="n"/>
    </row>
    <row r="44">
      <c r="A44" s="29" t="inlineStr">
        <is>
          <t>Gulf Authority Bahrain Motc</t>
        </is>
      </c>
      <c r="B44" s="29" t="inlineStr">
        <is>
          <t>United Arab Emirates</t>
        </is>
      </c>
      <c r="C44" s="30" t="inlineStr">
        <is>
          <t>Ras Al Khaimah → Sharjah</t>
        </is>
      </c>
      <c r="D44" s="31" t="n">
        <v>42</v>
      </c>
      <c r="E44" s="26" t="n"/>
      <c r="F44" s="32" t="n"/>
      <c r="G44" s="32" t="n"/>
      <c r="H44" s="19" t="n">
        <v>1</v>
      </c>
      <c r="I44" s="33">
        <f>60*D44/cruise_kt</f>
        <v/>
      </c>
      <c r="J44" s="33">
        <f>I44+turn_min+dwell_min</f>
        <v/>
      </c>
      <c r="K44" s="34">
        <f>MIN(15,FLOOR(60*service_hr/J44,1))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/>
      <c r="AH44" s="32" t="n"/>
      <c r="AI44" s="32" t="n"/>
      <c r="AJ44" s="39" t="n">
        <v>0.1</v>
      </c>
      <c r="AK44" s="34">
        <f>IF(AG44="","",AG44*AJ44)</f>
        <v/>
      </c>
      <c r="AL44" s="34">
        <f>IF(OR(AG44="",R44=0),"",MIN(IF(AT44="",9.9E+99,AT44),FLOOR(AK44/R44,1)))</f>
        <v/>
      </c>
      <c r="AM44" s="38">
        <f>IF(AL44="","",AL44*T44)</f>
        <v/>
      </c>
      <c r="AN44" s="36">
        <f>IF(OR(AG44="",R44=0),"",MIN(IF(AT44="",9.9E+99,AT44),AK44/R44))</f>
        <v/>
      </c>
      <c r="AO44" s="38">
        <f>IF(AN44="","",AN44*T44)</f>
        <v/>
      </c>
      <c r="AP44" s="40" t="n"/>
      <c r="AQ44" s="32" t="inlineStr">
        <is>
          <t>Estimated</t>
        </is>
      </c>
      <c r="AR44" s="41" t="n"/>
      <c r="AS44" s="41" t="n"/>
      <c r="AT44" s="42" t="n"/>
      <c r="AU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V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W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X44" s="44" t="n"/>
      <c r="AY44" s="44" t="n"/>
    </row>
    <row r="45">
      <c r="A45" s="29" t="inlineStr">
        <is>
          <t>Gulf Authority Bahrain Motc</t>
        </is>
      </c>
      <c r="B45" s="29" t="inlineStr">
        <is>
          <t>United Arab Emirates</t>
        </is>
      </c>
      <c r="C45" s="30" t="inlineStr">
        <is>
          <t>Dubai Harbour Marina → Wynn Al Marjan Island arrival lagoon</t>
        </is>
      </c>
      <c r="D45" s="31" t="n">
        <v>49.8</v>
      </c>
      <c r="E45" s="26" t="n"/>
      <c r="F45" s="32" t="n"/>
      <c r="G45" s="32" t="n"/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/>
      <c r="AH45" s="32" t="n"/>
      <c r="AI45" s="32" t="n"/>
      <c r="AJ45" s="39" t="n">
        <v>0.1</v>
      </c>
      <c r="AK45" s="34">
        <f>IF(AG45="","",AG45*AJ45)</f>
        <v/>
      </c>
      <c r="AL45" s="34">
        <f>IF(OR(AG45="",R45=0),"",MIN(IF(AT45="",9.9E+99,AT45),FLOOR(AK45/R45,1)))</f>
        <v/>
      </c>
      <c r="AM45" s="38">
        <f>IF(AL45="","",AL45*T45)</f>
        <v/>
      </c>
      <c r="AN45" s="36">
        <f>IF(OR(AG45="",R45=0),"",MIN(IF(AT45="",9.9E+99,AT45),AK45/R45))</f>
        <v/>
      </c>
      <c r="AO45" s="38">
        <f>IF(AN45="","",AN45*T45)</f>
        <v/>
      </c>
      <c r="AP45" s="40" t="n"/>
      <c r="AQ45" s="32" t="inlineStr">
        <is>
          <t>Estimated</t>
        </is>
      </c>
      <c r="AR45" s="41" t="n"/>
      <c r="AS45" s="41" t="n"/>
      <c r="AT45" s="42" t="n"/>
      <c r="AU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V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W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X45" s="44" t="n"/>
      <c r="AY45" s="44" t="n"/>
    </row>
    <row r="46">
      <c r="A46" s="29" t="inlineStr">
        <is>
          <t>Gulf Authority Bahrain Motc</t>
        </is>
      </c>
      <c r="B46" s="29" t="inlineStr">
        <is>
          <t>United Arab Emirates</t>
        </is>
      </c>
      <c r="C46" s="30" t="inlineStr">
        <is>
          <t>Ras Al Khaimah → Dubai Islands Marina</t>
        </is>
      </c>
      <c r="D46" s="31" t="n">
        <v>50</v>
      </c>
      <c r="E46" s="26" t="n"/>
      <c r="F46" s="32" t="n"/>
      <c r="G46" s="32" t="n"/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/>
      <c r="AH46" s="32" t="n"/>
      <c r="AI46" s="32" t="n"/>
      <c r="AJ46" s="39" t="n">
        <v>0.1</v>
      </c>
      <c r="AK46" s="34">
        <f>IF(AG46="","",AG46*AJ46)</f>
        <v/>
      </c>
      <c r="AL46" s="34">
        <f>IF(OR(AG46="",R46=0),"",MIN(IF(AT46="",9.9E+99,AT46),FLOOR(AK46/R46,1)))</f>
        <v/>
      </c>
      <c r="AM46" s="38">
        <f>IF(AL46="","",AL46*T46)</f>
        <v/>
      </c>
      <c r="AN46" s="36">
        <f>IF(OR(AG46="",R46=0),"",MIN(IF(AT46="",9.9E+99,AT46),AK46/R46))</f>
        <v/>
      </c>
      <c r="AO46" s="38">
        <f>IF(AN46="","",AN46*T46)</f>
        <v/>
      </c>
      <c r="AP46" s="40" t="n"/>
      <c r="AQ46" s="32" t="inlineStr">
        <is>
          <t>Estimated</t>
        </is>
      </c>
      <c r="AR46" s="41" t="n"/>
      <c r="AS46" s="41" t="n"/>
      <c r="AT46" s="42" t="n"/>
      <c r="AU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V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W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X46" s="44" t="n"/>
      <c r="AY46" s="44" t="n"/>
    </row>
    <row r="47">
      <c r="A47" s="29" t="inlineStr">
        <is>
          <t>Gulf Authority Bahrain Motc</t>
        </is>
      </c>
      <c r="B47" s="29" t="inlineStr">
        <is>
          <t>United Arab Emirates</t>
        </is>
      </c>
      <c r="C47" s="30" t="inlineStr">
        <is>
          <t>Ras Al Khaimah → Fujairah</t>
        </is>
      </c>
      <c r="D47" s="31" t="n">
        <v>54.7</v>
      </c>
      <c r="E47" s="26" t="n"/>
      <c r="F47" s="32" t="n"/>
      <c r="G47" s="32" t="n"/>
      <c r="H47" s="19" t="n">
        <v>1</v>
      </c>
      <c r="I47" s="33">
        <f>60*D47/cruise_kt</f>
        <v/>
      </c>
      <c r="J47" s="33">
        <f>I47+turn_min+dwell_min</f>
        <v/>
      </c>
      <c r="K47" s="34">
        <f>MIN(15,FLOOR(60*service_hr/J47,1))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/>
      <c r="AH47" s="32" t="n"/>
      <c r="AI47" s="32" t="n"/>
      <c r="AJ47" s="39" t="n">
        <v>0.1</v>
      </c>
      <c r="AK47" s="34">
        <f>IF(AG47="","",AG47*AJ47)</f>
        <v/>
      </c>
      <c r="AL47" s="34">
        <f>IF(OR(AG47="",R47=0),"",MIN(IF(AT47="",9.9E+99,AT47),FLOOR(AK47/R47,1)))</f>
        <v/>
      </c>
      <c r="AM47" s="38">
        <f>IF(AL47="","",AL47*T47)</f>
        <v/>
      </c>
      <c r="AN47" s="36">
        <f>IF(OR(AG47="",R47=0),"",MIN(IF(AT47="",9.9E+99,AT47),AK47/R47))</f>
        <v/>
      </c>
      <c r="AO47" s="38">
        <f>IF(AN47="","",AN47*T47)</f>
        <v/>
      </c>
      <c r="AP47" s="40" t="n"/>
      <c r="AQ47" s="32" t="inlineStr">
        <is>
          <t>Estimated</t>
        </is>
      </c>
      <c r="AR47" s="41" t="n"/>
      <c r="AS47" s="41" t="n"/>
      <c r="AT47" s="42" t="n"/>
      <c r="AU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V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W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X47" s="44" t="n"/>
      <c r="AY47" s="44" t="n"/>
    </row>
    <row r="48">
      <c r="A48" s="45" t="inlineStr">
        <is>
          <t>TOTAL / median</t>
        </is>
      </c>
      <c r="T48" s="46">
        <f>SUM(T4:T47)</f>
        <v/>
      </c>
      <c r="AC48" s="46">
        <f>SUM(AC4:AC47)</f>
        <v/>
      </c>
      <c r="AD48" s="47">
        <f>IF(T48=0,"",AC48/T48)</f>
        <v/>
      </c>
      <c r="AL48" s="48">
        <f>SUM(AL4:AL47)</f>
        <v/>
      </c>
      <c r="AM48" s="46">
        <f>SUM(AM4:AM47)</f>
        <v/>
      </c>
    </row>
    <row r="50">
      <c r="A50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1">
      <c r="A51" s="24" t="inlineStr">
        <is>
          <t>Market</t>
        </is>
      </c>
      <c r="B51" s="24" t="inlineStr">
        <is>
          <t>Fleet basis</t>
        </is>
      </c>
      <c r="C51" s="24" t="inlineStr">
        <is>
          <t>Raw vessels (sum)</t>
        </is>
      </c>
      <c r="D51" s="24" t="inlineStr">
        <is>
          <t>Fleet (rounded once)</t>
        </is>
      </c>
      <c r="E51" s="24" t="inlineStr">
        <is>
          <t>Market rev/yr (raw sum)</t>
        </is>
      </c>
    </row>
    <row r="52">
      <c r="A52" s="25" t="inlineStr">
        <is>
          <t>Gulf Authority Bahrain Motc</t>
        </is>
      </c>
      <c r="B52" s="13" t="inlineStr">
        <is>
          <t>network_sum / ceil</t>
        </is>
      </c>
      <c r="C52" s="23">
        <f>SUMIFS(AN4:AN47,A4:A47,"Gulf Authority Bahrain Motc",AP4:AP47,"=",AQ4:AQ47,"Grounded")</f>
        <v/>
      </c>
      <c r="D52" s="49">
        <f>IF(C52=0,0,CEILING(C52,1))</f>
        <v/>
      </c>
      <c r="E52" s="50">
        <f>SUMIFS(AO4:AO47,A4:A47,"Gulf Authority Bahrain Motc",AP4:AP47,"=",AQ4:AQ47,"Grounded")</f>
        <v/>
      </c>
    </row>
    <row r="53">
      <c r="A53" s="45" t="inlineStr">
        <is>
          <t>GROUNDED FLOOR (PUBLISHED)</t>
        </is>
      </c>
      <c r="D53" s="48">
        <f>SUM(D52:D52)</f>
        <v/>
      </c>
      <c r="E53" s="46">
        <f>SUM(E52:E52)</f>
        <v/>
      </c>
    </row>
    <row r="54">
      <c r="A54" s="20" t="inlineStr">
        <is>
          <t>ESTIMATED DEMAND (country-median cascade; held OUT of grounded floor)</t>
        </is>
      </c>
      <c r="D54" s="51">
        <f>SUMIF(AQ4:AQ47,"Estimated",AL4:AL47)</f>
        <v/>
      </c>
      <c r="E54" s="52">
        <f>SUMIF(AQ4:AQ47,"Estimated",AM4:AM47)</f>
        <v/>
      </c>
    </row>
    <row r="55">
      <c r="A55" s="53" t="inlineStr">
        <is>
          <t>Held for Quanta-LR (&gt;70nm, roadmap H2 2026+):</t>
        </is>
      </c>
      <c r="C55" s="54" t="inlineStr">
        <is>
          <t>Abu Dhabi → Manama (264.1nm)</t>
        </is>
      </c>
    </row>
    <row r="56">
      <c r="C56" s="54" t="inlineStr">
        <is>
          <t>Manama → Doha (98.8nm)</t>
        </is>
      </c>
    </row>
    <row r="57">
      <c r="C57" s="54" t="inlineStr">
        <is>
          <t>Manama → Dubai (290.6nm)</t>
        </is>
      </c>
    </row>
    <row r="58">
      <c r="C58" s="54" t="inlineStr">
        <is>
          <t>Ras Al Khaimah → Abu Dhabi (112.0nm)</t>
        </is>
      </c>
    </row>
    <row r="59">
      <c r="C59" s="54" t="inlineStr">
        <is>
          <t>Ras Al Khaimah → Doha (240.7nm)</t>
        </is>
      </c>
    </row>
    <row r="60">
      <c r="C60" s="54" t="inlineStr">
        <is>
          <t>Ras Al Khaimah → Manama (289.7nm)</t>
        </is>
      </c>
    </row>
    <row r="61">
      <c r="C61" s="54" t="inlineStr">
        <is>
          <t>Ras Al Khaimah → Muscat (263.5nm)</t>
        </is>
      </c>
    </row>
  </sheetData>
  <mergeCells count="2">
    <mergeCell ref="A50:L50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2026-07-06T02:58:32Z</dcterms:created>
  <dcterms:modified xsi:type="dcterms:W3CDTF">2026-07-06T02:58:33Z</dcterms:modified>
</cp:coreProperties>
</file>