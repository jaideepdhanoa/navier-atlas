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economics'!$D$96</definedName>
    <definedName name="som_floor_rev">'Corridor economics'!$E$96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Bahrain-Motc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Bahrain</t>
        </is>
      </c>
      <c r="B4" s="26" t="n">
        <v>36000</v>
      </c>
      <c r="C4" s="27" t="n">
        <v>0.08</v>
      </c>
      <c r="D4" s="19" t="n">
        <v>0.55</v>
      </c>
      <c r="E4" s="26" t="n">
        <v>15000</v>
      </c>
      <c r="F4" s="19" t="n">
        <v>0.63</v>
      </c>
      <c r="G4" s="26" t="n">
        <v>600000</v>
      </c>
      <c r="H4" s="14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0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Bahrain-Motc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Bahrain Motc</t>
        </is>
      </c>
      <c r="B4" s="29" t="inlineStr">
        <is>
          <t>Bahrain</t>
        </is>
      </c>
      <c r="C4" s="30" t="inlineStr">
        <is>
          <t>Conrad Bahrain Financial Harbour → Harbour Padel</t>
        </is>
      </c>
      <c r="D4" s="31" t="n">
        <v>0.1</v>
      </c>
      <c r="E4" s="26" t="n">
        <v>28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Bahrain Motc</t>
        </is>
      </c>
      <c r="B5" s="29" t="inlineStr">
        <is>
          <t>Bahrain</t>
        </is>
      </c>
      <c r="C5" s="30" t="inlineStr">
        <is>
          <t>Conrad Bahrain Financial Harbour → Harbour Gate</t>
        </is>
      </c>
      <c r="D5" s="31" t="n">
        <v>0.1</v>
      </c>
      <c r="E5" s="26" t="n">
        <v>28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3000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Gulf Authority Bahrain Motc</t>
        </is>
      </c>
      <c r="B6" s="29" t="inlineStr">
        <is>
          <t>Bahrain</t>
        </is>
      </c>
      <c r="C6" s="30" t="inlineStr">
        <is>
          <t>Royal Marina → Ritz-Carlton Bahrain — Private Marina + Beach Jetty</t>
        </is>
      </c>
      <c r="D6" s="31" t="n">
        <v>0.1</v>
      </c>
      <c r="E6" s="26" t="n">
        <v>28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Gulf Authority Bahrain Motc</t>
        </is>
      </c>
      <c r="B7" s="29" t="inlineStr">
        <is>
          <t>Bahrain</t>
        </is>
      </c>
      <c r="C7" s="30" t="inlineStr">
        <is>
          <t>Four Seasons Hotel Bahrain Bay — Own-Island Jetty → Water Taxi - Delma Marine</t>
        </is>
      </c>
      <c r="D7" s="31" t="n">
        <v>0.2</v>
      </c>
      <c r="E7" s="26" t="n">
        <v>28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Gulf Authority Bahrain Motc</t>
        </is>
      </c>
      <c r="B8" s="29" t="inlineStr">
        <is>
          <t>Bahrain</t>
        </is>
      </c>
      <c r="C8" s="30" t="inlineStr">
        <is>
          <t>Harbour Gate → Harbour Padel</t>
        </is>
      </c>
      <c r="D8" s="31" t="n">
        <v>0.2</v>
      </c>
      <c r="E8" s="26" t="n">
        <v>28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Gulf Authority Bahrain Motc</t>
        </is>
      </c>
      <c r="B9" s="29" t="inlineStr">
        <is>
          <t>Bahrain</t>
        </is>
      </c>
      <c r="C9" s="30" t="inlineStr">
        <is>
          <t>Four Seasons Hotel Bahrain Bay — Own-Island Jetty → Water taxi - Delmarine</t>
        </is>
      </c>
      <c r="D9" s="31" t="n">
        <v>0.3</v>
      </c>
      <c r="E9" s="26" t="n">
        <v>28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3000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Gulf Authority Bahrain Motc</t>
        </is>
      </c>
      <c r="B10" s="29" t="inlineStr">
        <is>
          <t>Bahrain</t>
        </is>
      </c>
      <c r="C10" s="30" t="inlineStr">
        <is>
          <t>Water Taxi - Delma Marine → Water taxi - Delmarine</t>
        </is>
      </c>
      <c r="D10" s="31" t="n">
        <v>0.4</v>
      </c>
      <c r="E10" s="26" t="n">
        <v>28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3000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Gulf Authority Bahrain Motc</t>
        </is>
      </c>
      <c r="B11" s="29" t="inlineStr">
        <is>
          <t>Bahrain</t>
        </is>
      </c>
      <c r="C11" s="30" t="inlineStr">
        <is>
          <t>Marina Beach Garden Park → Coral Bay Marina &amp; Water Sports Center</t>
        </is>
      </c>
      <c r="D11" s="31" t="n">
        <v>0.4</v>
      </c>
      <c r="E11" s="26" t="n">
        <v>28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3000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Gulf Authority Bahrain Motc</t>
        </is>
      </c>
      <c r="B12" s="29" t="inlineStr">
        <is>
          <t>Bahrain</t>
        </is>
      </c>
      <c r="C12" s="30" t="inlineStr">
        <is>
          <t>MARINA WEST → Marina West</t>
        </is>
      </c>
      <c r="D12" s="31" t="n">
        <v>0.4</v>
      </c>
      <c r="E12" s="26" t="n">
        <v>28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Gulf Authority Bahrain Motc</t>
        </is>
      </c>
      <c r="B13" s="29" t="inlineStr">
        <is>
          <t>Bahrain</t>
        </is>
      </c>
      <c r="C13" s="30" t="inlineStr">
        <is>
          <t>Zallaq Fishers Harbour → Sofitel Bahrain Zallaq Thalassa — Beach jetty</t>
        </is>
      </c>
      <c r="D13" s="31" t="n">
        <v>0.5</v>
      </c>
      <c r="E13" s="26" t="n">
        <v>28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3000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Gulf Authority Bahrain Motc</t>
        </is>
      </c>
      <c r="B14" s="29" t="inlineStr">
        <is>
          <t>Bahrain</t>
        </is>
      </c>
      <c r="C14" s="30" t="inlineStr">
        <is>
          <t>Reef Island Marina → Harbour Gate</t>
        </is>
      </c>
      <c r="D14" s="31" t="n">
        <v>0.6</v>
      </c>
      <c r="E14" s="26" t="n">
        <v>28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3000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Gulf Authority Bahrain Motc</t>
        </is>
      </c>
      <c r="B15" s="29" t="inlineStr">
        <is>
          <t>Bahrain</t>
        </is>
      </c>
      <c r="C15" s="30" t="inlineStr">
        <is>
          <t>Bahrain sailing club Muharraq → Star Marine Services - Boat Trip / Sea Trip to Jarada Island</t>
        </is>
      </c>
      <c r="D15" s="31" t="n">
        <v>0.6</v>
      </c>
      <c r="E15" s="26" t="n">
        <v>28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3000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Gulf Authority Bahrain Motc</t>
        </is>
      </c>
      <c r="B16" s="29" t="inlineStr">
        <is>
          <t>Bahrain</t>
        </is>
      </c>
      <c r="C16" s="30" t="inlineStr">
        <is>
          <t>The Marina → Reef Island Marina</t>
        </is>
      </c>
      <c r="D16" s="31" t="n">
        <v>0.6</v>
      </c>
      <c r="E16" s="26" t="n">
        <v>28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Gulf Authority Bahrain Motc</t>
        </is>
      </c>
      <c r="B17" s="29" t="inlineStr">
        <is>
          <t>Bahrain</t>
        </is>
      </c>
      <c r="C17" s="30" t="inlineStr">
        <is>
          <t>Marina Corniche → المارينا -انجاز / Al Marina - Injaz</t>
        </is>
      </c>
      <c r="D17" s="31" t="n">
        <v>0.6</v>
      </c>
      <c r="E17" s="26" t="n">
        <v>28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3000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Gulf Authority Bahrain Motc</t>
        </is>
      </c>
      <c r="B18" s="29" t="inlineStr">
        <is>
          <t>Bahrain</t>
        </is>
      </c>
      <c r="C18" s="30" t="inlineStr">
        <is>
          <t>Reef Island Marina → Harbour Padel</t>
        </is>
      </c>
      <c r="D18" s="31" t="n">
        <v>0.6</v>
      </c>
      <c r="E18" s="26" t="n">
        <v>28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3000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Gulf Authority Bahrain Motc</t>
        </is>
      </c>
      <c r="B19" s="29" t="inlineStr">
        <is>
          <t>Bahrain</t>
        </is>
      </c>
      <c r="C19" s="30" t="inlineStr">
        <is>
          <t>Mashtan Marine Services → Bahrain Yacht Club</t>
        </is>
      </c>
      <c r="D19" s="31" t="n">
        <v>0.6</v>
      </c>
      <c r="E19" s="26" t="n">
        <v>28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3000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n"/>
      <c r="AX19" s="44" t="n"/>
    </row>
    <row r="20">
      <c r="A20" s="29" t="inlineStr">
        <is>
          <t>Gulf Authority Bahrain Motc</t>
        </is>
      </c>
      <c r="B20" s="29" t="inlineStr">
        <is>
          <t>Bahrain</t>
        </is>
      </c>
      <c r="C20" s="30" t="inlineStr">
        <is>
          <t>Raya Port → Address Beach Resort Bahrain — Beach jetty</t>
        </is>
      </c>
      <c r="D20" s="31" t="n">
        <v>0.7</v>
      </c>
      <c r="E20" s="26" t="n">
        <v>28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3000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n"/>
      <c r="AX20" s="44" t="n"/>
    </row>
    <row r="21">
      <c r="A21" s="29" t="inlineStr">
        <is>
          <t>Gulf Authority Bahrain Motc</t>
        </is>
      </c>
      <c r="B21" s="29" t="inlineStr">
        <is>
          <t>Bahrain</t>
        </is>
      </c>
      <c r="C21" s="30" t="inlineStr">
        <is>
          <t>The Marina → Royal Marina</t>
        </is>
      </c>
      <c r="D21" s="31" t="n">
        <v>0.7</v>
      </c>
      <c r="E21" s="26" t="n">
        <v>28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3000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n"/>
      <c r="AX21" s="44" t="n"/>
    </row>
    <row r="22">
      <c r="A22" s="29" t="inlineStr">
        <is>
          <t>Gulf Authority Bahrain Motc</t>
        </is>
      </c>
      <c r="B22" s="29" t="inlineStr">
        <is>
          <t>Bahrain</t>
        </is>
      </c>
      <c r="C22" s="30" t="inlineStr">
        <is>
          <t>King AbdulAziz Port - Dammam → Cruise saudi Terminal</t>
        </is>
      </c>
      <c r="D22" s="31" t="n">
        <v>0.8</v>
      </c>
      <c r="E22" s="26" t="n">
        <v>28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3000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n"/>
      <c r="AX22" s="44" t="n"/>
    </row>
    <row r="23">
      <c r="A23" s="29" t="inlineStr">
        <is>
          <t>Gulf Authority Bahrain Motc</t>
        </is>
      </c>
      <c r="B23" s="29" t="inlineStr">
        <is>
          <t>Bahrain</t>
        </is>
      </c>
      <c r="C23" s="30" t="inlineStr">
        <is>
          <t>Ritz-Carlton Bahrain — Private Marina + Beach Jetty → The Marina</t>
        </is>
      </c>
      <c r="D23" s="31" t="n">
        <v>0.8</v>
      </c>
      <c r="E23" s="26" t="n">
        <v>28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3000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n"/>
      <c r="AX23" s="44" t="n"/>
    </row>
    <row r="24">
      <c r="A24" s="29" t="inlineStr">
        <is>
          <t>Gulf Authority Bahrain Motc</t>
        </is>
      </c>
      <c r="B24" s="29" t="inlineStr">
        <is>
          <t>Bahrain</t>
        </is>
      </c>
      <c r="C24" s="30" t="inlineStr">
        <is>
          <t>Amwaj Marina → Dragon Resort (Amwaj) Jetty</t>
        </is>
      </c>
      <c r="D24" s="31" t="n">
        <v>0.8</v>
      </c>
      <c r="E24" s="26" t="n">
        <v>28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n"/>
      <c r="AX24" s="44" t="n"/>
    </row>
    <row r="25">
      <c r="A25" s="29" t="inlineStr">
        <is>
          <t>Gulf Authority Bahrain Motc</t>
        </is>
      </c>
      <c r="B25" s="29" t="inlineStr">
        <is>
          <t>Bahrain</t>
        </is>
      </c>
      <c r="C25" s="30" t="inlineStr">
        <is>
          <t>Mashtan Marine Services → Sitra (Ad-Dur) Hawar Ferry Terminal</t>
        </is>
      </c>
      <c r="D25" s="31" t="n">
        <v>0.8</v>
      </c>
      <c r="E25" s="26" t="n">
        <v>28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n"/>
      <c r="AX25" s="44" t="n"/>
    </row>
    <row r="26">
      <c r="A26" s="29" t="inlineStr">
        <is>
          <t>Gulf Authority Bahrain Motc</t>
        </is>
      </c>
      <c r="B26" s="29" t="inlineStr">
        <is>
          <t>Bahrain</t>
        </is>
      </c>
      <c r="C26" s="30" t="inlineStr">
        <is>
          <t>Amwaj Marina → Address Beach Resort Bahrain — Beach jetty</t>
        </is>
      </c>
      <c r="D26" s="31" t="n">
        <v>0.9</v>
      </c>
      <c r="E26" s="26" t="n">
        <v>28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3000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n"/>
      <c r="AX26" s="44" t="n"/>
    </row>
    <row r="27">
      <c r="A27" s="29" t="inlineStr">
        <is>
          <t>Gulf Authority Bahrain Motc</t>
        </is>
      </c>
      <c r="B27" s="29" t="inlineStr">
        <is>
          <t>Bahrain</t>
        </is>
      </c>
      <c r="C27" s="30" t="inlineStr">
        <is>
          <t>Bahrain sailing club Muharraq → Marina Beach Garden Park</t>
        </is>
      </c>
      <c r="D27" s="31" t="n">
        <v>1</v>
      </c>
      <c r="E27" s="26" t="n">
        <v>28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3000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n"/>
      <c r="AX27" s="44" t="n"/>
    </row>
    <row r="28">
      <c r="A28" s="29" t="inlineStr">
        <is>
          <t>Gulf Authority Bahrain Motc</t>
        </is>
      </c>
      <c r="B28" s="29" t="inlineStr">
        <is>
          <t>Bahrain</t>
        </is>
      </c>
      <c r="C28" s="30" t="inlineStr">
        <is>
          <t>Raya Port → Amwaj Marina</t>
        </is>
      </c>
      <c r="D28" s="31" t="n">
        <v>1.1</v>
      </c>
      <c r="E28" s="26" t="n">
        <v>28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3000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n"/>
      <c r="AX28" s="44" t="n"/>
    </row>
    <row r="29">
      <c r="A29" s="29" t="inlineStr">
        <is>
          <t>Gulf Authority Bahrain Motc</t>
        </is>
      </c>
      <c r="B29" s="29" t="inlineStr">
        <is>
          <t>Bahrain</t>
        </is>
      </c>
      <c r="C29" s="30" t="inlineStr">
        <is>
          <t>King AbdulAziz Port - Dammam → Saudi Global Ports Co.</t>
        </is>
      </c>
      <c r="D29" s="31" t="n">
        <v>1.1</v>
      </c>
      <c r="E29" s="26" t="n">
        <v>28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3000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n"/>
      <c r="AX29" s="44" t="n"/>
    </row>
    <row r="30">
      <c r="A30" s="29" t="inlineStr">
        <is>
          <t>Gulf Authority Bahrain Motc</t>
        </is>
      </c>
      <c r="B30" s="29" t="inlineStr">
        <is>
          <t>Bahrain</t>
        </is>
      </c>
      <c r="C30" s="30" t="inlineStr">
        <is>
          <t>Sitra (Ad-Dur) Hawar Ferry Terminal → Bahrain Yacht Club</t>
        </is>
      </c>
      <c r="D30" s="31" t="n">
        <v>1.2</v>
      </c>
      <c r="E30" s="26" t="n">
        <v>28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3000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Gulf Authority Bahrain Motc</t>
        </is>
      </c>
      <c r="B31" s="29" t="inlineStr">
        <is>
          <t>Bahrain</t>
        </is>
      </c>
      <c r="C31" s="30" t="inlineStr">
        <is>
          <t>Galali Marina → Dragon Resort (Amwaj) Jetty</t>
        </is>
      </c>
      <c r="D31" s="31" t="n">
        <v>1.2</v>
      </c>
      <c r="E31" s="26" t="n">
        <v>28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3000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Gulf Authority Bahrain Motc</t>
        </is>
      </c>
      <c r="B32" s="29" t="inlineStr">
        <is>
          <t>Bahrain</t>
        </is>
      </c>
      <c r="C32" s="30" t="inlineStr">
        <is>
          <t>Star Marine Services - Boat Trip / Sea Trip to Jarada Island → Marina Beach Garden Park</t>
        </is>
      </c>
      <c r="D32" s="31" t="n">
        <v>1.2</v>
      </c>
      <c r="E32" s="26" t="n">
        <v>28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3000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n"/>
      <c r="AX32" s="44" t="n"/>
    </row>
    <row r="33">
      <c r="A33" s="29" t="inlineStr">
        <is>
          <t>Gulf Authority Bahrain Motc</t>
        </is>
      </c>
      <c r="B33" s="29" t="inlineStr">
        <is>
          <t>Bahrain</t>
        </is>
      </c>
      <c r="C33" s="30" t="inlineStr">
        <is>
          <t>Galali Marina → Amwaj Marina</t>
        </is>
      </c>
      <c r="D33" s="31" t="n">
        <v>1.4</v>
      </c>
      <c r="E33" s="26" t="n">
        <v>28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n"/>
      <c r="AX33" s="44" t="n"/>
    </row>
    <row r="34">
      <c r="A34" s="29" t="inlineStr">
        <is>
          <t>Gulf Authority Bahrain Motc</t>
        </is>
      </c>
      <c r="B34" s="29" t="inlineStr">
        <is>
          <t>Bahrain</t>
        </is>
      </c>
      <c r="C34" s="30" t="inlineStr">
        <is>
          <t>Cruise saudi Terminal → Saudi Global Ports Co.</t>
        </is>
      </c>
      <c r="D34" s="31" t="n">
        <v>1.5</v>
      </c>
      <c r="E34" s="26" t="n">
        <v>28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n"/>
      <c r="AX34" s="44" t="n"/>
    </row>
    <row r="35">
      <c r="A35" s="29" t="inlineStr">
        <is>
          <t>Gulf Authority Bahrain Motc</t>
        </is>
      </c>
      <c r="B35" s="29" t="inlineStr">
        <is>
          <t>Bahrain</t>
        </is>
      </c>
      <c r="C35" s="30" t="inlineStr">
        <is>
          <t>Durrat Marina → Danat Al Bahrain Yacht Club</t>
        </is>
      </c>
      <c r="D35" s="31" t="n">
        <v>1.6</v>
      </c>
      <c r="E35" s="26" t="n">
        <v>28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3000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n"/>
      <c r="AX35" s="44" t="n"/>
    </row>
    <row r="36">
      <c r="A36" s="29" t="inlineStr">
        <is>
          <t>Gulf Authority Bahrain Motc</t>
        </is>
      </c>
      <c r="B36" s="29" t="inlineStr">
        <is>
          <t>Bahrain</t>
        </is>
      </c>
      <c r="C36" s="30" t="inlineStr">
        <is>
          <t>Cornish Marina → Dammam Corniche - Boats Dock</t>
        </is>
      </c>
      <c r="D36" s="31" t="n">
        <v>1.9</v>
      </c>
      <c r="E36" s="26" t="n">
        <v>28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3000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Gulf Authority Bahrain Motc</t>
        </is>
      </c>
      <c r="B37" s="29" t="inlineStr">
        <is>
          <t>Bahrain</t>
        </is>
      </c>
      <c r="C37" s="30" t="inlineStr">
        <is>
          <t>Diyar Al Muharraq Marina → Raya Port</t>
        </is>
      </c>
      <c r="D37" s="31" t="n">
        <v>2.1</v>
      </c>
      <c r="E37" s="26" t="n">
        <v>28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3000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Gulf Authority Bahrain Motc</t>
        </is>
      </c>
      <c r="B38" s="29" t="inlineStr">
        <is>
          <t>Bahrain</t>
        </is>
      </c>
      <c r="C38" s="30" t="inlineStr">
        <is>
          <t>Asker Fishing Harbour → Coffee Harbour</t>
        </is>
      </c>
      <c r="D38" s="31" t="n">
        <v>2.3</v>
      </c>
      <c r="E38" s="26" t="n">
        <v>28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3000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n"/>
      <c r="AX38" s="44" t="n"/>
    </row>
    <row r="39">
      <c r="A39" s="29" t="inlineStr">
        <is>
          <t>Gulf Authority Bahrain Motc</t>
        </is>
      </c>
      <c r="B39" s="29" t="inlineStr">
        <is>
          <t>Bahrain</t>
        </is>
      </c>
      <c r="C39" s="30" t="inlineStr">
        <is>
          <t>Mina Salman Small-Craft / Customs Pier → Coral Bay Marina &amp; Water Sports Center</t>
        </is>
      </c>
      <c r="D39" s="31" t="n">
        <v>2.3</v>
      </c>
      <c r="E39" s="26" t="n">
        <v>28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3000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n"/>
      <c r="AX39" s="44" t="n"/>
    </row>
    <row r="40">
      <c r="A40" s="29" t="inlineStr">
        <is>
          <t>Gulf Authority Bahrain Motc</t>
        </is>
      </c>
      <c r="B40" s="29" t="inlineStr">
        <is>
          <t>Bahrain</t>
        </is>
      </c>
      <c r="C40" s="30" t="inlineStr">
        <is>
          <t>Diyar Al Muharraq Marina → Star Marine Services - Boat Trip / Sea Trip to Jarada Island</t>
        </is>
      </c>
      <c r="D40" s="31" t="n">
        <v>2.4</v>
      </c>
      <c r="E40" s="26" t="n">
        <v>28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3000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Gulf Authority Bahrain Motc</t>
        </is>
      </c>
      <c r="B41" s="29" t="inlineStr">
        <is>
          <t>Bahrain</t>
        </is>
      </c>
      <c r="C41" s="30" t="inlineStr">
        <is>
          <t>Jasrah Park &amp; Harbour → Marina West</t>
        </is>
      </c>
      <c r="D41" s="31" t="n">
        <v>2.5</v>
      </c>
      <c r="E41" s="26" t="n">
        <v>28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3000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Gulf Authority Bahrain Motc</t>
        </is>
      </c>
      <c r="B42" s="29" t="inlineStr">
        <is>
          <t>Bahrain</t>
        </is>
      </c>
      <c r="C42" s="30" t="inlineStr">
        <is>
          <t>MARINA WEST → Jasrah Park &amp; Harbour</t>
        </is>
      </c>
      <c r="D42" s="31" t="n">
        <v>2.6</v>
      </c>
      <c r="E42" s="26" t="n">
        <v>28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3000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n"/>
      <c r="AX42" s="44" t="n"/>
    </row>
    <row r="43">
      <c r="A43" s="29" t="inlineStr">
        <is>
          <t>Gulf Authority Bahrain Motc</t>
        </is>
      </c>
      <c r="B43" s="29" t="inlineStr">
        <is>
          <t>Bahrain</t>
        </is>
      </c>
      <c r="C43" s="30" t="inlineStr">
        <is>
          <t>JEWAR HARBOUR مرفأ جوار → المارينا -انجاز / Al Marina - Injaz</t>
        </is>
      </c>
      <c r="D43" s="31" t="n">
        <v>2.9</v>
      </c>
      <c r="E43" s="26" t="n">
        <v>28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3000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Gulf Authority Bahrain Motc</t>
        </is>
      </c>
      <c r="B44" s="29" t="inlineStr">
        <is>
          <t>Bahrain</t>
        </is>
      </c>
      <c r="C44" s="30" t="inlineStr">
        <is>
          <t>Marina Corniche → JEWAR HARBOUR مرفأ جوار</t>
        </is>
      </c>
      <c r="D44" s="31" t="n">
        <v>3</v>
      </c>
      <c r="E44" s="26" t="n">
        <v>28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3000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n"/>
      <c r="AX44" s="44" t="n"/>
    </row>
    <row r="45">
      <c r="A45" s="29" t="inlineStr">
        <is>
          <t>Gulf Authority Bahrain Motc</t>
        </is>
      </c>
      <c r="B45" s="29" t="inlineStr">
        <is>
          <t>Bahrain</t>
        </is>
      </c>
      <c r="C45" s="30" t="inlineStr">
        <is>
          <t>Bahrain Sailing Club → The Lost Paradise of Dilmun Water Park / Durrat Beach Club jetty</t>
        </is>
      </c>
      <c r="D45" s="31" t="n">
        <v>3.2</v>
      </c>
      <c r="E45" s="26" t="n">
        <v>28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3000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29" t="inlineStr">
        <is>
          <t>Gulf Authority Bahrain Motc</t>
        </is>
      </c>
      <c r="B46" s="29" t="inlineStr">
        <is>
          <t>Bahrain</t>
        </is>
      </c>
      <c r="C46" s="30" t="inlineStr">
        <is>
          <t>Manama → The Marina</t>
        </is>
      </c>
      <c r="D46" s="31" t="n">
        <v>3.2</v>
      </c>
      <c r="E46" s="26" t="n">
        <v>28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3000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n"/>
      <c r="AX46" s="44" t="n"/>
    </row>
    <row r="47">
      <c r="A47" s="29" t="inlineStr">
        <is>
          <t>Gulf Authority Bahrain Motc</t>
        </is>
      </c>
      <c r="B47" s="29" t="inlineStr">
        <is>
          <t>Bahrain</t>
        </is>
      </c>
      <c r="C47" s="30" t="inlineStr">
        <is>
          <t>Jasrah Park &amp; Harbour → Marina Swimming Pool</t>
        </is>
      </c>
      <c r="D47" s="31" t="n">
        <v>3.3</v>
      </c>
      <c r="E47" s="26" t="n">
        <v>28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MIN(10,FLOOR(60*service_hr/J47,1))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3000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n"/>
      <c r="AX47" s="44" t="n"/>
    </row>
    <row r="48">
      <c r="A48" s="29" t="inlineStr">
        <is>
          <t>Gulf Authority Bahrain Motc</t>
        </is>
      </c>
      <c r="B48" s="29" t="inlineStr">
        <is>
          <t>Bahrain</t>
        </is>
      </c>
      <c r="C48" s="30" t="inlineStr">
        <is>
          <t>Half Moon Yacht Association → شركة الأرض والفضاء للترفيه البحري Marine clup</t>
        </is>
      </c>
      <c r="D48" s="31" t="n">
        <v>3.3</v>
      </c>
      <c r="E48" s="26" t="n">
        <v>28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MIN(10,FLOOR(60*service_hr/J48,1))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3000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Gulf Authority Bahrain Motc</t>
        </is>
      </c>
      <c r="B49" s="29" t="inlineStr">
        <is>
          <t>Bahrain</t>
        </is>
      </c>
      <c r="C49" s="30" t="inlineStr">
        <is>
          <t>Bahrain Sailing Club → Zallaq Fishers Harbour</t>
        </is>
      </c>
      <c r="D49" s="31" t="n">
        <v>3.5</v>
      </c>
      <c r="E49" s="26" t="n">
        <v>28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MIN(10,FLOOR(60*service_hr/J49,1))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3000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n"/>
      <c r="AX49" s="44" t="n"/>
    </row>
    <row r="50">
      <c r="A50" s="29" t="inlineStr">
        <is>
          <t>Gulf Authority Bahrain Motc</t>
        </is>
      </c>
      <c r="B50" s="29" t="inlineStr">
        <is>
          <t>Bahrain</t>
        </is>
      </c>
      <c r="C50" s="30" t="inlineStr">
        <is>
          <t>Manama → Diyar Al Muharraq Marina</t>
        </is>
      </c>
      <c r="D50" s="31" t="n">
        <v>3.6</v>
      </c>
      <c r="E50" s="26" t="n">
        <v>28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MIN(10,FLOOR(60*service_hr/J50,1))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3000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n"/>
      <c r="AX50" s="44" t="n"/>
    </row>
    <row r="51">
      <c r="A51" s="29" t="inlineStr">
        <is>
          <t>Gulf Authority Bahrain Motc</t>
        </is>
      </c>
      <c r="B51" s="29" t="inlineStr">
        <is>
          <t>Bahrain</t>
        </is>
      </c>
      <c r="C51" s="30" t="inlineStr">
        <is>
          <t>Zallaq Fishers Harbour → The Lost Paradise of Dilmun Water Park / Durrat Beach Club jetty</t>
        </is>
      </c>
      <c r="D51" s="31" t="n">
        <v>3.7</v>
      </c>
      <c r="E51" s="26" t="n">
        <v>28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MIN(10,FLOOR(60*service_hr/J51,1))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3000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n"/>
      <c r="AX51" s="44" t="n"/>
    </row>
    <row r="52">
      <c r="A52" s="29" t="inlineStr">
        <is>
          <t>Gulf Authority Bahrain Motc</t>
        </is>
      </c>
      <c r="B52" s="29" t="inlineStr">
        <is>
          <t>Bahrain</t>
        </is>
      </c>
      <c r="C52" s="30" t="inlineStr">
        <is>
          <t>Sofitel Bahrain Zallaq Thalassa — Beach jetty → The Lost Paradise of Dilmun Water Park / Durrat Beach Club jetty</t>
        </is>
      </c>
      <c r="D52" s="31" t="n">
        <v>3.9</v>
      </c>
      <c r="E52" s="26" t="n">
        <v>28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MIN(10,FLOOR(60*service_hr/J52,1))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n"/>
      <c r="AX52" s="44" t="n"/>
    </row>
    <row r="53">
      <c r="A53" s="29" t="inlineStr">
        <is>
          <t>Gulf Authority Bahrain Motc</t>
        </is>
      </c>
      <c r="B53" s="29" t="inlineStr">
        <is>
          <t>Bahrain</t>
        </is>
      </c>
      <c r="C53" s="30" t="inlineStr">
        <is>
          <t>شركة شاينا هاربور انجنيرنج العربية المحدودة/CHINA HARBOUR ENGINEERING ARABIA COMPANY LTD → JEWAR HARBOUR مرفأ جوار</t>
        </is>
      </c>
      <c r="D53" s="31" t="n">
        <v>4.5</v>
      </c>
      <c r="E53" s="26" t="n">
        <v>28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MIN(10,FLOOR(60*service_hr/J53,1))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n"/>
      <c r="AX53" s="44" t="n"/>
    </row>
    <row r="54">
      <c r="A54" s="29" t="inlineStr">
        <is>
          <t>Gulf Authority Bahrain Motc</t>
        </is>
      </c>
      <c r="B54" s="29" t="inlineStr">
        <is>
          <t>Bahrain</t>
        </is>
      </c>
      <c r="C54" s="30" t="inlineStr">
        <is>
          <t>Manama → Raya Port</t>
        </is>
      </c>
      <c r="D54" s="31" t="n">
        <v>5</v>
      </c>
      <c r="E54" s="26" t="n">
        <v>28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MIN(10,FLOOR(60*service_hr/J54,1))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3000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n"/>
      <c r="AX54" s="44" t="n"/>
    </row>
    <row r="55">
      <c r="A55" s="29" t="inlineStr">
        <is>
          <t>Gulf Authority Bahrain Motc</t>
        </is>
      </c>
      <c r="B55" s="29" t="inlineStr">
        <is>
          <t>Bahrain</t>
        </is>
      </c>
      <c r="C55" s="30" t="inlineStr">
        <is>
          <t>Asker Fishing Harbour → Bahrain Yacht Club</t>
        </is>
      </c>
      <c r="D55" s="31" t="n">
        <v>5.1</v>
      </c>
      <c r="E55" s="26" t="n">
        <v>28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MIN(10,FLOOR(60*service_hr/J55,1))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3000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Gulf Authority Bahrain Motc</t>
        </is>
      </c>
      <c r="B56" s="29" t="inlineStr">
        <is>
          <t>Bahrain</t>
        </is>
      </c>
      <c r="C56" s="30" t="inlineStr">
        <is>
          <t>Khalifa Bin Salman Port → Mina Salman Small-Craft / Customs Pier</t>
        </is>
      </c>
      <c r="D56" s="31" t="n">
        <v>5.4</v>
      </c>
      <c r="E56" s="26" t="n">
        <v>28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MIN(10,FLOOR(60*service_hr/J56,1))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3000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Gulf Authority Bahrain Motc</t>
        </is>
      </c>
      <c r="B57" s="29" t="inlineStr">
        <is>
          <t>Bahrain</t>
        </is>
      </c>
      <c r="C57" s="30" t="inlineStr">
        <is>
          <t>Dammam Corniche - Boats Dock → Saudi Global Ports Co.</t>
        </is>
      </c>
      <c r="D57" s="31" t="n">
        <v>5.4</v>
      </c>
      <c r="E57" s="26" t="n">
        <v>28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MIN(10,FLOOR(60*service_hr/J57,1))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3000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n"/>
      <c r="AX57" s="44" t="n"/>
    </row>
    <row r="58">
      <c r="A58" s="29" t="inlineStr">
        <is>
          <t>Gulf Authority Bahrain Motc</t>
        </is>
      </c>
      <c r="B58" s="29" t="inlineStr">
        <is>
          <t>Bahrain</t>
        </is>
      </c>
      <c r="C58" s="30" t="inlineStr">
        <is>
          <t>Khalifa Bin Salman Port → Galali Marina</t>
        </is>
      </c>
      <c r="D58" s="31" t="n">
        <v>5.5</v>
      </c>
      <c r="E58" s="26" t="n">
        <v>28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MIN(10,FLOOR(60*service_hr/J58,1))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3000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n"/>
      <c r="AX58" s="44" t="n"/>
    </row>
    <row r="59">
      <c r="A59" s="29" t="inlineStr">
        <is>
          <t>Gulf Authority Bahrain Motc</t>
        </is>
      </c>
      <c r="B59" s="29" t="inlineStr">
        <is>
          <t>Bahrain</t>
        </is>
      </c>
      <c r="C59" s="30" t="inlineStr">
        <is>
          <t>Manama → Galali Marina</t>
        </is>
      </c>
      <c r="D59" s="31" t="n">
        <v>5.6</v>
      </c>
      <c r="E59" s="26" t="n">
        <v>28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MIN(10,FLOOR(60*service_hr/J59,1))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3000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n"/>
      <c r="AX59" s="44" t="n"/>
    </row>
    <row r="60">
      <c r="A60" s="29" t="inlineStr">
        <is>
          <t>Gulf Authority Bahrain Motc</t>
        </is>
      </c>
      <c r="B60" s="29" t="inlineStr">
        <is>
          <t>Bahrain</t>
        </is>
      </c>
      <c r="C60" s="30" t="inlineStr">
        <is>
          <t>Dana Bay Marina → Half Moon Yacht Association</t>
        </is>
      </c>
      <c r="D60" s="31" t="n">
        <v>5.6</v>
      </c>
      <c r="E60" s="26" t="n">
        <v>28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MIN(10,FLOOR(60*service_hr/J60,1))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3000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n"/>
      <c r="AX60" s="44" t="n"/>
    </row>
    <row r="61">
      <c r="A61" s="29" t="inlineStr">
        <is>
          <t>Gulf Authority Bahrain Motc</t>
        </is>
      </c>
      <c r="B61" s="29" t="inlineStr">
        <is>
          <t>Bahrain</t>
        </is>
      </c>
      <c r="C61" s="30" t="inlineStr">
        <is>
          <t>Marina Swimming Pool → Marina West</t>
        </is>
      </c>
      <c r="D61" s="31" t="n">
        <v>5.8</v>
      </c>
      <c r="E61" s="26" t="n">
        <v>28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MIN(10,FLOOR(60*service_hr/J61,1))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3000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n"/>
      <c r="AX61" s="44" t="n"/>
    </row>
    <row r="62">
      <c r="A62" s="29" t="inlineStr">
        <is>
          <t>Gulf Authority Bahrain Motc</t>
        </is>
      </c>
      <c r="B62" s="29" t="inlineStr">
        <is>
          <t>Bahrain</t>
        </is>
      </c>
      <c r="C62" s="30" t="inlineStr">
        <is>
          <t>مرفأ صيد الخبر → شركة شاينا هاربور انجنيرنج العربية المحدودة/CHINA HARBOUR ENGINEERING ARABIA COMPANY LTD</t>
        </is>
      </c>
      <c r="D62" s="31" t="n">
        <v>5.8</v>
      </c>
      <c r="E62" s="26" t="n">
        <v>28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MIN(10,FLOOR(60*service_hr/J62,1))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3000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n"/>
      <c r="AX62" s="44" t="n"/>
    </row>
    <row r="63">
      <c r="A63" s="29" t="inlineStr">
        <is>
          <t>Gulf Authority Bahrain Motc</t>
        </is>
      </c>
      <c r="B63" s="29" t="inlineStr">
        <is>
          <t>Bahrain</t>
        </is>
      </c>
      <c r="C63" s="30" t="inlineStr">
        <is>
          <t>Manama → Amwaj Marina</t>
        </is>
      </c>
      <c r="D63" s="31" t="n">
        <v>5.8</v>
      </c>
      <c r="E63" s="26" t="n">
        <v>28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MIN(10,FLOOR(60*service_hr/J63,1))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3000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n"/>
      <c r="AX63" s="44" t="n"/>
    </row>
    <row r="64">
      <c r="A64" s="29" t="inlineStr">
        <is>
          <t>Gulf Authority Bahrain Motc</t>
        </is>
      </c>
      <c r="B64" s="29" t="inlineStr">
        <is>
          <t>Bahrain</t>
        </is>
      </c>
      <c r="C64" s="30" t="inlineStr">
        <is>
          <t>Coffee Harbour → Bahrain Yacht Club</t>
        </is>
      </c>
      <c r="D64" s="31" t="n">
        <v>6.1</v>
      </c>
      <c r="E64" s="26" t="n">
        <v>28</v>
      </c>
      <c r="F64" s="32" t="inlineStr">
        <is>
          <t>T3</t>
        </is>
      </c>
      <c r="G64" s="32" t="inlineStr">
        <is>
          <t>med-low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MIN(10,FLOOR(60*service_hr/J64,1))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3000</v>
      </c>
      <c r="AH64" s="32" t="inlineStr">
        <is>
          <t>T3</t>
        </is>
      </c>
      <c r="AI64" s="32" t="inlineStr">
        <is>
          <t>med-low</t>
        </is>
      </c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Gulf Authority Bahrain Motc</t>
        </is>
      </c>
      <c r="B65" s="29" t="inlineStr">
        <is>
          <t>Bahrain</t>
        </is>
      </c>
      <c r="C65" s="30" t="inlineStr">
        <is>
          <t>Cornish Marina → Saudi Global Ports Co.</t>
        </is>
      </c>
      <c r="D65" s="31" t="n">
        <v>6.1</v>
      </c>
      <c r="E65" s="26" t="n">
        <v>28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MIN(10,FLOOR(60*service_hr/J65,1))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3000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n"/>
      <c r="AX65" s="44" t="n"/>
    </row>
    <row r="66">
      <c r="A66" s="29" t="inlineStr">
        <is>
          <t>Gulf Authority Bahrain Motc</t>
        </is>
      </c>
      <c r="B66" s="29" t="inlineStr">
        <is>
          <t>Bahrain</t>
        </is>
      </c>
      <c r="C66" s="30" t="inlineStr">
        <is>
          <t>Dana Bay Marina → شركة الأرض والفضاء للترفيه البحري Marine clup</t>
        </is>
      </c>
      <c r="D66" s="31" t="n">
        <v>7.5</v>
      </c>
      <c r="E66" s="26" t="n">
        <v>28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MIN(10,FLOOR(60*service_hr/J66,1))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3000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n"/>
      <c r="AX66" s="44" t="n"/>
    </row>
    <row r="67">
      <c r="A67" s="29" t="inlineStr">
        <is>
          <t>Gulf Authority Bahrain Motc</t>
        </is>
      </c>
      <c r="B67" s="29" t="inlineStr">
        <is>
          <t>Bahrain</t>
        </is>
      </c>
      <c r="C67" s="30" t="inlineStr">
        <is>
          <t>Manama → MARINA WEST</t>
        </is>
      </c>
      <c r="D67" s="31" t="n">
        <v>10.2</v>
      </c>
      <c r="E67" s="26" t="n">
        <v>28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MIN(10,FLOOR(60*service_hr/J67,1))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3000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n"/>
      <c r="AX67" s="44" t="n"/>
    </row>
    <row r="68">
      <c r="A68" s="29" t="inlineStr">
        <is>
          <t>Gulf Authority Bahrain Motc</t>
        </is>
      </c>
      <c r="B68" s="29" t="inlineStr">
        <is>
          <t>Bahrain</t>
        </is>
      </c>
      <c r="C68" s="30" t="inlineStr">
        <is>
          <t>Al Khor Fishing Dock → Semaisma Harbour فرضة سميسمة</t>
        </is>
      </c>
      <c r="D68" s="31" t="n">
        <v>10.6</v>
      </c>
      <c r="E68" s="26" t="n">
        <v>28</v>
      </c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MIN(10,FLOOR(60*service_hr/J68,1))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3000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n"/>
      <c r="AX68" s="44" t="n"/>
    </row>
    <row r="69">
      <c r="A69" s="29" t="inlineStr">
        <is>
          <t>Gulf Authority Bahrain Motc</t>
        </is>
      </c>
      <c r="B69" s="29" t="inlineStr">
        <is>
          <t>Bahrain</t>
        </is>
      </c>
      <c r="C69" s="30" t="inlineStr">
        <is>
          <t>Dukhan Water Sports Club → Hawar Resort Hotel Jetty</t>
        </is>
      </c>
      <c r="D69" s="31" t="n">
        <v>15</v>
      </c>
      <c r="E69" s="26" t="n">
        <v>28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MIN(10,FLOOR(60*service_hr/J69,1))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3000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n"/>
      <c r="AX69" s="44" t="n"/>
    </row>
    <row r="70">
      <c r="A70" s="29" t="inlineStr">
        <is>
          <t>Gulf Authority Bahrain Motc</t>
        </is>
      </c>
      <c r="B70" s="29" t="inlineStr">
        <is>
          <t>Bahrain</t>
        </is>
      </c>
      <c r="C70" s="30" t="inlineStr">
        <is>
          <t>Hawar Resort Hotel Jetty → Durrat Marina</t>
        </is>
      </c>
      <c r="D70" s="31" t="n">
        <v>15</v>
      </c>
      <c r="E70" s="26" t="n">
        <v>28</v>
      </c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MIN(10,FLOOR(60*service_hr/J70,1))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3000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n"/>
      <c r="AX70" s="44" t="n"/>
    </row>
    <row r="71">
      <c r="A71" s="29" t="inlineStr">
        <is>
          <t>Gulf Authority Bahrain Motc</t>
        </is>
      </c>
      <c r="B71" s="29" t="inlineStr">
        <is>
          <t>Bahrain</t>
        </is>
      </c>
      <c r="C71" s="30" t="inlineStr">
        <is>
          <t>RT Yacht Club → Saudi Global Ports Co.</t>
        </is>
      </c>
      <c r="D71" s="31" t="n">
        <v>17.1</v>
      </c>
      <c r="E71" s="26" t="n">
        <v>28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MIN(10,FLOOR(60*service_hr/J71,1))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3000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n"/>
      <c r="AX71" s="44" t="n"/>
    </row>
    <row r="72">
      <c r="A72" s="29" t="inlineStr">
        <is>
          <t>Gulf Authority Bahrain Motc</t>
        </is>
      </c>
      <c r="B72" s="29" t="inlineStr">
        <is>
          <t>Bahrain</t>
        </is>
      </c>
      <c r="C72" s="30" t="inlineStr">
        <is>
          <t>Al Khor Fishing Dock → Lusail Marina Corniche</t>
        </is>
      </c>
      <c r="D72" s="31" t="n">
        <v>20</v>
      </c>
      <c r="E72" s="26" t="n">
        <v>28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MIN(10,FLOOR(60*service_hr/J72,1))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3000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n"/>
      <c r="AX72" s="44" t="n"/>
    </row>
    <row r="73">
      <c r="A73" s="29" t="inlineStr">
        <is>
          <t>Gulf Authority Bahrain Motc</t>
        </is>
      </c>
      <c r="B73" s="29" t="inlineStr">
        <is>
          <t>Bahrain</t>
        </is>
      </c>
      <c r="C73" s="30" t="inlineStr">
        <is>
          <t>Al Khor Fishing Dock → Lusail Marina Promenade</t>
        </is>
      </c>
      <c r="D73" s="31" t="n">
        <v>20.1</v>
      </c>
      <c r="E73" s="26" t="n">
        <v>28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MIN(10,FLOOR(60*service_hr/J73,1))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3000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n"/>
      <c r="AX73" s="44" t="n"/>
    </row>
    <row r="74">
      <c r="A74" s="29" t="inlineStr">
        <is>
          <t>Gulf Authority Bahrain Motc</t>
        </is>
      </c>
      <c r="B74" s="29" t="inlineStr">
        <is>
          <t>Bahrain</t>
        </is>
      </c>
      <c r="C74" s="30" t="inlineStr">
        <is>
          <t>Al Khor Fishing Dock → Lusail Marina Corniche</t>
        </is>
      </c>
      <c r="D74" s="31" t="n">
        <v>20.9</v>
      </c>
      <c r="E74" s="26" t="n">
        <v>28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MIN(10,FLOOR(60*service_hr/J74,1))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3000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n"/>
    </row>
    <row r="75">
      <c r="A75" s="29" t="inlineStr">
        <is>
          <t>Gulf Authority Bahrain Motc</t>
        </is>
      </c>
      <c r="B75" s="29" t="inlineStr">
        <is>
          <t>Bahrain</t>
        </is>
      </c>
      <c r="C75" s="30" t="inlineStr">
        <is>
          <t>Manama → مرفأ صيد الخبر</t>
        </is>
      </c>
      <c r="D75" s="31" t="n">
        <v>21</v>
      </c>
      <c r="E75" s="26" t="n">
        <v>28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MIN(10,FLOOR(60*service_hr/J75,1))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3000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n"/>
      <c r="AX75" s="44" t="n"/>
    </row>
    <row r="76">
      <c r="A76" s="29" t="inlineStr">
        <is>
          <t>Gulf Authority Bahrain Motc</t>
        </is>
      </c>
      <c r="B76" s="29" t="inlineStr">
        <is>
          <t>Bahrain</t>
        </is>
      </c>
      <c r="C76" s="30" t="inlineStr">
        <is>
          <t>Al Khor Fishing Dock → Marina Doha</t>
        </is>
      </c>
      <c r="D76" s="31" t="n">
        <v>21.1</v>
      </c>
      <c r="E76" s="26" t="n">
        <v>28</v>
      </c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MIN(10,FLOOR(60*service_hr/J76,1))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3000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n"/>
      <c r="AX76" s="44" t="n"/>
    </row>
    <row r="77">
      <c r="A77" s="29" t="inlineStr">
        <is>
          <t>Gulf Authority Bahrain Motc</t>
        </is>
      </c>
      <c r="B77" s="29" t="inlineStr">
        <is>
          <t>Bahrain</t>
        </is>
      </c>
      <c r="C77" s="30" t="inlineStr">
        <is>
          <t>Manama → Eastern Province</t>
        </is>
      </c>
      <c r="D77" s="31" t="n">
        <v>21.2</v>
      </c>
      <c r="E77" s="26" t="n">
        <v>28</v>
      </c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MIN(10,FLOOR(60*service_hr/J77,1))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3000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n"/>
      <c r="AX77" s="44" t="n"/>
    </row>
    <row r="78">
      <c r="A78" s="29" t="inlineStr">
        <is>
          <t>Gulf Authority Bahrain Motc</t>
        </is>
      </c>
      <c r="B78" s="29" t="inlineStr">
        <is>
          <t>Bahrain</t>
        </is>
      </c>
      <c r="C78" s="30" t="inlineStr">
        <is>
          <t>Al Khor Fishing Dock → Marina 29 @ L'encore</t>
        </is>
      </c>
      <c r="D78" s="31" t="n">
        <v>21.3</v>
      </c>
      <c r="E78" s="26" t="n">
        <v>28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MIN(10,FLOOR(60*service_hr/J78,1))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3000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n"/>
      <c r="AX78" s="44" t="n"/>
    </row>
    <row r="79">
      <c r="A79" s="29" t="inlineStr">
        <is>
          <t>Gulf Authority Bahrain Motc</t>
        </is>
      </c>
      <c r="B79" s="29" t="inlineStr">
        <is>
          <t>Bahrain</t>
        </is>
      </c>
      <c r="C79" s="30" t="inlineStr">
        <is>
          <t>Manama → Bahrain Sailing Club</t>
        </is>
      </c>
      <c r="D79" s="31" t="n">
        <v>22.5</v>
      </c>
      <c r="E79" s="26" t="n">
        <v>28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MIN(10,FLOOR(60*service_hr/J79,1))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3000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n"/>
      <c r="AX79" s="44" t="n"/>
    </row>
    <row r="80">
      <c r="A80" s="29" t="inlineStr">
        <is>
          <t>Gulf Authority Bahrain Motc</t>
        </is>
      </c>
      <c r="B80" s="29" t="inlineStr">
        <is>
          <t>Bahrain</t>
        </is>
      </c>
      <c r="C80" s="30" t="inlineStr">
        <is>
          <t>Manama → Durrat Marina</t>
        </is>
      </c>
      <c r="D80" s="31" t="n">
        <v>23.8</v>
      </c>
      <c r="E80" s="26" t="n">
        <v>28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MIN(10,FLOOR(60*service_hr/J80,1))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3000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n"/>
      <c r="AX80" s="44" t="n"/>
    </row>
    <row r="81">
      <c r="A81" s="29" t="inlineStr">
        <is>
          <t>Gulf Authority Bahrain Motc</t>
        </is>
      </c>
      <c r="B81" s="29" t="inlineStr">
        <is>
          <t>Bahrain</t>
        </is>
      </c>
      <c r="C81" s="30" t="inlineStr">
        <is>
          <t>Al Khor Fishing Dock → Four Seasons Luxury Marina in Doha</t>
        </is>
      </c>
      <c r="D81" s="31" t="n">
        <v>23.8</v>
      </c>
      <c r="E81" s="26" t="n">
        <v>28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MIN(10,FLOOR(60*service_hr/J81,1))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3000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n"/>
      <c r="AX81" s="44" t="n"/>
    </row>
    <row r="82">
      <c r="A82" s="29" t="inlineStr">
        <is>
          <t>Gulf Authority Bahrain Motc</t>
        </is>
      </c>
      <c r="B82" s="29" t="inlineStr">
        <is>
          <t>Bahrain</t>
        </is>
      </c>
      <c r="C82" s="30" t="inlineStr">
        <is>
          <t>Manama → Marina Corniche</t>
        </is>
      </c>
      <c r="D82" s="31" t="n">
        <v>23.9</v>
      </c>
      <c r="E82" s="26" t="n">
        <v>28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MIN(10,FLOOR(60*service_hr/J82,1))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3000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n"/>
      <c r="AX82" s="44" t="n"/>
    </row>
    <row r="83">
      <c r="A83" s="29" t="inlineStr">
        <is>
          <t>Gulf Authority Bahrain Motc</t>
        </is>
      </c>
      <c r="B83" s="29" t="inlineStr">
        <is>
          <t>Bahrain</t>
        </is>
      </c>
      <c r="C83" s="30" t="inlineStr">
        <is>
          <t>Al Khor Fishing Dock → Doha Port</t>
        </is>
      </c>
      <c r="D83" s="31" t="n">
        <v>24.9</v>
      </c>
      <c r="E83" s="26" t="n">
        <v>28</v>
      </c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MIN(10,FLOOR(60*service_hr/J83,1))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3000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n"/>
      <c r="AX83" s="44" t="n"/>
    </row>
    <row r="84">
      <c r="A84" s="29" t="inlineStr">
        <is>
          <t>Gulf Authority Bahrain Motc</t>
        </is>
      </c>
      <c r="B84" s="29" t="inlineStr">
        <is>
          <t>Bahrain</t>
        </is>
      </c>
      <c r="C84" s="30" t="inlineStr">
        <is>
          <t>Manama → الارض والفضاء للترفيه البحري Land &amp; space Marina</t>
        </is>
      </c>
      <c r="D84" s="31" t="n">
        <v>25.1</v>
      </c>
      <c r="E84" s="26" t="n">
        <v>28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MIN(10,FLOOR(60*service_hr/J84,1))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3000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n"/>
      <c r="AX84" s="44" t="n"/>
    </row>
    <row r="85">
      <c r="A85" s="29" t="inlineStr">
        <is>
          <t>Gulf Authority Bahrain Motc</t>
        </is>
      </c>
      <c r="B85" s="29" t="inlineStr">
        <is>
          <t>Bahrain</t>
        </is>
      </c>
      <c r="C85" s="30" t="inlineStr">
        <is>
          <t>Al Khor Fishing Dock → Qatar Tourist Boats</t>
        </is>
      </c>
      <c r="D85" s="31" t="n">
        <v>26.5</v>
      </c>
      <c r="E85" s="26" t="n">
        <v>28</v>
      </c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MIN(10,FLOOR(60*service_hr/J85,1))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3000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n"/>
      <c r="AX85" s="44" t="n"/>
    </row>
    <row r="86">
      <c r="A86" s="29" t="inlineStr">
        <is>
          <t>Gulf Authority Bahrain Motc</t>
        </is>
      </c>
      <c r="B86" s="29" t="inlineStr">
        <is>
          <t>Bahrain</t>
        </is>
      </c>
      <c r="C86" s="30" t="inlineStr">
        <is>
          <t>Manama → King AbdulAziz Port - Dammam</t>
        </is>
      </c>
      <c r="D86" s="31" t="n">
        <v>27.3</v>
      </c>
      <c r="E86" s="26" t="n">
        <v>28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MIN(10,FLOOR(60*service_hr/J86,1))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3000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n"/>
      <c r="AX86" s="44" t="n"/>
    </row>
    <row r="87">
      <c r="A87" s="29" t="inlineStr">
        <is>
          <t>Gulf Authority Bahrain Motc</t>
        </is>
      </c>
      <c r="B87" s="29" t="inlineStr">
        <is>
          <t>Bahrain</t>
        </is>
      </c>
      <c r="C87" s="30" t="inlineStr">
        <is>
          <t>Dukhan Water Sports Club → Durrat Marina</t>
        </is>
      </c>
      <c r="D87" s="31" t="n">
        <v>29.7</v>
      </c>
      <c r="E87" s="26" t="n">
        <v>28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MIN(10,FLOOR(60*service_hr/J87,1))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3000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n"/>
      <c r="AX87" s="44" t="n"/>
    </row>
    <row r="88">
      <c r="A88" s="29" t="inlineStr">
        <is>
          <t>Gulf Authority Bahrain Motc</t>
        </is>
      </c>
      <c r="B88" s="29" t="inlineStr">
        <is>
          <t>Bahrain</t>
        </is>
      </c>
      <c r="C88" s="30" t="inlineStr">
        <is>
          <t>Manama → Cornish Marina</t>
        </is>
      </c>
      <c r="D88" s="31" t="n">
        <v>33.6</v>
      </c>
      <c r="E88" s="26" t="n">
        <v>28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MIN(10,FLOOR(60*service_hr/J88,1))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3000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n"/>
      <c r="AX88" s="44" t="n"/>
    </row>
    <row r="89">
      <c r="A89" s="29" t="inlineStr">
        <is>
          <t>Gulf Authority Bahrain Motc</t>
        </is>
      </c>
      <c r="B89" s="29" t="inlineStr">
        <is>
          <t>Bahrain</t>
        </is>
      </c>
      <c r="C89" s="30" t="inlineStr">
        <is>
          <t>Manama → Half Moon Yacht Association</t>
        </is>
      </c>
      <c r="D89" s="31" t="n">
        <v>36.9</v>
      </c>
      <c r="E89" s="26" t="n">
        <v>28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MIN(10,FLOOR(60*service_hr/J89,1))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3000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n"/>
      <c r="AX89" s="44" t="n"/>
    </row>
    <row r="90">
      <c r="A90" s="29" t="inlineStr">
        <is>
          <t>Gulf Authority Bahrain Motc</t>
        </is>
      </c>
      <c r="B90" s="29" t="inlineStr">
        <is>
          <t>Bahrain</t>
        </is>
      </c>
      <c r="C90" s="30" t="inlineStr">
        <is>
          <t>Manama → Dana Bay Marina</t>
        </is>
      </c>
      <c r="D90" s="31" t="n">
        <v>37.5</v>
      </c>
      <c r="E90" s="26" t="n">
        <v>28</v>
      </c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MIN(10,FLOOR(60*service_hr/J90,1))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3000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n"/>
      <c r="AX90" s="44" t="n"/>
    </row>
    <row r="91">
      <c r="A91" s="45" t="inlineStr">
        <is>
          <t>TOTAL / median</t>
        </is>
      </c>
      <c r="T91" s="46">
        <f>SUM(T4:T90)</f>
        <v/>
      </c>
      <c r="AC91" s="46">
        <f>SUM(AC4:AC90)</f>
        <v/>
      </c>
      <c r="AD91" s="47">
        <f>IF(T91=0,"",AC91/T91)</f>
        <v/>
      </c>
      <c r="AL91" s="48">
        <f>SUM(AL4:AL90)</f>
        <v/>
      </c>
      <c r="AM91" s="46">
        <f>SUM(AM4:AM90)</f>
        <v/>
      </c>
    </row>
    <row r="93">
      <c r="A9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4">
      <c r="A94" s="24" t="inlineStr">
        <is>
          <t>Market</t>
        </is>
      </c>
      <c r="B94" s="24" t="inlineStr">
        <is>
          <t>Fleet basis</t>
        </is>
      </c>
      <c r="C94" s="24" t="inlineStr">
        <is>
          <t>Raw vessels (sum)</t>
        </is>
      </c>
      <c r="D94" s="24" t="inlineStr">
        <is>
          <t>Fleet (rounded once)</t>
        </is>
      </c>
      <c r="E94" s="24" t="inlineStr">
        <is>
          <t>Market rev/yr (raw sum)</t>
        </is>
      </c>
    </row>
    <row r="95">
      <c r="A95" s="25" t="inlineStr">
        <is>
          <t>Gulf Authority Bahrain Motc</t>
        </is>
      </c>
      <c r="B95" s="13" t="inlineStr">
        <is>
          <t>network_sum / ceil</t>
        </is>
      </c>
      <c r="C95" s="23">
        <f>SUMIFS(AN4:AN90,A4:A90,"Gulf Authority Bahrain Motc",AP4:AP90,"=",AQ4:AQ90,"=",AR4:AR90,"=")</f>
        <v/>
      </c>
      <c r="D95" s="49">
        <f>IF(C95=0,0,CEILING(C95,1))</f>
        <v/>
      </c>
      <c r="E95" s="50">
        <f>SUMIFS(AO4:AO90,A4:A90,"Gulf Authority Bahrain Motc",AP4:AP90,"=",AQ4:AQ90,"=",AR4:AR90,"=")</f>
        <v/>
      </c>
    </row>
    <row r="96">
      <c r="A96" s="45" t="inlineStr">
        <is>
          <t>GROUNDED FLOOR (PUBLISHED)</t>
        </is>
      </c>
      <c r="D96" s="48">
        <f>SUM(D95:D95)</f>
        <v/>
      </c>
      <c r="E96" s="46">
        <f>SUM(E95:E95)</f>
        <v/>
      </c>
    </row>
    <row r="98">
      <c r="A98" s="51" t="inlineStr">
        <is>
          <t>Held for Quanta-LR (&gt;70nm, roadmap H2 2026+):</t>
        </is>
      </c>
      <c r="C98" s="52" t="inlineStr">
        <is>
          <t>Al Khor Fishing Dock → Hawar Resort Hotel Jetty (88.3nm)</t>
        </is>
      </c>
    </row>
    <row r="99">
      <c r="C99" s="52" t="inlineStr">
        <is>
          <t>Manama → Dubai (290.6nm)</t>
        </is>
      </c>
    </row>
    <row r="100">
      <c r="C100" s="52" t="inlineStr">
        <is>
          <t>Abu Dhabi → Manama (264.1nm)</t>
        </is>
      </c>
    </row>
    <row r="101">
      <c r="C101" s="52" t="inlineStr">
        <is>
          <t>Lusail Marina → Bahrain Financial Harbour Marina (BFH) (72.7nm)</t>
        </is>
      </c>
    </row>
  </sheetData>
  <mergeCells count="2">
    <mergeCell ref="A1:L1"/>
    <mergeCell ref="A93:L9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2026-06-21T12:45:23Z</dcterms:created>
  <dcterms:modified xsi:type="dcterms:W3CDTF">2026-06-21T12:45:23Z</dcterms:modified>
</cp:coreProperties>
</file>