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Corridor economics" sheetId="4" state="visible" r:id="rId4"/>
    <sheet name="Market sizing" sheetId="5" state="visible" r:id="rId5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ins_pct">'Assumptions'!$B$21</definedName>
    <definedName name="charge_berth">'Assumptions'!$B$22</definedName>
    <definedName name="mech_uptime">'Assumptions'!$B$23</definedName>
    <definedName name="capture">'Assumptions'!$B$24</definedName>
    <definedName name="capture_captive">'Assumptions'!$B$25</definedName>
    <definedName name="discount">'Assumptions'!$B$26</definedName>
    <definedName name="diesel_co2pg">'Assumptions'!$B$27</definedName>
    <definedName name="load_thin">'Assumptions'!$B$31</definedName>
    <definedName name="revleg_thin">'Assumptions'!$C$31</definedName>
    <definedName name="load_mid">'Assumptions'!$B$32</definedName>
    <definedName name="revleg_mid">'Assumptions'!$C$32</definedName>
    <definedName name="load_full">'Assumptions'!$B$33</definedName>
    <definedName name="revleg_full">'Assumptions'!$C$33</definedName>
    <definedName name="band_tbl">'Assumptions'!$A$31:$C$33</definedName>
    <definedName name="scenario">'Assumptions'!$B$35</definedName>
    <definedName name="load_sel">'Assumptions'!$B$36</definedName>
    <definedName name="revleg_sel">'Assumptions'!$B$37</definedName>
    <definedName name="country_opex">'Country opex'!$A$4:$G$8</definedName>
    <definedName name="som_floor_fleet">'Corridor economics'!$D$14</definedName>
    <definedName name="som_floor_rev">'Corridor economics'!$E$14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%"/>
    <numFmt numFmtId="166" formatCode="&quot;$&quot;#,##0.00"/>
    <numFmt numFmtId="167" formatCode="#,##0.0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  <font>
      <sz val="9"/>
    </font>
    <font>
      <color rgb="00555555"/>
      <sz val="8"/>
    </font>
    <font>
      <color rgb="009C4500"/>
      <sz val="8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2E5A88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2" borderId="0" pivotButton="0" quotePrefix="0" xfId="0"/>
    <xf numFmtId="0" fontId="4" fillId="6" borderId="0" pivotButton="0" quotePrefix="0" xfId="0"/>
    <xf numFmtId="0" fontId="5" fillId="6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7" borderId="1" pivotButton="0" quotePrefix="0" xfId="0"/>
    <xf numFmtId="0" fontId="7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6" fillId="4" borderId="1" pivotButton="0" quotePrefix="0" xfId="0"/>
    <xf numFmtId="0" fontId="8" fillId="4" borderId="1" applyAlignment="1" pivotButton="0" quotePrefix="0" xfId="0">
      <alignment vertical="top" wrapText="1"/>
    </xf>
    <xf numFmtId="3" fontId="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3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4" fontId="8" fillId="5" borderId="1" applyAlignment="1" pivotButton="0" quotePrefix="0" xfId="0">
      <alignment horizontal="center" vertical="center"/>
    </xf>
    <xf numFmtId="166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4" fontId="8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vertical="top" wrapText="1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Caribbean-Mobility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trips/day × operating days/yr × revenue-leg factor × (pax capacity × load factor) × Navier fare</t>
        </is>
      </c>
    </row>
    <row r="10">
      <c r="B10" s="5" t="inlineStr">
        <is>
          <t xml:space="preserve">    trips/day      = FLOOR(service window hr ÷ cycle time);  cycle = one-way time + turnaround</t>
        </is>
      </c>
    </row>
    <row r="11">
      <c r="B11" s="5" t="inlineStr">
        <is>
          <t xml:space="preserve">    one-way time   = distance(nm) ÷ cruise speed(kt)</t>
        </is>
      </c>
    </row>
    <row r="12">
      <c r="B12" s="5" t="inlineStr">
        <is>
          <t xml:space="preserve">    operating days = 365 × mechanical uptime × weather factor</t>
        </is>
      </c>
    </row>
    <row r="13">
      <c r="B13" s="5" t="inlineStr">
        <is>
          <t xml:space="preserve">    Navier fare    = comparable premium transfer fare × discount (=1.0, market parity)</t>
        </is>
      </c>
    </row>
    <row r="14">
      <c r="B14" s="4" t="inlineStr">
        <is>
          <t>EBITDA  = REVENUE − OPEX   (energy + captain + marina/overhead + maintenance)</t>
        </is>
      </c>
    </row>
    <row r="15">
      <c r="B15" s="4" t="inlineStr">
        <is>
          <t>PAYBACK = vessel CAPEX ÷ EBITDA</t>
        </is>
      </c>
    </row>
    <row r="16">
      <c r="B16" s="2" t="inlineStr"/>
    </row>
    <row r="17">
      <c r="B17" s="3" t="inlineStr">
        <is>
          <t>From demand pool to fleet &amp; market size</t>
        </is>
      </c>
    </row>
    <row r="18">
      <c r="B1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19">
      <c r="B19" s="2" t="inlineStr">
        <is>
          <t>Vessels supported = FLOOR(Navier rides/yr ÷ pax/yr per boat);  Market rev = vessels × rev/boat. The 'Market sizing' tab rolls these up into the SOM → SAM → TAM ladder.</t>
        </is>
      </c>
    </row>
    <row r="20">
      <c r="B20" s="2" t="inlineStr"/>
    </row>
    <row r="21">
      <c r="B21" s="3" t="inlineStr">
        <is>
          <t>The scenario toggle (what we flex)</t>
        </is>
      </c>
    </row>
    <row r="22">
      <c r="B22" s="2" t="inlineStr">
        <is>
          <t>'Corridor economics' has a SCENARIO cell = THIN / MID / FULL. It flexes two levers: load factor (how full the boat is) and revenue-leg factor (how many legs earn full fare). MID is the headline. Change that one cell and the whole model recomputes. The right-hand Payback THIN/MID/FULL columns always show all three at once.</t>
        </is>
      </c>
    </row>
    <row r="23">
      <c r="B23" s="2" t="inlineStr"/>
    </row>
    <row r="24">
      <c r="B24" s="3" t="inlineStr">
        <is>
          <t>Colour &amp; provenance legend</t>
        </is>
      </c>
    </row>
    <row r="25">
      <c r="B25" s="6" t="inlineStr">
        <is>
          <t xml:space="preserve">   Yellow = INPUTS you can change (fare, distance, demand, weather).</t>
        </is>
      </c>
    </row>
    <row r="26">
      <c r="B26" s="7" t="inlineStr">
        <is>
          <t xml:space="preserve">   Green  = COMPUTED by formula.</t>
        </is>
      </c>
    </row>
    <row r="27">
      <c r="B2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8" t="inlineStr">
        <is>
          <t>Assumptions — single source of truth (the engine references these named cells)</t>
        </is>
      </c>
    </row>
    <row r="3">
      <c r="A3" s="9" t="inlineStr">
        <is>
          <t>Vessel — N30 Pioneer II  (L1 global, commercial now)</t>
        </is>
      </c>
    </row>
    <row r="4">
      <c r="A4" s="10" t="inlineStr">
        <is>
          <t>Parameter</t>
        </is>
      </c>
      <c r="B4" s="10" t="inlineStr">
        <is>
          <t>Value</t>
        </is>
      </c>
      <c r="C4" s="10" t="inlineStr">
        <is>
          <t>Unit</t>
        </is>
      </c>
      <c r="D4" s="10" t="inlineStr">
        <is>
          <t>Tier</t>
        </is>
      </c>
      <c r="E4" s="10" t="inlineStr">
        <is>
          <t>Conf.</t>
        </is>
      </c>
      <c r="F4" s="10" t="inlineStr">
        <is>
          <t>Source / note</t>
        </is>
      </c>
    </row>
    <row r="5">
      <c r="A5" s="11" t="inlineStr">
        <is>
          <t>Passenger capacity</t>
        </is>
      </c>
      <c r="B5" s="12" t="n">
        <v>8</v>
      </c>
      <c r="C5" s="13" t="inlineStr">
        <is>
          <t>pax</t>
        </is>
      </c>
      <c r="D5" s="13" t="inlineStr">
        <is>
          <t>T1</t>
        </is>
      </c>
      <c r="E5" s="13" t="inlineStr">
        <is>
          <t>high</t>
        </is>
      </c>
      <c r="F5" s="14" t="inlineStr">
        <is>
          <t>Navier model: up to 8 pax where local rules allow (Jaideep set base case to 8, 2026-06-06)</t>
        </is>
      </c>
    </row>
    <row r="6">
      <c r="A6" s="11" t="inlineStr">
        <is>
          <t>Range</t>
        </is>
      </c>
      <c r="B6" s="12" t="n">
        <v>70</v>
      </c>
      <c r="C6" s="13" t="inlineStr">
        <is>
          <t>nm</t>
        </is>
      </c>
      <c r="D6" s="13" t="inlineStr">
        <is>
          <t>T1</t>
        </is>
      </c>
      <c r="E6" s="13" t="inlineStr">
        <is>
          <t>high</t>
        </is>
      </c>
      <c r="F6" s="14" t="inlineStr">
        <is>
          <t>Navier locked spec (KB)</t>
        </is>
      </c>
    </row>
    <row r="7">
      <c r="A7" s="11" t="inlineStr">
        <is>
          <t>Cruise speed</t>
        </is>
      </c>
      <c r="B7" s="12" t="n">
        <v>20</v>
      </c>
      <c r="C7" s="13" t="inlineStr">
        <is>
          <t>kt</t>
        </is>
      </c>
      <c r="D7" s="13" t="inlineStr">
        <is>
          <t>T1</t>
        </is>
      </c>
      <c r="E7" s="13" t="inlineStr">
        <is>
          <t>high</t>
        </is>
      </c>
      <c r="F7" s="14" t="inlineStr">
        <is>
          <t>Navier locked spec (cruise)</t>
        </is>
      </c>
    </row>
    <row r="8">
      <c r="A8" s="11" t="inlineStr">
        <is>
          <t>CAPEX (per vessel; US/EU base — ROW=$600K, see Country opex tab col G)</t>
        </is>
      </c>
      <c r="B8" s="15" t="n">
        <v>900000</v>
      </c>
      <c r="C8" s="13" t="inlineStr">
        <is>
          <t>USD</t>
        </is>
      </c>
      <c r="D8" s="13" t="inlineStr">
        <is>
          <t>T1</t>
        </is>
      </c>
      <c r="E8" s="13" t="inlineStr">
        <is>
          <t>high</t>
        </is>
      </c>
      <c r="F8" s="14" t="inlineStr">
        <is>
          <t>Navier price (LYFT ref model, ex tax/fees)</t>
        </is>
      </c>
    </row>
    <row r="9">
      <c r="A9" s="11" t="inlineStr">
        <is>
          <t>Battery</t>
        </is>
      </c>
      <c r="B9" s="12" t="n">
        <v>114</v>
      </c>
      <c r="C9" s="13" t="inlineStr">
        <is>
          <t>kWh</t>
        </is>
      </c>
      <c r="D9" s="13" t="inlineStr">
        <is>
          <t>T1</t>
        </is>
      </c>
      <c r="E9" s="13" t="inlineStr">
        <is>
          <t>high</t>
        </is>
      </c>
      <c r="F9" s="14" t="inlineStr">
        <is>
          <t>Navier data (LYFT ref model)</t>
        </is>
      </c>
    </row>
    <row r="10">
      <c r="A10" s="11" t="inlineStr">
        <is>
          <t>Annual maintenance</t>
        </is>
      </c>
      <c r="B10" s="15" t="n">
        <v>10000</v>
      </c>
      <c r="C10" s="13" t="inlineStr">
        <is>
          <t>USD/yr</t>
        </is>
      </c>
      <c r="D10" s="13" t="inlineStr">
        <is>
          <t>T1</t>
        </is>
      </c>
      <c r="E10" s="13" t="inlineStr">
        <is>
          <t>med</t>
        </is>
      </c>
      <c r="F10" s="14" t="inlineStr">
        <is>
          <t>Navier data (LYFT ref model)</t>
        </is>
      </c>
    </row>
    <row r="11">
      <c r="A11" s="11" t="inlineStr">
        <is>
          <t>Depreciation life</t>
        </is>
      </c>
      <c r="B11" s="12" t="n">
        <v>20</v>
      </c>
      <c r="C11" s="13" t="inlineStr">
        <is>
          <t>yr</t>
        </is>
      </c>
      <c r="D11" s="13" t="inlineStr">
        <is>
          <t>T2</t>
        </is>
      </c>
      <c r="E11" s="13" t="inlineStr">
        <is>
          <t>med</t>
        </is>
      </c>
      <c r="F11" s="14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1" t="inlineStr">
        <is>
          <t>Diesel comparable economy</t>
        </is>
      </c>
      <c r="B12" s="16" t="n">
        <v>1.5</v>
      </c>
      <c r="C12" s="13" t="inlineStr">
        <is>
          <t>nm/gal</t>
        </is>
      </c>
      <c r="D12" s="13" t="inlineStr">
        <is>
          <t>T3</t>
        </is>
      </c>
      <c r="E12" s="13" t="inlineStr">
        <is>
          <t>med</t>
        </is>
      </c>
      <c r="F12" s="14" t="inlineStr">
        <is>
          <t>Navier + open web (LYFT ref model)</t>
        </is>
      </c>
    </row>
    <row r="14">
      <c r="A14" s="9" t="inlineStr">
        <is>
          <t>Operating defaults  (L1 global; overridable per market)</t>
        </is>
      </c>
    </row>
    <row r="15">
      <c r="A15" s="10" t="inlineStr">
        <is>
          <t>Parameter</t>
        </is>
      </c>
      <c r="B15" s="10" t="inlineStr">
        <is>
          <t>Value</t>
        </is>
      </c>
      <c r="C15" s="10" t="inlineStr">
        <is>
          <t>Unit</t>
        </is>
      </c>
      <c r="D15" s="10" t="inlineStr">
        <is>
          <t>Tier</t>
        </is>
      </c>
      <c r="E15" s="10" t="inlineStr">
        <is>
          <t>Conf.</t>
        </is>
      </c>
      <c r="F15" s="10" t="inlineStr">
        <is>
          <t>Source / note</t>
        </is>
      </c>
    </row>
    <row r="16">
      <c r="A16" s="11" t="inlineStr">
        <is>
          <t>Service window</t>
        </is>
      </c>
      <c r="B16" s="12" t="n">
        <v>12</v>
      </c>
      <c r="C16" s="13" t="inlineStr">
        <is>
          <t>hr/day</t>
        </is>
      </c>
      <c r="D16" s="13" t="inlineStr">
        <is>
          <t>T5</t>
        </is>
      </c>
      <c r="E16" s="13" t="inlineStr">
        <is>
          <t>low</t>
        </is>
      </c>
      <c r="F16" s="14" t="inlineStr">
        <is>
          <t>Modeled single-asset commercial service window (one extended crew day, water-taxi norm). Conservative vs 24h.</t>
        </is>
      </c>
    </row>
    <row r="17">
      <c r="A17" s="11" t="inlineStr">
        <is>
          <t>Turnaround / charge per leg</t>
        </is>
      </c>
      <c r="B17" s="12" t="n">
        <v>20</v>
      </c>
      <c r="C17" s="13" t="inlineStr">
        <is>
          <t>min</t>
        </is>
      </c>
      <c r="D17" s="13" t="inlineStr">
        <is>
          <t>T1</t>
        </is>
      </c>
      <c r="E17" s="13" t="inlineStr">
        <is>
          <t>med</t>
        </is>
      </c>
      <c r="F17" s="14" t="inlineStr">
        <is>
          <t>Navier fast-charge (LYFT ref ~20-30min)</t>
        </is>
      </c>
    </row>
    <row r="18">
      <c r="A18" s="11" t="inlineStr">
        <is>
          <t>Boarding / scheduling dwell per leg</t>
        </is>
      </c>
      <c r="B18" s="12" t="n">
        <v>10</v>
      </c>
      <c r="C18" s="13" t="inlineStr">
        <is>
          <t>min</t>
        </is>
      </c>
      <c r="D18" s="13" t="inlineStr">
        <is>
          <t>T3</t>
        </is>
      </c>
      <c r="E18" s="13" t="inlineStr">
        <is>
          <t>med</t>
        </is>
      </c>
      <c r="F18" s="14" t="inlineStr">
        <is>
          <t>Premium board/deboard + scheduling slack added to each cycle (Jaideep 2026-06-19).</t>
        </is>
      </c>
    </row>
    <row r="19">
      <c r="A19" s="11" t="inlineStr">
        <is>
          <t>Max revenue sailings/day (cap)</t>
        </is>
      </c>
      <c r="B19" s="12" t="n">
        <v>15</v>
      </c>
      <c r="C19" s="13" t="inlineStr">
        <is>
          <t>legs/day</t>
        </is>
      </c>
      <c r="D19" s="13" t="inlineStr">
        <is>
          <t>T3</t>
        </is>
      </c>
      <c r="E19" s="13" t="inlineStr">
        <is>
          <t>med</t>
        </is>
      </c>
      <c r="F19" s="14" t="inlineStr">
        <is>
          <t>Cap on revenue sailings/day — MID headline duty cycle; thin=12 / full=18 bookends in _utilization_scenarios (Jaideep 2026-06-21).</t>
        </is>
      </c>
    </row>
    <row r="20">
      <c r="A20" s="11" t="inlineStr">
        <is>
          <t>Crew FTE factor (x captain wage)</t>
        </is>
      </c>
      <c r="B20" s="16" t="n">
        <v>1.8</v>
      </c>
      <c r="C20" s="13" t="inlineStr">
        <is>
          <t>x</t>
        </is>
      </c>
      <c r="D20" s="13" t="inlineStr">
        <is>
          <t>T3</t>
        </is>
      </c>
      <c r="E20" s="13" t="inlineStr">
        <is>
          <t>med</t>
        </is>
      </c>
      <c r="F20" s="14" t="inlineStr">
        <is>
          <t>A captain can't run 7 days/wk; 1.8 FTE covers relief/leave/second-shift year-round (Jaideep 2026-06-19). Scales off localized captain wage.</t>
        </is>
      </c>
    </row>
    <row r="21">
      <c r="A21" s="11" t="inlineStr">
        <is>
          <t>Insurance (% of capex/yr)</t>
        </is>
      </c>
      <c r="B21" s="17" t="n">
        <v>0.025</v>
      </c>
      <c r="C21" s="13" t="inlineStr">
        <is>
          <t>frac</t>
        </is>
      </c>
      <c r="D21" s="13" t="inlineStr">
        <is>
          <t>T3</t>
        </is>
      </c>
      <c r="E21" s="13" t="inlineStr">
        <is>
          <t>med</t>
        </is>
      </c>
      <c r="F21" s="14" t="inlineStr">
        <is>
          <t>H&amp;M + P&amp;I for a commercial passenger vessel ~2.5%/yr of capex; scales with regional capex overrides (Jaideep 2026-06-19).</t>
        </is>
      </c>
    </row>
    <row r="22">
      <c r="A22" s="11" t="inlineStr">
        <is>
          <t>Charging &amp; berth (additional to marina+energy)</t>
        </is>
      </c>
      <c r="B22" s="15" t="n">
        <v>18000</v>
      </c>
      <c r="C22" s="13" t="inlineStr">
        <is>
          <t>USD/yr</t>
        </is>
      </c>
      <c r="D22" s="13" t="inlineStr">
        <is>
          <t>T3</t>
        </is>
      </c>
      <c r="E22" s="13" t="inlineStr">
        <is>
          <t>med</t>
        </is>
      </c>
      <c r="F22" s="14" t="inlineStr">
        <is>
          <t>Dedicated fast-charge berth + demand charges, ADDITIONAL to marina overhead and energy (Jaideep 2026-06-19). L3-overridable.</t>
        </is>
      </c>
    </row>
    <row r="23">
      <c r="A23" s="11" t="inlineStr">
        <is>
          <t>Mechanical uptime</t>
        </is>
      </c>
      <c r="B23" s="17" t="n">
        <v>0.75</v>
      </c>
      <c r="C23" s="13" t="inlineStr">
        <is>
          <t>frac</t>
        </is>
      </c>
      <c r="D23" s="13" t="inlineStr">
        <is>
          <t>T4</t>
        </is>
      </c>
      <c r="E23" s="13" t="inlineStr">
        <is>
          <t>med</t>
        </is>
      </c>
      <c r="F23" s="14" t="inlineStr">
        <is>
          <t>Blade luxury aviation ~75-80% reliability uptime</t>
        </is>
      </c>
    </row>
    <row r="24">
      <c r="A24" s="11" t="inlineStr">
        <is>
          <t>Navier capture rate</t>
        </is>
      </c>
      <c r="B24" s="17" t="n">
        <v>0.1</v>
      </c>
      <c r="C24" s="13" t="inlineStr">
        <is>
          <t>frac</t>
        </is>
      </c>
      <c r="D24" s="13" t="inlineStr"/>
      <c r="E24" s="13" t="inlineStr">
        <is>
          <t>med</t>
        </is>
      </c>
      <c r="F24" s="14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5">
      <c r="A25" s="11" t="inlineStr">
        <is>
          <t>Captive capture rate (A′ corridors)</t>
        </is>
      </c>
      <c r="B25" s="17" t="n">
        <v>0.9</v>
      </c>
      <c r="C25" s="13" t="inlineStr">
        <is>
          <t>frac</t>
        </is>
      </c>
      <c r="D25" s="13" t="inlineStr"/>
      <c r="E25" s="13" t="inlineStr">
        <is>
          <t>med</t>
        </is>
      </c>
      <c r="F25" s="14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6">
      <c r="A26" s="11" t="inlineStr">
        <is>
          <t>Discount factor (vs comparable fare)</t>
        </is>
      </c>
      <c r="B26" s="16" t="n">
        <v>1</v>
      </c>
      <c r="C26" s="13" t="inlineStr">
        <is>
          <t>frac</t>
        </is>
      </c>
      <c r="D26" s="13" t="inlineStr">
        <is>
          <t>T1</t>
        </is>
      </c>
      <c r="E26" s="13" t="inlineStr">
        <is>
          <t>high</t>
        </is>
      </c>
      <c r="F26" s="14" t="inlineStr">
        <is>
          <t>Market parity — better product, not cheaper (locked).</t>
        </is>
      </c>
    </row>
    <row r="27">
      <c r="A27" s="11" t="inlineStr">
        <is>
          <t>Diesel CO₂ per gallon</t>
        </is>
      </c>
      <c r="B27" s="16" t="n">
        <v>10.21</v>
      </c>
      <c r="C27" s="13" t="inlineStr">
        <is>
          <t>kg/gal</t>
        </is>
      </c>
      <c r="D27" s="13" t="inlineStr">
        <is>
          <t>T1</t>
        </is>
      </c>
      <c r="E27" s="13" t="inlineStr">
        <is>
          <t>high</t>
        </is>
      </c>
      <c r="F27" s="14" t="inlineStr">
        <is>
          <t>US EPA: 10.21 kg CO2 per gallon marine/diesel</t>
        </is>
      </c>
    </row>
    <row r="29">
      <c r="A29" s="9" t="inlineStr">
        <is>
          <t>Utilization scenarios  (the two levers we flex)</t>
        </is>
      </c>
    </row>
    <row r="30">
      <c r="A30" s="10" t="inlineStr">
        <is>
          <t>Scenario</t>
        </is>
      </c>
      <c r="B30" s="10" t="inlineStr">
        <is>
          <t>Load factor</t>
        </is>
      </c>
      <c r="C30" s="10" t="inlineStr">
        <is>
          <t>Rev-leg factor</t>
        </is>
      </c>
      <c r="D30" s="10" t="inlineStr"/>
      <c r="E30" s="10" t="inlineStr"/>
      <c r="F30" s="10" t="inlineStr">
        <is>
          <t>Note</t>
        </is>
      </c>
    </row>
    <row r="31">
      <c r="A31" s="18" t="inlineStr">
        <is>
          <t>THIN</t>
        </is>
      </c>
      <c r="B31" s="19" t="n">
        <v>0.45</v>
      </c>
      <c r="C31" s="19" t="n">
        <v>0.55</v>
      </c>
      <c r="F31" s="14" t="inlineStr">
        <is>
          <t>thin/one-way/seasonal corridor — conservative floor</t>
        </is>
      </c>
    </row>
    <row r="32">
      <c r="A32" s="18" t="inlineStr">
        <is>
          <t>MID</t>
        </is>
      </c>
      <c r="B32" s="19" t="n">
        <v>0.55</v>
      </c>
      <c r="C32" s="19" t="n">
        <v>0.65</v>
      </c>
      <c r="F32" s="14" t="inlineStr">
        <is>
          <t>HEADLINE — realistic busy two-way corridor</t>
        </is>
      </c>
    </row>
    <row r="33">
      <c r="A33" s="18" t="inlineStr">
        <is>
          <t>FULL</t>
        </is>
      </c>
      <c r="B33" s="19" t="n">
        <v>0.7</v>
      </c>
      <c r="C33" s="19" t="n">
        <v>0.85</v>
      </c>
      <c r="F33" s="14" t="inlineStr">
        <is>
          <t>mature/dense corridor — optimistic ceiling</t>
        </is>
      </c>
    </row>
    <row r="35">
      <c r="A35" s="20" t="inlineStr">
        <is>
          <t>SCENARIO (toggle me)</t>
        </is>
      </c>
      <c r="B35" s="21" t="inlineStr">
        <is>
          <t>MID</t>
        </is>
      </c>
      <c r="C35" s="22" t="inlineStr">
        <is>
          <t>← set THIN / MID / FULL</t>
        </is>
      </c>
    </row>
    <row r="36">
      <c r="A36" s="11" t="inlineStr">
        <is>
          <t>Selected load factor</t>
        </is>
      </c>
      <c r="B36" s="23">
        <f>VLOOKUP(scenario,'Assumptions'!$A$31:$C$33,2,FALSE)</f>
        <v/>
      </c>
    </row>
    <row r="37">
      <c r="A37" s="11" t="inlineStr">
        <is>
          <t>Selected rev-leg factor</t>
        </is>
      </c>
      <c r="B37" s="23">
        <f>VLOOKUP(scenario,'Assumptions'!$A$31:$C$33,3,FALSE)</f>
        <v/>
      </c>
    </row>
  </sheetData>
  <mergeCells count="4">
    <mergeCell ref="A3:F3"/>
    <mergeCell ref="A14:F14"/>
    <mergeCell ref="A1:F1"/>
    <mergeCell ref="A29:F29"/>
  </mergeCells>
  <dataValidations count="1">
    <dataValidation sqref="B35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8" t="inlineStr">
        <is>
          <t>Country opex — L3 localized layer (VLOOKUP target for the engine)</t>
        </is>
      </c>
    </row>
    <row r="3">
      <c r="A3" s="24" t="inlineStr">
        <is>
          <t>Country</t>
        </is>
      </c>
      <c r="B3" s="24" t="inlineStr">
        <is>
          <t>Captain $/yr</t>
        </is>
      </c>
      <c r="C3" s="24" t="inlineStr">
        <is>
          <t>Energy $/kWh</t>
        </is>
      </c>
      <c r="D3" s="24" t="inlineStr">
        <is>
          <t>Grid CO₂ kg/kWh</t>
        </is>
      </c>
      <c r="E3" s="24" t="inlineStr">
        <is>
          <t>Marina $/yr</t>
        </is>
      </c>
      <c r="F3" s="24" t="inlineStr">
        <is>
          <t>Cost index</t>
        </is>
      </c>
      <c r="G3" s="24" t="inlineStr">
        <is>
          <t>CAPEX $/vessel</t>
        </is>
      </c>
      <c r="H3" s="24" t="inlineStr">
        <is>
          <t>Source notes (captain | energy | marina)</t>
        </is>
      </c>
    </row>
    <row r="4">
      <c r="A4" s="25" t="inlineStr">
        <is>
          <t>Bahamas</t>
        </is>
      </c>
      <c r="B4" s="26" t="n">
        <v>36000</v>
      </c>
      <c r="C4" s="27" t="n">
        <v>0.3</v>
      </c>
      <c r="D4" s="19" t="n">
        <v>0.74</v>
      </c>
      <c r="E4" s="26" t="n">
        <v>26000</v>
      </c>
      <c r="F4" s="19" t="n">
        <v>0.86</v>
      </c>
      <c r="G4" s="26" t="n">
        <v>600000</v>
      </c>
      <c r="H4" s="14" t="inlineStr">
        <is>
          <t>Modeled high-cost tourism marine labor; needs local captain wage source before live cascade. | Bahamas Power &amp; Light ERA page explains base tariff + monthly fuel charge; example fuel charge around $0.20/kWh before base/service components. Draft blended commercial charging value set at $0.30/kWh pending exact tariff PDF extraction. | Modeled Nassau/Paradise Island premium marina/insurance/admin overhead; not source-final. | CAPEX LB-243 US/EU=$900K else $600K</t>
        </is>
      </c>
    </row>
    <row r="5">
      <c r="A5" s="25" t="inlineStr">
        <is>
          <t>Barbados</t>
        </is>
      </c>
      <c r="B5" s="26" t="n">
        <v>34000</v>
      </c>
      <c r="C5" s="27" t="n">
        <v>0.31</v>
      </c>
      <c r="D5" s="19" t="n">
        <v>0.68</v>
      </c>
      <c r="E5" s="26" t="n">
        <v>22000</v>
      </c>
      <c r="F5" s="19" t="n">
        <v>0.84</v>
      </c>
      <c r="G5" s="26" t="n">
        <v>600000</v>
      </c>
      <c r="H5" s="14" t="inlineStr">
        <is>
          <t>Modeled Barbados commercial/tourism marine labor; needs local source before live cascade. | BLPC business tariff page documents General/Secondary/Large Power tariffs and monthly Fuel Clause Adjustment; draft blended commercial charging value set pending exact tariff/FCA extraction. | Modeled Bridgetown / west-coast marine admin, berth, insurance overhead. | CAPEX LB-243 US/EU=$900K else $600K</t>
        </is>
      </c>
    </row>
    <row r="6">
      <c r="A6" s="25" t="inlineStr">
        <is>
          <t>Puerto Rico</t>
        </is>
      </c>
      <c r="B6" s="26" t="n">
        <v>52000</v>
      </c>
      <c r="C6" s="27" t="n">
        <v>0.26</v>
      </c>
      <c r="D6" s="19" t="n">
        <v>0.62</v>
      </c>
      <c r="E6" s="26" t="n">
        <v>24000</v>
      </c>
      <c r="F6" s="19" t="n">
        <v>0.92</v>
      </c>
      <c r="G6" s="26" t="n">
        <v>600000</v>
      </c>
      <c r="H6" s="14" t="inlineStr">
        <is>
          <t>Modeled US-regulated marine labor / US territory wage band; needs local licensed captain wage source. | Puerto Rico public rate reporting clusters around $0.24-0.26/kWh for 2024-2025; use LUMA/PREB current-rate source before live cascade. | Modeled San Juan/Ceiba marine admin, insurance, berth overhead; not source-final. | CAPEX LB-243 US/EU=$900K else $600K</t>
        </is>
      </c>
    </row>
    <row r="7">
      <c r="A7" s="25" t="inlineStr">
        <is>
          <t>Singapore</t>
        </is>
      </c>
      <c r="B7" s="26" t="n">
        <v>48000</v>
      </c>
      <c r="C7" s="27" t="n">
        <v>0.21</v>
      </c>
      <c r="D7" s="19" t="n">
        <v>0.4</v>
      </c>
      <c r="E7" s="26" t="n">
        <v>20000</v>
      </c>
      <c r="F7" s="19" t="n">
        <v>1</v>
      </c>
      <c r="G7" s="26" t="n">
        <v>600000</v>
      </c>
      <c r="H7" s="14" t="inlineStr">
        <is>
          <t>Modeled SG marine crew ~SGD 4-5k/mo blended | SG regulated tariff 28.1c SGD = $0.21 | SG high-cost berth modeled | CAPEX LB-243 US/EU=$900K else $600K</t>
        </is>
      </c>
    </row>
    <row r="8">
      <c r="A8" s="25" t="inlineStr">
        <is>
          <t>U.S. Virgin Islands</t>
        </is>
      </c>
      <c r="B8" s="26" t="n">
        <v>56000</v>
      </c>
      <c r="C8" s="27" t="n">
        <v>0.36</v>
      </c>
      <c r="D8" s="19" t="n">
        <v>0.72</v>
      </c>
      <c r="E8" s="26" t="n">
        <v>30000</v>
      </c>
      <c r="F8" s="19" t="n">
        <v>1.02</v>
      </c>
      <c r="G8" s="26" t="n">
        <v>600000</v>
      </c>
      <c r="H8" s="14" t="inlineStr">
        <is>
          <t>Modeled USVI licensed captain/tour-boat wage band; needs source before live cascade. | VIWAPA electric-rate page defines base and LEAC/fuel components; retail rates are high and fuel-driven. Draft uses $0.36/kWh until current tariff PDF is extracted. | Modeled St. Thomas / St. John premium marina, insurance, and admin overhead. | CAPEX LB-243 US/EU=$900K else $600K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4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9" customWidth="1" min="18" max="18"/>
    <col width="9" customWidth="1" min="19" max="19"/>
    <col width="11" customWidth="1" min="20" max="20"/>
    <col width="10" customWidth="1" min="21" max="21"/>
    <col width="10" customWidth="1" min="22" max="22"/>
    <col width="10" customWidth="1" min="23" max="23"/>
    <col width="9" customWidth="1" min="24" max="24"/>
    <col width="10" customWidth="1" min="25" max="25"/>
    <col width="11" customWidth="1" min="26" max="26"/>
    <col width="11" customWidth="1" min="27" max="27"/>
    <col width="10" customWidth="1" min="28" max="28"/>
    <col width="11" customWidth="1" min="29" max="29"/>
    <col width="8" customWidth="1" min="30" max="30"/>
    <col width="9" customWidth="1" min="31" max="31"/>
    <col width="9" customWidth="1" min="32" max="32"/>
    <col width="12" customWidth="1" min="33" max="33"/>
    <col width="7" customWidth="1" min="34" max="34"/>
    <col width="8" customWidth="1" min="35" max="35"/>
    <col width="8" customWidth="1" min="36" max="36"/>
    <col width="10" customWidth="1" min="37" max="37"/>
    <col width="9" customWidth="1" min="38" max="38"/>
    <col width="13" customWidth="1" min="39" max="39"/>
    <col width="9" customWidth="1" min="40" max="40"/>
    <col width="13" customWidth="1" min="41" max="41"/>
    <col width="26" customWidth="1" min="42" max="42"/>
    <col width="16" customWidth="1" min="43" max="43"/>
    <col width="16" customWidth="1" min="44" max="44"/>
    <col width="9" customWidth="1" min="45" max="45"/>
    <col width="9" customWidth="1" min="46" max="46"/>
    <col width="9" customWidth="1" min="47" max="47"/>
    <col width="9" customWidth="1" min="48" max="48"/>
    <col width="50" customWidth="1" min="49" max="49"/>
    <col width="50" customWidth="1" min="50" max="50"/>
  </cols>
  <sheetData>
    <row r="1">
      <c r="A1" s="8" t="inlineStr">
        <is>
          <t>Navier × Caribbean-Mobility — Corridor economics (one boat, one year; MID = headline)</t>
        </is>
      </c>
      <c r="N1" s="28" t="inlineStr">
        <is>
          <t>SCENARIO:</t>
        </is>
      </c>
      <c r="O1" s="21">
        <f>scenario</f>
        <v/>
      </c>
      <c r="P1" s="22" t="inlineStr">
        <is>
          <t>(set on Assumptions tab)</t>
        </is>
      </c>
    </row>
    <row r="3" ht="42" customHeight="1">
      <c r="A3" s="24" t="inlineStr">
        <is>
          <t>Market</t>
        </is>
      </c>
      <c r="B3" s="24" t="inlineStr">
        <is>
          <t>Country</t>
        </is>
      </c>
      <c r="C3" s="24" t="inlineStr">
        <is>
          <t>Corridor</t>
        </is>
      </c>
      <c r="D3" s="24" t="inlineStr">
        <is>
          <t>Distance</t>
        </is>
      </c>
      <c r="E3" s="24" t="inlineStr">
        <is>
          <t>Premium fare $/pax</t>
        </is>
      </c>
      <c r="F3" s="24" t="inlineStr">
        <is>
          <t>Fare tier</t>
        </is>
      </c>
      <c r="G3" s="24" t="inlineStr">
        <is>
          <t>Fare conf.</t>
        </is>
      </c>
      <c r="H3" s="24" t="inlineStr">
        <is>
          <t>Weather factor</t>
        </is>
      </c>
      <c r="I3" s="24" t="inlineStr">
        <is>
          <t>One-way min</t>
        </is>
      </c>
      <c r="J3" s="24" t="inlineStr">
        <is>
          <t>Cycle min</t>
        </is>
      </c>
      <c r="K3" s="24" t="inlineStr">
        <is>
          <t>Trips/day</t>
        </is>
      </c>
      <c r="L3" s="24" t="inlineStr">
        <is>
          <t>Op days/yr</t>
        </is>
      </c>
      <c r="M3" s="24" t="inlineStr">
        <is>
          <t>Mech uptime</t>
        </is>
      </c>
      <c r="N3" s="24" t="inlineStr">
        <is>
          <t>Rev-leg %</t>
        </is>
      </c>
      <c r="O3" s="24" t="inlineStr">
        <is>
          <t>Trips/yr</t>
        </is>
      </c>
      <c r="P3" s="24" t="inlineStr">
        <is>
          <t>Load factor</t>
        </is>
      </c>
      <c r="Q3" s="24" t="inlineStr">
        <is>
          <t>Pax/trip</t>
        </is>
      </c>
      <c r="R3" s="24" t="inlineStr">
        <is>
          <t>Pax/yr</t>
        </is>
      </c>
      <c r="S3" s="24" t="inlineStr">
        <is>
          <t>Navier fare $</t>
        </is>
      </c>
      <c r="T3" s="24" t="inlineStr">
        <is>
          <t>Revenue/yr</t>
        </is>
      </c>
      <c r="U3" s="24" t="inlineStr">
        <is>
          <t>Energy/yr</t>
        </is>
      </c>
      <c r="V3" s="24" t="inlineStr">
        <is>
          <t>Crew/yr</t>
        </is>
      </c>
      <c r="W3" s="24" t="inlineStr">
        <is>
          <t>Marina/yr</t>
        </is>
      </c>
      <c r="X3" s="24" t="inlineStr">
        <is>
          <t>Maint/yr</t>
        </is>
      </c>
      <c r="Y3" s="24" t="inlineStr">
        <is>
          <t>Insurance/yr</t>
        </is>
      </c>
      <c r="Z3" s="24" t="inlineStr">
        <is>
          <t>Charge+berth/yr</t>
        </is>
      </c>
      <c r="AA3" s="24" t="inlineStr">
        <is>
          <t>OPEX/yr</t>
        </is>
      </c>
      <c r="AB3" s="24" t="inlineStr">
        <is>
          <t>Deprec/yr</t>
        </is>
      </c>
      <c r="AC3" s="24" t="inlineStr">
        <is>
          <t>EBITDA/yr</t>
        </is>
      </c>
      <c r="AD3" s="24" t="inlineStr">
        <is>
          <t>Margin</t>
        </is>
      </c>
      <c r="AE3" s="24" t="inlineStr">
        <is>
          <t>Payback yr (sel)</t>
        </is>
      </c>
      <c r="AF3" s="24" t="inlineStr">
        <is>
          <t>CO₂ saved t/yr</t>
        </is>
      </c>
      <c r="AG3" s="24" t="inlineStr">
        <is>
          <t>Demand pool 1-way/yr</t>
        </is>
      </c>
      <c r="AH3" s="24" t="inlineStr">
        <is>
          <t>Demand tier</t>
        </is>
      </c>
      <c r="AI3" s="24" t="inlineStr">
        <is>
          <t>Demand conf.</t>
        </is>
      </c>
      <c r="AJ3" s="24" t="inlineStr">
        <is>
          <t>Capture %</t>
        </is>
      </c>
      <c r="AK3" s="24" t="inlineStr">
        <is>
          <t>Navier rides/yr</t>
        </is>
      </c>
      <c r="AL3" s="24" t="inlineStr">
        <is>
          <t>Vessels @capture</t>
        </is>
      </c>
      <c r="AM3" s="24" t="inlineStr">
        <is>
          <t>Market rev/yr</t>
        </is>
      </c>
      <c r="AN3" s="24" t="inlineStr">
        <is>
          <t>Vessels raw (unfloored)</t>
        </is>
      </c>
      <c r="AO3" s="24" t="inlineStr">
        <is>
          <t>Market rev/yr raw</t>
        </is>
      </c>
      <c r="AP3" s="24" t="inlineStr">
        <is>
          <t>Subset of (excl. from market fleet)</t>
        </is>
      </c>
      <c r="AQ3" s="24" t="inlineStr">
        <is>
          <t>Forward SAM (2030-dated; held OUT of grounded floor)</t>
        </is>
      </c>
      <c r="AR3" s="24" t="inlineStr">
        <is>
          <t>Upside tier (LB-99; held OUT of grounded floor)</t>
        </is>
      </c>
      <c r="AS3" s="24" t="inlineStr">
        <is>
          <t>Fleet ceiling (captive villas/25)</t>
        </is>
      </c>
      <c r="AT3" s="24" t="inlineStr">
        <is>
          <t>Payback THIN</t>
        </is>
      </c>
      <c r="AU3" s="24" t="inlineStr">
        <is>
          <t>Payback MID</t>
        </is>
      </c>
      <c r="AV3" s="24" t="inlineStr">
        <is>
          <t>Payback FULL</t>
        </is>
      </c>
      <c r="AW3" s="24" t="inlineStr">
        <is>
          <t>Fare source (provenance)</t>
        </is>
      </c>
      <c r="AX3" s="24" t="inlineStr">
        <is>
          <t>Demand source (provenance)</t>
        </is>
      </c>
    </row>
    <row r="4">
      <c r="A4" s="29" t="inlineStr">
        <is>
          <t>Caribbean Mobility</t>
        </is>
      </c>
      <c r="B4" s="29" t="inlineStr">
        <is>
          <t>Bahamas</t>
        </is>
      </c>
      <c r="C4" s="30" t="inlineStr">
        <is>
          <t>Downtown Nassau / cruise-port waterfront → Paradise Island / Atlantis-marina catchment</t>
        </is>
      </c>
      <c r="D4" s="31" t="n">
        <v>1.01</v>
      </c>
      <c r="E4" s="26" t="n">
        <v>18</v>
      </c>
      <c r="F4" s="32" t="n"/>
      <c r="G4" s="32" t="n"/>
      <c r="H4" s="19" t="n">
        <v>1</v>
      </c>
      <c r="I4" s="33">
        <f>60*D4/cruise_kt</f>
        <v/>
      </c>
      <c r="J4" s="33">
        <f>I4+turn_min+dwell_min</f>
        <v/>
      </c>
      <c r="K4" s="34">
        <f>MIN(15,FLOOR(60*service_hr/J4,1))</f>
        <v/>
      </c>
      <c r="L4" s="34">
        <f>ROUND(365*mech_uptime*H4,0)</f>
        <v/>
      </c>
      <c r="M4" s="35">
        <f>mech_uptime</f>
        <v/>
      </c>
      <c r="N4" s="35">
        <f>revleg_sel</f>
        <v/>
      </c>
      <c r="O4" s="34">
        <f>ROUND(K4*L4*revleg_sel,0)</f>
        <v/>
      </c>
      <c r="P4" s="36">
        <f>load_sel</f>
        <v/>
      </c>
      <c r="Q4" s="36">
        <f>pax_cap*P4</f>
        <v/>
      </c>
      <c r="R4" s="34">
        <f>Q4*O4</f>
        <v/>
      </c>
      <c r="S4" s="37">
        <f>E4*discount</f>
        <v/>
      </c>
      <c r="T4" s="38">
        <f>S4*R4</f>
        <v/>
      </c>
      <c r="U4" s="38">
        <f>(battery/range_nm)*D4*O4*VLOOKUP(B4,country_opex,3,FALSE)</f>
        <v/>
      </c>
      <c r="V4" s="38">
        <f>VLOOKUP(B4,country_opex,2,FALSE)*crew_factor</f>
        <v/>
      </c>
      <c r="W4" s="38">
        <f>VLOOKUP(B4,country_opex,5,FALSE)</f>
        <v/>
      </c>
      <c r="X4" s="38">
        <f>maint</f>
        <v/>
      </c>
      <c r="Y4" s="38">
        <f>VLOOKUP(B4,country_opex,7,FALSE)*ins_pct</f>
        <v/>
      </c>
      <c r="Z4" s="38">
        <f>charge_berth</f>
        <v/>
      </c>
      <c r="AA4" s="38">
        <f>U4+V4+W4+X4+Y4+Z4</f>
        <v/>
      </c>
      <c r="AB4" s="38">
        <f>VLOOKUP(B4,country_opex,7,FALSE)/dep_years</f>
        <v/>
      </c>
      <c r="AC4" s="38">
        <f>T4-AA4</f>
        <v/>
      </c>
      <c r="AD4" s="35">
        <f>IF(T4=0,"",AC4/T4)</f>
        <v/>
      </c>
      <c r="AE4" s="36">
        <f>IF(AC4&lt;=0,"",VLOOKUP(B4,country_opex,7,FALSE)/AC4)</f>
        <v/>
      </c>
      <c r="AF4" s="33">
        <f>((D4*O4/diesel_nmpg)*diesel_co2pg-(battery/range_nm)*D4*O4*VLOOKUP(B4,country_opex,4,FALSE))/1000</f>
        <v/>
      </c>
      <c r="AG4" s="31" t="n">
        <v>67200</v>
      </c>
      <c r="AH4" s="32" t="n"/>
      <c r="AI4" s="32" t="n"/>
      <c r="AJ4" s="39" t="n">
        <v>0.1</v>
      </c>
      <c r="AK4" s="34">
        <f>IF(AG4="","",AG4*AJ4)</f>
        <v/>
      </c>
      <c r="AL4" s="34">
        <f>IF(OR(AG4="",R4=0),"",MIN(IF(AS4="",9.9E+99,AS4),FLOOR(AK4/R4,1)))</f>
        <v/>
      </c>
      <c r="AM4" s="38">
        <f>IF(AL4="","",AL4*T4)</f>
        <v/>
      </c>
      <c r="AN4" s="36">
        <f>IF(OR(AG4="",R4=0),"",MIN(IF(AS4="",9.9E+99,AS4),AK4/R4))</f>
        <v/>
      </c>
      <c r="AO4" s="38">
        <f>IF(AN4="","",AN4*T4)</f>
        <v/>
      </c>
      <c r="AP4" s="40" t="n"/>
      <c r="AQ4" s="41" t="n"/>
      <c r="AR4" s="41" t="n"/>
      <c r="AS4" s="42" t="n"/>
      <c r="AT4" s="43">
        <f>IF(((S4*pax_cap*load_thin*ROUND(K4*L4*revleg_thin,0))-(((battery/range_nm)*D4*ROUND(K4*L4*revleg_thin,0)*VLOOKUP(B4,country_opex,3,FALSE))+V4+W4+X4+Y4+Z4))&lt;=0,"",VLOOKUP(B4,country_opex,7,FALSE)/((S4*pax_cap*load_thin*ROUND(K4*L4*revleg_thin,0))-(((battery/range_nm)*D4*ROUND(K4*L4*revleg_thin,0)*VLOOKUP(B4,country_opex,3,FALSE))+V4+W4+X4+Y4+Z4)))</f>
        <v/>
      </c>
      <c r="AU4" s="43">
        <f>IF(((S4*pax_cap*load_mid*ROUND(K4*L4*revleg_mid,0))-(((battery/range_nm)*D4*ROUND(K4*L4*revleg_mid,0)*VLOOKUP(B4,country_opex,3,FALSE))+V4+W4+X4+Y4+Z4))&lt;=0,"",VLOOKUP(B4,country_opex,7,FALSE)/((S4*pax_cap*load_mid*ROUND(K4*L4*revleg_mid,0))-(((battery/range_nm)*D4*ROUND(K4*L4*revleg_mid,0)*VLOOKUP(B4,country_opex,3,FALSE))+V4+W4+X4+Y4+Z4)))</f>
        <v/>
      </c>
      <c r="AV4" s="43">
        <f>IF(((S4*pax_cap*load_full*ROUND(K4*L4*revleg_full,0))-(((battery/range_nm)*D4*ROUND(K4*L4*revleg_full,0)*VLOOKUP(B4,country_opex,3,FALSE))+V4+W4+X4+Y4+Z4))&lt;=0,"",VLOOKUP(B4,country_opex,7,FALSE)/((S4*pax_cap*load_full*ROUND(K4*L4*revleg_full,0))-(((battery/range_nm)*D4*ROUND(K4*L4*revleg_full,0)*VLOOKUP(B4,country_opex,3,FALSE))+V4+W4+X4+Y4+Z4)))</f>
        <v/>
      </c>
      <c r="AW4" s="44" t="n"/>
      <c r="AX4" s="44" t="n"/>
    </row>
    <row r="5">
      <c r="A5" s="29" t="inlineStr">
        <is>
          <t>Caribbean Mobility</t>
        </is>
      </c>
      <c r="B5" s="29" t="inlineStr">
        <is>
          <t>Barbados</t>
        </is>
      </c>
      <c r="C5" s="30" t="inlineStr">
        <is>
          <t>Bridgetown Cruise Terminal / Port of Bridgetown → Bridgetown / Carlisle Bay / west-coast visitor catchment</t>
        </is>
      </c>
      <c r="D5" s="31" t="n">
        <v>0.9</v>
      </c>
      <c r="E5" s="26" t="n">
        <v>18</v>
      </c>
      <c r="F5" s="32" t="n"/>
      <c r="G5" s="32" t="n"/>
      <c r="H5" s="19" t="n">
        <v>1</v>
      </c>
      <c r="I5" s="33">
        <f>60*D5/cruise_kt</f>
        <v/>
      </c>
      <c r="J5" s="33">
        <f>I5+turn_min+dwell_min</f>
        <v/>
      </c>
      <c r="K5" s="34">
        <f>MIN(15,FLOOR(60*service_hr/J5,1))</f>
        <v/>
      </c>
      <c r="L5" s="34">
        <f>ROUND(365*mech_uptime*H5,0)</f>
        <v/>
      </c>
      <c r="M5" s="35">
        <f>mech_uptime</f>
        <v/>
      </c>
      <c r="N5" s="35">
        <f>revleg_sel</f>
        <v/>
      </c>
      <c r="O5" s="34">
        <f>ROUND(K5*L5*revleg_sel,0)</f>
        <v/>
      </c>
      <c r="P5" s="36">
        <f>load_sel</f>
        <v/>
      </c>
      <c r="Q5" s="36">
        <f>pax_cap*P5</f>
        <v/>
      </c>
      <c r="R5" s="34">
        <f>Q5*O5</f>
        <v/>
      </c>
      <c r="S5" s="37">
        <f>E5*discount</f>
        <v/>
      </c>
      <c r="T5" s="38">
        <f>S5*R5</f>
        <v/>
      </c>
      <c r="U5" s="38">
        <f>(battery/range_nm)*D5*O5*VLOOKUP(B5,country_opex,3,FALSE)</f>
        <v/>
      </c>
      <c r="V5" s="38">
        <f>VLOOKUP(B5,country_opex,2,FALSE)*crew_factor</f>
        <v/>
      </c>
      <c r="W5" s="38">
        <f>VLOOKUP(B5,country_opex,5,FALSE)</f>
        <v/>
      </c>
      <c r="X5" s="38">
        <f>maint</f>
        <v/>
      </c>
      <c r="Y5" s="38">
        <f>VLOOKUP(B5,country_opex,7,FALSE)*ins_pct</f>
        <v/>
      </c>
      <c r="Z5" s="38">
        <f>charge_berth</f>
        <v/>
      </c>
      <c r="AA5" s="38">
        <f>U5+V5+W5+X5+Y5+Z5</f>
        <v/>
      </c>
      <c r="AB5" s="38">
        <f>VLOOKUP(B5,country_opex,7,FALSE)/dep_years</f>
        <v/>
      </c>
      <c r="AC5" s="38">
        <f>T5-AA5</f>
        <v/>
      </c>
      <c r="AD5" s="35">
        <f>IF(T5=0,"",AC5/T5)</f>
        <v/>
      </c>
      <c r="AE5" s="36">
        <f>IF(AC5&lt;=0,"",VLOOKUP(B5,country_opex,7,FALSE)/AC5)</f>
        <v/>
      </c>
      <c r="AF5" s="33">
        <f>((D5*O5/diesel_nmpg)*diesel_co2pg-(battery/range_nm)*D5*O5*VLOOKUP(B5,country_opex,4,FALSE))/1000</f>
        <v/>
      </c>
      <c r="AG5" s="31" t="n">
        <v>18000</v>
      </c>
      <c r="AH5" s="32" t="n"/>
      <c r="AI5" s="32" t="n"/>
      <c r="AJ5" s="39" t="n">
        <v>0.1</v>
      </c>
      <c r="AK5" s="34">
        <f>IF(AG5="","",AG5*AJ5)</f>
        <v/>
      </c>
      <c r="AL5" s="34">
        <f>IF(OR(AG5="",R5=0),"",MIN(IF(AS5="",9.9E+99,AS5),FLOOR(AK5/R5,1)))</f>
        <v/>
      </c>
      <c r="AM5" s="38">
        <f>IF(AL5="","",AL5*T5)</f>
        <v/>
      </c>
      <c r="AN5" s="36">
        <f>IF(OR(AG5="",R5=0),"",MIN(IF(AS5="",9.9E+99,AS5),AK5/R5))</f>
        <v/>
      </c>
      <c r="AO5" s="38">
        <f>IF(AN5="","",AN5*T5)</f>
        <v/>
      </c>
      <c r="AP5" s="40" t="n"/>
      <c r="AQ5" s="41" t="n"/>
      <c r="AR5" s="41" t="n"/>
      <c r="AS5" s="42" t="n"/>
      <c r="AT5" s="43">
        <f>IF(((S5*pax_cap*load_thin*ROUND(K5*L5*revleg_thin,0))-(((battery/range_nm)*D5*ROUND(K5*L5*revleg_thin,0)*VLOOKUP(B5,country_opex,3,FALSE))+V5+W5+X5+Y5+Z5))&lt;=0,"",VLOOKUP(B5,country_opex,7,FALSE)/((S5*pax_cap*load_thin*ROUND(K5*L5*revleg_thin,0))-(((battery/range_nm)*D5*ROUND(K5*L5*revleg_thin,0)*VLOOKUP(B5,country_opex,3,FALSE))+V5+W5+X5+Y5+Z5)))</f>
        <v/>
      </c>
      <c r="AU5" s="43">
        <f>IF(((S5*pax_cap*load_mid*ROUND(K5*L5*revleg_mid,0))-(((battery/range_nm)*D5*ROUND(K5*L5*revleg_mid,0)*VLOOKUP(B5,country_opex,3,FALSE))+V5+W5+X5+Y5+Z5))&lt;=0,"",VLOOKUP(B5,country_opex,7,FALSE)/((S5*pax_cap*load_mid*ROUND(K5*L5*revleg_mid,0))-(((battery/range_nm)*D5*ROUND(K5*L5*revleg_mid,0)*VLOOKUP(B5,country_opex,3,FALSE))+V5+W5+X5+Y5+Z5)))</f>
        <v/>
      </c>
      <c r="AV5" s="43">
        <f>IF(((S5*pax_cap*load_full*ROUND(K5*L5*revleg_full,0))-(((battery/range_nm)*D5*ROUND(K5*L5*revleg_full,0)*VLOOKUP(B5,country_opex,3,FALSE))+V5+W5+X5+Y5+Z5))&lt;=0,"",VLOOKUP(B5,country_opex,7,FALSE)/((S5*pax_cap*load_full*ROUND(K5*L5*revleg_full,0))-(((battery/range_nm)*D5*ROUND(K5*L5*revleg_full,0)*VLOOKUP(B5,country_opex,3,FALSE))+V5+W5+X5+Y5+Z5)))</f>
        <v/>
      </c>
      <c r="AW5" s="44" t="n"/>
      <c r="AX5" s="44" t="n"/>
    </row>
    <row r="6">
      <c r="A6" s="29" t="inlineStr">
        <is>
          <t>Caribbean Mobility</t>
        </is>
      </c>
      <c r="B6" s="29" t="inlineStr">
        <is>
          <t>Puerto Rico</t>
        </is>
      </c>
      <c r="C6" s="30" t="inlineStr">
        <is>
          <t>San Juan Terminal / Old San Juan waterfront → Cataño Terminal / Bacardi catchment</t>
        </is>
      </c>
      <c r="D6" s="31" t="n">
        <v>1.6</v>
      </c>
      <c r="E6" s="26" t="n">
        <v>8</v>
      </c>
      <c r="F6" s="32" t="n"/>
      <c r="G6" s="32" t="n"/>
      <c r="H6" s="19" t="n">
        <v>1</v>
      </c>
      <c r="I6" s="33">
        <f>60*D6/cruise_kt</f>
        <v/>
      </c>
      <c r="J6" s="33">
        <f>I6+turn_min+dwell_min</f>
        <v/>
      </c>
      <c r="K6" s="34">
        <f>MIN(15,FLOOR(60*service_hr/J6,1))</f>
        <v/>
      </c>
      <c r="L6" s="34">
        <f>ROUND(365*mech_uptime*H6,0)</f>
        <v/>
      </c>
      <c r="M6" s="35">
        <f>mech_uptime</f>
        <v/>
      </c>
      <c r="N6" s="35">
        <f>revleg_sel</f>
        <v/>
      </c>
      <c r="O6" s="34">
        <f>ROUND(K6*L6*revleg_sel,0)</f>
        <v/>
      </c>
      <c r="P6" s="36">
        <f>load_sel</f>
        <v/>
      </c>
      <c r="Q6" s="36">
        <f>pax_cap*P6</f>
        <v/>
      </c>
      <c r="R6" s="34">
        <f>Q6*O6</f>
        <v/>
      </c>
      <c r="S6" s="37">
        <f>E6*discount</f>
        <v/>
      </c>
      <c r="T6" s="38">
        <f>S6*R6</f>
        <v/>
      </c>
      <c r="U6" s="38">
        <f>(battery/range_nm)*D6*O6*VLOOKUP(B6,country_opex,3,FALSE)</f>
        <v/>
      </c>
      <c r="V6" s="38">
        <f>VLOOKUP(B6,country_opex,2,FALSE)*crew_factor</f>
        <v/>
      </c>
      <c r="W6" s="38">
        <f>VLOOKUP(B6,country_opex,5,FALSE)</f>
        <v/>
      </c>
      <c r="X6" s="38">
        <f>maint</f>
        <v/>
      </c>
      <c r="Y6" s="38">
        <f>VLOOKUP(B6,country_opex,7,FALSE)*ins_pct</f>
        <v/>
      </c>
      <c r="Z6" s="38">
        <f>charge_berth</f>
        <v/>
      </c>
      <c r="AA6" s="38">
        <f>U6+V6+W6+X6+Y6+Z6</f>
        <v/>
      </c>
      <c r="AB6" s="38">
        <f>VLOOKUP(B6,country_opex,7,FALSE)/dep_years</f>
        <v/>
      </c>
      <c r="AC6" s="38">
        <f>T6-AA6</f>
        <v/>
      </c>
      <c r="AD6" s="35">
        <f>IF(T6=0,"",AC6/T6)</f>
        <v/>
      </c>
      <c r="AE6" s="36">
        <f>IF(AC6&lt;=0,"",VLOOKUP(B6,country_opex,7,FALSE)/AC6)</f>
        <v/>
      </c>
      <c r="AF6" s="33">
        <f>((D6*O6/diesel_nmpg)*diesel_co2pg-(battery/range_nm)*D6*O6*VLOOKUP(B6,country_opex,4,FALSE))/1000</f>
        <v/>
      </c>
      <c r="AG6" s="31" t="n">
        <v>34200</v>
      </c>
      <c r="AH6" s="32" t="n"/>
      <c r="AI6" s="32" t="n"/>
      <c r="AJ6" s="39" t="n">
        <v>0.1</v>
      </c>
      <c r="AK6" s="34">
        <f>IF(AG6="","",AG6*AJ6)</f>
        <v/>
      </c>
      <c r="AL6" s="34">
        <f>IF(OR(AG6="",R6=0),"",MIN(IF(AS6="",9.9E+99,AS6),FLOOR(AK6/R6,1)))</f>
        <v/>
      </c>
      <c r="AM6" s="38">
        <f>IF(AL6="","",AL6*T6)</f>
        <v/>
      </c>
      <c r="AN6" s="36">
        <f>IF(OR(AG6="",R6=0),"",MIN(IF(AS6="",9.9E+99,AS6),AK6/R6))</f>
        <v/>
      </c>
      <c r="AO6" s="38">
        <f>IF(AN6="","",AN6*T6)</f>
        <v/>
      </c>
      <c r="AP6" s="40" t="n"/>
      <c r="AQ6" s="41" t="n"/>
      <c r="AR6" s="41" t="n"/>
      <c r="AS6" s="42" t="n"/>
      <c r="AT6" s="43">
        <f>IF(((S6*pax_cap*load_thin*ROUND(K6*L6*revleg_thin,0))-(((battery/range_nm)*D6*ROUND(K6*L6*revleg_thin,0)*VLOOKUP(B6,country_opex,3,FALSE))+V6+W6+X6+Y6+Z6))&lt;=0,"",VLOOKUP(B6,country_opex,7,FALSE)/((S6*pax_cap*load_thin*ROUND(K6*L6*revleg_thin,0))-(((battery/range_nm)*D6*ROUND(K6*L6*revleg_thin,0)*VLOOKUP(B6,country_opex,3,FALSE))+V6+W6+X6+Y6+Z6)))</f>
        <v/>
      </c>
      <c r="AU6" s="43">
        <f>IF(((S6*pax_cap*load_mid*ROUND(K6*L6*revleg_mid,0))-(((battery/range_nm)*D6*ROUND(K6*L6*revleg_mid,0)*VLOOKUP(B6,country_opex,3,FALSE))+V6+W6+X6+Y6+Z6))&lt;=0,"",VLOOKUP(B6,country_opex,7,FALSE)/((S6*pax_cap*load_mid*ROUND(K6*L6*revleg_mid,0))-(((battery/range_nm)*D6*ROUND(K6*L6*revleg_mid,0)*VLOOKUP(B6,country_opex,3,FALSE))+V6+W6+X6+Y6+Z6)))</f>
        <v/>
      </c>
      <c r="AV6" s="43">
        <f>IF(((S6*pax_cap*load_full*ROUND(K6*L6*revleg_full,0))-(((battery/range_nm)*D6*ROUND(K6*L6*revleg_full,0)*VLOOKUP(B6,country_opex,3,FALSE))+V6+W6+X6+Y6+Z6))&lt;=0,"",VLOOKUP(B6,country_opex,7,FALSE)/((S6*pax_cap*load_full*ROUND(K6*L6*revleg_full,0))-(((battery/range_nm)*D6*ROUND(K6*L6*revleg_full,0)*VLOOKUP(B6,country_opex,3,FALSE))+V6+W6+X6+Y6+Z6)))</f>
        <v/>
      </c>
      <c r="AW6" s="44" t="n"/>
      <c r="AX6" s="44" t="n"/>
    </row>
    <row r="7">
      <c r="A7" s="29" t="inlineStr">
        <is>
          <t>Caribbean Mobility</t>
        </is>
      </c>
      <c r="B7" s="29" t="inlineStr">
        <is>
          <t>Singapore</t>
        </is>
      </c>
      <c r="C7" s="30" t="inlineStr">
        <is>
          <t>St. Thomas ferry terminals (Charlotte Amalie / Red Hook) → Tortola ferry terminals (Road Town / West End)</t>
        </is>
      </c>
      <c r="D7" s="31" t="n">
        <v>15.7</v>
      </c>
      <c r="E7" s="26" t="n">
        <v>55</v>
      </c>
      <c r="F7" s="32" t="n"/>
      <c r="G7" s="32" t="n"/>
      <c r="H7" s="19" t="n">
        <v>1</v>
      </c>
      <c r="I7" s="33">
        <f>60*D7/cruise_kt</f>
        <v/>
      </c>
      <c r="J7" s="33">
        <f>I7+turn_min+dwell_min</f>
        <v/>
      </c>
      <c r="K7" s="34">
        <f>MIN(15,FLOOR(60*service_hr/J7,1))</f>
        <v/>
      </c>
      <c r="L7" s="34">
        <f>ROUND(365*mech_uptime*H7,0)</f>
        <v/>
      </c>
      <c r="M7" s="35">
        <f>mech_uptime</f>
        <v/>
      </c>
      <c r="N7" s="35">
        <f>revleg_sel</f>
        <v/>
      </c>
      <c r="O7" s="34">
        <f>ROUND(K7*L7*revleg_sel,0)</f>
        <v/>
      </c>
      <c r="P7" s="36">
        <f>load_sel</f>
        <v/>
      </c>
      <c r="Q7" s="36">
        <f>pax_cap*P7</f>
        <v/>
      </c>
      <c r="R7" s="34">
        <f>Q7*O7</f>
        <v/>
      </c>
      <c r="S7" s="37">
        <f>E7*discount</f>
        <v/>
      </c>
      <c r="T7" s="38">
        <f>S7*R7</f>
        <v/>
      </c>
      <c r="U7" s="38">
        <f>(battery/range_nm)*D7*O7*VLOOKUP(B7,country_opex,3,FALSE)</f>
        <v/>
      </c>
      <c r="V7" s="38">
        <f>VLOOKUP(B7,country_opex,2,FALSE)*crew_factor</f>
        <v/>
      </c>
      <c r="W7" s="38">
        <f>VLOOKUP(B7,country_opex,5,FALSE)</f>
        <v/>
      </c>
      <c r="X7" s="38">
        <f>maint</f>
        <v/>
      </c>
      <c r="Y7" s="38">
        <f>VLOOKUP(B7,country_opex,7,FALSE)*ins_pct</f>
        <v/>
      </c>
      <c r="Z7" s="38">
        <f>charge_berth</f>
        <v/>
      </c>
      <c r="AA7" s="38">
        <f>U7+V7+W7+X7+Y7+Z7</f>
        <v/>
      </c>
      <c r="AB7" s="38">
        <f>VLOOKUP(B7,country_opex,7,FALSE)/dep_years</f>
        <v/>
      </c>
      <c r="AC7" s="38">
        <f>T7-AA7</f>
        <v/>
      </c>
      <c r="AD7" s="35">
        <f>IF(T7=0,"",AC7/T7)</f>
        <v/>
      </c>
      <c r="AE7" s="36">
        <f>IF(AC7&lt;=0,"",VLOOKUP(B7,country_opex,7,FALSE)/AC7)</f>
        <v/>
      </c>
      <c r="AF7" s="33">
        <f>((D7*O7/diesel_nmpg)*diesel_co2pg-(battery/range_nm)*D7*O7*VLOOKUP(B7,country_opex,4,FALSE))/1000</f>
        <v/>
      </c>
      <c r="AG7" s="31" t="n"/>
      <c r="AH7" s="32" t="n"/>
      <c r="AI7" s="32" t="n"/>
      <c r="AJ7" s="39" t="n">
        <v>0.1</v>
      </c>
      <c r="AK7" s="34">
        <f>IF(AG7="","",AG7*AJ7)</f>
        <v/>
      </c>
      <c r="AL7" s="34">
        <f>IF(OR(AG7="",R7=0),"",MIN(IF(AS7="",9.9E+99,AS7),FLOOR(AK7/R7,1)))</f>
        <v/>
      </c>
      <c r="AM7" s="38">
        <f>IF(AL7="","",AL7*T7)</f>
        <v/>
      </c>
      <c r="AN7" s="36">
        <f>IF(OR(AG7="",R7=0),"",MIN(IF(AS7="",9.9E+99,AS7),AK7/R7))</f>
        <v/>
      </c>
      <c r="AO7" s="38">
        <f>IF(AN7="","",AN7*T7)</f>
        <v/>
      </c>
      <c r="AP7" s="40" t="n"/>
      <c r="AQ7" s="41" t="n"/>
      <c r="AR7" s="41" t="n"/>
      <c r="AS7" s="42" t="n"/>
      <c r="AT7" s="43">
        <f>IF(((S7*pax_cap*load_thin*ROUND(K7*L7*revleg_thin,0))-(((battery/range_nm)*D7*ROUND(K7*L7*revleg_thin,0)*VLOOKUP(B7,country_opex,3,FALSE))+V7+W7+X7+Y7+Z7))&lt;=0,"",VLOOKUP(B7,country_opex,7,FALSE)/((S7*pax_cap*load_thin*ROUND(K7*L7*revleg_thin,0))-(((battery/range_nm)*D7*ROUND(K7*L7*revleg_thin,0)*VLOOKUP(B7,country_opex,3,FALSE))+V7+W7+X7+Y7+Z7)))</f>
        <v/>
      </c>
      <c r="AU7" s="43">
        <f>IF(((S7*pax_cap*load_mid*ROUND(K7*L7*revleg_mid,0))-(((battery/range_nm)*D7*ROUND(K7*L7*revleg_mid,0)*VLOOKUP(B7,country_opex,3,FALSE))+V7+W7+X7+Y7+Z7))&lt;=0,"",VLOOKUP(B7,country_opex,7,FALSE)/((S7*pax_cap*load_mid*ROUND(K7*L7*revleg_mid,0))-(((battery/range_nm)*D7*ROUND(K7*L7*revleg_mid,0)*VLOOKUP(B7,country_opex,3,FALSE))+V7+W7+X7+Y7+Z7)))</f>
        <v/>
      </c>
      <c r="AV7" s="43">
        <f>IF(((S7*pax_cap*load_full*ROUND(K7*L7*revleg_full,0))-(((battery/range_nm)*D7*ROUND(K7*L7*revleg_full,0)*VLOOKUP(B7,country_opex,3,FALSE))+V7+W7+X7+Y7+Z7))&lt;=0,"",VLOOKUP(B7,country_opex,7,FALSE)/((S7*pax_cap*load_full*ROUND(K7*L7*revleg_full,0))-(((battery/range_nm)*D7*ROUND(K7*L7*revleg_full,0)*VLOOKUP(B7,country_opex,3,FALSE))+V7+W7+X7+Y7+Z7)))</f>
        <v/>
      </c>
      <c r="AW7" s="44" t="n"/>
      <c r="AX7" s="44" t="n"/>
    </row>
    <row r="8">
      <c r="A8" s="29" t="inlineStr">
        <is>
          <t>Caribbean Mobility</t>
        </is>
      </c>
      <c r="B8" s="29" t="inlineStr">
        <is>
          <t>U.S. Virgin Islands</t>
        </is>
      </c>
      <c r="C8" s="30" t="inlineStr">
        <is>
          <t>Red Hook Ferry Terminal, St. Thomas → Cruz Bay Ferry Dock, St. John</t>
        </is>
      </c>
      <c r="D8" s="31" t="n">
        <v>3.11</v>
      </c>
      <c r="E8" s="26" t="n">
        <v>16</v>
      </c>
      <c r="F8" s="32" t="n"/>
      <c r="G8" s="32" t="n"/>
      <c r="H8" s="19" t="n">
        <v>1</v>
      </c>
      <c r="I8" s="33">
        <f>60*D8/cruise_kt</f>
        <v/>
      </c>
      <c r="J8" s="33">
        <f>I8+turn_min+dwell_min</f>
        <v/>
      </c>
      <c r="K8" s="34">
        <f>MIN(15,FLOOR(60*service_hr/J8,1))</f>
        <v/>
      </c>
      <c r="L8" s="34">
        <f>ROUND(365*mech_uptime*H8,0)</f>
        <v/>
      </c>
      <c r="M8" s="35">
        <f>mech_uptime</f>
        <v/>
      </c>
      <c r="N8" s="35">
        <f>revleg_sel</f>
        <v/>
      </c>
      <c r="O8" s="34">
        <f>ROUND(K8*L8*revleg_sel,0)</f>
        <v/>
      </c>
      <c r="P8" s="36">
        <f>load_sel</f>
        <v/>
      </c>
      <c r="Q8" s="36">
        <f>pax_cap*P8</f>
        <v/>
      </c>
      <c r="R8" s="34">
        <f>Q8*O8</f>
        <v/>
      </c>
      <c r="S8" s="37">
        <f>E8*discount</f>
        <v/>
      </c>
      <c r="T8" s="38">
        <f>S8*R8</f>
        <v/>
      </c>
      <c r="U8" s="38">
        <f>(battery/range_nm)*D8*O8*VLOOKUP(B8,country_opex,3,FALSE)</f>
        <v/>
      </c>
      <c r="V8" s="38">
        <f>VLOOKUP(B8,country_opex,2,FALSE)*crew_factor</f>
        <v/>
      </c>
      <c r="W8" s="38">
        <f>VLOOKUP(B8,country_opex,5,FALSE)</f>
        <v/>
      </c>
      <c r="X8" s="38">
        <f>maint</f>
        <v/>
      </c>
      <c r="Y8" s="38">
        <f>VLOOKUP(B8,country_opex,7,FALSE)*ins_pct</f>
        <v/>
      </c>
      <c r="Z8" s="38">
        <f>charge_berth</f>
        <v/>
      </c>
      <c r="AA8" s="38">
        <f>U8+V8+W8+X8+Y8+Z8</f>
        <v/>
      </c>
      <c r="AB8" s="38">
        <f>VLOOKUP(B8,country_opex,7,FALSE)/dep_years</f>
        <v/>
      </c>
      <c r="AC8" s="38">
        <f>T8-AA8</f>
        <v/>
      </c>
      <c r="AD8" s="35">
        <f>IF(T8=0,"",AC8/T8)</f>
        <v/>
      </c>
      <c r="AE8" s="36">
        <f>IF(AC8&lt;=0,"",VLOOKUP(B8,country_opex,7,FALSE)/AC8)</f>
        <v/>
      </c>
      <c r="AF8" s="33">
        <f>((D8*O8/diesel_nmpg)*diesel_co2pg-(battery/range_nm)*D8*O8*VLOOKUP(B8,country_opex,4,FALSE))/1000</f>
        <v/>
      </c>
      <c r="AG8" s="31" t="n">
        <v>36000</v>
      </c>
      <c r="AH8" s="32" t="n"/>
      <c r="AI8" s="32" t="n"/>
      <c r="AJ8" s="39" t="n">
        <v>0.1</v>
      </c>
      <c r="AK8" s="34">
        <f>IF(AG8="","",AG8*AJ8)</f>
        <v/>
      </c>
      <c r="AL8" s="34">
        <f>IF(OR(AG8="",R8=0),"",MIN(IF(AS8="",9.9E+99,AS8),FLOOR(AK8/R8,1)))</f>
        <v/>
      </c>
      <c r="AM8" s="38">
        <f>IF(AL8="","",AL8*T8)</f>
        <v/>
      </c>
      <c r="AN8" s="36">
        <f>IF(OR(AG8="",R8=0),"",MIN(IF(AS8="",9.9E+99,AS8),AK8/R8))</f>
        <v/>
      </c>
      <c r="AO8" s="38">
        <f>IF(AN8="","",AN8*T8)</f>
        <v/>
      </c>
      <c r="AP8" s="40" t="n"/>
      <c r="AQ8" s="41" t="n"/>
      <c r="AR8" s="41" t="n"/>
      <c r="AS8" s="42" t="n"/>
      <c r="AT8" s="43">
        <f>IF(((S8*pax_cap*load_thin*ROUND(K8*L8*revleg_thin,0))-(((battery/range_nm)*D8*ROUND(K8*L8*revleg_thin,0)*VLOOKUP(B8,country_opex,3,FALSE))+V8+W8+X8+Y8+Z8))&lt;=0,"",VLOOKUP(B8,country_opex,7,FALSE)/((S8*pax_cap*load_thin*ROUND(K8*L8*revleg_thin,0))-(((battery/range_nm)*D8*ROUND(K8*L8*revleg_thin,0)*VLOOKUP(B8,country_opex,3,FALSE))+V8+W8+X8+Y8+Z8)))</f>
        <v/>
      </c>
      <c r="AU8" s="43">
        <f>IF(((S8*pax_cap*load_mid*ROUND(K8*L8*revleg_mid,0))-(((battery/range_nm)*D8*ROUND(K8*L8*revleg_mid,0)*VLOOKUP(B8,country_opex,3,FALSE))+V8+W8+X8+Y8+Z8))&lt;=0,"",VLOOKUP(B8,country_opex,7,FALSE)/((S8*pax_cap*load_mid*ROUND(K8*L8*revleg_mid,0))-(((battery/range_nm)*D8*ROUND(K8*L8*revleg_mid,0)*VLOOKUP(B8,country_opex,3,FALSE))+V8+W8+X8+Y8+Z8)))</f>
        <v/>
      </c>
      <c r="AV8" s="43">
        <f>IF(((S8*pax_cap*load_full*ROUND(K8*L8*revleg_full,0))-(((battery/range_nm)*D8*ROUND(K8*L8*revleg_full,0)*VLOOKUP(B8,country_opex,3,FALSE))+V8+W8+X8+Y8+Z8))&lt;=0,"",VLOOKUP(B8,country_opex,7,FALSE)/((S8*pax_cap*load_full*ROUND(K8*L8*revleg_full,0))-(((battery/range_nm)*D8*ROUND(K8*L8*revleg_full,0)*VLOOKUP(B8,country_opex,3,FALSE))+V8+W8+X8+Y8+Z8)))</f>
        <v/>
      </c>
      <c r="AW8" s="44" t="n"/>
      <c r="AX8" s="44" t="n"/>
    </row>
    <row r="9">
      <c r="A9" s="45" t="inlineStr">
        <is>
          <t>TOTAL / median</t>
        </is>
      </c>
      <c r="T9" s="46">
        <f>SUM(T4:T8)</f>
        <v/>
      </c>
      <c r="AC9" s="46">
        <f>SUM(AC4:AC8)</f>
        <v/>
      </c>
      <c r="AD9" s="47">
        <f>IF(T9=0,"",AC9/T9)</f>
        <v/>
      </c>
      <c r="AL9" s="48">
        <f>SUM(AL4:AL8)</f>
        <v/>
      </c>
      <c r="AM9" s="46">
        <f>SUM(AM4:AM8)</f>
        <v/>
      </c>
    </row>
    <row r="11">
      <c r="A11" s="8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12">
      <c r="A12" s="24" t="inlineStr">
        <is>
          <t>Market</t>
        </is>
      </c>
      <c r="B12" s="24" t="inlineStr">
        <is>
          <t>Fleet basis</t>
        </is>
      </c>
      <c r="C12" s="24" t="inlineStr">
        <is>
          <t>Raw vessels (sum)</t>
        </is>
      </c>
      <c r="D12" s="24" t="inlineStr">
        <is>
          <t>Fleet (rounded once)</t>
        </is>
      </c>
      <c r="E12" s="24" t="inlineStr">
        <is>
          <t>Market rev/yr (raw sum)</t>
        </is>
      </c>
    </row>
    <row r="13">
      <c r="A13" s="25" t="inlineStr">
        <is>
          <t>Caribbean Mobility</t>
        </is>
      </c>
      <c r="B13" s="13" t="inlineStr">
        <is>
          <t>aspirational</t>
        </is>
      </c>
      <c r="C13" s="13" t="inlineStr">
        <is>
          <t>—</t>
        </is>
      </c>
      <c r="D13" s="49">
        <f>SUMIFS(AL4:AL8,A4:A8,"Caribbean Mobility",AP4:AP8,"=",AQ4:AQ8,"=",AR4:AR8,"=")</f>
        <v/>
      </c>
      <c r="E13" s="50">
        <f>SUMIFS(AM4:AM8,A4:A8,"Caribbean Mobility",AP4:AP8,"=",AQ4:AQ8,"=",AR4:AR8,"=")</f>
        <v/>
      </c>
    </row>
    <row r="14">
      <c r="A14" s="45" t="inlineStr">
        <is>
          <t>GROUNDED FLOOR (PUBLISHED)</t>
        </is>
      </c>
      <c r="D14" s="48">
        <f>SUM(D13:D13)</f>
        <v/>
      </c>
      <c r="E14" s="46">
        <f>SUM(E13:E13)</f>
        <v/>
      </c>
    </row>
  </sheetData>
  <mergeCells count="2">
    <mergeCell ref="A11:L11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8" t="inlineStr">
        <is>
          <t>Market sizing — how the grounded floor builds into SOM → SAM → TAM</t>
        </is>
      </c>
    </row>
    <row r="3">
      <c r="A3" s="9" t="inlineStr">
        <is>
          <t>Growth multipliers (bands: low / MID / high)</t>
        </is>
      </c>
    </row>
    <row r="4">
      <c r="A4" s="10" t="inlineStr">
        <is>
          <t>Multiplier</t>
        </is>
      </c>
      <c r="B4" s="10" t="inlineStr">
        <is>
          <t>Low</t>
        </is>
      </c>
      <c r="C4" s="10" t="inlineStr">
        <is>
          <t>MID</t>
        </is>
      </c>
      <c r="D4" s="10" t="inlineStr">
        <is>
          <t>High</t>
        </is>
      </c>
      <c r="E4" s="10" t="inlineStr">
        <is>
          <t>What it means</t>
        </is>
      </c>
    </row>
    <row r="5">
      <c r="A5" s="25" t="inlineStr">
        <is>
          <t>Induced demand (k)</t>
        </is>
      </c>
      <c r="B5" s="19" t="n">
        <v>1.3</v>
      </c>
      <c r="C5" s="19" t="n">
        <v>1.8</v>
      </c>
      <c r="D5" s="19" t="n">
        <v>2.5</v>
      </c>
      <c r="E5" s="14" t="inlineStr">
        <is>
          <t>Faster/quieter product grows the crossing market beyond today's trips.</t>
        </is>
      </c>
    </row>
    <row r="6">
      <c r="A6" s="25" t="inlineStr">
        <is>
          <t>Mature capture rate (c)</t>
        </is>
      </c>
      <c r="B6" s="39" t="n">
        <v>0.15</v>
      </c>
      <c r="C6" s="39" t="n">
        <v>0.25</v>
      </c>
      <c r="D6" s="39" t="n">
        <v>0.4</v>
      </c>
      <c r="E6" s="14" t="inlineStr">
        <is>
          <t>Navier's corridor share once it is the established premium default (vs 10% floor).</t>
        </is>
      </c>
    </row>
    <row r="7">
      <c r="A7" s="25" t="inlineStr">
        <is>
          <t>Journey GMV multiple (m)</t>
        </is>
      </c>
      <c r="B7" s="19" t="n">
        <v>2</v>
      </c>
      <c r="C7" s="19" t="n">
        <v>3</v>
      </c>
      <c r="D7" s="19" t="n">
        <v>4</v>
      </c>
      <c r="E7" s="14" t="inlineStr">
        <is>
          <t>Whole island-journey wallet (transport+food+stay+experiences) as a multiple of the boat fare.</t>
        </is>
      </c>
    </row>
    <row r="8">
      <c r="A8" s="25" t="inlineStr">
        <is>
          <t>Greenfield network factor (g)</t>
        </is>
      </c>
      <c r="B8" s="19" t="n">
        <v>3.44</v>
      </c>
      <c r="C8" s="19" t="n">
        <v>4.9</v>
      </c>
      <c r="D8" s="19" t="n">
        <v>6.36</v>
      </c>
      <c r="E8" s="14" t="inlineStr">
        <is>
          <t>Width lever: addressable network vs the sourced subset (ID-based census).</t>
        </is>
      </c>
    </row>
    <row r="9">
      <c r="A9" s="25" t="inlineStr">
        <is>
          <t>Platform take rate</t>
        </is>
      </c>
      <c r="C9" s="39" t="n">
        <v>0.18</v>
      </c>
      <c r="E9" s="14" t="inlineStr">
        <is>
          <t>Super-app blended commission on journey GMV (derived line only).</t>
        </is>
      </c>
    </row>
    <row r="11">
      <c r="A11" s="25" t="inlineStr">
        <is>
          <t>SOM capture rate (floor)</t>
        </is>
      </c>
      <c r="C11" s="39" t="n">
        <v>0.1</v>
      </c>
      <c r="E11" s="14" t="inlineStr">
        <is>
          <t>New-entrant ~10% share of today's pool (= the published floor).</t>
        </is>
      </c>
    </row>
    <row r="13">
      <c r="A13" s="9" t="inlineStr">
        <is>
          <t>The ladder (live off the corridor floor)</t>
        </is>
      </c>
    </row>
    <row r="14">
      <c r="A14" s="10" t="inlineStr">
        <is>
          <t>Rung</t>
        </is>
      </c>
      <c r="B14" s="10" t="inlineStr">
        <is>
          <t>Low</t>
        </is>
      </c>
      <c r="C14" s="10" t="inlineStr">
        <is>
          <t>MID</t>
        </is>
      </c>
      <c r="D14" s="10" t="inlineStr">
        <is>
          <t>High</t>
        </is>
      </c>
      <c r="E14" s="10" t="inlineStr">
        <is>
          <t>Definition</t>
        </is>
      </c>
    </row>
    <row r="15">
      <c r="A15" s="25" t="inlineStr">
        <is>
          <t>SOM floor — Navier transport rev/yr (PUBLISHED)</t>
        </is>
      </c>
      <c r="C15" s="50">
        <f>som_floor_rev</f>
        <v/>
      </c>
      <c r="E15" s="14" t="inlineStr">
        <is>
          <t>Live sum of grounded corridor market-rev (10% capture, today's demand, sourced corridors).</t>
        </is>
      </c>
    </row>
    <row r="16">
      <c r="A16" s="25" t="inlineStr">
        <is>
          <t>M_today — full transport spend on sourced corridors</t>
        </is>
      </c>
      <c r="C16" s="50">
        <f>$C$15/$C$11</f>
        <v/>
      </c>
      <c r="E16" s="14" t="inlineStr">
        <is>
          <t>Anchor = SOM floor ÷ capture rate; recovers the whole crossing pool's premium-transfer spend today.</t>
        </is>
      </c>
    </row>
    <row r="18">
      <c r="A18" s="25" t="inlineStr">
        <is>
          <t>SOM full network (~10% capture, today, +greenfield)</t>
        </is>
      </c>
      <c r="B18" s="50">
        <f>$C$16*$C$11*$B$8</f>
        <v/>
      </c>
      <c r="C18" s="50">
        <f>$C$16*$C$11*$C$8</f>
        <v/>
      </c>
      <c r="D18" s="50">
        <f>$C$16*$C$11*$D$8</f>
        <v/>
      </c>
      <c r="E18" s="14" t="inlineStr">
        <is>
          <t>Floor posture (~10% captive capture, today's demand) extended across the whole mapped network.</t>
        </is>
      </c>
    </row>
    <row r="19">
      <c r="A19" s="25" t="inlineStr">
        <is>
          <t>SAM — sourced corridors only (depth, no greenfield)</t>
        </is>
      </c>
      <c r="B19" s="50">
        <f>$C$16*$B$5*$B$6</f>
        <v/>
      </c>
      <c r="C19" s="50">
        <f>$C$16*$C$5*$C$6</f>
        <v/>
      </c>
      <c r="D19" s="50">
        <f>$C$16*$D$5*$D$6</f>
        <v/>
      </c>
      <c r="E19" s="14" t="inlineStr">
        <is>
          <t>Matured network on the sourced corridors alone: induced demand × mature capture.</t>
        </is>
      </c>
    </row>
    <row r="20">
      <c r="A20" s="25" t="inlineStr">
        <is>
          <t>SAM — Navier transport rev @ full network (HEADLINE)</t>
        </is>
      </c>
      <c r="B20" s="50">
        <f>$C$16*$B$5*$B$6*$B$8</f>
        <v/>
      </c>
      <c r="C20" s="50">
        <f>$C$16*$C$5*$C$6*$C$8</f>
        <v/>
      </c>
      <c r="D20" s="50">
        <f>$C$16*$D$5*$D$6*$D$8</f>
        <v/>
      </c>
      <c r="E20" s="14" t="inlineStr">
        <is>
          <t>Matured across the full addressable network: induced × mature capture × greenfield width.</t>
        </is>
      </c>
    </row>
    <row r="21">
      <c r="A21" s="25" t="inlineStr">
        <is>
          <t>Marine mobility TAM — induced marine-transfer market (LB-110)</t>
        </is>
      </c>
      <c r="B21" s="50">
        <f>$C$16*$B$5*$B$8</f>
        <v/>
      </c>
      <c r="C21" s="50">
        <f>$C$16*$C$5*$C$8</f>
        <v/>
      </c>
      <c r="D21" s="50">
        <f>$C$16*$D$5*$D$8</f>
        <v/>
      </c>
      <c r="E21" s="14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25" t="inlineStr">
        <is>
          <t>Journey GMV — induced crossing × multiple (was TAM journey GMV)</t>
        </is>
      </c>
      <c r="B22" s="50">
        <f>$C$16*$B$5*$B$7*$B$8</f>
        <v/>
      </c>
      <c r="C22" s="50">
        <f>$C$16*$C$5*$C$7*$C$8</f>
        <v/>
      </c>
      <c r="D22" s="50">
        <f>$C$16*$D$5*$D$7*$D$8</f>
        <v/>
      </c>
      <c r="E22" s="14" t="inlineStr">
        <is>
          <t>Whole-journey spend (transport+food+stay+experiences) across the induced crossing market on the full network. Marine TAM × journey GMV multiple.</t>
        </is>
      </c>
    </row>
    <row r="23">
      <c r="A23" s="25" t="inlineStr">
        <is>
          <t>Journey GMV routed through Navier network</t>
        </is>
      </c>
      <c r="B23" s="50">
        <f>$C$16*$B$5*$B$6*$B$7*$B$8</f>
        <v/>
      </c>
      <c r="C23" s="50">
        <f>$C$16*$C$5*$C$6*$C$7*$C$8</f>
        <v/>
      </c>
      <c r="D23" s="50">
        <f>$C$16*$D$5*$D$6*$D$7*$D$8</f>
        <v/>
      </c>
      <c r="E23" s="14" t="inlineStr">
        <is>
          <t>Journey GMV on Navier-carried trips only.</t>
        </is>
      </c>
    </row>
    <row r="24">
      <c r="A24" s="25" t="inlineStr">
        <is>
          <t>Partner platform revenue on Navier (LB-113 — on-Navier subset, not 18% of full Journey GMV)</t>
        </is>
      </c>
      <c r="B24" s="50">
        <f>$C$16*$B$5*$B$6*$B$7*$B$8*$C$9</f>
        <v/>
      </c>
      <c r="C24" s="50">
        <f>$C$16*$C$5*$C$6*$C$7*$C$8*$C$9</f>
        <v/>
      </c>
      <c r="D24" s="50">
        <f>$C$16*$D$5*$D$6*$D$7*$D$8*$C$9</f>
        <v/>
      </c>
      <c r="E24" s="14" t="inlineStr">
        <is>
          <t>The super-app's own commission — the number a platform partner cares about.</t>
        </is>
      </c>
    </row>
    <row r="26">
      <c r="A26" s="51" t="inlineStr">
        <is>
          <t>Note</t>
        </is>
      </c>
      <c r="B26" s="52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2026-06-21T16:25:47Z</dcterms:created>
  <dcterms:modified xsi:type="dcterms:W3CDTF">2026-06-21T16:25:47Z</dcterms:modified>
</cp:coreProperties>
</file>