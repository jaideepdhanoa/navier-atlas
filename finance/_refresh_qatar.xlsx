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opex'!$A$4:$G$4</definedName>
    <definedName name="som_floor_fleet">'Corridor economics'!$D$18</definedName>
    <definedName name="som_floor_rev">'Corridor economics'!$E$18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Qatar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0.55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0.65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0.75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  <row r="4">
      <c r="A4" s="25" t="inlineStr">
        <is>
          <t>Qatar</t>
        </is>
      </c>
      <c r="B4" s="26" t="n">
        <v>43000</v>
      </c>
      <c r="C4" s="27" t="n">
        <v>0.036</v>
      </c>
      <c r="D4" s="19" t="n">
        <v>0.49</v>
      </c>
      <c r="E4" s="26" t="n">
        <v>20000</v>
      </c>
      <c r="F4" s="19" t="n">
        <v>0.7</v>
      </c>
      <c r="G4" s="26" t="n">
        <v>600000</v>
      </c>
      <c r="H4" s="14" t="inlineStr">
        <is>
          <t>GCC expat marine crew (Doha). Naukrigulf: yacht captain Qatar QAR 6,000-18,518/mo, avg QAR 10,333/mo (~$2,840); Indeed Qatar boat captain avg QAR 50,795/yr (low-side local base, ~$14k); Facebook/MCA ad: 38m-yacht captain $15k/mo (superyacht high-side, excluded). Deckhand: Doha job ads QAR 2,300/mo + food (Facebook 2026), Indeed boat/yacht crew up to QAR 4,500/mo. Blended 1 commercial tourism-boat captain (~QAR 10,000/mo ~$2,750) + deckhand (~QAR 3,000/mo ~$825) fully-loaded incl visa/accommodation ~= QAR 156k = ~$43k/vessel/yr @QAR 3.64 (pegged). Highest GCC wage market (GDP/cap top of GCC); just above Saudi $42k / UAE $40k, below Singapore $48k. | HEAVILY SUBSIDIZED - cheapest commercial power in the set. Kahramaa commercial tariff slabs: QAR 0.09/kWh first 4,000 kWh/mo, QAR 0.12 for 4,001-15,000, QAR 0.14 above 15,000 (Kahramaa tariff schedule). GlobalPetrolPrices business QAR 0.130/kWh = $0.036 (Sep 2025). Anchored $0.036. Floor (low slab QAR 0.09) ~$0.025, ceiling (top slab QAR 0.14) ~$0.038. @QAR 3.64 (pegged). Well below Saudi $0.074 / Bahrain $0.08 / UAE $0.085. | Modeled berth+insurance+admin/vessel/yr. Doha premium marina set: Lusail Marina, The Pearl (Ronautica) marinas, Old Doha Port Mina District superyacht marina - high-cost GCC marine ops comparable to Dubai. Between Saudi $18k and UAE $22k, ~=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Qatar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Qatar</t>
        </is>
      </c>
      <c r="B4" s="29" t="inlineStr">
        <is>
          <t>Qatar</t>
        </is>
      </c>
      <c r="C4" s="30" t="inlineStr">
        <is>
          <t>Lusail Marina → The Pearl</t>
        </is>
      </c>
      <c r="D4" s="31" t="n">
        <v>3.5</v>
      </c>
      <c r="E4" s="26" t="n"/>
      <c r="F4" s="32" t="n"/>
      <c r="G4" s="32" t="n"/>
      <c r="H4" s="19" t="n">
        <v>1</v>
      </c>
      <c r="I4" s="33">
        <f>60*D4/cruise_kt</f>
        <v/>
      </c>
      <c r="J4" s="33">
        <f>I4+turn_min+dwell_min</f>
        <v/>
      </c>
      <c r="K4" s="34">
        <f>MIN(27,FLOOR(60*service_hr/J4,1))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/>
      <c r="AH4" s="32" t="n"/>
      <c r="AI4" s="32" t="n"/>
      <c r="AJ4" s="39" t="n">
        <v>0.1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n"/>
      <c r="AX4" s="44" t="n"/>
    </row>
    <row r="5">
      <c r="A5" s="29" t="inlineStr">
        <is>
          <t>Qatar</t>
        </is>
      </c>
      <c r="B5" s="29" t="inlineStr">
        <is>
          <t>Qatar</t>
        </is>
      </c>
      <c r="C5" s="30" t="inlineStr">
        <is>
          <t>Doha Corniche → The Pearl</t>
        </is>
      </c>
      <c r="D5" s="31" t="n">
        <v>4</v>
      </c>
      <c r="E5" s="26" t="n"/>
      <c r="F5" s="32" t="n"/>
      <c r="G5" s="32" t="n"/>
      <c r="H5" s="19" t="n">
        <v>1</v>
      </c>
      <c r="I5" s="33">
        <f>60*D5/cruise_kt</f>
        <v/>
      </c>
      <c r="J5" s="33">
        <f>I5+turn_min+dwell_min</f>
        <v/>
      </c>
      <c r="K5" s="34">
        <f>MIN(27,FLOOR(60*service_hr/J5,1))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/>
      <c r="AH5" s="32" t="n"/>
      <c r="AI5" s="32" t="n"/>
      <c r="AJ5" s="39" t="n">
        <v>0.1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n"/>
      <c r="AX5" s="44" t="n"/>
    </row>
    <row r="6">
      <c r="A6" s="29" t="inlineStr">
        <is>
          <t>Qatar</t>
        </is>
      </c>
      <c r="B6" s="29" t="inlineStr">
        <is>
          <t>Qatar</t>
        </is>
      </c>
      <c r="C6" s="30" t="inlineStr">
        <is>
          <t>The Pearl-Qatar (Marsa Arabia) → Doha Corniche / Old Doha Port</t>
        </is>
      </c>
      <c r="D6" s="31" t="n">
        <v>4.4</v>
      </c>
      <c r="E6" s="26" t="n">
        <v>10.99</v>
      </c>
      <c r="F6" s="32" t="inlineStr">
        <is>
          <t>T3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MIN(27,FLOOR(60*service_hr/J6,1))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50000</v>
      </c>
      <c r="AH6" s="32" t="inlineStr">
        <is>
          <t>T5</t>
        </is>
      </c>
      <c r="AI6" s="32" t="inlineStr">
        <is>
          <t>low</t>
        </is>
      </c>
      <c r="AJ6" s="39" t="n">
        <v>0.1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inlineStr">
        <is>
          <t>Ronautica (UDC official Pearl marine operator) gate-to-gate water shuttle QAR 40/pp (USD 10.99) — premium per-seat tier on-corridor. Cheap tier: Mina Link scheduled shuttle QAR 25/pp (USD 6.87, launched Jul 2025; geography conflict between sources — timeoutdoha says Old Doha Port&lt;-&gt;Pearl, launch coverage says intra-port loop — so held to ladder, not anchor). Intra-Pearl premium: Porto Arabia&lt;-&gt;Qanat Quartier QAR 80/pp ($21.98).</t>
        </is>
      </c>
      <c r="AX6" s="44" t="inlineStr">
        <is>
          <t>On-corridor T1 anchors: Old Doha Port 7M+ visitors 2025 with 97% leasing occupancy, and 87 cruise ships / 396,000+ cruise passengers in the 2024-25 season (QNA/Old Doha Port CEO, 31-Dec-2025 — T1). Pearl Island ~52,000 residents, ~20M vehicle entries/yr (UDC). MOT Pearl Ferry Stop infrastructure complete (mot.gov.qa). Mina Link shuttle (QAR 25/pp, Brooq Tourism, daily 10:00-21:30): ridership unpublished; GEOGRAPHY FLAG — most launch coverage describes it as Containers Yard &lt;-&gt; Mina District (an INTRA-PORT scenic loop), not Old Doha Port &lt;-&gt; The Pearl, so it is a weak on-corridor proxy.</t>
        </is>
      </c>
    </row>
    <row r="7">
      <c r="A7" s="29" t="inlineStr">
        <is>
          <t>Qatar</t>
        </is>
      </c>
      <c r="B7" s="29" t="inlineStr">
        <is>
          <t>Qatar</t>
        </is>
      </c>
      <c r="C7" s="30" t="inlineStr">
        <is>
          <t>Doha → Banana Island</t>
        </is>
      </c>
      <c r="D7" s="31" t="n">
        <v>4.5</v>
      </c>
      <c r="E7" s="26" t="n"/>
      <c r="F7" s="32" t="n"/>
      <c r="G7" s="32" t="n"/>
      <c r="H7" s="19" t="n">
        <v>1</v>
      </c>
      <c r="I7" s="33">
        <f>60*D7/cruise_kt</f>
        <v/>
      </c>
      <c r="J7" s="33">
        <f>I7+turn_min+dwell_min</f>
        <v/>
      </c>
      <c r="K7" s="34">
        <f>MIN(27,FLOOR(60*service_hr/J7,1))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/>
      <c r="AH7" s="32" t="n"/>
      <c r="AI7" s="32" t="n"/>
      <c r="AJ7" s="39" t="n">
        <v>0.1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n"/>
      <c r="AX7" s="44" t="n"/>
    </row>
    <row r="8">
      <c r="A8" s="29" t="inlineStr">
        <is>
          <t>Qatar</t>
        </is>
      </c>
      <c r="B8" s="29" t="inlineStr">
        <is>
          <t>Qatar</t>
        </is>
      </c>
      <c r="C8" s="30" t="inlineStr">
        <is>
          <t>Doha (Al Shyoukh Terminal) → Banana Island Resort (Anantara)</t>
        </is>
      </c>
      <c r="D8" s="31" t="n">
        <v>4.9</v>
      </c>
      <c r="E8" s="26" t="n">
        <v>27.5</v>
      </c>
      <c r="F8" s="32" t="inlineStr">
        <is>
          <t>T3</t>
        </is>
      </c>
      <c r="G8" s="32" t="inlineStr">
        <is>
          <t>med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85000</v>
      </c>
      <c r="AH8" s="32" t="inlineStr">
        <is>
          <t>T4</t>
        </is>
      </c>
      <c r="AI8" s="32" t="inlineStr">
        <is>
          <t>med-low</t>
        </is>
      </c>
      <c r="AJ8" s="39" t="n">
        <v>0.9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inlineStr">
        <is>
          <t>Anantara official: day pass QAR 395/adult ($108.51) incl RT luxury catamaran transfer + QAR 345 credits. De-bundled transfer component: child rate QAR 200 RT no credits =&gt; ~QAR 100/way ~ USD 27.5/pp one-way pure-transfer value (honest band $14-55 RT).</t>
        </is>
      </c>
      <c r="AX8" s="44" t="inlineStr">
        <is>
          <t>Anantara Banana Island official: 141 keys (anantara.com/visitqatar, T1); access is BOAT-ONLY via ~45-51-pax luxury catamaran from Al Shyoukh Terminal, 25-30 min, scheduled ~hourly 09:00-21:00 (booking.com listing; adventureparkdoha.com '45-passenger catamaran operates regularly'; observed 51-pax config). Qatar national hotel occupancy 71% 2025 (Qatar Tourism/ValuStrat, T2). Day-pass product QAR 395/adult incl. RT transfer (anantara.com, T1) adds day-tripper volume.</t>
        </is>
      </c>
    </row>
    <row r="9">
      <c r="A9" s="29" t="inlineStr">
        <is>
          <t>Qatar</t>
        </is>
      </c>
      <c r="B9" s="29" t="inlineStr">
        <is>
          <t>Qatar</t>
        </is>
      </c>
      <c r="C9" s="30" t="inlineStr">
        <is>
          <t>West Bay / Corniche (Doha) → Lusail Marina &amp; Place Vendôme</t>
        </is>
      </c>
      <c r="D9" s="31" t="n">
        <v>6.3</v>
      </c>
      <c r="E9" s="26" t="n">
        <v>16</v>
      </c>
      <c r="F9" s="32" t="inlineStr">
        <is>
          <t>T5</t>
        </is>
      </c>
      <c r="G9" s="32" t="inlineStr">
        <is>
          <t>low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MIN(27,FLOOR(60*service_hr/J9,1))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75000</v>
      </c>
      <c r="AH9" s="32" t="inlineStr">
        <is>
          <t>T5</t>
        </is>
      </c>
      <c r="AI9" s="32" t="inlineStr">
        <is>
          <t>low</t>
        </is>
      </c>
      <c r="AJ9" s="39" t="n">
        <v>0.1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inlineStr">
        <is>
          <t>FWD-SAM (2030)</t>
        </is>
      </c>
      <c r="AR9" s="41" t="n"/>
      <c r="AS9" s="42" t="n"/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inlineStr">
        <is>
          <t>No scheduled service yet: MOT Water Taxi Phase-1 INFRASTRUCTURE complete 7 Nov 2024 (Lusail Ferry Terminal + Pearl &amp; Corniche stops, EV-charger-fitted) but operator unselected, no fare published (mot.gov.qa). Cascaded from on-network premium per-seat anchor Ronautica Pearl gate-to-gate QAR 40/pp (USD 10.99) scaled per-nm 4.4-&gt;6.3nm =&gt; ~$15.7. Leisure upper bound: Blue Pearl shared speedboat West Bay QAR 160/pp ($43.95).</t>
        </is>
      </c>
      <c r="AX9" s="44" t="inlineStr">
        <is>
          <t>No marine service operates on this corridor today (greenfield; MOT Water Taxi Phase-1 INFRASTRUCTURE complete Nov-2024 — Lusail Ferry Terminal + Corniche Ferry Stop sit EXACTLY on this corridor's endpoints, with electric-ferry chargers — but operator not yet selected; network capacity unpublished, mot.gov.qa). Destination pools (all LAND-arriving, R3-LAND caveat): Al Maha Island Lusail target 1.5M visitors/yr (Gulf Times/developer); Place Vendome mall claims 16.5M annual footfall (UDC leasing brochure 2025, marketing-grade); Lusail Boulevard 250k visitors on NYE 2025 alone (wgoqatar); Doha Corniche promenade has NO published count. Qatar 5.08M intl visitors 2024 / 5.1M 2025 (Qatar Tourism, T1).</t>
        </is>
      </c>
    </row>
    <row r="10">
      <c r="A10" s="29" t="inlineStr">
        <is>
          <t>Qatar</t>
        </is>
      </c>
      <c r="B10" s="29" t="inlineStr">
        <is>
          <t>Qatar</t>
        </is>
      </c>
      <c r="C10" s="30" t="inlineStr">
        <is>
          <t>Doha → Lusail Marina</t>
        </is>
      </c>
      <c r="D10" s="31" t="n">
        <v>6.5</v>
      </c>
      <c r="E10" s="26" t="n"/>
      <c r="F10" s="32" t="n"/>
      <c r="G10" s="32" t="n"/>
      <c r="H10" s="19" t="n">
        <v>1</v>
      </c>
      <c r="I10" s="33">
        <f>60*D10/cruise_kt</f>
        <v/>
      </c>
      <c r="J10" s="33">
        <f>I10+turn_min+dwell_min</f>
        <v/>
      </c>
      <c r="K10" s="34">
        <f>MIN(27,FLOOR(60*service_hr/J10,1))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/>
      <c r="AH10" s="32" t="n"/>
      <c r="AI10" s="32" t="n"/>
      <c r="AJ10" s="39" t="n">
        <v>0.1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/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n"/>
      <c r="AX10" s="44" t="n"/>
    </row>
    <row r="11">
      <c r="A11" s="29" t="inlineStr">
        <is>
          <t>Qatar</t>
        </is>
      </c>
      <c r="B11" s="29" t="inlineStr">
        <is>
          <t>Qatar</t>
        </is>
      </c>
      <c r="C11" s="30" t="inlineStr">
        <is>
          <t>Al Wakrah → Banana Island</t>
        </is>
      </c>
      <c r="D11" s="31" t="n">
        <v>9.5</v>
      </c>
      <c r="E11" s="26" t="n"/>
      <c r="F11" s="32" t="n"/>
      <c r="G11" s="32" t="n"/>
      <c r="H11" s="19" t="n">
        <v>1</v>
      </c>
      <c r="I11" s="33">
        <f>60*D11/cruise_kt</f>
        <v/>
      </c>
      <c r="J11" s="33">
        <f>I11+turn_min+dwell_min</f>
        <v/>
      </c>
      <c r="K11" s="34">
        <f>MIN(27,FLOOR(60*service_hr/J11,1))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/>
      <c r="AH11" s="32" t="n"/>
      <c r="AI11" s="32" t="n"/>
      <c r="AJ11" s="39" t="n">
        <v>0.1</v>
      </c>
      <c r="AK11" s="34">
        <f>IF(AG11="","",AG11*AJ11)</f>
        <v/>
      </c>
      <c r="AL11" s="34">
        <f>IF(OR(AG11="",R11=0),"",MIN(IF(AS11="",9.9E+99,AS11),FLOOR(AK11/R11,1)))</f>
        <v/>
      </c>
      <c r="AM11" s="38">
        <f>IF(AL11="","",AL11*T11)</f>
        <v/>
      </c>
      <c r="AN11" s="36">
        <f>IF(OR(AG11="",R11=0),"",MIN(IF(AS11="",9.9E+99,AS11),AK11/R11))</f>
        <v/>
      </c>
      <c r="AO11" s="38">
        <f>IF(AN11="","",AN11*T11)</f>
        <v/>
      </c>
      <c r="AP11" s="40" t="n"/>
      <c r="AQ11" s="41" t="n"/>
      <c r="AR11" s="41" t="n"/>
      <c r="AS11" s="42" t="n"/>
      <c r="AT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U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V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W11" s="44" t="n"/>
      <c r="AX11" s="44" t="n"/>
    </row>
    <row r="12">
      <c r="A12" s="29" t="inlineStr">
        <is>
          <t>Qatar</t>
        </is>
      </c>
      <c r="B12" s="29" t="inlineStr">
        <is>
          <t>Qatar</t>
        </is>
      </c>
      <c r="C12" s="30" t="inlineStr">
        <is>
          <t>Doha → Al Wakrah Marina</t>
        </is>
      </c>
      <c r="D12" s="31" t="n">
        <v>11</v>
      </c>
      <c r="E12" s="26" t="n"/>
      <c r="F12" s="32" t="n"/>
      <c r="G12" s="32" t="n"/>
      <c r="H12" s="19" t="n">
        <v>1</v>
      </c>
      <c r="I12" s="33">
        <f>60*D12/cruise_kt</f>
        <v/>
      </c>
      <c r="J12" s="33">
        <f>I12+turn_min+dwell_min</f>
        <v/>
      </c>
      <c r="K12" s="34">
        <f>MIN(27,FLOOR(60*service_hr/J12,1))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/>
      <c r="AH12" s="32" t="n"/>
      <c r="AI12" s="32" t="n"/>
      <c r="AJ12" s="39" t="n">
        <v>0.1</v>
      </c>
      <c r="AK12" s="34">
        <f>IF(AG12="","",AG12*AJ12)</f>
        <v/>
      </c>
      <c r="AL12" s="34">
        <f>IF(OR(AG12="",R12=0),"",MIN(IF(AS12="",9.9E+99,AS12),FLOOR(AK12/R12,1)))</f>
        <v/>
      </c>
      <c r="AM12" s="38">
        <f>IF(AL12="","",AL12*T12)</f>
        <v/>
      </c>
      <c r="AN12" s="36">
        <f>IF(OR(AG12="",R12=0),"",MIN(IF(AS12="",9.9E+99,AS12),AK12/R12))</f>
        <v/>
      </c>
      <c r="AO12" s="38">
        <f>IF(AN12="","",AN12*T12)</f>
        <v/>
      </c>
      <c r="AP12" s="40" t="n"/>
      <c r="AQ12" s="41" t="n"/>
      <c r="AR12" s="41" t="n"/>
      <c r="AS12" s="42" t="n"/>
      <c r="AT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U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V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W12" s="44" t="n"/>
      <c r="AX12" s="44" t="n"/>
    </row>
    <row r="13">
      <c r="A13" s="45" t="inlineStr">
        <is>
          <t>TOTAL / median</t>
        </is>
      </c>
      <c r="T13" s="46">
        <f>SUM(T4:T12)</f>
        <v/>
      </c>
      <c r="AC13" s="46">
        <f>SUM(AC4:AC12)</f>
        <v/>
      </c>
      <c r="AD13" s="47">
        <f>IF(T13=0,"",AC13/T13)</f>
        <v/>
      </c>
      <c r="AL13" s="48">
        <f>SUM(AL4:AL12)</f>
        <v/>
      </c>
      <c r="AM13" s="46">
        <f>SUM(AM4:AM12)</f>
        <v/>
      </c>
    </row>
    <row r="15">
      <c r="A15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6">
      <c r="A16" s="24" t="inlineStr">
        <is>
          <t>Market</t>
        </is>
      </c>
      <c r="B16" s="24" t="inlineStr">
        <is>
          <t>Fleet basis</t>
        </is>
      </c>
      <c r="C16" s="24" t="inlineStr">
        <is>
          <t>Raw vessels (sum)</t>
        </is>
      </c>
      <c r="D16" s="24" t="inlineStr">
        <is>
          <t>Fleet (rounded once)</t>
        </is>
      </c>
      <c r="E16" s="24" t="inlineStr">
        <is>
          <t>Market rev/yr (raw sum)</t>
        </is>
      </c>
    </row>
    <row r="17">
      <c r="A17" s="25" t="inlineStr">
        <is>
          <t>Qatar</t>
        </is>
      </c>
      <c r="B17" s="13" t="inlineStr">
        <is>
          <t>per_corridor_floor</t>
        </is>
      </c>
      <c r="C17" s="13" t="inlineStr">
        <is>
          <t>—</t>
        </is>
      </c>
      <c r="D17" s="49">
        <f>SUMIFS(AL4:AL12,A4:A12,"Qatar",AP4:AP12,"=",AQ4:AQ12,"=",AR4:AR12,"=")</f>
        <v/>
      </c>
      <c r="E17" s="50">
        <f>SUMIFS(AM4:AM12,A4:A12,"Qatar",AP4:AP12,"=",AQ4:AQ12,"=",AR4:AR12,"=")</f>
        <v/>
      </c>
    </row>
    <row r="18">
      <c r="A18" s="45" t="inlineStr">
        <is>
          <t>GROUNDED FLOOR (PUBLISHED)</t>
        </is>
      </c>
      <c r="D18" s="48">
        <f>SUM(D17:D17)</f>
        <v/>
      </c>
      <c r="E18" s="46">
        <f>SUM(E17:E17)</f>
        <v/>
      </c>
    </row>
    <row r="19">
      <c r="A19" s="20" t="inlineStr">
        <is>
          <t>FORWARD SAM (2030-dated; held OUT of grounded floor)</t>
        </is>
      </c>
      <c r="D19" s="51">
        <f>SUMIF(AQ4:AQ12,"&lt;&gt;",AL4:AL12)</f>
        <v/>
      </c>
      <c r="E19" s="52">
        <f>SUMIF(AQ4:AQ12,"&lt;&gt;",AM4:AM12)</f>
        <v/>
      </c>
    </row>
    <row r="21">
      <c r="A21" s="53" t="inlineStr">
        <is>
          <t>Held for Quanta-LR (&gt;70nm, roadmap H2 2026+):</t>
        </is>
      </c>
      <c r="C21" s="54" t="inlineStr">
        <is>
          <t>Doha (Lusail Marina) → Manama (Bahrain Financial Harbour) (94.5nm)</t>
        </is>
      </c>
    </row>
  </sheetData>
  <mergeCells count="2">
    <mergeCell ref="A15:L15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0.8299</v>
      </c>
      <c r="C6" s="39" t="n">
        <v>0.8299</v>
      </c>
      <c r="D6" s="39" t="n">
        <v>0.8799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0.8299</v>
      </c>
      <c r="E11" s="14" t="inlineStr">
        <is>
          <t>Captive sole-operator capture (~83%) that builds the published floor; M_today = floor ÷ this = the true corridor spend pool.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(~83%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(~83%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2026-06-22T00:41:33Z</dcterms:created>
  <dcterms:modified xsi:type="dcterms:W3CDTF">2026-06-22T00:41:33Z</dcterms:modified>
</cp:coreProperties>
</file>