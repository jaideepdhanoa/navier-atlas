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economics'!$D$21</definedName>
    <definedName name="som_floor_rev">'Corridor economics'!$E$21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Qatar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Qatar</t>
        </is>
      </c>
      <c r="B4" s="26" t="n">
        <v>43000</v>
      </c>
      <c r="C4" s="27" t="n">
        <v>0.036</v>
      </c>
      <c r="D4" s="19" t="n">
        <v>0.49</v>
      </c>
      <c r="E4" s="26" t="n">
        <v>20000</v>
      </c>
      <c r="F4" s="19" t="n">
        <v>0.7</v>
      </c>
      <c r="G4" s="26" t="n">
        <v>600000</v>
      </c>
      <c r="H4" s="14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26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Qatar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Qatar</t>
        </is>
      </c>
      <c r="B4" s="29" t="inlineStr">
        <is>
          <t>Qatar</t>
        </is>
      </c>
      <c r="C4" s="30" t="inlineStr">
        <is>
          <t>Lusail Marina → The Pearl</t>
        </is>
      </c>
      <c r="D4" s="31" t="n">
        <v>3.5</v>
      </c>
      <c r="E4" s="26" t="n"/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MIN(27,FLOOR(60*service_hr/J4,1))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Estimated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n"/>
      <c r="AY4" s="44" t="n"/>
    </row>
    <row r="5">
      <c r="A5" s="29" t="inlineStr">
        <is>
          <t>Qatar</t>
        </is>
      </c>
      <c r="B5" s="29" t="inlineStr">
        <is>
          <t>Qatar</t>
        </is>
      </c>
      <c r="C5" s="30" t="inlineStr">
        <is>
          <t>Doha Corniche → The Pearl</t>
        </is>
      </c>
      <c r="D5" s="31" t="n">
        <v>4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MIN(27,FLOOR(60*service_hr/J5,1))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Estimated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n"/>
      <c r="AY5" s="44" t="n"/>
    </row>
    <row r="6">
      <c r="A6" s="29" t="inlineStr">
        <is>
          <t>Qatar</t>
        </is>
      </c>
      <c r="B6" s="29" t="inlineStr">
        <is>
          <t>Qatar</t>
        </is>
      </c>
      <c r="C6" s="30" t="inlineStr">
        <is>
          <t>The Pearl-Qatar (Marsa Arabia) → Doha Corniche / Old Doha Port</t>
        </is>
      </c>
      <c r="D6" s="31" t="n">
        <v>4.4</v>
      </c>
      <c r="E6" s="26" t="n"/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/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Estimated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n"/>
      <c r="AY6" s="44" t="n"/>
    </row>
    <row r="7">
      <c r="A7" s="29" t="inlineStr">
        <is>
          <t>Qatar</t>
        </is>
      </c>
      <c r="B7" s="29" t="inlineStr">
        <is>
          <t>Qatar</t>
        </is>
      </c>
      <c r="C7" s="30" t="inlineStr">
        <is>
          <t>The Pearl-Qatar (Marsa Arabia) → Doha Corniche / Old Doha Port</t>
        </is>
      </c>
      <c r="D7" s="31" t="n">
        <v>4.4</v>
      </c>
      <c r="E7" s="26" t="n">
        <v>10.99</v>
      </c>
      <c r="F7" s="32" t="inlineStr">
        <is>
          <t>T3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MIN(27,FLOOR(60*service_hr/J7,1))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50000</v>
      </c>
      <c r="AH7" s="32" t="inlineStr">
        <is>
          <t>T5</t>
        </is>
      </c>
      <c r="AI7" s="32" t="inlineStr">
        <is>
          <t>low</t>
        </is>
      </c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Estimated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AY7" s="44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8">
      <c r="A8" s="29" t="inlineStr">
        <is>
          <t>Qatar</t>
        </is>
      </c>
      <c r="B8" s="29" t="inlineStr">
        <is>
          <t>Qatar</t>
        </is>
      </c>
      <c r="C8" s="30" t="inlineStr">
        <is>
          <t>Doha → Banana Island</t>
        </is>
      </c>
      <c r="D8" s="31" t="n">
        <v>4.5</v>
      </c>
      <c r="E8" s="26" t="n"/>
      <c r="F8" s="32" t="n"/>
      <c r="G8" s="32" t="n"/>
      <c r="H8" s="19" t="n">
        <v>1</v>
      </c>
      <c r="I8" s="33">
        <f>60*D8/cruise_kt</f>
        <v/>
      </c>
      <c r="J8" s="33">
        <f>I8+turn_min+dwell_min</f>
        <v/>
      </c>
      <c r="K8" s="34">
        <f>MIN(27,FLOOR(60*service_hr/J8,1))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n"/>
      <c r="AI8" s="32" t="n"/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Estimated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n"/>
      <c r="AY8" s="44" t="n"/>
    </row>
    <row r="9">
      <c r="A9" s="29" t="inlineStr">
        <is>
          <t>Qatar</t>
        </is>
      </c>
      <c r="B9" s="29" t="inlineStr">
        <is>
          <t>Qatar</t>
        </is>
      </c>
      <c r="C9" s="30" t="inlineStr">
        <is>
          <t>Doha (Al Shyoukh Terminal) → Banana Island Resort (Anantara)</t>
        </is>
      </c>
      <c r="D9" s="31" t="n">
        <v>4.9</v>
      </c>
      <c r="E9" s="26" t="n"/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/>
      <c r="AH9" s="32" t="n"/>
      <c r="AI9" s="32" t="n"/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n"/>
      <c r="AY9" s="44" t="n"/>
    </row>
    <row r="10">
      <c r="A10" s="29" t="inlineStr">
        <is>
          <t>Qatar</t>
        </is>
      </c>
      <c r="B10" s="29" t="inlineStr">
        <is>
          <t>Qatar</t>
        </is>
      </c>
      <c r="C10" s="30" t="inlineStr">
        <is>
          <t>Doha (Al Shyoukh Terminal) → Banana Island Resort (Anantara)</t>
        </is>
      </c>
      <c r="D10" s="31" t="n">
        <v>4.9</v>
      </c>
      <c r="E10" s="26" t="n">
        <v>27.5</v>
      </c>
      <c r="F10" s="32" t="inlineStr">
        <is>
          <t>T3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85000</v>
      </c>
      <c r="AH10" s="32" t="inlineStr">
        <is>
          <t>T4</t>
        </is>
      </c>
      <c r="AI10" s="32" t="inlineStr">
        <is>
          <t>med-low</t>
        </is>
      </c>
      <c r="AJ10" s="39" t="n">
        <v>0.9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AY10" s="44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11">
      <c r="A11" s="29" t="inlineStr">
        <is>
          <t>Qatar</t>
        </is>
      </c>
      <c r="B11" s="29" t="inlineStr">
        <is>
          <t>Qatar</t>
        </is>
      </c>
      <c r="C11" s="30" t="inlineStr">
        <is>
          <t>West Bay / Corniche (Doha) → Lusail Marina &amp; Place Vendôme</t>
        </is>
      </c>
      <c r="D11" s="31" t="n">
        <v>6.3</v>
      </c>
      <c r="E11" s="26" t="n"/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Forward SAM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n"/>
      <c r="AY11" s="44" t="n"/>
    </row>
    <row r="12">
      <c r="A12" s="29" t="inlineStr">
        <is>
          <t>Qatar</t>
        </is>
      </c>
      <c r="B12" s="29" t="inlineStr">
        <is>
          <t>Qatar</t>
        </is>
      </c>
      <c r="C12" s="30" t="inlineStr">
        <is>
          <t>West Bay / Corniche (Doha) → Lusail Marina &amp; Place Vendôme</t>
        </is>
      </c>
      <c r="D12" s="31" t="n">
        <v>6.3</v>
      </c>
      <c r="E12" s="26" t="n">
        <v>16</v>
      </c>
      <c r="F12" s="32" t="inlineStr">
        <is>
          <t>T5</t>
        </is>
      </c>
      <c r="G12" s="32" t="inlineStr">
        <is>
          <t>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MIN(27,FLOOR(60*service_hr/J12,1))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75000</v>
      </c>
      <c r="AH12" s="32" t="inlineStr">
        <is>
          <t>T5</t>
        </is>
      </c>
      <c r="AI12" s="32" t="inlineStr">
        <is>
          <t>low</t>
        </is>
      </c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Forward SAM</t>
        </is>
      </c>
      <c r="AR12" s="41" t="inlineStr">
        <is>
          <t>FWD-SAM (2030)</t>
        </is>
      </c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AY12" s="44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13">
      <c r="A13" s="29" t="inlineStr">
        <is>
          <t>Qatar</t>
        </is>
      </c>
      <c r="B13" s="29" t="inlineStr">
        <is>
          <t>Qatar</t>
        </is>
      </c>
      <c r="C13" s="30" t="inlineStr">
        <is>
          <t>Doha → Lusail Marina</t>
        </is>
      </c>
      <c r="D13" s="31" t="n">
        <v>6.5</v>
      </c>
      <c r="E13" s="26" t="n"/>
      <c r="F13" s="32" t="n"/>
      <c r="G13" s="32" t="n"/>
      <c r="H13" s="19" t="n">
        <v>1</v>
      </c>
      <c r="I13" s="33">
        <f>60*D13/cruise_kt</f>
        <v/>
      </c>
      <c r="J13" s="33">
        <f>I13+turn_min+dwell_min</f>
        <v/>
      </c>
      <c r="K13" s="34">
        <f>MIN(27,FLOOR(60*service_hr/J13,1))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/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Estimated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n"/>
      <c r="AY13" s="44" t="n"/>
    </row>
    <row r="14">
      <c r="A14" s="29" t="inlineStr">
        <is>
          <t>Qatar</t>
        </is>
      </c>
      <c r="B14" s="29" t="inlineStr">
        <is>
          <t>Qatar</t>
        </is>
      </c>
      <c r="C14" s="30" t="inlineStr">
        <is>
          <t>Al Wakrah → Banana Island</t>
        </is>
      </c>
      <c r="D14" s="31" t="n">
        <v>9.5</v>
      </c>
      <c r="E14" s="26" t="n"/>
      <c r="F14" s="32" t="n"/>
      <c r="G14" s="32" t="n"/>
      <c r="H14" s="19" t="n">
        <v>1</v>
      </c>
      <c r="I14" s="33">
        <f>60*D14/cruise_kt</f>
        <v/>
      </c>
      <c r="J14" s="33">
        <f>I14+turn_min+dwell_min</f>
        <v/>
      </c>
      <c r="K14" s="34">
        <f>MIN(27,FLOOR(60*service_hr/J14,1))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/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Estimated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n"/>
      <c r="AY14" s="44" t="n"/>
    </row>
    <row r="15">
      <c r="A15" s="29" t="inlineStr">
        <is>
          <t>Qatar</t>
        </is>
      </c>
      <c r="B15" s="29" t="inlineStr">
        <is>
          <t>Qatar</t>
        </is>
      </c>
      <c r="C15" s="30" t="inlineStr">
        <is>
          <t>Doha → Al Wakrah Marina</t>
        </is>
      </c>
      <c r="D15" s="31" t="n">
        <v>11</v>
      </c>
      <c r="E15" s="26" t="n"/>
      <c r="F15" s="32" t="n"/>
      <c r="G15" s="32" t="n"/>
      <c r="H15" s="19" t="n">
        <v>1</v>
      </c>
      <c r="I15" s="33">
        <f>60*D15/cruise_kt</f>
        <v/>
      </c>
      <c r="J15" s="33">
        <f>I15+turn_min+dwell_min</f>
        <v/>
      </c>
      <c r="K15" s="34">
        <f>MIN(27,FLOOR(60*service_hr/J15,1))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/>
      <c r="AH15" s="32" t="n"/>
      <c r="AI15" s="32" t="n"/>
      <c r="AJ15" s="39" t="n">
        <v>0.1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Estimated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n"/>
      <c r="AY15" s="44" t="n"/>
    </row>
    <row r="16">
      <c r="A16" s="45" t="inlineStr">
        <is>
          <t>TOTAL / median</t>
        </is>
      </c>
      <c r="T16" s="46">
        <f>SUM(T4:T15)</f>
        <v/>
      </c>
      <c r="AC16" s="46">
        <f>SUM(AC4:AC15)</f>
        <v/>
      </c>
      <c r="AD16" s="47">
        <f>IF(T16=0,"",AC16/T16)</f>
        <v/>
      </c>
      <c r="AL16" s="48">
        <f>SUM(AL4:AL15)</f>
        <v/>
      </c>
      <c r="AM16" s="46">
        <f>SUM(AM4:AM15)</f>
        <v/>
      </c>
    </row>
    <row r="18">
      <c r="A1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9">
      <c r="A19" s="24" t="inlineStr">
        <is>
          <t>Market</t>
        </is>
      </c>
      <c r="B19" s="24" t="inlineStr">
        <is>
          <t>Fleet basis</t>
        </is>
      </c>
      <c r="C19" s="24" t="inlineStr">
        <is>
          <t>Raw vessels (sum)</t>
        </is>
      </c>
      <c r="D19" s="24" t="inlineStr">
        <is>
          <t>Fleet (rounded once)</t>
        </is>
      </c>
      <c r="E19" s="24" t="inlineStr">
        <is>
          <t>Market rev/yr (raw sum)</t>
        </is>
      </c>
    </row>
    <row r="20">
      <c r="A20" s="25" t="inlineStr">
        <is>
          <t>Qatar</t>
        </is>
      </c>
      <c r="B20" s="13" t="inlineStr">
        <is>
          <t>per_corridor_floor</t>
        </is>
      </c>
      <c r="C20" s="13" t="inlineStr">
        <is>
          <t>—</t>
        </is>
      </c>
      <c r="D20" s="49">
        <f>SUMIFS(AL4:AL15,A4:A15,"Qatar",AP4:AP15,"=",AQ4:AQ15,"Grounded")</f>
        <v/>
      </c>
      <c r="E20" s="50">
        <f>SUMIFS(AM4:AM15,A4:A15,"Qatar",AP4:AP15,"=",AQ4:AQ15,"Grounded")</f>
        <v/>
      </c>
    </row>
    <row r="21">
      <c r="A21" s="45" t="inlineStr">
        <is>
          <t>GROUNDED FLOOR (PUBLISHED)</t>
        </is>
      </c>
      <c r="D21" s="48">
        <f>SUM(D20:D20)</f>
        <v/>
      </c>
      <c r="E21" s="46">
        <f>SUM(E20:E20)</f>
        <v/>
      </c>
    </row>
    <row r="22">
      <c r="A22" s="20" t="inlineStr">
        <is>
          <t>ESTIMATED DEMAND (country-median cascade; held OUT of grounded floor)</t>
        </is>
      </c>
      <c r="D22" s="51">
        <f>SUMIF(AQ4:AQ15,"Estimated",AL4:AL15)</f>
        <v/>
      </c>
      <c r="E22" s="52">
        <f>SUMIF(AQ4:AQ15,"Estimated",AM4:AM15)</f>
        <v/>
      </c>
    </row>
    <row r="23">
      <c r="A23" s="20" t="inlineStr">
        <is>
          <t>FORWARD SAM (2030-dated; held OUT of grounded floor)</t>
        </is>
      </c>
      <c r="D23" s="51">
        <f>SUMIF(AQ4:AQ15,"Forward SAM",AL4:AL15)</f>
        <v/>
      </c>
      <c r="E23" s="52">
        <f>SUMIF(AQ4:AQ15,"Forward SAM",AM4:AM15)</f>
        <v/>
      </c>
    </row>
    <row r="25">
      <c r="A25" s="53" t="inlineStr">
        <is>
          <t>Held for Quanta-LR (&gt;70nm, roadmap H2 2026+):</t>
        </is>
      </c>
      <c r="C25" s="54" t="inlineStr">
        <is>
          <t>Doha (Lusail Marina) → Manama (Bahrain Financial Harbour) (94.5nm)</t>
        </is>
      </c>
    </row>
    <row r="26">
      <c r="C26" s="54" t="inlineStr">
        <is>
          <t>Doha (Lusail Marina) → Manama (Bahrain Financial Harbour) (94.5nm)</t>
        </is>
      </c>
    </row>
  </sheetData>
  <mergeCells count="2">
    <mergeCell ref="A1:L1"/>
    <mergeCell ref="A18:L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0.8299</v>
      </c>
      <c r="C6" s="39" t="n">
        <v>0.8299</v>
      </c>
      <c r="D6" s="39" t="n">
        <v>0.8799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0.8299</v>
      </c>
      <c r="E11" s="14" t="inlineStr">
        <is>
          <t>Captive sole-operator capture (~83%)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(~83%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(~83%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2026-07-06T02:58:44Z</dcterms:created>
  <dcterms:modified xsi:type="dcterms:W3CDTF">2026-07-06T02:58:44Z</dcterms:modified>
</cp:coreProperties>
</file>