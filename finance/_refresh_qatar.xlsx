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economics'!$D$18</definedName>
    <definedName name="som_floor_rev">'Corridor economics'!$E$18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Qatar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Qatar</t>
        </is>
      </c>
      <c r="B4" s="26" t="n">
        <v>43000</v>
      </c>
      <c r="C4" s="27" t="n">
        <v>0.036</v>
      </c>
      <c r="D4" s="19" t="n">
        <v>0.49</v>
      </c>
      <c r="E4" s="26" t="n">
        <v>20000</v>
      </c>
      <c r="F4" s="19" t="n">
        <v>0.7</v>
      </c>
      <c r="G4" s="26" t="n">
        <v>600000</v>
      </c>
      <c r="H4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Qatar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Qatar</t>
        </is>
      </c>
      <c r="B4" s="29" t="inlineStr">
        <is>
          <t>Qatar</t>
        </is>
      </c>
      <c r="C4" s="30" t="inlineStr">
        <is>
          <t>Lusail Marina → The Pearl</t>
        </is>
      </c>
      <c r="D4" s="31" t="n">
        <v>3.5</v>
      </c>
      <c r="E4" s="26" t="n"/>
      <c r="F4" s="32" t="n"/>
      <c r="G4" s="32" t="n"/>
      <c r="H4" s="19" t="n">
        <v>1</v>
      </c>
      <c r="I4" s="33">
        <f>60*D4/cruise_kt</f>
        <v/>
      </c>
      <c r="J4" s="33">
        <f>I4+turn_min+dwell_min</f>
        <v/>
      </c>
      <c r="K4" s="34">
        <f>MIN(27,FLOOR(60*service_hr/J4,1))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Qatar</t>
        </is>
      </c>
      <c r="B5" s="29" t="inlineStr">
        <is>
          <t>Qatar</t>
        </is>
      </c>
      <c r="C5" s="30" t="inlineStr">
        <is>
          <t>Doha Corniche → The Pearl</t>
        </is>
      </c>
      <c r="D5" s="31" t="n">
        <v>4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MIN(27,FLOOR(60*service_hr/J5,1))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Qatar</t>
        </is>
      </c>
      <c r="B6" s="29" t="inlineStr">
        <is>
          <t>Qatar</t>
        </is>
      </c>
      <c r="C6" s="30" t="inlineStr">
        <is>
          <t>The Pearl-Qatar (Marsa Arabia) → Doha Corniche / Old Doha Port</t>
        </is>
      </c>
      <c r="D6" s="31" t="n">
        <v>4.4</v>
      </c>
      <c r="E6" s="26" t="n">
        <v>10.99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MIN(27,FLOOR(60*service_hr/J6,1))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50000</v>
      </c>
      <c r="AH6" s="32" t="inlineStr">
        <is>
          <t>T5</t>
        </is>
      </c>
      <c r="AI6" s="32" t="inlineStr">
        <is>
          <t>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6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7">
      <c r="A7" s="29" t="inlineStr">
        <is>
          <t>Qatar</t>
        </is>
      </c>
      <c r="B7" s="29" t="inlineStr">
        <is>
          <t>Qatar</t>
        </is>
      </c>
      <c r="C7" s="30" t="inlineStr">
        <is>
          <t>Doha → Banana Island</t>
        </is>
      </c>
      <c r="D7" s="31" t="n">
        <v>4.5</v>
      </c>
      <c r="E7" s="26" t="n"/>
      <c r="F7" s="32" t="n"/>
      <c r="G7" s="32" t="n"/>
      <c r="H7" s="19" t="n">
        <v>1</v>
      </c>
      <c r="I7" s="33">
        <f>60*D7/cruise_kt</f>
        <v/>
      </c>
      <c r="J7" s="33">
        <f>I7+turn_min+dwell_min</f>
        <v/>
      </c>
      <c r="K7" s="34">
        <f>MIN(27,FLOOR(60*service_hr/J7,1))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Qatar</t>
        </is>
      </c>
      <c r="B8" s="29" t="inlineStr">
        <is>
          <t>Qatar</t>
        </is>
      </c>
      <c r="C8" s="30" t="inlineStr">
        <is>
          <t>Doha (Al Shyoukh Terminal) → Banana Island Resort (Anantara)</t>
        </is>
      </c>
      <c r="D8" s="31" t="n">
        <v>4.9</v>
      </c>
      <c r="E8" s="26" t="n">
        <v>27.5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85000</v>
      </c>
      <c r="AH8" s="32" t="inlineStr">
        <is>
          <t>T4</t>
        </is>
      </c>
      <c r="AI8" s="32" t="inlineStr">
        <is>
          <t>med-low</t>
        </is>
      </c>
      <c r="AJ8" s="39" t="n">
        <v>0.9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8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9">
      <c r="A9" s="29" t="inlineStr">
        <is>
          <t>Qatar</t>
        </is>
      </c>
      <c r="B9" s="29" t="inlineStr">
        <is>
          <t>Qatar</t>
        </is>
      </c>
      <c r="C9" s="30" t="inlineStr">
        <is>
          <t>West Bay / Corniche (Doha) → Lusail Marina &amp; Place Vendôme</t>
        </is>
      </c>
      <c r="D9" s="31" t="n">
        <v>6.3</v>
      </c>
      <c r="E9" s="26" t="n">
        <v>16</v>
      </c>
      <c r="F9" s="32" t="inlineStr">
        <is>
          <t>T5</t>
        </is>
      </c>
      <c r="G9" s="32" t="inlineStr">
        <is>
          <t>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MIN(27,FLOOR(60*service_hr/J9,1))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75000</v>
      </c>
      <c r="AH9" s="32" t="inlineStr">
        <is>
          <t>T5</t>
        </is>
      </c>
      <c r="AI9" s="32" t="inlineStr">
        <is>
          <t>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inlineStr">
        <is>
          <t>FWD-SAM (2030)</t>
        </is>
      </c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9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0">
      <c r="A10" s="29" t="inlineStr">
        <is>
          <t>Qatar</t>
        </is>
      </c>
      <c r="B10" s="29" t="inlineStr">
        <is>
          <t>Qatar</t>
        </is>
      </c>
      <c r="C10" s="30" t="inlineStr">
        <is>
          <t>Doha → Lusail Marina</t>
        </is>
      </c>
      <c r="D10" s="31" t="n">
        <v>6.5</v>
      </c>
      <c r="E10" s="26" t="n"/>
      <c r="F10" s="32" t="n"/>
      <c r="G10" s="32" t="n"/>
      <c r="H10" s="19" t="n">
        <v>1</v>
      </c>
      <c r="I10" s="33">
        <f>60*D10/cruise_kt</f>
        <v/>
      </c>
      <c r="J10" s="33">
        <f>I10+turn_min+dwell_min</f>
        <v/>
      </c>
      <c r="K10" s="34">
        <f>MIN(27,FLOOR(60*service_hr/J10,1))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Qatar</t>
        </is>
      </c>
      <c r="B11" s="29" t="inlineStr">
        <is>
          <t>Qatar</t>
        </is>
      </c>
      <c r="C11" s="30" t="inlineStr">
        <is>
          <t>Al Wakrah → Banana Island</t>
        </is>
      </c>
      <c r="D11" s="31" t="n">
        <v>9.5</v>
      </c>
      <c r="E11" s="26" t="n"/>
      <c r="F11" s="32" t="n"/>
      <c r="G11" s="32" t="n"/>
      <c r="H11" s="19" t="n">
        <v>1</v>
      </c>
      <c r="I11" s="33">
        <f>60*D11/cruise_kt</f>
        <v/>
      </c>
      <c r="J11" s="33">
        <f>I11+turn_min+dwell_min</f>
        <v/>
      </c>
      <c r="K11" s="34">
        <f>MIN(27,FLOOR(60*service_hr/J11,1))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/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Qatar</t>
        </is>
      </c>
      <c r="B12" s="29" t="inlineStr">
        <is>
          <t>Qatar</t>
        </is>
      </c>
      <c r="C12" s="30" t="inlineStr">
        <is>
          <t>Doha → Al Wakrah Marina</t>
        </is>
      </c>
      <c r="D12" s="31" t="n">
        <v>11</v>
      </c>
      <c r="E12" s="26" t="n"/>
      <c r="F12" s="32" t="n"/>
      <c r="G12" s="32" t="n"/>
      <c r="H12" s="19" t="n">
        <v>1</v>
      </c>
      <c r="I12" s="33">
        <f>60*D12/cruise_kt</f>
        <v/>
      </c>
      <c r="J12" s="33">
        <f>I12+turn_min+dwell_min</f>
        <v/>
      </c>
      <c r="K12" s="34">
        <f>MIN(27,FLOOR(60*service_hr/J12,1))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/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45" t="inlineStr">
        <is>
          <t>TOTAL / median</t>
        </is>
      </c>
      <c r="T13" s="46">
        <f>SUM(T4:T12)</f>
        <v/>
      </c>
      <c r="AC13" s="46">
        <f>SUM(AC4:AC12)</f>
        <v/>
      </c>
      <c r="AD13" s="47">
        <f>IF(T13=0,"",AC13/T13)</f>
        <v/>
      </c>
      <c r="AL13" s="48">
        <f>SUM(AL4:AL12)</f>
        <v/>
      </c>
      <c r="AM13" s="46">
        <f>SUM(AM4:AM12)</f>
        <v/>
      </c>
    </row>
    <row r="15">
      <c r="A1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6">
      <c r="A16" s="24" t="inlineStr">
        <is>
          <t>Market</t>
        </is>
      </c>
      <c r="B16" s="24" t="inlineStr">
        <is>
          <t>Fleet basis</t>
        </is>
      </c>
      <c r="C16" s="24" t="inlineStr">
        <is>
          <t>Raw vessels (sum)</t>
        </is>
      </c>
      <c r="D16" s="24" t="inlineStr">
        <is>
          <t>Fleet (rounded once)</t>
        </is>
      </c>
      <c r="E16" s="24" t="inlineStr">
        <is>
          <t>Market rev/yr (raw sum)</t>
        </is>
      </c>
    </row>
    <row r="17">
      <c r="A17" s="25" t="inlineStr">
        <is>
          <t>Qatar</t>
        </is>
      </c>
      <c r="B17" s="13" t="inlineStr">
        <is>
          <t>per_corridor_floor</t>
        </is>
      </c>
      <c r="C17" s="13" t="inlineStr">
        <is>
          <t>—</t>
        </is>
      </c>
      <c r="D17" s="49">
        <f>SUMIFS(AL4:AL12,A4:A12,"Qatar",AP4:AP12,"=",AQ4:AQ12,"=",AR4:AR12,"=")</f>
        <v/>
      </c>
      <c r="E17" s="50">
        <f>SUMIFS(AM4:AM12,A4:A12,"Qatar",AP4:AP12,"=",AQ4:AQ12,"=",AR4:AR12,"=")</f>
        <v/>
      </c>
    </row>
    <row r="18">
      <c r="A18" s="45" t="inlineStr">
        <is>
          <t>GROUNDED FLOOR (PUBLISHED)</t>
        </is>
      </c>
      <c r="D18" s="48">
        <f>SUM(D17:D17)</f>
        <v/>
      </c>
      <c r="E18" s="46">
        <f>SUM(E17:E17)</f>
        <v/>
      </c>
    </row>
    <row r="19">
      <c r="A19" s="20" t="inlineStr">
        <is>
          <t>FORWARD SAM (2030-dated; held OUT of grounded floor)</t>
        </is>
      </c>
      <c r="D19" s="51">
        <f>SUMIF(AQ4:AQ12,"&lt;&gt;",AL4:AL12)</f>
        <v/>
      </c>
      <c r="E19" s="52">
        <f>SUMIF(AQ4:AQ12,"&lt;&gt;",AM4:AM12)</f>
        <v/>
      </c>
    </row>
    <row r="21">
      <c r="A21" s="53" t="inlineStr">
        <is>
          <t>Held for Quanta-LR (&gt;70nm, roadmap H2 2026+):</t>
        </is>
      </c>
      <c r="C21" s="54" t="inlineStr">
        <is>
          <t>Doha (Lusail Marina) → Manama (Bahrain Financial Harbour) (94.5nm)</t>
        </is>
      </c>
    </row>
  </sheetData>
  <mergeCells count="2">
    <mergeCell ref="A15:L1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0.8299</v>
      </c>
      <c r="C6" s="39" t="n">
        <v>0.8299</v>
      </c>
      <c r="D6" s="39" t="n">
        <v>0.8799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0.8299</v>
      </c>
      <c r="E11" s="14" t="inlineStr">
        <is>
          <t>Captive sole-operator capture (~83%)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(~83%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(~83%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2026-06-22T01:17:30Z</dcterms:created>
  <dcterms:modified xsi:type="dcterms:W3CDTF">2026-06-22T01:17:30Z</dcterms:modified>
</cp:coreProperties>
</file>