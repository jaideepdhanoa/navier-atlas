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opex'!$A$4:$G$5</definedName>
    <definedName name="som_floor_fleet">'Corridor economics'!$D$52</definedName>
    <definedName name="som_floor_rev">'Corridor economics'!$E$52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Gojek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Indonesia</t>
        </is>
      </c>
      <c r="B4" s="26" t="n">
        <v>12000</v>
      </c>
      <c r="C4" s="27" t="n">
        <v>0.07000000000000001</v>
      </c>
      <c r="D4" s="19" t="n">
        <v>0.75</v>
      </c>
      <c r="E4" s="26" t="n">
        <v>10000</v>
      </c>
      <c r="F4" s="19" t="n">
        <v>0.45</v>
      </c>
      <c r="G4" s="26" t="n">
        <v>600000</v>
      </c>
      <c r="H4" s="14" t="inlineStr">
        <is>
          <t>Blended local crew; ERI pro $23k vs informal local | PLN business IDR 1,114/kWh = $0.07 | Modeled | CAPEX LB-243 US/EU=$900K else $600K</t>
        </is>
      </c>
    </row>
    <row r="5">
      <c r="A5" s="25" t="inlineStr">
        <is>
          <t>Singapore</t>
        </is>
      </c>
      <c r="B5" s="26" t="n">
        <v>48000</v>
      </c>
      <c r="C5" s="27" t="n">
        <v>0.21</v>
      </c>
      <c r="D5" s="19" t="n">
        <v>0.4</v>
      </c>
      <c r="E5" s="26" t="n">
        <v>20000</v>
      </c>
      <c r="F5" s="19" t="n">
        <v>1</v>
      </c>
      <c r="G5" s="26" t="n">
        <v>600000</v>
      </c>
      <c r="H5" s="14" t="inlineStr">
        <is>
          <t>Modeled SG marine crew ~SGD 4-5k/mo blended | SG regulated tariff 28.1c SGD = $0.21 | SG high-cost berth modeled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5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Gojek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Gojek</t>
        </is>
      </c>
      <c r="B4" s="29" t="inlineStr">
        <is>
          <t>Indonesia</t>
        </is>
      </c>
      <c r="C4" s="30" t="inlineStr">
        <is>
          <t>Komodo → Pelabuhan Labuan Bajo</t>
        </is>
      </c>
      <c r="D4" s="31" t="n">
        <v>1.4</v>
      </c>
      <c r="E4" s="26" t="n">
        <v>50</v>
      </c>
      <c r="F4" s="32" t="inlineStr">
        <is>
          <t>T3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MIN(24,FLOOR(60*service_hr/J4,1))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5000</v>
      </c>
      <c r="AH4" s="32" t="inlineStr">
        <is>
          <t>T3</t>
        </is>
      </c>
      <c r="AI4" s="32" t="inlineStr">
        <is>
          <t>med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economics_by_route_id.json</t>
        </is>
      </c>
      <c r="AY4" s="44" t="inlineStr">
        <is>
          <t>gojek-127/route+economics</t>
        </is>
      </c>
    </row>
    <row r="5">
      <c r="A5" s="29" t="inlineStr">
        <is>
          <t>Gojek</t>
        </is>
      </c>
      <c r="B5" s="29" t="inlineStr">
        <is>
          <t>Indonesia</t>
        </is>
      </c>
      <c r="C5" s="30" t="inlineStr">
        <is>
          <t>Komodo → Meruorah Komodo Labuan Bajo</t>
        </is>
      </c>
      <c r="D5" s="31" t="n">
        <v>1.5</v>
      </c>
      <c r="E5" s="26" t="n">
        <v>50</v>
      </c>
      <c r="F5" s="32" t="inlineStr">
        <is>
          <t>T3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MIN(24,FLOOR(60*service_hr/J5,1))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5000</v>
      </c>
      <c r="AH5" s="32" t="inlineStr">
        <is>
          <t>T3</t>
        </is>
      </c>
      <c r="AI5" s="32" t="inlineStr">
        <is>
          <t>med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economics_by_route_id.json</t>
        </is>
      </c>
      <c r="AY5" s="44" t="inlineStr">
        <is>
          <t>gojek-127/route+economics</t>
        </is>
      </c>
    </row>
    <row r="6">
      <c r="A6" s="29" t="inlineStr">
        <is>
          <t>Gojek</t>
        </is>
      </c>
      <c r="B6" s="29" t="inlineStr">
        <is>
          <t>Indonesia</t>
        </is>
      </c>
      <c r="C6" s="30" t="inlineStr">
        <is>
          <t>Gili Meno Harbour → Ferry Terminal Gili Trawangan</t>
        </is>
      </c>
      <c r="D6" s="31" t="n">
        <v>2</v>
      </c>
      <c r="E6" s="26" t="n">
        <v>50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MIN(24,FLOOR(60*service_hr/J6,1))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</v>
      </c>
      <c r="AH6" s="32" t="inlineStr">
        <is>
          <t>T3</t>
        </is>
      </c>
      <c r="AI6" s="32" t="inlineStr">
        <is>
          <t>med</t>
        </is>
      </c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economics_by_route_id.json</t>
        </is>
      </c>
      <c r="AY6" s="44" t="inlineStr">
        <is>
          <t>gojek-127/route+economics</t>
        </is>
      </c>
    </row>
    <row r="7">
      <c r="A7" s="29" t="inlineStr">
        <is>
          <t>Gojek</t>
        </is>
      </c>
      <c r="B7" s="29" t="inlineStr">
        <is>
          <t>Indonesia</t>
        </is>
      </c>
      <c r="C7" s="30" t="inlineStr">
        <is>
          <t>Mall → Likupang / Manado / Bunaken, North Sulawesi, Indonesia</t>
        </is>
      </c>
      <c r="D7" s="31" t="n">
        <v>2.5</v>
      </c>
      <c r="E7" s="26" t="n">
        <v>50</v>
      </c>
      <c r="F7" s="32" t="inlineStr">
        <is>
          <t>T3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MIN(24,FLOOR(60*service_hr/J7,1))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</v>
      </c>
      <c r="AH7" s="32" t="inlineStr">
        <is>
          <t>T3</t>
        </is>
      </c>
      <c r="AI7" s="32" t="inlineStr">
        <is>
          <t>med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economics_by_route_id.json</t>
        </is>
      </c>
      <c r="AY7" s="44" t="inlineStr">
        <is>
          <t>gojek-127/route+economics</t>
        </is>
      </c>
    </row>
    <row r="8">
      <c r="A8" s="29" t="inlineStr">
        <is>
          <t>Gojek</t>
        </is>
      </c>
      <c r="B8" s="29" t="inlineStr">
        <is>
          <t>Indonesia</t>
        </is>
      </c>
      <c r="C8" s="30" t="inlineStr">
        <is>
          <t>Jalan Crystal Bay → Nusa Bahari Lembongan</t>
        </is>
      </c>
      <c r="D8" s="31" t="n">
        <v>2.9</v>
      </c>
      <c r="E8" s="26" t="n">
        <v>50</v>
      </c>
      <c r="F8" s="32" t="inlineStr">
        <is>
          <t>T3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MIN(24,FLOOR(60*service_hr/J8,1))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5000</v>
      </c>
      <c r="AH8" s="32" t="inlineStr">
        <is>
          <t>T3</t>
        </is>
      </c>
      <c r="AI8" s="32" t="inlineStr">
        <is>
          <t>med</t>
        </is>
      </c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economics_by_route_id.json</t>
        </is>
      </c>
      <c r="AY8" s="44" t="inlineStr">
        <is>
          <t>gojek-127/route+economics</t>
        </is>
      </c>
    </row>
    <row r="9">
      <c r="A9" s="29" t="inlineStr">
        <is>
          <t>Gojek</t>
        </is>
      </c>
      <c r="B9" s="29" t="inlineStr">
        <is>
          <t>Indonesia</t>
        </is>
      </c>
      <c r="C9" s="30" t="inlineStr">
        <is>
          <t>Likupang / Manado / Bunaken, North Sulawesi, Indonesia → Likupang North Sulawesi Indonesia</t>
        </is>
      </c>
      <c r="D9" s="31" t="n">
        <v>3</v>
      </c>
      <c r="E9" s="26" t="n">
        <v>50</v>
      </c>
      <c r="F9" s="32" t="inlineStr">
        <is>
          <t>T3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MIN(24,FLOOR(60*service_hr/J9,1))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5000</v>
      </c>
      <c r="AH9" s="32" t="inlineStr">
        <is>
          <t>T3</t>
        </is>
      </c>
      <c r="AI9" s="32" t="inlineStr">
        <is>
          <t>med</t>
        </is>
      </c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economics_by_route_id.json</t>
        </is>
      </c>
      <c r="AY9" s="44" t="inlineStr">
        <is>
          <t>gojek-127/route+economics</t>
        </is>
      </c>
    </row>
    <row r="10">
      <c r="A10" s="29" t="inlineStr">
        <is>
          <t>Gojek</t>
        </is>
      </c>
      <c r="B10" s="29" t="inlineStr">
        <is>
          <t>Indonesia</t>
        </is>
      </c>
      <c r="C10" s="30" t="inlineStr">
        <is>
          <t>Likupang / Manado / Bunaken, North Sulawesi, Indonesia → Likupang North Sulawesi Indonesia</t>
        </is>
      </c>
      <c r="D10" s="31" t="n">
        <v>4.3</v>
      </c>
      <c r="E10" s="26" t="n">
        <v>50</v>
      </c>
      <c r="F10" s="32" t="inlineStr">
        <is>
          <t>T3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MIN(24,FLOOR(60*service_hr/J10,1))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T3</t>
        </is>
      </c>
      <c r="AI10" s="32" t="inlineStr">
        <is>
          <t>med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economics_by_route_id.json</t>
        </is>
      </c>
      <c r="AY10" s="44" t="inlineStr">
        <is>
          <t>gojek-127/route+economics</t>
        </is>
      </c>
    </row>
    <row r="11">
      <c r="A11" s="29" t="inlineStr">
        <is>
          <t>Gojek</t>
        </is>
      </c>
      <c r="B11" s="29" t="inlineStr">
        <is>
          <t>Indonesia</t>
        </is>
      </c>
      <c r="C11" s="30" t="inlineStr">
        <is>
          <t>Sampalan Harbour → Maruti Port - Nusa Penida</t>
        </is>
      </c>
      <c r="D11" s="31" t="n">
        <v>5.6</v>
      </c>
      <c r="E11" s="26" t="n">
        <v>50</v>
      </c>
      <c r="F11" s="32" t="inlineStr">
        <is>
          <t>T3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MIN(24,FLOOR(60*service_hr/J11,1))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5000</v>
      </c>
      <c r="AH11" s="32" t="inlineStr">
        <is>
          <t>T3</t>
        </is>
      </c>
      <c r="AI11" s="32" t="inlineStr">
        <is>
          <t>med</t>
        </is>
      </c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economics_by_route_id.json</t>
        </is>
      </c>
      <c r="AY11" s="44" t="inlineStr">
        <is>
          <t>gojek-127/route+economics</t>
        </is>
      </c>
    </row>
    <row r="12">
      <c r="A12" s="29" t="inlineStr">
        <is>
          <t>Gojek</t>
        </is>
      </c>
      <c r="B12" s="29" t="inlineStr">
        <is>
          <t>Indonesia</t>
        </is>
      </c>
      <c r="C12" s="30" t="inlineStr">
        <is>
          <t>Mall → Likupang / Manado / Bunaken, North Sulawesi, Indonesia</t>
        </is>
      </c>
      <c r="D12" s="31" t="n">
        <v>7.1</v>
      </c>
      <c r="E12" s="26" t="n">
        <v>50</v>
      </c>
      <c r="F12" s="32" t="inlineStr">
        <is>
          <t>T3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MIN(24,FLOOR(60*service_hr/J12,1))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5000</v>
      </c>
      <c r="AH12" s="32" t="inlineStr">
        <is>
          <t>T3</t>
        </is>
      </c>
      <c r="AI12" s="32" t="inlineStr">
        <is>
          <t>med</t>
        </is>
      </c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economics_by_route_id.json</t>
        </is>
      </c>
      <c r="AY12" s="44" t="inlineStr">
        <is>
          <t>gojek-127/route+economics</t>
        </is>
      </c>
    </row>
    <row r="13">
      <c r="A13" s="29" t="inlineStr">
        <is>
          <t>Gojek</t>
        </is>
      </c>
      <c r="B13" s="29" t="inlineStr">
        <is>
          <t>Indonesia</t>
        </is>
      </c>
      <c r="C13" s="30" t="inlineStr">
        <is>
          <t>Marina Ancol → Thousand Islands — inner ring (Bidadari / Ayer / Onrust)</t>
        </is>
      </c>
      <c r="D13" s="31" t="n">
        <v>7.4</v>
      </c>
      <c r="E13" s="26" t="n">
        <v>11.7</v>
      </c>
      <c r="F13" s="32" t="inlineStr">
        <is>
          <t>T2/T3</t>
        </is>
      </c>
      <c r="G13" s="32" t="inlineStr">
        <is>
          <t>med-high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10000</v>
      </c>
      <c r="AH13" s="32" t="inlineStr">
        <is>
          <t>T2</t>
        </is>
      </c>
      <c r="AI13" s="32" t="inlineStr">
        <is>
          <t>med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AY13" s="44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14">
      <c r="A14" s="29" t="inlineStr">
        <is>
          <t>Gojek</t>
        </is>
      </c>
      <c r="B14" s="29" t="inlineStr">
        <is>
          <t>Indonesia</t>
        </is>
      </c>
      <c r="C14" s="30" t="inlineStr">
        <is>
          <t>Sanur Beach Fast Boat Terminal → GoBoat.id - Nelayan Beach Canggu</t>
        </is>
      </c>
      <c r="D14" s="31" t="n">
        <v>7.6</v>
      </c>
      <c r="E14" s="26" t="n">
        <v>85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2900</v>
      </c>
      <c r="AH14" s="32" t="inlineStr">
        <is>
          <t>T2</t>
        </is>
      </c>
      <c r="AI14" s="32" t="inlineStr">
        <is>
          <t>med</t>
        </is>
      </c>
      <c r="AJ14" s="39" t="n">
        <v>0.9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Minor Hotels captive gateway — Avani Seminyak coastal transfer.</t>
        </is>
      </c>
      <c r="AY14" s="44" t="inlineStr">
        <is>
          <t>minor-hotels-bali-flagship-economics-DRAFT.json — Seminyak gateway pool</t>
        </is>
      </c>
    </row>
    <row r="15">
      <c r="A15" s="29" t="inlineStr">
        <is>
          <t>Gojek</t>
        </is>
      </c>
      <c r="B15" s="29" t="inlineStr">
        <is>
          <t>Indonesia</t>
        </is>
      </c>
      <c r="C15" s="30" t="inlineStr">
        <is>
          <t>Bali Marina (Benoa) → Six Senses Uluwatu</t>
        </is>
      </c>
      <c r="D15" s="31" t="n">
        <v>7.7</v>
      </c>
      <c r="E15" s="26" t="n">
        <v>85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2900</v>
      </c>
      <c r="AH15" s="32" t="inlineStr">
        <is>
          <t>T2</t>
        </is>
      </c>
      <c r="AI15" s="32" t="inlineStr">
        <is>
          <t>med</t>
        </is>
      </c>
      <c r="AJ15" s="39" t="n">
        <v>0.9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Minor Hotels captive gateway — Anantara Uluwatu Benoa marina transfer.</t>
        </is>
      </c>
      <c r="AY15" s="44" t="inlineStr">
        <is>
          <t>minor-hotels-bali-flagship-economics-DRAFT.json — Uluwatu gateway pool</t>
        </is>
      </c>
    </row>
    <row r="16">
      <c r="A16" s="29" t="inlineStr">
        <is>
          <t>Gojek</t>
        </is>
      </c>
      <c r="B16" s="29" t="inlineStr">
        <is>
          <t>Indonesia</t>
        </is>
      </c>
      <c r="C16" s="30" t="inlineStr">
        <is>
          <t>ONE°15 Marina Sentosa Cove → Harbour Bay</t>
        </is>
      </c>
      <c r="D16" s="31" t="n">
        <v>11.2</v>
      </c>
      <c r="E16" s="26" t="n">
        <v>50</v>
      </c>
      <c r="F16" s="32" t="inlineStr">
        <is>
          <t>T3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</v>
      </c>
      <c r="AH16" s="32" t="inlineStr">
        <is>
          <t>T3</t>
        </is>
      </c>
      <c r="AI16" s="32" t="inlineStr">
        <is>
          <t>med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economics_by_route_id.json</t>
        </is>
      </c>
      <c r="AY16" s="44" t="inlineStr">
        <is>
          <t>gojek-127/route+economics</t>
        </is>
      </c>
    </row>
    <row r="17">
      <c r="A17" s="29" t="inlineStr">
        <is>
          <t>Gojek</t>
        </is>
      </c>
      <c r="B17" s="29" t="inlineStr">
        <is>
          <t>Indonesia</t>
        </is>
      </c>
      <c r="C17" s="30" t="inlineStr">
        <is>
          <t>Riau Islands → ONE°15 Marina Sentosa Cove Singapore</t>
        </is>
      </c>
      <c r="D17" s="31" t="n">
        <v>11.9</v>
      </c>
      <c r="E17" s="26" t="n">
        <v>50</v>
      </c>
      <c r="F17" s="32" t="inlineStr">
        <is>
          <t>T3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MIN(24,FLOOR(60*service_hr/J17,1))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5000</v>
      </c>
      <c r="AH17" s="32" t="inlineStr">
        <is>
          <t>T3</t>
        </is>
      </c>
      <c r="AI17" s="32" t="inlineStr">
        <is>
          <t>med</t>
        </is>
      </c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economics_by_route_id.json</t>
        </is>
      </c>
      <c r="AY17" s="44" t="inlineStr">
        <is>
          <t>gojek-127/route+economics</t>
        </is>
      </c>
    </row>
    <row r="18">
      <c r="A18" s="29" t="inlineStr">
        <is>
          <t>Gojek</t>
        </is>
      </c>
      <c r="B18" s="29" t="inlineStr">
        <is>
          <t>Indonesia</t>
        </is>
      </c>
      <c r="C18" s="30" t="inlineStr">
        <is>
          <t>Bali (Benoa / Sanur) → Nusa Penida / Lembongan</t>
        </is>
      </c>
      <c r="D18" s="31" t="n">
        <v>13.5</v>
      </c>
      <c r="E18" s="26" t="n">
        <v>60</v>
      </c>
      <c r="F18" s="32" t="inlineStr">
        <is>
          <t>T3</t>
        </is>
      </c>
      <c r="G18" s="32" t="inlineStr">
        <is>
          <t>med-high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1500000</v>
      </c>
      <c r="AH18" s="32" t="inlineStr">
        <is>
          <t>T2</t>
        </is>
      </c>
      <c r="AI18" s="32" t="inlineStr">
        <is>
          <t>med-high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AY18" s="44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19">
      <c r="A19" s="29" t="inlineStr">
        <is>
          <t>Gojek</t>
        </is>
      </c>
      <c r="B19" s="29" t="inlineStr">
        <is>
          <t>Indonesia</t>
        </is>
      </c>
      <c r="C19" s="30" t="inlineStr">
        <is>
          <t>Sanur Beach Fast Boat Terminal → Nusa Penida (Toyapakeh / Banjar Nyuh harbour)</t>
        </is>
      </c>
      <c r="D19" s="31" t="n">
        <v>13.5</v>
      </c>
      <c r="E19" s="26" t="n">
        <v>50</v>
      </c>
      <c r="F19" s="32" t="inlineStr">
        <is>
          <t>T3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MIN(24,FLOOR(60*service_hr/J19,1))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5000</v>
      </c>
      <c r="AH19" s="32" t="inlineStr">
        <is>
          <t>T3</t>
        </is>
      </c>
      <c r="AI19" s="32" t="inlineStr">
        <is>
          <t>med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economics_by_route_id.json</t>
        </is>
      </c>
      <c r="AY19" s="44" t="inlineStr">
        <is>
          <t>gojek-127/route+economics</t>
        </is>
      </c>
    </row>
    <row r="20">
      <c r="A20" s="29" t="inlineStr">
        <is>
          <t>Gojek</t>
        </is>
      </c>
      <c r="B20" s="29" t="inlineStr">
        <is>
          <t>Indonesia</t>
        </is>
      </c>
      <c r="C20" s="30" t="inlineStr">
        <is>
          <t>Komodo → Pink Beach / Pantai Merah anchorage</t>
        </is>
      </c>
      <c r="D20" s="31" t="n">
        <v>23.9</v>
      </c>
      <c r="E20" s="26" t="n">
        <v>50</v>
      </c>
      <c r="F20" s="32" t="inlineStr">
        <is>
          <t>T3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MIN(24,FLOOR(60*service_hr/J20,1))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5000</v>
      </c>
      <c r="AH20" s="32" t="inlineStr">
        <is>
          <t>T3</t>
        </is>
      </c>
      <c r="AI20" s="32" t="inlineStr">
        <is>
          <t>med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economics_by_route_id.json</t>
        </is>
      </c>
      <c r="AY20" s="44" t="inlineStr">
        <is>
          <t>gojek-127/route+economics</t>
        </is>
      </c>
    </row>
    <row r="21">
      <c r="A21" s="29" t="inlineStr">
        <is>
          <t>Gojek</t>
        </is>
      </c>
      <c r="B21" s="29" t="inlineStr">
        <is>
          <t>Indonesia</t>
        </is>
      </c>
      <c r="C21" s="30" t="inlineStr">
        <is>
          <t>Komodo → Padar Island Viewing-Platform Pier</t>
        </is>
      </c>
      <c r="D21" s="31" t="n">
        <v>24.4</v>
      </c>
      <c r="E21" s="26" t="n">
        <v>50</v>
      </c>
      <c r="F21" s="32" t="inlineStr">
        <is>
          <t>T3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5000</v>
      </c>
      <c r="AH21" s="32" t="inlineStr">
        <is>
          <t>T3</t>
        </is>
      </c>
      <c r="AI21" s="32" t="inlineStr">
        <is>
          <t>med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economics_by_route_id.json</t>
        </is>
      </c>
      <c r="AY21" s="44" t="inlineStr">
        <is>
          <t>gojek-127/route+economics</t>
        </is>
      </c>
    </row>
    <row r="22">
      <c r="A22" s="29" t="inlineStr">
        <is>
          <t>Gojek</t>
        </is>
      </c>
      <c r="B22" s="29" t="inlineStr">
        <is>
          <t>Indonesia</t>
        </is>
      </c>
      <c r="C22" s="30" t="inlineStr">
        <is>
          <t>Komodo → Komodo Island — Ata Modo village</t>
        </is>
      </c>
      <c r="D22" s="31" t="n">
        <v>24.8</v>
      </c>
      <c r="E22" s="26" t="n">
        <v>50</v>
      </c>
      <c r="F22" s="32" t="inlineStr">
        <is>
          <t>T3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MIN(24,FLOOR(60*service_hr/J22,1))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5000</v>
      </c>
      <c r="AH22" s="32" t="inlineStr">
        <is>
          <t>T3</t>
        </is>
      </c>
      <c r="AI22" s="32" t="inlineStr">
        <is>
          <t>med</t>
        </is>
      </c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economics_by_route_id.json</t>
        </is>
      </c>
      <c r="AY22" s="44" t="inlineStr">
        <is>
          <t>gojek-127/route+economics</t>
        </is>
      </c>
    </row>
    <row r="23">
      <c r="A23" s="29" t="inlineStr">
        <is>
          <t>Gojek</t>
        </is>
      </c>
      <c r="B23" s="29" t="inlineStr">
        <is>
          <t>Indonesia</t>
        </is>
      </c>
      <c r="C23" s="30" t="inlineStr">
        <is>
          <t>Thousand Islands — inner ring → Thousand Islands — outer ring</t>
        </is>
      </c>
      <c r="D23" s="31" t="n">
        <v>28.9</v>
      </c>
      <c r="E23" s="26" t="n">
        <v>16.6</v>
      </c>
      <c r="F23" s="32" t="inlineStr">
        <is>
          <t>T5</t>
        </is>
      </c>
      <c r="G23" s="32" t="inlineStr">
        <is>
          <t>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inlineStr">
        <is>
          <t>T5</t>
        </is>
      </c>
      <c r="AI23" s="32" t="inlineStr">
        <is>
          <t>low</t>
        </is>
      </c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Estimated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AY23" s="44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24">
      <c r="A24" s="29" t="inlineStr">
        <is>
          <t>Gojek</t>
        </is>
      </c>
      <c r="B24" s="29" t="inlineStr">
        <is>
          <t>Indonesia</t>
        </is>
      </c>
      <c r="C24" s="30" t="inlineStr">
        <is>
          <t>Marina Ancol → Thousand Islands — outer ring (Macan / Pelangi / Putri / Sepa)</t>
        </is>
      </c>
      <c r="D24" s="31" t="n">
        <v>35.9</v>
      </c>
      <c r="E24" s="26" t="n">
        <v>24.5</v>
      </c>
      <c r="F24" s="32" t="inlineStr">
        <is>
          <t>T2/T3</t>
        </is>
      </c>
      <c r="G24" s="32" t="inlineStr">
        <is>
          <t>high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7000</v>
      </c>
      <c r="AH24" s="32" t="inlineStr">
        <is>
          <t>T2</t>
        </is>
      </c>
      <c r="AI24" s="32" t="inlineStr">
        <is>
          <t>med</t>
        </is>
      </c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AY24" s="44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25">
      <c r="A25" s="29" t="inlineStr">
        <is>
          <t>Gojek</t>
        </is>
      </c>
      <c r="B25" s="29" t="inlineStr">
        <is>
          <t>Indonesia</t>
        </is>
      </c>
      <c r="C25" s="30" t="inlineStr">
        <is>
          <t>Raja Ampat → Waisai Waterfront</t>
        </is>
      </c>
      <c r="D25" s="31" t="n">
        <v>38.7</v>
      </c>
      <c r="E25" s="26" t="n">
        <v>50</v>
      </c>
      <c r="F25" s="32" t="inlineStr">
        <is>
          <t>T3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5000</v>
      </c>
      <c r="AH25" s="32" t="inlineStr">
        <is>
          <t>T3</t>
        </is>
      </c>
      <c r="AI25" s="32" t="inlineStr">
        <is>
          <t>med</t>
        </is>
      </c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economics_by_route_id.json</t>
        </is>
      </c>
      <c r="AY25" s="44" t="inlineStr">
        <is>
          <t>gojek-127/route+economics</t>
        </is>
      </c>
    </row>
    <row r="26">
      <c r="A26" s="29" t="inlineStr">
        <is>
          <t>Gojek</t>
        </is>
      </c>
      <c r="B26" s="29" t="inlineStr">
        <is>
          <t>Indonesia</t>
        </is>
      </c>
      <c r="C26" s="30" t="inlineStr">
        <is>
          <t>Raja Ampat → Mioskon Islet</t>
        </is>
      </c>
      <c r="D26" s="31" t="n">
        <v>40</v>
      </c>
      <c r="E26" s="26" t="n">
        <v>50</v>
      </c>
      <c r="F26" s="32" t="inlineStr">
        <is>
          <t>T3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5000</v>
      </c>
      <c r="AH26" s="32" t="inlineStr">
        <is>
          <t>T3</t>
        </is>
      </c>
      <c r="AI26" s="32" t="inlineStr">
        <is>
          <t>med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economics_by_route_id.json</t>
        </is>
      </c>
      <c r="AY26" s="44" t="inlineStr">
        <is>
          <t>gojek-127/route+economics</t>
        </is>
      </c>
    </row>
    <row r="27">
      <c r="A27" s="29" t="inlineStr">
        <is>
          <t>Gojek</t>
        </is>
      </c>
      <c r="B27" s="29" t="inlineStr">
        <is>
          <t>Indonesia</t>
        </is>
      </c>
      <c r="C27" s="30" t="inlineStr">
        <is>
          <t>Raja Ampat → Mansuar Island South</t>
        </is>
      </c>
      <c r="D27" s="31" t="n">
        <v>41.2</v>
      </c>
      <c r="E27" s="26" t="n">
        <v>50</v>
      </c>
      <c r="F27" s="32" t="inlineStr">
        <is>
          <t>T3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5000</v>
      </c>
      <c r="AH27" s="32" t="inlineStr">
        <is>
          <t>T3</t>
        </is>
      </c>
      <c r="AI27" s="32" t="inlineStr">
        <is>
          <t>med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economics_by_route_id.json</t>
        </is>
      </c>
      <c r="AY27" s="44" t="inlineStr">
        <is>
          <t>gojek-127/route+economics</t>
        </is>
      </c>
    </row>
    <row r="28">
      <c r="A28" s="29" t="inlineStr">
        <is>
          <t>Gojek</t>
        </is>
      </c>
      <c r="B28" s="29" t="inlineStr">
        <is>
          <t>Indonesia</t>
        </is>
      </c>
      <c r="C28" s="30" t="inlineStr">
        <is>
          <t>Bali → Gili Islands / Lombok</t>
        </is>
      </c>
      <c r="D28" s="31" t="n">
        <v>45</v>
      </c>
      <c r="E28" s="26" t="n">
        <v>64</v>
      </c>
      <c r="F28" s="32" t="inlineStr">
        <is>
          <t>T3</t>
        </is>
      </c>
      <c r="G28" s="32" t="inlineStr">
        <is>
          <t>med-high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600000</v>
      </c>
      <c r="AH28" s="32" t="inlineStr">
        <is>
          <t>T5</t>
        </is>
      </c>
      <c r="AI28" s="32" t="inlineStr">
        <is>
          <t>low-med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Premium transfer tier, Bali-&gt;Gili Trawangan. Tripadvisor 'Luxury Speedboat Transfer' $64; standard $28-42; budget ~$20; whole-boat private $500-1200.</t>
        </is>
      </c>
      <c r="AY28" s="44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29">
      <c r="A29" s="29" t="inlineStr">
        <is>
          <t>Gojek</t>
        </is>
      </c>
      <c r="B29" s="29" t="inlineStr">
        <is>
          <t>Indonesia</t>
        </is>
      </c>
      <c r="C29" s="30" t="inlineStr">
        <is>
          <t>Bali → Lombok</t>
        </is>
      </c>
      <c r="D29" s="31" t="n">
        <v>52.7</v>
      </c>
      <c r="E29" s="26" t="n">
        <v>50</v>
      </c>
      <c r="F29" s="32" t="inlineStr">
        <is>
          <t>T3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5000</v>
      </c>
      <c r="AH29" s="32" t="inlineStr">
        <is>
          <t>T3</t>
        </is>
      </c>
      <c r="AI29" s="32" t="inlineStr">
        <is>
          <t>med</t>
        </is>
      </c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economics_by_route_id.json</t>
        </is>
      </c>
      <c r="AY29" s="44" t="inlineStr">
        <is>
          <t>gojek-127/route+economics</t>
        </is>
      </c>
    </row>
    <row r="30">
      <c r="A30" s="29" t="inlineStr">
        <is>
          <t>Gojek</t>
        </is>
      </c>
      <c r="B30" s="29" t="inlineStr">
        <is>
          <t>Indonesia</t>
        </is>
      </c>
      <c r="C30" s="30" t="inlineStr">
        <is>
          <t>Bali → Lombok</t>
        </is>
      </c>
      <c r="D30" s="31" t="n">
        <v>55</v>
      </c>
      <c r="E30" s="26" t="n">
        <v>50</v>
      </c>
      <c r="F30" s="32" t="inlineStr">
        <is>
          <t>T3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5000</v>
      </c>
      <c r="AH30" s="32" t="inlineStr">
        <is>
          <t>T3</t>
        </is>
      </c>
      <c r="AI30" s="32" t="inlineStr">
        <is>
          <t>med</t>
        </is>
      </c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Grounded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economics_by_route_id.json</t>
        </is>
      </c>
      <c r="AY30" s="44" t="inlineStr">
        <is>
          <t>gojek-127/route+economics</t>
        </is>
      </c>
    </row>
    <row r="31">
      <c r="A31" s="29" t="inlineStr">
        <is>
          <t>Gojek</t>
        </is>
      </c>
      <c r="B31" s="29" t="inlineStr">
        <is>
          <t>Indonesia</t>
        </is>
      </c>
      <c r="C31" s="30" t="inlineStr">
        <is>
          <t>Lombok → Gili Trawangan main jetty</t>
        </is>
      </c>
      <c r="D31" s="31" t="n">
        <v>62.6</v>
      </c>
      <c r="E31" s="26" t="n">
        <v>50</v>
      </c>
      <c r="F31" s="32" t="inlineStr">
        <is>
          <t>T3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5000</v>
      </c>
      <c r="AH31" s="32" t="inlineStr">
        <is>
          <t>T3</t>
        </is>
      </c>
      <c r="AI31" s="32" t="inlineStr">
        <is>
          <t>med</t>
        </is>
      </c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Grounded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economics_by_route_id.json</t>
        </is>
      </c>
      <c r="AY31" s="44" t="inlineStr">
        <is>
          <t>gojek-127/route+economics</t>
        </is>
      </c>
    </row>
    <row r="32">
      <c r="A32" s="29" t="inlineStr">
        <is>
          <t>Gojek</t>
        </is>
      </c>
      <c r="B32" s="29" t="inlineStr">
        <is>
          <t>Indonesia</t>
        </is>
      </c>
      <c r="C32" s="30" t="inlineStr">
        <is>
          <t>Lombok → Gili Air main jetty</t>
        </is>
      </c>
      <c r="D32" s="31" t="n">
        <v>63.1</v>
      </c>
      <c r="E32" s="26" t="n">
        <v>50</v>
      </c>
      <c r="F32" s="32" t="inlineStr">
        <is>
          <t>T3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5000</v>
      </c>
      <c r="AH32" s="32" t="inlineStr">
        <is>
          <t>T3</t>
        </is>
      </c>
      <c r="AI32" s="32" t="inlineStr">
        <is>
          <t>med</t>
        </is>
      </c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Grounded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economics_by_route_id.json</t>
        </is>
      </c>
      <c r="AY32" s="44" t="inlineStr">
        <is>
          <t>gojek-127/route+economics</t>
        </is>
      </c>
    </row>
    <row r="33">
      <c r="A33" s="29" t="inlineStr">
        <is>
          <t>Gojek</t>
        </is>
      </c>
      <c r="B33" s="29" t="inlineStr">
        <is>
          <t>Singapore</t>
        </is>
      </c>
      <c r="C33" s="30" t="inlineStr">
        <is>
          <t>Mandalika Marina Zone → Kuta Lombok main beach</t>
        </is>
      </c>
      <c r="D33" s="31" t="n">
        <v>1.9</v>
      </c>
      <c r="E33" s="26" t="n">
        <v>15.32</v>
      </c>
      <c r="F33" s="32" t="inlineStr">
        <is>
          <t>T3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Estimated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economics_by_route_id.json</t>
        </is>
      </c>
      <c r="AY33" s="44" t="inlineStr">
        <is>
          <t>economics_by_route_id.json</t>
        </is>
      </c>
    </row>
    <row r="34">
      <c r="A34" s="29" t="inlineStr">
        <is>
          <t>Gojek</t>
        </is>
      </c>
      <c r="B34" s="29" t="inlineStr">
        <is>
          <t>Singapore</t>
        </is>
      </c>
      <c r="C34" s="30" t="inlineStr">
        <is>
          <t>Bangsal Harbour → Gili Air main jetty</t>
        </is>
      </c>
      <c r="D34" s="31" t="n">
        <v>2.1</v>
      </c>
      <c r="E34" s="26" t="n">
        <v>15.88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Estimated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economics_by_route_id.json</t>
        </is>
      </c>
      <c r="AY34" s="44" t="inlineStr">
        <is>
          <t>economics_by_route_id.json</t>
        </is>
      </c>
    </row>
    <row r="35">
      <c r="A35" s="29" t="inlineStr">
        <is>
          <t>Gojek</t>
        </is>
      </c>
      <c r="B35" s="29" t="inlineStr">
        <is>
          <t>Singapore</t>
        </is>
      </c>
      <c r="C35" s="30" t="inlineStr">
        <is>
          <t>Marina Bay Cruise Centre Singapore (MBCCS) → ONE°15 Marina Sentosa Cove</t>
        </is>
      </c>
      <c r="D35" s="31" t="n">
        <v>2.5</v>
      </c>
      <c r="E35" s="26" t="n">
        <v>17</v>
      </c>
      <c r="F35" s="32" t="inlineStr">
        <is>
          <t>T3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0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Estimated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inlineStr">
        <is>
          <t>economics_by_route_id.json</t>
        </is>
      </c>
      <c r="AY35" s="44" t="inlineStr">
        <is>
          <t>economics_by_route_id.json</t>
        </is>
      </c>
    </row>
    <row r="36">
      <c r="A36" s="29" t="inlineStr">
        <is>
          <t>Gojek</t>
        </is>
      </c>
      <c r="B36" s="29" t="inlineStr">
        <is>
          <t>Singapore</t>
        </is>
      </c>
      <c r="C36" s="30" t="inlineStr">
        <is>
          <t>Tigaraja Port (Parapat) → Tomok pier (Samosir)</t>
        </is>
      </c>
      <c r="D36" s="31" t="n">
        <v>3.2</v>
      </c>
      <c r="E36" s="26" t="n">
        <v>18.96</v>
      </c>
      <c r="F36" s="32" t="inlineStr">
        <is>
          <t>T3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Estimated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inlineStr">
        <is>
          <t>economics_by_route_id.json</t>
        </is>
      </c>
      <c r="AY36" s="44" t="inlineStr">
        <is>
          <t>economics_by_route_id.json</t>
        </is>
      </c>
    </row>
    <row r="37">
      <c r="A37" s="29" t="inlineStr">
        <is>
          <t>Gojek</t>
        </is>
      </c>
      <c r="B37" s="29" t="inlineStr">
        <is>
          <t>Singapore</t>
        </is>
      </c>
      <c r="C37" s="30" t="inlineStr">
        <is>
          <t>Singapore → ONE°15 Marina Sentosa Cove</t>
        </is>
      </c>
      <c r="D37" s="31" t="n">
        <v>3.7</v>
      </c>
      <c r="E37" s="26" t="n">
        <v>20.36</v>
      </c>
      <c r="F37" s="32" t="inlineStr">
        <is>
          <t>T3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Estimated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economics_by_route_id.json</t>
        </is>
      </c>
      <c r="AY37" s="44" t="inlineStr">
        <is>
          <t>economics_by_route_id.json</t>
        </is>
      </c>
    </row>
    <row r="38">
      <c r="A38" s="29" t="inlineStr">
        <is>
          <t>Gojek</t>
        </is>
      </c>
      <c r="B38" s="29" t="inlineStr">
        <is>
          <t>Singapore</t>
        </is>
      </c>
      <c r="C38" s="30" t="inlineStr">
        <is>
          <t>East Coast → Marina Bay</t>
        </is>
      </c>
      <c r="D38" s="31" t="n">
        <v>5.8</v>
      </c>
      <c r="E38" s="26" t="n">
        <v>18</v>
      </c>
      <c r="F38" s="32" t="inlineStr">
        <is>
          <t>T5</t>
        </is>
      </c>
      <c r="G38" s="32" t="inlineStr">
        <is>
          <t>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MIN(24,FLOOR(60*service_hr/J38,1))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111000</v>
      </c>
      <c r="AH38" s="32" t="n"/>
      <c r="AI38" s="32" t="n"/>
      <c r="AJ38" s="39" t="n">
        <v>0.25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AY38" s="44" t="n"/>
    </row>
    <row r="39">
      <c r="A39" s="29" t="inlineStr">
        <is>
          <t>Gojek</t>
        </is>
      </c>
      <c r="B39" s="29" t="inlineStr">
        <is>
          <t>Singapore</t>
        </is>
      </c>
      <c r="C39" s="30" t="inlineStr">
        <is>
          <t>Tuktuk Siadong village pier → Ambarita</t>
        </is>
      </c>
      <c r="D39" s="31" t="n">
        <v>8</v>
      </c>
      <c r="E39" s="26" t="n">
        <v>32.4</v>
      </c>
      <c r="F39" s="32" t="inlineStr">
        <is>
          <t>T3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0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Estimated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economics_by_route_id.json</t>
        </is>
      </c>
      <c r="AY39" s="44" t="inlineStr">
        <is>
          <t>economics_by_route_id.json</t>
        </is>
      </c>
    </row>
    <row r="40">
      <c r="A40" s="29" t="inlineStr">
        <is>
          <t>Gojek</t>
        </is>
      </c>
      <c r="B40" s="29" t="inlineStr">
        <is>
          <t>Singapore</t>
        </is>
      </c>
      <c r="C40" s="30" t="inlineStr">
        <is>
          <t>Marina Bay Cruise Centre Singapore (MBCCS) → Republic of Singapore Yacht Club (RSYC)</t>
        </is>
      </c>
      <c r="D40" s="31" t="n">
        <v>8.699999999999999</v>
      </c>
      <c r="E40" s="26" t="n">
        <v>34.36</v>
      </c>
      <c r="F40" s="32" t="inlineStr">
        <is>
          <t>T3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0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Estimated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economics_by_route_id.json</t>
        </is>
      </c>
      <c r="AY40" s="44" t="inlineStr">
        <is>
          <t>economics_by_route_id.json</t>
        </is>
      </c>
    </row>
    <row r="41">
      <c r="A41" s="29" t="inlineStr">
        <is>
          <t>Gojek</t>
        </is>
      </c>
      <c r="B41" s="29" t="inlineStr">
        <is>
          <t>Singapore</t>
        </is>
      </c>
      <c r="C41" s="30" t="inlineStr">
        <is>
          <t>Singapore → Batam (Harbour Bay / Nongsa)</t>
        </is>
      </c>
      <c r="D41" s="31" t="n">
        <v>13</v>
      </c>
      <c r="E41" s="26" t="n">
        <v>57</v>
      </c>
      <c r="F41" s="32" t="inlineStr">
        <is>
          <t>T3</t>
        </is>
      </c>
      <c r="G41" s="32" t="inlineStr">
        <is>
          <t>med-high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350000</v>
      </c>
      <c r="AH41" s="32" t="n"/>
      <c r="AI41" s="32" t="n"/>
      <c r="AJ41" s="39" t="n">
        <v>0.25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Grounded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AY41" s="44" t="n"/>
    </row>
    <row r="42">
      <c r="A42" s="29" t="inlineStr">
        <is>
          <t>Gojek</t>
        </is>
      </c>
      <c r="B42" s="29" t="inlineStr">
        <is>
          <t>Singapore</t>
        </is>
      </c>
      <c r="C42" s="30" t="inlineStr">
        <is>
          <t>Marina Bay → Changi Point / Pulau Ubin</t>
        </is>
      </c>
      <c r="D42" s="31" t="n">
        <v>14.2</v>
      </c>
      <c r="E42" s="26" t="n">
        <v>28</v>
      </c>
      <c r="F42" s="32" t="inlineStr">
        <is>
          <t>T5</t>
        </is>
      </c>
      <c r="G42" s="32" t="inlineStr">
        <is>
          <t>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30000</v>
      </c>
      <c r="AH42" s="32" t="n"/>
      <c r="AI42" s="32" t="n"/>
      <c r="AJ42" s="39" t="n">
        <v>0.25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Grounded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AY42" s="44" t="n"/>
    </row>
    <row r="43">
      <c r="A43" s="29" t="inlineStr">
        <is>
          <t>Gojek</t>
        </is>
      </c>
      <c r="B43" s="29" t="inlineStr">
        <is>
          <t>Singapore</t>
        </is>
      </c>
      <c r="C43" s="30" t="inlineStr">
        <is>
          <t>Marina Bay Cruise Centre Singapore (MBCCS) → Punggol Point Jetty</t>
        </is>
      </c>
      <c r="D43" s="31" t="n">
        <v>17.8</v>
      </c>
      <c r="E43" s="26" t="n">
        <v>59.84</v>
      </c>
      <c r="F43" s="32" t="inlineStr">
        <is>
          <t>T3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Estimated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inlineStr">
        <is>
          <t>economics_by_route_id.json</t>
        </is>
      </c>
      <c r="AY43" s="44" t="inlineStr">
        <is>
          <t>economics_by_route_id.json</t>
        </is>
      </c>
    </row>
    <row r="44">
      <c r="A44" s="29" t="inlineStr">
        <is>
          <t>Gojek</t>
        </is>
      </c>
      <c r="B44" s="29" t="inlineStr">
        <is>
          <t>Singapore</t>
        </is>
      </c>
      <c r="C44" s="30" t="inlineStr">
        <is>
          <t>Marina South Pier → Pulau Ubin Jetty</t>
        </is>
      </c>
      <c r="D44" s="31" t="n">
        <v>19.8</v>
      </c>
      <c r="E44" s="26" t="n">
        <v>65.44</v>
      </c>
      <c r="F44" s="32" t="inlineStr">
        <is>
          <t>T3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0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Estimated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inlineStr">
        <is>
          <t>economics_by_route_id.json</t>
        </is>
      </c>
      <c r="AY44" s="44" t="inlineStr">
        <is>
          <t>economics_by_route_id.json</t>
        </is>
      </c>
    </row>
    <row r="45">
      <c r="A45" s="29" t="inlineStr">
        <is>
          <t>Gojek</t>
        </is>
      </c>
      <c r="B45" s="29" t="inlineStr">
        <is>
          <t>Singapore</t>
        </is>
      </c>
      <c r="C45" s="30" t="inlineStr">
        <is>
          <t>Singapore → Bintan (Lagoi resort zone)</t>
        </is>
      </c>
      <c r="D45" s="31" t="n">
        <v>21.9</v>
      </c>
      <c r="E45" s="26" t="n">
        <v>69</v>
      </c>
      <c r="F45" s="32" t="inlineStr">
        <is>
          <t>T1</t>
        </is>
      </c>
      <c r="G45" s="32" t="inlineStr">
        <is>
          <t>high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150000</v>
      </c>
      <c r="AH45" s="32" t="n"/>
      <c r="AI45" s="32" t="n"/>
      <c r="AJ45" s="39" t="n">
        <v>0.25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Grounded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AY45" s="44" t="n"/>
    </row>
    <row r="46">
      <c r="A46" s="29" t="inlineStr">
        <is>
          <t>Gojek</t>
        </is>
      </c>
      <c r="B46" s="29" t="inlineStr">
        <is>
          <t>Singapore</t>
        </is>
      </c>
      <c r="C46" s="30" t="inlineStr">
        <is>
          <t>Singapore → Desaru Coast / Johor</t>
        </is>
      </c>
      <c r="D46" s="31" t="n">
        <v>29.5</v>
      </c>
      <c r="E46" s="26" t="n">
        <v>47</v>
      </c>
      <c r="F46" s="32" t="inlineStr">
        <is>
          <t>T3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22500</v>
      </c>
      <c r="AH46" s="32" t="n"/>
      <c r="AI46" s="32" t="n"/>
      <c r="AJ46" s="39" t="n">
        <v>0.25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Grounded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AY46" s="44" t="n"/>
    </row>
    <row r="47">
      <c r="A47" s="45" t="inlineStr">
        <is>
          <t>TOTAL / median</t>
        </is>
      </c>
      <c r="T47" s="46">
        <f>SUM(T4:T46)</f>
        <v/>
      </c>
      <c r="AC47" s="46">
        <f>SUM(AC4:AC46)</f>
        <v/>
      </c>
      <c r="AD47" s="47">
        <f>IF(T47=0,"",AC47/T47)</f>
        <v/>
      </c>
      <c r="AL47" s="48">
        <f>SUM(AL4:AL46)</f>
        <v/>
      </c>
      <c r="AM47" s="46">
        <f>SUM(AM4:AM46)</f>
        <v/>
      </c>
    </row>
    <row r="49">
      <c r="A49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0">
      <c r="A50" s="24" t="inlineStr">
        <is>
          <t>Market</t>
        </is>
      </c>
      <c r="B50" s="24" t="inlineStr">
        <is>
          <t>Fleet basis</t>
        </is>
      </c>
      <c r="C50" s="24" t="inlineStr">
        <is>
          <t>Raw vessels (sum)</t>
        </is>
      </c>
      <c r="D50" s="24" t="inlineStr">
        <is>
          <t>Fleet (rounded once)</t>
        </is>
      </c>
      <c r="E50" s="24" t="inlineStr">
        <is>
          <t>Market rev/yr (raw sum)</t>
        </is>
      </c>
    </row>
    <row r="51">
      <c r="A51" s="25" t="inlineStr">
        <is>
          <t>Gojek</t>
        </is>
      </c>
      <c r="B51" s="13" t="inlineStr">
        <is>
          <t>network_sum / ceil</t>
        </is>
      </c>
      <c r="C51" s="23">
        <f>SUMIFS(AN4:AN46,A4:A46,"Gojek",AP4:AP46,"=",AQ4:AQ46,"Grounded")</f>
        <v/>
      </c>
      <c r="D51" s="49">
        <f>IF(C51=0,0,CEILING(C51,1))</f>
        <v/>
      </c>
      <c r="E51" s="50">
        <f>SUMIFS(AO4:AO46,A4:A46,"Gojek",AP4:AP46,"=",AQ4:AQ46,"Grounded")</f>
        <v/>
      </c>
    </row>
    <row r="52">
      <c r="A52" s="45" t="inlineStr">
        <is>
          <t>GROUNDED FLOOR (PUBLISHED)</t>
        </is>
      </c>
      <c r="D52" s="48">
        <f>SUM(D51:D51)</f>
        <v/>
      </c>
      <c r="E52" s="46">
        <f>SUM(E51:E51)</f>
        <v/>
      </c>
    </row>
    <row r="53">
      <c r="A53" s="20" t="inlineStr">
        <is>
          <t>ESTIMATED DEMAND (country-median cascade; held OUT of grounded floor)</t>
        </is>
      </c>
      <c r="D53" s="51">
        <f>SUMIF(AQ4:AQ46,"Estimated",AL4:AL46)</f>
        <v/>
      </c>
      <c r="E53" s="52">
        <f>SUMIF(AQ4:AQ46,"Estimated",AM4:AM46)</f>
        <v/>
      </c>
    </row>
    <row r="54">
      <c r="A54" s="53" t="inlineStr">
        <is>
          <t>Held for Quanta-LR (&gt;70nm, roadmap H2 2026+):</t>
        </is>
      </c>
      <c r="C54" s="54" t="inlineStr">
        <is>
          <t>Karimunjawa Archipelago → Jakarta (223.5nm)</t>
        </is>
      </c>
    </row>
    <row r="55">
      <c r="C55" s="54" t="inlineStr">
        <is>
          <t>Komodo / Labuan Bajo → Sumba (Nihi) (90nm)</t>
        </is>
      </c>
    </row>
    <row r="56">
      <c r="C56" s="54" t="inlineStr">
        <is>
          <t>Lombok → Komodo / Labuan Bajo (237nm)</t>
        </is>
      </c>
    </row>
    <row r="57">
      <c r="C57" s="54" t="inlineStr">
        <is>
          <t>Raja Ampat → Misool (114.6nm)</t>
        </is>
      </c>
    </row>
    <row r="58">
      <c r="C58" s="54" t="inlineStr">
        <is>
          <t>Komodo / Labuan Bajo / Flores / Sumba → Sumba (82.9nm)</t>
        </is>
      </c>
    </row>
    <row r="59">
      <c r="C59" s="54" t="inlineStr">
        <is>
          <t>Marina Labuan Bajo → Maumere Port (Lorenz Say) — Kelimutu access (153.3nm)</t>
        </is>
      </c>
    </row>
  </sheetData>
  <mergeCells count="2">
    <mergeCell ref="A49:L49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0.1327</v>
      </c>
      <c r="E11" s="14" t="inlineStr">
        <is>
          <t>New-entrant ~13%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(~13%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(~13%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2026-06-29T01:48:32Z</dcterms:created>
  <dcterms:modified xsi:type="dcterms:W3CDTF">2026-06-29T01:48:32Z</dcterms:modified>
</cp:coreProperties>
</file>