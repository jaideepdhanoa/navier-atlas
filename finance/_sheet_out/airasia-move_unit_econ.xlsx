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Country opex" sheetId="3" state="visible" r:id="rId3"/>
    <sheet name="Economics holds" sheetId="4" state="visible" r:id="rId4"/>
    <sheet name="Corridor economics" sheetId="5" state="visible" r:id="rId5"/>
    <sheet name="Market sizing" sheetId="6" state="visible" r:id="rId6"/>
  </sheets>
  <definedNames>
    <definedName name="pax_cap">'Assumptions'!$B$5</definedName>
    <definedName name="range_nm">'Assumptions'!$B$6</definedName>
    <definedName name="cruise_kt">'Assumptions'!$B$7</definedName>
    <definedName name="capex">'Assumptions'!$B$8</definedName>
    <definedName name="battery">'Assumptions'!$B$9</definedName>
    <definedName name="maint">'Assumptions'!$B$10</definedName>
    <definedName name="dep_years">'Assumptions'!$B$11</definedName>
    <definedName name="diesel_nmpg">'Assumptions'!$B$12</definedName>
    <definedName name="service_hr">'Assumptions'!$B$16</definedName>
    <definedName name="turn_min">'Assumptions'!$B$17</definedName>
    <definedName name="dwell_min">'Assumptions'!$B$18</definedName>
    <definedName name="max_tpd">'Assumptions'!$B$19</definedName>
    <definedName name="crew_factor">'Assumptions'!$B$20</definedName>
    <definedName name="mech_uptime">'Assumptions'!$B$21</definedName>
    <definedName name="capture">'Assumptions'!$B$22</definedName>
    <definedName name="capture_captive">'Assumptions'!$B$23</definedName>
    <definedName name="discount">'Assumptions'!$B$24</definedName>
    <definedName name="diesel_co2pg">'Assumptions'!$B$25</definedName>
    <definedName name="ins_pct">'Assumptions'!$B$29</definedName>
    <definedName name="charge_berth">'Assumptions'!$B$30</definedName>
    <definedName name="korea_mid_load">'Assumptions'!$B$34</definedName>
    <definedName name="korea_mid_revleg">'Assumptions'!$B$35</definedName>
    <definedName name="korea_service_hr">'Assumptions'!$B$36</definedName>
    <definedName name="korea_turn_min">'Assumptions'!$B$37</definedName>
    <definedName name="korea_dwell_min">'Assumptions'!$B$38</definedName>
    <definedName name="korea_charge_range_nm">'Assumptions'!$B$39</definedName>
    <definedName name="korea_full_range_charge_min">'Assumptions'!$B$40</definedName>
    <definedName name="load_thin">'Assumptions'!$B$44</definedName>
    <definedName name="revleg_thin">'Assumptions'!$C$44</definedName>
    <definedName name="load_mid">'Assumptions'!$B$45</definedName>
    <definedName name="revleg_mid">'Assumptions'!$C$45</definedName>
    <definedName name="load_full">'Assumptions'!$B$46</definedName>
    <definedName name="revleg_full">'Assumptions'!$C$46</definedName>
    <definedName name="band_tbl">'Assumptions'!$A$44:$C$46</definedName>
    <definedName name="scenario">'Assumptions'!$B$48</definedName>
    <definedName name="load_sel">'Assumptions'!$B$49</definedName>
    <definedName name="revleg_sel">'Assumptions'!$B$50</definedName>
    <definedName name="country_opex">'Country opex'!$A$4:$G$3</definedName>
    <definedName name="som_floor_fleet">'Corridor economics'!$D$8</definedName>
    <definedName name="som_floor_rev">'Corridor economics'!$E$8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name val="Consolas"/>
      <sz val="10"/>
    </font>
    <font>
      <b val="1"/>
      <color rgb="00FFFFFF"/>
      <sz val="12"/>
    </font>
    <font>
      <b val="1"/>
      <color rgb="00FFFFFF"/>
      <sz val="9"/>
    </font>
    <font>
      <color rgb="00555555"/>
      <sz val="9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FCE4D6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4" fillId="2" borderId="0" pivotButton="0" quotePrefix="0" xfId="0"/>
    <xf numFmtId="0" fontId="4" fillId="7" borderId="0" pivotButton="0" quotePrefix="0" xfId="0"/>
    <xf numFmtId="0" fontId="5" fillId="7" borderId="1" applyAlignment="1" pivotButton="0" quotePrefix="0" xfId="0">
      <alignment horizontal="center" vertical="center"/>
    </xf>
    <xf numFmtId="0" fontId="0" fillId="0" borderId="1" pivotButton="0" quotePrefix="0" xfId="0"/>
    <xf numFmtId="3" fontId="2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center" vertical="center"/>
    </xf>
    <xf numFmtId="0" fontId="2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4" fontId="0" fillId="5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3" borderId="1" pivotButton="0" quotePrefix="0" xfId="0"/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pivotButton="0" quotePrefix="0" xfId="0"/>
    <xf numFmtId="165" fontId="0" fillId="4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2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 ht="34" customHeight="1">
      <c r="B2" s="1" t="inlineStr">
        <is>
          <t>Navier × Airasia-Move — Corridor Unit Economics</t>
        </is>
      </c>
    </row>
    <row r="4">
      <c r="B4" s="2" t="inlineStr"/>
    </row>
    <row r="5">
      <c r="B5" s="3" t="inlineStr">
        <is>
          <t>What this is</t>
        </is>
      </c>
    </row>
    <row r="6">
      <c r="B6" s="2" t="inlineStr">
        <is>
          <t>A standalone, transparent unit-economics model for the per-seat electric-shuttle business on each partner corridor. Every output is a live formula you can click and trace back to one named assumption cell. Nothing is hardcoded.</t>
        </is>
      </c>
    </row>
    <row r="7">
      <c r="B7" s="2" t="inlineStr"/>
    </row>
    <row r="8">
      <c r="B8" s="3" t="inlineStr">
        <is>
          <t>The one equation (per boat, per year)</t>
        </is>
      </c>
    </row>
    <row r="9">
      <c r="B9" s="4" t="inlineStr">
        <is>
          <t>REVENUE = gross legs/day × operating days/yr × revenue-leg utilization × (pax capacity × seat occupancy) × Navier fare</t>
        </is>
      </c>
    </row>
    <row r="10">
      <c r="B10" s="5" t="inlineStr">
        <is>
          <t xml:space="preserve">    gross legs/day = FLOOR(service window min ÷ cycle time); South Korea cycle = one-way + 20 min turnaround + 10 min boarding + charge recovery</t>
        </is>
      </c>
    </row>
    <row r="11">
      <c r="B11" s="5" t="inlineStr">
        <is>
          <t xml:space="preserve">    South Korea charge recovery = distance_nm / 70 × 45 min — PLANNING PROXY requiring engineering validation; not a certified charge curve</t>
        </is>
      </c>
    </row>
    <row r="12">
      <c r="B12" s="5" t="inlineStr">
        <is>
          <t xml:space="preserve">    one-way time   = distance(nm) ÷ cruise speed(kt)</t>
        </is>
      </c>
    </row>
    <row r="13">
      <c r="B13" s="5" t="inlineStr">
        <is>
          <t xml:space="preserve">    operating days = 365 × mechanical uptime × weather factor</t>
        </is>
      </c>
    </row>
    <row r="14">
      <c r="B14" s="5" t="inlineStr">
        <is>
          <t xml:space="preserve">    Navier fare    = comparable premium transfer fare × discount (=1.0, market parity)</t>
        </is>
      </c>
    </row>
    <row r="15">
      <c r="B15" s="4" t="inlineStr">
        <is>
          <t>EBITDA  = REVENUE − OPEX</t>
        </is>
      </c>
    </row>
    <row r="16">
      <c r="B16" s="5" t="inlineStr">
        <is>
          <t xml:space="preserve">    OPEX = energy + crew + berth/port admin + maintenance + vessel insurance + fast-charge berth</t>
        </is>
      </c>
    </row>
    <row r="17">
      <c r="B17" s="4" t="inlineStr">
        <is>
          <t>PAYBACK = vessel CAPEX ÷ EBITDA</t>
        </is>
      </c>
    </row>
    <row r="18">
      <c r="B18" s="2" t="inlineStr"/>
    </row>
    <row r="19">
      <c r="B19" s="3" t="inlineStr">
        <is>
          <t>OPEX lines (per boat, per year — no double-counting)</t>
        </is>
      </c>
    </row>
    <row r="20">
      <c r="B20" s="2" t="inlineStr">
        <is>
          <t>Energy — variable propulsion cost: kWh on revenue sailings × local $/kWh (Country opex tab). Excludes utility demand charges.</t>
        </is>
      </c>
    </row>
    <row r="21">
      <c r="B21" s="2" t="inlineStr">
        <is>
          <t>Crew — fully-loaded captain + relief: local captain wage × crew FTE factor (Country opex + Assumptions).</t>
        </is>
      </c>
    </row>
    <row r="22">
      <c r="B22" s="2" t="inlineStr">
        <is>
          <t>Berth &amp; port admin — fixed annual berth, port fees, and local marine admin (Country opex tab). Excludes vessel H&amp;M+P&amp;I and fast-charge infrastructure.</t>
        </is>
      </c>
    </row>
    <row r="23">
      <c r="B23" s="2" t="inlineStr">
        <is>
          <t>Maintenance — vessel annual maintenance reserve (Assumptions tab).</t>
        </is>
      </c>
    </row>
    <row r="24">
      <c r="B24" s="2" t="inlineStr">
        <is>
          <t>Vessel insurance — commercial H&amp;M + P&amp;I as % of regional CAPEX (Assumptions % × Country opex CAPEX column).</t>
        </is>
      </c>
    </row>
    <row r="25">
      <c r="B25" s="2" t="inlineStr">
        <is>
          <t>Fast-charge berth — dedicated fast-charge berth slot + utility demand charges (Assumptions default; overridable per market). Separate from per-kWh energy and berth/port admin.</t>
        </is>
      </c>
    </row>
    <row r="26">
      <c r="B26" s="2" t="inlineStr"/>
    </row>
    <row r="27">
      <c r="B27" s="3" t="inlineStr">
        <is>
          <t>From demand pool to fleet &amp; market size</t>
        </is>
      </c>
    </row>
    <row r="28">
      <c r="B28" s="5" t="inlineStr">
        <is>
          <t>Navier serviceable rides/yr = corridor demand pool × capture rate (10% on contested corridors; ~90% on captive sole-operator transfer legs — see the per-row Capture % column)</t>
        </is>
      </c>
    </row>
    <row r="29">
      <c r="B29" s="2" t="inlineStr">
        <is>
          <t>Vessels supported = FLOOR(Navier rides/yr ÷ pax/yr per boat);  Market rev = vessels × rev/boat. The 'Market sizing' tab rolls these up into the SOM → SAM → TAM ladder.</t>
        </is>
      </c>
    </row>
    <row r="30">
      <c r="B30" s="2" t="inlineStr"/>
    </row>
    <row r="31">
      <c r="B31" s="3" t="inlineStr">
        <is>
          <t>The scenario toggle (what we flex)</t>
        </is>
      </c>
    </row>
    <row r="32">
      <c r="B32" s="2" t="inlineStr">
        <is>
          <t>'Corridor economics' has a SCENARIO cell = THIN / MID / FULL. It flexes seat occupancy and revenue-leg utilization as separate inputs. South Korea MID uses 65% for each, with gross legs/day schedule-derived and uncapped; thin/full occupancy bookends remain 45%/70%. Other countries retain their existing caps and bands. Payback THIN/MID/FULL columns always show all three at once.</t>
        </is>
      </c>
    </row>
    <row r="33">
      <c r="B33" s="2" t="inlineStr"/>
    </row>
    <row r="34">
      <c r="B34" s="3" t="inlineStr">
        <is>
          <t>Colour &amp; provenance legend</t>
        </is>
      </c>
    </row>
    <row r="35">
      <c r="B35" s="6" t="inlineStr">
        <is>
          <t xml:space="preserve">   Yellow = INPUTS you can change (fare, distance, demand, weather).</t>
        </is>
      </c>
    </row>
    <row r="36">
      <c r="B36" s="7" t="inlineStr">
        <is>
          <t xml:space="preserve">   Green  = COMPUTED by formula.</t>
        </is>
      </c>
    </row>
    <row r="37">
      <c r="B37" s="2" t="inlineStr">
        <is>
          <t xml:space="preserve">   Every fare &amp; demand figure carries a Source tier (T1 official → T5 modeled) + Confidence (high/med/low). Null beats a wrong number: no published pool → blank, not a guess.</t>
        </is>
      </c>
    </row>
    <row r="38">
      <c r="B38" s="8" t="inlineStr">
        <is>
          <t xml:space="preserve">   Economics holds: 0 corridor(s) are explicitly excluded; see the Economics holds tab. Missing country costs never borrow Singapore or another market.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8" customWidth="1" min="4" max="4"/>
    <col width="9" customWidth="1" min="5" max="5"/>
    <col width="72" customWidth="1" min="6" max="6"/>
  </cols>
  <sheetData>
    <row r="1">
      <c r="A1" s="9" t="inlineStr">
        <is>
          <t>Assumptions — single source of truth (the engine references these named cells)</t>
        </is>
      </c>
    </row>
    <row r="3">
      <c r="A3" s="10" t="inlineStr">
        <is>
          <t>Vessel — N30 Pioneer II  (L1 global, commercial now)</t>
        </is>
      </c>
    </row>
    <row r="4">
      <c r="A4" s="11" t="inlineStr">
        <is>
          <t>Parameter</t>
        </is>
      </c>
      <c r="B4" s="11" t="inlineStr">
        <is>
          <t>Value</t>
        </is>
      </c>
      <c r="C4" s="11" t="inlineStr">
        <is>
          <t>Unit</t>
        </is>
      </c>
      <c r="D4" s="11" t="inlineStr">
        <is>
          <t>Tier</t>
        </is>
      </c>
      <c r="E4" s="11" t="inlineStr">
        <is>
          <t>Conf.</t>
        </is>
      </c>
      <c r="F4" s="11" t="inlineStr">
        <is>
          <t>Source / note</t>
        </is>
      </c>
    </row>
    <row r="5">
      <c r="A5" s="12" t="inlineStr">
        <is>
          <t>Passenger capacity</t>
        </is>
      </c>
      <c r="B5" s="13" t="n">
        <v>8</v>
      </c>
      <c r="C5" s="14" t="inlineStr">
        <is>
          <t>pax</t>
        </is>
      </c>
      <c r="D5" s="14" t="inlineStr">
        <is>
          <t>T1</t>
        </is>
      </c>
      <c r="E5" s="14" t="inlineStr">
        <is>
          <t>high</t>
        </is>
      </c>
      <c r="F5" s="15" t="inlineStr">
        <is>
          <t>Navier model: up to 8 pax where local rules allow (Jaideep set base case to 8, 2026-06-06)</t>
        </is>
      </c>
    </row>
    <row r="6">
      <c r="A6" s="12" t="inlineStr">
        <is>
          <t>Range</t>
        </is>
      </c>
      <c r="B6" s="13" t="n">
        <v>70</v>
      </c>
      <c r="C6" s="14" t="inlineStr">
        <is>
          <t>nm</t>
        </is>
      </c>
      <c r="D6" s="14" t="inlineStr">
        <is>
          <t>T1</t>
        </is>
      </c>
      <c r="E6" s="14" t="inlineStr">
        <is>
          <t>high</t>
        </is>
      </c>
      <c r="F6" s="15" t="inlineStr">
        <is>
          <t>Navier locked spec (KB)</t>
        </is>
      </c>
    </row>
    <row r="7">
      <c r="A7" s="12" t="inlineStr">
        <is>
          <t>Cruise speed</t>
        </is>
      </c>
      <c r="B7" s="13" t="n">
        <v>20</v>
      </c>
      <c r="C7" s="14" t="inlineStr">
        <is>
          <t>kt</t>
        </is>
      </c>
      <c r="D7" s="14" t="inlineStr">
        <is>
          <t>T1</t>
        </is>
      </c>
      <c r="E7" s="14" t="inlineStr">
        <is>
          <t>high</t>
        </is>
      </c>
      <c r="F7" s="15" t="inlineStr">
        <is>
          <t>Navier locked spec (cruise)</t>
        </is>
      </c>
    </row>
    <row r="8">
      <c r="A8" s="12" t="inlineStr">
        <is>
          <t>CAPEX (per vessel; US/EU base — ROW=$600K, see Country opex tab col G)</t>
        </is>
      </c>
      <c r="B8" s="16" t="n">
        <v>900000</v>
      </c>
      <c r="C8" s="14" t="inlineStr">
        <is>
          <t>USD</t>
        </is>
      </c>
      <c r="D8" s="14" t="inlineStr">
        <is>
          <t>T1</t>
        </is>
      </c>
      <c r="E8" s="14" t="inlineStr">
        <is>
          <t>high</t>
        </is>
      </c>
      <c r="F8" s="15" t="inlineStr">
        <is>
          <t>Navier price (LYFT ref model, ex tax/fees)</t>
        </is>
      </c>
    </row>
    <row r="9">
      <c r="A9" s="12" t="inlineStr">
        <is>
          <t>Battery</t>
        </is>
      </c>
      <c r="B9" s="13" t="n">
        <v>114</v>
      </c>
      <c r="C9" s="14" t="inlineStr">
        <is>
          <t>kWh</t>
        </is>
      </c>
      <c r="D9" s="14" t="inlineStr">
        <is>
          <t>T1</t>
        </is>
      </c>
      <c r="E9" s="14" t="inlineStr">
        <is>
          <t>high</t>
        </is>
      </c>
      <c r="F9" s="15" t="inlineStr">
        <is>
          <t>Navier data (LYFT ref model)</t>
        </is>
      </c>
    </row>
    <row r="10">
      <c r="A10" s="12" t="inlineStr">
        <is>
          <t>Annual maintenance</t>
        </is>
      </c>
      <c r="B10" s="16" t="n">
        <v>10000</v>
      </c>
      <c r="C10" s="14" t="inlineStr">
        <is>
          <t>USD/yr</t>
        </is>
      </c>
      <c r="D10" s="14" t="inlineStr">
        <is>
          <t>T1</t>
        </is>
      </c>
      <c r="E10" s="14" t="inlineStr">
        <is>
          <t>med</t>
        </is>
      </c>
      <c r="F10" s="15" t="inlineStr">
        <is>
          <t>Navier data (LYFT ref model)</t>
        </is>
      </c>
    </row>
    <row r="11">
      <c r="A11" s="12" t="inlineStr">
        <is>
          <t>Depreciation life</t>
        </is>
      </c>
      <c r="B11" s="13" t="n">
        <v>20</v>
      </c>
      <c r="C11" s="14" t="inlineStr">
        <is>
          <t>yr</t>
        </is>
      </c>
      <c r="D11" s="14" t="inlineStr">
        <is>
          <t>T2</t>
        </is>
      </c>
      <c r="E11" s="14" t="inlineStr">
        <is>
          <t>med</t>
        </is>
      </c>
      <c r="F11" s="15" t="inlineStr">
        <is>
          <t>Marine-vessel market best practice (Jaideep locked 2026-06-07): commercial passenger vessels straight-line over ~20-25yr useful life; corroborated by Sampriti founder Jan-2024 operating model (20yr). Was placeholder 10yr.</t>
        </is>
      </c>
    </row>
    <row r="12">
      <c r="A12" s="12" t="inlineStr">
        <is>
          <t>Diesel comparable economy</t>
        </is>
      </c>
      <c r="B12" s="17" t="n">
        <v>1.5</v>
      </c>
      <c r="C12" s="14" t="inlineStr">
        <is>
          <t>nm/gal</t>
        </is>
      </c>
      <c r="D12" s="14" t="inlineStr">
        <is>
          <t>T3</t>
        </is>
      </c>
      <c r="E12" s="14" t="inlineStr">
        <is>
          <t>med</t>
        </is>
      </c>
      <c r="F12" s="15" t="inlineStr">
        <is>
          <t>Navier + open web (LYFT ref model)</t>
        </is>
      </c>
    </row>
    <row r="14">
      <c r="A14" s="10" t="inlineStr">
        <is>
          <t>Operating defaults  (L1 global; overridable per market)</t>
        </is>
      </c>
    </row>
    <row r="15">
      <c r="A15" s="11" t="inlineStr">
        <is>
          <t>Parameter</t>
        </is>
      </c>
      <c r="B15" s="11" t="inlineStr">
        <is>
          <t>Value</t>
        </is>
      </c>
      <c r="C15" s="11" t="inlineStr">
        <is>
          <t>Unit</t>
        </is>
      </c>
      <c r="D15" s="11" t="inlineStr">
        <is>
          <t>Tier</t>
        </is>
      </c>
      <c r="E15" s="11" t="inlineStr">
        <is>
          <t>Conf.</t>
        </is>
      </c>
      <c r="F15" s="11" t="inlineStr">
        <is>
          <t>Source / note</t>
        </is>
      </c>
    </row>
    <row r="16">
      <c r="A16" s="12" t="inlineStr">
        <is>
          <t>Service window</t>
        </is>
      </c>
      <c r="B16" s="13" t="n">
        <v>12</v>
      </c>
      <c r="C16" s="14" t="inlineStr">
        <is>
          <t>hr/day</t>
        </is>
      </c>
      <c r="D16" s="14" t="inlineStr">
        <is>
          <t>T5</t>
        </is>
      </c>
      <c r="E16" s="14" t="inlineStr">
        <is>
          <t>low</t>
        </is>
      </c>
      <c r="F16" s="15" t="inlineStr">
        <is>
          <t>Modeled single-asset commercial service window (one extended crew day, water-taxi norm). Conservative vs 24h.</t>
        </is>
      </c>
    </row>
    <row r="17">
      <c r="A17" s="12" t="inlineStr">
        <is>
          <t>Turnaround / charge per leg</t>
        </is>
      </c>
      <c r="B17" s="13" t="n">
        <v>20</v>
      </c>
      <c r="C17" s="14" t="inlineStr">
        <is>
          <t>min</t>
        </is>
      </c>
      <c r="D17" s="14" t="inlineStr">
        <is>
          <t>T1</t>
        </is>
      </c>
      <c r="E17" s="14" t="inlineStr">
        <is>
          <t>med</t>
        </is>
      </c>
      <c r="F17" s="15" t="inlineStr">
        <is>
          <t>Navier fast-charge (LYFT ref ~20-30min)</t>
        </is>
      </c>
    </row>
    <row r="18">
      <c r="A18" s="12" t="inlineStr">
        <is>
          <t>Boarding / scheduling dwell per leg</t>
        </is>
      </c>
      <c r="B18" s="13" t="n">
        <v>10</v>
      </c>
      <c r="C18" s="14" t="inlineStr">
        <is>
          <t>min</t>
        </is>
      </c>
      <c r="D18" s="14" t="inlineStr">
        <is>
          <t>T3</t>
        </is>
      </c>
      <c r="E18" s="14" t="inlineStr">
        <is>
          <t>med</t>
        </is>
      </c>
      <c r="F18" s="15" t="inlineStr">
        <is>
          <t>Premium board/deboard + scheduling slack added to each cycle (Jaideep 2026-06-19).</t>
        </is>
      </c>
    </row>
    <row r="19">
      <c r="A19" s="12" t="inlineStr">
        <is>
          <t>Max revenue sailings/day (cap)</t>
        </is>
      </c>
      <c r="B19" s="13" t="n">
        <v>15</v>
      </c>
      <c r="C19" s="14" t="inlineStr">
        <is>
          <t>legs/day</t>
        </is>
      </c>
      <c r="D19" s="14" t="inlineStr">
        <is>
          <t>T3</t>
        </is>
      </c>
      <c r="E19" s="14" t="inlineStr">
        <is>
          <t>med</t>
        </is>
      </c>
      <c r="F19" s="15" t="inlineStr">
        <is>
          <t>Cap on revenue sailings/day — 15 across thin/mid/full scenarios (Jaideep 2026-06-21).</t>
        </is>
      </c>
    </row>
    <row r="20">
      <c r="A20" s="12" t="inlineStr">
        <is>
          <t>Crew FTE factor (x captain wage)</t>
        </is>
      </c>
      <c r="B20" s="17" t="n">
        <v>1.8</v>
      </c>
      <c r="C20" s="14" t="inlineStr">
        <is>
          <t>x</t>
        </is>
      </c>
      <c r="D20" s="14" t="inlineStr">
        <is>
          <t>T3</t>
        </is>
      </c>
      <c r="E20" s="14" t="inlineStr">
        <is>
          <t>med</t>
        </is>
      </c>
      <c r="F20" s="15" t="inlineStr">
        <is>
          <t>A captain can't run 7 days/wk; 1.8 FTE covers relief/leave/second-shift year-round (Jaideep 2026-06-19). Scales off localized captain wage.</t>
        </is>
      </c>
    </row>
    <row r="21">
      <c r="A21" s="12" t="inlineStr">
        <is>
          <t>Mechanical uptime</t>
        </is>
      </c>
      <c r="B21" s="18" t="n">
        <v>0.75</v>
      </c>
      <c r="C21" s="14" t="inlineStr">
        <is>
          <t>frac</t>
        </is>
      </c>
      <c r="D21" s="14" t="inlineStr">
        <is>
          <t>T4</t>
        </is>
      </c>
      <c r="E21" s="14" t="inlineStr">
        <is>
          <t>med</t>
        </is>
      </c>
      <c r="F21" s="15" t="inlineStr">
        <is>
          <t>Blade luxury aviation ~75-80% reliability uptime</t>
        </is>
      </c>
    </row>
    <row r="22">
      <c r="A22" s="12" t="inlineStr">
        <is>
          <t>Navier capture rate</t>
        </is>
      </c>
      <c r="B22" s="18" t="n">
        <v>0.1</v>
      </c>
      <c r="C22" s="14" t="inlineStr">
        <is>
          <t>frac</t>
        </is>
      </c>
      <c r="D22" s="14" t="inlineStr"/>
      <c r="E22" s="14" t="inlineStr">
        <is>
          <t>med</t>
        </is>
      </c>
      <c r="F22" s="15" t="inlineStr">
        <is>
          <t>Navier wins ~10% of a CONTESTED corridor demand pool (locked). Captive sole-operator transfer legs (captive:true / luxury_charter / hospitality archetypes) carry the captive rate instead — see per-row Capture %.</t>
        </is>
      </c>
    </row>
    <row r="23">
      <c r="A23" s="12" t="inlineStr">
        <is>
          <t>Captive capture rate (A′ corridors)</t>
        </is>
      </c>
      <c r="B23" s="18" t="n">
        <v>0.9</v>
      </c>
      <c r="C23" s="14" t="inlineStr">
        <is>
          <t>frac</t>
        </is>
      </c>
      <c r="D23" s="14" t="inlineStr"/>
      <c r="E23" s="14" t="inlineStr">
        <is>
          <t>med</t>
        </is>
      </c>
      <c r="F23" s="15" t="inlineStr">
        <is>
          <t>Sole-operator water-access-only transfer legs (captive:true or luxury_charter/hospitality archetype): Navier IS the transfer fleet — capture ~90%. Applied per-row in the Capture % column.</t>
        </is>
      </c>
    </row>
    <row r="24">
      <c r="A24" s="12" t="inlineStr">
        <is>
          <t>Discount factor (vs comparable fare)</t>
        </is>
      </c>
      <c r="B24" s="17" t="n">
        <v>1</v>
      </c>
      <c r="C24" s="14" t="inlineStr">
        <is>
          <t>frac</t>
        </is>
      </c>
      <c r="D24" s="14" t="inlineStr">
        <is>
          <t>T1</t>
        </is>
      </c>
      <c r="E24" s="14" t="inlineStr">
        <is>
          <t>high</t>
        </is>
      </c>
      <c r="F24" s="15" t="inlineStr">
        <is>
          <t>Market parity — better product, not cheaper (locked).</t>
        </is>
      </c>
    </row>
    <row r="25">
      <c r="A25" s="12" t="inlineStr">
        <is>
          <t>Diesel CO₂ per gallon</t>
        </is>
      </c>
      <c r="B25" s="17" t="n">
        <v>10.21</v>
      </c>
      <c r="C25" s="14" t="inlineStr">
        <is>
          <t>kg/gal</t>
        </is>
      </c>
      <c r="D25" s="14" t="inlineStr">
        <is>
          <t>T1</t>
        </is>
      </c>
      <c r="E25" s="14" t="inlineStr">
        <is>
          <t>high</t>
        </is>
      </c>
      <c r="F25" s="15" t="inlineStr">
        <is>
          <t>US EPA: 10.21 kg CO2 per gallon marine/diesel</t>
        </is>
      </c>
    </row>
    <row r="27">
      <c r="A27" s="10" t="inlineStr">
        <is>
          <t>OPEX defaults  (global vessel assumptions — country costs use exact-key rows only)</t>
        </is>
      </c>
    </row>
    <row r="28">
      <c r="A28" s="11" t="inlineStr">
        <is>
          <t>Parameter</t>
        </is>
      </c>
      <c r="B28" s="11" t="inlineStr">
        <is>
          <t>Value</t>
        </is>
      </c>
      <c r="C28" s="11" t="inlineStr">
        <is>
          <t>Unit</t>
        </is>
      </c>
      <c r="D28" s="11" t="inlineStr">
        <is>
          <t>Tier</t>
        </is>
      </c>
      <c r="E28" s="11" t="inlineStr">
        <is>
          <t>Conf.</t>
        </is>
      </c>
      <c r="F28" s="11" t="inlineStr">
        <is>
          <t>Source / note</t>
        </is>
      </c>
    </row>
    <row r="29">
      <c r="A29" s="12" t="inlineStr">
        <is>
          <t>Vessel insurance — H&amp;M + P&amp;I (% of CAPEX/yr)</t>
        </is>
      </c>
      <c r="B29" s="18" t="n">
        <v>0.025</v>
      </c>
      <c r="C29" s="14" t="inlineStr">
        <is>
          <t>frac</t>
        </is>
      </c>
      <c r="D29" s="14" t="inlineStr">
        <is>
          <t>T3</t>
        </is>
      </c>
      <c r="E29" s="14" t="inlineStr">
        <is>
          <t>med</t>
        </is>
      </c>
      <c r="F29" s="15" t="inlineStr">
        <is>
          <t>Commercial vessel H&amp;M + P&amp;I ~2.5%/yr of regional CAPEX. Separate from berth/port admin in Country opex (Jaideep 2026-06-19).. Multiplied by regional CAPEX (Country opex col G). Not included in berth/port admin.</t>
        </is>
      </c>
    </row>
    <row r="30">
      <c r="A30" s="12" t="inlineStr">
        <is>
          <t>Fast-charge berth &amp; demand charges (global default)</t>
        </is>
      </c>
      <c r="B30" s="16" t="n">
        <v>18000</v>
      </c>
      <c r="C30" s="14" t="inlineStr">
        <is>
          <t>USD/yr</t>
        </is>
      </c>
      <c r="D30" s="14" t="inlineStr">
        <is>
          <t>T3</t>
        </is>
      </c>
      <c r="E30" s="14" t="inlineStr">
        <is>
          <t>med</t>
        </is>
      </c>
      <c r="F30" s="15" t="inlineStr">
        <is>
          <t>Dedicated fast-charge berth slot + utility demand charges. Excludes per-kWh propulsion energy and berth/port admin (Jaideep 2026-06-19). L3-overridable per market.. Dedicated charge berth + utility demand charges. Excludes per-kWh propulsion energy and berth/port admin. L3-overridable per market.</t>
        </is>
      </c>
    </row>
    <row r="32">
      <c r="A32" s="10" t="inlineStr">
        <is>
          <t>South Korea schedule / capacity override  (country == 'South Korea' only)</t>
        </is>
      </c>
    </row>
    <row r="33">
      <c r="A33" s="11" t="inlineStr">
        <is>
          <t>Parameter</t>
        </is>
      </c>
      <c r="B33" s="11" t="inlineStr">
        <is>
          <t>Value</t>
        </is>
      </c>
      <c r="C33" s="11" t="inlineStr">
        <is>
          <t>Unit</t>
        </is>
      </c>
      <c r="D33" s="11" t="inlineStr">
        <is>
          <t>Tier</t>
        </is>
      </c>
      <c r="E33" s="11" t="inlineStr">
        <is>
          <t>Conf.</t>
        </is>
      </c>
      <c r="F33" s="11" t="inlineStr">
        <is>
          <t>Source / note</t>
        </is>
      </c>
    </row>
    <row r="34">
      <c r="A34" s="12" t="inlineStr">
        <is>
          <t>South Korea MID seat occupancy</t>
        </is>
      </c>
      <c r="B34" s="18" t="n">
        <v>0.65</v>
      </c>
      <c r="C34" s="14" t="inlineStr">
        <is>
          <t>share of seats</t>
        </is>
      </c>
      <c r="D34" s="14" t="inlineStr">
        <is>
          <t>T5</t>
        </is>
      </c>
      <c r="E34" s="14" t="inlineStr">
        <is>
          <t>med</t>
        </is>
      </c>
      <c r="F34" s="15" t="inlineStr">
        <is>
          <t>South Korea economics revision approved 2026-07-11; retained audit scenario.</t>
        </is>
      </c>
    </row>
    <row r="35">
      <c r="A35" s="12" t="inlineStr">
        <is>
          <t>South Korea MID revenue-leg utilization</t>
        </is>
      </c>
      <c r="B35" s="18" t="n">
        <v>0.65</v>
      </c>
      <c r="C35" s="14" t="inlineStr">
        <is>
          <t>share of gross legs</t>
        </is>
      </c>
      <c r="D35" s="14" t="inlineStr">
        <is>
          <t>T5</t>
        </is>
      </c>
      <c r="E35" s="14" t="inlineStr">
        <is>
          <t>med</t>
        </is>
      </c>
      <c r="F35" s="15" t="inlineStr">
        <is>
          <t>South Korea economics revision approved 2026-07-11; retained audit scenario.</t>
        </is>
      </c>
    </row>
    <row r="36">
      <c r="A36" s="12" t="inlineStr">
        <is>
          <t>South Korea service window</t>
        </is>
      </c>
      <c r="B36" s="13" t="n">
        <v>12</v>
      </c>
      <c r="C36" s="14" t="inlineStr">
        <is>
          <t>hr/day</t>
        </is>
      </c>
      <c r="D36" s="14" t="inlineStr">
        <is>
          <t>T5</t>
        </is>
      </c>
      <c r="E36" s="14" t="inlineStr">
        <is>
          <t>med</t>
        </is>
      </c>
      <c r="F36" s="15" t="inlineStr">
        <is>
          <t>Retained South Korea schedule audit, 2026-07-11.</t>
        </is>
      </c>
    </row>
    <row r="37">
      <c r="A37" s="12" t="inlineStr">
        <is>
          <t>South Korea turnaround</t>
        </is>
      </c>
      <c r="B37" s="13" t="n">
        <v>20</v>
      </c>
      <c r="C37" s="14" t="inlineStr">
        <is>
          <t>min/gross leg</t>
        </is>
      </c>
      <c r="D37" s="14" t="inlineStr">
        <is>
          <t>T5</t>
        </is>
      </c>
      <c r="E37" s="14" t="inlineStr">
        <is>
          <t>med</t>
        </is>
      </c>
      <c r="F37" s="15" t="inlineStr">
        <is>
          <t>Retained South Korea schedule audit, 2026-07-11.</t>
        </is>
      </c>
    </row>
    <row r="38">
      <c r="A38" s="12" t="inlineStr">
        <is>
          <t>South Korea boarding dwell</t>
        </is>
      </c>
      <c r="B38" s="13" t="n">
        <v>10</v>
      </c>
      <c r="C38" s="14" t="inlineStr">
        <is>
          <t>min/gross leg</t>
        </is>
      </c>
      <c r="D38" s="14" t="inlineStr">
        <is>
          <t>T3</t>
        </is>
      </c>
      <c r="E38" s="14" t="inlineStr">
        <is>
          <t>med</t>
        </is>
      </c>
      <c r="F38" s="15" t="inlineStr">
        <is>
          <t>Retained existing boarding/scheduling dwell; South Korea schedule audit, 2026-07-11.</t>
        </is>
      </c>
    </row>
    <row r="39">
      <c r="A39" s="12" t="inlineStr">
        <is>
          <t>South Korea charge-planning range basis</t>
        </is>
      </c>
      <c r="B39" s="13" t="n">
        <v>70</v>
      </c>
      <c r="C39" s="14" t="inlineStr">
        <is>
          <t>nm</t>
        </is>
      </c>
      <c r="D39" s="14" t="inlineStr">
        <is>
          <t>T5</t>
        </is>
      </c>
      <c r="E39" s="14" t="inlineStr">
        <is>
          <t>low-med</t>
        </is>
      </c>
      <c r="F39" s="15" t="inlineStr">
        <is>
          <t>Retained South Korea audit proxy based on Navier published 70-nm range and 45-minute DC fast-charge figures. Planning proxy requiring engineering validation; not a certified charge curve.</t>
        </is>
      </c>
    </row>
    <row r="40">
      <c r="A40" s="12" t="inlineStr">
        <is>
          <t>South Korea full-range charge-planning time</t>
        </is>
      </c>
      <c r="B40" s="13" t="n">
        <v>45</v>
      </c>
      <c r="C40" s="14" t="inlineStr">
        <is>
          <t>min</t>
        </is>
      </c>
      <c r="D40" s="14" t="inlineStr">
        <is>
          <t>T5</t>
        </is>
      </c>
      <c r="E40" s="14" t="inlineStr">
        <is>
          <t>low-med</t>
        </is>
      </c>
      <c r="F40" s="15" t="inlineStr">
        <is>
          <t>PLANNING PROXY: charge recovery = distance_nm / 70 × 45. Requires engineering validation; not a certified charge curve.</t>
        </is>
      </c>
    </row>
    <row r="42">
      <c r="A42" s="10" t="inlineStr">
        <is>
          <t>Utilization scenarios  (seat occupancy + revenue-leg utilization)</t>
        </is>
      </c>
    </row>
    <row r="43">
      <c r="A43" s="11" t="inlineStr">
        <is>
          <t>Scenario</t>
        </is>
      </c>
      <c r="B43" s="11" t="inlineStr">
        <is>
          <t>Seat occupancy</t>
        </is>
      </c>
      <c r="C43" s="11" t="inlineStr">
        <is>
          <t>Revenue-leg utilization</t>
        </is>
      </c>
      <c r="D43" s="11" t="inlineStr"/>
      <c r="E43" s="11" t="inlineStr"/>
      <c r="F43" s="11" t="inlineStr">
        <is>
          <t>Note</t>
        </is>
      </c>
    </row>
    <row r="44">
      <c r="A44" s="19" t="inlineStr">
        <is>
          <t>THIN</t>
        </is>
      </c>
      <c r="B44" s="20" t="n">
        <v>0.45</v>
      </c>
      <c r="C44" s="20" t="n">
        <v>0.55</v>
      </c>
      <c r="F44" s="15" t="inlineStr">
        <is>
          <t>thin/one-way/seasonal corridor — conservative floor</t>
        </is>
      </c>
    </row>
    <row r="45">
      <c r="A45" s="19" t="inlineStr">
        <is>
          <t>MID</t>
        </is>
      </c>
      <c r="B45" s="20" t="n">
        <v>0.55</v>
      </c>
      <c r="C45" s="20" t="n">
        <v>0.65</v>
      </c>
      <c r="F45" s="15" t="inlineStr">
        <is>
          <t>HEADLINE — realistic busy two-way corridor</t>
        </is>
      </c>
    </row>
    <row r="46">
      <c r="A46" s="19" t="inlineStr">
        <is>
          <t>FULL</t>
        </is>
      </c>
      <c r="B46" s="20" t="n">
        <v>0.7</v>
      </c>
      <c r="C46" s="20" t="n">
        <v>0.75</v>
      </c>
      <c r="F46" s="15" t="inlineStr">
        <is>
          <t>mature/dense corridor — optimistic ceiling</t>
        </is>
      </c>
    </row>
    <row r="48">
      <c r="A48" s="21" t="inlineStr">
        <is>
          <t>SCENARIO (toggle me)</t>
        </is>
      </c>
      <c r="B48" s="22" t="inlineStr">
        <is>
          <t>MID</t>
        </is>
      </c>
      <c r="C48" s="23" t="inlineStr">
        <is>
          <t>← set THIN / MID / FULL</t>
        </is>
      </c>
    </row>
    <row r="49">
      <c r="A49" s="12" t="inlineStr">
        <is>
          <t>Selected global seat occupancy</t>
        </is>
      </c>
      <c r="B49" s="24">
        <f>VLOOKUP(scenario,'Assumptions'!$A$44:$C$46,2,FALSE)</f>
        <v/>
      </c>
    </row>
    <row r="50">
      <c r="A50" s="12" t="inlineStr">
        <is>
          <t>Selected global revenue-leg utilization</t>
        </is>
      </c>
      <c r="B50" s="24">
        <f>VLOOKUP(scenario,'Assumptions'!$A$44:$C$46,3,FALSE)</f>
        <v/>
      </c>
    </row>
  </sheetData>
  <mergeCells count="6">
    <mergeCell ref="A42:F42"/>
    <mergeCell ref="A14:F14"/>
    <mergeCell ref="A1:F1"/>
    <mergeCell ref="A32:F32"/>
    <mergeCell ref="A27:F27"/>
    <mergeCell ref="A3:F3"/>
  </mergeCells>
  <dataValidations count="1">
    <dataValidation sqref="B48" showDropDown="0" showInputMessage="0" showErrorMessage="0" allowBlank="0" type="list">
      <formula1>"THIN,MID,FULL"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4" customWidth="1" min="4" max="4"/>
    <col width="14" customWidth="1" min="5" max="5"/>
    <col width="11" customWidth="1" min="6" max="6"/>
    <col width="14" customWidth="1" min="7" max="7"/>
    <col width="60" customWidth="1" min="8" max="8"/>
  </cols>
  <sheetData>
    <row r="1">
      <c r="A1" s="9" t="inlineStr">
        <is>
          <t>Country opex — localized inputs (crew, energy, berth admin, CAPEX)</t>
        </is>
      </c>
    </row>
    <row r="3">
      <c r="A3" s="25" t="inlineStr">
        <is>
          <t>Country</t>
        </is>
      </c>
      <c r="B3" s="25" t="inlineStr">
        <is>
          <t>Captain $/yr</t>
        </is>
      </c>
      <c r="C3" s="25" t="inlineStr">
        <is>
          <t>Energy $/kWh</t>
        </is>
      </c>
      <c r="D3" s="25" t="inlineStr">
        <is>
          <t>Grid CO₂ kg/kWh</t>
        </is>
      </c>
      <c r="E3" s="25" t="inlineStr">
        <is>
          <t>Berth &amp; port admin $/yr</t>
        </is>
      </c>
      <c r="F3" s="25" t="inlineStr">
        <is>
          <t>Cost index</t>
        </is>
      </c>
      <c r="G3" s="25" t="inlineStr">
        <is>
          <t>CAPEX $/vessel</t>
        </is>
      </c>
      <c r="H3" s="25" t="inlineStr">
        <is>
          <t>Source notes (crew | energy | berth admin)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8" customWidth="1" min="2" max="2"/>
    <col width="20" customWidth="1" min="3" max="3"/>
    <col width="24" customWidth="1" min="4" max="4"/>
    <col width="86" customWidth="1" min="5" max="5"/>
  </cols>
  <sheetData>
    <row r="1">
      <c r="A1" s="9" t="inlineStr">
        <is>
          <t>Economics holds — excluded before model and sheet calculation</t>
        </is>
      </c>
    </row>
    <row r="3">
      <c r="A3" s="25" t="inlineStr">
        <is>
          <t>Market</t>
        </is>
      </c>
      <c r="B3" s="25" t="inlineStr">
        <is>
          <t>Corridor</t>
        </is>
      </c>
      <c r="C3" s="25" t="inlineStr">
        <is>
          <t>Route ID</t>
        </is>
      </c>
      <c r="D3" s="25" t="inlineStr">
        <is>
          <t>Country label</t>
        </is>
      </c>
      <c r="E3" s="25" t="inlineStr">
        <is>
          <t>Hold reason</t>
        </is>
      </c>
    </row>
    <row r="4">
      <c r="A4" s="26" t="inlineStr">
        <is>
          <t>None — all in-scope corridors have complete exact-key country references.</t>
        </is>
      </c>
    </row>
  </sheetData>
  <mergeCells count="2">
    <mergeCell ref="A1:E1"/>
    <mergeCell ref="A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A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8" customWidth="1" min="4" max="4"/>
    <col width="11" customWidth="1" min="5" max="5"/>
    <col width="7" customWidth="1" min="6" max="6"/>
    <col width="8" customWidth="1" min="7" max="7"/>
    <col width="9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8" customWidth="1" min="14" max="14"/>
    <col width="11" customWidth="1" min="15" max="15"/>
    <col width="10" customWidth="1" min="16" max="16"/>
    <col width="9" customWidth="1" min="17" max="17"/>
    <col width="8" customWidth="1" min="18" max="18"/>
    <col width="9" customWidth="1" min="19" max="19"/>
    <col width="9" customWidth="1" min="20" max="20"/>
    <col width="11" customWidth="1" min="21" max="21"/>
    <col width="10" customWidth="1" min="22" max="22"/>
    <col width="10" customWidth="1" min="23" max="23"/>
    <col width="12" customWidth="1" min="24" max="24"/>
    <col width="9" customWidth="1" min="25" max="25"/>
    <col width="12" customWidth="1" min="26" max="26"/>
    <col width="12" customWidth="1" min="27" max="27"/>
    <col width="11" customWidth="1" min="28" max="28"/>
    <col width="10" customWidth="1" min="29" max="29"/>
    <col width="11" customWidth="1" min="30" max="30"/>
    <col width="8" customWidth="1" min="31" max="31"/>
    <col width="9" customWidth="1" min="32" max="32"/>
    <col width="9" customWidth="1" min="33" max="33"/>
    <col width="12" customWidth="1" min="34" max="34"/>
    <col width="7" customWidth="1" min="35" max="35"/>
    <col width="8" customWidth="1" min="36" max="36"/>
    <col width="8" customWidth="1" min="37" max="37"/>
    <col width="10" customWidth="1" min="38" max="38"/>
    <col width="9" customWidth="1" min="39" max="39"/>
    <col width="13" customWidth="1" min="40" max="40"/>
    <col width="9" customWidth="1" min="41" max="41"/>
    <col width="13" customWidth="1" min="42" max="42"/>
    <col width="26" customWidth="1" min="43" max="43"/>
    <col width="14" customWidth="1" min="44" max="44"/>
    <col width="16" customWidth="1" min="45" max="45"/>
    <col width="16" customWidth="1" min="46" max="46"/>
    <col width="9" customWidth="1" min="47" max="47"/>
    <col width="9" customWidth="1" min="48" max="48"/>
    <col width="9" customWidth="1" min="49" max="49"/>
    <col width="9" customWidth="1" min="50" max="50"/>
    <col width="50" customWidth="1" min="51" max="51"/>
    <col width="50" customWidth="1" min="52" max="52"/>
    <col width="16" customWidth="1" min="53" max="53"/>
  </cols>
  <sheetData>
    <row r="1">
      <c r="A1" s="9" t="inlineStr">
        <is>
          <t>Navier × Airasia-Move — Corridor economics (one boat, one year; MID = headline)</t>
        </is>
      </c>
      <c r="N1" s="27" t="inlineStr">
        <is>
          <t>SCENARIO:</t>
        </is>
      </c>
      <c r="O1" s="22">
        <f>scenario</f>
        <v/>
      </c>
      <c r="P1" s="23" t="inlineStr">
        <is>
          <t>(set on Assumptions tab)</t>
        </is>
      </c>
    </row>
    <row r="3" ht="42" customHeight="1">
      <c r="A3" s="25" t="inlineStr">
        <is>
          <t>Market</t>
        </is>
      </c>
      <c r="B3" s="25" t="inlineStr">
        <is>
          <t>Country</t>
        </is>
      </c>
      <c r="C3" s="25" t="inlineStr">
        <is>
          <t>Corridor</t>
        </is>
      </c>
      <c r="D3" s="25" t="inlineStr">
        <is>
          <t>Distance</t>
        </is>
      </c>
      <c r="E3" s="25" t="inlineStr">
        <is>
          <t>Premium fare $/pax</t>
        </is>
      </c>
      <c r="F3" s="25" t="inlineStr">
        <is>
          <t>Fare tier</t>
        </is>
      </c>
      <c r="G3" s="25" t="inlineStr">
        <is>
          <t>Fare conf.</t>
        </is>
      </c>
      <c r="H3" s="25" t="inlineStr">
        <is>
          <t>Weather factor</t>
        </is>
      </c>
      <c r="I3" s="25" t="inlineStr">
        <is>
          <t>One-way min</t>
        </is>
      </c>
      <c r="J3" s="25" t="inlineStr">
        <is>
          <t>Charge recovery min</t>
        </is>
      </c>
      <c r="K3" s="25" t="inlineStr">
        <is>
          <t>Cycle min</t>
        </is>
      </c>
      <c r="L3" s="25" t="inlineStr">
        <is>
          <t>Gross legs/day</t>
        </is>
      </c>
      <c r="M3" s="25" t="inlineStr">
        <is>
          <t>Op days/yr</t>
        </is>
      </c>
      <c r="N3" s="25" t="inlineStr">
        <is>
          <t>Mech uptime</t>
        </is>
      </c>
      <c r="O3" s="25" t="inlineStr">
        <is>
          <t>Revenue-leg utilization</t>
        </is>
      </c>
      <c r="P3" s="25" t="inlineStr">
        <is>
          <t>Revenue legs/yr</t>
        </is>
      </c>
      <c r="Q3" s="25" t="inlineStr">
        <is>
          <t>Seat occupancy</t>
        </is>
      </c>
      <c r="R3" s="25" t="inlineStr">
        <is>
          <t>Pax/trip</t>
        </is>
      </c>
      <c r="S3" s="25" t="inlineStr">
        <is>
          <t>Pax/yr</t>
        </is>
      </c>
      <c r="T3" s="25" t="inlineStr">
        <is>
          <t>Navier fare $</t>
        </is>
      </c>
      <c r="U3" s="25" t="inlineStr">
        <is>
          <t>Revenue/yr</t>
        </is>
      </c>
      <c r="V3" s="25" t="inlineStr">
        <is>
          <t>Energy/yr</t>
        </is>
      </c>
      <c r="W3" s="25" t="inlineStr">
        <is>
          <t>Crew/yr</t>
        </is>
      </c>
      <c r="X3" s="25" t="inlineStr">
        <is>
          <t>Berth &amp; port admin/yr</t>
        </is>
      </c>
      <c r="Y3" s="25" t="inlineStr">
        <is>
          <t>Maint/yr</t>
        </is>
      </c>
      <c r="Z3" s="25" t="inlineStr">
        <is>
          <t>Vessel insurance/yr</t>
        </is>
      </c>
      <c r="AA3" s="25" t="inlineStr">
        <is>
          <t>Fast-charge berth/yr</t>
        </is>
      </c>
      <c r="AB3" s="25" t="inlineStr">
        <is>
          <t>OPEX/yr</t>
        </is>
      </c>
      <c r="AC3" s="25" t="inlineStr">
        <is>
          <t>Deprec/yr</t>
        </is>
      </c>
      <c r="AD3" s="25" t="inlineStr">
        <is>
          <t>EBITDA/yr</t>
        </is>
      </c>
      <c r="AE3" s="25" t="inlineStr">
        <is>
          <t>Margin</t>
        </is>
      </c>
      <c r="AF3" s="25" t="inlineStr">
        <is>
          <t>Payback yr (sel)</t>
        </is>
      </c>
      <c r="AG3" s="25" t="inlineStr">
        <is>
          <t>CO₂ saved t/yr</t>
        </is>
      </c>
      <c r="AH3" s="25" t="inlineStr">
        <is>
          <t>Demand pool 1-way/yr</t>
        </is>
      </c>
      <c r="AI3" s="25" t="inlineStr">
        <is>
          <t>Demand tier</t>
        </is>
      </c>
      <c r="AJ3" s="25" t="inlineStr">
        <is>
          <t>Demand conf.</t>
        </is>
      </c>
      <c r="AK3" s="25" t="inlineStr">
        <is>
          <t>Capture %</t>
        </is>
      </c>
      <c r="AL3" s="25" t="inlineStr">
        <is>
          <t>Navier rides/yr</t>
        </is>
      </c>
      <c r="AM3" s="25" t="inlineStr">
        <is>
          <t>Vessels @capture</t>
        </is>
      </c>
      <c r="AN3" s="25" t="inlineStr">
        <is>
          <t>Market rev/yr</t>
        </is>
      </c>
      <c r="AO3" s="25" t="inlineStr">
        <is>
          <t>Vessels raw (unfloored)</t>
        </is>
      </c>
      <c r="AP3" s="25" t="inlineStr">
        <is>
          <t>Market rev/yr raw</t>
        </is>
      </c>
      <c r="AQ3" s="25" t="inlineStr">
        <is>
          <t>Subset of (excl. from market fleet)</t>
        </is>
      </c>
      <c r="AR3" s="25" t="inlineStr">
        <is>
          <t>Floor bucket (aggregate status)</t>
        </is>
      </c>
      <c r="AS3" s="25" t="inlineStr">
        <is>
          <t>Forward SAM (2030-dated; held OUT of grounded floor)</t>
        </is>
      </c>
      <c r="AT3" s="25" t="inlineStr">
        <is>
          <t>Upside tier (LB-99; held OUT of grounded floor)</t>
        </is>
      </c>
      <c r="AU3" s="25" t="inlineStr">
        <is>
          <t>Fleet ceiling (captive villas/25)</t>
        </is>
      </c>
      <c r="AV3" s="25" t="inlineStr">
        <is>
          <t>Payback THIN</t>
        </is>
      </c>
      <c r="AW3" s="25" t="inlineStr">
        <is>
          <t>Payback MID</t>
        </is>
      </c>
      <c r="AX3" s="25" t="inlineStr">
        <is>
          <t>Payback FULL</t>
        </is>
      </c>
      <c r="AY3" s="25" t="inlineStr">
        <is>
          <t>Fare source (provenance)</t>
        </is>
      </c>
      <c r="AZ3" s="25" t="inlineStr">
        <is>
          <t>Demand source (provenance)</t>
        </is>
      </c>
      <c r="BA3" s="25" t="inlineStr">
        <is>
          <t>Route ID</t>
        </is>
      </c>
    </row>
    <row r="4">
      <c r="A4" s="28" t="inlineStr">
        <is>
          <t>TOTAL / median</t>
        </is>
      </c>
      <c r="U4" s="29">
        <f>SUM(U4:U3)</f>
        <v/>
      </c>
      <c r="AD4" s="29">
        <f>SUM(AD4:AD3)</f>
        <v/>
      </c>
      <c r="AE4" s="30">
        <f>IF(U4=0,"",AD4/U4)</f>
        <v/>
      </c>
      <c r="AM4" s="31">
        <f>SUM(AM4:AM3)</f>
        <v/>
      </c>
      <c r="AN4" s="29">
        <f>SUM(AN4:AN3)</f>
        <v/>
      </c>
    </row>
    <row r="6">
      <c r="A6" s="9" t="inlineStr">
        <is>
          <t>Market fleet build-up — grounded floor (network-sum of raw vessel fractions per market, rounded once; subset slices excluded; legacy per-corridor-floor totals above kept for reference)</t>
        </is>
      </c>
    </row>
    <row r="7">
      <c r="A7" s="25" t="inlineStr">
        <is>
          <t>Market</t>
        </is>
      </c>
      <c r="B7" s="25" t="inlineStr">
        <is>
          <t>Fleet basis</t>
        </is>
      </c>
      <c r="C7" s="25" t="inlineStr">
        <is>
          <t>Raw vessels (sum)</t>
        </is>
      </c>
      <c r="D7" s="25" t="inlineStr">
        <is>
          <t>Fleet (rounded once)</t>
        </is>
      </c>
      <c r="E7" s="25" t="inlineStr">
        <is>
          <t>Market rev/yr (raw sum)</t>
        </is>
      </c>
    </row>
    <row r="8">
      <c r="A8" s="28" t="inlineStr">
        <is>
          <t>GROUNDED FLOOR (PUBLISHED)</t>
        </is>
      </c>
      <c r="D8" s="31">
        <f>SUM(D8:D7)</f>
        <v/>
      </c>
      <c r="E8" s="29">
        <f>SUM(E8:E7)</f>
        <v/>
      </c>
    </row>
  </sheetData>
  <mergeCells count="2">
    <mergeCell ref="A6:L6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72" customWidth="1" min="5" max="5"/>
  </cols>
  <sheetData>
    <row r="1">
      <c r="A1" s="9" t="inlineStr">
        <is>
          <t>Market sizing — how the grounded floor builds into SOM → SAM → TAM</t>
        </is>
      </c>
    </row>
    <row r="3">
      <c r="A3" s="10" t="inlineStr">
        <is>
          <t>Growth multipliers (bands: low / MID / high)</t>
        </is>
      </c>
    </row>
    <row r="4">
      <c r="A4" s="11" t="inlineStr">
        <is>
          <t>Multiplier</t>
        </is>
      </c>
      <c r="B4" s="11" t="inlineStr">
        <is>
          <t>Low</t>
        </is>
      </c>
      <c r="C4" s="11" t="inlineStr">
        <is>
          <t>MID</t>
        </is>
      </c>
      <c r="D4" s="11" t="inlineStr">
        <is>
          <t>High</t>
        </is>
      </c>
      <c r="E4" s="11" t="inlineStr">
        <is>
          <t>What it means</t>
        </is>
      </c>
    </row>
    <row r="5">
      <c r="A5" s="32" t="inlineStr">
        <is>
          <t>Induced demand (k)</t>
        </is>
      </c>
      <c r="B5" s="20" t="n">
        <v>1.3</v>
      </c>
      <c r="C5" s="20" t="n">
        <v>1.8</v>
      </c>
      <c r="D5" s="20" t="n">
        <v>2.5</v>
      </c>
      <c r="E5" s="15" t="inlineStr">
        <is>
          <t>Faster/quieter product grows the crossing market beyond today's trips.</t>
        </is>
      </c>
    </row>
    <row r="6">
      <c r="A6" s="32" t="inlineStr">
        <is>
          <t>Mature capture rate (c)</t>
        </is>
      </c>
      <c r="B6" s="33" t="n">
        <v>0.15</v>
      </c>
      <c r="C6" s="33" t="n">
        <v>0.25</v>
      </c>
      <c r="D6" s="33" t="n">
        <v>0.4</v>
      </c>
      <c r="E6" s="15" t="inlineStr">
        <is>
          <t>Navier's corridor share once it is the established premium default (vs 10% floor).</t>
        </is>
      </c>
    </row>
    <row r="7">
      <c r="A7" s="32" t="inlineStr">
        <is>
          <t>Journey GMV multiple (m)</t>
        </is>
      </c>
      <c r="B7" s="20" t="n">
        <v>2</v>
      </c>
      <c r="C7" s="20" t="n">
        <v>3</v>
      </c>
      <c r="D7" s="20" t="n">
        <v>4</v>
      </c>
      <c r="E7" s="15" t="inlineStr">
        <is>
          <t>Whole island-journey wallet (transport+food+stay+experiences) as a multiple of the boat fare.</t>
        </is>
      </c>
    </row>
    <row r="8">
      <c r="A8" s="32" t="inlineStr">
        <is>
          <t>Greenfield network factor (g)</t>
        </is>
      </c>
      <c r="B8" s="20" t="n">
        <v>3.44</v>
      </c>
      <c r="C8" s="20" t="n">
        <v>4.9</v>
      </c>
      <c r="D8" s="20" t="n">
        <v>6.36</v>
      </c>
      <c r="E8" s="15" t="inlineStr">
        <is>
          <t>Width lever: addressable network vs the sourced subset (ID-based census).</t>
        </is>
      </c>
    </row>
    <row r="9">
      <c r="A9" s="32" t="inlineStr">
        <is>
          <t>Platform take rate</t>
        </is>
      </c>
      <c r="C9" s="33" t="n">
        <v>0.18</v>
      </c>
      <c r="E9" s="15" t="inlineStr">
        <is>
          <t>Super-app blended commission on journey GMV (derived line only).</t>
        </is>
      </c>
    </row>
    <row r="11">
      <c r="A11" s="32" t="inlineStr">
        <is>
          <t>SOM capture rate (floor)</t>
        </is>
      </c>
      <c r="C11" s="34">
        <f>som_floor_rev/(ROUND(SUMPRODUCT(--('Corridor economics'!$AR$4:$AR$3="Grounded"),'Corridor economics'!$AH$4:$AH$3,'Corridor economics'!$E$4:$E$3),0))</f>
        <v/>
      </c>
      <c r="E11" s="15" t="inlineStr">
        <is>
          <t>New-entrant ~10% share of today's pool (= the published floor).</t>
        </is>
      </c>
    </row>
    <row r="13">
      <c r="A13" s="10" t="inlineStr">
        <is>
          <t>The ladder (live off the corridor floor)</t>
        </is>
      </c>
    </row>
    <row r="14">
      <c r="A14" s="11" t="inlineStr">
        <is>
          <t>Rung</t>
        </is>
      </c>
      <c r="B14" s="11" t="inlineStr">
        <is>
          <t>Low</t>
        </is>
      </c>
      <c r="C14" s="11" t="inlineStr">
        <is>
          <t>MID</t>
        </is>
      </c>
      <c r="D14" s="11" t="inlineStr">
        <is>
          <t>High</t>
        </is>
      </c>
      <c r="E14" s="11" t="inlineStr">
        <is>
          <t>Definition</t>
        </is>
      </c>
    </row>
    <row r="15">
      <c r="A15" s="32" t="inlineStr">
        <is>
          <t>SOM floor — Navier transport rev/yr (PUBLISHED)</t>
        </is>
      </c>
      <c r="C15" s="35">
        <f>som_floor_rev</f>
        <v/>
      </c>
      <c r="E15" s="15" t="inlineStr">
        <is>
          <t>Live sum of grounded-floor corridor market-rev only (Floor bucket = Grounded; cascade-estimated rows held out). Matches growth.py _headline_anchor and deck TAM.</t>
        </is>
      </c>
    </row>
    <row r="16">
      <c r="A16" s="32" t="inlineStr">
        <is>
          <t>M_today — model comparable-fare transport pool on sourced corridors</t>
        </is>
      </c>
      <c r="C16" s="35">
        <f>ROUND(SUMPRODUCT(--('Corridor economics'!$AR$4:$AR$3="Grounded"),'Corridor economics'!$AH$4:$AH$3,'Corridor economics'!$E$4:$E$3),0)</f>
        <v/>
      </c>
      <c r="E16" s="15" t="inlineStr">
        <is>
          <t>Direct sum of sourced one-way demand × the disclosed model comparable fare on grounded corridors; includes any labelled premium re-fare applied above and is independent of display-rounded capture.</t>
        </is>
      </c>
    </row>
    <row r="18">
      <c r="A18" s="32" t="inlineStr">
        <is>
          <t>SOM full network (~10% capture, today, +greenfield)</t>
        </is>
      </c>
      <c r="B18" s="35">
        <f>$C$16*$C$11*$B$8</f>
        <v/>
      </c>
      <c r="C18" s="35">
        <f>$C$16*$C$11*$C$8</f>
        <v/>
      </c>
      <c r="D18" s="35">
        <f>$C$16*$C$11*$D$8</f>
        <v/>
      </c>
      <c r="E18" s="15" t="inlineStr">
        <is>
          <t>Floor posture (~10% captive capture, today's demand) extended across the whole mapped network.</t>
        </is>
      </c>
    </row>
    <row r="19">
      <c r="A19" s="32" t="inlineStr">
        <is>
          <t>SAM — sourced corridors only (depth, no greenfield)</t>
        </is>
      </c>
      <c r="B19" s="35">
        <f>$C$16*$B$5*$B$6</f>
        <v/>
      </c>
      <c r="C19" s="35">
        <f>$C$16*$C$5*$C$6</f>
        <v/>
      </c>
      <c r="D19" s="35">
        <f>$C$16*$D$5*$D$6</f>
        <v/>
      </c>
      <c r="E19" s="15" t="inlineStr">
        <is>
          <t>Matured network on the sourced corridors alone: induced demand × mature capture.</t>
        </is>
      </c>
    </row>
    <row r="20">
      <c r="A20" s="32" t="inlineStr">
        <is>
          <t>SAM — Navier transport rev @ full network (HEADLINE)</t>
        </is>
      </c>
      <c r="B20" s="35">
        <f>$C$16*$B$5*$B$6*$B$8</f>
        <v/>
      </c>
      <c r="C20" s="35">
        <f>$C$16*$C$5*$C$6*$C$8</f>
        <v/>
      </c>
      <c r="D20" s="35">
        <f>$C$16*$D$5*$D$6*$D$8</f>
        <v/>
      </c>
      <c r="E20" s="15" t="inlineStr">
        <is>
          <t>Matured across the full addressable network: induced × mature capture × greenfield width.</t>
        </is>
      </c>
    </row>
    <row r="21">
      <c r="A21" s="32" t="inlineStr">
        <is>
          <t>Marine mobility TAM — induced marine-transfer market (LB-110)</t>
        </is>
      </c>
      <c r="B21" s="35">
        <f>$C$16*$B$5*$B$8</f>
        <v/>
      </c>
      <c r="C21" s="35">
        <f>$C$16*$C$5*$C$8</f>
        <v/>
      </c>
      <c r="D21" s="35">
        <f>$C$16*$D$5*$D$8</f>
        <v/>
      </c>
      <c r="E21" s="15" t="inlineStr">
        <is>
          <t>SAM divided by leading-operator capture (= M_today × induced × greenfield). The full inducible water-transfer wallet at network maturity, before any capture constraint.</t>
        </is>
      </c>
    </row>
    <row r="22">
      <c r="A22" s="32" t="inlineStr">
        <is>
          <t>Journey GMV — induced crossing × multiple (was TAM journey GMV)</t>
        </is>
      </c>
      <c r="B22" s="35">
        <f>$C$16*$B$5*$B$7*$B$8</f>
        <v/>
      </c>
      <c r="C22" s="35">
        <f>$C$16*$C$5*$C$7*$C$8</f>
        <v/>
      </c>
      <c r="D22" s="35">
        <f>$C$16*$D$5*$D$7*$D$8</f>
        <v/>
      </c>
      <c r="E22" s="15" t="inlineStr">
        <is>
          <t>Whole-journey spend (transport+food+stay+experiences) across the induced crossing market on the full network. Marine TAM × journey GMV multiple.</t>
        </is>
      </c>
    </row>
    <row r="23">
      <c r="A23" s="32" t="inlineStr">
        <is>
          <t>Journey GMV routed through Navier network</t>
        </is>
      </c>
      <c r="B23" s="35">
        <f>$C$16*$B$5*$B$6*$B$7*$B$8</f>
        <v/>
      </c>
      <c r="C23" s="35">
        <f>$C$16*$C$5*$C$6*$C$7*$C$8</f>
        <v/>
      </c>
      <c r="D23" s="35">
        <f>$C$16*$D$5*$D$6*$D$7*$D$8</f>
        <v/>
      </c>
      <c r="E23" s="15" t="inlineStr">
        <is>
          <t>Journey GMV on Navier-carried trips only.</t>
        </is>
      </c>
    </row>
    <row r="24">
      <c r="A24" s="32" t="inlineStr">
        <is>
          <t>Partner platform revenue on Navier (LB-113 — on-Navier subset, not 18% of full Journey GMV)</t>
        </is>
      </c>
      <c r="B24" s="35">
        <f>$C$16*$B$5*$B$6*$B$7*$B$8*$C$9</f>
        <v/>
      </c>
      <c r="C24" s="35">
        <f>$C$16*$C$5*$C$6*$C$7*$C$8*$C$9</f>
        <v/>
      </c>
      <c r="D24" s="35">
        <f>$C$16*$D$5*$D$6*$D$7*$D$8*$C$9</f>
        <v/>
      </c>
      <c r="E24" s="15" t="inlineStr">
        <is>
          <t>The super-app's own commission — the number a platform partner cares about.</t>
        </is>
      </c>
    </row>
    <row r="26">
      <c r="A26" s="36" t="inlineStr">
        <is>
          <t>Note</t>
        </is>
      </c>
      <c r="B26" s="37" t="inlineStr">
        <is>
          <t>All rungs are one multiplication chain off M_today, which is live off the corridor floor. Change any input (a fare, a multiplier, the scenario) and the whole ladder moves. Bands (low/MID/high) are never single points; greenfield census is per-partner.</t>
        </is>
      </c>
    </row>
  </sheetData>
  <mergeCells count="4">
    <mergeCell ref="B26:E26"/>
    <mergeCell ref="A1:E1"/>
    <mergeCell ref="A13:E13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2026-07-20T06:57:00Z</dcterms:created>
  <dcterms:modified xsi:type="dcterms:W3CDTF">2026-07-20T06:57:00Z</dcterms:modified>
</cp:coreProperties>
</file>