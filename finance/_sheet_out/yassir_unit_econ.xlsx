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opex'!$A$4:$G$5</definedName>
    <definedName name="som_floor_fleet">'Corridor economics'!$D$25</definedName>
    <definedName name="som_floor_rev">'Corridor economics'!$E$25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Yassir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10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~1 sailing/70min in a 12h window; a believable on-demand premium duty cycle, not capacity-max (Jaideep 2026-06-19).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0.45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0.55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Morocco</t>
        </is>
      </c>
      <c r="B4" s="26" t="n">
        <v>14000</v>
      </c>
      <c r="C4" s="27" t="n">
        <v>0.12</v>
      </c>
      <c r="D4" s="19" t="n">
        <v>0.6</v>
      </c>
      <c r="E4" s="26" t="n">
        <v>10000</v>
      </c>
      <c r="F4" s="19" t="n">
        <v>0.38</v>
      </c>
      <c r="G4" s="26" t="n">
        <v>600000</v>
      </c>
      <c r="H4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">
      <c r="A5" s="25" t="inlineStr">
        <is>
          <t>Tunisia</t>
        </is>
      </c>
      <c r="B5" s="26" t="n">
        <v>14000</v>
      </c>
      <c r="C5" s="27" t="n">
        <v>0.1</v>
      </c>
      <c r="D5" s="19" t="n">
        <v>0.45</v>
      </c>
      <c r="E5" s="26" t="n">
        <v>9000</v>
      </c>
      <c r="F5" s="19" t="n">
        <v>0.35</v>
      </c>
      <c r="G5" s="26" t="n">
        <v>600000</v>
      </c>
      <c r="H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Yassir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Yassir Morocco</t>
        </is>
      </c>
      <c r="B4" s="29" t="inlineStr">
        <is>
          <t>Morocco</t>
        </is>
      </c>
      <c r="C4" s="30" t="inlineStr">
        <is>
          <t>Rabat → Sale</t>
        </is>
      </c>
      <c r="D4" s="31" t="n">
        <v>0.5</v>
      </c>
      <c r="E4" s="26" t="n"/>
      <c r="F4" s="32" t="n"/>
      <c r="G4" s="32" t="n"/>
      <c r="H4" s="19" t="n">
        <v>1</v>
      </c>
      <c r="I4" s="33">
        <f>60*D4/cruise_kt</f>
        <v/>
      </c>
      <c r="J4" s="33">
        <f>I4+turn_min+dwell_min</f>
        <v/>
      </c>
      <c r="K4" s="34">
        <f>MIN(16,FLOOR(60*service_hr/J4,1))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n"/>
      <c r="AI4" s="32" t="n"/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n"/>
      <c r="AX4" s="44" t="n"/>
    </row>
    <row r="5">
      <c r="A5" s="29" t="inlineStr">
        <is>
          <t>Yassir Morocco</t>
        </is>
      </c>
      <c r="B5" s="29" t="inlineStr">
        <is>
          <t>Morocco</t>
        </is>
      </c>
      <c r="C5" s="30" t="inlineStr">
        <is>
          <t>Tangier Marina Bay → Tarifa (cross-strait excluded)</t>
        </is>
      </c>
      <c r="D5" s="31" t="n">
        <v>8</v>
      </c>
      <c r="E5" s="26" t="n">
        <v>43.5</v>
      </c>
      <c r="F5" s="32" t="inlineStr">
        <is>
          <t>T2</t>
        </is>
      </c>
      <c r="G5" s="32" t="inlineStr">
        <is>
          <t>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MIN(10,FLOOR(60*service_hr/J5,1))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760778</v>
      </c>
      <c r="AH5" s="32" t="n"/>
      <c r="AI5" s="32" t="n"/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AX5" s="44" t="n"/>
    </row>
    <row r="6">
      <c r="A6" s="29" t="inlineStr">
        <is>
          <t>Yassir Morocco</t>
        </is>
      </c>
      <c r="B6" s="29" t="inlineStr">
        <is>
          <t>Morocco</t>
        </is>
      </c>
      <c r="C6" s="30" t="inlineStr">
        <is>
          <t>Agadir Marina → Taghazout</t>
        </is>
      </c>
      <c r="D6" s="31" t="n">
        <v>9</v>
      </c>
      <c r="E6" s="26" t="n"/>
      <c r="F6" s="32" t="n"/>
      <c r="G6" s="32" t="n"/>
      <c r="H6" s="19" t="n">
        <v>1</v>
      </c>
      <c r="I6" s="33">
        <f>60*D6/cruise_kt</f>
        <v/>
      </c>
      <c r="J6" s="33">
        <f>I6+turn_min+dwell_min</f>
        <v/>
      </c>
      <c r="K6" s="34">
        <f>MIN(10,FLOOR(60*service_hr/J6,1))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77500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n"/>
      <c r="AX6" s="44" t="n"/>
    </row>
    <row r="7">
      <c r="A7" s="29" t="inlineStr">
        <is>
          <t>Yassir Morocco</t>
        </is>
      </c>
      <c r="B7" s="29" t="inlineStr">
        <is>
          <t>Morocco</t>
        </is>
      </c>
      <c r="C7" s="30" t="inlineStr">
        <is>
          <t>Tanger Med (Ksar el Majaz) → Algeciras (Spain)</t>
        </is>
      </c>
      <c r="D7" s="31" t="n">
        <v>13</v>
      </c>
      <c r="E7" s="26" t="n">
        <v>38</v>
      </c>
      <c r="F7" s="32" t="inlineStr">
        <is>
          <t>T2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MIN(10,FLOOR(60*service_hr/J7,1))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1610211</v>
      </c>
      <c r="AH7" s="32" t="n"/>
      <c r="AI7" s="32" t="n"/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PREMIUM tier: standard adult FOOT-PASSENGER one-way Tanger Med&lt;-&gt;Algeciras ~EUR 35 x 1.08 = ~$38 (Strait fast-ferry foot fares cluster EUR 30-40).</t>
        </is>
      </c>
      <c r="AX7" s="44" t="n"/>
    </row>
    <row r="8">
      <c r="A8" s="29" t="inlineStr">
        <is>
          <t>Yassir Morocco</t>
        </is>
      </c>
      <c r="B8" s="29" t="inlineStr">
        <is>
          <t>Morocco</t>
        </is>
      </c>
      <c r="C8" s="30" t="inlineStr">
        <is>
          <t>Casablanca → Mohammedia</t>
        </is>
      </c>
      <c r="D8" s="31" t="n">
        <v>13</v>
      </c>
      <c r="E8" s="26" t="n"/>
      <c r="F8" s="32" t="n"/>
      <c r="G8" s="32" t="n"/>
      <c r="H8" s="19" t="n">
        <v>1</v>
      </c>
      <c r="I8" s="33">
        <f>60*D8/cruise_kt</f>
        <v/>
      </c>
      <c r="J8" s="33">
        <f>I8+turn_min+dwell_min</f>
        <v/>
      </c>
      <c r="K8" s="34">
        <f>MIN(16,FLOOR(60*service_hr/J8,1))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/>
      <c r="AH8" s="32" t="n"/>
      <c r="AI8" s="32" t="n"/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n"/>
      <c r="AX8" s="44" t="n"/>
    </row>
    <row r="9">
      <c r="A9" s="29" t="inlineStr">
        <is>
          <t>Yassir Morocco</t>
        </is>
      </c>
      <c r="B9" s="29" t="inlineStr">
        <is>
          <t>Morocco</t>
        </is>
      </c>
      <c r="C9" s="30" t="inlineStr">
        <is>
          <t>Al Hoceima → Cala Iris</t>
        </is>
      </c>
      <c r="D9" s="31" t="n">
        <v>16</v>
      </c>
      <c r="E9" s="26" t="n"/>
      <c r="F9" s="32" t="n"/>
      <c r="G9" s="32" t="n"/>
      <c r="H9" s="19" t="n">
        <v>1</v>
      </c>
      <c r="I9" s="33">
        <f>60*D9/cruise_kt</f>
        <v/>
      </c>
      <c r="J9" s="33">
        <f>I9+turn_min+dwell_min</f>
        <v/>
      </c>
      <c r="K9" s="34">
        <f>MIN(16,FLOOR(60*service_hr/J9,1))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/>
      <c r="AH9" s="32" t="n"/>
      <c r="AI9" s="32" t="n"/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n"/>
      <c r="AX9" s="44" t="n"/>
    </row>
    <row r="10">
      <c r="A10" s="29" t="inlineStr">
        <is>
          <t>Yassir Morocco</t>
        </is>
      </c>
      <c r="B10" s="29" t="inlineStr">
        <is>
          <t>Morocco</t>
        </is>
      </c>
      <c r="C10" s="30" t="inlineStr">
        <is>
          <t>Tanger Med → Ceuta (Spanish enclave)</t>
        </is>
      </c>
      <c r="D10" s="31" t="n">
        <v>22</v>
      </c>
      <c r="E10" s="26" t="n">
        <v>36</v>
      </c>
      <c r="F10" s="32" t="inlineStr">
        <is>
          <t>T2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MIN(10,FLOOR(60*service_hr/J10,1))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/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PREMIUM tier (nearest comparable = Algeciras&lt;-&gt;Ceuta fast ferry): avg foot-passenger fare ~EUR 33 x 1.08 ~= $36 (one-way ~EUR 25-35), 60 min fast ferry.</t>
        </is>
      </c>
      <c r="AX10" s="44" t="n"/>
    </row>
    <row r="11">
      <c r="A11" s="29" t="inlineStr">
        <is>
          <t>Yassir Morocco</t>
        </is>
      </c>
      <c r="B11" s="29" t="inlineStr">
        <is>
          <t>Morocco</t>
        </is>
      </c>
      <c r="C11" s="30" t="inlineStr">
        <is>
          <t>Casablanca → Rabat</t>
        </is>
      </c>
      <c r="D11" s="31" t="n">
        <v>46</v>
      </c>
      <c r="E11" s="26" t="n"/>
      <c r="F11" s="32" t="n"/>
      <c r="G11" s="32" t="n"/>
      <c r="H11" s="19" t="n">
        <v>1</v>
      </c>
      <c r="I11" s="33">
        <f>60*D11/cruise_kt</f>
        <v/>
      </c>
      <c r="J11" s="33">
        <f>I11+turn_min+dwell_min</f>
        <v/>
      </c>
      <c r="K11" s="34">
        <f>MIN(16,FLOOR(60*service_hr/J11,1))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165000</v>
      </c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n"/>
      <c r="AX11" s="44" t="n"/>
    </row>
    <row r="12">
      <c r="A12" s="29" t="inlineStr">
        <is>
          <t>Yassir Tunisia</t>
        </is>
      </c>
      <c r="B12" s="29" t="inlineStr">
        <is>
          <t>Tunisia</t>
        </is>
      </c>
      <c r="C12" s="30" t="inlineStr">
        <is>
          <t>Jorf (mainland) → Ajim (Djerba Island)</t>
        </is>
      </c>
      <c r="D12" s="31" t="n">
        <v>1.1</v>
      </c>
      <c r="E12" s="26" t="n"/>
      <c r="F12" s="32" t="n"/>
      <c r="G12" s="32" t="n"/>
      <c r="H12" s="19" t="n">
        <v>1</v>
      </c>
      <c r="I12" s="33">
        <f>60*D12/cruise_kt</f>
        <v/>
      </c>
      <c r="J12" s="33">
        <f>I12+turn_min+dwell_min</f>
        <v/>
      </c>
      <c r="K12" s="34">
        <f>MIN(10,FLOOR(60*service_hr/J12,1))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2463750</v>
      </c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n"/>
      <c r="AX12" s="44" t="n"/>
    </row>
    <row r="13">
      <c r="A13" s="29" t="inlineStr">
        <is>
          <t>Yassir Tunisia</t>
        </is>
      </c>
      <c r="B13" s="29" t="inlineStr">
        <is>
          <t>Tunisia</t>
        </is>
      </c>
      <c r="C13" s="30" t="inlineStr">
        <is>
          <t>La Goulette → Sidi Bou Said</t>
        </is>
      </c>
      <c r="D13" s="31" t="n">
        <v>4</v>
      </c>
      <c r="E13" s="26" t="n">
        <v>27</v>
      </c>
      <c r="F13" s="32" t="inlineStr">
        <is>
          <t>T2</t>
        </is>
      </c>
      <c r="G13" s="32" t="inlineStr">
        <is>
          <t>med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MIN(10,FLOOR(60*service_hr/J13,1))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222000</v>
      </c>
      <c r="AH13" s="32" t="n"/>
      <c r="AI13" s="32" t="n"/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AX13" s="44" t="n"/>
    </row>
    <row r="14">
      <c r="A14" s="29" t="inlineStr">
        <is>
          <t>Yassir Tunisia</t>
        </is>
      </c>
      <c r="B14" s="29" t="inlineStr">
        <is>
          <t>Tunisia</t>
        </is>
      </c>
      <c r="C14" s="30" t="inlineStr">
        <is>
          <t>Tunis (Tunis Marine) → La Goulette</t>
        </is>
      </c>
      <c r="D14" s="31" t="n">
        <v>5</v>
      </c>
      <c r="E14" s="26" t="n"/>
      <c r="F14" s="32" t="n"/>
      <c r="G14" s="32" t="n"/>
      <c r="H14" s="19" t="n">
        <v>1</v>
      </c>
      <c r="I14" s="33">
        <f>60*D14/cruise_kt</f>
        <v/>
      </c>
      <c r="J14" s="33">
        <f>I14+turn_min+dwell_min</f>
        <v/>
      </c>
      <c r="K14" s="34">
        <f>MIN(16,FLOOR(60*service_hr/J14,1))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296000</v>
      </c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n"/>
      <c r="AX14" s="44" t="n"/>
    </row>
    <row r="15">
      <c r="A15" s="29" t="inlineStr">
        <is>
          <t>Yassir Tunisia</t>
        </is>
      </c>
      <c r="B15" s="29" t="inlineStr">
        <is>
          <t>Tunisia</t>
        </is>
      </c>
      <c r="C15" s="30" t="inlineStr">
        <is>
          <t>Tunis (La Goulette) → La Marsa / Gammarth</t>
        </is>
      </c>
      <c r="D15" s="31" t="n">
        <v>7</v>
      </c>
      <c r="E15" s="26" t="n"/>
      <c r="F15" s="32" t="n"/>
      <c r="G15" s="32" t="n"/>
      <c r="H15" s="19" t="n">
        <v>1</v>
      </c>
      <c r="I15" s="33">
        <f>60*D15/cruise_kt</f>
        <v/>
      </c>
      <c r="J15" s="33">
        <f>I15+turn_min+dwell_min</f>
        <v/>
      </c>
      <c r="K15" s="34">
        <f>MIN(16,FLOOR(60*service_hr/J15,1))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222000</v>
      </c>
      <c r="AH15" s="32" t="n"/>
      <c r="AI15" s="32" t="n"/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n"/>
      <c r="AX15" s="44" t="n"/>
    </row>
    <row r="16">
      <c r="A16" s="29" t="inlineStr">
        <is>
          <t>Yassir Tunisia</t>
        </is>
      </c>
      <c r="B16" s="29" t="inlineStr">
        <is>
          <t>Tunisia</t>
        </is>
      </c>
      <c r="C16" s="30" t="inlineStr">
        <is>
          <t>Yasmine Hammamet → Nabeul</t>
        </is>
      </c>
      <c r="D16" s="31" t="n">
        <v>7</v>
      </c>
      <c r="E16" s="26" t="n">
        <v>22</v>
      </c>
      <c r="F16" s="32" t="inlineStr">
        <is>
          <t>T2</t>
        </is>
      </c>
      <c r="G16" s="32" t="inlineStr">
        <is>
          <t>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MIN(10,FLOOR(60*service_hr/J16,1))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/>
      <c r="AH16" s="32" t="n"/>
      <c r="AI16" s="32" t="n"/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AX16" s="44" t="n"/>
    </row>
    <row r="17">
      <c r="A17" s="29" t="inlineStr">
        <is>
          <t>Yassir Tunisia</t>
        </is>
      </c>
      <c r="B17" s="29" t="inlineStr">
        <is>
          <t>Tunisia</t>
        </is>
      </c>
      <c r="C17" s="30" t="inlineStr">
        <is>
          <t>Sfax → Sidi Youssef (Kerkennah Islands)</t>
        </is>
      </c>
      <c r="D17" s="31" t="n">
        <v>11</v>
      </c>
      <c r="E17" s="26" t="n"/>
      <c r="F17" s="32" t="n"/>
      <c r="G17" s="32" t="n"/>
      <c r="H17" s="19" t="n">
        <v>1</v>
      </c>
      <c r="I17" s="33">
        <f>60*D17/cruise_kt</f>
        <v/>
      </c>
      <c r="J17" s="33">
        <f>I17+turn_min+dwell_min</f>
        <v/>
      </c>
      <c r="K17" s="34">
        <f>MIN(10,FLOOR(60*service_hr/J17,1))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1750000</v>
      </c>
      <c r="AH17" s="32" t="n"/>
      <c r="AI17" s="32" t="n"/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n"/>
      <c r="AX17" s="44" t="n"/>
    </row>
    <row r="18">
      <c r="A18" s="29" t="inlineStr">
        <is>
          <t>Yassir Tunisia</t>
        </is>
      </c>
      <c r="B18" s="29" t="inlineStr">
        <is>
          <t>Tunisia</t>
        </is>
      </c>
      <c r="C18" s="30" t="inlineStr">
        <is>
          <t>Sousse (Port El Kantaoui) → Monastir (Marina)</t>
        </is>
      </c>
      <c r="D18" s="31" t="n">
        <v>12</v>
      </c>
      <c r="E18" s="26" t="n">
        <v>32</v>
      </c>
      <c r="F18" s="32" t="inlineStr">
        <is>
          <t>T2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MIN(16,FLOOR(60*service_hr/J18,1))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344000</v>
      </c>
      <c r="AH18" s="32" t="n"/>
      <c r="AI18" s="32" t="n"/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AX18" s="44" t="n"/>
    </row>
    <row r="19">
      <c r="A19" s="45" t="inlineStr">
        <is>
          <t>TOTAL / median</t>
        </is>
      </c>
      <c r="T19" s="46">
        <f>SUM(T4:T18)</f>
        <v/>
      </c>
      <c r="AC19" s="46">
        <f>SUM(AC4:AC18)</f>
        <v/>
      </c>
      <c r="AD19" s="47">
        <f>IF(T19=0,"",AC19/T19)</f>
        <v/>
      </c>
      <c r="AL19" s="48">
        <f>SUM(AL4:AL18)</f>
        <v/>
      </c>
      <c r="AM19" s="46">
        <f>SUM(AM4:AM18)</f>
        <v/>
      </c>
    </row>
    <row r="21">
      <c r="A21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22">
      <c r="A22" s="24" t="inlineStr">
        <is>
          <t>Market</t>
        </is>
      </c>
      <c r="B22" s="24" t="inlineStr">
        <is>
          <t>Fleet basis</t>
        </is>
      </c>
      <c r="C22" s="24" t="inlineStr">
        <is>
          <t>Raw vessels (sum)</t>
        </is>
      </c>
      <c r="D22" s="24" t="inlineStr">
        <is>
          <t>Fleet (rounded once)</t>
        </is>
      </c>
      <c r="E22" s="24" t="inlineStr">
        <is>
          <t>Market rev/yr (raw sum)</t>
        </is>
      </c>
    </row>
    <row r="23">
      <c r="A23" s="25" t="inlineStr">
        <is>
          <t>Yassir Morocco</t>
        </is>
      </c>
      <c r="B23" s="13" t="inlineStr">
        <is>
          <t>aspirational</t>
        </is>
      </c>
      <c r="C23" s="13" t="inlineStr">
        <is>
          <t>—</t>
        </is>
      </c>
      <c r="D23" s="49">
        <f>SUMIFS(AL4:AL18,A4:A18,"Yassir Morocco",AP4:AP18,"=",AQ4:AQ18,"=",AR4:AR18,"=")</f>
        <v/>
      </c>
      <c r="E23" s="50">
        <f>SUMIFS(AM4:AM18,A4:A18,"Yassir Morocco",AP4:AP18,"=",AQ4:AQ18,"=",AR4:AR18,"=")</f>
        <v/>
      </c>
    </row>
    <row r="24">
      <c r="A24" s="25" t="inlineStr">
        <is>
          <t>Yassir Tunisia</t>
        </is>
      </c>
      <c r="B24" s="13" t="inlineStr">
        <is>
          <t>aspirational</t>
        </is>
      </c>
      <c r="C24" s="13" t="inlineStr">
        <is>
          <t>—</t>
        </is>
      </c>
      <c r="D24" s="49">
        <f>SUMIFS(AL4:AL18,A4:A18,"Yassir Tunisia",AP4:AP18,"=",AQ4:AQ18,"=",AR4:AR18,"=")</f>
        <v/>
      </c>
      <c r="E24" s="50">
        <f>SUMIFS(AM4:AM18,A4:A18,"Yassir Tunisia",AP4:AP18,"=",AQ4:AQ18,"=",AR4:AR18,"=")</f>
        <v/>
      </c>
    </row>
    <row r="25">
      <c r="A25" s="45" t="inlineStr">
        <is>
          <t>GROUNDED FLOOR (PUBLISHED)</t>
        </is>
      </c>
      <c r="D25" s="48">
        <f>SUM(D23:D24)</f>
        <v/>
      </c>
      <c r="E25" s="46">
        <f>SUM(E23:E24)</f>
        <v/>
      </c>
    </row>
    <row r="27">
      <c r="A27" s="51" t="inlineStr">
        <is>
          <t>Held for Quanta-LR (&gt;70nm, roadmap H2 2026+):</t>
        </is>
      </c>
      <c r="C27" s="52" t="inlineStr">
        <is>
          <t>Tunis (La Goulette) → Palermo (Sicily, Italy) (170nm)</t>
        </is>
      </c>
    </row>
    <row r="28">
      <c r="C28" s="52" t="inlineStr">
        <is>
          <t>Nador (Beni Ensar) → Almeria (Spain) (92nm)</t>
        </is>
      </c>
    </row>
  </sheetData>
  <mergeCells count="2">
    <mergeCell ref="A21:L21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0.09719999999999999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2026-06-21T07:08:56Z</dcterms:created>
  <dcterms:modified xsi:type="dcterms:W3CDTF">2026-06-21T07:08:56Z</dcterms:modified>
</cp:coreProperties>
</file>