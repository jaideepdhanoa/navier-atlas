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economics'!$D$27</definedName>
    <definedName name="som_floor_rev">'Corridor economics'!$E$27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Uber-India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India</t>
        </is>
      </c>
      <c r="B4" s="27" t="n">
        <v>19000</v>
      </c>
      <c r="C4" s="28" t="n">
        <v>0.08500000000000001</v>
      </c>
      <c r="D4" s="20" t="n">
        <v>0.727</v>
      </c>
      <c r="E4" s="27" t="n">
        <v>10000</v>
      </c>
      <c r="F4" s="20" t="n">
        <v>0.5</v>
      </c>
      <c r="G4" s="27" t="n">
        <v>600000</v>
      </c>
      <c r="H4" s="15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3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Uber-India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India Kolkata Uber India</t>
        </is>
      </c>
      <c r="B4" s="31" t="inlineStr">
        <is>
          <t>India</t>
        </is>
      </c>
      <c r="C4" s="32" t="inlineStr">
        <is>
          <t>Howrah Ferry Ghat → Fairlie Place Ferry</t>
        </is>
      </c>
      <c r="D4" s="33" t="n">
        <v>0.8</v>
      </c>
      <c r="E4" s="27" t="n">
        <v>18</v>
      </c>
      <c r="F4" s="34" t="n"/>
      <c r="G4" s="34" t="n"/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1600000</v>
      </c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 xml:space="preserve">[LB-255 PREMIUM RE-FARE: subsidized comparable $2.5 lifted to premium on-demand floor $18.0] </t>
        </is>
      </c>
      <c r="AZ4" s="46" t="n"/>
      <c r="BA4" s="34" t="inlineStr">
        <is>
          <t>rn-97202b12d2ce</t>
        </is>
      </c>
    </row>
    <row r="5">
      <c r="A5" s="31" t="inlineStr">
        <is>
          <t>India Kolkata Uber India</t>
        </is>
      </c>
      <c r="B5" s="31" t="inlineStr">
        <is>
          <t>India</t>
        </is>
      </c>
      <c r="C5" s="32" t="inlineStr">
        <is>
          <t>Howrah Ferry Ghat → Millennium Park Jetty</t>
        </is>
      </c>
      <c r="D5" s="33" t="n">
        <v>0.9</v>
      </c>
      <c r="E5" s="27" t="n">
        <v>18</v>
      </c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1600000</v>
      </c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 xml:space="preserve">[LB-255 PREMIUM RE-FARE: subsidized comparable $2.5 lifted to premium on-demand floor $18.0] </t>
        </is>
      </c>
      <c r="AZ5" s="46" t="n"/>
      <c r="BA5" s="34" t="inlineStr">
        <is>
          <t>rn-e9a7f7e474e3</t>
        </is>
      </c>
    </row>
    <row r="6">
      <c r="A6" s="31" t="inlineStr">
        <is>
          <t>India Kolkata Uber India</t>
        </is>
      </c>
      <c r="B6" s="31" t="inlineStr">
        <is>
          <t>India</t>
        </is>
      </c>
      <c r="C6" s="32" t="inlineStr">
        <is>
          <t>Dakshineswar Ferry Ghat → Belur Math Ferry Ghat</t>
        </is>
      </c>
      <c r="D6" s="33" t="n">
        <v>1.3</v>
      </c>
      <c r="E6" s="27" t="n">
        <v>18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1600000</v>
      </c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 xml:space="preserve">[LB-255 PREMIUM RE-FARE: subsidized comparable $2.5 lifted to premium on-demand floor $18.0] </t>
        </is>
      </c>
      <c r="AZ6" s="46" t="n"/>
      <c r="BA6" s="34" t="inlineStr">
        <is>
          <t>rn-b44cfaae1be2</t>
        </is>
      </c>
    </row>
    <row r="7">
      <c r="A7" s="31" t="inlineStr">
        <is>
          <t>India Kolkata Uber India</t>
        </is>
      </c>
      <c r="B7" s="31" t="inlineStr">
        <is>
          <t>India</t>
        </is>
      </c>
      <c r="C7" s="32" t="inlineStr">
        <is>
          <t>Fairlie Place Ferry → Bagbazar Ghat</t>
        </is>
      </c>
      <c r="D7" s="33" t="n">
        <v>1.7</v>
      </c>
      <c r="E7" s="27" t="n">
        <v>18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1600000</v>
      </c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 xml:space="preserve">[LB-255 PREMIUM RE-FARE: subsidized comparable $2.5 lifted to premium on-demand floor $18.0] </t>
        </is>
      </c>
      <c r="AZ7" s="46" t="n"/>
      <c r="BA7" s="34" t="inlineStr">
        <is>
          <t>rn-46a91df66302</t>
        </is>
      </c>
    </row>
    <row r="8">
      <c r="A8" s="31" t="inlineStr">
        <is>
          <t>Uber Mumbai</t>
        </is>
      </c>
      <c r="B8" s="31" t="inlineStr">
        <is>
          <t>India</t>
        </is>
      </c>
      <c r="C8" s="32" t="inlineStr">
        <is>
          <t>Bombay Harbour → Elephanta Caves</t>
        </is>
      </c>
      <c r="D8" s="33" t="n">
        <v>3.2</v>
      </c>
      <c r="E8" s="27" t="n"/>
      <c r="F8" s="34" t="inlineStr">
        <is>
          <t>T3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inlineStr">
        <is>
          <t>T3</t>
        </is>
      </c>
      <c r="AJ8" s="34" t="inlineStr">
        <is>
          <t>partial-load-anchor-only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Upside tier</t>
        </is>
      </c>
      <c r="AS8" s="43" t="n"/>
      <c r="AT8" s="43" t="inlineStr">
        <is>
          <t>experience_upside</t>
        </is>
      </c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8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8" s="34" t="inlineStr">
        <is>
          <t>ics-d1cada0928</t>
        </is>
      </c>
    </row>
    <row r="9">
      <c r="A9" s="31" t="inlineStr">
        <is>
          <t>India Chennai Uber India</t>
        </is>
      </c>
      <c r="B9" s="31" t="inlineStr">
        <is>
          <t>India</t>
        </is>
      </c>
      <c r="C9" s="32" t="inlineStr">
        <is>
          <t>Chennai Port WQIV Cruise Terminal → Marina Beach Waterfront</t>
        </is>
      </c>
      <c r="D9" s="33" t="n">
        <v>3.2</v>
      </c>
      <c r="E9" s="27" t="n">
        <v>12</v>
      </c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400000</v>
      </c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n"/>
      <c r="AZ9" s="46" t="n"/>
      <c r="BA9" s="34" t="inlineStr">
        <is>
          <t>rn-6e53a9fad2f1</t>
        </is>
      </c>
    </row>
    <row r="10">
      <c r="A10" s="31" t="inlineStr">
        <is>
          <t>Uber Mumbai</t>
        </is>
      </c>
      <c r="B10" s="31" t="inlineStr">
        <is>
          <t>India</t>
        </is>
      </c>
      <c r="C10" s="32" t="inlineStr">
        <is>
          <t>Gateway of India → Mumbai Harbour</t>
        </is>
      </c>
      <c r="D10" s="33" t="n">
        <v>3.5</v>
      </c>
      <c r="E10" s="27" t="n"/>
      <c r="F10" s="34" t="inlineStr">
        <is>
          <t>T3</t>
        </is>
      </c>
      <c r="G10" s="34" t="inlineStr">
        <is>
          <t>med-low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/>
      <c r="AI10" s="34" t="inlineStr">
        <is>
          <t>T3</t>
        </is>
      </c>
      <c r="AJ10" s="34" t="inlineStr">
        <is>
          <t>partial-load-anchor-only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Upside tier</t>
        </is>
      </c>
      <c r="AS10" s="43" t="n"/>
      <c r="AT10" s="43" t="inlineStr">
        <is>
          <t>experience_upside</t>
        </is>
      </c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0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0" s="34" t="inlineStr">
        <is>
          <t>ics-3964e5583e</t>
        </is>
      </c>
    </row>
    <row r="11">
      <c r="A11" s="31" t="inlineStr">
        <is>
          <t>Uber Mumbai</t>
        </is>
      </c>
      <c r="B11" s="31" t="inlineStr">
        <is>
          <t>India</t>
        </is>
      </c>
      <c r="C11" s="32" t="inlineStr">
        <is>
          <t>Mora → Elephanta Caves</t>
        </is>
      </c>
      <c r="D11" s="33" t="n">
        <v>3.8</v>
      </c>
      <c r="E11" s="27" t="n"/>
      <c r="F11" s="34" t="inlineStr">
        <is>
          <t>T3</t>
        </is>
      </c>
      <c r="G11" s="34" t="inlineStr">
        <is>
          <t>med-low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inlineStr">
        <is>
          <t>T3</t>
        </is>
      </c>
      <c r="AJ11" s="34" t="inlineStr">
        <is>
          <t>partial-load-anchor-only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Upside tier</t>
        </is>
      </c>
      <c r="AS11" s="43" t="n"/>
      <c r="AT11" s="43" t="inlineStr">
        <is>
          <t>experience_upside</t>
        </is>
      </c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1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1" s="34" t="inlineStr">
        <is>
          <t>ics-997116ff5d</t>
        </is>
      </c>
    </row>
    <row r="12">
      <c r="A12" s="31" t="inlineStr">
        <is>
          <t>Uber Mumbai</t>
        </is>
      </c>
      <c r="B12" s="31" t="inlineStr">
        <is>
          <t>India</t>
        </is>
      </c>
      <c r="C12" s="32" t="inlineStr">
        <is>
          <t>BSA Mandwa → Marina Bay Bistro @KARANJA Fishing Dock</t>
        </is>
      </c>
      <c r="D12" s="33" t="n">
        <v>4.5</v>
      </c>
      <c r="E12" s="27" t="n"/>
      <c r="F12" s="34" t="inlineStr">
        <is>
          <t>T3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/>
      <c r="AI12" s="34" t="inlineStr">
        <is>
          <t>T3</t>
        </is>
      </c>
      <c r="AJ12" s="34" t="inlineStr">
        <is>
          <t>partial-load-anchor-only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Upside tier</t>
        </is>
      </c>
      <c r="AS12" s="43" t="n"/>
      <c r="AT12" s="43" t="inlineStr">
        <is>
          <t>experience_upside</t>
        </is>
      </c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2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2" s="34" t="inlineStr">
        <is>
          <t>ics-91a8902d18</t>
        </is>
      </c>
    </row>
    <row r="13">
      <c r="A13" s="31" t="inlineStr">
        <is>
          <t>Uber Mumbai</t>
        </is>
      </c>
      <c r="B13" s="31" t="inlineStr">
        <is>
          <t>India</t>
        </is>
      </c>
      <c r="C13" s="32" t="inlineStr">
        <is>
          <t>Mandwa Jetty → Mumbai Harbour</t>
        </is>
      </c>
      <c r="D13" s="33" t="n">
        <v>4.6</v>
      </c>
      <c r="E13" s="27" t="n"/>
      <c r="F13" s="34" t="inlineStr">
        <is>
          <t>T3</t>
        </is>
      </c>
      <c r="G13" s="34" t="inlineStr">
        <is>
          <t>med-low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/>
      <c r="AI13" s="34" t="inlineStr">
        <is>
          <t>T3</t>
        </is>
      </c>
      <c r="AJ13" s="34" t="inlineStr">
        <is>
          <t>partial-load-anchor-only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Upside tier</t>
        </is>
      </c>
      <c r="AS13" s="43" t="n"/>
      <c r="AT13" s="43" t="inlineStr">
        <is>
          <t>experience_upside</t>
        </is>
      </c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3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3" s="34" t="inlineStr">
        <is>
          <t>ics-10990b64b9</t>
        </is>
      </c>
    </row>
    <row r="14">
      <c r="A14" s="31" t="inlineStr">
        <is>
          <t>Uber Mumbai</t>
        </is>
      </c>
      <c r="B14" s="31" t="inlineStr">
        <is>
          <t>India</t>
        </is>
      </c>
      <c r="C14" s="32" t="inlineStr">
        <is>
          <t>Elephanta Caves → Mumbai Trans-Harbour Navi Mumbai Toll Plaza</t>
        </is>
      </c>
      <c r="D14" s="33" t="n">
        <v>5.6</v>
      </c>
      <c r="E14" s="27" t="n"/>
      <c r="F14" s="34" t="inlineStr">
        <is>
          <t>T3</t>
        </is>
      </c>
      <c r="G14" s="34" t="inlineStr">
        <is>
          <t>med-low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inlineStr">
        <is>
          <t>T3</t>
        </is>
      </c>
      <c r="AJ14" s="34" t="inlineStr">
        <is>
          <t>partial-load-anchor-only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Upside tier</t>
        </is>
      </c>
      <c r="AS14" s="43" t="n"/>
      <c r="AT14" s="43" t="inlineStr">
        <is>
          <t>experience_upside</t>
        </is>
      </c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4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4" s="34" t="inlineStr">
        <is>
          <t>ics-6a150e9b8e</t>
        </is>
      </c>
    </row>
    <row r="15">
      <c r="A15" s="31" t="inlineStr">
        <is>
          <t>Uber Mumbai</t>
        </is>
      </c>
      <c r="B15" s="31" t="inlineStr">
        <is>
          <t>India</t>
        </is>
      </c>
      <c r="C15" s="32" t="inlineStr">
        <is>
          <t>JNPT Ferry Service → Mumbai Trans-Harbour Navi Mumbai Toll Plaza</t>
        </is>
      </c>
      <c r="D15" s="33" t="n">
        <v>5.9</v>
      </c>
      <c r="E15" s="27" t="n"/>
      <c r="F15" s="34" t="inlineStr">
        <is>
          <t>T3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/>
      <c r="AI15" s="34" t="inlineStr">
        <is>
          <t>T3</t>
        </is>
      </c>
      <c r="AJ15" s="34" t="inlineStr">
        <is>
          <t>partial-load-anchor-only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Upside tier</t>
        </is>
      </c>
      <c r="AS15" s="43" t="n"/>
      <c r="AT15" s="43" t="inlineStr">
        <is>
          <t>experience_upside</t>
        </is>
      </c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5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5" s="34" t="inlineStr">
        <is>
          <t>ics-971049e54f</t>
        </is>
      </c>
    </row>
    <row r="16">
      <c r="A16" s="31" t="inlineStr">
        <is>
          <t>Uber Mumbai</t>
        </is>
      </c>
      <c r="B16" s="31" t="inlineStr">
        <is>
          <t>India</t>
        </is>
      </c>
      <c r="C16" s="32" t="inlineStr">
        <is>
          <t>Pirpau Jetty → Mumbai Trans-Harbour Navi Mumbai Toll Plaza</t>
        </is>
      </c>
      <c r="D16" s="33" t="n">
        <v>6.2</v>
      </c>
      <c r="E16" s="27" t="n"/>
      <c r="F16" s="34" t="inlineStr">
        <is>
          <t>T3</t>
        </is>
      </c>
      <c r="G16" s="34" t="inlineStr">
        <is>
          <t>med-low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/>
      <c r="AI16" s="34" t="inlineStr">
        <is>
          <t>T3</t>
        </is>
      </c>
      <c r="AJ16" s="34" t="inlineStr">
        <is>
          <t>partial-load-anchor-only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Upside tier</t>
        </is>
      </c>
      <c r="AS16" s="43" t="n"/>
      <c r="AT16" s="43" t="inlineStr">
        <is>
          <t>experience_upside</t>
        </is>
      </c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6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6" s="34" t="inlineStr">
        <is>
          <t>ics-ed747a4789</t>
        </is>
      </c>
    </row>
    <row r="17">
      <c r="A17" s="31" t="inlineStr">
        <is>
          <t>Uber Mumbai</t>
        </is>
      </c>
      <c r="B17" s="31" t="inlineStr">
        <is>
          <t>India</t>
        </is>
      </c>
      <c r="C17" s="32" t="inlineStr">
        <is>
          <t>Mumbai Harbour → Mandwa Jetty</t>
        </is>
      </c>
      <c r="D17" s="33" t="n">
        <v>7.9</v>
      </c>
      <c r="E17" s="27" t="n"/>
      <c r="F17" s="34" t="inlineStr">
        <is>
          <t>T3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inlineStr">
        <is>
          <t>T3</t>
        </is>
      </c>
      <c r="AJ17" s="34" t="inlineStr">
        <is>
          <t>partial-load-anchor-only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Upside tier</t>
        </is>
      </c>
      <c r="AS17" s="43" t="n"/>
      <c r="AT17" s="43" t="inlineStr">
        <is>
          <t>experience_upside</t>
        </is>
      </c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7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7" s="34" t="inlineStr">
        <is>
          <t>ics-45ea784fef</t>
        </is>
      </c>
    </row>
    <row r="18">
      <c r="A18" s="31" t="inlineStr">
        <is>
          <t>Uber Mumbai</t>
        </is>
      </c>
      <c r="B18" s="31" t="inlineStr">
        <is>
          <t>India</t>
        </is>
      </c>
      <c r="C18" s="32" t="inlineStr">
        <is>
          <t>Versova Ferry Wharf → Gateway of India</t>
        </is>
      </c>
      <c r="D18" s="33" t="n">
        <v>12.43</v>
      </c>
      <c r="E18" s="27" t="n"/>
      <c r="F18" s="34" t="inlineStr">
        <is>
          <t>T3</t>
        </is>
      </c>
      <c r="G18" s="34" t="inlineStr">
        <is>
          <t>med-low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/>
      <c r="AI18" s="34" t="inlineStr">
        <is>
          <t>T3</t>
        </is>
      </c>
      <c r="AJ18" s="34" t="inlineStr">
        <is>
          <t>partial-load-anchor-only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Upside tier</t>
        </is>
      </c>
      <c r="AS18" s="43" t="n"/>
      <c r="AT18" s="43" t="inlineStr">
        <is>
          <t>experience_upside</t>
        </is>
      </c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18" s="46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  <c r="BA18" s="34" t="inlineStr">
        <is>
          <t>ics-mum-versova-gateway</t>
        </is>
      </c>
    </row>
    <row r="19">
      <c r="A19" s="31" t="inlineStr">
        <is>
          <t>India Kolkata Uber India</t>
        </is>
      </c>
      <c r="B19" s="31" t="inlineStr">
        <is>
          <t>India</t>
        </is>
      </c>
      <c r="C19" s="32" t="inlineStr">
        <is>
          <t>Millennium Park Jetty → Chandannagar Riverfront</t>
        </is>
      </c>
      <c r="D19" s="33" t="n">
        <v>17.9</v>
      </c>
      <c r="E19" s="27" t="n">
        <v>18</v>
      </c>
      <c r="F19" s="34" t="n"/>
      <c r="G19" s="34" t="n"/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1600000</v>
      </c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 xml:space="preserve">[LB-255 PREMIUM RE-FARE: subsidized comparable $2.5 lifted to premium on-demand floor $18.0] </t>
        </is>
      </c>
      <c r="AZ19" s="46" t="n"/>
      <c r="BA19" s="34" t="inlineStr">
        <is>
          <t>rn-174af2f4a97c</t>
        </is>
      </c>
    </row>
    <row r="20">
      <c r="A20" s="47" t="inlineStr">
        <is>
          <t>TOTAL / median</t>
        </is>
      </c>
      <c r="U20" s="48">
        <f>SUM(U4:U19)</f>
        <v/>
      </c>
      <c r="AD20" s="48">
        <f>SUM(AD4:AD19)</f>
        <v/>
      </c>
      <c r="AE20" s="49">
        <f>IF(U20=0,"",AD20/U20)</f>
        <v/>
      </c>
      <c r="AM20" s="50">
        <f>SUM(AM4:AM19)</f>
        <v/>
      </c>
      <c r="AN20" s="48">
        <f>SUM(AN4:AN19)</f>
        <v/>
      </c>
    </row>
    <row r="22">
      <c r="A22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3">
      <c r="A23" s="25" t="inlineStr">
        <is>
          <t>Market</t>
        </is>
      </c>
      <c r="B23" s="25" t="inlineStr">
        <is>
          <t>Fleet basis</t>
        </is>
      </c>
      <c r="C23" s="25" t="inlineStr">
        <is>
          <t>Raw vessels (sum)</t>
        </is>
      </c>
      <c r="D23" s="25" t="inlineStr">
        <is>
          <t>Fleet (rounded once)</t>
        </is>
      </c>
      <c r="E23" s="25" t="inlineStr">
        <is>
          <t>Market rev/yr (raw sum)</t>
        </is>
      </c>
    </row>
    <row r="24">
      <c r="A24" s="26" t="inlineStr">
        <is>
          <t>India Kolkata Uber India</t>
        </is>
      </c>
      <c r="B24" s="14" t="inlineStr">
        <is>
          <t>network_sum</t>
        </is>
      </c>
      <c r="C24" s="24">
        <f>SUMIFS(AO4:AO19,A4:A19,"India Kolkata Uber India",AQ4:AQ19,"=",AR4:AR19,"Grounded")</f>
        <v/>
      </c>
      <c r="D24" s="51">
        <f>ROUND(C24,0)</f>
        <v/>
      </c>
      <c r="E24" s="52">
        <f>SUMIFS(AP4:AP19,A4:A19,"India Kolkata Uber India",AQ4:AQ19,"=",AR4:AR19,"Grounded")</f>
        <v/>
      </c>
    </row>
    <row r="25">
      <c r="A25" s="26" t="inlineStr">
        <is>
          <t>Uber Mumbai</t>
        </is>
      </c>
      <c r="B25" s="14" t="inlineStr">
        <is>
          <t>per_corridor_floor</t>
        </is>
      </c>
      <c r="C25" s="14" t="inlineStr">
        <is>
          <t>—</t>
        </is>
      </c>
      <c r="D25" s="51">
        <f>SUMIFS(AM4:AM19,A4:A19,"Uber Mumbai",AQ4:AQ19,"=",AR4:AR19,"Grounded")</f>
        <v/>
      </c>
      <c r="E25" s="52">
        <f>SUMIFS(AN4:AN19,A4:A19,"Uber Mumbai",AQ4:AQ19,"=",AR4:AR19,"Grounded")</f>
        <v/>
      </c>
    </row>
    <row r="26">
      <c r="A26" s="26" t="inlineStr">
        <is>
          <t>India Chennai Uber India</t>
        </is>
      </c>
      <c r="B26" s="14" t="inlineStr">
        <is>
          <t>network_sum</t>
        </is>
      </c>
      <c r="C26" s="24">
        <f>SUMIFS(AO4:AO19,A4:A19,"India Chennai Uber India",AQ4:AQ19,"=",AR4:AR19,"Grounded")</f>
        <v/>
      </c>
      <c r="D26" s="51">
        <f>ROUND(C26,0)</f>
        <v/>
      </c>
      <c r="E26" s="52">
        <f>SUMIFS(AP4:AP19,A4:A19,"India Chennai Uber India",AQ4:AQ19,"=",AR4:AR19,"Grounded")</f>
        <v/>
      </c>
    </row>
    <row r="27">
      <c r="A27" s="47" t="inlineStr">
        <is>
          <t>GROUNDED FLOOR (PUBLISHED)</t>
        </is>
      </c>
      <c r="D27" s="50">
        <f>SUM(D24:D26)</f>
        <v/>
      </c>
      <c r="E27" s="48">
        <f>SUM(E24:E26)</f>
        <v/>
      </c>
    </row>
    <row r="28">
      <c r="A28" s="21" t="inlineStr">
        <is>
          <t>ESTIMATED UPSIDE (LB-99 modal-shift / experience-upside tiers; held OUT of grounded floor)</t>
        </is>
      </c>
      <c r="D28" s="53">
        <f>SUMIF(AR4:AR19,"Upside tier",AM4:AM19)</f>
        <v/>
      </c>
      <c r="E28" s="54">
        <f>SUMIF(AR4:AR19,"Upside tier",AN4:AN19)</f>
        <v/>
      </c>
    </row>
    <row r="30">
      <c r="A30" s="55" t="inlineStr">
        <is>
          <t>Held for Quanta-LR (&gt;70nm, roadmap H2 2026+):</t>
        </is>
      </c>
      <c r="C30" s="56" t="inlineStr">
        <is>
          <t>Chennai Port WQIV Cruise Terminal → Cuddalore Port (90.0nm)</t>
        </is>
      </c>
    </row>
    <row r="31">
      <c r="C31" s="56" t="inlineStr">
        <is>
          <t>Chennai Port WQIV Cruise Terminal → Puducherry Port (76.6nm)</t>
        </is>
      </c>
    </row>
  </sheetData>
  <mergeCells count="2">
    <mergeCell ref="A22:L2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economics'!$AR$4:$AR$19="Grounded"),'Corridor economics'!$AH$4:$AH$19,'Corridor economics'!$E$4:$E$19),0))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economics'!$AR$4:$AR$19="Grounded"),'Corridor economics'!$AH$4:$AH$19,'Corridor economics'!$E$4:$E$19),0)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2026-07-20T06:56:58Z</dcterms:created>
  <dcterms:modified xsi:type="dcterms:W3CDTF">2026-07-20T06:56:58Z</dcterms:modified>
</cp:coreProperties>
</file>