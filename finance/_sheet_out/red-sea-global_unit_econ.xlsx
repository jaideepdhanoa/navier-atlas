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economics'!$D$16</definedName>
    <definedName name="som_floor_rev">'Corridor economics'!$E$16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Red-Sea-Global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Saudi Arabia</t>
        </is>
      </c>
      <c r="B4" s="27" t="n">
        <v>42000</v>
      </c>
      <c r="C4" s="28" t="n">
        <v>0.074</v>
      </c>
      <c r="D4" s="20" t="n">
        <v>0.57</v>
      </c>
      <c r="E4" s="27" t="n">
        <v>18000</v>
      </c>
      <c r="F4" s="20" t="n">
        <v>0.68</v>
      </c>
      <c r="G4" s="27" t="n">
        <v>600000</v>
      </c>
      <c r="H4" s="15" t="inlineStr">
        <is>
          <t>GCC expat marine crew. Job ads (Instagram/Facebook 2026): yacht/boat captain SAR 7,000-10,000/mo (~$1,870-2,670/mo); ERI SalaryExpert boat captain avg SAR 203,728/yr (~$54k, high-side single qualified). Blended 1 commercial tourism-boat captain (~SAR 8,500/mo) + deckhand (~SAR 3,500/mo) fully-loaded (housing/food/visa typically provided) ~= SAR 157k = ~$42k/vessel/yr @3.75. High-income GCC; just below Singapore $48k. | HEAVILY SUBSIDIZED. SEC/SERA commercial tariff: SAR 0.22/kWh up to 6,000 kWh/mo, SAR 0.32 above (clenergize/SEC 2025). GlobalPetrolPrices business SAR 0.277 = $0.074 (Sep 2025). Anchored $0.074. Floor (low-band) ~$0.059, ceiling (high-band SAR 0.32) ~$0.085. @SAR 3.75 (pegged). | Modeled berth+insurance+admin/vessel/yr. New premium Red Sea Global / NEOM marinas (Shura, Sindalah 86-berth) are high-cost GCC marine ops; above Taiwan $14k, below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Red-Sea-Global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Saudi – Red Sea (Resort)</t>
        </is>
      </c>
      <c r="B4" s="31" t="inlineStr">
        <is>
          <t>Saudi Arabia</t>
        </is>
      </c>
      <c r="C4" s="32" t="inlineStr">
        <is>
          <t>Jeddah Corniche → Jeddah Central (PIF waterfront)</t>
        </is>
      </c>
      <c r="D4" s="33" t="n">
        <v>2.4</v>
      </c>
      <c r="E4" s="27" t="n">
        <v>60</v>
      </c>
      <c r="F4" s="34" t="inlineStr">
        <is>
          <t>T5</t>
        </is>
      </c>
      <c r="G4" s="34" t="inlineStr">
        <is>
          <t>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inlineStr">
        <is>
          <t>T5</t>
        </is>
      </c>
      <c r="AJ4" s="34" t="inlineStr">
        <is>
          <t>low</t>
        </is>
      </c>
      <c r="AK4" s="41" t="n">
        <v>0.9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Premium urban/coastal water-transfer comparable (Dubai/Gulf premium water-taxi tier ~$40-80/pax). Jeddah Central is a $20B PIF waterfront (5.7km2, marina/oceanarium/beaches, opening ~2027). No incumbent water transit -&gt; modeled premium per-seat $60.</t>
        </is>
      </c>
      <c r="AZ4" s="46" t="inlineStr">
        <is>
          <t>NULL (R2). No published Jeddah Central on-corridor / water-transit visitor target. Saudi national arrivals (100M 2024, target 150M 2030) and Jeddah city arrivals are AIR/ROAD-based (R3 strong mode mismatch) -&gt; not on-water crossing ridership. ALSO R6 FLAG: 45nm is geographically implausible for an intra-Jeddah Corniche&lt;-&gt;Jeddah Central waterfront hop (~few km apart) - likely a distance/routing artifact; report to parent.</t>
        </is>
      </c>
      <c r="BA4" s="34" t="inlineStr">
        <is>
          <t>gcn-adcdd3d09c-red-sea-global</t>
        </is>
      </c>
    </row>
    <row r="5">
      <c r="A5" s="31" t="inlineStr">
        <is>
          <t>Saudi – Red Sea (Resort)</t>
        </is>
      </c>
      <c r="B5" s="31" t="inlineStr">
        <is>
          <t>Saudi Arabia</t>
        </is>
      </c>
      <c r="C5" s="32" t="inlineStr">
        <is>
          <t>Outer-island resort → Outer-island resort cluster (Nujuma / Jumeirah / St Regis)</t>
        </is>
      </c>
      <c r="D5" s="33" t="n">
        <v>9.699999999999999</v>
      </c>
      <c r="E5" s="27" t="n">
        <v>125</v>
      </c>
      <c r="F5" s="34" t="inlineStr">
        <is>
          <t>T5</t>
        </is>
      </c>
      <c r="G5" s="34" t="inlineStr">
        <is>
          <t>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150000</v>
      </c>
      <c r="AI5" s="34" t="inlineStr">
        <is>
          <t>T5</t>
        </is>
      </c>
      <c r="AJ5" s="34" t="inlineStr">
        <is>
          <t>low</t>
        </is>
      </c>
      <c r="AK5" s="41" t="n">
        <v>0.9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Forward SAM</t>
        </is>
      </c>
      <c r="AS5" s="43" t="inlineStr">
        <is>
          <t>FWD-SAM (2030)</t>
        </is>
      </c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12nm short intra-resort island hop -&gt; premium per-seat $125.</t>
        </is>
      </c>
      <c r="AZ5" s="46" t="inlineStr">
        <is>
          <t>Subset of RSG 1M/yr visitor cap doing outer-island-to-outer-island hops (not the main arrival leg). Modeled ~15% of the 1M pool ~150k. Speculative which guests hop islands; R2 borderline.</t>
        </is>
      </c>
      <c r="BA5" s="34" t="inlineStr">
        <is>
          <t>rn-bf62436314eb</t>
        </is>
      </c>
    </row>
    <row r="6">
      <c r="A6" s="31" t="inlineStr">
        <is>
          <t>Saudi – Red Sea (Resort)</t>
        </is>
      </c>
      <c r="B6" s="31" t="inlineStr">
        <is>
          <t>Saudi Arabia</t>
        </is>
      </c>
      <c r="C6" s="32" t="inlineStr">
        <is>
          <t>Shura Island Marina → Outer-island resorts (St Regis / Nujuma / Shebara)</t>
        </is>
      </c>
      <c r="D6" s="33" t="n">
        <v>11.5</v>
      </c>
      <c r="E6" s="27" t="n">
        <v>175</v>
      </c>
      <c r="F6" s="34" t="inlineStr">
        <is>
          <t>T5</t>
        </is>
      </c>
      <c r="G6" s="34" t="inlineStr">
        <is>
          <t>low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500000</v>
      </c>
      <c r="AI6" s="34" t="inlineStr">
        <is>
          <t>T2</t>
        </is>
      </c>
      <c r="AJ6" s="34" t="inlineStr">
        <is>
          <t>low-med</t>
        </is>
      </c>
      <c r="AK6" s="41" t="n">
        <v>0.9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Forward SAM</t>
        </is>
      </c>
      <c r="AS6" s="43" t="inlineStr">
        <is>
          <t>FWD-SAM (2030)</t>
        </is>
      </c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25nm outer-island luxury resort transfer -&gt; premium per-seat $175.</t>
        </is>
      </c>
      <c r="AZ6" s="46" t="inlineStr">
        <is>
          <t>Red Sea Global / The Red Sea destination capped at 1,000,000 visitors/yr at full completion 2030 across 50 resorts/8,000+ keys (RSG official; Monaco Yacht Show factsheet 2025; blooloop; ICWA). Shura Island hub-&gt;outer-island resorts is THE primary internal transfer leg; R3 discount ~50% (not all resorts outer-island; some mainland/nearshore) -&gt; ~500k 1-way.</t>
        </is>
      </c>
      <c r="BA6" s="34" t="inlineStr">
        <is>
          <t>rn-1a140dacd3e6</t>
        </is>
      </c>
    </row>
    <row r="7">
      <c r="A7" s="31" t="inlineStr">
        <is>
          <t>Saudi – Red Sea (Resort)</t>
        </is>
      </c>
      <c r="B7" s="31" t="inlineStr">
        <is>
          <t>Saudi Arabia</t>
        </is>
      </c>
      <c r="C7" s="32" t="inlineStr">
        <is>
          <t>Jeddah Corniche → Jeddah Yacht Club &amp; Marina</t>
        </is>
      </c>
      <c r="D7" s="33" t="n">
        <v>12</v>
      </c>
      <c r="E7" s="27" t="n"/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0.9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n"/>
      <c r="BA7" s="34" t="inlineStr">
        <is>
          <t>gcn-d2e312b625-red-sea-global</t>
        </is>
      </c>
    </row>
    <row r="8">
      <c r="A8" s="31" t="inlineStr">
        <is>
          <t>Saudi – Red Sea (Resort)</t>
        </is>
      </c>
      <c r="B8" s="31" t="inlineStr">
        <is>
          <t>Saudi Arabia</t>
        </is>
      </c>
      <c r="C8" s="32" t="inlineStr">
        <is>
          <t>Khobar / Dammam (Eastern Province) → Manama, Bahrain</t>
        </is>
      </c>
      <c r="D8" s="33" t="n">
        <v>18.6</v>
      </c>
      <c r="E8" s="27" t="n">
        <v>80</v>
      </c>
      <c r="F8" s="34" t="inlineStr">
        <is>
          <t>T5</t>
        </is>
      </c>
      <c r="G8" s="34" t="inlineStr">
        <is>
          <t>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330000</v>
      </c>
      <c r="AI8" s="34" t="inlineStr">
        <is>
          <t>T3</t>
        </is>
      </c>
      <c r="AJ8" s="34" t="inlineStr">
        <is>
          <t>low</t>
        </is>
      </c>
      <c r="AK8" s="41" t="n">
        <v>0.9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No passenger ferry on this 25nm cross-Gulf crossing today (everyone DRIVES the King Fahd Causeway). Premium per-seat cross-Gulf fast transfer modeled on Gulf premium intercity/business transfer tier -&gt; $80. R16 home-port opex = Saudi Arabia.</t>
        </is>
      </c>
      <c r="AZ8" s="46" t="inlineStr">
        <is>
          <t>King Fahd Causeway carried a RECORD 33,000,000 passengers in 2024 (Gulf News; ~52,450/day, +7%/yr) - but that is ROAD traffic (R3 strong mode mismatch). Do NOT claim full causeway volume. Addressable premium MARINE subset only: modeled ~1% of 33M = ~330k/yr 1-way (time-sensitive premium travelers who'd pay for a fast boat vs causeway congestion).</t>
        </is>
      </c>
      <c r="BA8" s="34" t="inlineStr">
        <is>
          <t>gcn-7aa2645694-red-sea-global</t>
        </is>
      </c>
    </row>
    <row r="9">
      <c r="A9" s="31" t="inlineStr">
        <is>
          <t>Saudi – Red Sea (Resort)</t>
        </is>
      </c>
      <c r="B9" s="31" t="inlineStr">
        <is>
          <t>Saudi Arabia</t>
        </is>
      </c>
      <c r="C9" s="32" t="inlineStr">
        <is>
          <t>The Red Sea → AMAALA (Triple Bay)</t>
        </is>
      </c>
      <c r="D9" s="33" t="n">
        <v>29.4</v>
      </c>
      <c r="E9" s="27" t="n">
        <v>250</v>
      </c>
      <c r="F9" s="34" t="inlineStr">
        <is>
          <t>T5</t>
        </is>
      </c>
      <c r="G9" s="34" t="inlineStr">
        <is>
          <t>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500000</v>
      </c>
      <c r="AI9" s="34" t="inlineStr">
        <is>
          <t>T4</t>
        </is>
      </c>
      <c r="AJ9" s="34" t="inlineStr">
        <is>
          <t>low</t>
        </is>
      </c>
      <c r="AK9" s="41" t="n">
        <v>0.9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80nm luxury inter-destination leg - flight/seaplane-substituted (R12). Anchored on Maldives seaplane tier ($300-600 RT ~ $200-300 1-way) -&gt; premium per-seat ~$250. Held-out Quanta-LR roadmap leg.</t>
        </is>
      </c>
      <c r="AZ9" s="46" t="inlineStr">
        <is>
          <t>AMAALA target ~500k/yr (The Red Sea + AMAALA combined aim ~1.5M visitors/yr; The Red Sea =1M -&gt; AMAALA ~0.5M). AMAALA full completion ~3,900 keys / up to 29-30 resorts (Four Seasons/RSG). Inter-destination transfer is a small subset; recorded AMAALA pool proxy low conf. Held-out leg.</t>
        </is>
      </c>
      <c r="BA9" s="34" t="inlineStr">
        <is>
          <t>gcn-5296100ae8-red-sea-global</t>
        </is>
      </c>
    </row>
    <row r="10">
      <c r="A10" s="31" t="inlineStr">
        <is>
          <t>Saudi – Red Sea (Resort)</t>
        </is>
      </c>
      <c r="B10" s="31" t="inlineStr">
        <is>
          <t>Saudi Arabia</t>
        </is>
      </c>
      <c r="C10" s="32" t="inlineStr">
        <is>
          <t>NEOM — Sindalah → Magna / Oxagon coast</t>
        </is>
      </c>
      <c r="D10" s="33" t="n">
        <v>30.8</v>
      </c>
      <c r="E10" s="27" t="n">
        <v>120</v>
      </c>
      <c r="F10" s="34" t="inlineStr">
        <is>
          <t>T5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250000</v>
      </c>
      <c r="AI10" s="34" t="inlineStr">
        <is>
          <t>T2</t>
        </is>
      </c>
      <c r="AJ10" s="34" t="inlineStr">
        <is>
          <t>low</t>
        </is>
      </c>
      <c r="AK10" s="41" t="n">
        <v>0.9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Sindalah is an ultra-premium yachting island (413-440 hotel rooms, 86-berth marina). NEOM inter-zone premium per-seat transfer modeled on Maldives/yacht-hub premium speedboat tier -&gt; $120.</t>
        </is>
      </c>
      <c r="AZ10" s="46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  <c r="BA10" s="34" t="inlineStr">
        <is>
          <t>gcn-7bd6efa01a-red-sea-global</t>
        </is>
      </c>
    </row>
    <row r="11">
      <c r="A11" s="47" t="inlineStr">
        <is>
          <t>TOTAL / median</t>
        </is>
      </c>
      <c r="U11" s="48">
        <f>SUM(U4:U10)</f>
        <v/>
      </c>
      <c r="AD11" s="48">
        <f>SUM(AD4:AD10)</f>
        <v/>
      </c>
      <c r="AE11" s="49">
        <f>IF(U11=0,"",AD11/U11)</f>
        <v/>
      </c>
      <c r="AM11" s="50">
        <f>SUM(AM4:AM10)</f>
        <v/>
      </c>
      <c r="AN11" s="48">
        <f>SUM(AN4:AN10)</f>
        <v/>
      </c>
    </row>
    <row r="13">
      <c r="A13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4">
      <c r="A14" s="25" t="inlineStr">
        <is>
          <t>Market</t>
        </is>
      </c>
      <c r="B14" s="25" t="inlineStr">
        <is>
          <t>Fleet basis</t>
        </is>
      </c>
      <c r="C14" s="25" t="inlineStr">
        <is>
          <t>Raw vessels (sum)</t>
        </is>
      </c>
      <c r="D14" s="25" t="inlineStr">
        <is>
          <t>Fleet (rounded once)</t>
        </is>
      </c>
      <c r="E14" s="25" t="inlineStr">
        <is>
          <t>Market rev/yr (raw sum)</t>
        </is>
      </c>
    </row>
    <row r="15">
      <c r="A15" s="26" t="inlineStr">
        <is>
          <t>Saudi – Red Sea (Resort)</t>
        </is>
      </c>
      <c r="B15" s="14" t="inlineStr">
        <is>
          <t>per_corridor_floor</t>
        </is>
      </c>
      <c r="C15" s="14" t="inlineStr">
        <is>
          <t>—</t>
        </is>
      </c>
      <c r="D15" s="51">
        <f>SUMIFS(AM4:AM10,A4:A10,"Saudi – Red Sea (Resort)",AQ4:AQ10,"=",AR4:AR10,"Grounded")</f>
        <v/>
      </c>
      <c r="E15" s="52">
        <f>SUMIFS(AN4:AN10,A4:A10,"Saudi – Red Sea (Resort)",AQ4:AQ10,"=",AR4:AR10,"Grounded")</f>
        <v/>
      </c>
    </row>
    <row r="16">
      <c r="A16" s="47" t="inlineStr">
        <is>
          <t>GROUNDED FLOOR (PUBLISHED)</t>
        </is>
      </c>
      <c r="D16" s="50">
        <f>SUM(D15:D15)</f>
        <v/>
      </c>
      <c r="E16" s="48">
        <f>SUM(E15:E15)</f>
        <v/>
      </c>
    </row>
    <row r="17">
      <c r="A17" s="21" t="inlineStr">
        <is>
          <t>ESTIMATED DEMAND (country-median cascade; held OUT of grounded floor)</t>
        </is>
      </c>
      <c r="D17" s="53">
        <f>SUMIF(AR4:AR10,"Estimated",AM4:AM10)</f>
        <v/>
      </c>
      <c r="E17" s="54">
        <f>SUMIF(AR4:AR10,"Estimated",AN4:AN10)</f>
        <v/>
      </c>
    </row>
    <row r="18">
      <c r="A18" s="21" t="inlineStr">
        <is>
          <t>FORWARD SAM (2030-dated; held OUT of grounded floor)</t>
        </is>
      </c>
      <c r="D18" s="53">
        <f>SUMIF(AR4:AR10,"Forward SAM",AM4:AM10)</f>
        <v/>
      </c>
      <c r="E18" s="54">
        <f>SUMIF(AR4:AR10,"Forward SAM",AN4:AN10)</f>
        <v/>
      </c>
    </row>
    <row r="20">
      <c r="A20" s="55" t="inlineStr">
        <is>
          <t>Held for Quanta-LR (&gt;70nm, roadmap H2 2026+):</t>
        </is>
      </c>
      <c r="C20" s="56" t="inlineStr">
        <is>
          <t>Shura Island hub → AMAALA (Triple Bay) (82.9nm)</t>
        </is>
      </c>
    </row>
    <row r="21">
      <c r="C21" s="56" t="inlineStr">
        <is>
          <t>Jeddah → NEOM (Sindalah) (463.9nm)</t>
        </is>
      </c>
    </row>
    <row r="22">
      <c r="C22" s="56" t="inlineStr">
        <is>
          <t>Jeddah gateway → The Red Sea archipelago (275.5nm)</t>
        </is>
      </c>
    </row>
    <row r="23">
      <c r="C23" s="56" t="inlineStr">
        <is>
          <t>The Red Sea → NEOM (Sindalah) / Jeddah gateway (196.9nm)</t>
        </is>
      </c>
    </row>
  </sheetData>
  <mergeCells count="2">
    <mergeCell ref="A13:L1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0.8934</v>
      </c>
      <c r="C6" s="41" t="n">
        <v>0.8934</v>
      </c>
      <c r="D6" s="41" t="n">
        <v>0.9434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economics'!$AR$4:$AR$10="Grounded"),'Corridor economics'!$AH$4:$AH$10,'Corridor economics'!$E$4:$E$10),0))</f>
        <v/>
      </c>
      <c r="E11" s="15" t="inlineStr">
        <is>
          <t>Captive sole-operator capture (~89%) that builds the published floor; M_today = floor ÷ this = the true corridor spend pool.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economics'!$AR$4:$AR$10="Grounded"),'Corridor economics'!$AH$4:$AH$10,'Corridor economics'!$E$4:$E$10),0)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(~89%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(~89%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2026-07-20T06:56:52Z</dcterms:created>
  <dcterms:modified xsi:type="dcterms:W3CDTF">2026-07-20T06:56:52Z</dcterms:modified>
</cp:coreProperties>
</file>