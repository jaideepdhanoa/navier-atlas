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opex'!$A$4:$G$3</definedName>
    <definedName name="som_floor_fleet">'Corridor economics'!$D$8</definedName>
    <definedName name="som_floor_rev">'Corridor economics'!$E$8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0" borderId="1" pivotButton="0" quotePrefix="0" xfId="0"/>
    <xf numFmtId="165" fontId="0" fillId="4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Gojek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6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Gojek — Corridor economics (one boat, one year; MID = headline)</t>
        </is>
      </c>
      <c r="N1" s="27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28" t="inlineStr">
        <is>
          <t>TOTAL / median</t>
        </is>
      </c>
      <c r="U4" s="29">
        <f>SUM(U4:U3)</f>
        <v/>
      </c>
      <c r="AD4" s="29">
        <f>SUM(AD4:AD3)</f>
        <v/>
      </c>
      <c r="AE4" s="30">
        <f>IF(U4=0,"",AD4/U4)</f>
        <v/>
      </c>
      <c r="AM4" s="31">
        <f>SUM(AM4:AM3)</f>
        <v/>
      </c>
      <c r="AN4" s="29">
        <f>SUM(AN4:AN3)</f>
        <v/>
      </c>
    </row>
    <row r="6">
      <c r="A6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7">
      <c r="A7" s="25" t="inlineStr">
        <is>
          <t>Market</t>
        </is>
      </c>
      <c r="B7" s="25" t="inlineStr">
        <is>
          <t>Fleet basis</t>
        </is>
      </c>
      <c r="C7" s="25" t="inlineStr">
        <is>
          <t>Raw vessels (sum)</t>
        </is>
      </c>
      <c r="D7" s="25" t="inlineStr">
        <is>
          <t>Fleet (rounded once)</t>
        </is>
      </c>
      <c r="E7" s="25" t="inlineStr">
        <is>
          <t>Market rev/yr (raw sum)</t>
        </is>
      </c>
    </row>
    <row r="8">
      <c r="A8" s="28" t="inlineStr">
        <is>
          <t>GROUNDED FLOOR (PUBLISHED)</t>
        </is>
      </c>
      <c r="D8" s="31">
        <f>SUM(D8:D7)</f>
        <v/>
      </c>
      <c r="E8" s="29">
        <f>SUM(E8:E7)</f>
        <v/>
      </c>
    </row>
  </sheetData>
  <mergeCells count="2">
    <mergeCell ref="A6:L6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32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32" t="inlineStr">
        <is>
          <t>Mature capture rate (c)</t>
        </is>
      </c>
      <c r="B6" s="33" t="n">
        <v>0.15</v>
      </c>
      <c r="C6" s="33" t="n">
        <v>0.25</v>
      </c>
      <c r="D6" s="33" t="n">
        <v>0.4</v>
      </c>
      <c r="E6" s="15" t="inlineStr">
        <is>
          <t>Navier's corridor share once it is the established premium default (vs 10% floor).</t>
        </is>
      </c>
    </row>
    <row r="7">
      <c r="A7" s="32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32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32" t="inlineStr">
        <is>
          <t>Platform take rate</t>
        </is>
      </c>
      <c r="C9" s="33" t="n">
        <v>0.18</v>
      </c>
      <c r="E9" s="15" t="inlineStr">
        <is>
          <t>Super-app blended commission on journey GMV (derived line only).</t>
        </is>
      </c>
    </row>
    <row r="11">
      <c r="A11" s="32" t="inlineStr">
        <is>
          <t>SOM capture rate (floor)</t>
        </is>
      </c>
      <c r="C11" s="34">
        <f>som_floor_rev/(ROUND(SUMPRODUCT(--('Corridor economics'!$AR$4:$AR$3="Grounded"),'Corridor economics'!$AH$4:$AH$3,'Corridor economics'!$E$4:$E$3),0))</f>
        <v/>
      </c>
      <c r="E11" s="15" t="inlineStr">
        <is>
          <t>New-entrant ~10%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32" t="inlineStr">
        <is>
          <t>SOM floor — Navier transport rev/yr (PUBLISHED)</t>
        </is>
      </c>
      <c r="C15" s="35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32" t="inlineStr">
        <is>
          <t>M_today — model comparable-fare transport pool on sourced corridors</t>
        </is>
      </c>
      <c r="C16" s="35">
        <f>ROUND(SUMPRODUCT(--('Corridor economics'!$AR$4:$AR$3="Grounded"),'Corridor economics'!$AH$4:$AH$3,'Corridor economics'!$E$4:$E$3),0)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32" t="inlineStr">
        <is>
          <t>SOM full network (~10% capture, today, +greenfield)</t>
        </is>
      </c>
      <c r="B18" s="35">
        <f>$C$16*$C$11*$B$8</f>
        <v/>
      </c>
      <c r="C18" s="35">
        <f>$C$16*$C$11*$C$8</f>
        <v/>
      </c>
      <c r="D18" s="35">
        <f>$C$16*$C$11*$D$8</f>
        <v/>
      </c>
      <c r="E18" s="15" t="inlineStr">
        <is>
          <t>Floor posture (~10% captive capture, today's demand) extended across the whole mapped network.</t>
        </is>
      </c>
    </row>
    <row r="19">
      <c r="A19" s="32" t="inlineStr">
        <is>
          <t>SAM — sourced corridors only (depth, no greenfield)</t>
        </is>
      </c>
      <c r="B19" s="35">
        <f>$C$16*$B$5*$B$6</f>
        <v/>
      </c>
      <c r="C19" s="35">
        <f>$C$16*$C$5*$C$6</f>
        <v/>
      </c>
      <c r="D19" s="35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32" t="inlineStr">
        <is>
          <t>SAM — Navier transport rev @ full network (HEADLINE)</t>
        </is>
      </c>
      <c r="B20" s="35">
        <f>$C$16*$B$5*$B$6*$B$8</f>
        <v/>
      </c>
      <c r="C20" s="35">
        <f>$C$16*$C$5*$C$6*$C$8</f>
        <v/>
      </c>
      <c r="D20" s="35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32" t="inlineStr">
        <is>
          <t>Marine mobility TAM — induced marine-transfer market (LB-110)</t>
        </is>
      </c>
      <c r="B21" s="35">
        <f>$C$16*$B$5*$B$8</f>
        <v/>
      </c>
      <c r="C21" s="35">
        <f>$C$16*$C$5*$C$8</f>
        <v/>
      </c>
      <c r="D21" s="35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32" t="inlineStr">
        <is>
          <t>Journey GMV — induced crossing × multiple (was TAM journey GMV)</t>
        </is>
      </c>
      <c r="B22" s="35">
        <f>$C$16*$B$5*$B$7*$B$8</f>
        <v/>
      </c>
      <c r="C22" s="35">
        <f>$C$16*$C$5*$C$7*$C$8</f>
        <v/>
      </c>
      <c r="D22" s="35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32" t="inlineStr">
        <is>
          <t>Journey GMV routed through Navier network</t>
        </is>
      </c>
      <c r="B23" s="35">
        <f>$C$16*$B$5*$B$6*$B$7*$B$8</f>
        <v/>
      </c>
      <c r="C23" s="35">
        <f>$C$16*$C$5*$C$6*$C$7*$C$8</f>
        <v/>
      </c>
      <c r="D23" s="35">
        <f>$C$16*$D$5*$D$6*$D$7*$D$8</f>
        <v/>
      </c>
      <c r="E23" s="15" t="inlineStr">
        <is>
          <t>Journey GMV on Navier-carried trips only.</t>
        </is>
      </c>
    </row>
    <row r="24">
      <c r="A24" s="32" t="inlineStr">
        <is>
          <t>Partner platform revenue on Navier (LB-113 — on-Navier subset, not 18% of full Journey GMV)</t>
        </is>
      </c>
      <c r="B24" s="35">
        <f>$C$16*$B$5*$B$6*$B$7*$B$8*$C$9</f>
        <v/>
      </c>
      <c r="C24" s="35">
        <f>$C$16*$C$5*$C$6*$C$7*$C$8*$C$9</f>
        <v/>
      </c>
      <c r="D24" s="35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36" t="inlineStr">
        <is>
          <t>Note</t>
        </is>
      </c>
      <c r="B26" s="37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2026-07-20T06:57:00Z</dcterms:created>
  <dcterms:modified xsi:type="dcterms:W3CDTF">2026-07-20T06:57:00Z</dcterms:modified>
</cp:coreProperties>
</file>