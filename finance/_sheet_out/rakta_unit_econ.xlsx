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opex'!$A$4:$G$5</definedName>
    <definedName name="som_floor_fleet">'Corridor economics'!$D$53</definedName>
    <definedName name="som_floor_rev">'Corridor economics'!$E$53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Rakta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Bahrain</t>
        </is>
      </c>
      <c r="B4" s="27" t="n">
        <v>36000</v>
      </c>
      <c r="C4" s="28" t="n">
        <v>0.08</v>
      </c>
      <c r="D4" s="20" t="n">
        <v>0.55</v>
      </c>
      <c r="E4" s="27" t="n">
        <v>15000</v>
      </c>
      <c r="F4" s="20" t="n">
        <v>0.63</v>
      </c>
      <c r="G4" s="27" t="n">
        <v>600000</v>
      </c>
      <c r="H4" s="15" t="inlineStr">
        <is>
          <t>GCC expat marine crew, slightly below Saudi. Job ads (Instagram 2026): private boat captain BHD 250-350/mo (~$660-930/mo). Blended 1 commercial tourism-boat captain (~BHD 1,000/mo ~$2,650) + deckhand (~BHD 400/mo ~$1,060) fully-loaded (visa/accom provided) ~= ~$36k/vessel/yr @BHD 0.376. High-income GCC; just below Saudi $42k. | SUBSIDIZED. EWA non-subsidized (expat/commercial) rate 32 fils/kWh = BHD 0.032 = ~$0.085 (GulfInsider/Reddit 2026). GlobalPetrolPrices business BHD 0.029 = $0.077 (Sep 2025). Anchored $0.08. @BHD 0.376 (pegged). | Modeled berth+insurance+admin/vessel/yr. Bahrain marine ops (Manama/Marina) mid-high GCC; below Saudi $18k, above Taiwan $14k. Tagged low. | CAPEX LB-243 US/EU=$900K else $600K</t>
        </is>
      </c>
    </row>
    <row r="5">
      <c r="A5" s="26" t="inlineStr">
        <is>
          <t>United Arab Emirates</t>
        </is>
      </c>
      <c r="B5" s="27" t="n">
        <v>40000</v>
      </c>
      <c r="C5" s="28" t="n">
        <v>0.08500000000000001</v>
      </c>
      <c r="D5" s="20" t="n">
        <v>0.4</v>
      </c>
      <c r="E5" s="27" t="n">
        <v>22000</v>
      </c>
      <c r="F5" s="20" t="n">
        <v>0.74</v>
      </c>
      <c r="G5" s="27" t="n">
        <v>600000</v>
      </c>
      <c r="H5" s="15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6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Rakta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Gulf Authority Rakta</t>
        </is>
      </c>
      <c r="B4" s="31" t="inlineStr">
        <is>
          <t>Bahrain</t>
        </is>
      </c>
      <c r="C4" s="32" t="inlineStr">
        <is>
          <t>Sitra (Ad-Dur) Hawar Ferry Terminal → Bahrain Yacht Club</t>
        </is>
      </c>
      <c r="D4" s="33" t="n">
        <v>1.2</v>
      </c>
      <c r="E4" s="27" t="n"/>
      <c r="F4" s="34" t="n"/>
      <c r="G4" s="34" t="n"/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/>
      <c r="AI4" s="34" t="n"/>
      <c r="AJ4" s="34" t="n"/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Estimated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n"/>
      <c r="AZ4" s="46" t="n"/>
      <c r="BA4" s="34" t="inlineStr">
        <is>
          <t>rn-063a88bc18d1</t>
        </is>
      </c>
    </row>
    <row r="5">
      <c r="A5" s="31" t="inlineStr">
        <is>
          <t>Gulf Authority Rakta</t>
        </is>
      </c>
      <c r="B5" s="31" t="inlineStr">
        <is>
          <t>Bahrain</t>
        </is>
      </c>
      <c r="C5" s="32" t="inlineStr">
        <is>
          <t>Manama → Eastern Province</t>
        </is>
      </c>
      <c r="D5" s="33" t="n">
        <v>21.2</v>
      </c>
      <c r="E5" s="27" t="n"/>
      <c r="F5" s="34" t="n"/>
      <c r="G5" s="34" t="n"/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/>
      <c r="AI5" s="34" t="n"/>
      <c r="AJ5" s="34" t="n"/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Estimated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n"/>
      <c r="AZ5" s="46" t="n"/>
      <c r="BA5" s="34" t="inlineStr">
        <is>
          <t>rn-fffd9a53d482</t>
        </is>
      </c>
    </row>
    <row r="6">
      <c r="A6" s="31" t="inlineStr">
        <is>
          <t>Gulf Authority Rakta</t>
        </is>
      </c>
      <c r="B6" s="31" t="inlineStr">
        <is>
          <t>United Arab Emirates</t>
        </is>
      </c>
      <c r="C6" s="32" t="inlineStr">
        <is>
          <t>Al Marjan Island public arrival marina → Rixos Bab Al Bahr beach jetty</t>
        </is>
      </c>
      <c r="D6" s="33" t="n">
        <v>0.2</v>
      </c>
      <c r="E6" s="27" t="n">
        <v>35</v>
      </c>
      <c r="F6" s="34" t="inlineStr">
        <is>
          <t>T3</t>
        </is>
      </c>
      <c r="G6" s="34" t="inlineStr">
        <is>
          <t>med-low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5217</v>
      </c>
      <c r="AI6" s="34" t="inlineStr">
        <is>
          <t>T3</t>
        </is>
      </c>
      <c r="AJ6" s="34" t="inlineStr">
        <is>
          <t>med-low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n"/>
      <c r="AZ6" s="46" t="n"/>
      <c r="BA6" s="34" t="inlineStr">
        <is>
          <t>rn-f0d6b20a125c</t>
        </is>
      </c>
    </row>
    <row r="7">
      <c r="A7" s="31" t="inlineStr">
        <is>
          <t>Gulf Authority Rakta</t>
        </is>
      </c>
      <c r="B7" s="31" t="inlineStr">
        <is>
          <t>United Arab Emirates</t>
        </is>
      </c>
      <c r="C7" s="32" t="inlineStr">
        <is>
          <t>Marjan Island Resort &amp; Spa beach jetty → Hampton by Hilton Marjan Island beach landing</t>
        </is>
      </c>
      <c r="D7" s="33" t="n">
        <v>0.4</v>
      </c>
      <c r="E7" s="27" t="n">
        <v>35</v>
      </c>
      <c r="F7" s="34" t="inlineStr">
        <is>
          <t>T3</t>
        </is>
      </c>
      <c r="G7" s="34" t="inlineStr">
        <is>
          <t>med-low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5217</v>
      </c>
      <c r="AI7" s="34" t="inlineStr">
        <is>
          <t>T3</t>
        </is>
      </c>
      <c r="AJ7" s="34" t="inlineStr">
        <is>
          <t>med-low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n"/>
      <c r="AZ7" s="46" t="n"/>
      <c r="BA7" s="34" t="inlineStr">
        <is>
          <t>rn-67316de45b8f</t>
        </is>
      </c>
    </row>
    <row r="8">
      <c r="A8" s="31" t="inlineStr">
        <is>
          <t>Gulf Authority Rakta</t>
        </is>
      </c>
      <c r="B8" s="31" t="inlineStr">
        <is>
          <t>United Arab Emirates</t>
        </is>
      </c>
      <c r="C8" s="32" t="inlineStr">
        <is>
          <t>Ras Al Khaimah Harbour → RAK Corniche public pier</t>
        </is>
      </c>
      <c r="D8" s="33" t="n">
        <v>0.4</v>
      </c>
      <c r="E8" s="27" t="n">
        <v>35</v>
      </c>
      <c r="F8" s="34" t="inlineStr">
        <is>
          <t>T3</t>
        </is>
      </c>
      <c r="G8" s="34" t="inlineStr">
        <is>
          <t>med-low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5217</v>
      </c>
      <c r="AI8" s="34" t="inlineStr">
        <is>
          <t>T3</t>
        </is>
      </c>
      <c r="AJ8" s="34" t="inlineStr">
        <is>
          <t>med-low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n"/>
      <c r="AZ8" s="46" t="n"/>
      <c r="BA8" s="34" t="inlineStr">
        <is>
          <t>rn-2a5c2fe11732</t>
        </is>
      </c>
    </row>
    <row r="9">
      <c r="A9" s="31" t="inlineStr">
        <is>
          <t>Gulf Authority Rakta</t>
        </is>
      </c>
      <c r="B9" s="31" t="inlineStr">
        <is>
          <t>United Arab Emirates</t>
        </is>
      </c>
      <c r="C9" s="32" t="inlineStr">
        <is>
          <t>Anantara Mina Al Arab Ras Al Khaimah Resort jetty → InterContinental Ras Al Khaimah Mina Al Arab Resort &amp; Spa jetty</t>
        </is>
      </c>
      <c r="D9" s="33" t="n">
        <v>0.6</v>
      </c>
      <c r="E9" s="27" t="n">
        <v>35</v>
      </c>
      <c r="F9" s="34" t="inlineStr">
        <is>
          <t>T3</t>
        </is>
      </c>
      <c r="G9" s="34" t="inlineStr">
        <is>
          <t>med-low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5217</v>
      </c>
      <c r="AI9" s="34" t="inlineStr">
        <is>
          <t>T3</t>
        </is>
      </c>
      <c r="AJ9" s="34" t="inlineStr">
        <is>
          <t>med-low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n"/>
      <c r="AZ9" s="46" t="n"/>
      <c r="BA9" s="34" t="inlineStr">
        <is>
          <t>rn-259c74613206</t>
        </is>
      </c>
    </row>
    <row r="10">
      <c r="A10" s="31" t="inlineStr">
        <is>
          <t>Gulf Authority Rakta</t>
        </is>
      </c>
      <c r="B10" s="31" t="inlineStr">
        <is>
          <t>United Arab Emirates</t>
        </is>
      </c>
      <c r="C10" s="32" t="inlineStr">
        <is>
          <t>Wynn Al Marjan Island arrival lagoon → Marjan Island Resort &amp; Spa beach jetty</t>
        </is>
      </c>
      <c r="D10" s="33" t="n">
        <v>0.6</v>
      </c>
      <c r="E10" s="27" t="n">
        <v>35</v>
      </c>
      <c r="F10" s="34" t="inlineStr">
        <is>
          <t>T3</t>
        </is>
      </c>
      <c r="G10" s="34" t="inlineStr">
        <is>
          <t>med-low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5217</v>
      </c>
      <c r="AI10" s="34" t="inlineStr">
        <is>
          <t>T3</t>
        </is>
      </c>
      <c r="AJ10" s="34" t="inlineStr">
        <is>
          <t>med-low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n"/>
      <c r="AZ10" s="46" t="n"/>
      <c r="BA10" s="34" t="inlineStr">
        <is>
          <t>rn-0bdf53c78a31</t>
        </is>
      </c>
    </row>
    <row r="11">
      <c r="A11" s="31" t="inlineStr">
        <is>
          <t>Gulf Authority Rakta</t>
        </is>
      </c>
      <c r="B11" s="31" t="inlineStr">
        <is>
          <t>United Arab Emirates</t>
        </is>
      </c>
      <c r="C11" s="32" t="inlineStr">
        <is>
          <t>Al Hamra Marina &amp; Royal Yacht Club RAK → Waldorf Astoria Ras Al Khaimah jetty</t>
        </is>
      </c>
      <c r="D11" s="33" t="n">
        <v>0.7</v>
      </c>
      <c r="E11" s="27" t="n">
        <v>35</v>
      </c>
      <c r="F11" s="34" t="inlineStr">
        <is>
          <t>T3</t>
        </is>
      </c>
      <c r="G11" s="34" t="inlineStr">
        <is>
          <t>med-low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5217</v>
      </c>
      <c r="AI11" s="34" t="inlineStr">
        <is>
          <t>T3</t>
        </is>
      </c>
      <c r="AJ11" s="34" t="inlineStr">
        <is>
          <t>med-low</t>
        </is>
      </c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n"/>
      <c r="AZ11" s="46" t="n"/>
      <c r="BA11" s="34" t="inlineStr">
        <is>
          <t>rn-f6d21c86c4d0</t>
        </is>
      </c>
    </row>
    <row r="12">
      <c r="A12" s="31" t="inlineStr">
        <is>
          <t>Gulf Authority Rakta</t>
        </is>
      </c>
      <c r="B12" s="31" t="inlineStr">
        <is>
          <t>United Arab Emirates</t>
        </is>
      </c>
      <c r="C12" s="32" t="inlineStr">
        <is>
          <t>Al Marjan Island public arrival marina → Hampton by Hilton Marjan Island beach landing</t>
        </is>
      </c>
      <c r="D12" s="33" t="n">
        <v>0.8</v>
      </c>
      <c r="E12" s="27" t="n">
        <v>35</v>
      </c>
      <c r="F12" s="34" t="inlineStr">
        <is>
          <t>T3</t>
        </is>
      </c>
      <c r="G12" s="34" t="inlineStr">
        <is>
          <t>med-low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5217</v>
      </c>
      <c r="AI12" s="34" t="inlineStr">
        <is>
          <t>T3</t>
        </is>
      </c>
      <c r="AJ12" s="34" t="inlineStr">
        <is>
          <t>med-low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n"/>
      <c r="AZ12" s="46" t="n"/>
      <c r="BA12" s="34" t="inlineStr">
        <is>
          <t>rn-f7356e7a6fb3</t>
        </is>
      </c>
    </row>
    <row r="13">
      <c r="A13" s="31" t="inlineStr">
        <is>
          <t>Gulf Authority Rakta</t>
        </is>
      </c>
      <c r="B13" s="31" t="inlineStr">
        <is>
          <t>United Arab Emirates</t>
        </is>
      </c>
      <c r="C13" s="32" t="inlineStr">
        <is>
          <t>Anantara Mina Al Arab Ras Al Khaimah Resort jetty → Mina Al Arab marina / lagoon basin</t>
        </is>
      </c>
      <c r="D13" s="33" t="n">
        <v>0.9</v>
      </c>
      <c r="E13" s="27" t="n">
        <v>35</v>
      </c>
      <c r="F13" s="34" t="inlineStr">
        <is>
          <t>T3</t>
        </is>
      </c>
      <c r="G13" s="34" t="inlineStr">
        <is>
          <t>med-low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5217</v>
      </c>
      <c r="AI13" s="34" t="inlineStr">
        <is>
          <t>T3</t>
        </is>
      </c>
      <c r="AJ13" s="34" t="inlineStr">
        <is>
          <t>med-low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n"/>
      <c r="AZ13" s="46" t="n"/>
      <c r="BA13" s="34" t="inlineStr">
        <is>
          <t>rn-239a65d9ff67</t>
        </is>
      </c>
    </row>
    <row r="14">
      <c r="A14" s="31" t="inlineStr">
        <is>
          <t>Gulf Authority Rakta</t>
        </is>
      </c>
      <c r="B14" s="31" t="inlineStr">
        <is>
          <t>United Arab Emirates</t>
        </is>
      </c>
      <c r="C14" s="32" t="inlineStr">
        <is>
          <t>Mina Al Arab marina / lagoon basin → InterContinental Ras Al Khaimah Mina Al Arab Resort &amp; Spa jetty</t>
        </is>
      </c>
      <c r="D14" s="33" t="n">
        <v>0.9</v>
      </c>
      <c r="E14" s="27" t="n">
        <v>35</v>
      </c>
      <c r="F14" s="34" t="inlineStr">
        <is>
          <t>T3</t>
        </is>
      </c>
      <c r="G14" s="34" t="inlineStr">
        <is>
          <t>med-low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5217</v>
      </c>
      <c r="AI14" s="34" t="inlineStr">
        <is>
          <t>T3</t>
        </is>
      </c>
      <c r="AJ14" s="34" t="inlineStr">
        <is>
          <t>med-low</t>
        </is>
      </c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n"/>
      <c r="AZ14" s="46" t="n"/>
      <c r="BA14" s="34" t="inlineStr">
        <is>
          <t>rn-1ad18654169b</t>
        </is>
      </c>
    </row>
    <row r="15">
      <c r="A15" s="31" t="inlineStr">
        <is>
          <t>Gulf Authority Rakta</t>
        </is>
      </c>
      <c r="B15" s="31" t="inlineStr">
        <is>
          <t>United Arab Emirates</t>
        </is>
      </c>
      <c r="C15" s="32" t="inlineStr">
        <is>
          <t>Rixos Bab Al Bahr beach jetty → Hampton by Hilton Marjan Island beach landing</t>
        </is>
      </c>
      <c r="D15" s="33" t="n">
        <v>1</v>
      </c>
      <c r="E15" s="27" t="n">
        <v>35</v>
      </c>
      <c r="F15" s="34" t="inlineStr">
        <is>
          <t>T3</t>
        </is>
      </c>
      <c r="G15" s="34" t="inlineStr">
        <is>
          <t>med-low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5217</v>
      </c>
      <c r="AI15" s="34" t="inlineStr">
        <is>
          <t>T3</t>
        </is>
      </c>
      <c r="AJ15" s="34" t="inlineStr">
        <is>
          <t>med-low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n"/>
      <c r="AZ15" s="46" t="n"/>
      <c r="BA15" s="34" t="inlineStr">
        <is>
          <t>rn-4f0d97b8a3ed</t>
        </is>
      </c>
    </row>
    <row r="16">
      <c r="A16" s="31" t="inlineStr">
        <is>
          <t>Gulf Authority Rakta</t>
        </is>
      </c>
      <c r="B16" s="31" t="inlineStr">
        <is>
          <t>United Arab Emirates</t>
        </is>
      </c>
      <c r="C16" s="32" t="inlineStr">
        <is>
          <t>Wynn Al Marjan Island arrival lagoon → Hampton by Hilton Marjan Island beach landing</t>
        </is>
      </c>
      <c r="D16" s="33" t="n">
        <v>1</v>
      </c>
      <c r="E16" s="27" t="n">
        <v>35</v>
      </c>
      <c r="F16" s="34" t="inlineStr">
        <is>
          <t>T3</t>
        </is>
      </c>
      <c r="G16" s="34" t="inlineStr">
        <is>
          <t>med-low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5217</v>
      </c>
      <c r="AI16" s="34" t="inlineStr">
        <is>
          <t>T3</t>
        </is>
      </c>
      <c r="AJ16" s="34" t="inlineStr">
        <is>
          <t>med-low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n"/>
      <c r="AZ16" s="46" t="n"/>
      <c r="BA16" s="34" t="inlineStr">
        <is>
          <t>rn-cf6a87b5e146</t>
        </is>
      </c>
    </row>
    <row r="17">
      <c r="A17" s="31" t="inlineStr">
        <is>
          <t>Gulf Authority Rakta</t>
        </is>
      </c>
      <c r="B17" s="31" t="inlineStr">
        <is>
          <t>United Arab Emirates</t>
        </is>
      </c>
      <c r="C17" s="32" t="inlineStr">
        <is>
          <t>Ras Al Khaimah Harbour → Hilton Garden Inn Ras Al Khaimah (Corniche) jetty</t>
        </is>
      </c>
      <c r="D17" s="33" t="n">
        <v>1.1</v>
      </c>
      <c r="E17" s="27" t="n">
        <v>35</v>
      </c>
      <c r="F17" s="34" t="inlineStr">
        <is>
          <t>T3</t>
        </is>
      </c>
      <c r="G17" s="34" t="inlineStr">
        <is>
          <t>med-low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>
        <v>5217</v>
      </c>
      <c r="AI17" s="34" t="inlineStr">
        <is>
          <t>T3</t>
        </is>
      </c>
      <c r="AJ17" s="34" t="inlineStr">
        <is>
          <t>med-low</t>
        </is>
      </c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Grounded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n"/>
      <c r="AZ17" s="46" t="n"/>
      <c r="BA17" s="34" t="inlineStr">
        <is>
          <t>rn-ea8ffe092848</t>
        </is>
      </c>
    </row>
    <row r="18">
      <c r="A18" s="31" t="inlineStr">
        <is>
          <t>Gulf Authority Rakta</t>
        </is>
      </c>
      <c r="B18" s="31" t="inlineStr">
        <is>
          <t>United Arab Emirates</t>
        </is>
      </c>
      <c r="C18" s="32" t="inlineStr">
        <is>
          <t>Bin Majid Beach Resort jetty → Acacia by Bin Majid jetty</t>
        </is>
      </c>
      <c r="D18" s="33" t="n">
        <v>1.2</v>
      </c>
      <c r="E18" s="27" t="n">
        <v>35</v>
      </c>
      <c r="F18" s="34" t="inlineStr">
        <is>
          <t>T3</t>
        </is>
      </c>
      <c r="G18" s="34" t="inlineStr">
        <is>
          <t>med-low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5217</v>
      </c>
      <c r="AI18" s="34" t="inlineStr">
        <is>
          <t>T3</t>
        </is>
      </c>
      <c r="AJ18" s="34" t="inlineStr">
        <is>
          <t>med-low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n"/>
      <c r="AZ18" s="46" t="n"/>
      <c r="BA18" s="34" t="inlineStr">
        <is>
          <t>rn-f1870f49bf3e</t>
        </is>
      </c>
    </row>
    <row r="19">
      <c r="A19" s="31" t="inlineStr">
        <is>
          <t>Gulf Authority Rakta</t>
        </is>
      </c>
      <c r="B19" s="31" t="inlineStr">
        <is>
          <t>United Arab Emirates</t>
        </is>
      </c>
      <c r="C19" s="32" t="inlineStr">
        <is>
          <t>Hilton Garden Inn Ras Al Khaimah (Corniche) jetty → RAK Corniche public pier</t>
        </is>
      </c>
      <c r="D19" s="33" t="n">
        <v>1.2</v>
      </c>
      <c r="E19" s="27" t="n">
        <v>35</v>
      </c>
      <c r="F19" s="34" t="inlineStr">
        <is>
          <t>T3</t>
        </is>
      </c>
      <c r="G19" s="34" t="inlineStr">
        <is>
          <t>med-low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5217</v>
      </c>
      <c r="AI19" s="34" t="inlineStr">
        <is>
          <t>T3</t>
        </is>
      </c>
      <c r="AJ19" s="34" t="inlineStr">
        <is>
          <t>med-low</t>
        </is>
      </c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n"/>
      <c r="AZ19" s="46" t="n"/>
      <c r="BA19" s="34" t="inlineStr">
        <is>
          <t>rn-c35ab68f5b90</t>
        </is>
      </c>
    </row>
    <row r="20">
      <c r="A20" s="31" t="inlineStr">
        <is>
          <t>Gulf Authority Rakta</t>
        </is>
      </c>
      <c r="B20" s="31" t="inlineStr">
        <is>
          <t>United Arab Emirates</t>
        </is>
      </c>
      <c r="C20" s="32" t="inlineStr">
        <is>
          <t>Al Zorah Marina 1 → Ajman Marina</t>
        </is>
      </c>
      <c r="D20" s="33" t="n">
        <v>1.6</v>
      </c>
      <c r="E20" s="27" t="n">
        <v>35</v>
      </c>
      <c r="F20" s="34" t="inlineStr">
        <is>
          <t>T3</t>
        </is>
      </c>
      <c r="G20" s="34" t="inlineStr">
        <is>
          <t>med-low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5217</v>
      </c>
      <c r="AI20" s="34" t="inlineStr">
        <is>
          <t>T3</t>
        </is>
      </c>
      <c r="AJ20" s="34" t="inlineStr">
        <is>
          <t>med-low</t>
        </is>
      </c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Grounded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n"/>
      <c r="AZ20" s="46" t="n"/>
      <c r="BA20" s="34" t="inlineStr">
        <is>
          <t>rn-11d3a0b9153a</t>
        </is>
      </c>
    </row>
    <row r="21">
      <c r="A21" s="31" t="inlineStr">
        <is>
          <t>Gulf Authority Rakta</t>
        </is>
      </c>
      <c r="B21" s="31" t="inlineStr">
        <is>
          <t>United Arab Emirates</t>
        </is>
      </c>
      <c r="C21" s="32" t="inlineStr">
        <is>
          <t>Raksa → Ras Al Khaimah Harbour</t>
        </is>
      </c>
      <c r="D21" s="33" t="n">
        <v>1.9</v>
      </c>
      <c r="E21" s="27" t="n">
        <v>35</v>
      </c>
      <c r="F21" s="34" t="inlineStr">
        <is>
          <t>T3</t>
        </is>
      </c>
      <c r="G21" s="34" t="inlineStr">
        <is>
          <t>med-low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5217</v>
      </c>
      <c r="AI21" s="34" t="inlineStr">
        <is>
          <t>T3</t>
        </is>
      </c>
      <c r="AJ21" s="34" t="inlineStr">
        <is>
          <t>med-low</t>
        </is>
      </c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n"/>
      <c r="AZ21" s="46" t="n"/>
      <c r="BA21" s="34" t="inlineStr">
        <is>
          <t>rn-45de8febe019</t>
        </is>
      </c>
    </row>
    <row r="22">
      <c r="A22" s="31" t="inlineStr">
        <is>
          <t>Gulf Authority Rakta</t>
        </is>
      </c>
      <c r="B22" s="31" t="inlineStr">
        <is>
          <t>United Arab Emirates</t>
        </is>
      </c>
      <c r="C22" s="32" t="inlineStr">
        <is>
          <t>Sha'am Fishing Boat Harbour → Sha'am coastal staging point</t>
        </is>
      </c>
      <c r="D22" s="33" t="n">
        <v>2.1</v>
      </c>
      <c r="E22" s="27" t="n">
        <v>35</v>
      </c>
      <c r="F22" s="34" t="inlineStr">
        <is>
          <t>T3</t>
        </is>
      </c>
      <c r="G22" s="34" t="inlineStr">
        <is>
          <t>med-low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5217</v>
      </c>
      <c r="AI22" s="34" t="inlineStr">
        <is>
          <t>T3</t>
        </is>
      </c>
      <c r="AJ22" s="34" t="inlineStr">
        <is>
          <t>med-low</t>
        </is>
      </c>
      <c r="AK22" s="41" t="n">
        <v>0.1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n"/>
      <c r="AZ22" s="46" t="n"/>
      <c r="BA22" s="34" t="inlineStr">
        <is>
          <t>rn-610b1a3bb4db</t>
        </is>
      </c>
    </row>
    <row r="23">
      <c r="A23" s="31" t="inlineStr">
        <is>
          <t>Gulf Authority Rakta</t>
        </is>
      </c>
      <c r="B23" s="31" t="inlineStr">
        <is>
          <t>United Arab Emirates</t>
        </is>
      </c>
      <c r="C23" s="32" t="inlineStr">
        <is>
          <t>The Cove Rotana Resort jetty → Anantara Mina Al Arab Ras Al Khaimah Resort jetty</t>
        </is>
      </c>
      <c r="D23" s="33" t="n">
        <v>2.2</v>
      </c>
      <c r="E23" s="27" t="n">
        <v>35</v>
      </c>
      <c r="F23" s="34" t="inlineStr">
        <is>
          <t>T3</t>
        </is>
      </c>
      <c r="G23" s="34" t="inlineStr">
        <is>
          <t>med-low</t>
        </is>
      </c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>
        <v>5217</v>
      </c>
      <c r="AI23" s="34" t="inlineStr">
        <is>
          <t>T3</t>
        </is>
      </c>
      <c r="AJ23" s="34" t="inlineStr">
        <is>
          <t>med-low</t>
        </is>
      </c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Grounded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n"/>
      <c r="AZ23" s="46" t="n"/>
      <c r="BA23" s="34" t="inlineStr">
        <is>
          <t>rn-fc522269661a</t>
        </is>
      </c>
    </row>
    <row r="24">
      <c r="A24" s="31" t="inlineStr">
        <is>
          <t>Gulf Authority Rakta</t>
        </is>
      </c>
      <c r="B24" s="31" t="inlineStr">
        <is>
          <t>United Arab Emirates</t>
        </is>
      </c>
      <c r="C24" s="32" t="inlineStr">
        <is>
          <t>ميناء صيادين غليلة → Sha'am Fishing Boat Harbour</t>
        </is>
      </c>
      <c r="D24" s="33" t="n">
        <v>2.5</v>
      </c>
      <c r="E24" s="27" t="n">
        <v>35</v>
      </c>
      <c r="F24" s="34" t="inlineStr">
        <is>
          <t>T3</t>
        </is>
      </c>
      <c r="G24" s="34" t="inlineStr">
        <is>
          <t>med-low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5217</v>
      </c>
      <c r="AI24" s="34" t="inlineStr">
        <is>
          <t>T3</t>
        </is>
      </c>
      <c r="AJ24" s="34" t="inlineStr">
        <is>
          <t>med-low</t>
        </is>
      </c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Grounded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n"/>
      <c r="AZ24" s="46" t="n"/>
      <c r="BA24" s="34" t="inlineStr">
        <is>
          <t>rn-e54d51128055</t>
        </is>
      </c>
    </row>
    <row r="25">
      <c r="A25" s="31" t="inlineStr">
        <is>
          <t>Gulf Authority Rakta</t>
        </is>
      </c>
      <c r="B25" s="31" t="inlineStr">
        <is>
          <t>United Arab Emirates</t>
        </is>
      </c>
      <c r="C25" s="32" t="inlineStr">
        <is>
          <t>Daba Port → Dibba Al-Hisn Marina - Sharjah</t>
        </is>
      </c>
      <c r="D25" s="33" t="n">
        <v>2.7</v>
      </c>
      <c r="E25" s="27" t="n">
        <v>35</v>
      </c>
      <c r="F25" s="34" t="inlineStr">
        <is>
          <t>T3</t>
        </is>
      </c>
      <c r="G25" s="34" t="inlineStr">
        <is>
          <t>med-low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5217</v>
      </c>
      <c r="AI25" s="34" t="inlineStr">
        <is>
          <t>T3</t>
        </is>
      </c>
      <c r="AJ25" s="34" t="inlineStr">
        <is>
          <t>med-low</t>
        </is>
      </c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Grounded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n"/>
      <c r="AZ25" s="46" t="n"/>
      <c r="BA25" s="34" t="inlineStr">
        <is>
          <t>rn-86890f46f3a5</t>
        </is>
      </c>
    </row>
    <row r="26">
      <c r="A26" s="31" t="inlineStr">
        <is>
          <t>Gulf Authority Rakta</t>
        </is>
      </c>
      <c r="B26" s="31" t="inlineStr">
        <is>
          <t>United Arab Emirates</t>
        </is>
      </c>
      <c r="C26" s="32" t="inlineStr">
        <is>
          <t>ميناء صيادين غليلة → ميناء صيادين خورخوير</t>
        </is>
      </c>
      <c r="D26" s="33" t="n">
        <v>2.8</v>
      </c>
      <c r="E26" s="27" t="n">
        <v>35</v>
      </c>
      <c r="F26" s="34" t="inlineStr">
        <is>
          <t>T3</t>
        </is>
      </c>
      <c r="G26" s="34" t="inlineStr">
        <is>
          <t>med-low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Korea",FLOOR(60*korea_service_hr/K26,1),MIN(15,FLOOR(60*service_hr/K26,1)))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5217</v>
      </c>
      <c r="AI26" s="34" t="inlineStr">
        <is>
          <t>T3</t>
        </is>
      </c>
      <c r="AJ26" s="34" t="inlineStr">
        <is>
          <t>med-low</t>
        </is>
      </c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n"/>
      <c r="AZ26" s="46" t="n"/>
      <c r="BA26" s="34" t="inlineStr">
        <is>
          <t>rn-501c17b57a72</t>
        </is>
      </c>
    </row>
    <row r="27">
      <c r="A27" s="31" t="inlineStr">
        <is>
          <t>Gulf Authority Rakta</t>
        </is>
      </c>
      <c r="B27" s="31" t="inlineStr">
        <is>
          <t>United Arab Emirates</t>
        </is>
      </c>
      <c r="C27" s="32" t="inlineStr">
        <is>
          <t>Acacia by Bin Majid jetty → The Cove Rotana Resort jetty</t>
        </is>
      </c>
      <c r="D27" s="33" t="n">
        <v>2.9</v>
      </c>
      <c r="E27" s="27" t="n">
        <v>35</v>
      </c>
      <c r="F27" s="34" t="inlineStr">
        <is>
          <t>T3</t>
        </is>
      </c>
      <c r="G27" s="34" t="inlineStr">
        <is>
          <t>med-low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>
        <v>5217</v>
      </c>
      <c r="AI27" s="34" t="inlineStr">
        <is>
          <t>T3</t>
        </is>
      </c>
      <c r="AJ27" s="34" t="inlineStr">
        <is>
          <t>med-low</t>
        </is>
      </c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Grounded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n"/>
      <c r="AZ27" s="46" t="n"/>
      <c r="BA27" s="34" t="inlineStr">
        <is>
          <t>rn-c861bfe0ceb6</t>
        </is>
      </c>
    </row>
    <row r="28">
      <c r="A28" s="31" t="inlineStr">
        <is>
          <t>Gulf Authority Rakta</t>
        </is>
      </c>
      <c r="B28" s="31" t="inlineStr">
        <is>
          <t>United Arab Emirates</t>
        </is>
      </c>
      <c r="C28" s="32" t="inlineStr">
        <is>
          <t>Bin Majid Beach Resort jetty → The Cove Rotana Resort jetty</t>
        </is>
      </c>
      <c r="D28" s="33" t="n">
        <v>3</v>
      </c>
      <c r="E28" s="27" t="n">
        <v>35</v>
      </c>
      <c r="F28" s="34" t="inlineStr">
        <is>
          <t>T3</t>
        </is>
      </c>
      <c r="G28" s="34" t="inlineStr">
        <is>
          <t>med-low</t>
        </is>
      </c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Korea",FLOOR(60*korea_service_hr/K28,1),MIN(15,FLOOR(60*service_hr/K28,1)))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>
        <v>5217</v>
      </c>
      <c r="AI28" s="34" t="inlineStr">
        <is>
          <t>T3</t>
        </is>
      </c>
      <c r="AJ28" s="34" t="inlineStr">
        <is>
          <t>med-low</t>
        </is>
      </c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Grounded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n"/>
      <c r="AZ28" s="46" t="n"/>
      <c r="BA28" s="34" t="inlineStr">
        <is>
          <t>rn-86d55b7a87a5</t>
        </is>
      </c>
    </row>
    <row r="29">
      <c r="A29" s="31" t="inlineStr">
        <is>
          <t>Gulf Authority Rakta</t>
        </is>
      </c>
      <c r="B29" s="31" t="inlineStr">
        <is>
          <t>United Arab Emirates</t>
        </is>
      </c>
      <c r="C29" s="32" t="inlineStr">
        <is>
          <t>Raksa → Hilton Garden Inn Ras Al Khaimah (Corniche) jetty</t>
        </is>
      </c>
      <c r="D29" s="33" t="n">
        <v>3</v>
      </c>
      <c r="E29" s="27" t="n">
        <v>35</v>
      </c>
      <c r="F29" s="34" t="inlineStr">
        <is>
          <t>T3</t>
        </is>
      </c>
      <c r="G29" s="34" t="inlineStr">
        <is>
          <t>med-low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>
        <v>5217</v>
      </c>
      <c r="AI29" s="34" t="inlineStr">
        <is>
          <t>T3</t>
        </is>
      </c>
      <c r="AJ29" s="34" t="inlineStr">
        <is>
          <t>med-low</t>
        </is>
      </c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Grounded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n"/>
      <c r="AZ29" s="46" t="n"/>
      <c r="BA29" s="34" t="inlineStr">
        <is>
          <t>rn-0fecef31458f</t>
        </is>
      </c>
    </row>
    <row r="30">
      <c r="A30" s="31" t="inlineStr">
        <is>
          <t>Gulf Authority Rakta</t>
        </is>
      </c>
      <c r="B30" s="31" t="inlineStr">
        <is>
          <t>United Arab Emirates</t>
        </is>
      </c>
      <c r="C30" s="32" t="inlineStr">
        <is>
          <t>Al Zorah Marina 1 → Hamriyah Port Main Harbour</t>
        </is>
      </c>
      <c r="D30" s="33" t="n">
        <v>3.2</v>
      </c>
      <c r="E30" s="27" t="n">
        <v>35</v>
      </c>
      <c r="F30" s="34" t="inlineStr">
        <is>
          <t>T3</t>
        </is>
      </c>
      <c r="G30" s="34" t="inlineStr">
        <is>
          <t>med-low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>
        <v>5217</v>
      </c>
      <c r="AI30" s="34" t="inlineStr">
        <is>
          <t>T3</t>
        </is>
      </c>
      <c r="AJ30" s="34" t="inlineStr">
        <is>
          <t>med-low</t>
        </is>
      </c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Grounded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n"/>
      <c r="AZ30" s="46" t="n"/>
      <c r="BA30" s="34" t="inlineStr">
        <is>
          <t>rn-bcf9fd99ef5a</t>
        </is>
      </c>
    </row>
    <row r="31">
      <c r="A31" s="31" t="inlineStr">
        <is>
          <t>Gulf Authority Rakta</t>
        </is>
      </c>
      <c r="B31" s="31" t="inlineStr">
        <is>
          <t>United Arab Emirates</t>
        </is>
      </c>
      <c r="C31" s="32" t="inlineStr">
        <is>
          <t>Ajman Marina → Hamriyah Port Main Harbour</t>
        </is>
      </c>
      <c r="D31" s="33" t="n">
        <v>3.9</v>
      </c>
      <c r="E31" s="27" t="n">
        <v>35</v>
      </c>
      <c r="F31" s="34" t="inlineStr">
        <is>
          <t>T3</t>
        </is>
      </c>
      <c r="G31" s="34" t="inlineStr">
        <is>
          <t>med-low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Korea",FLOOR(60*korea_service_hr/K31,1),MIN(15,FLOOR(60*service_hr/K31,1)))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>
        <v>5217</v>
      </c>
      <c r="AI31" s="34" t="inlineStr">
        <is>
          <t>T3</t>
        </is>
      </c>
      <c r="AJ31" s="34" t="inlineStr">
        <is>
          <t>med-low</t>
        </is>
      </c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Grounded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n"/>
      <c r="AZ31" s="46" t="n"/>
      <c r="BA31" s="34" t="inlineStr">
        <is>
          <t>rn-a68b658bd154</t>
        </is>
      </c>
    </row>
    <row r="32">
      <c r="A32" s="31" t="inlineStr">
        <is>
          <t>Gulf Authority Rakta</t>
        </is>
      </c>
      <c r="B32" s="31" t="inlineStr">
        <is>
          <t>United Arab Emirates</t>
        </is>
      </c>
      <c r="C32" s="32" t="inlineStr">
        <is>
          <t>Sha'am coastal staging point → ميناء صيادين غليلة</t>
        </is>
      </c>
      <c r="D32" s="33" t="n">
        <v>3.9</v>
      </c>
      <c r="E32" s="27" t="n">
        <v>35</v>
      </c>
      <c r="F32" s="34" t="inlineStr">
        <is>
          <t>T3</t>
        </is>
      </c>
      <c r="G32" s="34" t="inlineStr">
        <is>
          <t>med-low</t>
        </is>
      </c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Korea",FLOOR(60*korea_service_hr/K32,1),MIN(15,FLOOR(60*service_hr/K32,1)))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>
        <v>5217</v>
      </c>
      <c r="AI32" s="34" t="inlineStr">
        <is>
          <t>T3</t>
        </is>
      </c>
      <c r="AJ32" s="34" t="inlineStr">
        <is>
          <t>med-low</t>
        </is>
      </c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Grounded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n"/>
      <c r="AZ32" s="46" t="n"/>
      <c r="BA32" s="34" t="inlineStr">
        <is>
          <t>rn-75773e5540dc</t>
        </is>
      </c>
    </row>
    <row r="33">
      <c r="A33" s="31" t="inlineStr">
        <is>
          <t>Gulf Authority Rakta</t>
        </is>
      </c>
      <c r="B33" s="31" t="inlineStr">
        <is>
          <t>United Arab Emirates</t>
        </is>
      </c>
      <c r="C33" s="32" t="inlineStr">
        <is>
          <t>ميناء صيادين خورخوير → Sha'am Fishing Boat Harbour</t>
        </is>
      </c>
      <c r="D33" s="33" t="n">
        <v>4.3</v>
      </c>
      <c r="E33" s="27" t="n">
        <v>35</v>
      </c>
      <c r="F33" s="34" t="inlineStr">
        <is>
          <t>T3</t>
        </is>
      </c>
      <c r="G33" s="34" t="inlineStr">
        <is>
          <t>med-low</t>
        </is>
      </c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Korea",FLOOR(60*korea_service_hr/K33,1),MIN(15,FLOOR(60*service_hr/K33,1)))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>
        <v>5217</v>
      </c>
      <c r="AI33" s="34" t="inlineStr">
        <is>
          <t>T3</t>
        </is>
      </c>
      <c r="AJ33" s="34" t="inlineStr">
        <is>
          <t>med-low</t>
        </is>
      </c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Grounded</t>
        </is>
      </c>
      <c r="AS33" s="43" t="n"/>
      <c r="AT33" s="43" t="n"/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n"/>
      <c r="AZ33" s="46" t="n"/>
      <c r="BA33" s="34" t="inlineStr">
        <is>
          <t>rn-d4e4d1a279ed</t>
        </is>
      </c>
    </row>
    <row r="34">
      <c r="A34" s="31" t="inlineStr">
        <is>
          <t>Gulf Authority Rakta</t>
        </is>
      </c>
      <c r="B34" s="31" t="inlineStr">
        <is>
          <t>United Arab Emirates</t>
        </is>
      </c>
      <c r="C34" s="32" t="inlineStr">
        <is>
          <t>Gumda Fishing Harbour → Sha'am coastal staging point</t>
        </is>
      </c>
      <c r="D34" s="33" t="n">
        <v>5.3</v>
      </c>
      <c r="E34" s="27" t="n">
        <v>35</v>
      </c>
      <c r="F34" s="34" t="inlineStr">
        <is>
          <t>T3</t>
        </is>
      </c>
      <c r="G34" s="34" t="inlineStr">
        <is>
          <t>med-low</t>
        </is>
      </c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>
        <v>5217</v>
      </c>
      <c r="AI34" s="34" t="inlineStr">
        <is>
          <t>T3</t>
        </is>
      </c>
      <c r="AJ34" s="34" t="inlineStr">
        <is>
          <t>med-low</t>
        </is>
      </c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Grounded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n"/>
      <c r="AZ34" s="46" t="n"/>
      <c r="BA34" s="34" t="inlineStr">
        <is>
          <t>rn-dfb7c3fcf0e4</t>
        </is>
      </c>
    </row>
    <row r="35">
      <c r="A35" s="31" t="inlineStr">
        <is>
          <t>Gulf Authority Rakta</t>
        </is>
      </c>
      <c r="B35" s="31" t="inlineStr">
        <is>
          <t>United Arab Emirates</t>
        </is>
      </c>
      <c r="C35" s="32" t="inlineStr">
        <is>
          <t>Zighy Marina → Dibba Al-Hisn Marina - Sharjah</t>
        </is>
      </c>
      <c r="D35" s="33" t="n">
        <v>5.3</v>
      </c>
      <c r="E35" s="27" t="n">
        <v>35</v>
      </c>
      <c r="F35" s="34" t="inlineStr">
        <is>
          <t>T3</t>
        </is>
      </c>
      <c r="G35" s="34" t="inlineStr">
        <is>
          <t>med-low</t>
        </is>
      </c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>
        <v>5217</v>
      </c>
      <c r="AI35" s="34" t="inlineStr">
        <is>
          <t>T3</t>
        </is>
      </c>
      <c r="AJ35" s="34" t="inlineStr">
        <is>
          <t>med-low</t>
        </is>
      </c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Grounded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n"/>
      <c r="AZ35" s="46" t="n"/>
      <c r="BA35" s="34" t="inlineStr">
        <is>
          <t>rn-2494f5a9242d</t>
        </is>
      </c>
    </row>
    <row r="36">
      <c r="A36" s="31" t="inlineStr">
        <is>
          <t>Gulf Authority Rakta</t>
        </is>
      </c>
      <c r="B36" s="31" t="inlineStr">
        <is>
          <t>United Arab Emirates</t>
        </is>
      </c>
      <c r="C36" s="32" t="inlineStr">
        <is>
          <t>Gumda Fishing Harbour → Sha'am Fishing Boat Harbour</t>
        </is>
      </c>
      <c r="D36" s="33" t="n">
        <v>7.2</v>
      </c>
      <c r="E36" s="27" t="n">
        <v>35</v>
      </c>
      <c r="F36" s="34" t="inlineStr">
        <is>
          <t>T3</t>
        </is>
      </c>
      <c r="G36" s="34" t="inlineStr">
        <is>
          <t>med-low</t>
        </is>
      </c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Korea",FLOOR(60*korea_service_hr/K36,1),MIN(15,FLOOR(60*service_hr/K36,1)))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>
        <v>5217</v>
      </c>
      <c r="AI36" s="34" t="inlineStr">
        <is>
          <t>T3</t>
        </is>
      </c>
      <c r="AJ36" s="34" t="inlineStr">
        <is>
          <t>med-low</t>
        </is>
      </c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Grounded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n"/>
      <c r="AZ36" s="46" t="n"/>
      <c r="BA36" s="34" t="inlineStr">
        <is>
          <t>rn-73cfebcabacd</t>
        </is>
      </c>
    </row>
    <row r="37">
      <c r="A37" s="31" t="inlineStr">
        <is>
          <t>Gulf Authority Rakta</t>
        </is>
      </c>
      <c r="B37" s="31" t="inlineStr">
        <is>
          <t>United Arab Emirates</t>
        </is>
      </c>
      <c r="C37" s="32" t="inlineStr">
        <is>
          <t>UAQ Marine Club → Hamriyah Port Main Harbour</t>
        </is>
      </c>
      <c r="D37" s="33" t="n">
        <v>10.5</v>
      </c>
      <c r="E37" s="27" t="n">
        <v>35</v>
      </c>
      <c r="F37" s="34" t="inlineStr">
        <is>
          <t>T3</t>
        </is>
      </c>
      <c r="G37" s="34" t="inlineStr">
        <is>
          <t>med-low</t>
        </is>
      </c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>
        <v>5217</v>
      </c>
      <c r="AI37" s="34" t="inlineStr">
        <is>
          <t>T3</t>
        </is>
      </c>
      <c r="AJ37" s="34" t="inlineStr">
        <is>
          <t>med-low</t>
        </is>
      </c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Grounded</t>
        </is>
      </c>
      <c r="AS37" s="43" t="n"/>
      <c r="AT37" s="43" t="n"/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n"/>
      <c r="AZ37" s="46" t="n"/>
      <c r="BA37" s="34" t="inlineStr">
        <is>
          <t>rn-2d00ee6cdb3e</t>
        </is>
      </c>
    </row>
    <row r="38">
      <c r="A38" s="31" t="inlineStr">
        <is>
          <t>Gulf Authority Rakta</t>
        </is>
      </c>
      <c r="B38" s="31" t="inlineStr">
        <is>
          <t>United Arab Emirates</t>
        </is>
      </c>
      <c r="C38" s="32" t="inlineStr">
        <is>
          <t>UAQ Marine Club → Rixos Bab Al Bahr beach jetty</t>
        </is>
      </c>
      <c r="D38" s="33" t="n">
        <v>11.8</v>
      </c>
      <c r="E38" s="27" t="n">
        <v>35</v>
      </c>
      <c r="F38" s="34" t="inlineStr">
        <is>
          <t>T3</t>
        </is>
      </c>
      <c r="G38" s="34" t="inlineStr">
        <is>
          <t>med-low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>
        <v>5217</v>
      </c>
      <c r="AI38" s="34" t="inlineStr">
        <is>
          <t>T3</t>
        </is>
      </c>
      <c r="AJ38" s="34" t="inlineStr">
        <is>
          <t>med-low</t>
        </is>
      </c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Grounded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n"/>
      <c r="AZ38" s="46" t="n"/>
      <c r="BA38" s="34" t="inlineStr">
        <is>
          <t>rn-8570d8c24098</t>
        </is>
      </c>
    </row>
    <row r="39">
      <c r="A39" s="31" t="inlineStr">
        <is>
          <t>Gulf Authority Rakta</t>
        </is>
      </c>
      <c r="B39" s="31" t="inlineStr">
        <is>
          <t>United Arab Emirates</t>
        </is>
      </c>
      <c r="C39" s="32" t="inlineStr">
        <is>
          <t>Ras Al Khaimah → ميناء صيادين غليلة</t>
        </is>
      </c>
      <c r="D39" s="33" t="n">
        <v>11.9</v>
      </c>
      <c r="E39" s="27" t="n">
        <v>35</v>
      </c>
      <c r="F39" s="34" t="inlineStr">
        <is>
          <t>T3</t>
        </is>
      </c>
      <c r="G39" s="34" t="inlineStr">
        <is>
          <t>med-low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5217</v>
      </c>
      <c r="AI39" s="34" t="inlineStr">
        <is>
          <t>T3</t>
        </is>
      </c>
      <c r="AJ39" s="34" t="inlineStr">
        <is>
          <t>med-low</t>
        </is>
      </c>
      <c r="AK39" s="41" t="n">
        <v>0.1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Grounded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n"/>
      <c r="AZ39" s="46" t="n"/>
      <c r="BA39" s="34" t="inlineStr">
        <is>
          <t>rn-d61bc3c848d9</t>
        </is>
      </c>
    </row>
    <row r="40">
      <c r="A40" s="31" t="inlineStr">
        <is>
          <t>Gulf Authority Rakta</t>
        </is>
      </c>
      <c r="B40" s="31" t="inlineStr">
        <is>
          <t>United Arab Emirates</t>
        </is>
      </c>
      <c r="C40" s="32" t="inlineStr">
        <is>
          <t>Ras Al Khaimah → Al Hamra Marina &amp; Royal Yacht Club RAK</t>
        </is>
      </c>
      <c r="D40" s="33" t="n">
        <v>13.6</v>
      </c>
      <c r="E40" s="27" t="n">
        <v>35</v>
      </c>
      <c r="F40" s="34" t="inlineStr">
        <is>
          <t>T3</t>
        </is>
      </c>
      <c r="G40" s="34" t="inlineStr">
        <is>
          <t>med-low</t>
        </is>
      </c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Korea",FLOOR(60*korea_service_hr/K40,1),MIN(15,FLOOR(60*service_hr/K40,1)))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>
        <v>5217</v>
      </c>
      <c r="AI40" s="34" t="inlineStr">
        <is>
          <t>T3</t>
        </is>
      </c>
      <c r="AJ40" s="34" t="inlineStr">
        <is>
          <t>med-low</t>
        </is>
      </c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Grounded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n"/>
      <c r="AZ40" s="46" t="n"/>
      <c r="BA40" s="34" t="inlineStr">
        <is>
          <t>rn-80cfe59d2d79</t>
        </is>
      </c>
    </row>
    <row r="41">
      <c r="A41" s="31" t="inlineStr">
        <is>
          <t>Gulf Authority Rakta</t>
        </is>
      </c>
      <c r="B41" s="31" t="inlineStr">
        <is>
          <t>United Arab Emirates</t>
        </is>
      </c>
      <c r="C41" s="32" t="inlineStr">
        <is>
          <t>Ras Al Khaimah → Al Marjan Island public arrival marina</t>
        </is>
      </c>
      <c r="D41" s="33" t="n">
        <v>16</v>
      </c>
      <c r="E41" s="27" t="n">
        <v>35</v>
      </c>
      <c r="F41" s="34" t="inlineStr">
        <is>
          <t>T3</t>
        </is>
      </c>
      <c r="G41" s="34" t="inlineStr">
        <is>
          <t>med-low</t>
        </is>
      </c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>
        <v>5217</v>
      </c>
      <c r="AI41" s="34" t="inlineStr">
        <is>
          <t>T3</t>
        </is>
      </c>
      <c r="AJ41" s="34" t="inlineStr">
        <is>
          <t>med-low</t>
        </is>
      </c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Grounded</t>
        </is>
      </c>
      <c r="AS41" s="43" t="n"/>
      <c r="AT41" s="43" t="n"/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n"/>
      <c r="AZ41" s="46" t="n"/>
      <c r="BA41" s="34" t="inlineStr">
        <is>
          <t>rn-482b047f5a66</t>
        </is>
      </c>
    </row>
    <row r="42">
      <c r="A42" s="31" t="inlineStr">
        <is>
          <t>Gulf Authority Rakta</t>
        </is>
      </c>
      <c r="B42" s="31" t="inlineStr">
        <is>
          <t>United Arab Emirates</t>
        </is>
      </c>
      <c r="C42" s="32" t="inlineStr">
        <is>
          <t>Ras Al Khaimah → UAQ Marine Club</t>
        </is>
      </c>
      <c r="D42" s="33" t="n">
        <v>26.6</v>
      </c>
      <c r="E42" s="27" t="n">
        <v>35</v>
      </c>
      <c r="F42" s="34" t="inlineStr">
        <is>
          <t>T3</t>
        </is>
      </c>
      <c r="G42" s="34" t="inlineStr">
        <is>
          <t>med-low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>
        <v>5217</v>
      </c>
      <c r="AI42" s="34" t="inlineStr">
        <is>
          <t>T3</t>
        </is>
      </c>
      <c r="AJ42" s="34" t="inlineStr">
        <is>
          <t>med-low</t>
        </is>
      </c>
      <c r="AK42" s="41" t="n">
        <v>0.1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Grounded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n"/>
      <c r="AZ42" s="46" t="n"/>
      <c r="BA42" s="34" t="inlineStr">
        <is>
          <t>rn-7ef1b64eebe0</t>
        </is>
      </c>
    </row>
    <row r="43">
      <c r="A43" s="31" t="inlineStr">
        <is>
          <t>Gulf Authority Rakta</t>
        </is>
      </c>
      <c r="B43" s="31" t="inlineStr">
        <is>
          <t>United Arab Emirates</t>
        </is>
      </c>
      <c r="C43" s="32" t="inlineStr">
        <is>
          <t>Ras Al Khaimah → Ajman Marina</t>
        </is>
      </c>
      <c r="D43" s="33" t="n">
        <v>39</v>
      </c>
      <c r="E43" s="27" t="n">
        <v>35</v>
      </c>
      <c r="F43" s="34" t="inlineStr">
        <is>
          <t>T3</t>
        </is>
      </c>
      <c r="G43" s="34" t="inlineStr">
        <is>
          <t>med-low</t>
        </is>
      </c>
      <c r="H43" s="20" t="n">
        <v>1</v>
      </c>
      <c r="I43" s="35">
        <f>60*D43/cruise_kt</f>
        <v/>
      </c>
      <c r="J43" s="35">
        <f>IF(B43="South Korea",D43/korea_charge_range_nm*korea_full_range_charge_min,0)</f>
        <v/>
      </c>
      <c r="K43" s="35">
        <f>IF(B43="South Korea",I43+korea_turn_min+korea_dwell_min+J43,I43+turn_min+dwell_min)</f>
        <v/>
      </c>
      <c r="L43" s="36">
        <f>IF(B43="South Korea",FLOOR(60*korea_service_hr/K43,1),MIN(15,FLOOR(60*service_hr/K43,1)))</f>
        <v/>
      </c>
      <c r="M43" s="36">
        <f>IF(ABS(MOD(ABS((365*mech_uptime*H43)),1)-0.5)&lt;1E-9,2*ROUND((365*mech_uptime*H43)/2,0),ROUND((365*mech_uptime*H43),0))</f>
        <v/>
      </c>
      <c r="N43" s="37">
        <f>mech_uptime</f>
        <v/>
      </c>
      <c r="O43" s="37">
        <f>IF(AND(B43="South Korea",scenario="MID"),korea_mid_revleg,revleg_sel)</f>
        <v/>
      </c>
      <c r="P43" s="36">
        <f>IF(ABS(MOD(ABS((L43*M43*O43)),1)-0.5)&lt;1E-9,2*ROUND((L43*M43*O43)/2,0),ROUND((L43*M43*O43),0))</f>
        <v/>
      </c>
      <c r="Q43" s="37">
        <f>IF(AND(B43="South Korea",scenario="MID"),korea_mid_load,load_sel)</f>
        <v/>
      </c>
      <c r="R43" s="38">
        <f>pax_cap*Q43</f>
        <v/>
      </c>
      <c r="S43" s="36">
        <f>R43*P43</f>
        <v/>
      </c>
      <c r="T43" s="39">
        <f>E43*discount</f>
        <v/>
      </c>
      <c r="U43" s="40">
        <f>T43*S43</f>
        <v/>
      </c>
      <c r="V43" s="40">
        <f>(battery/range_nm)*D43*P43*VLOOKUP(B43,country_opex,3,FALSE)</f>
        <v/>
      </c>
      <c r="W43" s="40">
        <f>VLOOKUP(B43,country_opex,2,FALSE)*crew_factor</f>
        <v/>
      </c>
      <c r="X43" s="40">
        <f>VLOOKUP(B43,country_opex,5,FALSE)</f>
        <v/>
      </c>
      <c r="Y43" s="40">
        <f>maint</f>
        <v/>
      </c>
      <c r="Z43" s="40">
        <f>VLOOKUP(B43,country_opex,7,FALSE)*ins_pct</f>
        <v/>
      </c>
      <c r="AA43" s="40">
        <f>charge_berth</f>
        <v/>
      </c>
      <c r="AB43" s="40">
        <f>V43+W43+X43+Y43+Z43+AA43</f>
        <v/>
      </c>
      <c r="AC43" s="40">
        <f>VLOOKUP(B43,country_opex,7,FALSE)/dep_years</f>
        <v/>
      </c>
      <c r="AD43" s="40">
        <f>U43-AB43</f>
        <v/>
      </c>
      <c r="AE43" s="37">
        <f>IF(U43=0,"",AD43/U43)</f>
        <v/>
      </c>
      <c r="AF43" s="38">
        <f>IF(AD43&lt;=0,"",VLOOKUP(B43,country_opex,7,FALSE)/AD43)</f>
        <v/>
      </c>
      <c r="AG43" s="35">
        <f>((D43*P43/diesel_nmpg)*diesel_co2pg-(battery/range_nm)*D43*P43*VLOOKUP(B43,country_opex,4,FALSE))/1000</f>
        <v/>
      </c>
      <c r="AH43" s="33" t="n">
        <v>5217</v>
      </c>
      <c r="AI43" s="34" t="inlineStr">
        <is>
          <t>T3</t>
        </is>
      </c>
      <c r="AJ43" s="34" t="inlineStr">
        <is>
          <t>med-low</t>
        </is>
      </c>
      <c r="AK43" s="41" t="n">
        <v>0.1</v>
      </c>
      <c r="AL43" s="36">
        <f>IF(AH43="","",AH43*AK43)</f>
        <v/>
      </c>
      <c r="AM43" s="36">
        <f>IF(OR(AH43="",S43=0),"",MIN(IF(AU43="",9.9E+99,AU43),FLOOR(AL43/S43,1)))</f>
        <v/>
      </c>
      <c r="AN43" s="40">
        <f>IF(AM43="","",AM43*IF(ABS(MOD(ABS((U43)),1)-0.5)&lt;1E-9,2*ROUND((U43)/2,0),ROUND((U43),0)))</f>
        <v/>
      </c>
      <c r="AO43" s="38">
        <f>IF(OR(AH43="",S43=0),"",MIN(IF(AU43="",9.9E+99,AU43),AL43/S43))</f>
        <v/>
      </c>
      <c r="AP43" s="40">
        <f>IF(AO43="","",AO43*IF(B43="South Korea",IF(ABS(MOD(ABS((U43)),1)-0.5)&lt;1E-9,2*ROUND((U43)/2,0),ROUND((U43),0)),U43))</f>
        <v/>
      </c>
      <c r="AQ43" s="42" t="n"/>
      <c r="AR43" s="34" t="inlineStr">
        <is>
          <t>Grounded</t>
        </is>
      </c>
      <c r="AS43" s="43" t="n"/>
      <c r="AT43" s="43" t="n"/>
      <c r="AU43" s="44" t="n"/>
      <c r="AV43" s="45">
        <f>IF(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&lt;=0,"",VLOOKUP(B43,country_opex,7,FALSE)/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)</f>
        <v/>
      </c>
      <c r="AW43" s="45">
        <f>IF(((T43*pax_cap*IF(B43="South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Korea",korea_mid_revleg,revleg_mid)),0))*VLOOKUP(B43,country_opex,3,FALSE))+W43+X43+Y43+Z43+AA43))&lt;=0,"",VLOOKUP(B43,country_opex,7,FALSE)/((T43*pax_cap*IF(B43="South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Korea",korea_mid_revleg,revleg_mid)),0))*VLOOKUP(B43,country_opex,3,FALSE))+W43+X43+Y43+Z43+AA43)))</f>
        <v/>
      </c>
      <c r="AX43" s="45">
        <f>IF(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&lt;=0,"",VLOOKUP(B43,country_opex,7,FALSE)/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)</f>
        <v/>
      </c>
      <c r="AY43" s="46" t="n"/>
      <c r="AZ43" s="46" t="n"/>
      <c r="BA43" s="34" t="inlineStr">
        <is>
          <t>rn-dacbbff1792e</t>
        </is>
      </c>
    </row>
    <row r="44">
      <c r="A44" s="31" t="inlineStr">
        <is>
          <t>Gulf Authority Rakta</t>
        </is>
      </c>
      <c r="B44" s="31" t="inlineStr">
        <is>
          <t>United Arab Emirates</t>
        </is>
      </c>
      <c r="C44" s="32" t="inlineStr">
        <is>
          <t>Ras Al Khaimah → Sharjah</t>
        </is>
      </c>
      <c r="D44" s="33" t="n">
        <v>42</v>
      </c>
      <c r="E44" s="27" t="n">
        <v>35</v>
      </c>
      <c r="F44" s="34" t="inlineStr">
        <is>
          <t>T3</t>
        </is>
      </c>
      <c r="G44" s="34" t="inlineStr">
        <is>
          <t>med-low</t>
        </is>
      </c>
      <c r="H44" s="20" t="n">
        <v>1</v>
      </c>
      <c r="I44" s="35">
        <f>60*D44/cruise_kt</f>
        <v/>
      </c>
      <c r="J44" s="35">
        <f>IF(B44="South Korea",D44/korea_charge_range_nm*korea_full_range_charge_min,0)</f>
        <v/>
      </c>
      <c r="K44" s="35">
        <f>IF(B44="South Korea",I44+korea_turn_min+korea_dwell_min+J44,I44+turn_min+dwell_min)</f>
        <v/>
      </c>
      <c r="L44" s="36">
        <f>IF(B44="South Korea",FLOOR(60*korea_service_hr/K44,1),MIN(15,FLOOR(60*service_hr/K44,1)))</f>
        <v/>
      </c>
      <c r="M44" s="36">
        <f>IF(ABS(MOD(ABS((365*mech_uptime*H44)),1)-0.5)&lt;1E-9,2*ROUND((365*mech_uptime*H44)/2,0),ROUND((365*mech_uptime*H44),0))</f>
        <v/>
      </c>
      <c r="N44" s="37">
        <f>mech_uptime</f>
        <v/>
      </c>
      <c r="O44" s="37">
        <f>IF(AND(B44="South Korea",scenario="MID"),korea_mid_revleg,revleg_sel)</f>
        <v/>
      </c>
      <c r="P44" s="36">
        <f>IF(ABS(MOD(ABS((L44*M44*O44)),1)-0.5)&lt;1E-9,2*ROUND((L44*M44*O44)/2,0),ROUND((L44*M44*O44),0))</f>
        <v/>
      </c>
      <c r="Q44" s="37">
        <f>IF(AND(B44="South Korea",scenario="MID"),korea_mid_load,load_sel)</f>
        <v/>
      </c>
      <c r="R44" s="38">
        <f>pax_cap*Q44</f>
        <v/>
      </c>
      <c r="S44" s="36">
        <f>R44*P44</f>
        <v/>
      </c>
      <c r="T44" s="39">
        <f>E44*discount</f>
        <v/>
      </c>
      <c r="U44" s="40">
        <f>T44*S44</f>
        <v/>
      </c>
      <c r="V44" s="40">
        <f>(battery/range_nm)*D44*P44*VLOOKUP(B44,country_opex,3,FALSE)</f>
        <v/>
      </c>
      <c r="W44" s="40">
        <f>VLOOKUP(B44,country_opex,2,FALSE)*crew_factor</f>
        <v/>
      </c>
      <c r="X44" s="40">
        <f>VLOOKUP(B44,country_opex,5,FALSE)</f>
        <v/>
      </c>
      <c r="Y44" s="40">
        <f>maint</f>
        <v/>
      </c>
      <c r="Z44" s="40">
        <f>VLOOKUP(B44,country_opex,7,FALSE)*ins_pct</f>
        <v/>
      </c>
      <c r="AA44" s="40">
        <f>charge_berth</f>
        <v/>
      </c>
      <c r="AB44" s="40">
        <f>V44+W44+X44+Y44+Z44+AA44</f>
        <v/>
      </c>
      <c r="AC44" s="40">
        <f>VLOOKUP(B44,country_opex,7,FALSE)/dep_years</f>
        <v/>
      </c>
      <c r="AD44" s="40">
        <f>U44-AB44</f>
        <v/>
      </c>
      <c r="AE44" s="37">
        <f>IF(U44=0,"",AD44/U44)</f>
        <v/>
      </c>
      <c r="AF44" s="38">
        <f>IF(AD44&lt;=0,"",VLOOKUP(B44,country_opex,7,FALSE)/AD44)</f>
        <v/>
      </c>
      <c r="AG44" s="35">
        <f>((D44*P44/diesel_nmpg)*diesel_co2pg-(battery/range_nm)*D44*P44*VLOOKUP(B44,country_opex,4,FALSE))/1000</f>
        <v/>
      </c>
      <c r="AH44" s="33" t="n">
        <v>5217</v>
      </c>
      <c r="AI44" s="34" t="inlineStr">
        <is>
          <t>T3</t>
        </is>
      </c>
      <c r="AJ44" s="34" t="inlineStr">
        <is>
          <t>med-low</t>
        </is>
      </c>
      <c r="AK44" s="41" t="n">
        <v>0.1</v>
      </c>
      <c r="AL44" s="36">
        <f>IF(AH44="","",AH44*AK44)</f>
        <v/>
      </c>
      <c r="AM44" s="36">
        <f>IF(OR(AH44="",S44=0),"",MIN(IF(AU44="",9.9E+99,AU44),FLOOR(AL44/S44,1)))</f>
        <v/>
      </c>
      <c r="AN44" s="40">
        <f>IF(AM44="","",AM44*IF(ABS(MOD(ABS((U44)),1)-0.5)&lt;1E-9,2*ROUND((U44)/2,0),ROUND((U44),0)))</f>
        <v/>
      </c>
      <c r="AO44" s="38">
        <f>IF(OR(AH44="",S44=0),"",MIN(IF(AU44="",9.9E+99,AU44),AL44/S44))</f>
        <v/>
      </c>
      <c r="AP44" s="40">
        <f>IF(AO44="","",AO44*IF(B44="South Korea",IF(ABS(MOD(ABS((U44)),1)-0.5)&lt;1E-9,2*ROUND((U44)/2,0),ROUND((U44),0)),U44))</f>
        <v/>
      </c>
      <c r="AQ44" s="42" t="n"/>
      <c r="AR44" s="34" t="inlineStr">
        <is>
          <t>Grounded</t>
        </is>
      </c>
      <c r="AS44" s="43" t="n"/>
      <c r="AT44" s="43" t="n"/>
      <c r="AU44" s="44" t="n"/>
      <c r="AV44" s="45">
        <f>IF(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&lt;=0,"",VLOOKUP(B44,country_opex,7,FALSE)/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)</f>
        <v/>
      </c>
      <c r="AW44" s="45">
        <f>IF(((T44*pax_cap*IF(B44="South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Korea",korea_mid_revleg,revleg_mid)),0))*VLOOKUP(B44,country_opex,3,FALSE))+W44+X44+Y44+Z44+AA44))&lt;=0,"",VLOOKUP(B44,country_opex,7,FALSE)/((T44*pax_cap*IF(B44="South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Korea",korea_mid_revleg,revleg_mid)),0))*VLOOKUP(B44,country_opex,3,FALSE))+W44+X44+Y44+Z44+AA44)))</f>
        <v/>
      </c>
      <c r="AX44" s="45">
        <f>IF(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&lt;=0,"",VLOOKUP(B44,country_opex,7,FALSE)/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)</f>
        <v/>
      </c>
      <c r="AY44" s="46" t="n"/>
      <c r="AZ44" s="46" t="n"/>
      <c r="BA44" s="34" t="inlineStr">
        <is>
          <t>rn-46bf5bf09b13</t>
        </is>
      </c>
    </row>
    <row r="45">
      <c r="A45" s="31" t="inlineStr">
        <is>
          <t>Gulf Authority Rakta</t>
        </is>
      </c>
      <c r="B45" s="31" t="inlineStr">
        <is>
          <t>United Arab Emirates</t>
        </is>
      </c>
      <c r="C45" s="32" t="inlineStr">
        <is>
          <t>Dubai Harbour Marina → Wynn Al Marjan Island arrival lagoon</t>
        </is>
      </c>
      <c r="D45" s="33" t="n">
        <v>49.8</v>
      </c>
      <c r="E45" s="27" t="n">
        <v>35</v>
      </c>
      <c r="F45" s="34" t="inlineStr">
        <is>
          <t>T3</t>
        </is>
      </c>
      <c r="G45" s="34" t="inlineStr">
        <is>
          <t>med-low</t>
        </is>
      </c>
      <c r="H45" s="20" t="n">
        <v>1</v>
      </c>
      <c r="I45" s="35">
        <f>60*D45/cruise_kt</f>
        <v/>
      </c>
      <c r="J45" s="35">
        <f>IF(B45="South Korea",D45/korea_charge_range_nm*korea_full_range_charge_min,0)</f>
        <v/>
      </c>
      <c r="K45" s="35">
        <f>IF(B45="South Korea",I45+korea_turn_min+korea_dwell_min+J45,I45+turn_min+dwell_min)</f>
        <v/>
      </c>
      <c r="L45" s="36">
        <f>IF(B45="South Korea",FLOOR(60*korea_service_hr/K45,1),MIN(15,FLOOR(60*service_hr/K45,1)))</f>
        <v/>
      </c>
      <c r="M45" s="36">
        <f>IF(ABS(MOD(ABS((365*mech_uptime*H45)),1)-0.5)&lt;1E-9,2*ROUND((365*mech_uptime*H45)/2,0),ROUND((365*mech_uptime*H45),0))</f>
        <v/>
      </c>
      <c r="N45" s="37">
        <f>mech_uptime</f>
        <v/>
      </c>
      <c r="O45" s="37">
        <f>IF(AND(B45="South Korea",scenario="MID"),korea_mid_revleg,revleg_sel)</f>
        <v/>
      </c>
      <c r="P45" s="36">
        <f>IF(ABS(MOD(ABS((L45*M45*O45)),1)-0.5)&lt;1E-9,2*ROUND((L45*M45*O45)/2,0),ROUND((L45*M45*O45),0))</f>
        <v/>
      </c>
      <c r="Q45" s="37">
        <f>IF(AND(B45="South Korea",scenario="MID"),korea_mid_load,load_sel)</f>
        <v/>
      </c>
      <c r="R45" s="38">
        <f>pax_cap*Q45</f>
        <v/>
      </c>
      <c r="S45" s="36">
        <f>R45*P45</f>
        <v/>
      </c>
      <c r="T45" s="39">
        <f>E45*discount</f>
        <v/>
      </c>
      <c r="U45" s="40">
        <f>T45*S45</f>
        <v/>
      </c>
      <c r="V45" s="40">
        <f>(battery/range_nm)*D45*P45*VLOOKUP(B45,country_opex,3,FALSE)</f>
        <v/>
      </c>
      <c r="W45" s="40">
        <f>VLOOKUP(B45,country_opex,2,FALSE)*crew_factor</f>
        <v/>
      </c>
      <c r="X45" s="40">
        <f>VLOOKUP(B45,country_opex,5,FALSE)</f>
        <v/>
      </c>
      <c r="Y45" s="40">
        <f>maint</f>
        <v/>
      </c>
      <c r="Z45" s="40">
        <f>VLOOKUP(B45,country_opex,7,FALSE)*ins_pct</f>
        <v/>
      </c>
      <c r="AA45" s="40">
        <f>charge_berth</f>
        <v/>
      </c>
      <c r="AB45" s="40">
        <f>V45+W45+X45+Y45+Z45+AA45</f>
        <v/>
      </c>
      <c r="AC45" s="40">
        <f>VLOOKUP(B45,country_opex,7,FALSE)/dep_years</f>
        <v/>
      </c>
      <c r="AD45" s="40">
        <f>U45-AB45</f>
        <v/>
      </c>
      <c r="AE45" s="37">
        <f>IF(U45=0,"",AD45/U45)</f>
        <v/>
      </c>
      <c r="AF45" s="38">
        <f>IF(AD45&lt;=0,"",VLOOKUP(B45,country_opex,7,FALSE)/AD45)</f>
        <v/>
      </c>
      <c r="AG45" s="35">
        <f>((D45*P45/diesel_nmpg)*diesel_co2pg-(battery/range_nm)*D45*P45*VLOOKUP(B45,country_opex,4,FALSE))/1000</f>
        <v/>
      </c>
      <c r="AH45" s="33" t="n">
        <v>5217</v>
      </c>
      <c r="AI45" s="34" t="inlineStr">
        <is>
          <t>T3</t>
        </is>
      </c>
      <c r="AJ45" s="34" t="inlineStr">
        <is>
          <t>med-low</t>
        </is>
      </c>
      <c r="AK45" s="41" t="n">
        <v>0.1</v>
      </c>
      <c r="AL45" s="36">
        <f>IF(AH45="","",AH45*AK45)</f>
        <v/>
      </c>
      <c r="AM45" s="36">
        <f>IF(OR(AH45="",S45=0),"",MIN(IF(AU45="",9.9E+99,AU45),FLOOR(AL45/S45,1)))</f>
        <v/>
      </c>
      <c r="AN45" s="40">
        <f>IF(AM45="","",AM45*IF(ABS(MOD(ABS((U45)),1)-0.5)&lt;1E-9,2*ROUND((U45)/2,0),ROUND((U45),0)))</f>
        <v/>
      </c>
      <c r="AO45" s="38">
        <f>IF(OR(AH45="",S45=0),"",MIN(IF(AU45="",9.9E+99,AU45),AL45/S45))</f>
        <v/>
      </c>
      <c r="AP45" s="40">
        <f>IF(AO45="","",AO45*IF(B45="South Korea",IF(ABS(MOD(ABS((U45)),1)-0.5)&lt;1E-9,2*ROUND((U45)/2,0),ROUND((U45),0)),U45))</f>
        <v/>
      </c>
      <c r="AQ45" s="42" t="n"/>
      <c r="AR45" s="34" t="inlineStr">
        <is>
          <t>Grounded</t>
        </is>
      </c>
      <c r="AS45" s="43" t="n"/>
      <c r="AT45" s="43" t="n"/>
      <c r="AU45" s="44" t="n"/>
      <c r="AV45" s="45">
        <f>IF(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&lt;=0,"",VLOOKUP(B45,country_opex,7,FALSE)/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)</f>
        <v/>
      </c>
      <c r="AW45" s="45">
        <f>IF(((T45*pax_cap*IF(B45="South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Korea",korea_mid_revleg,revleg_mid)),0))*VLOOKUP(B45,country_opex,3,FALSE))+W45+X45+Y45+Z45+AA45))&lt;=0,"",VLOOKUP(B45,country_opex,7,FALSE)/((T45*pax_cap*IF(B45="South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Korea",korea_mid_revleg,revleg_mid)),0))*VLOOKUP(B45,country_opex,3,FALSE))+W45+X45+Y45+Z45+AA45)))</f>
        <v/>
      </c>
      <c r="AX45" s="45">
        <f>IF(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&lt;=0,"",VLOOKUP(B45,country_opex,7,FALSE)/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)</f>
        <v/>
      </c>
      <c r="AY45" s="46" t="n"/>
      <c r="AZ45" s="46" t="n"/>
      <c r="BA45" s="34" t="inlineStr">
        <is>
          <t>gcn-9e515da38a-bolt</t>
        </is>
      </c>
    </row>
    <row r="46">
      <c r="A46" s="31" t="inlineStr">
        <is>
          <t>Gulf Authority Rakta</t>
        </is>
      </c>
      <c r="B46" s="31" t="inlineStr">
        <is>
          <t>United Arab Emirates</t>
        </is>
      </c>
      <c r="C46" s="32" t="inlineStr">
        <is>
          <t>Ras Al Khaimah → Dubai Islands Marina</t>
        </is>
      </c>
      <c r="D46" s="33" t="n">
        <v>50</v>
      </c>
      <c r="E46" s="27" t="n">
        <v>35</v>
      </c>
      <c r="F46" s="34" t="inlineStr">
        <is>
          <t>T3</t>
        </is>
      </c>
      <c r="G46" s="34" t="inlineStr">
        <is>
          <t>med-low</t>
        </is>
      </c>
      <c r="H46" s="20" t="n">
        <v>1</v>
      </c>
      <c r="I46" s="35">
        <f>60*D46/cruise_kt</f>
        <v/>
      </c>
      <c r="J46" s="35">
        <f>IF(B46="South Korea",D46/korea_charge_range_nm*korea_full_range_charge_min,0)</f>
        <v/>
      </c>
      <c r="K46" s="35">
        <f>IF(B46="South Korea",I46+korea_turn_min+korea_dwell_min+J46,I46+turn_min+dwell_min)</f>
        <v/>
      </c>
      <c r="L46" s="36">
        <f>IF(B46="South Korea",FLOOR(60*korea_service_hr/K46,1),MIN(15,FLOOR(60*service_hr/K46,1)))</f>
        <v/>
      </c>
      <c r="M46" s="36">
        <f>IF(ABS(MOD(ABS((365*mech_uptime*H46)),1)-0.5)&lt;1E-9,2*ROUND((365*mech_uptime*H46)/2,0),ROUND((365*mech_uptime*H46),0))</f>
        <v/>
      </c>
      <c r="N46" s="37">
        <f>mech_uptime</f>
        <v/>
      </c>
      <c r="O46" s="37">
        <f>IF(AND(B46="South Korea",scenario="MID"),korea_mid_revleg,revleg_sel)</f>
        <v/>
      </c>
      <c r="P46" s="36">
        <f>IF(ABS(MOD(ABS((L46*M46*O46)),1)-0.5)&lt;1E-9,2*ROUND((L46*M46*O46)/2,0),ROUND((L46*M46*O46),0))</f>
        <v/>
      </c>
      <c r="Q46" s="37">
        <f>IF(AND(B46="South Korea",scenario="MID"),korea_mid_load,load_sel)</f>
        <v/>
      </c>
      <c r="R46" s="38">
        <f>pax_cap*Q46</f>
        <v/>
      </c>
      <c r="S46" s="36">
        <f>R46*P46</f>
        <v/>
      </c>
      <c r="T46" s="39">
        <f>E46*discount</f>
        <v/>
      </c>
      <c r="U46" s="40">
        <f>T46*S46</f>
        <v/>
      </c>
      <c r="V46" s="40">
        <f>(battery/range_nm)*D46*P46*VLOOKUP(B46,country_opex,3,FALSE)</f>
        <v/>
      </c>
      <c r="W46" s="40">
        <f>VLOOKUP(B46,country_opex,2,FALSE)*crew_factor</f>
        <v/>
      </c>
      <c r="X46" s="40">
        <f>VLOOKUP(B46,country_opex,5,FALSE)</f>
        <v/>
      </c>
      <c r="Y46" s="40">
        <f>maint</f>
        <v/>
      </c>
      <c r="Z46" s="40">
        <f>VLOOKUP(B46,country_opex,7,FALSE)*ins_pct</f>
        <v/>
      </c>
      <c r="AA46" s="40">
        <f>charge_berth</f>
        <v/>
      </c>
      <c r="AB46" s="40">
        <f>V46+W46+X46+Y46+Z46+AA46</f>
        <v/>
      </c>
      <c r="AC46" s="40">
        <f>VLOOKUP(B46,country_opex,7,FALSE)/dep_years</f>
        <v/>
      </c>
      <c r="AD46" s="40">
        <f>U46-AB46</f>
        <v/>
      </c>
      <c r="AE46" s="37">
        <f>IF(U46=0,"",AD46/U46)</f>
        <v/>
      </c>
      <c r="AF46" s="38">
        <f>IF(AD46&lt;=0,"",VLOOKUP(B46,country_opex,7,FALSE)/AD46)</f>
        <v/>
      </c>
      <c r="AG46" s="35">
        <f>((D46*P46/diesel_nmpg)*diesel_co2pg-(battery/range_nm)*D46*P46*VLOOKUP(B46,country_opex,4,FALSE))/1000</f>
        <v/>
      </c>
      <c r="AH46" s="33" t="n">
        <v>5217</v>
      </c>
      <c r="AI46" s="34" t="inlineStr">
        <is>
          <t>T3</t>
        </is>
      </c>
      <c r="AJ46" s="34" t="inlineStr">
        <is>
          <t>med-low</t>
        </is>
      </c>
      <c r="AK46" s="41" t="n">
        <v>0.1</v>
      </c>
      <c r="AL46" s="36">
        <f>IF(AH46="","",AH46*AK46)</f>
        <v/>
      </c>
      <c r="AM46" s="36">
        <f>IF(OR(AH46="",S46=0),"",MIN(IF(AU46="",9.9E+99,AU46),FLOOR(AL46/S46,1)))</f>
        <v/>
      </c>
      <c r="AN46" s="40">
        <f>IF(AM46="","",AM46*IF(ABS(MOD(ABS((U46)),1)-0.5)&lt;1E-9,2*ROUND((U46)/2,0),ROUND((U46),0)))</f>
        <v/>
      </c>
      <c r="AO46" s="38">
        <f>IF(OR(AH46="",S46=0),"",MIN(IF(AU46="",9.9E+99,AU46),AL46/S46))</f>
        <v/>
      </c>
      <c r="AP46" s="40">
        <f>IF(AO46="","",AO46*IF(B46="South Korea",IF(ABS(MOD(ABS((U46)),1)-0.5)&lt;1E-9,2*ROUND((U46)/2,0),ROUND((U46),0)),U46))</f>
        <v/>
      </c>
      <c r="AQ46" s="42" t="n"/>
      <c r="AR46" s="34" t="inlineStr">
        <is>
          <t>Grounded</t>
        </is>
      </c>
      <c r="AS46" s="43" t="n"/>
      <c r="AT46" s="43" t="n"/>
      <c r="AU46" s="44" t="n"/>
      <c r="AV46" s="45">
        <f>IF(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&lt;=0,"",VLOOKUP(B46,country_opex,7,FALSE)/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)</f>
        <v/>
      </c>
      <c r="AW46" s="45">
        <f>IF(((T46*pax_cap*IF(B46="South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Korea",korea_mid_revleg,revleg_mid)),0))*VLOOKUP(B46,country_opex,3,FALSE))+W46+X46+Y46+Z46+AA46))&lt;=0,"",VLOOKUP(B46,country_opex,7,FALSE)/((T46*pax_cap*IF(B46="South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Korea",korea_mid_revleg,revleg_mid)),0))*VLOOKUP(B46,country_opex,3,FALSE))+W46+X46+Y46+Z46+AA46)))</f>
        <v/>
      </c>
      <c r="AX46" s="45">
        <f>IF(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&lt;=0,"",VLOOKUP(B46,country_opex,7,FALSE)/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)</f>
        <v/>
      </c>
      <c r="AY46" s="46" t="n"/>
      <c r="AZ46" s="46" t="n"/>
      <c r="BA46" s="34" t="inlineStr">
        <is>
          <t>rn-8bc1e153cdc4</t>
        </is>
      </c>
    </row>
    <row r="47">
      <c r="A47" s="31" t="inlineStr">
        <is>
          <t>Gulf Authority Rakta</t>
        </is>
      </c>
      <c r="B47" s="31" t="inlineStr">
        <is>
          <t>United Arab Emirates</t>
        </is>
      </c>
      <c r="C47" s="32" t="inlineStr">
        <is>
          <t>Ras Al Khaimah → Fujairah</t>
        </is>
      </c>
      <c r="D47" s="33" t="n">
        <v>54.7</v>
      </c>
      <c r="E47" s="27" t="n">
        <v>35</v>
      </c>
      <c r="F47" s="34" t="inlineStr">
        <is>
          <t>T3</t>
        </is>
      </c>
      <c r="G47" s="34" t="inlineStr">
        <is>
          <t>med-low</t>
        </is>
      </c>
      <c r="H47" s="20" t="n">
        <v>1</v>
      </c>
      <c r="I47" s="35">
        <f>60*D47/cruise_kt</f>
        <v/>
      </c>
      <c r="J47" s="35">
        <f>IF(B47="South Korea",D47/korea_charge_range_nm*korea_full_range_charge_min,0)</f>
        <v/>
      </c>
      <c r="K47" s="35">
        <f>IF(B47="South Korea",I47+korea_turn_min+korea_dwell_min+J47,I47+turn_min+dwell_min)</f>
        <v/>
      </c>
      <c r="L47" s="36">
        <f>IF(B47="South Korea",FLOOR(60*korea_service_hr/K47,1),MIN(15,FLOOR(60*service_hr/K47,1)))</f>
        <v/>
      </c>
      <c r="M47" s="36">
        <f>IF(ABS(MOD(ABS((365*mech_uptime*H47)),1)-0.5)&lt;1E-9,2*ROUND((365*mech_uptime*H47)/2,0),ROUND((365*mech_uptime*H47),0))</f>
        <v/>
      </c>
      <c r="N47" s="37">
        <f>mech_uptime</f>
        <v/>
      </c>
      <c r="O47" s="37">
        <f>IF(AND(B47="South Korea",scenario="MID"),korea_mid_revleg,revleg_sel)</f>
        <v/>
      </c>
      <c r="P47" s="36">
        <f>IF(ABS(MOD(ABS((L47*M47*O47)),1)-0.5)&lt;1E-9,2*ROUND((L47*M47*O47)/2,0),ROUND((L47*M47*O47),0))</f>
        <v/>
      </c>
      <c r="Q47" s="37">
        <f>IF(AND(B47="South Korea",scenario="MID"),korea_mid_load,load_sel)</f>
        <v/>
      </c>
      <c r="R47" s="38">
        <f>pax_cap*Q47</f>
        <v/>
      </c>
      <c r="S47" s="36">
        <f>R47*P47</f>
        <v/>
      </c>
      <c r="T47" s="39">
        <f>E47*discount</f>
        <v/>
      </c>
      <c r="U47" s="40">
        <f>T47*S47</f>
        <v/>
      </c>
      <c r="V47" s="40">
        <f>(battery/range_nm)*D47*P47*VLOOKUP(B47,country_opex,3,FALSE)</f>
        <v/>
      </c>
      <c r="W47" s="40">
        <f>VLOOKUP(B47,country_opex,2,FALSE)*crew_factor</f>
        <v/>
      </c>
      <c r="X47" s="40">
        <f>VLOOKUP(B47,country_opex,5,FALSE)</f>
        <v/>
      </c>
      <c r="Y47" s="40">
        <f>maint</f>
        <v/>
      </c>
      <c r="Z47" s="40">
        <f>VLOOKUP(B47,country_opex,7,FALSE)*ins_pct</f>
        <v/>
      </c>
      <c r="AA47" s="40">
        <f>charge_berth</f>
        <v/>
      </c>
      <c r="AB47" s="40">
        <f>V47+W47+X47+Y47+Z47+AA47</f>
        <v/>
      </c>
      <c r="AC47" s="40">
        <f>VLOOKUP(B47,country_opex,7,FALSE)/dep_years</f>
        <v/>
      </c>
      <c r="AD47" s="40">
        <f>U47-AB47</f>
        <v/>
      </c>
      <c r="AE47" s="37">
        <f>IF(U47=0,"",AD47/U47)</f>
        <v/>
      </c>
      <c r="AF47" s="38">
        <f>IF(AD47&lt;=0,"",VLOOKUP(B47,country_opex,7,FALSE)/AD47)</f>
        <v/>
      </c>
      <c r="AG47" s="35">
        <f>((D47*P47/diesel_nmpg)*diesel_co2pg-(battery/range_nm)*D47*P47*VLOOKUP(B47,country_opex,4,FALSE))/1000</f>
        <v/>
      </c>
      <c r="AH47" s="33" t="n">
        <v>5217</v>
      </c>
      <c r="AI47" s="34" t="inlineStr">
        <is>
          <t>T3</t>
        </is>
      </c>
      <c r="AJ47" s="34" t="inlineStr">
        <is>
          <t>med-low</t>
        </is>
      </c>
      <c r="AK47" s="41" t="n">
        <v>0.1</v>
      </c>
      <c r="AL47" s="36">
        <f>IF(AH47="","",AH47*AK47)</f>
        <v/>
      </c>
      <c r="AM47" s="36">
        <f>IF(OR(AH47="",S47=0),"",MIN(IF(AU47="",9.9E+99,AU47),FLOOR(AL47/S47,1)))</f>
        <v/>
      </c>
      <c r="AN47" s="40">
        <f>IF(AM47="","",AM47*IF(ABS(MOD(ABS((U47)),1)-0.5)&lt;1E-9,2*ROUND((U47)/2,0),ROUND((U47),0)))</f>
        <v/>
      </c>
      <c r="AO47" s="38">
        <f>IF(OR(AH47="",S47=0),"",MIN(IF(AU47="",9.9E+99,AU47),AL47/S47))</f>
        <v/>
      </c>
      <c r="AP47" s="40">
        <f>IF(AO47="","",AO47*IF(B47="South Korea",IF(ABS(MOD(ABS((U47)),1)-0.5)&lt;1E-9,2*ROUND((U47)/2,0),ROUND((U47),0)),U47))</f>
        <v/>
      </c>
      <c r="AQ47" s="42" t="n"/>
      <c r="AR47" s="34" t="inlineStr">
        <is>
          <t>Grounded</t>
        </is>
      </c>
      <c r="AS47" s="43" t="n"/>
      <c r="AT47" s="43" t="n"/>
      <c r="AU47" s="44" t="n"/>
      <c r="AV47" s="45">
        <f>IF(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&lt;=0,"",VLOOKUP(B47,country_opex,7,FALSE)/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)</f>
        <v/>
      </c>
      <c r="AW47" s="45">
        <f>IF(((T47*pax_cap*IF(B47="South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Korea",korea_mid_revleg,revleg_mid)),0))*VLOOKUP(B47,country_opex,3,FALSE))+W47+X47+Y47+Z47+AA47))&lt;=0,"",VLOOKUP(B47,country_opex,7,FALSE)/((T47*pax_cap*IF(B47="South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Korea",korea_mid_revleg,revleg_mid)),0))*VLOOKUP(B47,country_opex,3,FALSE))+W47+X47+Y47+Z47+AA47)))</f>
        <v/>
      </c>
      <c r="AX47" s="45">
        <f>IF(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&lt;=0,"",VLOOKUP(B47,country_opex,7,FALSE)/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)</f>
        <v/>
      </c>
      <c r="AY47" s="46" t="n"/>
      <c r="AZ47" s="46" t="n"/>
      <c r="BA47" s="34" t="inlineStr">
        <is>
          <t>rn-5bac21e43fcb</t>
        </is>
      </c>
    </row>
    <row r="48">
      <c r="A48" s="47" t="inlineStr">
        <is>
          <t>TOTAL / median</t>
        </is>
      </c>
      <c r="U48" s="48">
        <f>SUM(U4:U47)</f>
        <v/>
      </c>
      <c r="AD48" s="48">
        <f>SUM(AD4:AD47)</f>
        <v/>
      </c>
      <c r="AE48" s="49">
        <f>IF(U48=0,"",AD48/U48)</f>
        <v/>
      </c>
      <c r="AM48" s="50">
        <f>SUM(AM4:AM47)</f>
        <v/>
      </c>
      <c r="AN48" s="48">
        <f>SUM(AN4:AN47)</f>
        <v/>
      </c>
    </row>
    <row r="50">
      <c r="A50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51">
      <c r="A51" s="25" t="inlineStr">
        <is>
          <t>Market</t>
        </is>
      </c>
      <c r="B51" s="25" t="inlineStr">
        <is>
          <t>Fleet basis</t>
        </is>
      </c>
      <c r="C51" s="25" t="inlineStr">
        <is>
          <t>Raw vessels (sum)</t>
        </is>
      </c>
      <c r="D51" s="25" t="inlineStr">
        <is>
          <t>Fleet (rounded once)</t>
        </is>
      </c>
      <c r="E51" s="25" t="inlineStr">
        <is>
          <t>Market rev/yr (raw sum)</t>
        </is>
      </c>
    </row>
    <row r="52">
      <c r="A52" s="26" t="inlineStr">
        <is>
          <t>Gulf Authority Rakta</t>
        </is>
      </c>
      <c r="B52" s="14" t="inlineStr">
        <is>
          <t>network_sum / ceil</t>
        </is>
      </c>
      <c r="C52" s="24">
        <f>SUMIFS(AO4:AO47,A4:A47,"Gulf Authority Rakta",AQ4:AQ47,"=",AR4:AR47,"Grounded")</f>
        <v/>
      </c>
      <c r="D52" s="51">
        <f>IF(C52=0,0,CEILING(C52,1))</f>
        <v/>
      </c>
      <c r="E52" s="52">
        <f>SUMIFS(AP4:AP47,A4:A47,"Gulf Authority Rakta",AQ4:AQ47,"=",AR4:AR47,"Grounded")</f>
        <v/>
      </c>
    </row>
    <row r="53">
      <c r="A53" s="47" t="inlineStr">
        <is>
          <t>GROUNDED FLOOR (PUBLISHED)</t>
        </is>
      </c>
      <c r="D53" s="50">
        <f>SUM(D52:D52)</f>
        <v/>
      </c>
      <c r="E53" s="48">
        <f>SUM(E52:E52)</f>
        <v/>
      </c>
    </row>
    <row r="54">
      <c r="A54" s="21" t="inlineStr">
        <is>
          <t>ESTIMATED DEMAND (country-median cascade; held OUT of grounded floor)</t>
        </is>
      </c>
      <c r="D54" s="53">
        <f>SUMIF(AR4:AR47,"Estimated",AM4:AM47)</f>
        <v/>
      </c>
      <c r="E54" s="54">
        <f>SUMIF(AR4:AR47,"Estimated",AN4:AN47)</f>
        <v/>
      </c>
    </row>
    <row r="55">
      <c r="A55" s="55" t="inlineStr">
        <is>
          <t>Held for Quanta-LR (&gt;70nm, roadmap H2 2026+):</t>
        </is>
      </c>
      <c r="C55" s="56" t="inlineStr">
        <is>
          <t>Abu Dhabi → Manama (264.1nm)</t>
        </is>
      </c>
    </row>
    <row r="56">
      <c r="C56" s="56" t="inlineStr">
        <is>
          <t>Manama → Doha (98.8nm)</t>
        </is>
      </c>
    </row>
    <row r="57">
      <c r="C57" s="56" t="inlineStr">
        <is>
          <t>Manama → Dubai (290.6nm)</t>
        </is>
      </c>
    </row>
    <row r="58">
      <c r="C58" s="56" t="inlineStr">
        <is>
          <t>Ras Al Khaimah → Abu Dhabi (112.0nm)</t>
        </is>
      </c>
    </row>
    <row r="59">
      <c r="C59" s="56" t="inlineStr">
        <is>
          <t>Ras Al Khaimah → Doha (240.7nm)</t>
        </is>
      </c>
    </row>
    <row r="60">
      <c r="C60" s="56" t="inlineStr">
        <is>
          <t>Ras Al Khaimah → Manama (289.7nm)</t>
        </is>
      </c>
    </row>
    <row r="61">
      <c r="C61" s="56" t="inlineStr">
        <is>
          <t>Ras Al Khaimah → Muscat (263.5nm)</t>
        </is>
      </c>
    </row>
  </sheetData>
  <mergeCells count="2">
    <mergeCell ref="A50:L50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economics'!$AR$4:$AR$47="Grounded"),'Corridor economics'!$AH$4:$AH$47,'Corridor economics'!$E$4:$E$47),0))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economics'!$AR$4:$AR$47="Grounded"),'Corridor economics'!$AH$4:$AH$47,'Corridor economics'!$E$4:$E$47),0)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2026-07-20T06:56:57Z</dcterms:created>
  <dcterms:modified xsi:type="dcterms:W3CDTF">2026-07-20T06:56:57Z</dcterms:modified>
</cp:coreProperties>
</file>