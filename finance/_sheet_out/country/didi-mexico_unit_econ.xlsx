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economics'!$D$21</definedName>
    <definedName name="som_floor_rev">'Corridor economics'!$E$21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Didi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Mexico</t>
        </is>
      </c>
      <c r="B4" s="27" t="n">
        <v>14000</v>
      </c>
      <c r="C4" s="28" t="n">
        <v>0.23</v>
      </c>
      <c r="D4" s="20" t="n">
        <v>0.444</v>
      </c>
      <c r="E4" s="27" t="n">
        <v>11000</v>
      </c>
      <c r="F4" s="20" t="n">
        <v>0.54</v>
      </c>
      <c r="G4" s="27" t="n">
        <v>600000</v>
      </c>
      <c r="H4" s="15" t="inlineStr">
        <is>
          <t>MODELED, not an official wage fact. Use USD 14,000/year only as a provisional loaded planning allowance for a commercial captain. It deliberately exceeds the national survey cash-wage anchor to allow for licensing, employer burden, seniority and tourist-market hiring, but no operator quote validates the uplift. Sources: World Bank World Development Indicators: Official exchange rate (LCU per US$, period average) — Mexico (https://api.worldbank.org/v2/country/MEX/indicator/PA.NUS.FCRF?format=json&amp;per_page=10); Data México, Secretaría de Economía: Capitanes y Conductores de Transporte Marítimo (https://www.economia.gob.mx/datamexico/es/profile/occupation/capitanes-y-conductores-de-transporte-maritimo) | SOURCE-ANCHORED CONVERSION, tariff applicability provisional. PDBT is a small low-voltage business comparator. It is not a bankable fast-charging tariff and excludes VAT, connection work, demand/capacity/reactive charges and any move to GDBT/GDMTH. Obtain CFE supply study for vessel charging load. Sources: Banco de México: Cuadro CF86 — Tipo de cambio FIX (https://www.banxico.org.mx/SieInternet/consultarDirectorioInternetAction.do?accion=consultarCuadro&amp;idCuadro=CF86&amp;locale=es&amp;sector=6); AI Regula Solutions (mirror linking each row to CFE): CFE tariff mirror — PDBT, Quintana Roo (https://airegulasolutions.com/cfe/tarifas?year=2026&amp;month=5&amp;tariffCode=PDBT&amp;state=QUINTANA%20ROO&amp;page=1&amp;pageSize=100) | MODELED, not a published marina tariff. Covers annual berth, port fees and local marine admin per vessel under repo definition; excludes insurance and fast-charge infrastructure. Replace with berth/port/operator quotes for Puerto Juárez, Isla Mujeres, Playa and Cozumel. Sources: World Bank World Development Indicators: Official exchange rate (LCU per US$, period average) — Mexico (https://api.worldbank.org/v2/country/MEX/indicator/PA.NUS.FCRF?format=json&amp;per_page=10); World Bank World Development Indicators: PPP conversion factor, GDP (LCU per international $) — Mexico (https://api.worldbank.org/v2/country/MEX/indicator/PA.NUS.PPP?format=json&amp;per_page=10)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Didi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Mexico Pacific</t>
        </is>
      </c>
      <c r="B4" s="31" t="inlineStr">
        <is>
          <t>Mexico</t>
        </is>
      </c>
      <c r="C4" s="32" t="inlineStr">
        <is>
          <t>Marina Santa Cruz (Bahia de Santa Cruz) → Bahia Maguey landing</t>
        </is>
      </c>
      <c r="D4" s="33" t="n">
        <v>1.42</v>
      </c>
      <c r="E4" s="27" t="n">
        <v>20</v>
      </c>
      <c r="F4" s="34" t="inlineStr">
        <is>
          <t>T2</t>
        </is>
      </c>
      <c r="G4" s="34" t="inlineStr">
        <is>
          <t>med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360000</v>
      </c>
      <c r="AI4" s="34" t="inlineStr">
        <is>
          <t>T2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Jaideep-approved fare anchor 2026-07-20 (chat)</t>
        </is>
      </c>
      <c r="AZ4" s="46" t="inlineStr">
        <is>
          <t>https://www.puertosalinacruz.com.mx/upl/sec/PMDP_2022_2027_HUATULCO.pdf (SEMAR Programa Maestro de Desarrollo Portuario, Huatulco 2022-2027)</t>
        </is>
      </c>
      <c r="BA4" s="34" t="inlineStr">
        <is>
          <t>rn-66e2241ca732</t>
        </is>
      </c>
    </row>
    <row r="5">
      <c r="A5" s="31" t="inlineStr">
        <is>
          <t>Mexico Caribbean</t>
        </is>
      </c>
      <c r="B5" s="31" t="inlineStr">
        <is>
          <t>Mexico</t>
        </is>
      </c>
      <c r="C5" s="32" t="inlineStr">
        <is>
          <t>Punta Sam ferry terminal → Terminal Martima De Isla Mujeres</t>
        </is>
      </c>
      <c r="D5" s="33" t="n">
        <v>3.35</v>
      </c>
      <c r="E5" s="27" t="n">
        <v>30</v>
      </c>
      <c r="F5" s="34" t="inlineStr">
        <is>
          <t>T2</t>
        </is>
      </c>
      <c r="G5" s="34" t="inlineStr">
        <is>
          <t>med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238128</v>
      </c>
      <c r="AI5" s="34" t="inlineStr">
        <is>
          <t>T1</t>
        </is>
      </c>
      <c r="AJ5" s="34" t="inlineStr">
        <is>
          <t>high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https://www.uber.com/mx/en/ride/uber-black/</t>
        </is>
      </c>
      <c r="AZ5" s="46" t="inlineStr">
        <is>
          <t>https://servicios.apiqroo.com.mx/estadistica/datos/informeTransbordador.php?anio=2025</t>
        </is>
      </c>
      <c r="BA5" s="34" t="inlineStr">
        <is>
          <t>ics-aa6ff40d2d</t>
        </is>
      </c>
    </row>
    <row r="6">
      <c r="A6" s="31" t="inlineStr">
        <is>
          <t>Mexico Pacific</t>
        </is>
      </c>
      <c r="B6" s="31" t="inlineStr">
        <is>
          <t>Mexico</t>
        </is>
      </c>
      <c r="C6" s="32" t="inlineStr">
        <is>
          <t>Palmilla → San José Del Cabo Marina</t>
        </is>
      </c>
      <c r="D6" s="33" t="n">
        <v>3.4</v>
      </c>
      <c r="E6" s="27" t="n"/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ics-b5861451fb</t>
        </is>
      </c>
    </row>
    <row r="7">
      <c r="A7" s="31" t="inlineStr">
        <is>
          <t>Mexico Caribbean</t>
        </is>
      </c>
      <c r="B7" s="31" t="inlineStr">
        <is>
          <t>Mexico</t>
        </is>
      </c>
      <c r="C7" s="32" t="inlineStr">
        <is>
          <t>Terminal Maritima Puerto Juarez → Terminal Martima De Isla Mujeres</t>
        </is>
      </c>
      <c r="D7" s="33" t="n">
        <v>5.27</v>
      </c>
      <c r="E7" s="27" t="n">
        <v>30</v>
      </c>
      <c r="F7" s="34" t="inlineStr">
        <is>
          <t>T2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5458304</v>
      </c>
      <c r="AI7" s="34" t="inlineStr">
        <is>
          <t>T1</t>
        </is>
      </c>
      <c r="AJ7" s="34" t="inlineStr">
        <is>
          <t>high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https://www.uber.com/mx/en/ride/uber-black/</t>
        </is>
      </c>
      <c r="AZ7" s="46" t="inlineStr">
        <is>
          <t>https://servicios.apiqroo.com.mx/estadistica/datos/informeRutaPasaje.php?anio=2025</t>
        </is>
      </c>
      <c r="BA7" s="34" t="inlineStr">
        <is>
          <t>ics-413f51cd44</t>
        </is>
      </c>
    </row>
    <row r="8">
      <c r="A8" s="31" t="inlineStr">
        <is>
          <t>Mexico Caribbean</t>
        </is>
      </c>
      <c r="B8" s="31" t="inlineStr">
        <is>
          <t>Mexico</t>
        </is>
      </c>
      <c r="C8" s="32" t="inlineStr">
        <is>
          <t>Ultramar → Terminal Martima De Isla Mujeres</t>
        </is>
      </c>
      <c r="D8" s="33" t="n">
        <v>5.49</v>
      </c>
      <c r="E8" s="27" t="n"/>
      <c r="F8" s="34" t="n"/>
      <c r="G8" s="34" t="n"/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inlineStr">
        <is>
          <t>ics-03e3853317</t>
        </is>
      </c>
    </row>
    <row r="9">
      <c r="A9" s="31" t="inlineStr">
        <is>
          <t>Mexico Caribbean</t>
        </is>
      </c>
      <c r="B9" s="31" t="inlineStr">
        <is>
          <t>Mexico</t>
        </is>
      </c>
      <c r="C9" s="32" t="inlineStr">
        <is>
          <t>Chiquila Ferry Terminal → Isla Holbox Town Pier</t>
        </is>
      </c>
      <c r="D9" s="33" t="n">
        <v>5.5</v>
      </c>
      <c r="E9" s="27" t="n">
        <v>12</v>
      </c>
      <c r="F9" s="34" t="inlineStr">
        <is>
          <t>T2</t>
        </is>
      </c>
      <c r="G9" s="34" t="inlineStr">
        <is>
          <t>med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1000000</v>
      </c>
      <c r="AI9" s="34" t="inlineStr">
        <is>
          <t>T2</t>
        </is>
      </c>
      <c r="AJ9" s="34" t="inlineStr">
        <is>
          <t>med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Jaideep-confirmed fare anchor 2026-07-20 (MX-EG-FARE-ANCHORS-CONFIRMED-2026-07-20.json)</t>
        </is>
      </c>
      <c r="AZ9" s="46" t="inlineStr">
        <is>
          <t>https://qroo.gob.mx/ (Secretaria de Turismo de Quintana Roo / SITURQ destination arrivals, Isla Holbox)</t>
        </is>
      </c>
      <c r="BA9" s="34" t="inlineStr">
        <is>
          <t>rn-8e76868a5b01</t>
        </is>
      </c>
    </row>
    <row r="10">
      <c r="A10" s="31" t="inlineStr">
        <is>
          <t>Mexico Caribbean</t>
        </is>
      </c>
      <c r="B10" s="31" t="inlineStr">
        <is>
          <t>Mexico</t>
        </is>
      </c>
      <c r="C10" s="32" t="inlineStr">
        <is>
          <t>Muelle Fiscal Playa del Carmen → Passenger Ferry Ultramar Cozumel</t>
        </is>
      </c>
      <c r="D10" s="33" t="n">
        <v>9.529999999999999</v>
      </c>
      <c r="E10" s="27" t="n">
        <v>30</v>
      </c>
      <c r="F10" s="34" t="inlineStr">
        <is>
          <t>T2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3853770</v>
      </c>
      <c r="AI10" s="34" t="inlineStr">
        <is>
          <t>T1</t>
        </is>
      </c>
      <c r="AJ10" s="34" t="inlineStr">
        <is>
          <t>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https://www.uber.com/mx/en/ride/uber-black/</t>
        </is>
      </c>
      <c r="AZ10" s="46" t="inlineStr">
        <is>
          <t>https://servicios.apiqroo.com.mx/estadistica/datos/informeRutaPasaje.php?anio=2025</t>
        </is>
      </c>
      <c r="BA10" s="34" t="inlineStr">
        <is>
          <t>ics-dd1d814699</t>
        </is>
      </c>
    </row>
    <row r="11">
      <c r="A11" s="31" t="inlineStr">
        <is>
          <t>Mexico Pacific</t>
        </is>
      </c>
      <c r="B11" s="31" t="inlineStr">
        <is>
          <t>Mexico</t>
        </is>
      </c>
      <c r="C11" s="32" t="inlineStr">
        <is>
          <t>Puerto Vallarta &amp; Riviera Nayarit → Punta De Mita</t>
        </is>
      </c>
      <c r="D11" s="33" t="n">
        <v>9.9</v>
      </c>
      <c r="E11" s="27" t="n"/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ics-de6758216f</t>
        </is>
      </c>
    </row>
    <row r="12">
      <c r="A12" s="31" t="inlineStr">
        <is>
          <t>Mexico Pacific</t>
        </is>
      </c>
      <c r="B12" s="31" t="inlineStr">
        <is>
          <t>Mexico</t>
        </is>
      </c>
      <c r="C12" s="32" t="inlineStr">
        <is>
          <t>Cabo San Lucas Marina → Puerto Los Cabos Marina (San José del Cabo)</t>
        </is>
      </c>
      <c r="D12" s="33" t="n">
        <v>13.8</v>
      </c>
      <c r="E12" s="27" t="n">
        <v>30</v>
      </c>
      <c r="F12" s="34" t="inlineStr">
        <is>
          <t>T2</t>
        </is>
      </c>
      <c r="G12" s="34" t="inlineStr">
        <is>
          <t>med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80000</v>
      </c>
      <c r="AI12" s="34" t="inlineStr">
        <is>
          <t>T2</t>
        </is>
      </c>
      <c r="AJ12" s="34" t="inlineStr">
        <is>
          <t>medium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premium-substitute; aligned Playa–Cozumel $30 anchor</t>
        </is>
      </c>
      <c r="AZ12" s="46" t="inlineStr">
        <is>
          <t>Los Cabos 3.86M visitors + 257k cruise pax 2024</t>
        </is>
      </c>
      <c r="BA12" s="34" t="inlineStr">
        <is>
          <t>rn-d206da44c580</t>
        </is>
      </c>
    </row>
    <row r="13">
      <c r="A13" s="31" t="inlineStr">
        <is>
          <t>Mexico Pacific</t>
        </is>
      </c>
      <c r="B13" s="31" t="inlineStr">
        <is>
          <t>Mexico</t>
        </is>
      </c>
      <c r="C13" s="32" t="inlineStr">
        <is>
          <t>Los Muertos Pier (Puerto Vallarta) → Yelapa</t>
        </is>
      </c>
      <c r="D13" s="33" t="n">
        <v>14.5</v>
      </c>
      <c r="E13" s="27" t="n">
        <v>25</v>
      </c>
      <c r="F13" s="34" t="inlineStr">
        <is>
          <t>T2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22000</v>
      </c>
      <c r="AI13" s="34" t="inlineStr">
        <is>
          <t>T2</t>
        </is>
      </c>
      <c r="AJ13" s="34" t="inlineStr">
        <is>
          <t>medium</t>
        </is>
      </c>
      <c r="AK13" s="41" t="n">
        <v>0.9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premium-substitute Uber Black comparable (Tasklet 2026-07-23)</t>
        </is>
      </c>
      <c r="AZ13" s="46" t="inlineStr">
        <is>
          <t>go2yelapa.com scheduled co-op + PV tourism 2025</t>
        </is>
      </c>
      <c r="BA13" s="34" t="inlineStr">
        <is>
          <t>ics-89a8844858</t>
        </is>
      </c>
    </row>
    <row r="14">
      <c r="A14" s="31" t="inlineStr">
        <is>
          <t>Mexico Pacific</t>
        </is>
      </c>
      <c r="B14" s="31" t="inlineStr">
        <is>
          <t>Mexico</t>
        </is>
      </c>
      <c r="C14" s="32" t="inlineStr">
        <is>
          <t>Cabo San Lucas Marina → Los Cabos, Baja Sur</t>
        </is>
      </c>
      <c r="D14" s="33" t="n">
        <v>17</v>
      </c>
      <c r="E14" s="27" t="n"/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ics-db0930d9d1</t>
        </is>
      </c>
    </row>
    <row r="15">
      <c r="A15" s="47" t="inlineStr">
        <is>
          <t>TOTAL / median</t>
        </is>
      </c>
      <c r="U15" s="48">
        <f>SUM(U4:U14)</f>
        <v/>
      </c>
      <c r="AD15" s="48">
        <f>SUM(AD4:AD14)</f>
        <v/>
      </c>
      <c r="AE15" s="49">
        <f>IF(U15=0,"",AD15/U15)</f>
        <v/>
      </c>
      <c r="AM15" s="50">
        <f>SUM(AM4:AM14)</f>
        <v/>
      </c>
      <c r="AN15" s="48">
        <f>SUM(AN4:AN14)</f>
        <v/>
      </c>
    </row>
    <row r="17">
      <c r="A17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8">
      <c r="A18" s="25" t="inlineStr">
        <is>
          <t>Market</t>
        </is>
      </c>
      <c r="B18" s="25" t="inlineStr">
        <is>
          <t>Fleet basis</t>
        </is>
      </c>
      <c r="C18" s="25" t="inlineStr">
        <is>
          <t>Raw vessels (sum)</t>
        </is>
      </c>
      <c r="D18" s="25" t="inlineStr">
        <is>
          <t>Fleet (rounded once)</t>
        </is>
      </c>
      <c r="E18" s="25" t="inlineStr">
        <is>
          <t>Market rev/yr (raw sum)</t>
        </is>
      </c>
    </row>
    <row r="19">
      <c r="A19" s="26" t="inlineStr">
        <is>
          <t>Mexico Pacific</t>
        </is>
      </c>
      <c r="B19" s="14" t="inlineStr">
        <is>
          <t>grounded</t>
        </is>
      </c>
      <c r="C19" s="14" t="inlineStr">
        <is>
          <t>—</t>
        </is>
      </c>
      <c r="D19" s="51">
        <f>SUMIFS(AM4:AM14,A4:A14,"Mexico Pacific",AQ4:AQ14,"=",AR4:AR14,"Grounded")</f>
        <v/>
      </c>
      <c r="E19" s="52">
        <f>SUMIFS(AN4:AN14,A4:A14,"Mexico Pacific",AQ4:AQ14,"=",AR4:AR14,"Grounded")</f>
        <v/>
      </c>
    </row>
    <row r="20">
      <c r="A20" s="26" t="inlineStr">
        <is>
          <t>Mexico Caribbean</t>
        </is>
      </c>
      <c r="B20" s="14" t="inlineStr">
        <is>
          <t>grounded</t>
        </is>
      </c>
      <c r="C20" s="14" t="inlineStr">
        <is>
          <t>—</t>
        </is>
      </c>
      <c r="D20" s="51">
        <f>SUMIFS(AM4:AM14,A4:A14,"Mexico Caribbean",AQ4:AQ14,"=",AR4:AR14,"Grounded")</f>
        <v/>
      </c>
      <c r="E20" s="52">
        <f>SUMIFS(AN4:AN14,A4:A14,"Mexico Caribbean",AQ4:AQ14,"=",AR4:AR14,"Grounded")</f>
        <v/>
      </c>
    </row>
    <row r="21">
      <c r="A21" s="47" t="inlineStr">
        <is>
          <t>GROUNDED FLOOR (PUBLISHED)</t>
        </is>
      </c>
      <c r="D21" s="50">
        <f>SUM(D19:D20)</f>
        <v/>
      </c>
      <c r="E21" s="48">
        <f>SUM(E19:E20)</f>
        <v/>
      </c>
    </row>
    <row r="22">
      <c r="A22" s="21" t="inlineStr">
        <is>
          <t>ESTIMATED DEMAND (country-median cascade; held OUT of grounded floor)</t>
        </is>
      </c>
      <c r="D22" s="53">
        <f>SUMIF(AR4:AR14,"Estimated",AM4:AM14)</f>
        <v/>
      </c>
      <c r="E22" s="54">
        <f>SUMIF(AR4:AR14,"Estimated",AN4:AN14)</f>
        <v/>
      </c>
    </row>
  </sheetData>
  <mergeCells count="2">
    <mergeCell ref="A1:L1"/>
    <mergeCell ref="A17:L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3.4512</v>
      </c>
      <c r="C8" s="20" t="n">
        <v>4.922</v>
      </c>
      <c r="D8" s="20" t="n">
        <v>6.3928</v>
      </c>
      <c r="E8" s="15" t="inlineStr">
        <is>
          <t>Per-partner LOCAL census (finance/recal/greenfield-census/didi.json): 5 sourced / 52 greenfield corridors (ratio 10.4) — ID-based, matches growth.py.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economics'!$AR$4:$AR$14="Grounded"),'Corridor economics'!$AH$4:$AH$14,'Corridor economics'!$E$4:$E$14),0))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economics'!$AR$4:$AR$14="Grounded"),'Corridor economics'!$AH$4:$AH$14,'Corridor economics'!$E$4:$E$14),0)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2026-07-23T05:00:29Z</dcterms:created>
  <dcterms:modified xsi:type="dcterms:W3CDTF">2026-07-23T05:00:29Z</dcterms:modified>
</cp:coreProperties>
</file>