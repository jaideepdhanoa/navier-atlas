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opex'!$A$4:$G$4</definedName>
    <definedName name="som_floor_fleet">'Corridor economics'!$D$14</definedName>
    <definedName name="som_floor_rev">'Corridor economics'!$E$14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Indrive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3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Egypt</t>
        </is>
      </c>
      <c r="B4" s="27" t="n">
        <v>12000</v>
      </c>
      <c r="C4" s="28" t="n">
        <v>0.06</v>
      </c>
      <c r="D4" s="20" t="n">
        <v>0.45</v>
      </c>
      <c r="E4" s="27" t="n">
        <v>8000</v>
      </c>
      <c r="F4" s="20" t="n">
        <v>0.3</v>
      </c>
      <c r="G4" s="27" t="n">
        <v>600000</v>
      </c>
      <c r="H4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Indrive Egypt</t>
        </is>
      </c>
      <c r="B4" s="15" t="inlineStr">
        <is>
          <t>Hurghada Marina → Sahl Hasheesh Marina</t>
        </is>
      </c>
      <c r="C4" s="15" t="inlineStr">
        <is>
          <t>rn-3d161664de08</t>
        </is>
      </c>
      <c r="D4" s="15" t="inlineStr">
        <is>
          <t>Egypt</t>
        </is>
      </c>
      <c r="E4" s="15" t="inlineStr">
        <is>
          <t>Exact canonical geometry exists, but an exact route-level annual one-way passenger count and locally comparable passenger fare have not both been supported for this route.</t>
        </is>
      </c>
    </row>
    <row r="5">
      <c r="A5" s="29" t="inlineStr">
        <is>
          <t>Indrive Egypt</t>
        </is>
      </c>
      <c r="B5" s="15" t="inlineStr">
        <is>
          <t>Hurghada Marina → Soma Bay Marina</t>
        </is>
      </c>
      <c r="C5" s="15" t="inlineStr">
        <is>
          <t>rn-173d32792c07</t>
        </is>
      </c>
      <c r="D5" s="15" t="inlineStr">
        <is>
          <t>Egypt</t>
        </is>
      </c>
      <c r="E5" s="15" t="inlineStr">
        <is>
          <t>Exact canonical geometry exists, but an exact route-level annual one-way passenger count and locally comparable passenger fare have not both been supported for this route.</t>
        </is>
      </c>
    </row>
    <row r="6">
      <c r="A6" s="29" t="inlineStr">
        <is>
          <t>Indrive Egypt</t>
        </is>
      </c>
      <c r="B6" s="15" t="inlineStr">
        <is>
          <t>Sharm Marina (Sharm El Maya / Old Market Harbour) → Sharks Bay Marina (purpose-built fast-boat terminal)</t>
        </is>
      </c>
      <c r="C6" s="15" t="inlineStr">
        <is>
          <t>rn-285fc16b29dc</t>
        </is>
      </c>
      <c r="D6" s="15" t="inlineStr">
        <is>
          <t>Egypt</t>
        </is>
      </c>
      <c r="E6" s="15" t="inlineStr">
        <is>
          <t>Exact canonical geometry exists, but an exact route-level annual one-way passenger count and locally comparable passenger fare have not both been supported for this route.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1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Indrive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Indrive Egypt</t>
        </is>
      </c>
      <c r="B4" s="31" t="inlineStr">
        <is>
          <t>Egypt</t>
        </is>
      </c>
      <c r="C4" s="32" t="inlineStr">
        <is>
          <t>Cairo — Zamalek → Cairo — Maadi Corniche</t>
        </is>
      </c>
      <c r="D4" s="33" t="n">
        <v>6.26</v>
      </c>
      <c r="E4" s="27" t="n">
        <v>20</v>
      </c>
      <c r="F4" s="34" t="inlineStr">
        <is>
          <t>T1</t>
        </is>
      </c>
      <c r="G4" s="34" t="inlineStr">
        <is>
          <t>high</t>
        </is>
      </c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Korea",FLOOR(60*korea_service_hr/K4,1),MIN(24,FLOOR(60*service_hr/K4,1)))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>
        <v>180000</v>
      </c>
      <c r="AI4" s="34" t="inlineStr">
        <is>
          <t>T1</t>
        </is>
      </c>
      <c r="AJ4" s="34" t="inlineStr">
        <is>
          <t>high</t>
        </is>
      </c>
      <c r="AK4" s="41" t="n">
        <v>0.1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Grounded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inlineStr">
        <is>
          <t>bookaway Zamalek→Maadi ~US$21; Tasklet premium $20</t>
        </is>
      </c>
      <c r="AZ4" s="46" t="inlineStr">
        <is>
          <t>Nile Taxi NTS (~180k clients/yr, 10 boats)</t>
        </is>
      </c>
      <c r="BA4" s="34" t="inlineStr">
        <is>
          <t>rn-c37df5916b71</t>
        </is>
      </c>
    </row>
    <row r="5">
      <c r="A5" s="31" t="inlineStr">
        <is>
          <t>Indrive Egypt</t>
        </is>
      </c>
      <c r="B5" s="31" t="inlineStr">
        <is>
          <t>Egypt</t>
        </is>
      </c>
      <c r="C5" s="32" t="inlineStr">
        <is>
          <t>Hurghada Marina → Giftun Island (Orange Bay / Mahmya)</t>
        </is>
      </c>
      <c r="D5" s="33" t="n">
        <v>6.6</v>
      </c>
      <c r="E5" s="27" t="n">
        <v>32</v>
      </c>
      <c r="F5" s="34" t="n"/>
      <c r="G5" s="34" t="n"/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>
        <v>187512</v>
      </c>
      <c r="AI5" s="34" t="n"/>
      <c r="AJ5" s="34" t="n"/>
      <c r="AK5" s="41" t="n">
        <v>0.9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Grounded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n"/>
      <c r="AZ5" s="46" t="n"/>
      <c r="BA5" s="34" t="inlineStr">
        <is>
          <t>rn-b06f6971ed47</t>
        </is>
      </c>
    </row>
    <row r="6">
      <c r="A6" s="31" t="inlineStr">
        <is>
          <t>Indrive Egypt</t>
        </is>
      </c>
      <c r="B6" s="31" t="inlineStr">
        <is>
          <t>Egypt</t>
        </is>
      </c>
      <c r="C6" s="32" t="inlineStr">
        <is>
          <t>Sharm Marina (Sharm El Maya / Old Market Harbour) → Ras Mohammed (reef jetty)</t>
        </is>
      </c>
      <c r="D6" s="33" t="n">
        <v>11.7</v>
      </c>
      <c r="E6" s="27" t="n">
        <v>50</v>
      </c>
      <c r="F6" s="34" t="n"/>
      <c r="G6" s="34" t="n"/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>
        <v>50000</v>
      </c>
      <c r="AI6" s="34" t="n"/>
      <c r="AJ6" s="34" t="n"/>
      <c r="AK6" s="41" t="n">
        <v>0.9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Grounded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n"/>
      <c r="AZ6" s="46" t="n"/>
      <c r="BA6" s="34" t="inlineStr">
        <is>
          <t>rn-c16a1627130f</t>
        </is>
      </c>
    </row>
    <row r="7">
      <c r="A7" s="31" t="inlineStr">
        <is>
          <t>Indrive Egypt</t>
        </is>
      </c>
      <c r="B7" s="31" t="inlineStr">
        <is>
          <t>Egypt</t>
        </is>
      </c>
      <c r="C7" s="32" t="inlineStr">
        <is>
          <t>Hurghada Marina → Marina El Gouna</t>
        </is>
      </c>
      <c r="D7" s="33" t="n">
        <v>14.2</v>
      </c>
      <c r="E7" s="27" t="n">
        <v>25</v>
      </c>
      <c r="F7" s="34" t="inlineStr">
        <is>
          <t>T2</t>
        </is>
      </c>
      <c r="G7" s="34" t="inlineStr">
        <is>
          <t>med</t>
        </is>
      </c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Korea",FLOOR(60*korea_service_hr/K7,1),MIN(15,FLOOR(60*service_hr/K7,1)))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>
        <v>150000</v>
      </c>
      <c r="AI7" s="34" t="inlineStr">
        <is>
          <t>T2</t>
        </is>
      </c>
      <c r="AJ7" s="34" t="inlineStr">
        <is>
          <t>medium</t>
        </is>
      </c>
      <c r="AK7" s="41" t="n">
        <v>0.1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Grounded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inlineStr">
        <is>
          <t>shared speedboat €10–25 / private €75+; Tasklet $25 premium seat</t>
        </is>
      </c>
      <c r="AZ7" s="46" t="inlineStr">
        <is>
          <t>El Gouna &gt;1M visitors/yr + 25k residents (Orascom)</t>
        </is>
      </c>
      <c r="BA7" s="34" t="inlineStr">
        <is>
          <t>rn-bb533d525e01</t>
        </is>
      </c>
    </row>
    <row r="8">
      <c r="A8" s="31" t="inlineStr">
        <is>
          <t>Indrive Egypt</t>
        </is>
      </c>
      <c r="B8" s="31" t="inlineStr">
        <is>
          <t>Egypt</t>
        </is>
      </c>
      <c r="C8" s="32" t="inlineStr">
        <is>
          <t>Divino Port Ghalib Marina → Sha'ab Samadai reef jetty (Dolphin House)</t>
        </is>
      </c>
      <c r="D8" s="33" t="n">
        <v>38.7</v>
      </c>
      <c r="E8" s="27" t="n">
        <v>30</v>
      </c>
      <c r="F8" s="34" t="inlineStr">
        <is>
          <t>T2</t>
        </is>
      </c>
      <c r="G8" s="34" t="inlineStr">
        <is>
          <t>med</t>
        </is>
      </c>
      <c r="H8" s="20" t="n">
        <v>1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Korea",FLOOR(60*korea_service_hr/K8,1),MIN(15,FLOOR(60*service_hr/K8,1)))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>
        <v>73000</v>
      </c>
      <c r="AI8" s="34" t="inlineStr">
        <is>
          <t>T2</t>
        </is>
      </c>
      <c r="AJ8" s="34" t="inlineStr">
        <is>
          <t>medium</t>
        </is>
      </c>
      <c r="AK8" s="41" t="n">
        <v>0.9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Grounded</t>
        </is>
      </c>
      <c r="AS8" s="43" t="n"/>
      <c r="AT8" s="43" t="n"/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inlineStr">
        <is>
          <t>reef day-trip €70–165 market; Tasklet $30 premium seat OW</t>
        </is>
      </c>
      <c r="AZ8" s="46" t="inlineStr">
        <is>
          <t>HEPCA Samadai ~200/day cap; Marsa Alam airport ~1.09M pax</t>
        </is>
      </c>
      <c r="BA8" s="34" t="inlineStr">
        <is>
          <t>rn-c28e0cdf10f6</t>
        </is>
      </c>
    </row>
    <row r="9">
      <c r="A9" s="47" t="inlineStr">
        <is>
          <t>TOTAL / median</t>
        </is>
      </c>
      <c r="U9" s="48">
        <f>SUM(U4:U8)</f>
        <v/>
      </c>
      <c r="AD9" s="48">
        <f>SUM(AD4:AD8)</f>
        <v/>
      </c>
      <c r="AE9" s="49">
        <f>IF(U9=0,"",AD9/U9)</f>
        <v/>
      </c>
      <c r="AM9" s="50">
        <f>SUM(AM4:AM8)</f>
        <v/>
      </c>
      <c r="AN9" s="48">
        <f>SUM(AN4:AN8)</f>
        <v/>
      </c>
    </row>
    <row r="11">
      <c r="A11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12">
      <c r="A12" s="25" t="inlineStr">
        <is>
          <t>Market</t>
        </is>
      </c>
      <c r="B12" s="25" t="inlineStr">
        <is>
          <t>Fleet basis</t>
        </is>
      </c>
      <c r="C12" s="25" t="inlineStr">
        <is>
          <t>Raw vessels (sum)</t>
        </is>
      </c>
      <c r="D12" s="25" t="inlineStr">
        <is>
          <t>Fleet (rounded once)</t>
        </is>
      </c>
      <c r="E12" s="25" t="inlineStr">
        <is>
          <t>Market rev/yr (raw sum)</t>
        </is>
      </c>
    </row>
    <row r="13">
      <c r="A13" s="26" t="inlineStr">
        <is>
          <t>Indrive Egypt</t>
        </is>
      </c>
      <c r="B13" s="14" t="inlineStr">
        <is>
          <t>grounded corridors with sourced demand+fare; holds remain held</t>
        </is>
      </c>
      <c r="C13" s="14" t="inlineStr">
        <is>
          <t>—</t>
        </is>
      </c>
      <c r="D13" s="51">
        <f>SUMIFS(AM4:AM8,A4:A8,"Indrive Egypt",AQ4:AQ8,"=",AR4:AR8,"Grounded")</f>
        <v/>
      </c>
      <c r="E13" s="52">
        <f>SUMIFS(AN4:AN8,A4:A8,"Indrive Egypt",AQ4:AQ8,"=",AR4:AR8,"Grounded")</f>
        <v/>
      </c>
    </row>
    <row r="14">
      <c r="A14" s="47" t="inlineStr">
        <is>
          <t>GROUNDED FLOOR (PUBLISHED)</t>
        </is>
      </c>
      <c r="D14" s="50">
        <f>SUM(D13:D13)</f>
        <v/>
      </c>
      <c r="E14" s="48">
        <f>SUM(E13:E13)</f>
        <v/>
      </c>
    </row>
  </sheetData>
  <mergeCells count="2">
    <mergeCell ref="A11:L11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0.15</v>
      </c>
      <c r="C6" s="41" t="n">
        <v>0.25</v>
      </c>
      <c r="D6" s="41" t="n">
        <v>0.4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3.6612</v>
      </c>
      <c r="C8" s="20" t="n">
        <v>5.258</v>
      </c>
      <c r="D8" s="20" t="n">
        <v>6.8548</v>
      </c>
      <c r="E8" s="15" t="inlineStr">
        <is>
          <t>Per-partner LOCAL census (finance/recal/greenfield-census/indrive.json): 2 sourced / 32 greenfield corridors (ratio 16.0) — ID-based, matches growth.py.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3">
        <f>som_floor_rev/(ROUND(SUMPRODUCT(--('Corridor economics'!$AR$4:$AR$8="Grounded"),'Corridor economics'!$AH$4:$AH$8,'Corridor economics'!$E$4:$E$8),0))</f>
        <v/>
      </c>
      <c r="E11" s="15" t="inlineStr">
        <is>
          <t>New-entrant ~11%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economics'!$AR$4:$AR$8="Grounded"),'Corridor economics'!$AH$4:$AH$8,'Corridor economics'!$E$4:$E$8),0)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(~11%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(~11%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4" t="inlineStr">
        <is>
          <t>Note</t>
        </is>
      </c>
      <c r="B26" s="55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2026-07-23T05:01:33Z</dcterms:created>
  <dcterms:modified xsi:type="dcterms:W3CDTF">2026-07-23T05:01:33Z</dcterms:modified>
</cp:coreProperties>
</file>