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economics'!$D$25</definedName>
    <definedName name="som_floor_rev">'Corridor economics'!$E$25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Indrive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Brazil</t>
        </is>
      </c>
      <c r="B4" s="27" t="n">
        <v>14000</v>
      </c>
      <c r="C4" s="28" t="n">
        <v>0.09</v>
      </c>
      <c r="D4" s="20" t="n">
        <v>0.5</v>
      </c>
      <c r="E4" s="27" t="n">
        <v>10000</v>
      </c>
      <c r="F4" s="20" t="n">
        <v>0.38</v>
      </c>
      <c r="G4" s="27" t="n">
        <v>600000</v>
      </c>
      <c r="H4" s="15" t="inlineStr">
        <is>
          <t>Minor Hotels seal preflight — modeled vs SG anchor | Minor Hotels seal preflight — national tariff avg | Modeled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Indrive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Indrive Brazil</t>
        </is>
      </c>
      <c r="B4" s="31" t="inlineStr">
        <is>
          <t>Brazil</t>
        </is>
      </c>
      <c r="C4" s="32" t="inlineStr">
        <is>
          <t>Terminal da Balsa Ponta da Praia (Santos) → Terminal da Balsa Guarujá (Av. Adhemar de Barros)</t>
        </is>
      </c>
      <c r="D4" s="33" t="n">
        <v>0.25</v>
      </c>
      <c r="E4" s="27" t="n">
        <v>12</v>
      </c>
      <c r="F4" s="34" t="inlineStr">
        <is>
          <t>T1</t>
        </is>
      </c>
      <c r="G4" s="34" t="inlineStr">
        <is>
          <t>high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5584500</v>
      </c>
      <c r="AI4" s="34" t="inlineStr">
        <is>
          <t>T2/T3 (annualized from crossing-specific dailies)</t>
        </is>
      </c>
      <c r="AJ4" s="34" t="inlineStr">
        <is>
          <t>med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Acqua Vias PPP terms / state announcement</t>
        </is>
      </c>
      <c r="AZ4" s="46" t="inlineStr">
        <is>
          <t>Crossing-specific daily counts: ~7.6k pedestrians + ~7.7k cyclists = 15,300/day (Travessia Santos–Guarujá, A Tribuna basis, corroborated by DH system datasheets: system-wide 57k users/day across 8 crossings, Santos–Guarujá the busiest).</t>
        </is>
      </c>
      <c r="BA4" s="34" t="inlineStr">
        <is>
          <t>rn-07cdabeba7a9</t>
        </is>
      </c>
    </row>
    <row r="5">
      <c r="A5" s="31" t="inlineStr">
        <is>
          <t>Indrive Brazil</t>
        </is>
      </c>
      <c r="B5" s="31" t="inlineStr">
        <is>
          <t>Brazil</t>
        </is>
      </c>
      <c r="C5" s="32" t="inlineStr">
        <is>
          <t>Terminal de Passageiros Santos Centro / Praça da República → Terminal de Passageiros Vicente de Carvalho (Guarujá)</t>
        </is>
      </c>
      <c r="D5" s="33" t="n">
        <v>0.66</v>
      </c>
      <c r="E5" s="27" t="n">
        <v>12</v>
      </c>
      <c r="F5" s="34" t="n"/>
      <c r="G5" s="34" t="n"/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/>
      <c r="AI5" s="34" t="n"/>
      <c r="AJ5" s="34" t="n"/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Estimated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n"/>
      <c r="AZ5" s="46" t="n"/>
      <c r="BA5" s="34" t="inlineStr">
        <is>
          <t>rn-3a67668a48a5</t>
        </is>
      </c>
    </row>
    <row r="6">
      <c r="A6" s="31" t="inlineStr">
        <is>
          <t>Indrive Brazil</t>
        </is>
      </c>
      <c r="B6" s="31" t="inlineStr">
        <is>
          <t>Brazil</t>
        </is>
      </c>
      <c r="C6" s="32" t="inlineStr">
        <is>
          <t>São Sebastião Ferry Terminal (Balsa) → Ilhabela Ferry Terminal (Barra Velha)</t>
        </is>
      </c>
      <c r="D6" s="33" t="n">
        <v>1.18</v>
      </c>
      <c r="E6" s="27" t="n">
        <v>15</v>
      </c>
      <c r="F6" s="34" t="inlineStr">
        <is>
          <t>T1</t>
        </is>
      </c>
      <c r="G6" s="34" t="inlineStr">
        <is>
          <t>high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1493447</v>
      </c>
      <c r="AI6" s="34" t="inlineStr">
        <is>
          <t>T3 (modeled from T1 official inputs)</t>
        </is>
      </c>
      <c r="AJ6" s="34" t="inlineStr">
        <is>
          <t>med</t>
        </is>
      </c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Prefeitura de Ilhabela Aquabus tariff + Jan-2025 decree</t>
        </is>
      </c>
      <c r="AZ6" s="46" t="inlineStr">
        <is>
          <t>Semil-SP official figures: H1-2024 system users 9,647,595 (8 litoral crossings); crossing share 15% of trips (Semil, Jul 2024); summer-operation mode split 593,073 ped+cyc of 1.15M users (15 Dec 2024–10 Mar 2025).</t>
        </is>
      </c>
      <c r="BA6" s="34" t="inlineStr">
        <is>
          <t>rn-1d1a798e7d82</t>
        </is>
      </c>
    </row>
    <row r="7">
      <c r="A7" s="31" t="inlineStr">
        <is>
          <t>Indrive Brazil</t>
        </is>
      </c>
      <c r="B7" s="31" t="inlineStr">
        <is>
          <t>Brazil</t>
        </is>
      </c>
      <c r="C7" s="32" t="inlineStr">
        <is>
          <t>Terminal Aquaviário Público de Pontal do Sul → Ilha do Mel — Trapiche de Encantadas</t>
        </is>
      </c>
      <c r="D7" s="33" t="n">
        <v>2.25</v>
      </c>
      <c r="E7" s="27" t="n">
        <v>12</v>
      </c>
      <c r="F7" s="34" t="n"/>
      <c r="G7" s="34" t="n"/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/>
      <c r="AI7" s="34" t="n"/>
      <c r="AJ7" s="34" t="n"/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Estimated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n"/>
      <c r="AZ7" s="46" t="n"/>
      <c r="BA7" s="34" t="inlineStr">
        <is>
          <t>rn-f405c4df3ed2</t>
        </is>
      </c>
    </row>
    <row r="8">
      <c r="A8" s="31" t="inlineStr">
        <is>
          <t>Indrive Brazil</t>
        </is>
      </c>
      <c r="B8" s="31" t="inlineStr">
        <is>
          <t>Brazil</t>
        </is>
      </c>
      <c r="C8" s="32" t="inlineStr">
        <is>
          <t>Praça XV Terminal (central Rio) → Arariboia Terminal (Niterói)</t>
        </is>
      </c>
      <c r="D8" s="33" t="n">
        <v>2.7</v>
      </c>
      <c r="E8" s="27" t="n">
        <v>28</v>
      </c>
      <c r="F8" s="34" t="inlineStr">
        <is>
          <t>T1/T2</t>
        </is>
      </c>
      <c r="G8" s="34" t="inlineStr">
        <is>
          <t>med-low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10848719</v>
      </c>
      <c r="AI8" s="34" t="inlineStr">
        <is>
          <t>T1</t>
        </is>
      </c>
      <c r="AJ8" s="34" t="inlineStr">
        <is>
          <t>high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https://barcasrio.com.br/linhas-horarios-e-tarifas/</t>
        </is>
      </c>
      <c r="AZ8" s="46" t="inlineStr">
        <is>
          <t>https://www2.agetransp.rj.gov.br/arquivos/operacao-servicos/relatorio-de-atividades/Relat%C3%B3rio%20Mensal%20de%20Atividades%20Janeiro%202024.pdf</t>
        </is>
      </c>
      <c r="BA8" s="34" t="inlineStr">
        <is>
          <t>rn-1886629dbf0c</t>
        </is>
      </c>
    </row>
    <row r="9">
      <c r="A9" s="31" t="inlineStr">
        <is>
          <t>Indrive Brazil</t>
        </is>
      </c>
      <c r="B9" s="31" t="inlineStr">
        <is>
          <t>Brazil</t>
        </is>
      </c>
      <c r="C9" s="32" t="inlineStr">
        <is>
          <t>Estação Governador Albuíno Azeredo (Aquaviário da Prainha, Vila Velha) → Estação Prefeito Setembrino Pelissari (Aquaviário da Praça do Papa, Vitória)</t>
        </is>
      </c>
      <c r="D9" s="33" t="n">
        <v>3.49</v>
      </c>
      <c r="E9" s="27" t="n">
        <v>20</v>
      </c>
      <c r="F9" s="34" t="inlineStr">
        <is>
          <t>T1</t>
        </is>
      </c>
      <c r="G9" s="34" t="inlineStr">
        <is>
          <t>high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500000</v>
      </c>
      <c r="AI9" s="34" t="inlineStr">
        <is>
          <t>T1</t>
        </is>
      </c>
      <c r="AJ9" s="34" t="inlineStr">
        <is>
          <t>high</t>
        </is>
      </c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CETURB-ES published tariff (R$5.10 ≈ US$1.01)</t>
        </is>
      </c>
      <c r="AZ9" s="46" t="inlineStr">
        <is>
          <t>SEMOBI official: 'Aquaviário comemora um ano de atividade com marca de 500 mil passageiros'; corroborated by SEP Mar-2026 (&gt;1.2M cumulative through Dec 2025 ⇒ ~500–550k/yr run-rate).</t>
        </is>
      </c>
      <c r="BA9" s="34" t="inlineStr">
        <is>
          <t>rn-1ff034e787c5</t>
        </is>
      </c>
    </row>
    <row r="10">
      <c r="A10" s="31" t="inlineStr">
        <is>
          <t>Indrive Brazil</t>
        </is>
      </c>
      <c r="B10" s="31" t="inlineStr">
        <is>
          <t>Brazil</t>
        </is>
      </c>
      <c r="C10" s="32" t="inlineStr">
        <is>
          <t>Terminal Aquaviário Público de Pontal do Sul → Ilha do Mel — Trapiche de Nova Brasília</t>
        </is>
      </c>
      <c r="D10" s="33" t="n">
        <v>3.82</v>
      </c>
      <c r="E10" s="27" t="n">
        <v>12</v>
      </c>
      <c r="F10" s="34" t="inlineStr">
        <is>
          <t>T1</t>
        </is>
      </c>
      <c r="G10" s="34" t="inlineStr">
        <is>
          <t>med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383162</v>
      </c>
      <c r="AI10" s="34" t="inlineStr">
        <is>
          <t>T1/T2</t>
        </is>
      </c>
      <c r="AJ10" s="34" t="inlineStr">
        <is>
          <t>med-high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AGEPAR homologated tariff table (Mar 2023); 2025/26 season market pricing</t>
        </is>
      </c>
      <c r="AZ10" s="46" t="inlineStr">
        <is>
          <t>Abaline (official crossing operators' association) via Gazeta do Povo; corroborated by IAT park visitation 247,020 (2025, most-visited state park in Paraná; +21% vs 2024).</t>
        </is>
      </c>
      <c r="BA10" s="34" t="inlineStr">
        <is>
          <t>rn-d0bee9173524</t>
        </is>
      </c>
    </row>
    <row r="11">
      <c r="A11" s="31" t="inlineStr">
        <is>
          <t>Indrive Brazil</t>
        </is>
      </c>
      <c r="B11" s="31" t="inlineStr">
        <is>
          <t>Brazil</t>
        </is>
      </c>
      <c r="C11" s="32" t="inlineStr">
        <is>
          <t>Terminal Turístico Náutico da Bahia (Comércio) → Terminal Marítimo de Mar Grande (Vera Cruz)</t>
        </is>
      </c>
      <c r="D11" s="33" t="n">
        <v>4.14</v>
      </c>
      <c r="E11" s="27" t="n">
        <v>15</v>
      </c>
      <c r="F11" s="34" t="n"/>
      <c r="G11" s="34" t="n"/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/>
      <c r="AI11" s="34" t="n"/>
      <c r="AJ11" s="34" t="n"/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Estimated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n"/>
      <c r="AZ11" s="46" t="n"/>
      <c r="BA11" s="34" t="inlineStr">
        <is>
          <t>rn-c6d5aa38e4dc</t>
        </is>
      </c>
    </row>
    <row r="12">
      <c r="A12" s="31" t="inlineStr">
        <is>
          <t>Indrive Brazil</t>
        </is>
      </c>
      <c r="B12" s="31" t="inlineStr">
        <is>
          <t>Brazil</t>
        </is>
      </c>
      <c r="C12" s="32" t="inlineStr">
        <is>
          <t>Praça XV Terminal (central Rio) → Charitas Terminal (Niterói, fast catamaran)</t>
        </is>
      </c>
      <c r="D12" s="33" t="n">
        <v>4.4</v>
      </c>
      <c r="E12" s="27" t="n">
        <v>28</v>
      </c>
      <c r="F12" s="34" t="inlineStr">
        <is>
          <t>T1/T2</t>
        </is>
      </c>
      <c r="G12" s="34" t="inlineStr">
        <is>
          <t>med-low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825637</v>
      </c>
      <c r="AI12" s="34" t="inlineStr">
        <is>
          <t>T1</t>
        </is>
      </c>
      <c r="AJ12" s="34" t="inlineStr">
        <is>
          <t>high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https://barcasrio.com.br/linhas-horarios-e-tarifas/</t>
        </is>
      </c>
      <c r="AZ12" s="46" t="inlineStr">
        <is>
          <t>https://www2.agetransp.rj.gov.br/arquivos/operacao-servicos/relatorio-de-atividades/Relat%C3%B3rio%20Mensal%20de%20Atividades%20Janeiro%202024.pdf</t>
        </is>
      </c>
      <c r="BA12" s="34" t="inlineStr">
        <is>
          <t>rn-80f0d0ebe0bd</t>
        </is>
      </c>
    </row>
    <row r="13">
      <c r="A13" s="31" t="inlineStr">
        <is>
          <t>Indrive Brazil</t>
        </is>
      </c>
      <c r="B13" s="31" t="inlineStr">
        <is>
          <t>Brazil</t>
        </is>
      </c>
      <c r="C13" s="32" t="inlineStr">
        <is>
          <t>Barreiros Terminal (Sao Jose / continent) → Miramar Terminal (Florianopolis island)</t>
        </is>
      </c>
      <c r="D13" s="33" t="n">
        <v>4.77</v>
      </c>
      <c r="E13" s="27" t="n">
        <v>20</v>
      </c>
      <c r="F13" s="34" t="n"/>
      <c r="G13" s="34" t="n"/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3890964</v>
      </c>
      <c r="AI13" s="34" t="inlineStr">
        <is>
          <t>T3</t>
        </is>
      </c>
      <c r="AJ13" s="34" t="inlineStr">
        <is>
          <t>med-low</t>
        </is>
      </c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n"/>
      <c r="AZ13" s="46" t="inlineStr">
        <is>
          <t>https://www.sie.sc.gov.br/webdocs/sie/doc-tecnicos/aquaviario/ (EVTE Aquaviario RMF, Relatorio 3 - Componente Demanda; SIE-SC + BID)</t>
        </is>
      </c>
      <c r="BA13" s="34" t="inlineStr">
        <is>
          <t>rn-36dcca92d821</t>
        </is>
      </c>
    </row>
    <row r="14">
      <c r="A14" s="31" t="inlineStr">
        <is>
          <t>Indrive Brazil</t>
        </is>
      </c>
      <c r="B14" s="31" t="inlineStr">
        <is>
          <t>Brazil</t>
        </is>
      </c>
      <c r="C14" s="32" t="inlineStr">
        <is>
          <t>Beira Mar Terminal (continent) → Miramar Terminal (Florianopolis island)</t>
        </is>
      </c>
      <c r="D14" s="33" t="n">
        <v>5.15</v>
      </c>
      <c r="E14" s="27" t="n">
        <v>20</v>
      </c>
      <c r="F14" s="34" t="n"/>
      <c r="G14" s="34" t="n"/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6100556</v>
      </c>
      <c r="AI14" s="34" t="inlineStr">
        <is>
          <t>T3</t>
        </is>
      </c>
      <c r="AJ14" s="34" t="inlineStr">
        <is>
          <t>med-low</t>
        </is>
      </c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Grounded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n"/>
      <c r="AZ14" s="46" t="inlineStr">
        <is>
          <t>https://www.sie.sc.gov.br/webdocs/sie/doc-tecnicos/aquaviario/ (EVTE Aquaviario RMF, Relatorio 3 - Componente Demanda; SIE-SC + BID)</t>
        </is>
      </c>
      <c r="BA14" s="34" t="inlineStr">
        <is>
          <t>rn-7d157e1300da</t>
        </is>
      </c>
    </row>
    <row r="15">
      <c r="A15" s="31" t="inlineStr">
        <is>
          <t>Indrive Brazil</t>
        </is>
      </c>
      <c r="B15" s="31" t="inlineStr">
        <is>
          <t>Brazil</t>
        </is>
      </c>
      <c r="C15" s="32" t="inlineStr">
        <is>
          <t>Praça XV Terminal (central Rio) → Cocotá Terminal (Ilha do Governador)</t>
        </is>
      </c>
      <c r="D15" s="33" t="n">
        <v>6</v>
      </c>
      <c r="E15" s="27" t="n">
        <v>28</v>
      </c>
      <c r="F15" s="34" t="inlineStr">
        <is>
          <t>T1/T2</t>
        </is>
      </c>
      <c r="G15" s="34" t="inlineStr">
        <is>
          <t>med-low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278607</v>
      </c>
      <c r="AI15" s="34" t="inlineStr">
        <is>
          <t>T1</t>
        </is>
      </c>
      <c r="AJ15" s="34" t="inlineStr">
        <is>
          <t>high</t>
        </is>
      </c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https://barcasrio.com.br/linhas-horarios-e-tarifas/</t>
        </is>
      </c>
      <c r="AZ15" s="46" t="inlineStr">
        <is>
          <t>https://www2.agetransp.rj.gov.br/arquivos/operacao-servicos/relatorio-de-atividades/Relat%C3%B3rio%20Mensal%20de%20Atividades%20Janeiro%202024.pdf</t>
        </is>
      </c>
      <c r="BA15" s="34" t="inlineStr">
        <is>
          <t>rn-369ef0eb69d9</t>
        </is>
      </c>
    </row>
    <row r="16">
      <c r="A16" s="31" t="inlineStr">
        <is>
          <t>Indrive Brazil</t>
        </is>
      </c>
      <c r="B16" s="31" t="inlineStr">
        <is>
          <t>Brazil</t>
        </is>
      </c>
      <c r="C16" s="32" t="inlineStr">
        <is>
          <t>Terminal São Joaquim (Salvador ferry-boat) → Terminal Marítimo de Bom Despacho (Itaparica)</t>
        </is>
      </c>
      <c r="D16" s="33" t="n">
        <v>6.31</v>
      </c>
      <c r="E16" s="27" t="n">
        <v>15</v>
      </c>
      <c r="F16" s="34" t="inlineStr">
        <is>
          <t>T1</t>
        </is>
      </c>
      <c r="G16" s="34" t="inlineStr">
        <is>
          <t>high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7490000</v>
      </c>
      <c r="AI16" s="34" t="inlineStr">
        <is>
          <t>T1/T2</t>
        </is>
      </c>
      <c r="AJ16" s="34" t="inlineStr">
        <is>
          <t>high</t>
        </is>
      </c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AGERBA Resolução Nº 11 (2026-03-03) tariff table, in force 2026-03-06</t>
        </is>
      </c>
      <c r="AZ16" s="46" t="inlineStr">
        <is>
          <t>Ministério do Turismo figures released at the Salvador–Itaparica bridge groundbreaking (2026-07-01), via Diário do Turismo 2026-07-03; Jan–May 2026 = 3.42M (~8.2M annualized run-rate) corroborates.</t>
        </is>
      </c>
      <c r="BA16" s="34" t="inlineStr">
        <is>
          <t>rn-4aa1660ff921</t>
        </is>
      </c>
    </row>
    <row r="17">
      <c r="A17" s="31" t="inlineStr">
        <is>
          <t>Indrive Brazil</t>
        </is>
      </c>
      <c r="B17" s="31" t="inlineStr">
        <is>
          <t>Brazil</t>
        </is>
      </c>
      <c r="C17" s="32" t="inlineStr">
        <is>
          <t>Praça XV Terminal (central Rio) → Paquetá Island Terminal</t>
        </is>
      </c>
      <c r="D17" s="33" t="n">
        <v>9.199999999999999</v>
      </c>
      <c r="E17" s="27" t="n">
        <v>28</v>
      </c>
      <c r="F17" s="34" t="inlineStr">
        <is>
          <t>T1/T2</t>
        </is>
      </c>
      <c r="G17" s="34" t="inlineStr">
        <is>
          <t>med-low</t>
        </is>
      </c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>
        <v>1170652</v>
      </c>
      <c r="AI17" s="34" t="inlineStr">
        <is>
          <t>T1</t>
        </is>
      </c>
      <c r="AJ17" s="34" t="inlineStr">
        <is>
          <t>high</t>
        </is>
      </c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Grounded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inlineStr">
        <is>
          <t>https://barcasrio.com.br/linhas-horarios-e-tarifas/</t>
        </is>
      </c>
      <c r="AZ17" s="46" t="inlineStr">
        <is>
          <t>https://www2.agetransp.rj.gov.br/arquivos/operacao-servicos/relatorio-de-atividades/Relat%C3%B3rio%20Mensal%20de%20Atividades%20Janeiro%202024.pdf</t>
        </is>
      </c>
      <c r="BA17" s="34" t="inlineStr">
        <is>
          <t>rn-00bb6ded4be5</t>
        </is>
      </c>
    </row>
    <row r="18">
      <c r="A18" s="31" t="inlineStr">
        <is>
          <t>Indrive Brazil</t>
        </is>
      </c>
      <c r="B18" s="31" t="inlineStr">
        <is>
          <t>Brazil</t>
        </is>
      </c>
      <c r="C18" s="32" t="inlineStr">
        <is>
          <t>Angra dos Reis Terminal (Costa Verde) → Abraão Terminal (Ilha Grande)</t>
        </is>
      </c>
      <c r="D18" s="33" t="n">
        <v>13</v>
      </c>
      <c r="E18" s="27" t="n">
        <v>30</v>
      </c>
      <c r="F18" s="34" t="inlineStr">
        <is>
          <t>T1</t>
        </is>
      </c>
      <c r="G18" s="34" t="inlineStr">
        <is>
          <t>high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>
        <v>207993</v>
      </c>
      <c r="AI18" s="34" t="inlineStr">
        <is>
          <t>T1</t>
        </is>
      </c>
      <c r="AJ18" s="34" t="inlineStr">
        <is>
          <t>high</t>
        </is>
      </c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Grounded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AGETRANSP / CCR Barcas Costa Verde published tariff</t>
        </is>
      </c>
      <c r="AZ18" s="46" t="inlineStr">
        <is>
          <t>https://www2.agetransp.rj.gov.br/arquivos/operacao-servicos/relatorio-de-atividades/Relat%C3%B3rio%20Mensal%20de%20Atividades%20Janeiro%202024.pdf</t>
        </is>
      </c>
      <c r="BA18" s="34" t="inlineStr">
        <is>
          <t>rn-7ec802385553</t>
        </is>
      </c>
    </row>
    <row r="19">
      <c r="A19" s="31" t="inlineStr">
        <is>
          <t>Indrive Brazil</t>
        </is>
      </c>
      <c r="B19" s="31" t="inlineStr">
        <is>
          <t>Brazil</t>
        </is>
      </c>
      <c r="C19" s="32" t="inlineStr">
        <is>
          <t>Terminal Turístico Náutico da Bahia (Comércio) → Terminal Hidroviário de Morro de São Paulo (Cairu)</t>
        </is>
      </c>
      <c r="D19" s="33" t="n">
        <v>33.89</v>
      </c>
      <c r="E19" s="27" t="n">
        <v>30</v>
      </c>
      <c r="F19" s="34" t="n"/>
      <c r="G19" s="34" t="n"/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Korea",FLOOR(60*korea_service_hr/K19,1),MIN(15,FLOOR(60*service_hr/K19,1)))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/>
      <c r="AI19" s="34" t="n"/>
      <c r="AJ19" s="34" t="n"/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Estimated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n"/>
      <c r="AZ19" s="46" t="n"/>
      <c r="BA19" s="34" t="inlineStr">
        <is>
          <t>rn-8dbc3663c115</t>
        </is>
      </c>
    </row>
    <row r="20">
      <c r="A20" s="47" t="inlineStr">
        <is>
          <t>TOTAL / median</t>
        </is>
      </c>
      <c r="U20" s="48">
        <f>SUM(U4:U19)</f>
        <v/>
      </c>
      <c r="AD20" s="48">
        <f>SUM(AD4:AD19)</f>
        <v/>
      </c>
      <c r="AE20" s="49">
        <f>IF(U20=0,"",AD20/U20)</f>
        <v/>
      </c>
      <c r="AM20" s="50">
        <f>SUM(AM4:AM19)</f>
        <v/>
      </c>
      <c r="AN20" s="48">
        <f>SUM(AN4:AN19)</f>
        <v/>
      </c>
    </row>
    <row r="22">
      <c r="A22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23">
      <c r="A23" s="25" t="inlineStr">
        <is>
          <t>Market</t>
        </is>
      </c>
      <c r="B23" s="25" t="inlineStr">
        <is>
          <t>Fleet basis</t>
        </is>
      </c>
      <c r="C23" s="25" t="inlineStr">
        <is>
          <t>Raw vessels (sum)</t>
        </is>
      </c>
      <c r="D23" s="25" t="inlineStr">
        <is>
          <t>Fleet (rounded once)</t>
        </is>
      </c>
      <c r="E23" s="25" t="inlineStr">
        <is>
          <t>Market rev/yr (raw sum)</t>
        </is>
      </c>
    </row>
    <row r="24">
      <c r="A24" s="26" t="inlineStr">
        <is>
          <t>Indrive Brazil</t>
        </is>
      </c>
      <c r="B24" s="14" t="inlineStr">
        <is>
          <t>per_corridor_floor</t>
        </is>
      </c>
      <c r="C24" s="14" t="inlineStr">
        <is>
          <t>—</t>
        </is>
      </c>
      <c r="D24" s="51">
        <f>SUMIFS(AM4:AM19,A4:A19,"Indrive Brazil",AQ4:AQ19,"=",AR4:AR19,"Grounded")</f>
        <v/>
      </c>
      <c r="E24" s="52">
        <f>SUMIFS(AN4:AN19,A4:A19,"Indrive Brazil",AQ4:AQ19,"=",AR4:AR19,"Grounded")</f>
        <v/>
      </c>
    </row>
    <row r="25">
      <c r="A25" s="47" t="inlineStr">
        <is>
          <t>GROUNDED FLOOR (PUBLISHED)</t>
        </is>
      </c>
      <c r="D25" s="50">
        <f>SUM(D24:D24)</f>
        <v/>
      </c>
      <c r="E25" s="48">
        <f>SUM(E24:E24)</f>
        <v/>
      </c>
    </row>
    <row r="26">
      <c r="A26" s="21" t="inlineStr">
        <is>
          <t>ESTIMATED DEMAND (country-median cascade; held OUT of grounded floor)</t>
        </is>
      </c>
      <c r="D26" s="53">
        <f>SUMIF(AR4:AR19,"Estimated",AM4:AM19)</f>
        <v/>
      </c>
      <c r="E26" s="54">
        <f>SUMIF(AR4:AR19,"Estimated",AN4:AN19)</f>
        <v/>
      </c>
    </row>
  </sheetData>
  <mergeCells count="2">
    <mergeCell ref="A22:L2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5">
        <f>som_floor_rev/(ROUND(SUMPRODUCT(--('Corridor economics'!$AR$4:$AR$19="Grounded"),'Corridor economics'!$AH$4:$AH$19,'Corridor economics'!$E$4:$E$19),0))</f>
        <v/>
      </c>
      <c r="E11" s="15" t="inlineStr">
        <is>
          <t>New-entrant ~11%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economics'!$AR$4:$AR$19="Grounded"),'Corridor economics'!$AH$4:$AH$19,'Corridor economics'!$E$4:$E$19),0)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(~11%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(~11%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6" t="inlineStr">
        <is>
          <t>Note</t>
        </is>
      </c>
      <c r="B26" s="5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2026-07-20T15:12:54Z</dcterms:created>
  <dcterms:modified xsi:type="dcterms:W3CDTF">2026-07-20T15:12:54Z</dcterms:modified>
</cp:coreProperties>
</file>