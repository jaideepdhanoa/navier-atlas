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economics'!$D$52</definedName>
    <definedName name="som_floor_rev">'Corridor economics'!$E$52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Jih-Global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Maldives</t>
        </is>
      </c>
      <c r="B4" s="27" t="n">
        <v>27000</v>
      </c>
      <c r="C4" s="28" t="n">
        <v>0.3</v>
      </c>
      <c r="D4" s="20" t="n">
        <v>0.72</v>
      </c>
      <c r="E4" s="27" t="n">
        <v>16000</v>
      </c>
      <c r="F4" s="20" t="n">
        <v>0.63</v>
      </c>
      <c r="G4" s="27" t="n">
        <v>600000</v>
      </c>
      <c r="H4" s="15" t="inlineStr">
        <is>
          <t>Maldives resort/tourism marine crew (real 2026 job listings): MHLZ speedboat captain MVR 15,000 + MVR 3,000 food allowance = MVR 18k/mo; jobcenter.mv boat captain MVR 20,000-25,000 + service charge; expat safari/yacht captains EUR 3,200/mo (high-side). Blended 1 resort speedboat captain (~MVR 15-20k base + service charge/food ~$1,500-1,700/mo all-in) + deckhand (~MVR 10-12k all-in ~$700/mo) fully-loaded ~$2,250/mo = ~$27k/vessel/yr @MVR 15.42. Higher than SEA (service-charge system + some expat crew); between Thailand $24k and GCC $36-42k. | Maldives has among the HIGHEST electricity costs in South Asia (near-100% imported diesel). STELCO Male' commercial tariff MVR 3.30/kWh = $0.214 (stelco.com.mv tariff-rates). Resort islands SELF-GENERATE on diesel gensets at $0.30-0.40/kWh (CIF SREP: diesel $0.35/kWh; World Bank 30-40 US-cents on larger islands; ADB/Climate Policy Radar efficient-diesel $0.23-0.33). Charging an electric tourism boat will largely occur at diesel-powered resort islands -&gt; anchored $0.30 (floor STELCO grid $0.214, ceiling resort diesel $0.40). Higher than Singapore $0.21. | Modeled berth+insurance+admin per vessel/yr. Maldives is a high-cost island operating environment (everything imported; no true marinas - resort jetties/anchorage + maintenance + marine insurance). Above Thailand $12k / Malaysia $11k, near Taiwan $14k, below Singapore $20k / GCC $18-22k.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Jih-Global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Maldives (JIH)</t>
        </is>
      </c>
      <c r="B4" s="31" t="inlineStr">
        <is>
          <t>Maldives</t>
        </is>
      </c>
      <c r="C4" s="32" t="inlineStr">
        <is>
          <t>Velana International Airport (MLE) Resort Speedboat Lounges → Kurumba Maldives (Vihamanafushi, North Malé)</t>
        </is>
      </c>
      <c r="D4" s="33" t="n">
        <v>2.1</v>
      </c>
      <c r="E4" s="27" t="n">
        <v>60</v>
      </c>
      <c r="F4" s="34" t="inlineStr">
        <is>
          <t>T3</t>
        </is>
      </c>
      <c r="G4" s="34" t="inlineStr">
        <is>
          <t>med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28000</v>
      </c>
      <c r="AI4" s="34" t="inlineStr">
        <is>
          <t>T5</t>
        </is>
      </c>
      <c r="AJ4" s="34" t="inlineStr">
        <is>
          <t>low-med</t>
        </is>
      </c>
      <c r="AK4" s="41" t="n">
        <v>0.9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>
        <v>8</v>
      </c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Short 2.4nm/10-min North Male speedboat hop. maldivestour.guide: Kurumba round-trip speedboat USD 96/adult = $48/way. immaldives.com 2026 table: Kurumba shared speedboat $100-150 RT = $50-75/way. atolltransfer scheduled $25-120/way. Single-class resort speedboat (premium ~= standard on this short close hop); premium per-seat ~$60/way.</t>
        </is>
      </c>
      <c r="AZ4" s="46" t="inlineStr">
        <is>
          <t>Modeled from resort key count. Kurumba Maldives (Vihamanafushi, North Malé): ~180 villas/keys (published resort/Virtuoso/booking figures). corridor_annual_oneway_pax = keys x 365 x occ(0.75) / avg_stay(7 nights) x guests/key(2) x 2 (arr+dep) ~= keys x 156. 180 keys -&gt; ~28,000 one-way pax/yr. Airport(MLE)&lt;-&gt;this resort is the sole transfer corridor (boat/seaplane only; no road/air alt - R3-EXCEPTION: arrivals = crossing ridership).</t>
        </is>
      </c>
      <c r="BA4" s="34" t="inlineStr">
        <is>
          <t>e__velana__westin-miriandhoo-jetty</t>
        </is>
      </c>
    </row>
    <row r="5">
      <c r="A5" s="31" t="inlineStr">
        <is>
          <t>Maldives (JIH)</t>
        </is>
      </c>
      <c r="B5" s="31" t="inlineStr">
        <is>
          <t>Maldives</t>
        </is>
      </c>
      <c r="C5" s="32" t="inlineStr">
        <is>
          <t>Kuredu Island Resort (Lhaviyani) → Hurawalhi (Lhaviyani)</t>
        </is>
      </c>
      <c r="D5" s="33" t="n">
        <v>2.5</v>
      </c>
      <c r="E5" s="27" t="n">
        <v>150</v>
      </c>
      <c r="F5" s="34" t="inlineStr">
        <is>
          <t>T3</t>
        </is>
      </c>
      <c r="G5" s="34" t="inlineStr">
        <is>
          <t>med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/>
      <c r="AI5" s="34" t="n"/>
      <c r="AJ5" s="34" t="inlineStr">
        <is>
          <t>null</t>
        </is>
      </c>
      <c r="AK5" s="41" t="n">
        <v>0.9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Estimated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5" s="46" t="inlineStr">
        <is>
          <t>NULL — pure inter-resort island-hop; no grounded crossing pool (R2). Geometry only.</t>
        </is>
      </c>
      <c r="BA5" s="34" t="inlineStr">
        <is>
          <t>e__mald__1b65ddbf47b9</t>
        </is>
      </c>
    </row>
    <row r="6">
      <c r="A6" s="31" t="inlineStr">
        <is>
          <t>Maldives (JIH)</t>
        </is>
      </c>
      <c r="B6" s="31" t="inlineStr">
        <is>
          <t>Maldives</t>
        </is>
      </c>
      <c r="C6" s="32" t="inlineStr">
        <is>
          <t>Gan International Airport, Addu → Shangri-La Villingili (Addu)</t>
        </is>
      </c>
      <c r="D6" s="33" t="n">
        <v>2.7</v>
      </c>
      <c r="E6" s="27" t="n">
        <v>150</v>
      </c>
      <c r="F6" s="34" t="inlineStr">
        <is>
          <t>T3</t>
        </is>
      </c>
      <c r="G6" s="34" t="inlineStr">
        <is>
          <t>med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9858</v>
      </c>
      <c r="AI6" s="34" t="inlineStr">
        <is>
          <t>T5</t>
        </is>
      </c>
      <c r="AJ6" s="34" t="inlineStr">
        <is>
          <t>med</t>
        </is>
      </c>
      <c r="AK6" s="41" t="n">
        <v>0.9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>
        <v>6</v>
      </c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6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6" s="34" t="inlineStr">
        <is>
          <t>e__mald__74ace969292c</t>
        </is>
      </c>
    </row>
    <row r="7">
      <c r="A7" s="31" t="inlineStr">
        <is>
          <t>Maldives (JIH)</t>
        </is>
      </c>
      <c r="B7" s="31" t="inlineStr">
        <is>
          <t>Maldives</t>
        </is>
      </c>
      <c r="C7" s="32" t="inlineStr">
        <is>
          <t>Maamigili (Villa) Airport, South Ari → Sun Island Resort (Nalaguraidhoo)</t>
        </is>
      </c>
      <c r="D7" s="33" t="n">
        <v>3.2</v>
      </c>
      <c r="E7" s="27" t="n">
        <v>120</v>
      </c>
      <c r="F7" s="34" t="inlineStr">
        <is>
          <t>T3</t>
        </is>
      </c>
      <c r="G7" s="34" t="inlineStr">
        <is>
          <t>med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34504</v>
      </c>
      <c r="AI7" s="34" t="inlineStr">
        <is>
          <t>T5</t>
        </is>
      </c>
      <c r="AJ7" s="34" t="inlineStr">
        <is>
          <t>med</t>
        </is>
      </c>
      <c r="AK7" s="41" t="n">
        <v>0.9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>
        <v>19</v>
      </c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7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7" s="34" t="inlineStr">
        <is>
          <t>e__mald__1192332c2139</t>
        </is>
      </c>
    </row>
    <row r="8">
      <c r="A8" s="31" t="inlineStr">
        <is>
          <t>Maldives (JIH)</t>
        </is>
      </c>
      <c r="B8" s="31" t="inlineStr">
        <is>
          <t>Maldives</t>
        </is>
      </c>
      <c r="C8" s="32" t="inlineStr">
        <is>
          <t>Dharavandhoo Airport, Baa → Soneva Fushi (Kunfunadhoo, Baa)</t>
        </is>
      </c>
      <c r="D8" s="33" t="n">
        <v>4.4</v>
      </c>
      <c r="E8" s="27" t="n">
        <v>200</v>
      </c>
      <c r="F8" s="34" t="inlineStr">
        <is>
          <t>T3</t>
        </is>
      </c>
      <c r="G8" s="34" t="inlineStr">
        <is>
          <t>med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4705</v>
      </c>
      <c r="AI8" s="34" t="inlineStr">
        <is>
          <t>T5</t>
        </is>
      </c>
      <c r="AJ8" s="34" t="inlineStr">
        <is>
          <t>med</t>
        </is>
      </c>
      <c r="AK8" s="41" t="n">
        <v>0.9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>
        <v>3</v>
      </c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8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8" s="34" t="inlineStr">
        <is>
          <t>e__mald__d1ac7b91cb94</t>
        </is>
      </c>
    </row>
    <row r="9">
      <c r="A9" s="31" t="inlineStr">
        <is>
          <t>Maldives (JIH)</t>
        </is>
      </c>
      <c r="B9" s="31" t="inlineStr">
        <is>
          <t>Maldives</t>
        </is>
      </c>
      <c r="C9" s="32" t="inlineStr">
        <is>
          <t>Kudahuvadhoo Airport, Dhaalu → Niyama Private Islands (Dhaalu)</t>
        </is>
      </c>
      <c r="D9" s="33" t="n">
        <v>4.7</v>
      </c>
      <c r="E9" s="27" t="n">
        <v>150</v>
      </c>
      <c r="F9" s="34" t="inlineStr">
        <is>
          <t>T3</t>
        </is>
      </c>
      <c r="G9" s="34" t="inlineStr">
        <is>
          <t>med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10008</v>
      </c>
      <c r="AI9" s="34" t="inlineStr">
        <is>
          <t>T5</t>
        </is>
      </c>
      <c r="AJ9" s="34" t="inlineStr">
        <is>
          <t>med</t>
        </is>
      </c>
      <c r="AK9" s="41" t="n">
        <v>0.9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>
        <v>6</v>
      </c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9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9" s="34" t="inlineStr">
        <is>
          <t>e__mald__7b1ab039c8bc</t>
        </is>
      </c>
    </row>
    <row r="10">
      <c r="A10" s="31" t="inlineStr">
        <is>
          <t>Maldives (JIH)</t>
        </is>
      </c>
      <c r="B10" s="31" t="inlineStr">
        <is>
          <t>Maldives</t>
        </is>
      </c>
      <c r="C10" s="32" t="inlineStr">
        <is>
          <t>Velana International Airport (MLE) Resort Speedboat Lounges → Gili Lankanfushi (North Malé)</t>
        </is>
      </c>
      <c r="D10" s="33" t="n">
        <v>6.4</v>
      </c>
      <c r="E10" s="27" t="n">
        <v>150</v>
      </c>
      <c r="F10" s="34" t="inlineStr">
        <is>
          <t>T3</t>
        </is>
      </c>
      <c r="G10" s="34" t="inlineStr">
        <is>
          <t>med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7000</v>
      </c>
      <c r="AI10" s="34" t="inlineStr">
        <is>
          <t>T5</t>
        </is>
      </c>
      <c r="AJ10" s="34" t="inlineStr">
        <is>
          <t>low-med</t>
        </is>
      </c>
      <c r="AK10" s="41" t="n">
        <v>0.9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>
        <v>2</v>
      </c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Mr &amp; Mrs Smith: Gili Lankanfushi shared return speedboat transfer US$302/person (excl tax) = $151/way. immaldives near-Male speedboat band $100-490 RT. Resort offers complimentary transfer on 4+ night book-direct stays (gili-lankanfushi.com) - underlying paid rate ~$150/way.</t>
        </is>
      </c>
      <c r="AZ10" s="46" t="inlineStr">
        <is>
          <t>Modeled from resort key count. Gili Lankanfushi (North Malé): ~45 villas/keys (published resort/Virtuoso/booking figures). corridor_annual_oneway_pax = keys x 365 x occ(0.75) / avg_stay(7 nights) x guests/key(2) x 2 (arr+dep) ~= keys x 156. 45 keys -&gt; ~7,000 one-way pax/yr. Airport(MLE)&lt;-&gt;this resort is the sole transfer corridor (boat/seaplane only; no road/air alt - R3-EXCEPTION: arrivals = crossing ridership).</t>
        </is>
      </c>
      <c r="BA10" s="34" t="inlineStr">
        <is>
          <t>e__velana__westin-miriandhoo-jetty</t>
        </is>
      </c>
    </row>
    <row r="11">
      <c r="A11" s="31" t="inlineStr">
        <is>
          <t>Maldives (JIH)</t>
        </is>
      </c>
      <c r="B11" s="31" t="inlineStr">
        <is>
          <t>Maldives</t>
        </is>
      </c>
      <c r="C11" s="32" t="inlineStr">
        <is>
          <t>Joali Maldives (Muravandhoo, Raa) → Joali Being (Bodufushi, Raa)</t>
        </is>
      </c>
      <c r="D11" s="33" t="n">
        <v>6.5</v>
      </c>
      <c r="E11" s="27" t="n">
        <v>175</v>
      </c>
      <c r="F11" s="34" t="inlineStr">
        <is>
          <t>T3</t>
        </is>
      </c>
      <c r="G11" s="34" t="inlineStr">
        <is>
          <t>med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/>
      <c r="AI11" s="34" t="n"/>
      <c r="AJ11" s="34" t="inlineStr">
        <is>
          <t>null</t>
        </is>
      </c>
      <c r="AK11" s="41" t="n">
        <v>0.9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Estimated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11" s="46" t="inlineStr">
        <is>
          <t>NULL — pure inter-resort island-hop; no grounded crossing pool (R2). Geometry only.</t>
        </is>
      </c>
      <c r="BA11" s="34" t="inlineStr">
        <is>
          <t>e__mald__65b15c050ea0</t>
        </is>
      </c>
    </row>
    <row r="12">
      <c r="A12" s="31" t="inlineStr">
        <is>
          <t>Maldives (JIH)</t>
        </is>
      </c>
      <c r="B12" s="31" t="inlineStr">
        <is>
          <t>Maldives</t>
        </is>
      </c>
      <c r="C12" s="32" t="inlineStr">
        <is>
          <t>Maafaru Airport, Noonu → Soneva Jani (Medhufaru, Noonu)</t>
        </is>
      </c>
      <c r="D12" s="33" t="n">
        <v>7.6</v>
      </c>
      <c r="E12" s="27" t="n">
        <v>200</v>
      </c>
      <c r="F12" s="34" t="inlineStr">
        <is>
          <t>T3</t>
        </is>
      </c>
      <c r="G12" s="34" t="inlineStr">
        <is>
          <t>med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3884</v>
      </c>
      <c r="AI12" s="34" t="inlineStr">
        <is>
          <t>T5</t>
        </is>
      </c>
      <c r="AJ12" s="34" t="inlineStr">
        <is>
          <t>med</t>
        </is>
      </c>
      <c r="AK12" s="41" t="n">
        <v>0.9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>
        <v>3</v>
      </c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12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12" s="34" t="inlineStr">
        <is>
          <t>e__mald__3227d7e5ee37</t>
        </is>
      </c>
    </row>
    <row r="13">
      <c r="A13" s="31" t="inlineStr">
        <is>
          <t>Maldives (JIH)</t>
        </is>
      </c>
      <c r="B13" s="31" t="inlineStr">
        <is>
          <t>Maldives</t>
        </is>
      </c>
      <c r="C13" s="32" t="inlineStr">
        <is>
          <t>Kooddoo Airport, Gaafu Alif → Pullman Maldives Maamutaa (Gaafu)</t>
        </is>
      </c>
      <c r="D13" s="33" t="n">
        <v>7.7</v>
      </c>
      <c r="E13" s="27" t="n">
        <v>150</v>
      </c>
      <c r="F13" s="34" t="inlineStr">
        <is>
          <t>T3</t>
        </is>
      </c>
      <c r="G13" s="34" t="inlineStr">
        <is>
          <t>med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9112</v>
      </c>
      <c r="AI13" s="34" t="inlineStr">
        <is>
          <t>T5</t>
        </is>
      </c>
      <c r="AJ13" s="34" t="inlineStr">
        <is>
          <t>med</t>
        </is>
      </c>
      <c r="AK13" s="41" t="n">
        <v>0.9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>
        <v>5</v>
      </c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13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13" s="34" t="inlineStr">
        <is>
          <t>e__mald__ee1d9b719838</t>
        </is>
      </c>
    </row>
    <row r="14">
      <c r="A14" s="31" t="inlineStr">
        <is>
          <t>Maldives (JIH)</t>
        </is>
      </c>
      <c r="B14" s="31" t="inlineStr">
        <is>
          <t>Maldives</t>
        </is>
      </c>
      <c r="C14" s="32" t="inlineStr">
        <is>
          <t>Kadhdhoo Airport, Laamu → Six Senses Laamu</t>
        </is>
      </c>
      <c r="D14" s="33" t="n">
        <v>7.8</v>
      </c>
      <c r="E14" s="27" t="n">
        <v>150</v>
      </c>
      <c r="F14" s="34" t="inlineStr">
        <is>
          <t>T3</t>
        </is>
      </c>
      <c r="G14" s="34" t="inlineStr">
        <is>
          <t>med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7244</v>
      </c>
      <c r="AI14" s="34" t="inlineStr">
        <is>
          <t>T5</t>
        </is>
      </c>
      <c r="AJ14" s="34" t="inlineStr">
        <is>
          <t>med</t>
        </is>
      </c>
      <c r="AK14" s="41" t="n">
        <v>0.9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>
        <v>4</v>
      </c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14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14" s="34" t="inlineStr">
        <is>
          <t>e__mald__b95e8093ec6d</t>
        </is>
      </c>
    </row>
    <row r="15">
      <c r="A15" s="31" t="inlineStr">
        <is>
          <t>Maldives (JIH)</t>
        </is>
      </c>
      <c r="B15" s="31" t="inlineStr">
        <is>
          <t>Maldives</t>
        </is>
      </c>
      <c r="C15" s="32" t="inlineStr">
        <is>
          <t>Velana International Airport (MLE) Resort Speedboat Lounges → Baros Maldives (North Malé)</t>
        </is>
      </c>
      <c r="D15" s="33" t="n">
        <v>8.300000000000001</v>
      </c>
      <c r="E15" s="27" t="n">
        <v>120</v>
      </c>
      <c r="F15" s="34" t="inlineStr">
        <is>
          <t>T3</t>
        </is>
      </c>
      <c r="G15" s="34" t="inlineStr">
        <is>
          <t>med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11700</v>
      </c>
      <c r="AI15" s="34" t="inlineStr">
        <is>
          <t>T5</t>
        </is>
      </c>
      <c r="AJ15" s="34" t="inlineStr">
        <is>
          <t>low-med</t>
        </is>
      </c>
      <c r="AK15" s="41" t="n">
        <v>0.9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>
        <v>3</v>
      </c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tourbonjour live booking: Baros boat transfer per adult USD 232 round-trip = $116/way. immaldives.com 2026 table: Baros shared speedboat $180-260 RT = $90-130/way. baros.com publishes private rates on request. Premium per-seat ~$120/way.</t>
        </is>
      </c>
      <c r="AZ15" s="46" t="inlineStr">
        <is>
          <t>Modeled from resort key count. Baros Maldives (North Malé): ~75 villas/keys (published resort/Virtuoso/booking figures). corridor_annual_oneway_pax = keys x 365 x occ(0.75) / avg_stay(7 nights) x guests/key(2) x 2 (arr+dep) ~= keys x 156. 75 keys -&gt; ~11,700 one-way pax/yr. Airport(MLE)&lt;-&gt;this resort is the sole transfer corridor (boat/seaplane only; no road/air alt - R3-EXCEPTION: arrivals = crossing ridership).</t>
        </is>
      </c>
      <c r="BA15" s="34" t="inlineStr">
        <is>
          <t>e__velana__westin-miriandhoo-jetty</t>
        </is>
      </c>
    </row>
    <row r="16">
      <c r="A16" s="31" t="inlineStr">
        <is>
          <t>Maldives (JIH)</t>
        </is>
      </c>
      <c r="B16" s="31" t="inlineStr">
        <is>
          <t>Maldives</t>
        </is>
      </c>
      <c r="C16" s="32" t="inlineStr">
        <is>
          <t>Dharavandhoo Airport, Baa → Milaidhoo (Baa)</t>
        </is>
      </c>
      <c r="D16" s="33" t="n">
        <v>8.4</v>
      </c>
      <c r="E16" s="27" t="n">
        <v>175</v>
      </c>
      <c r="F16" s="34" t="inlineStr">
        <is>
          <t>T3</t>
        </is>
      </c>
      <c r="G16" s="34" t="inlineStr">
        <is>
          <t>med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3734</v>
      </c>
      <c r="AI16" s="34" t="inlineStr">
        <is>
          <t>T5</t>
        </is>
      </c>
      <c r="AJ16" s="34" t="inlineStr">
        <is>
          <t>med</t>
        </is>
      </c>
      <c r="AK16" s="41" t="n">
        <v>0.9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>
        <v>2</v>
      </c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16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16" s="34" t="inlineStr">
        <is>
          <t>e__mald__a66fd74b4e3f</t>
        </is>
      </c>
    </row>
    <row r="17">
      <c r="A17" s="31" t="inlineStr">
        <is>
          <t>Maldives (JIH)</t>
        </is>
      </c>
      <c r="B17" s="31" t="inlineStr">
        <is>
          <t>Maldives</t>
        </is>
      </c>
      <c r="C17" s="32" t="inlineStr">
        <is>
          <t>Ifuru Airport, Raa → Joali Maldives (Muravandhoo, Raa)</t>
        </is>
      </c>
      <c r="D17" s="33" t="n">
        <v>8.699999999999999</v>
      </c>
      <c r="E17" s="27" t="n">
        <v>200</v>
      </c>
      <c r="F17" s="34" t="inlineStr">
        <is>
          <t>T3</t>
        </is>
      </c>
      <c r="G17" s="34" t="inlineStr">
        <is>
          <t>med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>
        <v>5452</v>
      </c>
      <c r="AI17" s="34" t="inlineStr">
        <is>
          <t>T5</t>
        </is>
      </c>
      <c r="AJ17" s="34" t="inlineStr">
        <is>
          <t>med</t>
        </is>
      </c>
      <c r="AK17" s="41" t="n">
        <v>0.9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Grounded</t>
        </is>
      </c>
      <c r="AS17" s="43" t="n"/>
      <c r="AT17" s="43" t="n"/>
      <c r="AU17" s="44" t="n">
        <v>3</v>
      </c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17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17" s="34" t="inlineStr">
        <is>
          <t>e__mald__d5644e03d0f8</t>
        </is>
      </c>
    </row>
    <row r="18">
      <c r="A18" s="31" t="inlineStr">
        <is>
          <t>Maldives (JIH)</t>
        </is>
      </c>
      <c r="B18" s="31" t="inlineStr">
        <is>
          <t>Maldives</t>
        </is>
      </c>
      <c r="C18" s="32" t="inlineStr">
        <is>
          <t>Dharavandhoo Airport, Baa → Four Seasons Landaa Giraavaru (Baa)</t>
        </is>
      </c>
      <c r="D18" s="33" t="n">
        <v>9.5</v>
      </c>
      <c r="E18" s="27" t="n">
        <v>200</v>
      </c>
      <c r="F18" s="34" t="inlineStr">
        <is>
          <t>T3</t>
        </is>
      </c>
      <c r="G18" s="34" t="inlineStr">
        <is>
          <t>med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7693</v>
      </c>
      <c r="AI18" s="34" t="inlineStr">
        <is>
          <t>T5</t>
        </is>
      </c>
      <c r="AJ18" s="34" t="inlineStr">
        <is>
          <t>med</t>
        </is>
      </c>
      <c r="AK18" s="41" t="n">
        <v>0.9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>
        <v>5</v>
      </c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18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18" s="34" t="inlineStr">
        <is>
          <t>e__mald__5108f439d6bc</t>
        </is>
      </c>
    </row>
    <row r="19">
      <c r="A19" s="31" t="inlineStr">
        <is>
          <t>Maldives (JIH)</t>
        </is>
      </c>
      <c r="B19" s="31" t="inlineStr">
        <is>
          <t>Maldives</t>
        </is>
      </c>
      <c r="C19" s="32" t="inlineStr">
        <is>
          <t>Maafaru Airport, Noonu → Siyam World (Dhigurah, Noonu)</t>
        </is>
      </c>
      <c r="D19" s="33" t="n">
        <v>10</v>
      </c>
      <c r="E19" s="27" t="n">
        <v>150</v>
      </c>
      <c r="F19" s="34" t="inlineStr">
        <is>
          <t>T3</t>
        </is>
      </c>
      <c r="G19" s="34" t="inlineStr">
        <is>
          <t>med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39882</v>
      </c>
      <c r="AI19" s="34" t="inlineStr">
        <is>
          <t>T5</t>
        </is>
      </c>
      <c r="AJ19" s="34" t="inlineStr">
        <is>
          <t>med</t>
        </is>
      </c>
      <c r="AK19" s="41" t="n">
        <v>0.9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>
        <v>20</v>
      </c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19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19" s="34" t="inlineStr">
        <is>
          <t>e__mald__9bf1ceb3c16f</t>
        </is>
      </c>
    </row>
    <row r="20">
      <c r="A20" s="31" t="inlineStr">
        <is>
          <t>Maldives (JIH)</t>
        </is>
      </c>
      <c r="B20" s="31" t="inlineStr">
        <is>
          <t>Maldives</t>
        </is>
      </c>
      <c r="C20" s="32" t="inlineStr">
        <is>
          <t>Soneva Fushi (Kunfunadhoo, Baa) → Four Seasons Landaa Giraavaru (Baa)</t>
        </is>
      </c>
      <c r="D20" s="33" t="n">
        <v>11.7</v>
      </c>
      <c r="E20" s="27" t="n">
        <v>175</v>
      </c>
      <c r="F20" s="34" t="inlineStr">
        <is>
          <t>T3</t>
        </is>
      </c>
      <c r="G20" s="34" t="inlineStr">
        <is>
          <t>med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/>
      <c r="AI20" s="34" t="n"/>
      <c r="AJ20" s="34" t="inlineStr">
        <is>
          <t>null</t>
        </is>
      </c>
      <c r="AK20" s="41" t="n">
        <v>0.9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Estimated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20" s="46" t="inlineStr">
        <is>
          <t>NULL — pure inter-resort island-hop; no grounded crossing pool (R2). Geometry only.</t>
        </is>
      </c>
      <c r="BA20" s="34" t="inlineStr">
        <is>
          <t>e__mald__c960786903a0</t>
        </is>
      </c>
    </row>
    <row r="21">
      <c r="A21" s="31" t="inlineStr">
        <is>
          <t>Maldives (JIH)</t>
        </is>
      </c>
      <c r="B21" s="31" t="inlineStr">
        <is>
          <t>Maldives</t>
        </is>
      </c>
      <c r="C21" s="32" t="inlineStr">
        <is>
          <t>Dharavandhoo Airport, Baa → Anantara Kihavah (Baa)</t>
        </is>
      </c>
      <c r="D21" s="33" t="n">
        <v>11.8</v>
      </c>
      <c r="E21" s="27" t="n">
        <v>200</v>
      </c>
      <c r="F21" s="34" t="inlineStr">
        <is>
          <t>T3</t>
        </is>
      </c>
      <c r="G21" s="34" t="inlineStr">
        <is>
          <t>med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5975</v>
      </c>
      <c r="AI21" s="34" t="inlineStr">
        <is>
          <t>T5</t>
        </is>
      </c>
      <c r="AJ21" s="34" t="inlineStr">
        <is>
          <t>med</t>
        </is>
      </c>
      <c r="AK21" s="41" t="n">
        <v>0.9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>
        <v>4</v>
      </c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21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21" s="34" t="inlineStr">
        <is>
          <t>e__mald__ea26295ac460</t>
        </is>
      </c>
    </row>
    <row r="22">
      <c r="A22" s="31" t="inlineStr">
        <is>
          <t>Maldives (JIH)</t>
        </is>
      </c>
      <c r="B22" s="31" t="inlineStr">
        <is>
          <t>Maldives</t>
        </is>
      </c>
      <c r="C22" s="32" t="inlineStr">
        <is>
          <t>Maamigili (Villa) Airport, South Ari → Lily Beach Resort (Huvahendhoo)</t>
        </is>
      </c>
      <c r="D22" s="33" t="n">
        <v>12.5</v>
      </c>
      <c r="E22" s="27" t="n">
        <v>150</v>
      </c>
      <c r="F22" s="34" t="inlineStr">
        <is>
          <t>T3</t>
        </is>
      </c>
      <c r="G22" s="34" t="inlineStr">
        <is>
          <t>med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9336</v>
      </c>
      <c r="AI22" s="34" t="inlineStr">
        <is>
          <t>T5</t>
        </is>
      </c>
      <c r="AJ22" s="34" t="inlineStr">
        <is>
          <t>med</t>
        </is>
      </c>
      <c r="AK22" s="41" t="n">
        <v>0.9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>
        <v>5</v>
      </c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22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22" s="34" t="inlineStr">
        <is>
          <t>e__mald__6321f772bf07</t>
        </is>
      </c>
    </row>
    <row r="23">
      <c r="A23" s="31" t="inlineStr">
        <is>
          <t>Maldives (JIH)</t>
        </is>
      </c>
      <c r="B23" s="31" t="inlineStr">
        <is>
          <t>Maldives</t>
        </is>
      </c>
      <c r="C23" s="32" t="inlineStr">
        <is>
          <t>Maamigili (Villa) Airport, South Ari → Mirihi Island Resort</t>
        </is>
      </c>
      <c r="D23" s="33" t="n">
        <v>12.9</v>
      </c>
      <c r="E23" s="27" t="n">
        <v>120</v>
      </c>
      <c r="F23" s="34" t="inlineStr">
        <is>
          <t>T3</t>
        </is>
      </c>
      <c r="G23" s="34" t="inlineStr">
        <is>
          <t>med</t>
        </is>
      </c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>
        <v>2763</v>
      </c>
      <c r="AI23" s="34" t="inlineStr">
        <is>
          <t>T5</t>
        </is>
      </c>
      <c r="AJ23" s="34" t="inlineStr">
        <is>
          <t>med</t>
        </is>
      </c>
      <c r="AK23" s="41" t="n">
        <v>0.9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Grounded</t>
        </is>
      </c>
      <c r="AS23" s="43" t="n"/>
      <c r="AT23" s="43" t="n"/>
      <c r="AU23" s="44" t="n">
        <v>2</v>
      </c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23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23" s="34" t="inlineStr">
        <is>
          <t>e__mald__668ae19f3441</t>
        </is>
      </c>
    </row>
    <row r="24">
      <c r="A24" s="31" t="inlineStr">
        <is>
          <t>Maldives (JIH)</t>
        </is>
      </c>
      <c r="B24" s="31" t="inlineStr">
        <is>
          <t>Maldives</t>
        </is>
      </c>
      <c r="C24" s="32" t="inlineStr">
        <is>
          <t>Maamigili (Villa) Airport, South Ari → Conrad Maldives Rangali Island</t>
        </is>
      </c>
      <c r="D24" s="33" t="n">
        <v>13.1</v>
      </c>
      <c r="E24" s="27" t="n">
        <v>150</v>
      </c>
      <c r="F24" s="34" t="inlineStr">
        <is>
          <t>T3</t>
        </is>
      </c>
      <c r="G24" s="34" t="inlineStr">
        <is>
          <t>med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11203</v>
      </c>
      <c r="AI24" s="34" t="inlineStr">
        <is>
          <t>T5</t>
        </is>
      </c>
      <c r="AJ24" s="34" t="inlineStr">
        <is>
          <t>med</t>
        </is>
      </c>
      <c r="AK24" s="41" t="n">
        <v>0.9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Grounded</t>
        </is>
      </c>
      <c r="AS24" s="43" t="n"/>
      <c r="AT24" s="43" t="n"/>
      <c r="AU24" s="44" t="n">
        <v>6</v>
      </c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24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24" s="34" t="inlineStr">
        <is>
          <t>e__mald__05cb62853a96</t>
        </is>
      </c>
    </row>
    <row r="25">
      <c r="A25" s="31" t="inlineStr">
        <is>
          <t>Maldives (JIH)</t>
        </is>
      </c>
      <c r="B25" s="31" t="inlineStr">
        <is>
          <t>Maldives</t>
        </is>
      </c>
      <c r="C25" s="32" t="inlineStr">
        <is>
          <t>Maafaru Airport, Noonu → Cheval Blanc Randheli (Noonu)</t>
        </is>
      </c>
      <c r="D25" s="33" t="n">
        <v>13.1</v>
      </c>
      <c r="E25" s="27" t="n">
        <v>200</v>
      </c>
      <c r="F25" s="34" t="inlineStr">
        <is>
          <t>T3</t>
        </is>
      </c>
      <c r="G25" s="34" t="inlineStr">
        <is>
          <t>med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3361</v>
      </c>
      <c r="AI25" s="34" t="inlineStr">
        <is>
          <t>T5</t>
        </is>
      </c>
      <c r="AJ25" s="34" t="inlineStr">
        <is>
          <t>med</t>
        </is>
      </c>
      <c r="AK25" s="41" t="n">
        <v>0.9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Grounded</t>
        </is>
      </c>
      <c r="AS25" s="43" t="n"/>
      <c r="AT25" s="43" t="n"/>
      <c r="AU25" s="44" t="n">
        <v>2</v>
      </c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25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25" s="34" t="inlineStr">
        <is>
          <t>e__mald__cb9c1c10aa68</t>
        </is>
      </c>
    </row>
    <row r="26">
      <c r="A26" s="31" t="inlineStr">
        <is>
          <t>Maldives (JIH)</t>
        </is>
      </c>
      <c r="B26" s="31" t="inlineStr">
        <is>
          <t>Maldives</t>
        </is>
      </c>
      <c r="C26" s="32" t="inlineStr">
        <is>
          <t>Ifuru Airport, Raa → Joali Being (Bodufushi, Raa)</t>
        </is>
      </c>
      <c r="D26" s="33" t="n">
        <v>13.2</v>
      </c>
      <c r="E26" s="27" t="n">
        <v>200</v>
      </c>
      <c r="F26" s="34" t="inlineStr">
        <is>
          <t>T3</t>
        </is>
      </c>
      <c r="G26" s="34" t="inlineStr">
        <is>
          <t>med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Korea",FLOOR(60*korea_service_hr/K26,1),MIN(15,FLOOR(60*service_hr/K26,1)))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5079</v>
      </c>
      <c r="AI26" s="34" t="inlineStr">
        <is>
          <t>T5</t>
        </is>
      </c>
      <c r="AJ26" s="34" t="inlineStr">
        <is>
          <t>med</t>
        </is>
      </c>
      <c r="AK26" s="41" t="n">
        <v>0.9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>
        <v>3</v>
      </c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26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26" s="34" t="inlineStr">
        <is>
          <t>e__mald__371b1d4b42bb</t>
        </is>
      </c>
    </row>
    <row r="27">
      <c r="A27" s="31" t="inlineStr">
        <is>
          <t>Maldives (JIH)</t>
        </is>
      </c>
      <c r="B27" s="31" t="inlineStr">
        <is>
          <t>Maldives</t>
        </is>
      </c>
      <c r="C27" s="32" t="inlineStr">
        <is>
          <t>Soneva Fushi (Kunfunadhoo, Baa) → Anantara Kihavah (Baa)</t>
        </is>
      </c>
      <c r="D27" s="33" t="n">
        <v>13.3</v>
      </c>
      <c r="E27" s="27" t="n">
        <v>175</v>
      </c>
      <c r="F27" s="34" t="inlineStr">
        <is>
          <t>T3</t>
        </is>
      </c>
      <c r="G27" s="34" t="inlineStr">
        <is>
          <t>med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/>
      <c r="AI27" s="34" t="n"/>
      <c r="AJ27" s="34" t="inlineStr">
        <is>
          <t>null</t>
        </is>
      </c>
      <c r="AK27" s="41" t="n">
        <v>0.9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Estimated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27" s="46" t="inlineStr">
        <is>
          <t>NULL — pure inter-resort island-hop; no grounded crossing pool (R2). Geometry only.</t>
        </is>
      </c>
      <c r="BA27" s="34" t="inlineStr">
        <is>
          <t>e__mald__b6454c3fc24e</t>
        </is>
      </c>
    </row>
    <row r="28">
      <c r="A28" s="31" t="inlineStr">
        <is>
          <t>Maldives (JIH)</t>
        </is>
      </c>
      <c r="B28" s="31" t="inlineStr">
        <is>
          <t>Maldives</t>
        </is>
      </c>
      <c r="C28" s="32" t="inlineStr">
        <is>
          <t>Dharavandhoo Airport, Baa → Vakkaru Maldives (Baa)</t>
        </is>
      </c>
      <c r="D28" s="33" t="n">
        <v>13.6</v>
      </c>
      <c r="E28" s="27" t="n">
        <v>175</v>
      </c>
      <c r="F28" s="34" t="inlineStr">
        <is>
          <t>T3</t>
        </is>
      </c>
      <c r="G28" s="34" t="inlineStr">
        <is>
          <t>med</t>
        </is>
      </c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Korea",FLOOR(60*korea_service_hr/K28,1),MIN(15,FLOOR(60*service_hr/K28,1)))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>
        <v>9336</v>
      </c>
      <c r="AI28" s="34" t="inlineStr">
        <is>
          <t>T5</t>
        </is>
      </c>
      <c r="AJ28" s="34" t="inlineStr">
        <is>
          <t>med</t>
        </is>
      </c>
      <c r="AK28" s="41" t="n">
        <v>0.9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Grounded</t>
        </is>
      </c>
      <c r="AS28" s="43" t="n"/>
      <c r="AT28" s="43" t="n"/>
      <c r="AU28" s="44" t="n">
        <v>5</v>
      </c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28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28" s="34" t="inlineStr">
        <is>
          <t>e__mald__6f893e9600de</t>
        </is>
      </c>
    </row>
    <row r="29">
      <c r="A29" s="31" t="inlineStr">
        <is>
          <t>Maldives (JIH)</t>
        </is>
      </c>
      <c r="B29" s="31" t="inlineStr">
        <is>
          <t>Maldives</t>
        </is>
      </c>
      <c r="C29" s="32" t="inlineStr">
        <is>
          <t>Dharavandhoo Airport, Baa → Finolhu (Baa)</t>
        </is>
      </c>
      <c r="D29" s="33" t="n">
        <v>13.9</v>
      </c>
      <c r="E29" s="27" t="n">
        <v>150</v>
      </c>
      <c r="F29" s="34" t="inlineStr">
        <is>
          <t>T3</t>
        </is>
      </c>
      <c r="G29" s="34" t="inlineStr">
        <is>
          <t>med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>
        <v>9336</v>
      </c>
      <c r="AI29" s="34" t="inlineStr">
        <is>
          <t>T5</t>
        </is>
      </c>
      <c r="AJ29" s="34" t="inlineStr">
        <is>
          <t>med</t>
        </is>
      </c>
      <c r="AK29" s="41" t="n">
        <v>0.9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Grounded</t>
        </is>
      </c>
      <c r="AS29" s="43" t="n"/>
      <c r="AT29" s="43" t="n"/>
      <c r="AU29" s="44" t="n">
        <v>5</v>
      </c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29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29" s="34" t="inlineStr">
        <is>
          <t>e__mald__ad763bd18d10</t>
        </is>
      </c>
    </row>
    <row r="30">
      <c r="A30" s="31" t="inlineStr">
        <is>
          <t>Maldives (JIH)</t>
        </is>
      </c>
      <c r="B30" s="31" t="inlineStr">
        <is>
          <t>Maldives</t>
        </is>
      </c>
      <c r="C30" s="32" t="inlineStr">
        <is>
          <t>Velana International Airport (MLE) Resort Speedboat Lounges → Waldorf Astoria Maldives Ithaafushi</t>
        </is>
      </c>
      <c r="D30" s="33" t="n">
        <v>14.6</v>
      </c>
      <c r="E30" s="27" t="n">
        <v>400</v>
      </c>
      <c r="F30" s="34" t="inlineStr">
        <is>
          <t>T1</t>
        </is>
      </c>
      <c r="G30" s="34" t="inlineStr">
        <is>
          <t>med-high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>
        <v>18800</v>
      </c>
      <c r="AI30" s="34" t="inlineStr">
        <is>
          <t>T5</t>
        </is>
      </c>
      <c r="AJ30" s="34" t="inlineStr">
        <is>
          <t>low-med</t>
        </is>
      </c>
      <c r="AK30" s="41" t="n">
        <v>0.9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Grounded</t>
        </is>
      </c>
      <c r="AS30" s="43" t="n"/>
      <c r="AT30" s="43" t="n"/>
      <c r="AU30" s="44" t="n">
        <v>5</v>
      </c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inlineStr">
        <is>
          <t>Waldorf/Hilton official + reviews: shared transfer US$350 base + 23.2% tax &amp; service per adult per way = ~$431 all-in (onemileatatime, travelupdate/BLTraveler). PointChaser: boat transfer charged $862.40 RT = $431/way. Private yacht US$3,600++ per way max 8 guests = $450/pax (whole-boat charter ceiling). Premium per-seat shared = ~$400/way (base $350, all-in ~$431).</t>
        </is>
      </c>
      <c r="AZ30" s="46" t="inlineStr">
        <is>
          <t>Modeled from resort key count. Waldorf Astoria Maldives Ithaafushi: ~120 villas/keys (published resort/Virtuoso/booking figures). corridor_annual_oneway_pax = keys x 365 x occ(0.75) / avg_stay(7 nights) x guests/key(2) x 2 (arr+dep) ~= keys x 156. 120 keys -&gt; ~18,800 one-way pax/yr. Airport(MLE)&lt;-&gt;this resort is the sole transfer corridor (boat/seaplane only; no road/air alt - R3-EXCEPTION: arrivals = crossing ridership).</t>
        </is>
      </c>
      <c r="BA30" s="34" t="inlineStr">
        <is>
          <t>e__velana__westin-miriandhoo-jetty</t>
        </is>
      </c>
    </row>
    <row r="31">
      <c r="A31" s="31" t="inlineStr">
        <is>
          <t>Maldives (JIH)</t>
        </is>
      </c>
      <c r="B31" s="31" t="inlineStr">
        <is>
          <t>Maldives</t>
        </is>
      </c>
      <c r="C31" s="32" t="inlineStr">
        <is>
          <t>Velana International Airport (MLE) Resort Speedboat Lounges → COMO Cocoa Island (Makunufushi, South Malé)</t>
        </is>
      </c>
      <c r="D31" s="33" t="n">
        <v>15.9</v>
      </c>
      <c r="E31" s="27" t="n">
        <v>130</v>
      </c>
      <c r="F31" s="34" t="inlineStr">
        <is>
          <t>T1</t>
        </is>
      </c>
      <c r="G31" s="34" t="inlineStr">
        <is>
          <t>med-high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Korea",FLOOR(60*korea_service_hr/K31,1),MIN(15,FLOOR(60*service_hr/K31,1)))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>
        <v>5200</v>
      </c>
      <c r="AI31" s="34" t="inlineStr">
        <is>
          <t>T5</t>
        </is>
      </c>
      <c r="AJ31" s="34" t="inlineStr">
        <is>
          <t>low-med</t>
        </is>
      </c>
      <c r="AK31" s="41" t="n">
        <v>0.9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Grounded</t>
        </is>
      </c>
      <c r="AS31" s="43" t="n"/>
      <c r="AT31" s="43" t="n"/>
      <c r="AU31" s="44" t="n">
        <v>2</v>
      </c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COMO Hotels official (Tripadvisor FAQ quoting resort): private guest speedboat USD 250++ per person combined return = $125/way. maldivesnomad.com: COMO Cocoa Island $258 RT = $129/way. Private up-to-4-guest charter from ~$900/boat/way (Go Ocean Travel). Premium per-seat $130/way.</t>
        </is>
      </c>
      <c r="AZ31" s="46" t="inlineStr">
        <is>
          <t>Modeled from resort key count. COMO Cocoa Island (Makunufushi, South Malé): ~33 villas/keys (published resort/Virtuoso/booking figures). corridor_annual_oneway_pax = keys x 365 x occ(0.75) / avg_stay(7 nights) x guests/key(2) x 2 (arr+dep) ~= keys x 156. 33 keys -&gt; ~5,200 one-way pax/yr. Airport(MLE)&lt;-&gt;this resort is the sole transfer corridor (boat/seaplane only; no road/air alt - R3-EXCEPTION: arrivals = crossing ridership).</t>
        </is>
      </c>
      <c r="BA31" s="34" t="inlineStr">
        <is>
          <t>e__velana__como-cocoa-island-jetty</t>
        </is>
      </c>
    </row>
    <row r="32">
      <c r="A32" s="31" t="inlineStr">
        <is>
          <t>Maldives (JIH)</t>
        </is>
      </c>
      <c r="B32" s="31" t="inlineStr">
        <is>
          <t>Maldives</t>
        </is>
      </c>
      <c r="C32" s="32" t="inlineStr">
        <is>
          <t>Ifuru Airport, Raa → Emerald Maldives (Fasmendhoo, Raa)</t>
        </is>
      </c>
      <c r="D32" s="33" t="n">
        <v>16.8</v>
      </c>
      <c r="E32" s="27" t="n">
        <v>150</v>
      </c>
      <c r="F32" s="34" t="inlineStr">
        <is>
          <t>T3</t>
        </is>
      </c>
      <c r="G32" s="34" t="inlineStr">
        <is>
          <t>med</t>
        </is>
      </c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Korea",FLOOR(60*korea_service_hr/K32,1),MIN(15,FLOOR(60*service_hr/K32,1)))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>
        <v>8962</v>
      </c>
      <c r="AI32" s="34" t="inlineStr">
        <is>
          <t>T5</t>
        </is>
      </c>
      <c r="AJ32" s="34" t="inlineStr">
        <is>
          <t>med</t>
        </is>
      </c>
      <c r="AK32" s="41" t="n">
        <v>0.9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Grounded</t>
        </is>
      </c>
      <c r="AS32" s="43" t="n"/>
      <c r="AT32" s="43" t="n"/>
      <c r="AU32" s="44" t="n">
        <v>5</v>
      </c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32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32" s="34" t="inlineStr">
        <is>
          <t>e__mald__cef2887c4a31</t>
        </is>
      </c>
    </row>
    <row r="33">
      <c r="A33" s="31" t="inlineStr">
        <is>
          <t>Maldives (JIH)</t>
        </is>
      </c>
      <c r="B33" s="31" t="inlineStr">
        <is>
          <t>Maldives</t>
        </is>
      </c>
      <c r="C33" s="32" t="inlineStr">
        <is>
          <t>Kudahuvadhoo Airport, Dhaalu → St. Regis Vommuli (Dhaalu)</t>
        </is>
      </c>
      <c r="D33" s="33" t="n">
        <v>17</v>
      </c>
      <c r="E33" s="27" t="n">
        <v>175</v>
      </c>
      <c r="F33" s="34" t="inlineStr">
        <is>
          <t>T3</t>
        </is>
      </c>
      <c r="G33" s="34" t="inlineStr">
        <is>
          <t>med</t>
        </is>
      </c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Korea",FLOOR(60*korea_service_hr/K33,1),MIN(15,FLOOR(60*service_hr/K33,1)))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>
        <v>5751</v>
      </c>
      <c r="AI33" s="34" t="inlineStr">
        <is>
          <t>T5</t>
        </is>
      </c>
      <c r="AJ33" s="34" t="inlineStr">
        <is>
          <t>med</t>
        </is>
      </c>
      <c r="AK33" s="41" t="n">
        <v>0.9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Grounded</t>
        </is>
      </c>
      <c r="AS33" s="43" t="n"/>
      <c r="AT33" s="43" t="n"/>
      <c r="AU33" s="44" t="n">
        <v>4</v>
      </c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33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33" s="34" t="inlineStr">
        <is>
          <t>e__mald__d549db406b20</t>
        </is>
      </c>
    </row>
    <row r="34">
      <c r="A34" s="31" t="inlineStr">
        <is>
          <t>Maldives (JIH)</t>
        </is>
      </c>
      <c r="B34" s="31" t="inlineStr">
        <is>
          <t>Maldives</t>
        </is>
      </c>
      <c r="C34" s="32" t="inlineStr">
        <is>
          <t>Maafaru Airport, Noonu → Velaa Private Island (Noonu)</t>
        </is>
      </c>
      <c r="D34" s="33" t="n">
        <v>17.1</v>
      </c>
      <c r="E34" s="27" t="n">
        <v>200</v>
      </c>
      <c r="F34" s="34" t="inlineStr">
        <is>
          <t>T3</t>
        </is>
      </c>
      <c r="G34" s="34" t="inlineStr">
        <is>
          <t>med</t>
        </is>
      </c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>
        <v>3510</v>
      </c>
      <c r="AI34" s="34" t="inlineStr">
        <is>
          <t>T5</t>
        </is>
      </c>
      <c r="AJ34" s="34" t="inlineStr">
        <is>
          <t>med</t>
        </is>
      </c>
      <c r="AK34" s="41" t="n">
        <v>0.9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Grounded</t>
        </is>
      </c>
      <c r="AS34" s="43" t="n"/>
      <c r="AT34" s="43" t="n"/>
      <c r="AU34" s="44" t="n">
        <v>2</v>
      </c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34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34" s="34" t="inlineStr">
        <is>
          <t>e__mald__7daa80d2dca0</t>
        </is>
      </c>
    </row>
    <row r="35">
      <c r="A35" s="31" t="inlineStr">
        <is>
          <t>Maldives (JIH)</t>
        </is>
      </c>
      <c r="B35" s="31" t="inlineStr">
        <is>
          <t>Maldives</t>
        </is>
      </c>
      <c r="C35" s="32" t="inlineStr">
        <is>
          <t>Hurawalhi (Lhaviyani) → Le Meridien Maldives Thilamaafushi (Lhaviyani)</t>
        </is>
      </c>
      <c r="D35" s="33" t="n">
        <v>19.8</v>
      </c>
      <c r="E35" s="27" t="n">
        <v>150</v>
      </c>
      <c r="F35" s="34" t="inlineStr">
        <is>
          <t>T3</t>
        </is>
      </c>
      <c r="G35" s="34" t="inlineStr">
        <is>
          <t>med</t>
        </is>
      </c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/>
      <c r="AI35" s="34" t="n"/>
      <c r="AJ35" s="34" t="inlineStr">
        <is>
          <t>null</t>
        </is>
      </c>
      <c r="AK35" s="41" t="n">
        <v>0.9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Estimated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35" s="46" t="inlineStr">
        <is>
          <t>NULL — pure inter-resort island-hop; no grounded crossing pool (R2). Geometry only.</t>
        </is>
      </c>
      <c r="BA35" s="34" t="inlineStr">
        <is>
          <t>e__mald__213fc6446c15</t>
        </is>
      </c>
    </row>
    <row r="36">
      <c r="A36" s="31" t="inlineStr">
        <is>
          <t>Maldives (JIH)</t>
        </is>
      </c>
      <c r="B36" s="31" t="inlineStr">
        <is>
          <t>Maldives</t>
        </is>
      </c>
      <c r="C36" s="32" t="inlineStr">
        <is>
          <t>Velana International Airport (MLE) Resort Speedboat Lounges → One&amp;Only Reethi Rah</t>
        </is>
      </c>
      <c r="D36" s="33" t="n">
        <v>22</v>
      </c>
      <c r="E36" s="27" t="n">
        <v>500</v>
      </c>
      <c r="F36" s="34" t="inlineStr">
        <is>
          <t>T3</t>
        </is>
      </c>
      <c r="G36" s="34" t="inlineStr">
        <is>
          <t>med</t>
        </is>
      </c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Korea",FLOOR(60*korea_service_hr/K36,1),MIN(15,FLOOR(60*service_hr/K36,1)))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>
        <v>20300</v>
      </c>
      <c r="AI36" s="34" t="inlineStr">
        <is>
          <t>T5</t>
        </is>
      </c>
      <c r="AJ36" s="34" t="inlineStr">
        <is>
          <t>low-med</t>
        </is>
      </c>
      <c r="AK36" s="41" t="n">
        <v>0.9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Grounded</t>
        </is>
      </c>
      <c r="AS36" s="43" t="n"/>
      <c r="AT36" s="43" t="n"/>
      <c r="AU36" s="44" t="n">
        <v>5</v>
      </c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inlineStr">
        <is>
          <t>One&amp;Only Reethi Rah (oneandonlyresorts.com publishes shared luxury boat transfer at a charge; 45-min). Luxury Escapes listing: airport shuttle USD 1,260/person roundtrip = $630/way (premium scheduled), plus a $325 lower tier. Tripadvisor forum: Reethi Rah transfer quoted $450/person. Premium per-seat ~$500/way.</t>
        </is>
      </c>
      <c r="AZ36" s="46" t="inlineStr">
        <is>
          <t>Modeled from resort key count. One&amp;Only Reethi Rah: ~130 villas/keys (published resort/Virtuoso/booking figures). corridor_annual_oneway_pax = keys x 365 x occ(0.75) / avg_stay(7 nights) x guests/key(2) x 2 (arr+dep) ~= keys x 156. 130 keys -&gt; ~20,300 one-way pax/yr. Airport(MLE)&lt;-&gt;this resort is the sole transfer corridor (boat/seaplane only; no road/air alt - R3-EXCEPTION: arrivals = crossing ridership).</t>
        </is>
      </c>
      <c r="BA36" s="34" t="inlineStr">
        <is>
          <t>e__velana__westin-miriandhoo-jetty</t>
        </is>
      </c>
    </row>
    <row r="37">
      <c r="A37" s="31" t="inlineStr">
        <is>
          <t>Maldives (JIH)</t>
        </is>
      </c>
      <c r="B37" s="31" t="inlineStr">
        <is>
          <t>Maldives</t>
        </is>
      </c>
      <c r="C37" s="32" t="inlineStr">
        <is>
          <t>Ifuru Airport, Raa → InterContinental Maamunagau (Raa)</t>
        </is>
      </c>
      <c r="D37" s="33" t="n">
        <v>23.1</v>
      </c>
      <c r="E37" s="27" t="n">
        <v>150</v>
      </c>
      <c r="F37" s="34" t="inlineStr">
        <is>
          <t>T3</t>
        </is>
      </c>
      <c r="G37" s="34" t="inlineStr">
        <is>
          <t>med</t>
        </is>
      </c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>
        <v>6049</v>
      </c>
      <c r="AI37" s="34" t="inlineStr">
        <is>
          <t>T5</t>
        </is>
      </c>
      <c r="AJ37" s="34" t="inlineStr">
        <is>
          <t>med</t>
        </is>
      </c>
      <c r="AK37" s="41" t="n">
        <v>0.9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Grounded</t>
        </is>
      </c>
      <c r="AS37" s="43" t="n"/>
      <c r="AT37" s="43" t="n"/>
      <c r="AU37" s="44" t="n">
        <v>4</v>
      </c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37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37" s="34" t="inlineStr">
        <is>
          <t>e__mald__ec4f42bb18cf</t>
        </is>
      </c>
    </row>
    <row r="38">
      <c r="A38" s="31" t="inlineStr">
        <is>
          <t>Maldives (JIH)</t>
        </is>
      </c>
      <c r="B38" s="31" t="inlineStr">
        <is>
          <t>Maldives</t>
        </is>
      </c>
      <c r="C38" s="32" t="inlineStr">
        <is>
          <t>Velana International Airport (MLE) Resort Speedboat Lounges → The Ritz-Carlton Maldives, Fari Islands</t>
        </is>
      </c>
      <c r="D38" s="33" t="n">
        <v>26.5</v>
      </c>
      <c r="E38" s="27" t="n">
        <v>510</v>
      </c>
      <c r="F38" s="34" t="inlineStr">
        <is>
          <t>T1</t>
        </is>
      </c>
      <c r="G38" s="34" t="inlineStr">
        <is>
          <t>med-high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>
        <v>15600</v>
      </c>
      <c r="AI38" s="34" t="inlineStr">
        <is>
          <t>T5</t>
        </is>
      </c>
      <c r="AJ38" s="34" t="inlineStr">
        <is>
          <t>low-med</t>
        </is>
      </c>
      <c r="AK38" s="41" t="n">
        <v>0.9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Grounded</t>
        </is>
      </c>
      <c r="AS38" s="43" t="n"/>
      <c r="AT38" s="43" t="n"/>
      <c r="AU38" s="44" t="n">
        <v>4</v>
      </c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inlineStr">
        <is>
          <t>Ritz-Carlton Maldives Fari Islands OFFICIAL (ritzcarlton.com): on-demand roundtrip speedboat USD 1,027 net/adult (incl 10% service) = $513/way. johnnyafrica review: $1,024/person 2025. FlyerTalk master thread: shared speedboat $901/adult RT; private 48' speedboat $2,800/person (charter). Premium per-seat $510/way.</t>
        </is>
      </c>
      <c r="AZ38" s="46" t="inlineStr">
        <is>
          <t>Modeled from resort key count. The Ritz-Carlton Maldives, Fari Islands: ~100 villas/keys (published resort/Virtuoso/booking figures). corridor_annual_oneway_pax = keys x 365 x occ(0.75) / avg_stay(7 nights) x guests/key(2) x 2 (arr+dep) ~= keys x 156. 100 keys -&gt; ~15,600 one-way pax/yr. Airport(MLE)&lt;-&gt;this resort is the sole transfer corridor (boat/seaplane only; no road/air alt - R3-EXCEPTION: arrivals = crossing ridership).</t>
        </is>
      </c>
      <c r="BA38" s="34" t="inlineStr">
        <is>
          <t>e__velana__westin-miriandhoo-jetty</t>
        </is>
      </c>
    </row>
    <row r="39">
      <c r="A39" s="31" t="inlineStr">
        <is>
          <t>Maldives (JIH)</t>
        </is>
      </c>
      <c r="B39" s="31" t="inlineStr">
        <is>
          <t>Maldives</t>
        </is>
      </c>
      <c r="C39" s="32" t="inlineStr">
        <is>
          <t>Velana International Airport (MLE) Resort Speedboat Lounges → Patina Maldives, Fari Islands</t>
        </is>
      </c>
      <c r="D39" s="33" t="n">
        <v>27.4</v>
      </c>
      <c r="E39" s="27" t="n">
        <v>450</v>
      </c>
      <c r="F39" s="34" t="inlineStr">
        <is>
          <t>T3</t>
        </is>
      </c>
      <c r="G39" s="34" t="inlineStr">
        <is>
          <t>med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14100</v>
      </c>
      <c r="AI39" s="34" t="inlineStr">
        <is>
          <t>T5</t>
        </is>
      </c>
      <c r="AJ39" s="34" t="inlineStr">
        <is>
          <t>low-med</t>
        </is>
      </c>
      <c r="AK39" s="41" t="n">
        <v>0.9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Grounded</t>
        </is>
      </c>
      <c r="AS39" s="43" t="n"/>
      <c r="AT39" s="43" t="n"/>
      <c r="AU39" s="44" t="n">
        <v>4</v>
      </c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inlineStr">
        <is>
          <t>Patina Maldives Fari Islands. Luxury Escapes listing: shared roundtrip speedboat US$950/adult +28.7% tax = ~$610/way all-in. The Luxury Traveller review: $730/adult RT = $365/way. Same Fari Islands lagoon as Ritz (~50-min speedboat). Premium per-seat ~$450/way (mid of $365-475 base band).</t>
        </is>
      </c>
      <c r="AZ39" s="46" t="inlineStr">
        <is>
          <t>Modeled from resort key count. Patina Maldives, Fari Islands: ~90 villas/keys (published resort/Virtuoso/booking figures). corridor_annual_oneway_pax = keys x 365 x occ(0.75) / avg_stay(7 nights) x guests/key(2) x 2 (arr+dep) ~= keys x 156. 90 keys -&gt; ~14,100 one-way pax/yr. Airport(MLE)&lt;-&gt;this resort is the sole transfer corridor (boat/seaplane only; no road/air alt - R3-EXCEPTION: arrivals = crossing ridership).</t>
        </is>
      </c>
      <c r="BA39" s="34" t="inlineStr">
        <is>
          <t>e__velana__westin-miriandhoo-jetty</t>
        </is>
      </c>
    </row>
    <row r="40">
      <c r="A40" s="31" t="inlineStr">
        <is>
          <t>Maldives (JIH)</t>
        </is>
      </c>
      <c r="B40" s="31" t="inlineStr">
        <is>
          <t>Maldives</t>
        </is>
      </c>
      <c r="C40" s="32" t="inlineStr">
        <is>
          <t>Maamigili (Villa) Airport, South Ari → Constance Moofushi</t>
        </is>
      </c>
      <c r="D40" s="33" t="n">
        <v>29</v>
      </c>
      <c r="E40" s="27" t="n">
        <v>150</v>
      </c>
      <c r="F40" s="34" t="inlineStr">
        <is>
          <t>T3</t>
        </is>
      </c>
      <c r="G40" s="34" t="inlineStr">
        <is>
          <t>med</t>
        </is>
      </c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Korea",FLOOR(60*korea_service_hr/K40,1),MIN(15,FLOOR(60*service_hr/K40,1)))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>
        <v>8215</v>
      </c>
      <c r="AI40" s="34" t="inlineStr">
        <is>
          <t>T5</t>
        </is>
      </c>
      <c r="AJ40" s="34" t="inlineStr">
        <is>
          <t>med</t>
        </is>
      </c>
      <c r="AK40" s="41" t="n">
        <v>0.9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Grounded</t>
        </is>
      </c>
      <c r="AS40" s="43" t="n"/>
      <c r="AT40" s="43" t="n"/>
      <c r="AU40" s="44" t="n">
        <v>5</v>
      </c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40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40" s="34" t="inlineStr">
        <is>
          <t>e__mald__cf81f3109b09</t>
        </is>
      </c>
    </row>
    <row r="41">
      <c r="A41" s="31" t="inlineStr">
        <is>
          <t>Maldives (JIH)</t>
        </is>
      </c>
      <c r="B41" s="31" t="inlineStr">
        <is>
          <t>Maldives</t>
        </is>
      </c>
      <c r="C41" s="32" t="inlineStr">
        <is>
          <t>Kooddoo Airport, Gaafu Alif → Ayada Maldives (Gaafu)</t>
        </is>
      </c>
      <c r="D41" s="33" t="n">
        <v>29.6</v>
      </c>
      <c r="E41" s="27" t="n">
        <v>150</v>
      </c>
      <c r="F41" s="34" t="inlineStr">
        <is>
          <t>T3</t>
        </is>
      </c>
      <c r="G41" s="34" t="inlineStr">
        <is>
          <t>med</t>
        </is>
      </c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>
        <v>8365</v>
      </c>
      <c r="AI41" s="34" t="inlineStr">
        <is>
          <t>T5</t>
        </is>
      </c>
      <c r="AJ41" s="34" t="inlineStr">
        <is>
          <t>med</t>
        </is>
      </c>
      <c r="AK41" s="41" t="n">
        <v>0.9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Grounded</t>
        </is>
      </c>
      <c r="AS41" s="43" t="n"/>
      <c r="AT41" s="43" t="n"/>
      <c r="AU41" s="44" t="n">
        <v>5</v>
      </c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41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41" s="34" t="inlineStr">
        <is>
          <t>e__mald__8d560d6ac726</t>
        </is>
      </c>
    </row>
    <row r="42">
      <c r="A42" s="31" t="inlineStr">
        <is>
          <t>Maldives (JIH)</t>
        </is>
      </c>
      <c r="B42" s="31" t="inlineStr">
        <is>
          <t>Maldives</t>
        </is>
      </c>
      <c r="C42" s="32" t="inlineStr">
        <is>
          <t>Velana International Airport (MLE) Resort Speedboat Lounges → Constance Halaveli (North Ari)</t>
        </is>
      </c>
      <c r="D42" s="33" t="n">
        <v>37.7</v>
      </c>
      <c r="E42" s="27" t="n">
        <v>300</v>
      </c>
      <c r="F42" s="34" t="inlineStr">
        <is>
          <t>T3</t>
        </is>
      </c>
      <c r="G42" s="34" t="inlineStr">
        <is>
          <t>med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>
        <v>13400</v>
      </c>
      <c r="AI42" s="34" t="inlineStr">
        <is>
          <t>T5</t>
        </is>
      </c>
      <c r="AJ42" s="34" t="inlineStr">
        <is>
          <t>low-med</t>
        </is>
      </c>
      <c r="AK42" s="41" t="n">
        <v>0.9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Grounded</t>
        </is>
      </c>
      <c r="AS42" s="43" t="n"/>
      <c r="AT42" s="43" t="n"/>
      <c r="AU42" s="44" t="n">
        <v>4</v>
      </c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inlineStr">
        <is>
          <t>Constance Halaveli, North Ari, 25-min seaplane. Tripadvisor FAQ (resort-quoted): seaplane USD 530/adult RT = $265/way. Booking.com 2026: seaplane both-ways service fee USD 650/adult = $325/way. 90-min speedboat alternative also offered (Angelfish Travel). Private seaplane ~$1,500/way (charter). Premium per-seat seaplane $300/way. NOTE: &gt;40nm leg - Navier (Pioneer II &lt;=70nm) substitutes the SEAPLANE here, big value capture.</t>
        </is>
      </c>
      <c r="AZ42" s="46" t="inlineStr">
        <is>
          <t>Modeled from resort key count. Constance Halaveli (North Ari): ~86 villas/keys (published resort/Virtuoso/booking figures). corridor_annual_oneway_pax = keys x 365 x occ(0.75) / avg_stay(7 nights) x guests/key(2) x 2 (arr+dep) ~= keys x 156. 86 keys -&gt; ~13,400 one-way pax/yr. Airport(MLE)&lt;-&gt;this resort is the sole transfer corridor (boat/seaplane only; no road/air alt - R3-EXCEPTION: arrivals = crossing ridership).</t>
        </is>
      </c>
      <c r="BA42" s="34" t="inlineStr">
        <is>
          <t>e__velana__westin-miriandhoo-jetty</t>
        </is>
      </c>
    </row>
    <row r="43">
      <c r="A43" s="31" t="inlineStr">
        <is>
          <t>Maldives (JIH)</t>
        </is>
      </c>
      <c r="B43" s="31" t="inlineStr">
        <is>
          <t>Maldives</t>
        </is>
      </c>
      <c r="C43" s="32" t="inlineStr">
        <is>
          <t>Maafaru Airport, Noonu → The Standard Huruvalhi (Raa)</t>
        </is>
      </c>
      <c r="D43" s="33" t="n">
        <v>40.4</v>
      </c>
      <c r="E43" s="27" t="n">
        <v>150</v>
      </c>
      <c r="F43" s="34" t="inlineStr">
        <is>
          <t>T3</t>
        </is>
      </c>
      <c r="G43" s="34" t="inlineStr">
        <is>
          <t>med</t>
        </is>
      </c>
      <c r="H43" s="20" t="n">
        <v>1</v>
      </c>
      <c r="I43" s="35">
        <f>60*D43/cruise_kt</f>
        <v/>
      </c>
      <c r="J43" s="35">
        <f>IF(B43="South Korea",D43/korea_charge_range_nm*korea_full_range_charge_min,0)</f>
        <v/>
      </c>
      <c r="K43" s="35">
        <f>IF(B43="South Korea",I43+korea_turn_min+korea_dwell_min+J43,I43+turn_min+dwell_min)</f>
        <v/>
      </c>
      <c r="L43" s="36">
        <f>IF(B43="South Korea",FLOOR(60*korea_service_hr/K43,1),MIN(15,FLOOR(60*service_hr/K43,1)))</f>
        <v/>
      </c>
      <c r="M43" s="36">
        <f>IF(ABS(MOD(ABS((365*mech_uptime*H43)),1)-0.5)&lt;1E-9,2*ROUND((365*mech_uptime*H43)/2,0),ROUND((365*mech_uptime*H43),0))</f>
        <v/>
      </c>
      <c r="N43" s="37">
        <f>mech_uptime</f>
        <v/>
      </c>
      <c r="O43" s="37">
        <f>IF(AND(B43="South Korea",scenario="MID"),korea_mid_revleg,revleg_sel)</f>
        <v/>
      </c>
      <c r="P43" s="36">
        <f>IF(ABS(MOD(ABS((L43*M43*O43)),1)-0.5)&lt;1E-9,2*ROUND((L43*M43*O43)/2,0),ROUND((L43*M43*O43),0))</f>
        <v/>
      </c>
      <c r="Q43" s="37">
        <f>IF(AND(B43="South Korea",scenario="MID"),korea_mid_load,load_sel)</f>
        <v/>
      </c>
      <c r="R43" s="38">
        <f>pax_cap*Q43</f>
        <v/>
      </c>
      <c r="S43" s="36">
        <f>R43*P43</f>
        <v/>
      </c>
      <c r="T43" s="39">
        <f>E43*discount</f>
        <v/>
      </c>
      <c r="U43" s="40">
        <f>T43*S43</f>
        <v/>
      </c>
      <c r="V43" s="40">
        <f>(battery/range_nm)*D43*P43*VLOOKUP(B43,country_opex,3,FALSE)</f>
        <v/>
      </c>
      <c r="W43" s="40">
        <f>VLOOKUP(B43,country_opex,2,FALSE)*crew_factor</f>
        <v/>
      </c>
      <c r="X43" s="40">
        <f>VLOOKUP(B43,country_opex,5,FALSE)</f>
        <v/>
      </c>
      <c r="Y43" s="40">
        <f>maint</f>
        <v/>
      </c>
      <c r="Z43" s="40">
        <f>VLOOKUP(B43,country_opex,7,FALSE)*ins_pct</f>
        <v/>
      </c>
      <c r="AA43" s="40">
        <f>charge_berth</f>
        <v/>
      </c>
      <c r="AB43" s="40">
        <f>V43+W43+X43+Y43+Z43+AA43</f>
        <v/>
      </c>
      <c r="AC43" s="40">
        <f>VLOOKUP(B43,country_opex,7,FALSE)/dep_years</f>
        <v/>
      </c>
      <c r="AD43" s="40">
        <f>U43-AB43</f>
        <v/>
      </c>
      <c r="AE43" s="37">
        <f>IF(U43=0,"",AD43/U43)</f>
        <v/>
      </c>
      <c r="AF43" s="38">
        <f>IF(AD43&lt;=0,"",VLOOKUP(B43,country_opex,7,FALSE)/AD43)</f>
        <v/>
      </c>
      <c r="AG43" s="35">
        <f>((D43*P43/diesel_nmpg)*diesel_co2pg-(battery/range_nm)*D43*P43*VLOOKUP(B43,country_opex,4,FALSE))/1000</f>
        <v/>
      </c>
      <c r="AH43" s="33" t="n">
        <v>8589</v>
      </c>
      <c r="AI43" s="34" t="inlineStr">
        <is>
          <t>T5</t>
        </is>
      </c>
      <c r="AJ43" s="34" t="inlineStr">
        <is>
          <t>med</t>
        </is>
      </c>
      <c r="AK43" s="41" t="n">
        <v>0.9</v>
      </c>
      <c r="AL43" s="36">
        <f>IF(AH43="","",AH43*AK43)</f>
        <v/>
      </c>
      <c r="AM43" s="36">
        <f>IF(OR(AH43="",S43=0),"",MIN(IF(AU43="",9.9E+99,AU43),FLOOR(AL43/S43,1)))</f>
        <v/>
      </c>
      <c r="AN43" s="40">
        <f>IF(AM43="","",AM43*IF(ABS(MOD(ABS((U43)),1)-0.5)&lt;1E-9,2*ROUND((U43)/2,0),ROUND((U43),0)))</f>
        <v/>
      </c>
      <c r="AO43" s="38">
        <f>IF(OR(AH43="",S43=0),"",MIN(IF(AU43="",9.9E+99,AU43),AL43/S43))</f>
        <v/>
      </c>
      <c r="AP43" s="40">
        <f>IF(AO43="","",AO43*IF(B43="South Korea",IF(ABS(MOD(ABS((U43)),1)-0.5)&lt;1E-9,2*ROUND((U43)/2,0),ROUND((U43),0)),U43))</f>
        <v/>
      </c>
      <c r="AQ43" s="42" t="n"/>
      <c r="AR43" s="34" t="inlineStr">
        <is>
          <t>Grounded</t>
        </is>
      </c>
      <c r="AS43" s="43" t="n"/>
      <c r="AT43" s="43" t="n"/>
      <c r="AU43" s="44" t="n">
        <v>5</v>
      </c>
      <c r="AV43" s="45">
        <f>IF(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&lt;=0,"",VLOOKUP(B43,country_opex,7,FALSE)/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)</f>
        <v/>
      </c>
      <c r="AW43" s="45">
        <f>IF(((T43*pax_cap*IF(B43="South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Korea",korea_mid_revleg,revleg_mid)),0))*VLOOKUP(B43,country_opex,3,FALSE))+W43+X43+Y43+Z43+AA43))&lt;=0,"",VLOOKUP(B43,country_opex,7,FALSE)/((T43*pax_cap*IF(B43="South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Korea",korea_mid_revleg,revleg_mid)),0))*VLOOKUP(B43,country_opex,3,FALSE))+W43+X43+Y43+Z43+AA43)))</f>
        <v/>
      </c>
      <c r="AX43" s="45">
        <f>IF(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&lt;=0,"",VLOOKUP(B43,country_opex,7,FALSE)/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)</f>
        <v/>
      </c>
      <c r="AY43" s="46" t="inlineStr">
        <is>
          <t>immaldives.com Maldives transfer costs (May 2026): shared speedboat $100-490 RT pp (=$50-245 OW); shared seaplane $400-820 RT pp (=$200-410 OW). atolltransfer.com scheduled $30-195 OW. Navier premium per-seat anchored between local premium speedboat and the seaplane the resort otherwise charges (R-MALDIVES-1).</t>
        </is>
      </c>
      <c r="AZ43" s="46" t="inlineStr">
        <is>
          <t>Modeled arrivals = published keys x occupancy 0.70 (Maldives Min. of Tourism avg) x (365/6.5 nights avg stay) x 1.9 pax/room. Inbound one-way transfers. T5-modeled/med; keys T1 resort-published. NULL for pure inter-resort excursion legs (R2).</t>
        </is>
      </c>
      <c r="BA43" s="34" t="inlineStr">
        <is>
          <t>e__mald__3c9b4106df59</t>
        </is>
      </c>
    </row>
    <row r="44">
      <c r="A44" s="31" t="inlineStr">
        <is>
          <t>Maldives (JIH)</t>
        </is>
      </c>
      <c r="B44" s="31" t="inlineStr">
        <is>
          <t>Maldives</t>
        </is>
      </c>
      <c r="C44" s="32" t="inlineStr">
        <is>
          <t>Velana International Airport (MLE) Resort Speedboat Lounges → Conrad Maldives Rangali Island (South Ari)</t>
        </is>
      </c>
      <c r="D44" s="33" t="n">
        <v>59.3</v>
      </c>
      <c r="E44" s="27" t="n">
        <v>350</v>
      </c>
      <c r="F44" s="34" t="inlineStr">
        <is>
          <t>T1</t>
        </is>
      </c>
      <c r="G44" s="34" t="inlineStr">
        <is>
          <t>med-high</t>
        </is>
      </c>
      <c r="H44" s="20" t="n">
        <v>1</v>
      </c>
      <c r="I44" s="35">
        <f>60*D44/cruise_kt</f>
        <v/>
      </c>
      <c r="J44" s="35">
        <f>IF(B44="South Korea",D44/korea_charge_range_nm*korea_full_range_charge_min,0)</f>
        <v/>
      </c>
      <c r="K44" s="35">
        <f>IF(B44="South Korea",I44+korea_turn_min+korea_dwell_min+J44,I44+turn_min+dwell_min)</f>
        <v/>
      </c>
      <c r="L44" s="36">
        <f>IF(B44="South Korea",FLOOR(60*korea_service_hr/K44,1),MIN(15,FLOOR(60*service_hr/K44,1)))</f>
        <v/>
      </c>
      <c r="M44" s="36">
        <f>IF(ABS(MOD(ABS((365*mech_uptime*H44)),1)-0.5)&lt;1E-9,2*ROUND((365*mech_uptime*H44)/2,0),ROUND((365*mech_uptime*H44),0))</f>
        <v/>
      </c>
      <c r="N44" s="37">
        <f>mech_uptime</f>
        <v/>
      </c>
      <c r="O44" s="37">
        <f>IF(AND(B44="South Korea",scenario="MID"),korea_mid_revleg,revleg_sel)</f>
        <v/>
      </c>
      <c r="P44" s="36">
        <f>IF(ABS(MOD(ABS((L44*M44*O44)),1)-0.5)&lt;1E-9,2*ROUND((L44*M44*O44)/2,0),ROUND((L44*M44*O44),0))</f>
        <v/>
      </c>
      <c r="Q44" s="37">
        <f>IF(AND(B44="South Korea",scenario="MID"),korea_mid_load,load_sel)</f>
        <v/>
      </c>
      <c r="R44" s="38">
        <f>pax_cap*Q44</f>
        <v/>
      </c>
      <c r="S44" s="36">
        <f>R44*P44</f>
        <v/>
      </c>
      <c r="T44" s="39">
        <f>E44*discount</f>
        <v/>
      </c>
      <c r="U44" s="40">
        <f>T44*S44</f>
        <v/>
      </c>
      <c r="V44" s="40">
        <f>(battery/range_nm)*D44*P44*VLOOKUP(B44,country_opex,3,FALSE)</f>
        <v/>
      </c>
      <c r="W44" s="40">
        <f>VLOOKUP(B44,country_opex,2,FALSE)*crew_factor</f>
        <v/>
      </c>
      <c r="X44" s="40">
        <f>VLOOKUP(B44,country_opex,5,FALSE)</f>
        <v/>
      </c>
      <c r="Y44" s="40">
        <f>maint</f>
        <v/>
      </c>
      <c r="Z44" s="40">
        <f>VLOOKUP(B44,country_opex,7,FALSE)*ins_pct</f>
        <v/>
      </c>
      <c r="AA44" s="40">
        <f>charge_berth</f>
        <v/>
      </c>
      <c r="AB44" s="40">
        <f>V44+W44+X44+Y44+Z44+AA44</f>
        <v/>
      </c>
      <c r="AC44" s="40">
        <f>VLOOKUP(B44,country_opex,7,FALSE)/dep_years</f>
        <v/>
      </c>
      <c r="AD44" s="40">
        <f>U44-AB44</f>
        <v/>
      </c>
      <c r="AE44" s="37">
        <f>IF(U44=0,"",AD44/U44)</f>
        <v/>
      </c>
      <c r="AF44" s="38">
        <f>IF(AD44&lt;=0,"",VLOOKUP(B44,country_opex,7,FALSE)/AD44)</f>
        <v/>
      </c>
      <c r="AG44" s="35">
        <f>((D44*P44/diesel_nmpg)*diesel_co2pg-(battery/range_nm)*D44*P44*VLOOKUP(B44,country_opex,4,FALSE))/1000</f>
        <v/>
      </c>
      <c r="AH44" s="33" t="n">
        <v>23500</v>
      </c>
      <c r="AI44" s="34" t="inlineStr">
        <is>
          <t>T5</t>
        </is>
      </c>
      <c r="AJ44" s="34" t="inlineStr">
        <is>
          <t>low-med</t>
        </is>
      </c>
      <c r="AK44" s="41" t="n">
        <v>0.9</v>
      </c>
      <c r="AL44" s="36">
        <f>IF(AH44="","",AH44*AK44)</f>
        <v/>
      </c>
      <c r="AM44" s="36">
        <f>IF(OR(AH44="",S44=0),"",MIN(IF(AU44="",9.9E+99,AU44),FLOOR(AL44/S44,1)))</f>
        <v/>
      </c>
      <c r="AN44" s="40">
        <f>IF(AM44="","",AM44*IF(ABS(MOD(ABS((U44)),1)-0.5)&lt;1E-9,2*ROUND((U44)/2,0),ROUND((U44),0)))</f>
        <v/>
      </c>
      <c r="AO44" s="38">
        <f>IF(OR(AH44="",S44=0),"",MIN(IF(AU44="",9.9E+99,AU44),AL44/S44))</f>
        <v/>
      </c>
      <c r="AP44" s="40">
        <f>IF(AO44="","",AO44*IF(B44="South Korea",IF(ABS(MOD(ABS((U44)),1)-0.5)&lt;1E-9,2*ROUND((U44)/2,0),ROUND((U44),0)),U44))</f>
        <v/>
      </c>
      <c r="AQ44" s="42" t="n"/>
      <c r="AR44" s="34" t="inlineStr">
        <is>
          <t>Grounded</t>
        </is>
      </c>
      <c r="AS44" s="43" t="n"/>
      <c r="AT44" s="43" t="n"/>
      <c r="AU44" s="44" t="n">
        <v>6</v>
      </c>
      <c r="AV44" s="45">
        <f>IF(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&lt;=0,"",VLOOKUP(B44,country_opex,7,FALSE)/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)</f>
        <v/>
      </c>
      <c r="AW44" s="45">
        <f>IF(((T44*pax_cap*IF(B44="South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Korea",korea_mid_revleg,revleg_mid)),0))*VLOOKUP(B44,country_opex,3,FALSE))+W44+X44+Y44+Z44+AA44))&lt;=0,"",VLOOKUP(B44,country_opex,7,FALSE)/((T44*pax_cap*IF(B44="South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Korea",korea_mid_revleg,revleg_mid)),0))*VLOOKUP(B44,country_opex,3,FALSE))+W44+X44+Y44+Z44+AA44)))</f>
        <v/>
      </c>
      <c r="AX44" s="45">
        <f>IF(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&lt;=0,"",VLOOKUP(B44,country_opex,7,FALSE)/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)</f>
        <v/>
      </c>
      <c r="AY44" s="46" t="inlineStr">
        <is>
          <t>Conrad Maldives Rangali Island OFFICIAL (conradmaldives.com): seaplane return transfer USD 700 net/adult = $350/way. Frequent Miler: seaplane for two = $1,350 = $337/way. getexperience blog: $600-750 RT typical. Premium per-seat seaplane $350/way. &gt;40nm - Navier substitutes the SEAPLANE (Pioneer II reaches 57.6nm &lt;=70nm); large value capture vs $700 RT seaplane.</t>
        </is>
      </c>
      <c r="AZ44" s="46" t="inlineStr">
        <is>
          <t>Modeled from resort key count. Conrad Maldives Rangali Island (South Ari): ~150 villas/keys (published resort/Virtuoso/booking figures). corridor_annual_oneway_pax = keys x 365 x occ(0.75) / avg_stay(7 nights) x guests/key(2) x 2 (arr+dep) ~= keys x 156. 150 keys -&gt; ~23,500 one-way pax/yr. Airport(MLE)&lt;-&gt;this resort is the sole transfer corridor (boat/seaplane only; no road/air alt - R3-EXCEPTION: arrivals = crossing ridership).</t>
        </is>
      </c>
      <c r="BA44" s="34" t="inlineStr">
        <is>
          <t>e__velana__westin-miriandhoo-jetty</t>
        </is>
      </c>
    </row>
    <row r="45">
      <c r="A45" s="31" t="inlineStr">
        <is>
          <t>Maldives (JIH)</t>
        </is>
      </c>
      <c r="B45" s="31" t="inlineStr">
        <is>
          <t>Maldives</t>
        </is>
      </c>
      <c r="C45" s="32" t="inlineStr">
        <is>
          <t>Velana International Airport (MLE) Resort Speedboat Lounges → The Westin Maldives Miriandhoo (Baa)</t>
        </is>
      </c>
      <c r="D45" s="33" t="n">
        <v>61.4</v>
      </c>
      <c r="E45" s="27" t="n">
        <v>310</v>
      </c>
      <c r="F45" s="34" t="inlineStr">
        <is>
          <t>T1</t>
        </is>
      </c>
      <c r="G45" s="34" t="inlineStr">
        <is>
          <t>med-high</t>
        </is>
      </c>
      <c r="H45" s="20" t="n">
        <v>1</v>
      </c>
      <c r="I45" s="35">
        <f>60*D45/cruise_kt</f>
        <v/>
      </c>
      <c r="J45" s="35">
        <f>IF(B45="South Korea",D45/korea_charge_range_nm*korea_full_range_charge_min,0)</f>
        <v/>
      </c>
      <c r="K45" s="35">
        <f>IF(B45="South Korea",I45+korea_turn_min+korea_dwell_min+J45,I45+turn_min+dwell_min)</f>
        <v/>
      </c>
      <c r="L45" s="36">
        <f>IF(B45="South Korea",FLOOR(60*korea_service_hr/K45,1),MIN(15,FLOOR(60*service_hr/K45,1)))</f>
        <v/>
      </c>
      <c r="M45" s="36">
        <f>IF(ABS(MOD(ABS((365*mech_uptime*H45)),1)-0.5)&lt;1E-9,2*ROUND((365*mech_uptime*H45)/2,0),ROUND((365*mech_uptime*H45),0))</f>
        <v/>
      </c>
      <c r="N45" s="37">
        <f>mech_uptime</f>
        <v/>
      </c>
      <c r="O45" s="37">
        <f>IF(AND(B45="South Korea",scenario="MID"),korea_mid_revleg,revleg_sel)</f>
        <v/>
      </c>
      <c r="P45" s="36">
        <f>IF(ABS(MOD(ABS((L45*M45*O45)),1)-0.5)&lt;1E-9,2*ROUND((L45*M45*O45)/2,0),ROUND((L45*M45*O45),0))</f>
        <v/>
      </c>
      <c r="Q45" s="37">
        <f>IF(AND(B45="South Korea",scenario="MID"),korea_mid_load,load_sel)</f>
        <v/>
      </c>
      <c r="R45" s="38">
        <f>pax_cap*Q45</f>
        <v/>
      </c>
      <c r="S45" s="36">
        <f>R45*P45</f>
        <v/>
      </c>
      <c r="T45" s="39">
        <f>E45*discount</f>
        <v/>
      </c>
      <c r="U45" s="40">
        <f>T45*S45</f>
        <v/>
      </c>
      <c r="V45" s="40">
        <f>(battery/range_nm)*D45*P45*VLOOKUP(B45,country_opex,3,FALSE)</f>
        <v/>
      </c>
      <c r="W45" s="40">
        <f>VLOOKUP(B45,country_opex,2,FALSE)*crew_factor</f>
        <v/>
      </c>
      <c r="X45" s="40">
        <f>VLOOKUP(B45,country_opex,5,FALSE)</f>
        <v/>
      </c>
      <c r="Y45" s="40">
        <f>maint</f>
        <v/>
      </c>
      <c r="Z45" s="40">
        <f>VLOOKUP(B45,country_opex,7,FALSE)*ins_pct</f>
        <v/>
      </c>
      <c r="AA45" s="40">
        <f>charge_berth</f>
        <v/>
      </c>
      <c r="AB45" s="40">
        <f>V45+W45+X45+Y45+Z45+AA45</f>
        <v/>
      </c>
      <c r="AC45" s="40">
        <f>VLOOKUP(B45,country_opex,7,FALSE)/dep_years</f>
        <v/>
      </c>
      <c r="AD45" s="40">
        <f>U45-AB45</f>
        <v/>
      </c>
      <c r="AE45" s="37">
        <f>IF(U45=0,"",AD45/U45)</f>
        <v/>
      </c>
      <c r="AF45" s="38">
        <f>IF(AD45&lt;=0,"",VLOOKUP(B45,country_opex,7,FALSE)/AD45)</f>
        <v/>
      </c>
      <c r="AG45" s="35">
        <f>((D45*P45/diesel_nmpg)*diesel_co2pg-(battery/range_nm)*D45*P45*VLOOKUP(B45,country_opex,4,FALSE))/1000</f>
        <v/>
      </c>
      <c r="AH45" s="33" t="n">
        <v>10900</v>
      </c>
      <c r="AI45" s="34" t="inlineStr">
        <is>
          <t>T5</t>
        </is>
      </c>
      <c r="AJ45" s="34" t="inlineStr">
        <is>
          <t>low-med</t>
        </is>
      </c>
      <c r="AK45" s="41" t="n">
        <v>0.9</v>
      </c>
      <c r="AL45" s="36">
        <f>IF(AH45="","",AH45*AK45)</f>
        <v/>
      </c>
      <c r="AM45" s="36">
        <f>IF(OR(AH45="",S45=0),"",MIN(IF(AU45="",9.9E+99,AU45),FLOOR(AL45/S45,1)))</f>
        <v/>
      </c>
      <c r="AN45" s="40">
        <f>IF(AM45="","",AM45*IF(ABS(MOD(ABS((U45)),1)-0.5)&lt;1E-9,2*ROUND((U45)/2,0),ROUND((U45),0)))</f>
        <v/>
      </c>
      <c r="AO45" s="38">
        <f>IF(OR(AH45="",S45=0),"",MIN(IF(AU45="",9.9E+99,AU45),AL45/S45))</f>
        <v/>
      </c>
      <c r="AP45" s="40">
        <f>IF(AO45="","",AO45*IF(B45="South Korea",IF(ABS(MOD(ABS((U45)),1)-0.5)&lt;1E-9,2*ROUND((U45)/2,0),ROUND((U45),0)),U45))</f>
        <v/>
      </c>
      <c r="AQ45" s="42" t="n"/>
      <c r="AR45" s="34" t="inlineStr">
        <is>
          <t>Grounded</t>
        </is>
      </c>
      <c r="AS45" s="43" t="n"/>
      <c r="AT45" s="43" t="n"/>
      <c r="AU45" s="44" t="n">
        <v>4</v>
      </c>
      <c r="AV45" s="45">
        <f>IF(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&lt;=0,"",VLOOKUP(B45,country_opex,7,FALSE)/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)</f>
        <v/>
      </c>
      <c r="AW45" s="45">
        <f>IF(((T45*pax_cap*IF(B45="South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Korea",korea_mid_revleg,revleg_mid)),0))*VLOOKUP(B45,country_opex,3,FALSE))+W45+X45+Y45+Z45+AA45))&lt;=0,"",VLOOKUP(B45,country_opex,7,FALSE)/((T45*pax_cap*IF(B45="South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Korea",korea_mid_revleg,revleg_mid)),0))*VLOOKUP(B45,country_opex,3,FALSE))+W45+X45+Y45+Z45+AA45)))</f>
        <v/>
      </c>
      <c r="AX45" s="45">
        <f>IF(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&lt;=0,"",VLOOKUP(B45,country_opex,7,FALSE)/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)</f>
        <v/>
      </c>
      <c r="AY45" s="46" t="inlineStr">
        <is>
          <t>The Westin Maldives Miriandhoo OFFICIAL (marriott.com): return seaplane USD 620/adult RT = $310/way (domestic flight+speedboat alt USD 495 RT). The Points Guy: $475 RT; hyderseatravels: $500 RT; traveltomtom: $375 RT (incl taxes). Premium per-seat seaplane $310/way. &gt;40nm - Navier substitutes SEAPLANE (60.6nm &lt;=70nm).</t>
        </is>
      </c>
      <c r="AZ45" s="46" t="inlineStr">
        <is>
          <t>Modeled from resort key count. The Westin Maldives Miriandhoo (Baa): ~70 villas/keys (published resort/Virtuoso/booking figures). corridor_annual_oneway_pax = keys x 365 x occ(0.75) / avg_stay(7 nights) x guests/key(2) x 2 (arr+dep) ~= keys x 156. 70 keys -&gt; ~10,900 one-way pax/yr. Airport(MLE)&lt;-&gt;this resort is the sole transfer corridor (boat/seaplane only; no road/air alt - R3-EXCEPTION: arrivals = crossing ridership).</t>
        </is>
      </c>
      <c r="BA45" s="34" t="inlineStr">
        <is>
          <t>e__velana__westin-miriandhoo-jetty</t>
        </is>
      </c>
    </row>
    <row r="46">
      <c r="A46" s="31" t="inlineStr">
        <is>
          <t>Maldives (JIH)</t>
        </is>
      </c>
      <c r="B46" s="31" t="inlineStr">
        <is>
          <t>Maldives</t>
        </is>
      </c>
      <c r="C46" s="32" t="inlineStr">
        <is>
          <t>Velana International Airport (MLE) Resort Speedboat Lounges → Soneva Fushi (Kunfunadhoo, Baa)</t>
        </is>
      </c>
      <c r="D46" s="33" t="n">
        <v>63.7</v>
      </c>
      <c r="E46" s="27" t="n">
        <v>650</v>
      </c>
      <c r="F46" s="34" t="inlineStr">
        <is>
          <t>T1</t>
        </is>
      </c>
      <c r="G46" s="34" t="inlineStr">
        <is>
          <t>med-high</t>
        </is>
      </c>
      <c r="H46" s="20" t="n">
        <v>1</v>
      </c>
      <c r="I46" s="35">
        <f>60*D46/cruise_kt</f>
        <v/>
      </c>
      <c r="J46" s="35">
        <f>IF(B46="South Korea",D46/korea_charge_range_nm*korea_full_range_charge_min,0)</f>
        <v/>
      </c>
      <c r="K46" s="35">
        <f>IF(B46="South Korea",I46+korea_turn_min+korea_dwell_min+J46,I46+turn_min+dwell_min)</f>
        <v/>
      </c>
      <c r="L46" s="36">
        <f>IF(B46="South Korea",FLOOR(60*korea_service_hr/K46,1),MIN(15,FLOOR(60*service_hr/K46,1)))</f>
        <v/>
      </c>
      <c r="M46" s="36">
        <f>IF(ABS(MOD(ABS((365*mech_uptime*H46)),1)-0.5)&lt;1E-9,2*ROUND((365*mech_uptime*H46)/2,0),ROUND((365*mech_uptime*H46),0))</f>
        <v/>
      </c>
      <c r="N46" s="37">
        <f>mech_uptime</f>
        <v/>
      </c>
      <c r="O46" s="37">
        <f>IF(AND(B46="South Korea",scenario="MID"),korea_mid_revleg,revleg_sel)</f>
        <v/>
      </c>
      <c r="P46" s="36">
        <f>IF(ABS(MOD(ABS((L46*M46*O46)),1)-0.5)&lt;1E-9,2*ROUND((L46*M46*O46)/2,0),ROUND((L46*M46*O46),0))</f>
        <v/>
      </c>
      <c r="Q46" s="37">
        <f>IF(AND(B46="South Korea",scenario="MID"),korea_mid_load,load_sel)</f>
        <v/>
      </c>
      <c r="R46" s="38">
        <f>pax_cap*Q46</f>
        <v/>
      </c>
      <c r="S46" s="36">
        <f>R46*P46</f>
        <v/>
      </c>
      <c r="T46" s="39">
        <f>E46*discount</f>
        <v/>
      </c>
      <c r="U46" s="40">
        <f>T46*S46</f>
        <v/>
      </c>
      <c r="V46" s="40">
        <f>(battery/range_nm)*D46*P46*VLOOKUP(B46,country_opex,3,FALSE)</f>
        <v/>
      </c>
      <c r="W46" s="40">
        <f>VLOOKUP(B46,country_opex,2,FALSE)*crew_factor</f>
        <v/>
      </c>
      <c r="X46" s="40">
        <f>VLOOKUP(B46,country_opex,5,FALSE)</f>
        <v/>
      </c>
      <c r="Y46" s="40">
        <f>maint</f>
        <v/>
      </c>
      <c r="Z46" s="40">
        <f>VLOOKUP(B46,country_opex,7,FALSE)*ins_pct</f>
        <v/>
      </c>
      <c r="AA46" s="40">
        <f>charge_berth</f>
        <v/>
      </c>
      <c r="AB46" s="40">
        <f>V46+W46+X46+Y46+Z46+AA46</f>
        <v/>
      </c>
      <c r="AC46" s="40">
        <f>VLOOKUP(B46,country_opex,7,FALSE)/dep_years</f>
        <v/>
      </c>
      <c r="AD46" s="40">
        <f>U46-AB46</f>
        <v/>
      </c>
      <c r="AE46" s="37">
        <f>IF(U46=0,"",AD46/U46)</f>
        <v/>
      </c>
      <c r="AF46" s="38">
        <f>IF(AD46&lt;=0,"",VLOOKUP(B46,country_opex,7,FALSE)/AD46)</f>
        <v/>
      </c>
      <c r="AG46" s="35">
        <f>((D46*P46/diesel_nmpg)*diesel_co2pg-(battery/range_nm)*D46*P46*VLOOKUP(B46,country_opex,4,FALSE))/1000</f>
        <v/>
      </c>
      <c r="AH46" s="33" t="n">
        <v>11100</v>
      </c>
      <c r="AI46" s="34" t="inlineStr">
        <is>
          <t>T5</t>
        </is>
      </c>
      <c r="AJ46" s="34" t="inlineStr">
        <is>
          <t>low-med</t>
        </is>
      </c>
      <c r="AK46" s="41" t="n">
        <v>0.9</v>
      </c>
      <c r="AL46" s="36">
        <f>IF(AH46="","",AH46*AK46)</f>
        <v/>
      </c>
      <c r="AM46" s="36">
        <f>IF(OR(AH46="",S46=0),"",MIN(IF(AU46="",9.9E+99,AU46),FLOOR(AL46/S46,1)))</f>
        <v/>
      </c>
      <c r="AN46" s="40">
        <f>IF(AM46="","",AM46*IF(ABS(MOD(ABS((U46)),1)-0.5)&lt;1E-9,2*ROUND((U46)/2,0),ROUND((U46),0)))</f>
        <v/>
      </c>
      <c r="AO46" s="38">
        <f>IF(OR(AH46="",S46=0),"",MIN(IF(AU46="",9.9E+99,AU46),AL46/S46))</f>
        <v/>
      </c>
      <c r="AP46" s="40">
        <f>IF(AO46="","",AO46*IF(B46="South Korea",IF(ABS(MOD(ABS((U46)),1)-0.5)&lt;1E-9,2*ROUND((U46)/2,0),ROUND((U46),0)),U46))</f>
        <v/>
      </c>
      <c r="AQ46" s="42" t="n"/>
      <c r="AR46" s="34" t="inlineStr">
        <is>
          <t>Grounded</t>
        </is>
      </c>
      <c r="AS46" s="43" t="n"/>
      <c r="AT46" s="43" t="n"/>
      <c r="AU46" s="44" t="n">
        <v>3</v>
      </c>
      <c r="AV46" s="45">
        <f>IF(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&lt;=0,"",VLOOKUP(B46,country_opex,7,FALSE)/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)</f>
        <v/>
      </c>
      <c r="AW46" s="45">
        <f>IF(((T46*pax_cap*IF(B46="South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Korea",korea_mid_revleg,revleg_mid)),0))*VLOOKUP(B46,country_opex,3,FALSE))+W46+X46+Y46+Z46+AA46))&lt;=0,"",VLOOKUP(B46,country_opex,7,FALSE)/((T46*pax_cap*IF(B46="South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Korea",korea_mid_revleg,revleg_mid)),0))*VLOOKUP(B46,country_opex,3,FALSE))+W46+X46+Y46+Z46+AA46)))</f>
        <v/>
      </c>
      <c r="AX46" s="45">
        <f>IF(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&lt;=0,"",VLOOKUP(B46,country_opex,7,FALSE)/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)</f>
        <v/>
      </c>
      <c r="AY46" s="46" t="inlineStr">
        <is>
          <t>Soneva Fushi, Baa, OFFICIAL (soneva.com 'Your Journey'): round-trip SHARED Soneva private seaplane USD 1,300/adult = $650/way; luxurytravelexpert confirms $1,300 RT. immaldives 2026 shared-TMA band $550-720 RT (=~$635/way mid) for the generic operator. Soneva runs its own premium seaplane (the premium tier) - anchor $650/way. &gt;40nm - Navier substitutes SEAPLANE (61.8nm &lt;=70nm).</t>
        </is>
      </c>
      <c r="AZ46" s="46" t="inlineStr">
        <is>
          <t>Modeled from resort key count. Soneva Fushi (Kunfunadhoo, Baa): ~71 villas/keys (published resort/Virtuoso/booking figures). corridor_annual_oneway_pax = keys x 365 x occ(0.75) / avg_stay(7 nights) x guests/key(2) x 2 (arr+dep) ~= keys x 156. 71 keys -&gt; ~11,100 one-way pax/yr. Airport(MLE)&lt;-&gt;this resort is the sole transfer corridor (boat/seaplane only; no road/air alt - R3-EXCEPTION: arrivals = crossing ridership).</t>
        </is>
      </c>
      <c r="BA46" s="34" t="inlineStr">
        <is>
          <t>e__velana__westin-miriandhoo-jetty</t>
        </is>
      </c>
    </row>
    <row r="47">
      <c r="A47" s="47" t="inlineStr">
        <is>
          <t>TOTAL / median</t>
        </is>
      </c>
      <c r="U47" s="48">
        <f>SUM(U4:U46)</f>
        <v/>
      </c>
      <c r="AD47" s="48">
        <f>SUM(AD4:AD46)</f>
        <v/>
      </c>
      <c r="AE47" s="49">
        <f>IF(U47=0,"",AD47/U47)</f>
        <v/>
      </c>
      <c r="AM47" s="50">
        <f>SUM(AM4:AM46)</f>
        <v/>
      </c>
      <c r="AN47" s="48">
        <f>SUM(AN4:AN46)</f>
        <v/>
      </c>
    </row>
    <row r="49">
      <c r="A49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50">
      <c r="A50" s="25" t="inlineStr">
        <is>
          <t>Market</t>
        </is>
      </c>
      <c r="B50" s="25" t="inlineStr">
        <is>
          <t>Fleet basis</t>
        </is>
      </c>
      <c r="C50" s="25" t="inlineStr">
        <is>
          <t>Raw vessels (sum)</t>
        </is>
      </c>
      <c r="D50" s="25" t="inlineStr">
        <is>
          <t>Fleet (rounded once)</t>
        </is>
      </c>
      <c r="E50" s="25" t="inlineStr">
        <is>
          <t>Market rev/yr (raw sum)</t>
        </is>
      </c>
    </row>
    <row r="51">
      <c r="A51" s="26" t="inlineStr">
        <is>
          <t>Maldives (JIH)</t>
        </is>
      </c>
      <c r="B51" s="14" t="inlineStr">
        <is>
          <t>network_sum</t>
        </is>
      </c>
      <c r="C51" s="24">
        <f>SUMIFS(AO4:AO46,A4:A46,"Maldives (JIH)",AQ4:AQ46,"=",AR4:AR46,"Grounded")</f>
        <v/>
      </c>
      <c r="D51" s="51">
        <f>ROUND(C51,0)</f>
        <v/>
      </c>
      <c r="E51" s="52">
        <f>SUMIFS(AP4:AP46,A4:A46,"Maldives (JIH)",AQ4:AQ46,"=",AR4:AR46,"Grounded")</f>
        <v/>
      </c>
    </row>
    <row r="52">
      <c r="A52" s="47" t="inlineStr">
        <is>
          <t>GROUNDED FLOOR (PUBLISHED)</t>
        </is>
      </c>
      <c r="D52" s="50">
        <f>SUM(D51:D51)</f>
        <v/>
      </c>
      <c r="E52" s="48">
        <f>SUM(E51:E51)</f>
        <v/>
      </c>
    </row>
    <row r="53">
      <c r="A53" s="21" t="inlineStr">
        <is>
          <t>ESTIMATED DEMAND (country-median cascade; held OUT of grounded floor)</t>
        </is>
      </c>
      <c r="D53" s="53">
        <f>SUMIF(AR4:AR46,"Estimated",AM4:AM46)</f>
        <v/>
      </c>
      <c r="E53" s="54">
        <f>SUMIF(AR4:AR46,"Estimated",AN4:AN46)</f>
        <v/>
      </c>
    </row>
  </sheetData>
  <mergeCells count="2">
    <mergeCell ref="A49:L49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0.8536</v>
      </c>
      <c r="C6" s="41" t="n">
        <v>0.8536</v>
      </c>
      <c r="D6" s="41" t="n">
        <v>0.9036000000000001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economics'!$AR$4:$AR$46="Grounded"),'Corridor economics'!$AH$4:$AH$46,'Corridor economics'!$E$4:$E$46),0))</f>
        <v/>
      </c>
      <c r="E11" s="15" t="inlineStr">
        <is>
          <t>Captive sole-operator capture (~85%) that builds the published floor; M_today = floor ÷ this = the true corridor spend pool.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economics'!$AR$4:$AR$46="Grounded"),'Corridor economics'!$AH$4:$AH$46,'Corridor economics'!$E$4:$E$46),0)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(~85%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(~85%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2026-07-20T06:56:52Z</dcterms:created>
  <dcterms:modified xsi:type="dcterms:W3CDTF">2026-07-20T06:56:53Z</dcterms:modified>
</cp:coreProperties>
</file>