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opex'!$A$4:$G$8</definedName>
    <definedName name="som_floor_fleet">'Corridor economics'!$D$65</definedName>
    <definedName name="som_floor_rev">'Corridor economics'!$E$65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Voi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Finland</t>
        </is>
      </c>
      <c r="B4" s="26" t="n">
        <v>55000</v>
      </c>
      <c r="C4" s="27" t="n">
        <v>0.14</v>
      </c>
      <c r="D4" s="19" t="n">
        <v>0.08</v>
      </c>
      <c r="E4" s="26" t="n">
        <v>18000</v>
      </c>
      <c r="F4" s="19" t="n">
        <v>1.15</v>
      </c>
      <c r="G4" s="26" t="n">
        <v>900000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France</t>
        </is>
      </c>
      <c r="B5" s="26" t="n">
        <v>55000</v>
      </c>
      <c r="C5" s="27" t="n">
        <v>0.2</v>
      </c>
      <c r="D5" s="19" t="n">
        <v>0.06</v>
      </c>
      <c r="E5" s="26" t="n">
        <v>30000</v>
      </c>
      <c r="F5" s="19" t="n">
        <v>1.15</v>
      </c>
      <c r="G5" s="26" t="n">
        <v>900000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Italy</t>
        </is>
      </c>
      <c r="B6" s="26" t="n">
        <v>48000</v>
      </c>
      <c r="C6" s="27" t="n">
        <v>0.28</v>
      </c>
      <c r="D6" s="19" t="n">
        <v>0.33</v>
      </c>
      <c r="E6" s="26" t="n">
        <v>26000</v>
      </c>
      <c r="F6" s="19" t="n">
        <v>1</v>
      </c>
      <c r="G6" s="26" t="n">
        <v>900000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Spain</t>
        </is>
      </c>
      <c r="B7" s="26" t="n">
        <v>38000</v>
      </c>
      <c r="C7" s="27" t="n">
        <v>0.18</v>
      </c>
      <c r="D7" s="19" t="n">
        <v>0.19</v>
      </c>
      <c r="E7" s="26" t="n">
        <v>20000</v>
      </c>
      <c r="F7" s="19" t="n">
        <v>0.8</v>
      </c>
      <c r="G7" s="26" t="n">
        <v>900000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Sweden</t>
        </is>
      </c>
      <c r="B8" s="26" t="n">
        <v>58000</v>
      </c>
      <c r="C8" s="27" t="n">
        <v>0.13</v>
      </c>
      <c r="D8" s="19" t="n">
        <v>0.04</v>
      </c>
      <c r="E8" s="26" t="n">
        <v>22000</v>
      </c>
      <c r="F8" s="19" t="n">
        <v>1.2</v>
      </c>
      <c r="G8" s="26" t="n">
        <v>900000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7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Voi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Bolt Finland</t>
        </is>
      </c>
      <c r="B4" s="29" t="inlineStr">
        <is>
          <t>Finland</t>
        </is>
      </c>
      <c r="C4" s="30" t="inlineStr">
        <is>
          <t>Helsinki → Lonna</t>
        </is>
      </c>
      <c r="D4" s="31" t="n">
        <v>1.2</v>
      </c>
      <c r="E4" s="26" t="n">
        <v>8.640000000000001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JT-Line Kauppatori-&gt;Lonna adult fare EUR 8 (Rome2Rio; 10 min). EUR 8 x 1.08 = $8.64.</t>
        </is>
      </c>
      <c r="AY4" s="44" t="n"/>
    </row>
    <row r="5">
      <c r="A5" s="29" t="inlineStr">
        <is>
          <t>Bolt Finland</t>
        </is>
      </c>
      <c r="B5" s="29" t="inlineStr">
        <is>
          <t>Finland</t>
        </is>
      </c>
      <c r="C5" s="30" t="inlineStr">
        <is>
          <t>Helsinki Market Square → Suomenlinna</t>
        </is>
      </c>
      <c r="D5" s="31" t="n">
        <v>1.5</v>
      </c>
      <c r="E5" s="26" t="n">
        <v>8.640000000000001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1000000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AY5" s="44" t="n"/>
    </row>
    <row r="6">
      <c r="A6" s="29" t="inlineStr">
        <is>
          <t>Bolt Finland</t>
        </is>
      </c>
      <c r="B6" s="29" t="inlineStr">
        <is>
          <t>Finland</t>
        </is>
      </c>
      <c r="C6" s="30" t="inlineStr">
        <is>
          <t>Helsinki → Pihlajasaari</t>
        </is>
      </c>
      <c r="D6" s="31" t="n">
        <v>1.5</v>
      </c>
      <c r="E6" s="26" t="n">
        <v>8.640000000000001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JT-Line adult ferry seat EUR 8 (Summer 2026; EUR 9 quoted 2024). EUR 8 x 1.08 = $8.64.</t>
        </is>
      </c>
      <c r="AY6" s="44" t="n"/>
    </row>
    <row r="7">
      <c r="A7" s="29" t="inlineStr">
        <is>
          <t>Bolt Finland</t>
        </is>
      </c>
      <c r="B7" s="29" t="inlineStr">
        <is>
          <t>Finland</t>
        </is>
      </c>
      <c r="C7" s="30" t="inlineStr">
        <is>
          <t>Helsinki → Korkeasaari (Zoo island)</t>
        </is>
      </c>
      <c r="D7" s="31" t="n">
        <v>2</v>
      </c>
      <c r="E7" s="26" t="n">
        <v>8.640000000000001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Seasonal Market Square-&gt;Korkeasaari ferry adult seat ~EUR 8 (archipelago leisure tier; zoo admission separate). EUR 8 x 1.08 = $8.64.</t>
        </is>
      </c>
      <c r="AY7" s="44" t="n"/>
    </row>
    <row r="8">
      <c r="A8" s="29" t="inlineStr">
        <is>
          <t>Bolt Finland</t>
        </is>
      </c>
      <c r="B8" s="29" t="inlineStr">
        <is>
          <t>Finland</t>
        </is>
      </c>
      <c r="C8" s="30" t="inlineStr">
        <is>
          <t>Helsinki → Kruunuvuorenranta (Laajasalo)</t>
        </is>
      </c>
      <c r="D8" s="31" t="n">
        <v>2</v>
      </c>
      <c r="E8" s="26" t="n">
        <v>18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AY8" s="44" t="n"/>
    </row>
    <row r="9">
      <c r="A9" s="29" t="inlineStr">
        <is>
          <t>Bolt Finland</t>
        </is>
      </c>
      <c r="B9" s="29" t="inlineStr">
        <is>
          <t>Finland</t>
        </is>
      </c>
      <c r="C9" s="30" t="inlineStr">
        <is>
          <t>Helsinki → Vallisaari</t>
        </is>
      </c>
      <c r="D9" s="31" t="n">
        <v>2.5</v>
      </c>
      <c r="E9" s="26" t="n">
        <v>8.640000000000001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JT-Line adult island ferry seat ~EUR 8 (2026 island-hop tariff; EUR 9 quoted 2024). EUR 8 x 1.08 = $8.64.</t>
        </is>
      </c>
      <c r="AY9" s="44" t="n"/>
    </row>
    <row r="10">
      <c r="A10" s="29" t="inlineStr">
        <is>
          <t>Bolt Finland</t>
        </is>
      </c>
      <c r="B10" s="29" t="inlineStr">
        <is>
          <t>Finland</t>
        </is>
      </c>
      <c r="C10" s="30" t="inlineStr">
        <is>
          <t>Helsinki → Porvoo</t>
        </is>
      </c>
      <c r="D10" s="31" t="n">
        <v>26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n"/>
      <c r="AY10" s="44" t="n"/>
    </row>
    <row r="11">
      <c r="A11" s="29" t="inlineStr">
        <is>
          <t>Bolt Finland</t>
        </is>
      </c>
      <c r="B11" s="29" t="inlineStr">
        <is>
          <t>Finland</t>
        </is>
      </c>
      <c r="C11" s="30" t="inlineStr">
        <is>
          <t>Helsinki → Tallinn</t>
        </is>
      </c>
      <c r="D11" s="31" t="n">
        <v>43</v>
      </c>
      <c r="E11" s="26" t="n">
        <v>27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750000</v>
      </c>
      <c r="AH11" s="32" t="n"/>
      <c r="AI11" s="32" t="inlineStr">
        <is>
          <t>med</t>
        </is>
      </c>
      <c r="AJ11" s="39" t="n">
        <v>0.25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Estimated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PREMIUM tier: standard adult walk-up fast-ferry seat ~EUR 25 (range EUR 18-35 by season/operator/advance; Tallink Megastar/MyStar, Viking from EUR 18, Eckero). EUR 25 x 1.08 = $27.0.</t>
        </is>
      </c>
      <c r="AY11" s="44" t="n"/>
    </row>
    <row r="12">
      <c r="A12" s="29" t="inlineStr">
        <is>
          <t>Bolt France Riviera</t>
        </is>
      </c>
      <c r="B12" s="29" t="inlineStr">
        <is>
          <t>France</t>
        </is>
      </c>
      <c r="C12" s="30" t="inlineStr">
        <is>
          <t>Cannes → Ile Sainte-Marguerite (Iles de Lerins)</t>
        </is>
      </c>
      <c r="D12" s="31" t="n">
        <v>1.5</v>
      </c>
      <c r="E12" s="26" t="n">
        <v>10.3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300000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AY12" s="44" t="n"/>
    </row>
    <row r="13">
      <c r="A13" s="29" t="inlineStr">
        <is>
          <t>Bolt France Riviera</t>
        </is>
      </c>
      <c r="B13" s="29" t="inlineStr">
        <is>
          <t>France</t>
        </is>
      </c>
      <c r="C13" s="30" t="inlineStr">
        <is>
          <t>Menton → Monaco</t>
        </is>
      </c>
      <c r="D13" s="31" t="n">
        <v>4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110565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Bolt France Riviera</t>
        </is>
      </c>
      <c r="B14" s="29" t="inlineStr">
        <is>
          <t>France</t>
        </is>
      </c>
      <c r="C14" s="30" t="inlineStr">
        <is>
          <t>Villefranche-sur-Mer → Monaco</t>
        </is>
      </c>
      <c r="D14" s="31" t="n">
        <v>5</v>
      </c>
      <c r="E14" s="26" t="n"/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n"/>
    </row>
    <row r="15">
      <c r="A15" s="29" t="inlineStr">
        <is>
          <t>Bolt France Riviera</t>
        </is>
      </c>
      <c r="B15" s="29" t="inlineStr">
        <is>
          <t>France</t>
        </is>
      </c>
      <c r="C15" s="30" t="inlineStr">
        <is>
          <t>Antibes → Cannes</t>
        </is>
      </c>
      <c r="D15" s="31" t="n">
        <v>6</v>
      </c>
      <c r="E15" s="26" t="n"/>
      <c r="F15" s="32" t="n"/>
      <c r="G15" s="32" t="n"/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136595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Estimated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n"/>
      <c r="AY15" s="44" t="n"/>
    </row>
    <row r="16">
      <c r="A16" s="29" t="inlineStr">
        <is>
          <t>Bolt France Riviera</t>
        </is>
      </c>
      <c r="B16" s="29" t="inlineStr">
        <is>
          <t>France</t>
        </is>
      </c>
      <c r="C16" s="30" t="inlineStr">
        <is>
          <t>Nice → Monaco</t>
        </is>
      </c>
      <c r="D16" s="31" t="n">
        <v>6.5</v>
      </c>
      <c r="E16" s="26" t="n">
        <v>26.7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368966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AY16" s="44" t="n"/>
    </row>
    <row r="17">
      <c r="A17" s="29" t="inlineStr">
        <is>
          <t>Bolt France Riviera</t>
        </is>
      </c>
      <c r="B17" s="29" t="inlineStr">
        <is>
          <t>France</t>
        </is>
      </c>
      <c r="C17" s="30" t="inlineStr">
        <is>
          <t>Nice Airport → Monaco</t>
        </is>
      </c>
      <c r="D17" s="31" t="n">
        <v>6.7</v>
      </c>
      <c r="E17" s="26" t="n">
        <v>210.6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79000</v>
      </c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Upside tier</t>
        </is>
      </c>
      <c r="AR17" s="41" t="n"/>
      <c r="AS17" s="41" t="inlineStr">
        <is>
          <t>modal_shift_greenfield</t>
        </is>
      </c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AY17" s="44" t="n"/>
    </row>
    <row r="18">
      <c r="A18" s="29" t="inlineStr">
        <is>
          <t>Bolt France Riviera</t>
        </is>
      </c>
      <c r="B18" s="29" t="inlineStr">
        <is>
          <t>France</t>
        </is>
      </c>
      <c r="C18" s="30" t="inlineStr">
        <is>
          <t>Nice Airport → Cannes</t>
        </is>
      </c>
      <c r="D18" s="31" t="n">
        <v>9</v>
      </c>
      <c r="E18" s="26" t="n"/>
      <c r="F18" s="32" t="n"/>
      <c r="G18" s="32" t="n"/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n"/>
      <c r="AY18" s="44" t="n"/>
    </row>
    <row r="19">
      <c r="A19" s="29" t="inlineStr">
        <is>
          <t>Bolt France Riviera</t>
        </is>
      </c>
      <c r="B19" s="29" t="inlineStr">
        <is>
          <t>France</t>
        </is>
      </c>
      <c r="C19" s="30" t="inlineStr">
        <is>
          <t>Nice → Cannes</t>
        </is>
      </c>
      <c r="D19" s="31" t="n">
        <v>13</v>
      </c>
      <c r="E19" s="26" t="n">
        <v>26.7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224880</v>
      </c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AY19" s="44" t="n"/>
    </row>
    <row r="20">
      <c r="A20" s="29" t="inlineStr">
        <is>
          <t>Bolt France Riviera</t>
        </is>
      </c>
      <c r="B20" s="29" t="inlineStr">
        <is>
          <t>France</t>
        </is>
      </c>
      <c r="C20" s="30" t="inlineStr">
        <is>
          <t>Monaco → Sanremo</t>
        </is>
      </c>
      <c r="D20" s="31" t="n">
        <v>13</v>
      </c>
      <c r="E20" s="26" t="n"/>
      <c r="F20" s="32" t="n"/>
      <c r="G20" s="32" t="n"/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4748</v>
      </c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n"/>
      <c r="AY20" s="44" t="n"/>
    </row>
    <row r="21">
      <c r="A21" s="29" t="inlineStr">
        <is>
          <t>Bolt France Riviera</t>
        </is>
      </c>
      <c r="B21" s="29" t="inlineStr">
        <is>
          <t>France</t>
        </is>
      </c>
      <c r="C21" s="30" t="inlineStr">
        <is>
          <t>Cannes → Saint-Tropez</t>
        </is>
      </c>
      <c r="D21" s="31" t="n">
        <v>25</v>
      </c>
      <c r="E21" s="26" t="n">
        <v>38.3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32000</v>
      </c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Estimated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PREMIUM tier: Trans Cote d'Azur scheduled fast catamaran Cannes&lt;-&gt;Saint-Tropez EUR 71 adult RT (2026) = ~EUR 35.5 one-way x 1.08 = ~$38.3.</t>
        </is>
      </c>
      <c r="AY21" s="44" t="n"/>
    </row>
    <row r="22">
      <c r="A22" s="29" t="inlineStr">
        <is>
          <t>Bolt France Riviera</t>
        </is>
      </c>
      <c r="B22" s="29" t="inlineStr">
        <is>
          <t>France</t>
        </is>
      </c>
      <c r="C22" s="30" t="inlineStr">
        <is>
          <t>Nice → Saint-Tropez</t>
        </is>
      </c>
      <c r="D22" s="31" t="n">
        <v>32</v>
      </c>
      <c r="E22" s="26" t="n">
        <v>45.4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32000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Estimated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PREMIUM tier: Trans Cote d'Azur scheduled catamaran Nice&lt;-&gt;Saint-Tropez EUR 84 adult RT (2026) = ~EUR 42 one-way x 1.08 = ~$45.4 (higher than the Cannes route, reflecting the longer leg).</t>
        </is>
      </c>
      <c r="AY22" s="44" t="n"/>
    </row>
    <row r="23">
      <c r="A23" s="29" t="inlineStr">
        <is>
          <t>Bolt Italy</t>
        </is>
      </c>
      <c r="B23" s="29" t="inlineStr">
        <is>
          <t>Italy</t>
        </is>
      </c>
      <c r="C23" s="30" t="inlineStr">
        <is>
          <t>Venice → Lido</t>
        </is>
      </c>
      <c r="D23" s="31" t="n">
        <v>1.5</v>
      </c>
      <c r="E23" s="26" t="n">
        <v>27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Estimated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PREMIUM tourist tier = ACTV day travelcard EUR 25 (~$27) (covers the Lido lines); premium water-taxi tier higher. Navier models the premium tier, not the EUR 9.50 single.</t>
        </is>
      </c>
      <c r="AY23" s="44" t="n"/>
    </row>
    <row r="24">
      <c r="A24" s="29" t="inlineStr">
        <is>
          <t>Bolt Italy</t>
        </is>
      </c>
      <c r="B24" s="29" t="inlineStr">
        <is>
          <t>Italy</t>
        </is>
      </c>
      <c r="C24" s="30" t="inlineStr">
        <is>
          <t>San Marco → Murano / Burano</t>
        </is>
      </c>
      <c r="D24" s="31" t="n">
        <v>2</v>
      </c>
      <c r="E24" s="26" t="n">
        <v>27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1500000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AY24" s="44" t="n"/>
    </row>
    <row r="25">
      <c r="A25" s="29" t="inlineStr">
        <is>
          <t>Bolt Italy</t>
        </is>
      </c>
      <c r="B25" s="29" t="inlineStr">
        <is>
          <t>Italy</t>
        </is>
      </c>
      <c r="C25" s="30" t="inlineStr">
        <is>
          <t>Santa Margherita Ligure → Portofino</t>
        </is>
      </c>
      <c r="D25" s="31" t="n">
        <v>2</v>
      </c>
      <c r="E25" s="26" t="n">
        <v>11.9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MIN(24,FLOOR(60*service_hr/J25,1))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200000</v>
      </c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PREMIUM scheduled per-seat: Servizio Marittimo del Tigullio Santa Margherita-&gt;Portofino EUR 11 one-way (Rome2Rio) x 1.08 = ~$11.9. Short hop.</t>
        </is>
      </c>
      <c r="AY25" s="44" t="n"/>
    </row>
    <row r="26">
      <c r="A26" s="29" t="inlineStr">
        <is>
          <t>Bolt Italy</t>
        </is>
      </c>
      <c r="B26" s="29" t="inlineStr">
        <is>
          <t>Italy</t>
        </is>
      </c>
      <c r="C26" s="30" t="inlineStr">
        <is>
          <t>Positano → Amalfi</t>
        </is>
      </c>
      <c r="D26" s="31" t="n">
        <v>4</v>
      </c>
      <c r="E26" s="26" t="n">
        <v>11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200000</v>
      </c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AY26" s="44" t="n"/>
    </row>
    <row r="27">
      <c r="A27" s="29" t="inlineStr">
        <is>
          <t>Bolt Italy</t>
        </is>
      </c>
      <c r="B27" s="29" t="inlineStr">
        <is>
          <t>Italy</t>
        </is>
      </c>
      <c r="C27" s="30" t="inlineStr">
        <is>
          <t>Venice Marco Polo → San Marco</t>
        </is>
      </c>
      <c r="D27" s="31" t="n">
        <v>4.2</v>
      </c>
      <c r="E27" s="26" t="n">
        <v>42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1777500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AY27" s="44" t="n"/>
    </row>
    <row r="28">
      <c r="A28" s="29" t="inlineStr">
        <is>
          <t>Bolt Italy</t>
        </is>
      </c>
      <c r="B28" s="29" t="inlineStr">
        <is>
          <t>Italy</t>
        </is>
      </c>
      <c r="C28" s="30" t="inlineStr">
        <is>
          <t>Capri → Positano</t>
        </is>
      </c>
      <c r="D28" s="31" t="n">
        <v>9</v>
      </c>
      <c r="E28" s="26" t="n">
        <v>31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Estimated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PREMIUM scheduled per-seat: Capri-&gt;Positano fast ferry from ~EUR 28-29 one-way (positano.com / capri.com) x 1.08 = ~$31.</t>
        </is>
      </c>
      <c r="AY28" s="44" t="n"/>
    </row>
    <row r="29">
      <c r="A29" s="29" t="inlineStr">
        <is>
          <t>Bolt Italy</t>
        </is>
      </c>
      <c r="B29" s="29" t="inlineStr">
        <is>
          <t>Italy</t>
        </is>
      </c>
      <c r="C29" s="30" t="inlineStr">
        <is>
          <t>Sorrento → Capri</t>
        </is>
      </c>
      <c r="D29" s="31" t="n">
        <v>9.5</v>
      </c>
      <c r="E29" s="26" t="n">
        <v>28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575000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AY29" s="44" t="n"/>
    </row>
    <row r="30">
      <c r="A30" s="29" t="inlineStr">
        <is>
          <t>Bolt Italy</t>
        </is>
      </c>
      <c r="B30" s="29" t="inlineStr">
        <is>
          <t>Italy</t>
        </is>
      </c>
      <c r="C30" s="30" t="inlineStr">
        <is>
          <t>Naples → Procida</t>
        </is>
      </c>
      <c r="D30" s="31" t="n">
        <v>12</v>
      </c>
      <c r="E30" s="26" t="n">
        <v>22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240000</v>
      </c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PREMIUM scheduled per-seat = Caremar/SNAV hydrofoil Napoli(Beverello)-&gt;Procida ~EUR 19-22 one-way (visitprocida.com EUR 19-22; ferryhopper EUR 21.90) x 1.08 = ~$22.</t>
        </is>
      </c>
      <c r="AY30" s="44" t="n"/>
    </row>
    <row r="31">
      <c r="A31" s="29" t="inlineStr">
        <is>
          <t>Bolt Italy</t>
        </is>
      </c>
      <c r="B31" s="29" t="inlineStr">
        <is>
          <t>Italy</t>
        </is>
      </c>
      <c r="C31" s="30" t="inlineStr">
        <is>
          <t>Como → Bellagio</t>
        </is>
      </c>
      <c r="D31" s="31" t="n">
        <v>14</v>
      </c>
      <c r="E31" s="26" t="n">
        <v>13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MIN(24,FLOOR(60*service_hr/J31,1))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112000</v>
      </c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AY31" s="44" t="n"/>
    </row>
    <row r="32">
      <c r="A32" s="29" t="inlineStr">
        <is>
          <t>Bolt Italy</t>
        </is>
      </c>
      <c r="B32" s="29" t="inlineStr">
        <is>
          <t>Italy</t>
        </is>
      </c>
      <c r="C32" s="30" t="inlineStr">
        <is>
          <t>Amalfi → Capri</t>
        </is>
      </c>
      <c r="D32" s="31" t="n">
        <v>16</v>
      </c>
      <c r="E32" s="26" t="n">
        <v>33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138000</v>
      </c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PREMIUM scheduled per-seat: Amalfi-&gt;Capri fast ferry ~EUR 26-28 one-way (capri.com) + EUR 5 Capri landing = ~EUR 31-33 x 1.08 = ~$33.</t>
        </is>
      </c>
      <c r="AY32" s="44" t="n"/>
    </row>
    <row r="33">
      <c r="A33" s="29" t="inlineStr">
        <is>
          <t>Bolt Italy</t>
        </is>
      </c>
      <c r="B33" s="29" t="inlineStr">
        <is>
          <t>Italy</t>
        </is>
      </c>
      <c r="C33" s="30" t="inlineStr">
        <is>
          <t>Naples → Sorrento</t>
        </is>
      </c>
      <c r="D33" s="31" t="n">
        <v>16</v>
      </c>
      <c r="E33" s="26" t="n"/>
      <c r="F33" s="32" t="n"/>
      <c r="G33" s="32" t="n"/>
      <c r="H33" s="19" t="n">
        <v>1</v>
      </c>
      <c r="I33" s="33">
        <f>60*D33/cruise_kt</f>
        <v/>
      </c>
      <c r="J33" s="33">
        <f>I33+turn_min+dwell_min</f>
        <v/>
      </c>
      <c r="K33" s="34">
        <f>MIN(24,FLOOR(60*service_hr/J33,1))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200000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Estimated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n"/>
      <c r="AY33" s="44" t="n"/>
    </row>
    <row r="34">
      <c r="A34" s="29" t="inlineStr">
        <is>
          <t>Bolt Italy</t>
        </is>
      </c>
      <c r="B34" s="29" t="inlineStr">
        <is>
          <t>Italy</t>
        </is>
      </c>
      <c r="C34" s="30" t="inlineStr">
        <is>
          <t>Naples → Capri</t>
        </is>
      </c>
      <c r="D34" s="31" t="n">
        <v>17</v>
      </c>
      <c r="E34" s="26" t="n">
        <v>32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1265000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AY34" s="44" t="n"/>
    </row>
    <row r="35">
      <c r="A35" s="29" t="inlineStr">
        <is>
          <t>Bolt Italy</t>
        </is>
      </c>
      <c r="B35" s="29" t="inlineStr">
        <is>
          <t>Italy</t>
        </is>
      </c>
      <c r="C35" s="30" t="inlineStr">
        <is>
          <t>Naples → Ischia</t>
        </is>
      </c>
      <c r="D35" s="31" t="n">
        <v>18</v>
      </c>
      <c r="E35" s="26" t="n">
        <v>25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675000</v>
      </c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AY35" s="44" t="n"/>
    </row>
    <row r="36">
      <c r="A36" s="29" t="inlineStr">
        <is>
          <t>Bolt Italy</t>
        </is>
      </c>
      <c r="B36" s="29" t="inlineStr">
        <is>
          <t>Italy</t>
        </is>
      </c>
      <c r="C36" s="30" t="inlineStr">
        <is>
          <t>Portofino → Cinque Terre</t>
        </is>
      </c>
      <c r="D36" s="31" t="n">
        <v>22</v>
      </c>
      <c r="E36" s="26" t="n">
        <v>37.8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40000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Estimated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PREMIUM scheduled per-seat: Golfo Paradiso Portofino-&gt;Cinque Terre EUR 35 one-way (A/R EUR 50) x 1.08 = ~$37.8.</t>
        </is>
      </c>
      <c r="AY36" s="44" t="n"/>
    </row>
    <row r="37">
      <c r="A37" s="29" t="inlineStr">
        <is>
          <t>Bolt Spain</t>
        </is>
      </c>
      <c r="B37" s="29" t="inlineStr">
        <is>
          <t>Spain</t>
        </is>
      </c>
      <c r="C37" s="30" t="inlineStr">
        <is>
          <t>L'Estartit → Illes Medes</t>
        </is>
      </c>
      <c r="D37" s="31" t="n">
        <v>0.8</v>
      </c>
      <c r="E37" s="26" t="n">
        <v>27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Estimated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AY37" s="44" t="n"/>
    </row>
    <row r="38">
      <c r="A38" s="29" t="inlineStr">
        <is>
          <t>Bolt Spain</t>
        </is>
      </c>
      <c r="B38" s="29" t="inlineStr">
        <is>
          <t>Spain</t>
        </is>
      </c>
      <c r="C38" s="30" t="inlineStr">
        <is>
          <t>Marbella → Puerto Banús</t>
        </is>
      </c>
      <c r="D38" s="31" t="n">
        <v>3.5</v>
      </c>
      <c r="E38" s="26" t="n">
        <v>11.9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36000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Estimated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PREMIUM tier: Fly Blue catamaran Marbella&lt;-&gt;Puerto Banús ~EUR 11 one-way (traveller reports EUR 11 one-way; ~30 min) x 1.08 = ~$11.9. Short hop, inexpensive premium tier.</t>
        </is>
      </c>
      <c r="AY38" s="44" t="n"/>
    </row>
    <row r="39">
      <c r="A39" s="29" t="inlineStr">
        <is>
          <t>Bolt Spain</t>
        </is>
      </c>
      <c r="B39" s="29" t="inlineStr">
        <is>
          <t>Spain</t>
        </is>
      </c>
      <c r="C39" s="30" t="inlineStr">
        <is>
          <t>Lloret de Mar → Tossa de Mar</t>
        </is>
      </c>
      <c r="D39" s="31" t="n">
        <v>4</v>
      </c>
      <c r="E39" s="26" t="n">
        <v>20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MIN(24,FLOOR(60*service_hr/J39,1))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112000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Estimated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AY39" s="44" t="n"/>
    </row>
    <row r="40">
      <c r="A40" s="29" t="inlineStr">
        <is>
          <t>Bolt Spain</t>
        </is>
      </c>
      <c r="B40" s="29" t="inlineStr">
        <is>
          <t>Spain</t>
        </is>
      </c>
      <c r="C40" s="30" t="inlineStr">
        <is>
          <t>Port de Sóller (Mallorca) → Sa Calobra / Torrent de Pareis (Mallorca)</t>
        </is>
      </c>
      <c r="D40" s="31" t="n">
        <v>9</v>
      </c>
      <c r="E40" s="26" t="n">
        <v>24.8</v>
      </c>
      <c r="F40" s="32" t="inlineStr">
        <is>
          <t>T2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Estimated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PREMIUM tier: Barcos Azules Port de Sóller-&gt;Sa Calobra adult one-way (un trayecto) EUR 23 (2025/2026 tariff) x 1.08 = ~$24.8.</t>
        </is>
      </c>
      <c r="AY40" s="44" t="n"/>
    </row>
    <row r="41">
      <c r="A41" s="29" t="inlineStr">
        <is>
          <t>Bolt Spain</t>
        </is>
      </c>
      <c r="B41" s="29" t="inlineStr">
        <is>
          <t>Spain</t>
        </is>
      </c>
      <c r="C41" s="30" t="inlineStr">
        <is>
          <t>Ibiza Town (Eivissa) → Formentera (La Savina)</t>
        </is>
      </c>
      <c r="D41" s="31" t="n">
        <v>12</v>
      </c>
      <c r="E41" s="26" t="n">
        <v>28.6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1190000</v>
      </c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PREMIUM tier: Trasmapi/Balearia fast-ferry standard adult one-way ~EUR 26.50 (Trasmapi 'normal price 26.50 EUR one way') x 1.08 = ~$28.6 (fast-ferry tickets EUR 23-29; Balearia 'from EUR 25').</t>
        </is>
      </c>
      <c r="AY41" s="44" t="n"/>
    </row>
    <row r="42">
      <c r="A42" s="29" t="inlineStr">
        <is>
          <t>Bolt Spain</t>
        </is>
      </c>
      <c r="B42" s="29" t="inlineStr">
        <is>
          <t>Spain</t>
        </is>
      </c>
      <c r="C42" s="30" t="inlineStr">
        <is>
          <t>Puerto Banús → Estepona</t>
        </is>
      </c>
      <c r="D42" s="31" t="n">
        <v>12</v>
      </c>
      <c r="E42" s="26" t="n">
        <v>16.2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MIN(24,FLOOR(60*service_hr/J42,1))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Estimated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AY42" s="44" t="n"/>
    </row>
    <row r="43">
      <c r="A43" s="29" t="inlineStr">
        <is>
          <t>Bolt Spain</t>
        </is>
      </c>
      <c r="B43" s="29" t="inlineStr">
        <is>
          <t>Spain</t>
        </is>
      </c>
      <c r="C43" s="30" t="inlineStr">
        <is>
          <t>Tarifa → Tangier (Morocco)</t>
        </is>
      </c>
      <c r="D43" s="31" t="n">
        <v>18</v>
      </c>
      <c r="E43" s="26" t="n">
        <v>45.4</v>
      </c>
      <c r="F43" s="32" t="inlineStr">
        <is>
          <t>T2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700000</v>
      </c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PREMIUM tier: Tarifa-&gt;Tangier fast ferry one-way ~EUR 37.50-45 (Ferryhopper from ~EUR 37.50; FRS/DFDS) -&gt; ~EUR 42 x 1.08 = ~$45.4.</t>
        </is>
      </c>
      <c r="AY43" s="44" t="n"/>
    </row>
    <row r="44">
      <c r="A44" s="29" t="inlineStr">
        <is>
          <t>Bolt Spain</t>
        </is>
      </c>
      <c r="B44" s="29" t="inlineStr">
        <is>
          <t>Spain</t>
        </is>
      </c>
      <c r="C44" s="30" t="inlineStr">
        <is>
          <t>Alcúdia (Mallorca) → Ciutadella (Menorca)</t>
        </is>
      </c>
      <c r="D44" s="31" t="n">
        <v>22</v>
      </c>
      <c r="E44" s="26" t="n">
        <v>80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62400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AY44" s="44" t="n"/>
    </row>
    <row r="45">
      <c r="A45" s="29" t="inlineStr">
        <is>
          <t>Bolt Spain</t>
        </is>
      </c>
      <c r="B45" s="29" t="inlineStr">
        <is>
          <t>Spain</t>
        </is>
      </c>
      <c r="C45" s="30" t="inlineStr">
        <is>
          <t>Dénia → Ibiza Town (Eivissa)</t>
        </is>
      </c>
      <c r="D45" s="31" t="n">
        <v>56</v>
      </c>
      <c r="E45" s="26" t="n">
        <v>54</v>
      </c>
      <c r="F45" s="32" t="inlineStr">
        <is>
          <t>T2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49000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AY45" s="44" t="n"/>
    </row>
    <row r="46">
      <c r="A46" s="29" t="inlineStr">
        <is>
          <t>Bolt Sweden</t>
        </is>
      </c>
      <c r="B46" s="29" t="inlineStr">
        <is>
          <t>Sweden</t>
        </is>
      </c>
      <c r="C46" s="30" t="inlineStr">
        <is>
          <t>Stockholm (Slussen) → Djurgarden</t>
        </is>
      </c>
      <c r="D46" s="31" t="n">
        <v>0.5</v>
      </c>
      <c r="E46" s="26" t="n">
        <v>18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271332</v>
      </c>
      <c r="AH46" s="32" t="n"/>
      <c r="AI46" s="32" t="inlineStr">
        <is>
          <t>med</t>
        </is>
      </c>
      <c r="AJ46" s="39" t="n">
        <v>0.25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AY46" s="44" t="n"/>
    </row>
    <row r="47">
      <c r="A47" s="29" t="inlineStr">
        <is>
          <t>Bolt Sweden</t>
        </is>
      </c>
      <c r="B47" s="29" t="inlineStr">
        <is>
          <t>Sweden</t>
        </is>
      </c>
      <c r="C47" s="30" t="inlineStr">
        <is>
          <t>Stockholm (Nybroplan) → Nacka Strand / Ropsten</t>
        </is>
      </c>
      <c r="D47" s="31" t="n">
        <v>3</v>
      </c>
      <c r="E47" s="26" t="n">
        <v>18</v>
      </c>
      <c r="F47" s="32" t="inlineStr">
        <is>
          <t>T2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365638</v>
      </c>
      <c r="AH47" s="32" t="n"/>
      <c r="AI47" s="32" t="inlineStr">
        <is>
          <t>med</t>
        </is>
      </c>
      <c r="AJ47" s="39" t="n">
        <v>0.25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Grounded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AY47" s="44" t="n"/>
    </row>
    <row r="48">
      <c r="A48" s="29" t="inlineStr">
        <is>
          <t>Bolt Sweden</t>
        </is>
      </c>
      <c r="B48" s="29" t="inlineStr">
        <is>
          <t>Sweden</t>
        </is>
      </c>
      <c r="C48" s="30" t="inlineStr">
        <is>
          <t>Stockholm (Stadshuskajen / Klara Malarstrand) → Drottningholm</t>
        </is>
      </c>
      <c r="D48" s="31" t="n">
        <v>6</v>
      </c>
      <c r="E48" s="26" t="n">
        <v>13.8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700000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PREMIUM tier: Stromma Klara Malarstrand/Stadshuskajen-&gt;Drottningholm scenic steamer; return ferry ~SEK 220 (2026) -&gt; one-way ~SEK 145 = $13.8. (Historic 2017 quote: SEK 210 return.)</t>
        </is>
      </c>
      <c r="AY48" s="44" t="n"/>
    </row>
    <row r="49">
      <c r="A49" s="29" t="inlineStr">
        <is>
          <t>Bolt Sweden</t>
        </is>
      </c>
      <c r="B49" s="29" t="inlineStr">
        <is>
          <t>Sweden</t>
        </is>
      </c>
      <c r="C49" s="30" t="inlineStr">
        <is>
          <t>Stockholm (Klara Malarstrand) → Ekero (Tappstrom)</t>
        </is>
      </c>
      <c r="D49" s="31" t="n">
        <v>8.6</v>
      </c>
      <c r="E49" s="26" t="n">
        <v>18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MIN(24,FLOOR(60*service_hr/J49,1))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23673</v>
      </c>
      <c r="AH49" s="32" t="n"/>
      <c r="AI49" s="32" t="inlineStr">
        <is>
          <t>med</t>
        </is>
      </c>
      <c r="AJ49" s="39" t="n">
        <v>0.25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Estimated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Y49" s="44" t="n"/>
    </row>
    <row r="50">
      <c r="A50" s="29" t="inlineStr">
        <is>
          <t>Bolt Sweden</t>
        </is>
      </c>
      <c r="B50" s="29" t="inlineStr">
        <is>
          <t>Sweden</t>
        </is>
      </c>
      <c r="C50" s="30" t="inlineStr">
        <is>
          <t>Stockholm → Saltsjobaden (Nacka)</t>
        </is>
      </c>
      <c r="D50" s="31" t="n">
        <v>9</v>
      </c>
      <c r="E50" s="26" t="n"/>
      <c r="F50" s="32" t="n"/>
      <c r="G50" s="32" t="n"/>
      <c r="H50" s="19" t="n">
        <v>1</v>
      </c>
      <c r="I50" s="33">
        <f>60*D50/cruise_kt</f>
        <v/>
      </c>
      <c r="J50" s="33">
        <f>I50+turn_min+dwell_min</f>
        <v/>
      </c>
      <c r="K50" s="34">
        <f>MIN(24,FLOOR(60*service_hr/J50,1))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/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Estimated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n"/>
      <c r="AY50" s="44" t="n"/>
    </row>
    <row r="51">
      <c r="A51" s="29" t="inlineStr">
        <is>
          <t>Bolt Sweden</t>
        </is>
      </c>
      <c r="B51" s="29" t="inlineStr">
        <is>
          <t>Sweden</t>
        </is>
      </c>
      <c r="C51" s="30" t="inlineStr">
        <is>
          <t>Stockholm (Stromkajen) → Alstaket (Varmdo)</t>
        </is>
      </c>
      <c r="D51" s="31" t="n">
        <v>11</v>
      </c>
      <c r="E51" s="26" t="n">
        <v>18</v>
      </c>
      <c r="F51" s="32" t="inlineStr">
        <is>
          <t>T2</t>
        </is>
      </c>
      <c r="G51" s="32" t="inlineStr">
        <is>
          <t>med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13761</v>
      </c>
      <c r="AH51" s="32" t="n"/>
      <c r="AI51" s="32" t="inlineStr">
        <is>
          <t>med</t>
        </is>
      </c>
      <c r="AJ51" s="39" t="n">
        <v>0.25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Estimated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Y51" s="44" t="n"/>
    </row>
    <row r="52">
      <c r="A52" s="29" t="inlineStr">
        <is>
          <t>Bolt Sweden</t>
        </is>
      </c>
      <c r="B52" s="29" t="inlineStr">
        <is>
          <t>Sweden</t>
        </is>
      </c>
      <c r="C52" s="30" t="inlineStr">
        <is>
          <t>Stockholm City → Vaxholm</t>
        </is>
      </c>
      <c r="D52" s="31" t="n">
        <v>12</v>
      </c>
      <c r="E52" s="26" t="n">
        <v>18.1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365855</v>
      </c>
      <c r="AH52" s="32" t="n"/>
      <c r="AI52" s="32" t="n"/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PREMIUM tier: Stromma Cinderellabatarna one-way adult seat Strandvagen-&gt;Vaxholm from SEK 190 (2026 tariff). SEK 190 x 0.0952 = $18.1.</t>
        </is>
      </c>
      <c r="AY52" s="44" t="n"/>
    </row>
    <row r="53">
      <c r="A53" s="29" t="inlineStr">
        <is>
          <t>Bolt Sweden</t>
        </is>
      </c>
      <c r="B53" s="29" t="inlineStr">
        <is>
          <t>Sweden</t>
        </is>
      </c>
      <c r="C53" s="30" t="inlineStr">
        <is>
          <t>Stockholm (Strandvagen) → Grinda</t>
        </is>
      </c>
      <c r="D53" s="31" t="n">
        <v>19</v>
      </c>
      <c r="E53" s="26" t="n">
        <v>22.4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/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Estimated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PREMIUM tier: Stromma Cinderellabatarna one-way adult Strandvagen-&gt;Grinda from SEK 235 (2026 tariff). SEK 235 x 0.0952 = $22.4.</t>
        </is>
      </c>
      <c r="AY53" s="44" t="n"/>
    </row>
    <row r="54">
      <c r="A54" s="29" t="inlineStr">
        <is>
          <t>Bolt Sweden</t>
        </is>
      </c>
      <c r="B54" s="29" t="inlineStr">
        <is>
          <t>Sweden</t>
        </is>
      </c>
      <c r="C54" s="30" t="inlineStr">
        <is>
          <t>Stockholm (Strandvagen) → Gallno</t>
        </is>
      </c>
      <c r="D54" s="31" t="n">
        <v>21</v>
      </c>
      <c r="E54" s="26" t="n">
        <v>22.4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/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Estimated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PREMIUM tier: Stromma Cinderellabatarna one-way adult Strandvagen-&gt;Gallno from SEK 235 (2026 tariff). SEK 235 x 0.0952 = $22.4.</t>
        </is>
      </c>
      <c r="AY54" s="44" t="n"/>
    </row>
    <row r="55">
      <c r="A55" s="29" t="inlineStr">
        <is>
          <t>Bolt Sweden</t>
        </is>
      </c>
      <c r="B55" s="29" t="inlineStr">
        <is>
          <t>Sweden</t>
        </is>
      </c>
      <c r="C55" s="30" t="inlineStr">
        <is>
          <t>Stockholm (Strandvagen) → Sandhamn</t>
        </is>
      </c>
      <c r="D55" s="31" t="n">
        <v>26</v>
      </c>
      <c r="E55" s="26" t="n">
        <v>24.3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100000</v>
      </c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Grounded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PREMIUM tier: Stromma Cinderellabatarna one-way adult Strandvagen-&gt;Sandhamn from SEK 255 (2026 tariff). SEK 255 x 0.0952 = $24.3.</t>
        </is>
      </c>
      <c r="AY55" s="44" t="n"/>
    </row>
    <row r="56">
      <c r="A56" s="45" t="inlineStr">
        <is>
          <t>TOTAL / median</t>
        </is>
      </c>
      <c r="T56" s="46">
        <f>SUM(T4:T55)</f>
        <v/>
      </c>
      <c r="AC56" s="46">
        <f>SUM(AC4:AC55)</f>
        <v/>
      </c>
      <c r="AD56" s="47">
        <f>IF(T56=0,"",AC56/T56)</f>
        <v/>
      </c>
      <c r="AL56" s="48">
        <f>SUM(AL4:AL55)</f>
        <v/>
      </c>
      <c r="AM56" s="46">
        <f>SUM(AM4:AM55)</f>
        <v/>
      </c>
    </row>
    <row r="58">
      <c r="A5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9">
      <c r="A59" s="24" t="inlineStr">
        <is>
          <t>Market</t>
        </is>
      </c>
      <c r="B59" s="24" t="inlineStr">
        <is>
          <t>Fleet basis</t>
        </is>
      </c>
      <c r="C59" s="24" t="inlineStr">
        <is>
          <t>Raw vessels (sum)</t>
        </is>
      </c>
      <c r="D59" s="24" t="inlineStr">
        <is>
          <t>Fleet (rounded once)</t>
        </is>
      </c>
      <c r="E59" s="24" t="inlineStr">
        <is>
          <t>Market rev/yr (raw sum)</t>
        </is>
      </c>
    </row>
    <row r="60">
      <c r="A60" s="25" t="inlineStr">
        <is>
          <t>Bolt Finland</t>
        </is>
      </c>
      <c r="B60" s="13" t="inlineStr">
        <is>
          <t>aspirational</t>
        </is>
      </c>
      <c r="C60" s="13" t="inlineStr">
        <is>
          <t>—</t>
        </is>
      </c>
      <c r="D60" s="49">
        <f>SUMIFS(AL4:AL55,A4:A55,"Bolt Finland",AP4:AP55,"=",AQ4:AQ55,"Grounded")</f>
        <v/>
      </c>
      <c r="E60" s="50">
        <f>SUMIFS(AM4:AM55,A4:A55,"Bolt Finland",AP4:AP55,"=",AQ4:AQ55,"Grounded")</f>
        <v/>
      </c>
    </row>
    <row r="61">
      <c r="A61" s="25" t="inlineStr">
        <is>
          <t>Bolt France Riviera</t>
        </is>
      </c>
      <c r="B61" s="13" t="inlineStr">
        <is>
          <t>grounded</t>
        </is>
      </c>
      <c r="C61" s="13" t="inlineStr">
        <is>
          <t>—</t>
        </is>
      </c>
      <c r="D61" s="49">
        <f>SUMIFS(AL4:AL55,A4:A55,"Bolt France Riviera",AP4:AP55,"=",AQ4:AQ55,"Grounded")</f>
        <v/>
      </c>
      <c r="E61" s="50">
        <f>SUMIFS(AM4:AM55,A4:A55,"Bolt France Riviera",AP4:AP55,"=",AQ4:AQ55,"Grounded")</f>
        <v/>
      </c>
    </row>
    <row r="62">
      <c r="A62" s="25" t="inlineStr">
        <is>
          <t>Bolt Italy</t>
        </is>
      </c>
      <c r="B62" s="13" t="inlineStr">
        <is>
          <t>grounded</t>
        </is>
      </c>
      <c r="C62" s="13" t="inlineStr">
        <is>
          <t>—</t>
        </is>
      </c>
      <c r="D62" s="49">
        <f>SUMIFS(AL4:AL55,A4:A55,"Bolt Italy",AP4:AP55,"=",AQ4:AQ55,"Grounded")</f>
        <v/>
      </c>
      <c r="E62" s="50">
        <f>SUMIFS(AM4:AM55,A4:A55,"Bolt Italy",AP4:AP55,"=",AQ4:AQ55,"Grounded")</f>
        <v/>
      </c>
    </row>
    <row r="63">
      <c r="A63" s="25" t="inlineStr">
        <is>
          <t>Bolt Spain</t>
        </is>
      </c>
      <c r="B63" s="13" t="inlineStr">
        <is>
          <t>aspirational</t>
        </is>
      </c>
      <c r="C63" s="13" t="inlineStr">
        <is>
          <t>—</t>
        </is>
      </c>
      <c r="D63" s="49">
        <f>SUMIFS(AL4:AL55,A4:A55,"Bolt Spain",AP4:AP55,"=",AQ4:AQ55,"Grounded")</f>
        <v/>
      </c>
      <c r="E63" s="50">
        <f>SUMIFS(AM4:AM55,A4:A55,"Bolt Spain",AP4:AP55,"=",AQ4:AQ55,"Grounded")</f>
        <v/>
      </c>
    </row>
    <row r="64">
      <c r="A64" s="25" t="inlineStr">
        <is>
          <t>Bolt Sweden</t>
        </is>
      </c>
      <c r="B64" s="13" t="inlineStr">
        <is>
          <t>aspirational</t>
        </is>
      </c>
      <c r="C64" s="13" t="inlineStr">
        <is>
          <t>—</t>
        </is>
      </c>
      <c r="D64" s="49">
        <f>SUMIFS(AL4:AL55,A4:A55,"Bolt Sweden",AP4:AP55,"=",AQ4:AQ55,"Grounded")</f>
        <v/>
      </c>
      <c r="E64" s="50">
        <f>SUMIFS(AM4:AM55,A4:A55,"Bolt Sweden",AP4:AP55,"=",AQ4:AQ55,"Grounded")</f>
        <v/>
      </c>
    </row>
    <row r="65">
      <c r="A65" s="45" t="inlineStr">
        <is>
          <t>GROUNDED FLOOR (PUBLISHED)</t>
        </is>
      </c>
      <c r="D65" s="48">
        <f>SUM(D60:D64)</f>
        <v/>
      </c>
      <c r="E65" s="46">
        <f>SUM(E60:E64)</f>
        <v/>
      </c>
    </row>
    <row r="66">
      <c r="A66" s="20" t="inlineStr">
        <is>
          <t>ESTIMATED DEMAND (country-median cascade; held OUT of grounded floor)</t>
        </is>
      </c>
      <c r="D66" s="51">
        <f>SUMIF(AQ4:AQ55,"Estimated",AL4:AL55)</f>
        <v/>
      </c>
      <c r="E66" s="52">
        <f>SUMIF(AQ4:AQ55,"Estimated",AM4:AM55)</f>
        <v/>
      </c>
    </row>
    <row r="67">
      <c r="A67" s="20" t="inlineStr">
        <is>
          <t>ESTIMATED UPSIDE (LB-99 modal-shift / experience-upside tiers; held OUT of grounded floor)</t>
        </is>
      </c>
      <c r="D67" s="51">
        <f>SUMIF(AQ4:AQ55,"Upside tier",AL4:AL55)</f>
        <v/>
      </c>
      <c r="E67" s="52">
        <f>SUMIF(AQ4:AQ55,"Upside tier",AM4:AM55)</f>
        <v/>
      </c>
    </row>
    <row r="69">
      <c r="A69" s="53" t="inlineStr">
        <is>
          <t>Held for Quanta-LR (&gt;70nm, roadmap H2 2026+):</t>
        </is>
      </c>
      <c r="C69" s="54" t="inlineStr">
        <is>
          <t>Helsinki → Stockholm (210nm)</t>
        </is>
      </c>
    </row>
    <row r="70">
      <c r="C70" s="54" t="inlineStr">
        <is>
          <t>Monaco → Portofino (85.0nm)</t>
        </is>
      </c>
    </row>
    <row r="71">
      <c r="C71" s="54" t="inlineStr">
        <is>
          <t>Palma de Mallorca → Ibiza Town (75.0nm)</t>
        </is>
      </c>
    </row>
    <row r="72">
      <c r="C72" s="54" t="inlineStr">
        <is>
          <t>Palma de Mallorca → Maó (Menorca) (100nm)</t>
        </is>
      </c>
    </row>
    <row r="73">
      <c r="C73" s="54" t="inlineStr">
        <is>
          <t>Dénia → Palma de Mallorca (130nm)</t>
        </is>
      </c>
    </row>
    <row r="74">
      <c r="C74" s="54" t="inlineStr">
        <is>
          <t>Barcelona → Palma de Mallorca (115nm)</t>
        </is>
      </c>
    </row>
    <row r="75">
      <c r="C75" s="54" t="inlineStr">
        <is>
          <t>Barcelona → Ibiza Town (Eivissa) (140nm)</t>
        </is>
      </c>
    </row>
    <row r="76">
      <c r="C76" s="54" t="inlineStr">
        <is>
          <t>Stockholm (Vartahamnen / Stadsgarden) → Mariehamn (Aland) (75nm)</t>
        </is>
      </c>
    </row>
  </sheetData>
  <mergeCells count="2">
    <mergeCell ref="A58:L58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0.0987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2026-07-09T02:13:51Z</dcterms:created>
  <dcterms:modified xsi:type="dcterms:W3CDTF">2026-07-09T02:13:51Z</dcterms:modified>
</cp:coreProperties>
</file>