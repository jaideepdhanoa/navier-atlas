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opex'!$A$4:$G$19</definedName>
    <definedName name="som_floor_fleet">'Corridor economics'!$D$166</definedName>
    <definedName name="som_floor_rev">'Corridor economics'!$E$166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Yango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3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Azerbaijan</t>
        </is>
      </c>
      <c r="B4" s="27" t="n">
        <v>14000</v>
      </c>
      <c r="C4" s="28" t="n">
        <v>0.07000000000000001</v>
      </c>
      <c r="D4" s="20" t="n">
        <v>0.5</v>
      </c>
      <c r="E4" s="27" t="n">
        <v>9000</v>
      </c>
      <c r="F4" s="20" t="n">
        <v>0.35</v>
      </c>
      <c r="G4" s="27" t="n">
        <v>600000</v>
      </c>
      <c r="H4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5">
      <c r="A5" s="26" t="inlineStr">
        <is>
          <t>Cameroon</t>
        </is>
      </c>
      <c r="B5" s="27" t="n">
        <v>10000</v>
      </c>
      <c r="C5" s="28" t="n">
        <v>0.185</v>
      </c>
      <c r="D5" s="20" t="n">
        <v>0.45</v>
      </c>
      <c r="E5" s="27" t="n">
        <v>8000</v>
      </c>
      <c r="F5" s="20" t="n">
        <v>0.5629999999999999</v>
      </c>
      <c r="G5" s="27" t="n">
        <v>600000</v>
      </c>
      <c r="H5" s="15" t="inlineStr">
        <is>
          <t>PLANNING ALLOWANCE (T4) for licensed coastal crew Douala/Kribi class; not a Cameroonian wage fact. | GlobalPetrolPrices Cameroon business electricity ~USD 0.185/kWh (page scrape 2026-07-11; residential ~USD 0.087). Use business class for vessel charging comparator. | PLANNING ALLOWANCE Douala/Kribi terminal-port overhead; not a published PAD tariff. | CAPEX LB-243 US/EU=$900K else $600K</t>
        </is>
      </c>
    </row>
    <row r="6">
      <c r="A6" s="26" t="inlineStr">
        <is>
          <t>Colombia</t>
        </is>
      </c>
      <c r="B6" s="27" t="n">
        <v>14000</v>
      </c>
      <c r="C6" s="28" t="n">
        <v>0.15</v>
      </c>
      <c r="D6" s="20" t="n">
        <v>0.2</v>
      </c>
      <c r="E6" s="27" t="n">
        <v>10000</v>
      </c>
      <c r="F6" s="20" t="n">
        <v>0.42</v>
      </c>
      <c r="G6" s="27" t="n">
        <v>600000</v>
      </c>
      <c r="H6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6" t="inlineStr">
        <is>
          <t>Congo (Brazzaville)</t>
        </is>
      </c>
      <c r="B7" s="27" t="n">
        <v>10000</v>
      </c>
      <c r="C7" s="28" t="n">
        <v>0.08400000000000001</v>
      </c>
      <c r="D7" s="20" t="n">
        <v>0.4</v>
      </c>
      <c r="E7" s="27" t="n">
        <v>8000</v>
      </c>
      <c r="F7" s="20" t="n">
        <v>0.574</v>
      </c>
      <c r="G7" s="27" t="n">
        <v>600000</v>
      </c>
      <c r="H7" s="15" t="inlineStr">
        <is>
          <t>PLANNING ALLOWANCE (T4) Pointe-Noire coastal crew; not a Congolese wage fact. | Climatescope Republic of the Congo average electricity price 2024 ≈ $83.73/MWh = USD 0.084/kWh. | PLANNING ALLOWANCE Pointe-Noire port/berth overhead; not a published PAPN tariff. | CAPEX LB-243 US/EU=$900K else $600K</t>
        </is>
      </c>
    </row>
    <row r="8">
      <c r="A8" s="26" t="inlineStr">
        <is>
          <t>Côte d'Ivoire</t>
        </is>
      </c>
      <c r="B8" s="27" t="n">
        <v>12000</v>
      </c>
      <c r="C8" s="28" t="n">
        <v>0.13</v>
      </c>
      <c r="D8" s="20" t="n">
        <v>0.4</v>
      </c>
      <c r="E8" s="27" t="n">
        <v>8000</v>
      </c>
      <c r="F8" s="20" t="n">
        <v>0.3</v>
      </c>
      <c r="G8" s="27" t="n">
        <v>600000</v>
      </c>
      <c r="H8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9">
      <c r="A9" s="26" t="inlineStr">
        <is>
          <t>Egypt</t>
        </is>
      </c>
      <c r="B9" s="27" t="n">
        <v>12000</v>
      </c>
      <c r="C9" s="28" t="n">
        <v>0.06</v>
      </c>
      <c r="D9" s="20" t="n">
        <v>0.45</v>
      </c>
      <c r="E9" s="27" t="n">
        <v>8000</v>
      </c>
      <c r="F9" s="20" t="n">
        <v>0.3</v>
      </c>
      <c r="G9" s="27" t="n">
        <v>600000</v>
      </c>
      <c r="H9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0">
      <c r="A10" s="26" t="inlineStr">
        <is>
          <t>Kazakhstan</t>
        </is>
      </c>
      <c r="B10" s="27" t="n">
        <v>14000</v>
      </c>
      <c r="C10" s="28" t="n">
        <v>0.06</v>
      </c>
      <c r="D10" s="20" t="n">
        <v>0.55</v>
      </c>
      <c r="E10" s="27" t="n">
        <v>8000</v>
      </c>
      <c r="F10" s="20" t="n">
        <v>0.35</v>
      </c>
      <c r="G10" s="27" t="n">
        <v>600000</v>
      </c>
      <c r="H10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1">
      <c r="A11" s="26" t="inlineStr">
        <is>
          <t>Morocco</t>
        </is>
      </c>
      <c r="B11" s="27" t="n">
        <v>14000</v>
      </c>
      <c r="C11" s="28" t="n">
        <v>0.12</v>
      </c>
      <c r="D11" s="20" t="n">
        <v>0.6</v>
      </c>
      <c r="E11" s="27" t="n">
        <v>10000</v>
      </c>
      <c r="F11" s="20" t="n">
        <v>0.38</v>
      </c>
      <c r="G11" s="27" t="n">
        <v>600000</v>
      </c>
      <c r="H11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2">
      <c r="A12" s="26" t="inlineStr">
        <is>
          <t>Mozambique</t>
        </is>
      </c>
      <c r="B12" s="27" t="n">
        <v>10000</v>
      </c>
      <c r="C12" s="28" t="n">
        <v>0.1</v>
      </c>
      <c r="D12" s="20" t="n">
        <v>0.1</v>
      </c>
      <c r="E12" s="27" t="n">
        <v>7000</v>
      </c>
      <c r="F12" s="20" t="n">
        <v>0.28</v>
      </c>
      <c r="G12" s="27" t="n">
        <v>600000</v>
      </c>
      <c r="H12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3">
      <c r="A13" s="26" t="inlineStr">
        <is>
          <t>Namibia</t>
        </is>
      </c>
      <c r="B13" s="27" t="n">
        <v>15000</v>
      </c>
      <c r="C13" s="28" t="n">
        <v>0.168</v>
      </c>
      <c r="D13" s="20" t="n">
        <v>0.55</v>
      </c>
      <c r="E13" s="27" t="n">
        <v>9000</v>
      </c>
      <c r="F13" s="20" t="n">
        <v>0.673</v>
      </c>
      <c r="G13" s="27" t="n">
        <v>600000</v>
      </c>
      <c r="H13" s="15" t="inlineStr">
        <is>
          <t>PLANNING ALLOWANCE (T4). Upper-middle-income marine labor band for Walvis Bay ops; not a Namibian Maritime Authority wage fact. Needs local quote. | GlobalPetrolPrices Namibia residential electricity, December 2025: NAD 2.734/kWh = USD 0.168/kWh. Business tariff not cleanly extracted from NamPower PDF in this pass; residential used as conservative retail comparator. ECB/NamPower commercial schedule should replace before contract. | PLANNING ALLOWANCE Walvis Bay waterfront berth/admin overhead; not a published Namport tariff. | CAPEX LB-243 US/EU=$900K else $600K</t>
        </is>
      </c>
    </row>
    <row r="14">
      <c r="A14" s="26" t="inlineStr">
        <is>
          <t>Pakistan</t>
        </is>
      </c>
      <c r="B14" s="27" t="n">
        <v>10000</v>
      </c>
      <c r="C14" s="28" t="n">
        <v>0.12</v>
      </c>
      <c r="D14" s="20" t="n">
        <v>0.4</v>
      </c>
      <c r="E14" s="27" t="n">
        <v>7000</v>
      </c>
      <c r="F14" s="20" t="n">
        <v>0.25</v>
      </c>
      <c r="G14" s="27" t="n">
        <v>600000</v>
      </c>
      <c r="H14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5">
      <c r="A15" s="26" t="inlineStr">
        <is>
          <t>Peru</t>
        </is>
      </c>
      <c r="B15" s="27" t="n">
        <v>14000</v>
      </c>
      <c r="C15" s="28" t="n">
        <v>0.13</v>
      </c>
      <c r="D15" s="20" t="n">
        <v>0.25</v>
      </c>
      <c r="E15" s="27" t="n">
        <v>10000</v>
      </c>
      <c r="F15" s="20" t="n">
        <v>0.45</v>
      </c>
      <c r="G15" s="27" t="n">
        <v>600000</v>
      </c>
      <c r="H1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6">
      <c r="A16" s="26" t="inlineStr">
        <is>
          <t>Qatar</t>
        </is>
      </c>
      <c r="B16" s="27" t="n">
        <v>43000</v>
      </c>
      <c r="C16" s="28" t="n">
        <v>0.036</v>
      </c>
      <c r="D16" s="20" t="n">
        <v>0.49</v>
      </c>
      <c r="E16" s="27" t="n">
        <v>20000</v>
      </c>
      <c r="F16" s="20" t="n">
        <v>0.7</v>
      </c>
      <c r="G16" s="27" t="n">
        <v>600000</v>
      </c>
      <c r="H16" s="15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  <row r="17">
      <c r="A17" s="26" t="inlineStr">
        <is>
          <t>Senegal</t>
        </is>
      </c>
      <c r="B17" s="27" t="n">
        <v>12000</v>
      </c>
      <c r="C17" s="28" t="n">
        <v>0.18</v>
      </c>
      <c r="D17" s="20" t="n">
        <v>0.55</v>
      </c>
      <c r="E17" s="27" t="n">
        <v>8000</v>
      </c>
      <c r="F17" s="20" t="n">
        <v>0.32</v>
      </c>
      <c r="G17" s="27" t="n">
        <v>600000</v>
      </c>
      <c r="H17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8">
      <c r="A18" s="26" t="inlineStr">
        <is>
          <t>Tunisia</t>
        </is>
      </c>
      <c r="B18" s="27" t="n">
        <v>14000</v>
      </c>
      <c r="C18" s="28" t="n">
        <v>0.1</v>
      </c>
      <c r="D18" s="20" t="n">
        <v>0.45</v>
      </c>
      <c r="E18" s="27" t="n">
        <v>9000</v>
      </c>
      <c r="F18" s="20" t="n">
        <v>0.35</v>
      </c>
      <c r="G18" s="27" t="n">
        <v>600000</v>
      </c>
      <c r="H18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9">
      <c r="A19" s="26" t="inlineStr">
        <is>
          <t>United Arab Emirates</t>
        </is>
      </c>
      <c r="B19" s="27" t="n">
        <v>40000</v>
      </c>
      <c r="C19" s="28" t="n">
        <v>0.08500000000000001</v>
      </c>
      <c r="D19" s="20" t="n">
        <v>0.4</v>
      </c>
      <c r="E19" s="27" t="n">
        <v>22000</v>
      </c>
      <c r="F19" s="20" t="n">
        <v>0.74</v>
      </c>
      <c r="G19" s="27" t="n">
        <v>600000</v>
      </c>
      <c r="H19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Yango Venezuela</t>
        </is>
      </c>
      <c r="B4" s="15" t="inlineStr">
        <is>
          <t>La Guaira Port → Caraballeda Marina</t>
        </is>
      </c>
      <c r="C4" s="15" t="n"/>
      <c r="D4" s="15" t="inlineStr">
        <is>
          <t>Venezuela</t>
        </is>
      </c>
      <c r="E4" s="15" t="inlineStr">
        <is>
          <t>country_reference_incomplete: crew, commercial energy, port-admin and current cost index unresolved</t>
        </is>
      </c>
    </row>
    <row r="5">
      <c r="A5" s="29" t="inlineStr">
        <is>
          <t>Yango Venezuela</t>
        </is>
      </c>
      <c r="B5" s="15" t="inlineStr">
        <is>
          <t>La Guaira Port → Los Roques</t>
        </is>
      </c>
      <c r="C5" s="15" t="n"/>
      <c r="D5" s="15" t="inlineStr">
        <is>
          <t>Venezuela</t>
        </is>
      </c>
      <c r="E5" s="15" t="inlineStr">
        <is>
          <t>country_reference_incomplete: crew, commercial energy, port-admin and current cost index unresolved</t>
        </is>
      </c>
    </row>
    <row r="6">
      <c r="A6" s="29" t="inlineStr">
        <is>
          <t>Yango Venezuela</t>
        </is>
      </c>
      <c r="B6" s="15" t="inlineStr">
        <is>
          <t>Maracaibo Waterfront → Cabimas</t>
        </is>
      </c>
      <c r="C6" s="15" t="n"/>
      <c r="D6" s="15" t="inlineStr">
        <is>
          <t>Venezuela</t>
        </is>
      </c>
      <c r="E6" s="15" t="inlineStr">
        <is>
          <t>country_reference_incomplete: crew, commercial energy, port-admin and current cost index unresolved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8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Yango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Yango Caspian Az</t>
        </is>
      </c>
      <c r="B4" s="31" t="inlineStr">
        <is>
          <t>Azerbaijan</t>
        </is>
      </c>
      <c r="C4" s="32" t="inlineStr">
        <is>
          <t>Baku Bay leisure loop (Boulevard) → Baku Bay leisure loop (Boulevard)</t>
        </is>
      </c>
      <c r="D4" s="33" t="n">
        <v>6</v>
      </c>
      <c r="E4" s="27" t="n">
        <v>30</v>
      </c>
      <c r="F4" s="34" t="inlineStr">
        <is>
          <t>T2</t>
        </is>
      </c>
      <c r="G4" s="34" t="inlineStr">
        <is>
          <t>med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PREMIUM tier: private Boulevard boat tour ~$30/seat (range $30-44; privatetoursbaku, Tripadvisor, GetYourGuide).</t>
        </is>
      </c>
      <c r="AZ4" s="46" t="n"/>
      <c r="BA4" s="34" t="n"/>
    </row>
    <row r="5">
      <c r="A5" s="31" t="inlineStr">
        <is>
          <t>Yango Caspian Az</t>
        </is>
      </c>
      <c r="B5" s="31" t="inlineStr">
        <is>
          <t>Azerbaijan</t>
        </is>
      </c>
      <c r="C5" s="32" t="inlineStr">
        <is>
          <t>Baku (Boulevard / Port Baku) → Sumqayit</t>
        </is>
      </c>
      <c r="D5" s="33" t="n">
        <v>16</v>
      </c>
      <c r="E5" s="27" t="n"/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Korea",FLOOR(60*korea_service_hr/K5,1),MIN(24,FLOOR(60*service_hr/K5,1)))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74000</v>
      </c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n"/>
    </row>
    <row r="6">
      <c r="A6" s="31" t="inlineStr">
        <is>
          <t>Yango Caspian Az</t>
        </is>
      </c>
      <c r="B6" s="31" t="inlineStr">
        <is>
          <t>Azerbaijan</t>
        </is>
      </c>
      <c r="C6" s="32" t="inlineStr">
        <is>
          <t>Baku Bay (Bulvar) → Bilgah</t>
        </is>
      </c>
      <c r="D6" s="33" t="n">
        <v>18</v>
      </c>
      <c r="E6" s="27" t="n">
        <v>30</v>
      </c>
      <c r="F6" s="34" t="inlineStr">
        <is>
          <t>T2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30000</v>
      </c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PREMIUM tier: private Boulevard boat-tour per-seat ~$30 (privatetoursbaku 1-pax $30; Tripadvisor Baku boat rides 'from $44'; GetYourGuide bay tours). No scheduled fast catamaran to Bilgah exists today; this is the nearest premium per-seat marine comparable in-market.</t>
        </is>
      </c>
      <c r="AZ6" s="46" t="n"/>
      <c r="BA6" s="34" t="inlineStr">
        <is>
          <t>rn-061143acb448</t>
        </is>
      </c>
    </row>
    <row r="7">
      <c r="A7" s="31" t="inlineStr">
        <is>
          <t>Yango Caspian Az</t>
        </is>
      </c>
      <c r="B7" s="31" t="inlineStr">
        <is>
          <t>Azerbaijan</t>
        </is>
      </c>
      <c r="C7" s="32" t="inlineStr">
        <is>
          <t>Baku (Boulevard / Port Baku) → Mardakan / Nardaran (Sea Breeze resort cluster)</t>
        </is>
      </c>
      <c r="D7" s="33" t="n">
        <v>20</v>
      </c>
      <c r="E7" s="27" t="n">
        <v>30</v>
      </c>
      <c r="F7" s="34" t="inlineStr">
        <is>
          <t>T2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Korea",FLOOR(60*korea_service_hr/K7,1),MIN(24,FLOOR(60*service_hr/K7,1)))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PREMIUM tier proxy: private Boulevard boat-tour per-seat ~$30 (range $30-44) — same in-market premium marine comparable as Bilgah; no scheduled fast craft to Nardaran exists today.</t>
        </is>
      </c>
      <c r="AZ7" s="46" t="n"/>
      <c r="BA7" s="34" t="inlineStr">
        <is>
          <t>rn-2182422afeab</t>
        </is>
      </c>
    </row>
    <row r="8">
      <c r="A8" s="31" t="inlineStr">
        <is>
          <t>Yango Cameroon</t>
        </is>
      </c>
      <c r="B8" s="31" t="inlineStr">
        <is>
          <t>Cameroon</t>
        </is>
      </c>
      <c r="C8" s="32" t="inlineStr">
        <is>
          <t>Douala Waterfront → Manoka Island</t>
        </is>
      </c>
      <c r="D8" s="33" t="n">
        <v>7</v>
      </c>
      <c r="E8" s="27" t="n">
        <v>18</v>
      </c>
      <c r="F8" s="34" t="inlineStr">
        <is>
          <t>T3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Korea",FLOOR(60*korea_service_hr/K8,1),MIN(24,FLOOR(60*service_hr/K8,1)))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45000</v>
      </c>
      <c r="AI8" s="34" t="n"/>
      <c r="AJ8" s="34" t="inlineStr">
        <is>
          <t>med</t>
        </is>
      </c>
      <c r="AK8" s="41" t="n">
        <v>0.25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[LB-255 PREMIUM RE-FARE: subsidized comparable $3.0 lifted to premium on-demand floor $18.0] Modeled commuter fare; Manoka is boat-only access with limited incumbent service (one commercial rotation/day).</t>
        </is>
      </c>
      <c r="AZ8" s="46" t="n"/>
      <c r="BA8" s="34" t="n"/>
    </row>
    <row r="9">
      <c r="A9" s="31" t="inlineStr">
        <is>
          <t>Yango Cameroon</t>
        </is>
      </c>
      <c r="B9" s="31" t="inlineStr">
        <is>
          <t>Cameroon</t>
        </is>
      </c>
      <c r="C9" s="32" t="inlineStr">
        <is>
          <t>Douala Waterfront → Limbe</t>
        </is>
      </c>
      <c r="D9" s="33" t="n">
        <v>29</v>
      </c>
      <c r="E9" s="27" t="n">
        <v>12</v>
      </c>
      <c r="F9" s="34" t="inlineStr">
        <is>
          <t>T4</t>
        </is>
      </c>
      <c r="G9" s="34" t="inlineStr">
        <is>
          <t>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25000</v>
      </c>
      <c r="AI9" s="34" t="n"/>
      <c r="AJ9" s="34" t="inlineStr">
        <is>
          <t>low</t>
        </is>
      </c>
      <c r="AK9" s="41" t="n">
        <v>0.25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Modeled tourism/commuter fare for the Douala-Limbe coastal link.</t>
        </is>
      </c>
      <c r="AZ9" s="46" t="n"/>
      <c r="BA9" s="34" t="n"/>
    </row>
    <row r="10">
      <c r="A10" s="31" t="inlineStr">
        <is>
          <t>Yango Colombia</t>
        </is>
      </c>
      <c r="B10" s="31" t="inlineStr">
        <is>
          <t>Colombia</t>
        </is>
      </c>
      <c r="C10" s="32" t="inlineStr">
        <is>
          <t>Cartagena Old City → Bocagrande</t>
        </is>
      </c>
      <c r="D10" s="33" t="n">
        <v>1.5</v>
      </c>
      <c r="E10" s="27" t="n">
        <v>18</v>
      </c>
      <c r="F10" s="34" t="inlineStr">
        <is>
          <t>T2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Korea",FLOOR(60*korea_service_hr/K10,1),MIN(24,FLOOR(60*service_hr/K10,1)))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10000</v>
      </c>
      <c r="AI10" s="34" t="n"/>
      <c r="AJ10" s="34" t="inlineStr">
        <is>
          <t>low</t>
        </is>
      </c>
      <c r="AK10" s="41" t="n">
        <v>0.25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Estimated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[LB-255 PREMIUM RE-FARE: subsidized comparable $6.0 lifted to premium on-demand floor $18.0] Intra-bay water taxi comparable ~ COP 20-25k ~ $6; commuter floor Cartagena bus ~$0.60.</t>
        </is>
      </c>
      <c r="AZ10" s="46" t="n"/>
      <c r="BA10" s="34" t="inlineStr">
        <is>
          <t>rn-20762e2b40f5</t>
        </is>
      </c>
    </row>
    <row r="11">
      <c r="A11" s="31" t="inlineStr">
        <is>
          <t>Yango Colombia</t>
        </is>
      </c>
      <c r="B11" s="31" t="inlineStr">
        <is>
          <t>Colombia</t>
        </is>
      </c>
      <c r="C11" s="32" t="inlineStr">
        <is>
          <t>Cartagena Old City → Tierrabomba</t>
        </is>
      </c>
      <c r="D11" s="33" t="n">
        <v>2.9</v>
      </c>
      <c r="E11" s="27" t="n">
        <v>8</v>
      </c>
      <c r="F11" s="34" t="inlineStr">
        <is>
          <t>T2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12000</v>
      </c>
      <c r="AI11" s="34" t="n"/>
      <c r="AJ11" s="34" t="inlineStr">
        <is>
          <t>low</t>
        </is>
      </c>
      <c r="AK11" s="41" t="n">
        <v>0.25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Comparable Tierrabomba beach shuttle ~ COP 25-35k ~ $8 per-seat.</t>
        </is>
      </c>
      <c r="AZ11" s="46" t="n"/>
      <c r="BA11" s="34" t="inlineStr">
        <is>
          <t>rn-84ffd58e7f82</t>
        </is>
      </c>
    </row>
    <row r="12">
      <c r="A12" s="31" t="inlineStr">
        <is>
          <t>Yango Colombia</t>
        </is>
      </c>
      <c r="B12" s="31" t="inlineStr">
        <is>
          <t>Colombia</t>
        </is>
      </c>
      <c r="C12" s="32" t="inlineStr">
        <is>
          <t>Barranquilla → Puerto Colombia</t>
        </is>
      </c>
      <c r="D12" s="33" t="n">
        <v>11.6</v>
      </c>
      <c r="E12" s="27" t="n">
        <v>18</v>
      </c>
      <c r="F12" s="34" t="inlineStr">
        <is>
          <t>T2</t>
        </is>
      </c>
      <c r="G12" s="34" t="inlineStr">
        <is>
          <t>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Korea",FLOOR(60*korea_service_hr/K12,1),MIN(24,FLOOR(60*service_hr/K12,1)))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8000</v>
      </c>
      <c r="AI12" s="34" t="n"/>
      <c r="AJ12" s="34" t="inlineStr">
        <is>
          <t>low</t>
        </is>
      </c>
      <c r="AK12" s="41" t="n">
        <v>0.25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Estimated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[LB-255 PREMIUM RE-FARE: subsidized comparable $5.0 lifted to premium on-demand floor $18.0] Comparable Barranquilla -&gt; Puerto Colombia beach shuttle ~ COP 15-20k ~ $5; commuter floor local bus ~$0.60.</t>
        </is>
      </c>
      <c r="AZ12" s="46" t="n"/>
      <c r="BA12" s="34" t="inlineStr">
        <is>
          <t>rn-3ebf0c9aece2</t>
        </is>
      </c>
    </row>
    <row r="13">
      <c r="A13" s="31" t="inlineStr">
        <is>
          <t>Yango Colombia</t>
        </is>
      </c>
      <c r="B13" s="31" t="inlineStr">
        <is>
          <t>Colombia</t>
        </is>
      </c>
      <c r="C13" s="32" t="inlineStr">
        <is>
          <t>Cartagena Old City → Baru (Playa Blanca)</t>
        </is>
      </c>
      <c r="D13" s="33" t="n">
        <v>13.3</v>
      </c>
      <c r="E13" s="27" t="n">
        <v>25</v>
      </c>
      <c r="F13" s="34" t="inlineStr">
        <is>
          <t>T2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30000</v>
      </c>
      <c r="AI13" s="34" t="n"/>
      <c r="AJ13" s="34" t="inlineStr">
        <is>
          <t>med</t>
        </is>
      </c>
      <c r="AK13" s="41" t="n">
        <v>0.25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Estimated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PREMIUM tier: Cartagena -&gt; Baru/Playa Blanca boat day-trip ~ COP 90-120k ~ $25 comparable per-seat (2026 operators, Muelle de la Bodeguita).</t>
        </is>
      </c>
      <c r="AZ13" s="46" t="n"/>
      <c r="BA13" s="34" t="inlineStr">
        <is>
          <t>rn-59374c41f8ab</t>
        </is>
      </c>
    </row>
    <row r="14">
      <c r="A14" s="31" t="inlineStr">
        <is>
          <t>Yango Colombia</t>
        </is>
      </c>
      <c r="B14" s="31" t="inlineStr">
        <is>
          <t>Colombia</t>
        </is>
      </c>
      <c r="C14" s="32" t="inlineStr">
        <is>
          <t>Cartagena Old City → Islas del Rosario (A)</t>
        </is>
      </c>
      <c r="D14" s="33" t="n">
        <v>19.6</v>
      </c>
      <c r="E14" s="27" t="n">
        <v>22</v>
      </c>
      <c r="F14" s="34" t="inlineStr">
        <is>
          <t>T2</t>
        </is>
      </c>
      <c r="G14" s="34" t="inlineStr">
        <is>
          <t>med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25000</v>
      </c>
      <c r="AI14" s="34" t="n"/>
      <c r="AJ14" s="34" t="inlineStr">
        <is>
          <t>med</t>
        </is>
      </c>
      <c r="AK14" s="41" t="n">
        <v>0.25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PREMIUM tier: Cartagena -&gt; Islas del Rosario transport COP 90,000 (~$22) each way (GetYourGuide 2026); tours $25-90.</t>
        </is>
      </c>
      <c r="AZ14" s="46" t="n"/>
      <c r="BA14" s="34" t="inlineStr">
        <is>
          <t>rn-74aa778f6655</t>
        </is>
      </c>
    </row>
    <row r="15">
      <c r="A15" s="31" t="inlineStr">
        <is>
          <t>Yango Colombia</t>
        </is>
      </c>
      <c r="B15" s="31" t="inlineStr">
        <is>
          <t>Colombia</t>
        </is>
      </c>
      <c r="C15" s="32" t="inlineStr">
        <is>
          <t>Cartagena Old City → Islas del Rosario (B)</t>
        </is>
      </c>
      <c r="D15" s="33" t="n">
        <v>19.6</v>
      </c>
      <c r="E15" s="27" t="n">
        <v>22</v>
      </c>
      <c r="F15" s="34" t="inlineStr">
        <is>
          <t>T2</t>
        </is>
      </c>
      <c r="G15" s="34" t="inlineStr">
        <is>
          <t>med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25000</v>
      </c>
      <c r="AI15" s="34" t="n"/>
      <c r="AJ15" s="34" t="inlineStr">
        <is>
          <t>med</t>
        </is>
      </c>
      <c r="AK15" s="41" t="n">
        <v>0.25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Estimated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PREMIUM tier: Cartagena -&gt; Islas del Rosario transport COP 90,000 (~$22) each way (GetYourGuide 2026).</t>
        </is>
      </c>
      <c r="AZ15" s="46" t="n"/>
      <c r="BA15" s="34" t="n"/>
    </row>
    <row r="16">
      <c r="A16" s="31" t="inlineStr">
        <is>
          <t>Yango Congo Brazzaville</t>
        </is>
      </c>
      <c r="B16" s="31" t="inlineStr">
        <is>
          <t>Congo (Brazzaville)</t>
        </is>
      </c>
      <c r="C16" s="32" t="inlineStr">
        <is>
          <t>Pointe-Noire Bay → Côte Sauvage</t>
        </is>
      </c>
      <c r="D16" s="33" t="n">
        <v>3</v>
      </c>
      <c r="E16" s="27" t="n">
        <v>18</v>
      </c>
      <c r="F16" s="34" t="inlineStr">
        <is>
          <t>T4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22000</v>
      </c>
      <c r="AI16" s="34" t="n"/>
      <c r="AJ16" s="34" t="inlineStr">
        <is>
          <t>low</t>
        </is>
      </c>
      <c r="AK16" s="41" t="n">
        <v>0.25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[LB-255 PREMIUM RE-FARE: subsidized comparable $6.0 lifted to premium on-demand floor $18.0] Modeled leisure fare for a short bay beach hop.</t>
        </is>
      </c>
      <c r="AZ16" s="46" t="n"/>
      <c r="BA16" s="34" t="n"/>
    </row>
    <row r="17">
      <c r="A17" s="31" t="inlineStr">
        <is>
          <t>Yango Congo Brazzaville</t>
        </is>
      </c>
      <c r="B17" s="31" t="inlineStr">
        <is>
          <t>Congo (Brazzaville)</t>
        </is>
      </c>
      <c r="C17" s="32" t="inlineStr">
        <is>
          <t>Pointe-Noire Bay → Pointe-Indienne</t>
        </is>
      </c>
      <c r="D17" s="33" t="n">
        <v>11</v>
      </c>
      <c r="E17" s="27" t="n">
        <v>10</v>
      </c>
      <c r="F17" s="34" t="inlineStr">
        <is>
          <t>T4</t>
        </is>
      </c>
      <c r="G17" s="34" t="inlineStr">
        <is>
          <t>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12000</v>
      </c>
      <c r="AI17" s="34" t="n"/>
      <c r="AJ17" s="34" t="inlineStr">
        <is>
          <t>low</t>
        </is>
      </c>
      <c r="AK17" s="41" t="n">
        <v>0.25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Modeled leisure fare for a coastal cape link.</t>
        </is>
      </c>
      <c r="AZ17" s="46" t="n"/>
      <c r="BA17" s="34" t="n"/>
    </row>
    <row r="18">
      <c r="A18" s="31" t="inlineStr">
        <is>
          <t>Yango Cote Divoire</t>
        </is>
      </c>
      <c r="B18" s="31" t="inlineStr">
        <is>
          <t>Côte d'Ivoire</t>
        </is>
      </c>
      <c r="C18" s="32" t="inlineStr">
        <is>
          <t>Plateau → Treichville</t>
        </is>
      </c>
      <c r="D18" s="33" t="n">
        <v>1.5</v>
      </c>
      <c r="E18" s="27" t="n">
        <v>18</v>
      </c>
      <c r="F18" s="34" t="inlineStr">
        <is>
          <t>T2</t>
        </is>
      </c>
      <c r="G18" s="34" t="inlineStr">
        <is>
          <t>med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Korea",FLOOR(60*korea_service_hr/K18,1),MIN(24,FLOOR(60*service_hr/K18,1)))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150600</v>
      </c>
      <c r="AI18" s="34" t="n"/>
      <c r="AJ18" s="34" t="inlineStr">
        <is>
          <t>med</t>
        </is>
      </c>
      <c r="AK18" s="41" t="n">
        <v>0.25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[LB-255 PREMIUM RE-FARE: subsidized comparable $0.87 lifted to premium on-demand floor $18.0] PREMIUM tier: STL/CITRANS VIP cabin 500 FCFA ~ $0.87. (Petit Fute lists STL Plateau&gt;Treichville 300 FCFA economy.)</t>
        </is>
      </c>
      <c r="AZ18" s="46" t="n"/>
      <c r="BA18" s="34" t="n"/>
    </row>
    <row r="19">
      <c r="A19" s="31" t="inlineStr">
        <is>
          <t>Yango Cote Divoire</t>
        </is>
      </c>
      <c r="B19" s="31" t="inlineStr">
        <is>
          <t>Côte d'Ivoire</t>
        </is>
      </c>
      <c r="C19" s="32" t="inlineStr">
        <is>
          <t>Abobo-Doume (Attecoube) → Plateau</t>
        </is>
      </c>
      <c r="D19" s="33" t="n">
        <v>1.5</v>
      </c>
      <c r="E19" s="27" t="n">
        <v>18</v>
      </c>
      <c r="F19" s="34" t="inlineStr">
        <is>
          <t>T2</t>
        </is>
      </c>
      <c r="G19" s="34" t="inlineStr">
        <is>
          <t>med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Korea",FLOOR(60*korea_service_hr/K19,1),MIN(24,FLOOR(60*service_hr/K19,1)))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150600</v>
      </c>
      <c r="AI19" s="34" t="n"/>
      <c r="AJ19" s="34" t="inlineStr">
        <is>
          <t>med</t>
        </is>
      </c>
      <c r="AK19" s="41" t="n">
        <v>0.25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[LB-255 PREMIUM RE-FARE: subsidized comparable $0.87 lifted to premium on-demand floor $18.0] PREMIUM tier: STL/CITRANS VIP cabin 500 FCFA ~ $0.87.</t>
        </is>
      </c>
      <c r="AZ19" s="46" t="n"/>
      <c r="BA19" s="34" t="n"/>
    </row>
    <row r="20">
      <c r="A20" s="31" t="inlineStr">
        <is>
          <t>Yango Cote Divoire</t>
        </is>
      </c>
      <c r="B20" s="31" t="inlineStr">
        <is>
          <t>Côte d'Ivoire</t>
        </is>
      </c>
      <c r="C20" s="32" t="inlineStr">
        <is>
          <t>Blockhauss (Cocody / Blokosso) → Plateau</t>
        </is>
      </c>
      <c r="D20" s="33" t="n">
        <v>1.8</v>
      </c>
      <c r="E20" s="27" t="n">
        <v>18</v>
      </c>
      <c r="F20" s="34" t="inlineStr">
        <is>
          <t>T2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Korea",FLOOR(60*korea_service_hr/K20,1),MIN(24,FLOOR(60*service_hr/K20,1)))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150600</v>
      </c>
      <c r="AI20" s="34" t="n"/>
      <c r="AJ20" s="34" t="inlineStr">
        <is>
          <t>med</t>
        </is>
      </c>
      <c r="AK20" s="41" t="n">
        <v>0.25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[LB-255 PREMIUM RE-FARE: subsidized comparable $0.87 lifted to premium on-demand floor $18.0] PREMIUM tier: STL/CITRANS VIP cabin 500 FCFA ~ $0.87 (SOTRA standard now ~500 FCFA in 2026).</t>
        </is>
      </c>
      <c r="AZ20" s="46" t="n"/>
      <c r="BA20" s="34" t="n"/>
    </row>
    <row r="21">
      <c r="A21" s="31" t="inlineStr">
        <is>
          <t>Yango Cote Divoire</t>
        </is>
      </c>
      <c r="B21" s="31" t="inlineStr">
        <is>
          <t>Côte d'Ivoire</t>
        </is>
      </c>
      <c r="C21" s="32" t="inlineStr">
        <is>
          <t>Abobo-Doume (Attecoube) → Treichville</t>
        </is>
      </c>
      <c r="D21" s="33" t="n">
        <v>2</v>
      </c>
      <c r="E21" s="27" t="n">
        <v>18</v>
      </c>
      <c r="F21" s="34" t="inlineStr">
        <is>
          <t>T2</t>
        </is>
      </c>
      <c r="G21" s="34" t="inlineStr">
        <is>
          <t>med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Korea",FLOOR(60*korea_service_hr/K21,1),MIN(24,FLOOR(60*service_hr/K21,1)))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150600</v>
      </c>
      <c r="AI21" s="34" t="n"/>
      <c r="AJ21" s="34" t="inlineStr">
        <is>
          <t>med</t>
        </is>
      </c>
      <c r="AK21" s="41" t="n">
        <v>0.25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[LB-255 PREMIUM RE-FARE: subsidized comparable $0.87 lifted to premium on-demand floor $18.0] PREMIUM tier: STL/CITRANS VIP cabin 500 FCFA ~ $0.87.</t>
        </is>
      </c>
      <c r="AZ21" s="46" t="n"/>
      <c r="BA21" s="34" t="n"/>
    </row>
    <row r="22">
      <c r="A22" s="31" t="inlineStr">
        <is>
          <t>Yango Cote Divoire</t>
        </is>
      </c>
      <c r="B22" s="31" t="inlineStr">
        <is>
          <t>Côte d'Ivoire</t>
        </is>
      </c>
      <c r="C22" s="32" t="inlineStr">
        <is>
          <t>Plateau → Cocody (Riviera)</t>
        </is>
      </c>
      <c r="D22" s="33" t="n">
        <v>3</v>
      </c>
      <c r="E22" s="27" t="n">
        <v>18</v>
      </c>
      <c r="F22" s="34" t="inlineStr">
        <is>
          <t>T2</t>
        </is>
      </c>
      <c r="G22" s="34" t="inlineStr">
        <is>
          <t>med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Korea",FLOOR(60*korea_service_hr/K22,1),MIN(24,FLOOR(60*service_hr/K22,1)))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225900</v>
      </c>
      <c r="AI22" s="34" t="n"/>
      <c r="AJ22" s="34" t="inlineStr">
        <is>
          <t>med</t>
        </is>
      </c>
      <c r="AK22" s="41" t="n">
        <v>0.25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[LB-255 PREMIUM RE-FARE: subsidized comparable $0.87 lifted to premium on-demand floor $18.0] PREMIUM tier: STL/CITRANS air-conditioned VIP cabin (Wifi) 500 FCFA ~ $0.87.</t>
        </is>
      </c>
      <c r="AZ22" s="46" t="n"/>
      <c r="BA22" s="34" t="n"/>
    </row>
    <row r="23">
      <c r="A23" s="31" t="inlineStr">
        <is>
          <t>Yango Cote Divoire</t>
        </is>
      </c>
      <c r="B23" s="31" t="inlineStr">
        <is>
          <t>Côte d'Ivoire</t>
        </is>
      </c>
      <c r="C23" s="32" t="inlineStr">
        <is>
          <t>Marcory → Koumassi</t>
        </is>
      </c>
      <c r="D23" s="33" t="n">
        <v>3</v>
      </c>
      <c r="E23" s="27" t="n"/>
      <c r="F23" s="34" t="n"/>
      <c r="G23" s="34" t="n"/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Korea",FLOOR(60*korea_service_hr/K23,1),MIN(24,FLOOR(60*service_hr/K23,1)))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/>
      <c r="AI23" s="34" t="n"/>
      <c r="AJ23" s="34" t="n"/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Estimated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n"/>
      <c r="AZ23" s="46" t="n"/>
      <c r="BA23" s="34" t="n"/>
    </row>
    <row r="24">
      <c r="A24" s="31" t="inlineStr">
        <is>
          <t>Yango Cote Divoire</t>
        </is>
      </c>
      <c r="B24" s="31" t="inlineStr">
        <is>
          <t>Côte d'Ivoire</t>
        </is>
      </c>
      <c r="C24" s="32" t="inlineStr">
        <is>
          <t>Treichville → Koumassi</t>
        </is>
      </c>
      <c r="D24" s="33" t="n">
        <v>3.5</v>
      </c>
      <c r="E24" s="27" t="n">
        <v>18</v>
      </c>
      <c r="F24" s="34" t="inlineStr">
        <is>
          <t>T2</t>
        </is>
      </c>
      <c r="G24" s="34" t="inlineStr">
        <is>
          <t>med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Korea",FLOOR(60*korea_service_hr/K24,1),MIN(24,FLOOR(60*service_hr/K24,1)))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225900</v>
      </c>
      <c r="AI24" s="34" t="n"/>
      <c r="AJ24" s="34" t="inlineStr">
        <is>
          <t>med</t>
        </is>
      </c>
      <c r="AK24" s="41" t="n">
        <v>0.25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[LB-255 PREMIUM RE-FARE: subsidized comparable $1.22 lifted to premium on-demand floor $18.0] PREMIUM tier: STL long-trip/VIP 700 FCFA ~ $1.22 (32-35 min is a long route; STL/Aqualines list M'Pouto/Koumassi 700 FCFA).</t>
        </is>
      </c>
      <c r="AZ24" s="46" t="n"/>
      <c r="BA24" s="34" t="n"/>
    </row>
    <row r="25">
      <c r="A25" s="31" t="inlineStr">
        <is>
          <t>Yango Cote Divoire</t>
        </is>
      </c>
      <c r="B25" s="31" t="inlineStr">
        <is>
          <t>Côte d'Ivoire</t>
        </is>
      </c>
      <c r="C25" s="32" t="inlineStr">
        <is>
          <t>M'Pouto (Cocody) → Koumassi</t>
        </is>
      </c>
      <c r="D25" s="33" t="n">
        <v>3.5</v>
      </c>
      <c r="E25" s="27" t="n">
        <v>18</v>
      </c>
      <c r="F25" s="34" t="inlineStr">
        <is>
          <t>T2</t>
        </is>
      </c>
      <c r="G25" s="34" t="inlineStr">
        <is>
          <t>med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Korea",FLOOR(60*korea_service_hr/K25,1),MIN(24,FLOOR(60*service_hr/K25,1)))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225900</v>
      </c>
      <c r="AI25" s="34" t="n"/>
      <c r="AJ25" s="34" t="inlineStr">
        <is>
          <t>med</t>
        </is>
      </c>
      <c r="AK25" s="41" t="n">
        <v>0.25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[LB-255 PREMIUM RE-FARE: subsidized comparable $1.22 lifted to premium on-demand floor $18.0] PREMIUM tier: STL/Aqualines M'Pouto-Koumassi 700 FCFA ~ $1.22.</t>
        </is>
      </c>
      <c r="AZ25" s="46" t="n"/>
      <c r="BA25" s="34" t="n"/>
    </row>
    <row r="26">
      <c r="A26" s="31" t="inlineStr">
        <is>
          <t>Yango Cote Divoire</t>
        </is>
      </c>
      <c r="B26" s="31" t="inlineStr">
        <is>
          <t>Côte d'Ivoire</t>
        </is>
      </c>
      <c r="C26" s="32" t="inlineStr">
        <is>
          <t>Plateau → Yopougon</t>
        </is>
      </c>
      <c r="D26" s="33" t="n">
        <v>5</v>
      </c>
      <c r="E26" s="27" t="n">
        <v>18</v>
      </c>
      <c r="F26" s="34" t="inlineStr">
        <is>
          <t>T2</t>
        </is>
      </c>
      <c r="G26" s="34" t="inlineStr">
        <is>
          <t>med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Korea",FLOOR(60*korea_service_hr/K26,1),MIN(24,FLOOR(60*service_hr/K26,1)))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225900</v>
      </c>
      <c r="AI26" s="34" t="n"/>
      <c r="AJ26" s="34" t="inlineStr">
        <is>
          <t>med</t>
        </is>
      </c>
      <c r="AK26" s="41" t="n">
        <v>0.25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[LB-255 PREMIUM RE-FARE: subsidized comparable $1.22 lifted to premium on-demand floor $18.0] PREMIUM tier: STL long-trip / VIP Plateau-Yopougon Azito 700 FCFA ~ $1.22.</t>
        </is>
      </c>
      <c r="AZ26" s="46" t="n"/>
      <c r="BA26" s="34" t="n"/>
    </row>
    <row r="27">
      <c r="A27" s="31" t="inlineStr">
        <is>
          <t>Yango Cote Divoire</t>
        </is>
      </c>
      <c r="B27" s="31" t="inlineStr">
        <is>
          <t>Côte d'Ivoire</t>
        </is>
      </c>
      <c r="C27" s="32" t="inlineStr">
        <is>
          <t>Plateau → Port-Bouet (Aeroport)</t>
        </is>
      </c>
      <c r="D27" s="33" t="n">
        <v>6</v>
      </c>
      <c r="E27" s="27" t="n">
        <v>8.699999999999999</v>
      </c>
      <c r="F27" s="34" t="inlineStr">
        <is>
          <t>T2</t>
        </is>
      </c>
      <c r="G27" s="34" t="inlineStr">
        <is>
          <t>med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/>
      <c r="AI27" s="34" t="n"/>
      <c r="AJ27" s="34" t="n"/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PREMIUM tier (airport transfer): no scheduled boat fare; nearest premium comparable = navette de luxe per-seat 5,000 FCFA ~ $8.7. (Yango/Uber road airport ride 2,000-8,000 FCFA ~ $3.5-$14.)</t>
        </is>
      </c>
      <c r="AZ27" s="46" t="n"/>
      <c r="BA27" s="34" t="n"/>
    </row>
    <row r="28">
      <c r="A28" s="31" t="inlineStr">
        <is>
          <t>Yango Cote Divoire</t>
        </is>
      </c>
      <c r="B28" s="31" t="inlineStr">
        <is>
          <t>Côte d'Ivoire</t>
        </is>
      </c>
      <c r="C28" s="32" t="inlineStr">
        <is>
          <t>Plateau → Abatta (Bingerville)</t>
        </is>
      </c>
      <c r="D28" s="33" t="n">
        <v>9</v>
      </c>
      <c r="E28" s="27" t="n">
        <v>18</v>
      </c>
      <c r="F28" s="34" t="inlineStr">
        <is>
          <t>T2</t>
        </is>
      </c>
      <c r="G28" s="34" t="inlineStr">
        <is>
          <t>med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Korea",FLOOR(60*korea_service_hr/K28,1),MIN(24,FLOOR(60*service_hr/K28,1)))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/>
      <c r="AI28" s="34" t="n"/>
      <c r="AJ28" s="34" t="n"/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Estimated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[LB-255 PREMIUM RE-FARE: subsidized comparable $0.87 lifted to premium on-demand floor $18.0] PREMIUM tier: CITRANS/STL VIP cabin 500 FCFA ~ $0.87 (when scheduled); Aqualines Abatta-Bingerville shuttle 200 FCFA economy.</t>
        </is>
      </c>
      <c r="AZ28" s="46" t="n"/>
      <c r="BA28" s="34" t="n"/>
    </row>
    <row r="29">
      <c r="A29" s="31" t="inlineStr">
        <is>
          <t>Yango Cote Divoire</t>
        </is>
      </c>
      <c r="B29" s="31" t="inlineStr">
        <is>
          <t>Côte d'Ivoire</t>
        </is>
      </c>
      <c r="C29" s="32" t="inlineStr">
        <is>
          <t>Songon → Plateau</t>
        </is>
      </c>
      <c r="D29" s="33" t="n">
        <v>12</v>
      </c>
      <c r="E29" s="27" t="n">
        <v>18</v>
      </c>
      <c r="F29" s="34" t="inlineStr">
        <is>
          <t>T2</t>
        </is>
      </c>
      <c r="G29" s="34" t="inlineStr">
        <is>
          <t>med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/>
      <c r="AI29" s="34" t="n"/>
      <c r="AJ29" s="34" t="n"/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Estimated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[LB-255 PREMIUM RE-FARE: subsidized comparable $1.22 lifted to premium on-demand floor $18.0] PREMIUM tier (prospective): STL long-trip/VIP 700 FCFA ~ $1.22 by analogy to the comparable-length Plateau-Yopougon route, if/when operated.</t>
        </is>
      </c>
      <c r="AZ29" s="46" t="n"/>
      <c r="BA29" s="34" t="n"/>
    </row>
    <row r="30">
      <c r="A30" s="31" t="inlineStr">
        <is>
          <t>Yango Cote Divoire</t>
        </is>
      </c>
      <c r="B30" s="31" t="inlineStr">
        <is>
          <t>Côte d'Ivoire</t>
        </is>
      </c>
      <c r="C30" s="32" t="inlineStr">
        <is>
          <t>Abidjan → Grand-Bassam</t>
        </is>
      </c>
      <c r="D30" s="33" t="n">
        <v>18</v>
      </c>
      <c r="E30" s="27" t="n">
        <v>52</v>
      </c>
      <c r="F30" s="34" t="inlineStr">
        <is>
          <t>T2</t>
        </is>
      </c>
      <c r="G30" s="34" t="inlineStr">
        <is>
          <t>med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Korea",FLOOR(60*korea_service_hr/K30,1),MIN(24,FLOOR(60*service_hr/K30,1)))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/>
      <c r="AI30" s="34" t="n"/>
      <c r="AJ30" s="34" t="n"/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Estimated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PREMIUM leisure/charter tier: STL/Aqualines lagoon cruise charter 25,000-40,000 FCFA/seat ~ $43-$70; midpoint ~$52 (re-derived at 575 FCFA/USD; was $50 at 600).</t>
        </is>
      </c>
      <c r="AZ30" s="46" t="n"/>
      <c r="BA30" s="34" t="n"/>
    </row>
    <row r="31">
      <c r="A31" s="31" t="inlineStr">
        <is>
          <t>Yango Cote Divoire</t>
        </is>
      </c>
      <c r="B31" s="31" t="inlineStr">
        <is>
          <t>Côte d'Ivoire</t>
        </is>
      </c>
      <c r="C31" s="32" t="inlineStr">
        <is>
          <t>Abidjan → Jacqueville</t>
        </is>
      </c>
      <c r="D31" s="33" t="n">
        <v>22</v>
      </c>
      <c r="E31" s="27" t="n">
        <v>8.699999999999999</v>
      </c>
      <c r="F31" s="34" t="inlineStr">
        <is>
          <t>T2</t>
        </is>
      </c>
      <c r="G31" s="34" t="inlineStr">
        <is>
          <t>med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Korea",FLOOR(60*korea_service_hr/K31,1),MIN(24,FLOOR(60*service_hr/K31,1)))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/>
      <c r="AI31" s="34" t="n"/>
      <c r="AJ31" s="34" t="n"/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Estimated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PREMIUM leisure tier: divided 'navette de luxe / balade VIP' per-seat 5,000 FCFA ~ $8.7 (CITRANS Aqualines VIP balade); cruise-charter range $43-$70 not corridor-specific.</t>
        </is>
      </c>
      <c r="AZ31" s="46" t="n"/>
      <c r="BA31" s="34" t="n"/>
    </row>
    <row r="32">
      <c r="A32" s="31" t="inlineStr">
        <is>
          <t>Yango Egypt</t>
        </is>
      </c>
      <c r="B32" s="31" t="inlineStr">
        <is>
          <t>Egypt</t>
        </is>
      </c>
      <c r="C32" s="32" t="inlineStr">
        <is>
          <t>El Gouna (internal lagoon) → El Gouna Downtown / Abu Tig</t>
        </is>
      </c>
      <c r="D32" s="33" t="n">
        <v>2</v>
      </c>
      <c r="E32" s="27" t="n">
        <v>18</v>
      </c>
      <c r="F32" s="34" t="inlineStr">
        <is>
          <t>T2</t>
        </is>
      </c>
      <c r="G32" s="34" t="inlineStr">
        <is>
          <t>med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/>
      <c r="AI32" s="34" t="n"/>
      <c r="AJ32" s="34" t="n"/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Estimated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[LB-255 PREMIUM RE-FARE: subsidized comparable $5.0 lifted to premium on-demand floor $18.0] PREMIUM-floor internal water-taxi tier: El Gouna lagoon boat-taxi short hop ~150-250 EGP (~$3-5). Internal-resort micro-corridor; below the open-sea premium tier.</t>
        </is>
      </c>
      <c r="AZ32" s="46" t="n"/>
      <c r="BA32" s="34" t="n"/>
    </row>
    <row r="33">
      <c r="A33" s="31" t="inlineStr">
        <is>
          <t>Yango Egypt</t>
        </is>
      </c>
      <c r="B33" s="31" t="inlineStr">
        <is>
          <t>Egypt</t>
        </is>
      </c>
      <c r="C33" s="32" t="inlineStr">
        <is>
          <t>Cairo - Maadi → Cairo - Zamalek / Downtown</t>
        </is>
      </c>
      <c r="D33" s="33" t="n">
        <v>6</v>
      </c>
      <c r="E33" s="27" t="n">
        <v>18</v>
      </c>
      <c r="F33" s="34" t="inlineStr">
        <is>
          <t>T2</t>
        </is>
      </c>
      <c r="G33" s="34" t="inlineStr">
        <is>
          <t>med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Korea",FLOOR(60*korea_service_hr/K33,1),MIN(24,FLOOR(60*service_hr/K33,1)))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/>
      <c r="AI33" s="34" t="n"/>
      <c r="AJ33" s="34" t="n"/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Estimated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[LB-255 PREMIUM RE-FARE: subsidized comparable $5.1 lifted to premium on-demand floor $18.0] PREMIUM tier = Nile Taxi premium speedboat seat ~250 EGP (~$5.1); range 100-300 EGP/pax (Memphis Tours; US News ~200 EGP ~$4/pax). Private hire ~$110 charter recorded as charter context only.</t>
        </is>
      </c>
      <c r="AZ33" s="46" t="n"/>
      <c r="BA33" s="34" t="n"/>
    </row>
    <row r="34">
      <c r="A34" s="31" t="inlineStr">
        <is>
          <t>Yango Egypt</t>
        </is>
      </c>
      <c r="B34" s="31" t="inlineStr">
        <is>
          <t>Egypt</t>
        </is>
      </c>
      <c r="C34" s="32" t="inlineStr">
        <is>
          <t>Hurghada → Giftun Island (Orange Bay / Mahmya)</t>
        </is>
      </c>
      <c r="D34" s="33" t="n">
        <v>9</v>
      </c>
      <c r="E34" s="27" t="n">
        <v>32</v>
      </c>
      <c r="F34" s="34" t="inlineStr">
        <is>
          <t>T2</t>
        </is>
      </c>
      <c r="G34" s="34" t="inlineStr">
        <is>
          <t>med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1204586</v>
      </c>
      <c r="AI34" s="34" t="n"/>
      <c r="AJ34" s="34" t="n"/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PREMIUM tier = scheduled island day-trip per-seat EUR ~30 (~$32); shared/regular boat day-trips run EUR 15-30/pax (egyptra from EUR 15; GetYourGuide/Marriott activities). Speedboat upgrade priced higher; private Mahmya from $99 recorded as charter context only.</t>
        </is>
      </c>
      <c r="AZ34" s="46" t="n"/>
      <c r="BA34" s="34" t="n"/>
    </row>
    <row r="35">
      <c r="A35" s="31" t="inlineStr">
        <is>
          <t>Yango Egypt</t>
        </is>
      </c>
      <c r="B35" s="31" t="inlineStr">
        <is>
          <t>Egypt</t>
        </is>
      </c>
      <c r="C35" s="32" t="inlineStr">
        <is>
          <t>Hurghada → Sahl Hasheesh</t>
        </is>
      </c>
      <c r="D35" s="33" t="n">
        <v>10</v>
      </c>
      <c r="E35" s="27" t="n">
        <v>40.8</v>
      </c>
      <c r="F35" s="34" t="inlineStr">
        <is>
          <t>T2</t>
        </is>
      </c>
      <c r="G35" s="34" t="inlineStr">
        <is>
          <t>med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PREMIUM tier proxy = Dubai RTA convention $40.8/seat (same premium resort-transfer tier as El Gouna). No Egypt-native scheduled water-taxi fare on this leg published.</t>
        </is>
      </c>
      <c r="AZ35" s="46" t="n"/>
      <c r="BA35" s="34" t="n"/>
    </row>
    <row r="36">
      <c r="A36" s="31" t="inlineStr">
        <is>
          <t>Yango Egypt</t>
        </is>
      </c>
      <c r="B36" s="31" t="inlineStr">
        <is>
          <t>Egypt</t>
        </is>
      </c>
      <c r="C36" s="32" t="inlineStr">
        <is>
          <t>Greater Cairo - Maspero (Downtown) → Greater Cairo - Warraq / El Qanater</t>
        </is>
      </c>
      <c r="D36" s="33" t="n">
        <v>13</v>
      </c>
      <c r="E36" s="27" t="n">
        <v>18</v>
      </c>
      <c r="F36" s="34" t="inlineStr">
        <is>
          <t>T2</t>
        </is>
      </c>
      <c r="G36" s="34" t="inlineStr">
        <is>
          <t>med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Korea",FLOOR(60*korea_service_hr/K36,1),MIN(24,FLOOR(60*service_hr/K36,1)))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[LB-255 PREMIUM RE-FARE: subsidized comparable $0.2 lifted to premium on-demand floor $18.0] Public river-bus fare ~5-10 EGP (~$0.10-0.20) - the COMMUTER FLOOR, not a premium tier. Recorded as ladder context; Navier would model a premium speedboat tier on this O-D closer to the Nile Taxi ~$5 level if served.</t>
        </is>
      </c>
      <c r="AZ36" s="46" t="n"/>
      <c r="BA36" s="34" t="n"/>
    </row>
    <row r="37">
      <c r="A37" s="31" t="inlineStr">
        <is>
          <t>Yango Egypt</t>
        </is>
      </c>
      <c r="B37" s="31" t="inlineStr">
        <is>
          <t>Egypt</t>
        </is>
      </c>
      <c r="C37" s="32" t="inlineStr">
        <is>
          <t>Hurghada → El Gouna</t>
        </is>
      </c>
      <c r="D37" s="33" t="n">
        <v>14</v>
      </c>
      <c r="E37" s="27" t="n">
        <v>40.8</v>
      </c>
      <c r="F37" s="34" t="inlineStr">
        <is>
          <t>T2</t>
        </is>
      </c>
      <c r="G37" s="34" t="inlineStr">
        <is>
          <t>med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10402</v>
      </c>
      <c r="AI37" s="34" t="n"/>
      <c r="AJ37" s="34" t="n"/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Upside tier</t>
        </is>
      </c>
      <c r="AS37" s="43" t="n"/>
      <c r="AT37" s="43" t="inlineStr">
        <is>
          <t>modal_shift_greenfield</t>
        </is>
      </c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Kept from prior registry = Dubai RTA premium water-taxi convention $40.8/seat (placeholder premium tier; no Egypt-native scheduled Hurghada&lt;-&gt;El Gouna water-taxi fare published - current link is private transfer/taxi by road). FLAG: convention placeholder, not an Egypt-sourced marine fare.</t>
        </is>
      </c>
      <c r="AZ37" s="46" t="n"/>
      <c r="BA37" s="34" t="inlineStr">
        <is>
          <t>gcn-6f2754b63b-yango</t>
        </is>
      </c>
    </row>
    <row r="38">
      <c r="A38" s="31" t="inlineStr">
        <is>
          <t>Yango Egypt</t>
        </is>
      </c>
      <c r="B38" s="31" t="inlineStr">
        <is>
          <t>Egypt</t>
        </is>
      </c>
      <c r="C38" s="32" t="inlineStr">
        <is>
          <t>Sharm El Sheikh → Ras Mohammed / Tiran reefs</t>
        </is>
      </c>
      <c r="D38" s="33" t="n">
        <v>16</v>
      </c>
      <c r="E38" s="27" t="n">
        <v>50</v>
      </c>
      <c r="F38" s="34" t="inlineStr">
        <is>
          <t>T2</t>
        </is>
      </c>
      <c r="G38" s="34" t="inlineStr">
        <is>
          <t>med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50000</v>
      </c>
      <c r="AI38" s="34" t="n"/>
      <c r="AJ38" s="34" t="n"/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Estimated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PREMIUM tier = VIP/premium Ras Mohammed + White Island boat sea-trip ~$52/adult (Tripadvisor VIP boat); standard scheduled boat day-trips from EUR 24 (~$26). Modeled premium tier ~$50.</t>
        </is>
      </c>
      <c r="AZ38" s="46" t="n"/>
      <c r="BA38" s="34" t="n"/>
    </row>
    <row r="39">
      <c r="A39" s="31" t="inlineStr">
        <is>
          <t>Yango Egypt</t>
        </is>
      </c>
      <c r="B39" s="31" t="inlineStr">
        <is>
          <t>Egypt</t>
        </is>
      </c>
      <c r="C39" s="32" t="inlineStr">
        <is>
          <t>Hurghada → Soma Bay</t>
        </is>
      </c>
      <c r="D39" s="33" t="n">
        <v>25</v>
      </c>
      <c r="E39" s="27" t="n">
        <v>40.8</v>
      </c>
      <c r="F39" s="34" t="inlineStr">
        <is>
          <t>T2</t>
        </is>
      </c>
      <c r="G39" s="34" t="inlineStr">
        <is>
          <t>med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6935</v>
      </c>
      <c r="AI39" s="34" t="n"/>
      <c r="AJ39" s="34" t="n"/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Estimated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PREMIUM tier proxy = Dubai RTA convention $40.8/seat (premium resort-transfer tier). No scheduled Egypt-native marine fare on this leg.</t>
        </is>
      </c>
      <c r="AZ39" s="46" t="n"/>
      <c r="BA39" s="34" t="n"/>
    </row>
    <row r="40">
      <c r="A40" s="31" t="inlineStr">
        <is>
          <t>Yango Egypt</t>
        </is>
      </c>
      <c r="B40" s="31" t="inlineStr">
        <is>
          <t>Egypt</t>
        </is>
      </c>
      <c r="C40" s="32" t="inlineStr">
        <is>
          <t>Sharm El Sheikh → Dahab</t>
        </is>
      </c>
      <c r="D40" s="33" t="n">
        <v>28</v>
      </c>
      <c r="E40" s="27" t="n">
        <v>15</v>
      </c>
      <c r="F40" s="34" t="inlineStr">
        <is>
          <t>T2</t>
        </is>
      </c>
      <c r="G40" s="34" t="inlineStr">
        <is>
          <t>med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Korea",FLOOR(60*korea_service_hr/K40,1),MIN(24,FLOOR(60*service_hr/K40,1)))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/>
      <c r="AI40" s="34" t="n"/>
      <c r="AJ40" s="34" t="n"/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Estimated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PREMIUM tier (road analogue) = private transfer Sharm&lt;-&gt;Dahab ~1400-1500 EGP/car (~$29-31) divided ~4 pax (~$7.5/seat) up to premium per-seat ~$15; no scheduled marine fare exists.</t>
        </is>
      </c>
      <c r="AZ40" s="46" t="n"/>
      <c r="BA40" s="34" t="n"/>
    </row>
    <row r="41">
      <c r="A41" s="31" t="inlineStr">
        <is>
          <t>Yango Egypt</t>
        </is>
      </c>
      <c r="B41" s="31" t="inlineStr">
        <is>
          <t>Egypt</t>
        </is>
      </c>
      <c r="C41" s="32" t="inlineStr">
        <is>
          <t>Hurghada / El Gouna → Sharm El Sheikh</t>
        </is>
      </c>
      <c r="D41" s="33" t="n">
        <v>49.8</v>
      </c>
      <c r="E41" s="27" t="n">
        <v>110</v>
      </c>
      <c r="F41" s="34" t="inlineStr">
        <is>
          <t>T2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/>
      <c r="AI41" s="34" t="inlineStr">
        <is>
          <t>T5</t>
        </is>
      </c>
      <c r="AJ41" s="34" t="inlineStr">
        <is>
          <t>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Upside tier</t>
        </is>
      </c>
      <c r="AS41" s="43" t="n"/>
      <c r="AT41" s="43" t="inlineStr">
        <is>
          <t>modal_shift_greenfield</t>
        </is>
      </c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Kept from prior registry = $110/seat (historic fast-ferry premium fare level / cross-gulf premium tier). FLAG: legacy/aspirational - no active service.</t>
        </is>
      </c>
      <c r="AZ41" s="46" t="inlineStr">
        <is>
          <t>tourism</t>
        </is>
      </c>
      <c r="BA41" s="34" t="inlineStr">
        <is>
          <t>gcn-73d7e2f19c-bolt</t>
        </is>
      </c>
    </row>
    <row r="42">
      <c r="A42" s="31" t="inlineStr">
        <is>
          <t>Yango Caspian Kz</t>
        </is>
      </c>
      <c r="B42" s="31" t="inlineStr">
        <is>
          <t>Kazakhstan</t>
        </is>
      </c>
      <c r="C42" s="32" t="inlineStr">
        <is>
          <t>Aktau Port → Kuryk</t>
        </is>
      </c>
      <c r="D42" s="33" t="n">
        <v>35</v>
      </c>
      <c r="E42" s="27" t="n"/>
      <c r="F42" s="34" t="inlineStr">
        <is>
          <t>T5</t>
        </is>
      </c>
      <c r="G42" s="34" t="inlineStr">
        <is>
          <t>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/>
      <c r="AI42" s="34" t="inlineStr">
        <is>
          <t>T5</t>
        </is>
      </c>
      <c r="AJ42" s="34" t="inlineStr">
        <is>
          <t>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Estimated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TBD — Tier-B headline placeholder</t>
        </is>
      </c>
      <c r="AZ42" s="46" t="inlineStr">
        <is>
          <t>TBD — Tier-B headline placeholder</t>
        </is>
      </c>
      <c r="BA42" s="34" t="inlineStr">
        <is>
          <t>rn-84e9fb31da5c</t>
        </is>
      </c>
    </row>
    <row r="43">
      <c r="A43" s="31" t="inlineStr">
        <is>
          <t>Yango Caspian Kz</t>
        </is>
      </c>
      <c r="B43" s="31" t="inlineStr">
        <is>
          <t>Kazakhstan</t>
        </is>
      </c>
      <c r="C43" s="32" t="inlineStr">
        <is>
          <t>Aktau (Aktau Sea Port / city seafront) → Bautino / Fort-Shevchenko (Tupkaragan peninsula)</t>
        </is>
      </c>
      <c r="D43" s="33" t="n">
        <v>55</v>
      </c>
      <c r="E43" s="27" t="n">
        <v>50</v>
      </c>
      <c r="F43" s="34" t="inlineStr">
        <is>
          <t>T2</t>
        </is>
      </c>
      <c r="G43" s="34" t="inlineStr">
        <is>
          <t>med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Korea",FLOOR(60*korea_service_hr/K43,1),MIN(24,FLOOR(60*service_hr/K43,1)))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/>
      <c r="AI43" s="34" t="n"/>
      <c r="AJ43" s="34" t="n"/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Estimated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PREMIUM tier proxy: Aktau private Caspian yacht cruise ~$50/seat (GetYourGuide $250/group up to 5) — same in-market premium marine comparable as the Kenderli corridor; no scheduled fast craft to Bautino exists today.</t>
        </is>
      </c>
      <c r="AZ43" s="46" t="n"/>
      <c r="BA43" s="34" t="n"/>
    </row>
    <row r="44">
      <c r="A44" s="31" t="inlineStr">
        <is>
          <t>Yango Caspian Kz</t>
        </is>
      </c>
      <c r="B44" s="31" t="inlineStr">
        <is>
          <t>Kazakhstan</t>
        </is>
      </c>
      <c r="C44" s="32" t="inlineStr">
        <is>
          <t>Aktau (Aktau Sea Port / city seafront) → Kenderli (Kenderli Bay resort zone)</t>
        </is>
      </c>
      <c r="D44" s="33" t="n">
        <v>65</v>
      </c>
      <c r="E44" s="27" t="n">
        <v>50</v>
      </c>
      <c r="F44" s="34" t="inlineStr">
        <is>
          <t>T2</t>
        </is>
      </c>
      <c r="G44" s="34" t="inlineStr">
        <is>
          <t>med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n"/>
      <c r="AJ44" s="34" t="n"/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PREMIUM tier: private Caspian Sea yacht cruise out of Aktau ~$50/seat (GetYourGuide 'Aktau Caspian Sea Yacht Cruise' $250 per group up to 5). Nearest in-market premium per-seat marine comparable; no scheduled fast craft to Kenderli exists today.</t>
        </is>
      </c>
      <c r="AZ44" s="46" t="n"/>
      <c r="BA44" s="34" t="inlineStr">
        <is>
          <t>rn-04c7dc2ee73a</t>
        </is>
      </c>
    </row>
    <row r="45">
      <c r="A45" s="31" t="inlineStr">
        <is>
          <t>Yango Morocco</t>
        </is>
      </c>
      <c r="B45" s="31" t="inlineStr">
        <is>
          <t>Morocco</t>
        </is>
      </c>
      <c r="C45" s="32" t="inlineStr">
        <is>
          <t>Rabat → Sale</t>
        </is>
      </c>
      <c r="D45" s="33" t="n">
        <v>0.5</v>
      </c>
      <c r="E45" s="27" t="n"/>
      <c r="F45" s="34" t="n"/>
      <c r="G45" s="34" t="n"/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Korea",FLOOR(60*korea_service_hr/K45,1),MIN(24,FLOOR(60*service_hr/K45,1)))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n"/>
    </row>
    <row r="46">
      <c r="A46" s="31" t="inlineStr">
        <is>
          <t>Yango Morocco</t>
        </is>
      </c>
      <c r="B46" s="31" t="inlineStr">
        <is>
          <t>Morocco</t>
        </is>
      </c>
      <c r="C46" s="32" t="inlineStr">
        <is>
          <t>Rabat → Sale</t>
        </is>
      </c>
      <c r="D46" s="33" t="n">
        <v>0.5</v>
      </c>
      <c r="E46" s="27" t="n"/>
      <c r="F46" s="34" t="n"/>
      <c r="G46" s="34" t="n"/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/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Estimated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n"/>
    </row>
    <row r="47">
      <c r="A47" s="31" t="inlineStr">
        <is>
          <t>Yango Morocco</t>
        </is>
      </c>
      <c r="B47" s="31" t="inlineStr">
        <is>
          <t>Morocco</t>
        </is>
      </c>
      <c r="C47" s="32" t="inlineStr">
        <is>
          <t>Tangier Marina Bay → Tarifa (cross-strait excluded)</t>
        </is>
      </c>
      <c r="D47" s="33" t="n">
        <v>8</v>
      </c>
      <c r="E47" s="27" t="n">
        <v>43.5</v>
      </c>
      <c r="F47" s="34" t="inlineStr">
        <is>
          <t>T2</t>
        </is>
      </c>
      <c r="G47" s="34" t="inlineStr">
        <is>
          <t>med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>
        <v>760778</v>
      </c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Grounded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inlineStr">
        <is>
          <t>PREMIUM tier: standard adult FOOT-PASSENGER one-way fast-ferry fare Tarifa&lt;-&gt;Tangier Ville ~EUR 40.25 (traveller-reported foot fare) x 1.08 = ~$43.5; DirectFerries lists 'from $46'. THIS is the Navier-modeled per-seat tier.</t>
        </is>
      </c>
      <c r="AZ47" s="46" t="n"/>
      <c r="BA47" s="34" t="n"/>
    </row>
    <row r="48">
      <c r="A48" s="31" t="inlineStr">
        <is>
          <t>Yango Morocco</t>
        </is>
      </c>
      <c r="B48" s="31" t="inlineStr">
        <is>
          <t>Morocco</t>
        </is>
      </c>
      <c r="C48" s="32" t="inlineStr">
        <is>
          <t>Agadir Marina → Taghazout</t>
        </is>
      </c>
      <c r="D48" s="33" t="n">
        <v>9</v>
      </c>
      <c r="E48" s="27" t="n"/>
      <c r="F48" s="34" t="n"/>
      <c r="G48" s="34" t="n"/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77500</v>
      </c>
      <c r="AI48" s="34" t="n"/>
      <c r="AJ48" s="34" t="n"/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Estimated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n"/>
      <c r="AZ48" s="46" t="n"/>
      <c r="BA48" s="34" t="inlineStr">
        <is>
          <t>e__agadir-essaouira-morocco__agadir__agadir-essaouira-morocco__taghazout</t>
        </is>
      </c>
    </row>
    <row r="49">
      <c r="A49" s="31" t="inlineStr">
        <is>
          <t>Yango Morocco</t>
        </is>
      </c>
      <c r="B49" s="31" t="inlineStr">
        <is>
          <t>Morocco</t>
        </is>
      </c>
      <c r="C49" s="32" t="inlineStr">
        <is>
          <t>Casablanca → Mohammedia</t>
        </is>
      </c>
      <c r="D49" s="33" t="n">
        <v>13</v>
      </c>
      <c r="E49" s="27" t="n"/>
      <c r="F49" s="34" t="n"/>
      <c r="G49" s="34" t="n"/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Korea",FLOOR(60*korea_service_hr/K49,1),MIN(24,FLOOR(60*service_hr/K49,1)))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/>
      <c r="AI49" s="34" t="n"/>
      <c r="AJ49" s="34" t="n"/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Estimated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n"/>
      <c r="AZ49" s="46" t="n"/>
      <c r="BA49" s="34" t="inlineStr">
        <is>
          <t>rn-967b688b5591</t>
        </is>
      </c>
    </row>
    <row r="50">
      <c r="A50" s="31" t="inlineStr">
        <is>
          <t>Yango Morocco</t>
        </is>
      </c>
      <c r="B50" s="31" t="inlineStr">
        <is>
          <t>Morocco</t>
        </is>
      </c>
      <c r="C50" s="32" t="inlineStr">
        <is>
          <t>Tanger Med (Ksar el Majaz) → Algeciras (Spain)</t>
        </is>
      </c>
      <c r="D50" s="33" t="n">
        <v>13</v>
      </c>
      <c r="E50" s="27" t="n">
        <v>38</v>
      </c>
      <c r="F50" s="34" t="inlineStr">
        <is>
          <t>T2</t>
        </is>
      </c>
      <c r="G50" s="34" t="inlineStr">
        <is>
          <t>med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1610211</v>
      </c>
      <c r="AI50" s="34" t="n"/>
      <c r="AJ50" s="34" t="n"/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PREMIUM tier: standard adult FOOT-PASSENGER one-way Tanger Med&lt;-&gt;Algeciras ~EUR 35 x 1.08 = ~$38 (Strait fast-ferry foot fares cluster EUR 30-40).</t>
        </is>
      </c>
      <c r="AZ50" s="46" t="n"/>
      <c r="BA50" s="34" t="inlineStr">
        <is>
          <t>rn-24c3aa4c2acf</t>
        </is>
      </c>
    </row>
    <row r="51">
      <c r="A51" s="31" t="inlineStr">
        <is>
          <t>Yango Morocco</t>
        </is>
      </c>
      <c r="B51" s="31" t="inlineStr">
        <is>
          <t>Morocco</t>
        </is>
      </c>
      <c r="C51" s="32" t="inlineStr">
        <is>
          <t>Al Hoceima → Cala Iris</t>
        </is>
      </c>
      <c r="D51" s="33" t="n">
        <v>16</v>
      </c>
      <c r="E51" s="27" t="n"/>
      <c r="F51" s="34" t="n"/>
      <c r="G51" s="34" t="n"/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Korea",FLOOR(60*korea_service_hr/K51,1),MIN(24,FLOOR(60*service_hr/K51,1)))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/>
      <c r="AI51" s="34" t="n"/>
      <c r="AJ51" s="34" t="n"/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Estimated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n"/>
      <c r="AZ51" s="46" t="n"/>
      <c r="BA51" s="34" t="inlineStr">
        <is>
          <t>rn-e276542eff7d</t>
        </is>
      </c>
    </row>
    <row r="52">
      <c r="A52" s="31" t="inlineStr">
        <is>
          <t>Yango Morocco</t>
        </is>
      </c>
      <c r="B52" s="31" t="inlineStr">
        <is>
          <t>Morocco</t>
        </is>
      </c>
      <c r="C52" s="32" t="inlineStr">
        <is>
          <t>Tanger Med → Ceuta (Spanish enclave)</t>
        </is>
      </c>
      <c r="D52" s="33" t="n">
        <v>22</v>
      </c>
      <c r="E52" s="27" t="n">
        <v>36</v>
      </c>
      <c r="F52" s="34" t="inlineStr">
        <is>
          <t>T2</t>
        </is>
      </c>
      <c r="G52" s="34" t="inlineStr">
        <is>
          <t>med</t>
        </is>
      </c>
      <c r="H52" s="20" t="n">
        <v>1</v>
      </c>
      <c r="I52" s="35">
        <f>60*D52/cruise_kt</f>
        <v/>
      </c>
      <c r="J52" s="35">
        <f>IF(B52="South Korea",D52/korea_charge_range_nm*korea_full_range_charge_min,0)</f>
        <v/>
      </c>
      <c r="K52" s="35">
        <f>IF(B52="South Korea",I52+korea_turn_min+korea_dwell_min+J52,I52+turn_min+dwell_min)</f>
        <v/>
      </c>
      <c r="L52" s="36">
        <f>IF(B52="South Korea",FLOOR(60*korea_service_hr/K52,1),MIN(15,FLOOR(60*service_hr/K52,1)))</f>
        <v/>
      </c>
      <c r="M52" s="36">
        <f>IF(ABS(MOD(ABS((365*mech_uptime*H52)),1)-0.5)&lt;1E-9,2*ROUND((365*mech_uptime*H52)/2,0),ROUND((365*mech_uptime*H52),0))</f>
        <v/>
      </c>
      <c r="N52" s="37">
        <f>mech_uptime</f>
        <v/>
      </c>
      <c r="O52" s="37">
        <f>IF(AND(B52="South Korea",scenario="MID"),korea_mid_revleg,revleg_sel)</f>
        <v/>
      </c>
      <c r="P52" s="36">
        <f>IF(ABS(MOD(ABS((L52*M52*O52)),1)-0.5)&lt;1E-9,2*ROUND((L52*M52*O52)/2,0),ROUND((L52*M52*O52),0))</f>
        <v/>
      </c>
      <c r="Q52" s="37">
        <f>IF(AND(B52="South Korea",scenario="MID"),korea_mid_load,load_sel)</f>
        <v/>
      </c>
      <c r="R52" s="38">
        <f>pax_cap*Q52</f>
        <v/>
      </c>
      <c r="S52" s="36">
        <f>R52*P52</f>
        <v/>
      </c>
      <c r="T52" s="39">
        <f>E52*discount</f>
        <v/>
      </c>
      <c r="U52" s="40">
        <f>T52*S52</f>
        <v/>
      </c>
      <c r="V52" s="40">
        <f>(battery/range_nm)*D52*P52*VLOOKUP(B52,country_opex,3,FALSE)</f>
        <v/>
      </c>
      <c r="W52" s="40">
        <f>VLOOKUP(B52,country_opex,2,FALSE)*crew_factor</f>
        <v/>
      </c>
      <c r="X52" s="40">
        <f>VLOOKUP(B52,country_opex,5,FALSE)</f>
        <v/>
      </c>
      <c r="Y52" s="40">
        <f>maint</f>
        <v/>
      </c>
      <c r="Z52" s="40">
        <f>VLOOKUP(B52,country_opex,7,FALSE)*ins_pct</f>
        <v/>
      </c>
      <c r="AA52" s="40">
        <f>charge_berth</f>
        <v/>
      </c>
      <c r="AB52" s="40">
        <f>V52+W52+X52+Y52+Z52+AA52</f>
        <v/>
      </c>
      <c r="AC52" s="40">
        <f>VLOOKUP(B52,country_opex,7,FALSE)/dep_years</f>
        <v/>
      </c>
      <c r="AD52" s="40">
        <f>U52-AB52</f>
        <v/>
      </c>
      <c r="AE52" s="37">
        <f>IF(U52=0,"",AD52/U52)</f>
        <v/>
      </c>
      <c r="AF52" s="38">
        <f>IF(AD52&lt;=0,"",VLOOKUP(B52,country_opex,7,FALSE)/AD52)</f>
        <v/>
      </c>
      <c r="AG52" s="35">
        <f>((D52*P52/diesel_nmpg)*diesel_co2pg-(battery/range_nm)*D52*P52*VLOOKUP(B52,country_opex,4,FALSE))/1000</f>
        <v/>
      </c>
      <c r="AH52" s="33" t="n"/>
      <c r="AI52" s="34" t="n"/>
      <c r="AJ52" s="34" t="n"/>
      <c r="AK52" s="41" t="n">
        <v>0.1</v>
      </c>
      <c r="AL52" s="36">
        <f>IF(AH52="","",AH52*AK52)</f>
        <v/>
      </c>
      <c r="AM52" s="36">
        <f>IF(OR(AH52="",S52=0),"",MIN(IF(AU52="",9.9E+99,AU52),FLOOR(AL52/S52,1)))</f>
        <v/>
      </c>
      <c r="AN52" s="40">
        <f>IF(AM52="","",AM52*IF(ABS(MOD(ABS((U52)),1)-0.5)&lt;1E-9,2*ROUND((U52)/2,0),ROUND((U52),0)))</f>
        <v/>
      </c>
      <c r="AO52" s="38">
        <f>IF(OR(AH52="",S52=0),"",MIN(IF(AU52="",9.9E+99,AU52),AL52/S52))</f>
        <v/>
      </c>
      <c r="AP52" s="40">
        <f>IF(AO52="","",AO52*IF(B52="South Korea",IF(ABS(MOD(ABS((U52)),1)-0.5)&lt;1E-9,2*ROUND((U52)/2,0),ROUND((U52),0)),U52))</f>
        <v/>
      </c>
      <c r="AQ52" s="42" t="n"/>
      <c r="AR52" s="34" t="inlineStr">
        <is>
          <t>Estimated</t>
        </is>
      </c>
      <c r="AS52" s="43" t="n"/>
      <c r="AT52" s="43" t="n"/>
      <c r="AU52" s="44" t="n"/>
      <c r="AV52" s="45">
        <f>IF(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&lt;=0,"",VLOOKUP(B52,country_opex,7,FALSE)/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)</f>
        <v/>
      </c>
      <c r="AW52" s="45">
        <f>IF(((T52*pax_cap*IF(B52="South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Korea",korea_mid_revleg,revleg_mid)),0))*VLOOKUP(B52,country_opex,3,FALSE))+W52+X52+Y52+Z52+AA52))&lt;=0,"",VLOOKUP(B52,country_opex,7,FALSE)/((T52*pax_cap*IF(B52="South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Korea",korea_mid_revleg,revleg_mid)),0))*VLOOKUP(B52,country_opex,3,FALSE))+W52+X52+Y52+Z52+AA52)))</f>
        <v/>
      </c>
      <c r="AX52" s="45">
        <f>IF(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&lt;=0,"",VLOOKUP(B52,country_opex,7,FALSE)/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)</f>
        <v/>
      </c>
      <c r="AY52" s="46" t="inlineStr">
        <is>
          <t>PREMIUM tier (nearest comparable = Algeciras&lt;-&gt;Ceuta fast ferry): avg foot-passenger fare ~EUR 33 x 1.08 ~= $36 (one-way ~EUR 25-35), 60 min fast ferry.</t>
        </is>
      </c>
      <c r="AZ52" s="46" t="n"/>
      <c r="BA52" s="34" t="inlineStr">
        <is>
          <t>rn-24c3aa4c2acf</t>
        </is>
      </c>
    </row>
    <row r="53">
      <c r="A53" s="31" t="inlineStr">
        <is>
          <t>Yango Morocco</t>
        </is>
      </c>
      <c r="B53" s="31" t="inlineStr">
        <is>
          <t>Morocco</t>
        </is>
      </c>
      <c r="C53" s="32" t="inlineStr">
        <is>
          <t>Casablanca → Rabat</t>
        </is>
      </c>
      <c r="D53" s="33" t="n">
        <v>46</v>
      </c>
      <c r="E53" s="27" t="n"/>
      <c r="F53" s="34" t="n"/>
      <c r="G53" s="34" t="n"/>
      <c r="H53" s="20" t="n">
        <v>1</v>
      </c>
      <c r="I53" s="35">
        <f>60*D53/cruise_kt</f>
        <v/>
      </c>
      <c r="J53" s="35">
        <f>IF(B53="South Korea",D53/korea_charge_range_nm*korea_full_range_charge_min,0)</f>
        <v/>
      </c>
      <c r="K53" s="35">
        <f>IF(B53="South Korea",I53+korea_turn_min+korea_dwell_min+J53,I53+turn_min+dwell_min)</f>
        <v/>
      </c>
      <c r="L53" s="36">
        <f>IF(B53="South Korea",FLOOR(60*korea_service_hr/K53,1),MIN(24,FLOOR(60*service_hr/K53,1)))</f>
        <v/>
      </c>
      <c r="M53" s="36">
        <f>IF(ABS(MOD(ABS((365*mech_uptime*H53)),1)-0.5)&lt;1E-9,2*ROUND((365*mech_uptime*H53)/2,0),ROUND((365*mech_uptime*H53),0))</f>
        <v/>
      </c>
      <c r="N53" s="37">
        <f>mech_uptime</f>
        <v/>
      </c>
      <c r="O53" s="37">
        <f>IF(AND(B53="South Korea",scenario="MID"),korea_mid_revleg,revleg_sel)</f>
        <v/>
      </c>
      <c r="P53" s="36">
        <f>IF(ABS(MOD(ABS((L53*M53*O53)),1)-0.5)&lt;1E-9,2*ROUND((L53*M53*O53)/2,0),ROUND((L53*M53*O53),0))</f>
        <v/>
      </c>
      <c r="Q53" s="37">
        <f>IF(AND(B53="South Korea",scenario="MID"),korea_mid_load,load_sel)</f>
        <v/>
      </c>
      <c r="R53" s="38">
        <f>pax_cap*Q53</f>
        <v/>
      </c>
      <c r="S53" s="36">
        <f>R53*P53</f>
        <v/>
      </c>
      <c r="T53" s="39">
        <f>E53*discount</f>
        <v/>
      </c>
      <c r="U53" s="40">
        <f>T53*S53</f>
        <v/>
      </c>
      <c r="V53" s="40">
        <f>(battery/range_nm)*D53*P53*VLOOKUP(B53,country_opex,3,FALSE)</f>
        <v/>
      </c>
      <c r="W53" s="40">
        <f>VLOOKUP(B53,country_opex,2,FALSE)*crew_factor</f>
        <v/>
      </c>
      <c r="X53" s="40">
        <f>VLOOKUP(B53,country_opex,5,FALSE)</f>
        <v/>
      </c>
      <c r="Y53" s="40">
        <f>maint</f>
        <v/>
      </c>
      <c r="Z53" s="40">
        <f>VLOOKUP(B53,country_opex,7,FALSE)*ins_pct</f>
        <v/>
      </c>
      <c r="AA53" s="40">
        <f>charge_berth</f>
        <v/>
      </c>
      <c r="AB53" s="40">
        <f>V53+W53+X53+Y53+Z53+AA53</f>
        <v/>
      </c>
      <c r="AC53" s="40">
        <f>VLOOKUP(B53,country_opex,7,FALSE)/dep_years</f>
        <v/>
      </c>
      <c r="AD53" s="40">
        <f>U53-AB53</f>
        <v/>
      </c>
      <c r="AE53" s="37">
        <f>IF(U53=0,"",AD53/U53)</f>
        <v/>
      </c>
      <c r="AF53" s="38">
        <f>IF(AD53&lt;=0,"",VLOOKUP(B53,country_opex,7,FALSE)/AD53)</f>
        <v/>
      </c>
      <c r="AG53" s="35">
        <f>((D53*P53/diesel_nmpg)*diesel_co2pg-(battery/range_nm)*D53*P53*VLOOKUP(B53,country_opex,4,FALSE))/1000</f>
        <v/>
      </c>
      <c r="AH53" s="33" t="n">
        <v>165000</v>
      </c>
      <c r="AI53" s="34" t="n"/>
      <c r="AJ53" s="34" t="n"/>
      <c r="AK53" s="41" t="n">
        <v>0.1</v>
      </c>
      <c r="AL53" s="36">
        <f>IF(AH53="","",AH53*AK53)</f>
        <v/>
      </c>
      <c r="AM53" s="36">
        <f>IF(OR(AH53="",S53=0),"",MIN(IF(AU53="",9.9E+99,AU53),FLOOR(AL53/S53,1)))</f>
        <v/>
      </c>
      <c r="AN53" s="40">
        <f>IF(AM53="","",AM53*IF(ABS(MOD(ABS((U53)),1)-0.5)&lt;1E-9,2*ROUND((U53)/2,0),ROUND((U53),0)))</f>
        <v/>
      </c>
      <c r="AO53" s="38">
        <f>IF(OR(AH53="",S53=0),"",MIN(IF(AU53="",9.9E+99,AU53),AL53/S53))</f>
        <v/>
      </c>
      <c r="AP53" s="40">
        <f>IF(AO53="","",AO53*IF(B53="South Korea",IF(ABS(MOD(ABS((U53)),1)-0.5)&lt;1E-9,2*ROUND((U53)/2,0),ROUND((U53),0)),U53))</f>
        <v/>
      </c>
      <c r="AQ53" s="42" t="n"/>
      <c r="AR53" s="34" t="inlineStr">
        <is>
          <t>Estimated</t>
        </is>
      </c>
      <c r="AS53" s="43" t="n"/>
      <c r="AT53" s="43" t="n"/>
      <c r="AU53" s="44" t="n"/>
      <c r="AV53" s="45">
        <f>IF(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&lt;=0,"",VLOOKUP(B53,country_opex,7,FALSE)/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)</f>
        <v/>
      </c>
      <c r="AW53" s="45">
        <f>IF(((T53*pax_cap*IF(B53="South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Korea",korea_mid_revleg,revleg_mid)),0))*VLOOKUP(B53,country_opex,3,FALSE))+W53+X53+Y53+Z53+AA53))&lt;=0,"",VLOOKUP(B53,country_opex,7,FALSE)/((T53*pax_cap*IF(B53="South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Korea",korea_mid_revleg,revleg_mid)),0))*VLOOKUP(B53,country_opex,3,FALSE))+W53+X53+Y53+Z53+AA53)))</f>
        <v/>
      </c>
      <c r="AX53" s="45">
        <f>IF(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&lt;=0,"",VLOOKUP(B53,country_opex,7,FALSE)/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)</f>
        <v/>
      </c>
      <c r="AY53" s="46" t="n"/>
      <c r="AZ53" s="46" t="n"/>
      <c r="BA53" s="34" t="inlineStr">
        <is>
          <t>rn-a30214f88daf</t>
        </is>
      </c>
    </row>
    <row r="54">
      <c r="A54" s="31" t="inlineStr">
        <is>
          <t>Yango Mozambique</t>
        </is>
      </c>
      <c r="B54" s="31" t="inlineStr">
        <is>
          <t>Mozambique</t>
        </is>
      </c>
      <c r="C54" s="32" t="inlineStr">
        <is>
          <t>Maputo → Catembe</t>
        </is>
      </c>
      <c r="D54" s="33" t="n">
        <v>1.5</v>
      </c>
      <c r="E54" s="27" t="n"/>
      <c r="F54" s="34" t="inlineStr">
        <is>
          <t>T5</t>
        </is>
      </c>
      <c r="G54" s="34" t="inlineStr">
        <is>
          <t>low</t>
        </is>
      </c>
      <c r="H54" s="20" t="n">
        <v>1</v>
      </c>
      <c r="I54" s="35">
        <f>60*D54/cruise_kt</f>
        <v/>
      </c>
      <c r="J54" s="35">
        <f>IF(B54="South Korea",D54/korea_charge_range_nm*korea_full_range_charge_min,0)</f>
        <v/>
      </c>
      <c r="K54" s="35">
        <f>IF(B54="South Korea",I54+korea_turn_min+korea_dwell_min+J54,I54+turn_min+dwell_min)</f>
        <v/>
      </c>
      <c r="L54" s="36">
        <f>IF(B54="South Korea",FLOOR(60*korea_service_hr/K54,1),MIN(24,FLOOR(60*service_hr/K54,1)))</f>
        <v/>
      </c>
      <c r="M54" s="36">
        <f>IF(ABS(MOD(ABS((365*mech_uptime*H54)),1)-0.5)&lt;1E-9,2*ROUND((365*mech_uptime*H54)/2,0),ROUND((365*mech_uptime*H54),0))</f>
        <v/>
      </c>
      <c r="N54" s="37">
        <f>mech_uptime</f>
        <v/>
      </c>
      <c r="O54" s="37">
        <f>IF(AND(B54="South Korea",scenario="MID"),korea_mid_revleg,revleg_sel)</f>
        <v/>
      </c>
      <c r="P54" s="36">
        <f>IF(ABS(MOD(ABS((L54*M54*O54)),1)-0.5)&lt;1E-9,2*ROUND((L54*M54*O54)/2,0),ROUND((L54*M54*O54),0))</f>
        <v/>
      </c>
      <c r="Q54" s="37">
        <f>IF(AND(B54="South Korea",scenario="MID"),korea_mid_load,load_sel)</f>
        <v/>
      </c>
      <c r="R54" s="38">
        <f>pax_cap*Q54</f>
        <v/>
      </c>
      <c r="S54" s="36">
        <f>R54*P54</f>
        <v/>
      </c>
      <c r="T54" s="39">
        <f>E54*discount</f>
        <v/>
      </c>
      <c r="U54" s="40">
        <f>T54*S54</f>
        <v/>
      </c>
      <c r="V54" s="40">
        <f>(battery/range_nm)*D54*P54*VLOOKUP(B54,country_opex,3,FALSE)</f>
        <v/>
      </c>
      <c r="W54" s="40">
        <f>VLOOKUP(B54,country_opex,2,FALSE)*crew_factor</f>
        <v/>
      </c>
      <c r="X54" s="40">
        <f>VLOOKUP(B54,country_opex,5,FALSE)</f>
        <v/>
      </c>
      <c r="Y54" s="40">
        <f>maint</f>
        <v/>
      </c>
      <c r="Z54" s="40">
        <f>VLOOKUP(B54,country_opex,7,FALSE)*ins_pct</f>
        <v/>
      </c>
      <c r="AA54" s="40">
        <f>charge_berth</f>
        <v/>
      </c>
      <c r="AB54" s="40">
        <f>V54+W54+X54+Y54+Z54+AA54</f>
        <v/>
      </c>
      <c r="AC54" s="40">
        <f>VLOOKUP(B54,country_opex,7,FALSE)/dep_years</f>
        <v/>
      </c>
      <c r="AD54" s="40">
        <f>U54-AB54</f>
        <v/>
      </c>
      <c r="AE54" s="37">
        <f>IF(U54=0,"",AD54/U54)</f>
        <v/>
      </c>
      <c r="AF54" s="38">
        <f>IF(AD54&lt;=0,"",VLOOKUP(B54,country_opex,7,FALSE)/AD54)</f>
        <v/>
      </c>
      <c r="AG54" s="35">
        <f>((D54*P54/diesel_nmpg)*diesel_co2pg-(battery/range_nm)*D54*P54*VLOOKUP(B54,country_opex,4,FALSE))/1000</f>
        <v/>
      </c>
      <c r="AH54" s="33" t="n">
        <v>60000</v>
      </c>
      <c r="AI54" s="34" t="n"/>
      <c r="AJ54" s="34" t="n"/>
      <c r="AK54" s="41" t="n">
        <v>0.1</v>
      </c>
      <c r="AL54" s="36">
        <f>IF(AH54="","",AH54*AK54)</f>
        <v/>
      </c>
      <c r="AM54" s="36">
        <f>IF(OR(AH54="",S54=0),"",MIN(IF(AU54="",9.9E+99,AU54),FLOOR(AL54/S54,1)))</f>
        <v/>
      </c>
      <c r="AN54" s="40">
        <f>IF(AM54="","",AM54*IF(ABS(MOD(ABS((U54)),1)-0.5)&lt;1E-9,2*ROUND((U54)/2,0),ROUND((U54),0)))</f>
        <v/>
      </c>
      <c r="AO54" s="38">
        <f>IF(OR(AH54="",S54=0),"",MIN(IF(AU54="",9.9E+99,AU54),AL54/S54))</f>
        <v/>
      </c>
      <c r="AP54" s="40">
        <f>IF(AO54="","",AO54*IF(B54="South Korea",IF(ABS(MOD(ABS((U54)),1)-0.5)&lt;1E-9,2*ROUND((U54)/2,0),ROUND((U54),0)),U54))</f>
        <v/>
      </c>
      <c r="AQ54" s="42" t="n"/>
      <c r="AR54" s="34" t="inlineStr">
        <is>
          <t>Estimated</t>
        </is>
      </c>
      <c r="AS54" s="43" t="n"/>
      <c r="AT54" s="43" t="n"/>
      <c r="AU54" s="44" t="n"/>
      <c r="AV54" s="45">
        <f>IF(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&lt;=0,"",VLOOKUP(B54,country_opex,7,FALSE)/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)</f>
        <v/>
      </c>
      <c r="AW54" s="45">
        <f>IF(((T54*pax_cap*IF(B54="South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Korea",korea_mid_revleg,revleg_mid)),0))*VLOOKUP(B54,country_opex,3,FALSE))+W54+X54+Y54+Z54+AA54))&lt;=0,"",VLOOKUP(B54,country_opex,7,FALSE)/((T54*pax_cap*IF(B54="South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Korea",korea_mid_revleg,revleg_mid)),0))*VLOOKUP(B54,country_opex,3,FALSE))+W54+X54+Y54+Z54+AA54)))</f>
        <v/>
      </c>
      <c r="AX54" s="45">
        <f>IF(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&lt;=0,"",VLOOKUP(B54,country_opex,7,FALSE)/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)</f>
        <v/>
      </c>
      <c r="AY54" s="46" t="inlineStr">
        <is>
          <t>TBD — Tier-B headline placeholder</t>
        </is>
      </c>
      <c r="AZ54" s="46" t="n"/>
      <c r="BA54" s="34" t="inlineStr">
        <is>
          <t>rn-4abcfb449176</t>
        </is>
      </c>
    </row>
    <row r="55">
      <c r="A55" s="31" t="inlineStr">
        <is>
          <t>Yango Mozambique</t>
        </is>
      </c>
      <c r="B55" s="31" t="inlineStr">
        <is>
          <t>Mozambique</t>
        </is>
      </c>
      <c r="C55" s="32" t="inlineStr">
        <is>
          <t>Inhambane (Inhambane city ferry pier) → Maxixe (Maxixe town jetty)</t>
        </is>
      </c>
      <c r="D55" s="33" t="n">
        <v>2.5</v>
      </c>
      <c r="E55" s="27" t="n">
        <v>18</v>
      </c>
      <c r="F55" s="34" t="inlineStr">
        <is>
          <t>T2</t>
        </is>
      </c>
      <c r="G55" s="34" t="inlineStr">
        <is>
          <t>med</t>
        </is>
      </c>
      <c r="H55" s="20" t="n">
        <v>1</v>
      </c>
      <c r="I55" s="35">
        <f>60*D55/cruise_kt</f>
        <v/>
      </c>
      <c r="J55" s="35">
        <f>IF(B55="South Korea",D55/korea_charge_range_nm*korea_full_range_charge_min,0)</f>
        <v/>
      </c>
      <c r="K55" s="35">
        <f>IF(B55="South Korea",I55+korea_turn_min+korea_dwell_min+J55,I55+turn_min+dwell_min)</f>
        <v/>
      </c>
      <c r="L55" s="36">
        <f>IF(B55="South Korea",FLOOR(60*korea_service_hr/K55,1),MIN(24,FLOOR(60*service_hr/K55,1)))</f>
        <v/>
      </c>
      <c r="M55" s="36">
        <f>IF(ABS(MOD(ABS((365*mech_uptime*H55)),1)-0.5)&lt;1E-9,2*ROUND((365*mech_uptime*H55)/2,0),ROUND((365*mech_uptime*H55),0))</f>
        <v/>
      </c>
      <c r="N55" s="37">
        <f>mech_uptime</f>
        <v/>
      </c>
      <c r="O55" s="37">
        <f>IF(AND(B55="South Korea",scenario="MID"),korea_mid_revleg,revleg_sel)</f>
        <v/>
      </c>
      <c r="P55" s="36">
        <f>IF(ABS(MOD(ABS((L55*M55*O55)),1)-0.5)&lt;1E-9,2*ROUND((L55*M55*O55)/2,0),ROUND((L55*M55*O55),0))</f>
        <v/>
      </c>
      <c r="Q55" s="37">
        <f>IF(AND(B55="South Korea",scenario="MID"),korea_mid_load,load_sel)</f>
        <v/>
      </c>
      <c r="R55" s="38">
        <f>pax_cap*Q55</f>
        <v/>
      </c>
      <c r="S55" s="36">
        <f>R55*P55</f>
        <v/>
      </c>
      <c r="T55" s="39">
        <f>E55*discount</f>
        <v/>
      </c>
      <c r="U55" s="40">
        <f>T55*S55</f>
        <v/>
      </c>
      <c r="V55" s="40">
        <f>(battery/range_nm)*D55*P55*VLOOKUP(B55,country_opex,3,FALSE)</f>
        <v/>
      </c>
      <c r="W55" s="40">
        <f>VLOOKUP(B55,country_opex,2,FALSE)*crew_factor</f>
        <v/>
      </c>
      <c r="X55" s="40">
        <f>VLOOKUP(B55,country_opex,5,FALSE)</f>
        <v/>
      </c>
      <c r="Y55" s="40">
        <f>maint</f>
        <v/>
      </c>
      <c r="Z55" s="40">
        <f>VLOOKUP(B55,country_opex,7,FALSE)*ins_pct</f>
        <v/>
      </c>
      <c r="AA55" s="40">
        <f>charge_berth</f>
        <v/>
      </c>
      <c r="AB55" s="40">
        <f>V55+W55+X55+Y55+Z55+AA55</f>
        <v/>
      </c>
      <c r="AC55" s="40">
        <f>VLOOKUP(B55,country_opex,7,FALSE)/dep_years</f>
        <v/>
      </c>
      <c r="AD55" s="40">
        <f>U55-AB55</f>
        <v/>
      </c>
      <c r="AE55" s="37">
        <f>IF(U55=0,"",AD55/U55)</f>
        <v/>
      </c>
      <c r="AF55" s="38">
        <f>IF(AD55&lt;=0,"",VLOOKUP(B55,country_opex,7,FALSE)/AD55)</f>
        <v/>
      </c>
      <c r="AG55" s="35">
        <f>((D55*P55/diesel_nmpg)*diesel_co2pg-(battery/range_nm)*D55*P55*VLOOKUP(B55,country_opex,4,FALSE))/1000</f>
        <v/>
      </c>
      <c r="AH55" s="33" t="n">
        <v>36500</v>
      </c>
      <c r="AI55" s="34" t="n"/>
      <c r="AJ55" s="34" t="inlineStr">
        <is>
          <t>med</t>
        </is>
      </c>
      <c r="AK55" s="41" t="n">
        <v>0.25</v>
      </c>
      <c r="AL55" s="36">
        <f>IF(AH55="","",AH55*AK55)</f>
        <v/>
      </c>
      <c r="AM55" s="36">
        <f>IF(OR(AH55="",S55=0),"",MIN(IF(AU55="",9.9E+99,AU55),FLOOR(AL55/S55,1)))</f>
        <v/>
      </c>
      <c r="AN55" s="40">
        <f>IF(AM55="","",AM55*IF(ABS(MOD(ABS((U55)),1)-0.5)&lt;1E-9,2*ROUND((U55)/2,0),ROUND((U55),0)))</f>
        <v/>
      </c>
      <c r="AO55" s="38">
        <f>IF(OR(AH55="",S55=0),"",MIN(IF(AU55="",9.9E+99,AU55),AL55/S55))</f>
        <v/>
      </c>
      <c r="AP55" s="40">
        <f>IF(AO55="","",AO55*IF(B55="South Korea",IF(ABS(MOD(ABS((U55)),1)-0.5)&lt;1E-9,2*ROUND((U55)/2,0),ROUND((U55),0)),U55))</f>
        <v/>
      </c>
      <c r="AQ55" s="42" t="n"/>
      <c r="AR55" s="34" t="inlineStr">
        <is>
          <t>Estimated</t>
        </is>
      </c>
      <c r="AS55" s="43" t="n"/>
      <c r="AT55" s="43" t="n"/>
      <c r="AU55" s="44" t="n"/>
      <c r="AV55" s="45">
        <f>IF(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&lt;=0,"",VLOOKUP(B55,country_opex,7,FALSE)/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)</f>
        <v/>
      </c>
      <c r="AW55" s="45">
        <f>IF(((T55*pax_cap*IF(B55="South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Korea",korea_mid_revleg,revleg_mid)),0))*VLOOKUP(B55,country_opex,3,FALSE))+W55+X55+Y55+Z55+AA55))&lt;=0,"",VLOOKUP(B55,country_opex,7,FALSE)/((T55*pax_cap*IF(B55="South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Korea",korea_mid_revleg,revleg_mid)),0))*VLOOKUP(B55,country_opex,3,FALSE))+W55+X55+Y55+Z55+AA55)))</f>
        <v/>
      </c>
      <c r="AX55" s="45">
        <f>IF(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&lt;=0,"",VLOOKUP(B55,country_opex,7,FALSE)/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)</f>
        <v/>
      </c>
      <c r="AY55" s="46" t="inlineStr">
        <is>
          <t>[LB-255 PREMIUM RE-FARE: subsidized comparable $0.24 lifted to premium on-demand floor $18.0] Essentially a single low commuter fare: 15 MZN one-way (~$0.24, Tripadvisor 2026). There is NO meaningful premium tier on this crossing (commuter ferry/dhow), so $0.24 doubles as both anchor and floor. (The 625/850 MZN 'business/tourist' tiers sometimes quoted near this route belong to the separate Maputo&lt;-&gt;Inhaca Transmaritima service, not the Maxixe crossing.)</t>
        </is>
      </c>
      <c r="AZ55" s="46" t="n"/>
      <c r="BA55" s="34" t="inlineStr">
        <is>
          <t>rn-7982f3aa20da</t>
        </is>
      </c>
    </row>
    <row r="56">
      <c r="A56" s="31" t="inlineStr">
        <is>
          <t>Yango Mozambique</t>
        </is>
      </c>
      <c r="B56" s="31" t="inlineStr">
        <is>
          <t>Mozambique</t>
        </is>
      </c>
      <c r="C56" s="32" t="inlineStr">
        <is>
          <t>Vilankulo (Vilanculos beachfront / boat departure) → Bazaruto Archipelago National Park (Bazaruto / Benguerra / Magaruque islands)</t>
        </is>
      </c>
      <c r="D56" s="33" t="n">
        <v>16</v>
      </c>
      <c r="E56" s="27" t="n">
        <v>100</v>
      </c>
      <c r="F56" s="34" t="inlineStr">
        <is>
          <t>T2</t>
        </is>
      </c>
      <c r="G56" s="34" t="inlineStr">
        <is>
          <t>med</t>
        </is>
      </c>
      <c r="H56" s="20" t="n">
        <v>1</v>
      </c>
      <c r="I56" s="35">
        <f>60*D56/cruise_kt</f>
        <v/>
      </c>
      <c r="J56" s="35">
        <f>IF(B56="South Korea",D56/korea_charge_range_nm*korea_full_range_charge_min,0)</f>
        <v/>
      </c>
      <c r="K56" s="35">
        <f>IF(B56="South Korea",I56+korea_turn_min+korea_dwell_min+J56,I56+turn_min+dwell_min)</f>
        <v/>
      </c>
      <c r="L56" s="36">
        <f>IF(B56="South Korea",FLOOR(60*korea_service_hr/K56,1),MIN(15,FLOOR(60*service_hr/K56,1)))</f>
        <v/>
      </c>
      <c r="M56" s="36">
        <f>IF(ABS(MOD(ABS((365*mech_uptime*H56)),1)-0.5)&lt;1E-9,2*ROUND((365*mech_uptime*H56)/2,0),ROUND((365*mech_uptime*H56),0))</f>
        <v/>
      </c>
      <c r="N56" s="37">
        <f>mech_uptime</f>
        <v/>
      </c>
      <c r="O56" s="37">
        <f>IF(AND(B56="South Korea",scenario="MID"),korea_mid_revleg,revleg_sel)</f>
        <v/>
      </c>
      <c r="P56" s="36">
        <f>IF(ABS(MOD(ABS((L56*M56*O56)),1)-0.5)&lt;1E-9,2*ROUND((L56*M56*O56)/2,0),ROUND((L56*M56*O56),0))</f>
        <v/>
      </c>
      <c r="Q56" s="37">
        <f>IF(AND(B56="South Korea",scenario="MID"),korea_mid_load,load_sel)</f>
        <v/>
      </c>
      <c r="R56" s="38">
        <f>pax_cap*Q56</f>
        <v/>
      </c>
      <c r="S56" s="36">
        <f>R56*P56</f>
        <v/>
      </c>
      <c r="T56" s="39">
        <f>E56*discount</f>
        <v/>
      </c>
      <c r="U56" s="40">
        <f>T56*S56</f>
        <v/>
      </c>
      <c r="V56" s="40">
        <f>(battery/range_nm)*D56*P56*VLOOKUP(B56,country_opex,3,FALSE)</f>
        <v/>
      </c>
      <c r="W56" s="40">
        <f>VLOOKUP(B56,country_opex,2,FALSE)*crew_factor</f>
        <v/>
      </c>
      <c r="X56" s="40">
        <f>VLOOKUP(B56,country_opex,5,FALSE)</f>
        <v/>
      </c>
      <c r="Y56" s="40">
        <f>maint</f>
        <v/>
      </c>
      <c r="Z56" s="40">
        <f>VLOOKUP(B56,country_opex,7,FALSE)*ins_pct</f>
        <v/>
      </c>
      <c r="AA56" s="40">
        <f>charge_berth</f>
        <v/>
      </c>
      <c r="AB56" s="40">
        <f>V56+W56+X56+Y56+Z56+AA56</f>
        <v/>
      </c>
      <c r="AC56" s="40">
        <f>VLOOKUP(B56,country_opex,7,FALSE)/dep_years</f>
        <v/>
      </c>
      <c r="AD56" s="40">
        <f>U56-AB56</f>
        <v/>
      </c>
      <c r="AE56" s="37">
        <f>IF(U56=0,"",AD56/U56)</f>
        <v/>
      </c>
      <c r="AF56" s="38">
        <f>IF(AD56&lt;=0,"",VLOOKUP(B56,country_opex,7,FALSE)/AD56)</f>
        <v/>
      </c>
      <c r="AG56" s="35">
        <f>((D56*P56/diesel_nmpg)*diesel_co2pg-(battery/range_nm)*D56*P56*VLOOKUP(B56,country_opex,4,FALSE))/1000</f>
        <v/>
      </c>
      <c r="AH56" s="33" t="n">
        <v>30000</v>
      </c>
      <c r="AI56" s="34" t="n"/>
      <c r="AJ56" s="34" t="n"/>
      <c r="AK56" s="41" t="n">
        <v>0.1</v>
      </c>
      <c r="AL56" s="36">
        <f>IF(AH56="","",AH56*AK56)</f>
        <v/>
      </c>
      <c r="AM56" s="36">
        <f>IF(OR(AH56="",S56=0),"",MIN(IF(AU56="",9.9E+99,AU56),FLOOR(AL56/S56,1)))</f>
        <v/>
      </c>
      <c r="AN56" s="40">
        <f>IF(AM56="","",AM56*IF(ABS(MOD(ABS((U56)),1)-0.5)&lt;1E-9,2*ROUND((U56)/2,0),ROUND((U56),0)))</f>
        <v/>
      </c>
      <c r="AO56" s="38">
        <f>IF(OR(AH56="",S56=0),"",MIN(IF(AU56="",9.9E+99,AU56),AL56/S56))</f>
        <v/>
      </c>
      <c r="AP56" s="40">
        <f>IF(AO56="","",AO56*IF(B56="South Korea",IF(ABS(MOD(ABS((U56)),1)-0.5)&lt;1E-9,2*ROUND((U56)/2,0),ROUND((U56),0)),U56))</f>
        <v/>
      </c>
      <c r="AQ56" s="42" t="n"/>
      <c r="AR56" s="34" t="inlineStr">
        <is>
          <t>Estimated</t>
        </is>
      </c>
      <c r="AS56" s="43" t="n"/>
      <c r="AT56" s="43" t="n"/>
      <c r="AU56" s="44" t="n"/>
      <c r="AV56" s="45">
        <f>IF(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&lt;=0,"",VLOOKUP(B56,country_opex,7,FALSE)/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)</f>
        <v/>
      </c>
      <c r="AW56" s="45">
        <f>IF(((T56*pax_cap*IF(B56="South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Korea",korea_mid_revleg,revleg_mid)),0))*VLOOKUP(B56,country_opex,3,FALSE))+W56+X56+Y56+Z56+AA56))&lt;=0,"",VLOOKUP(B56,country_opex,7,FALSE)/((T56*pax_cap*IF(B56="South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Korea",korea_mid_revleg,revleg_mid)),0))*VLOOKUP(B56,country_opex,3,FALSE))+W56+X56+Y56+Z56+AA56)))</f>
        <v/>
      </c>
      <c r="AX56" s="45">
        <f>IF(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&lt;=0,"",VLOOKUP(B56,country_opex,7,FALSE)/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)</f>
        <v/>
      </c>
      <c r="AY56" s="46" t="inlineStr">
        <is>
          <t>PREMIUM tier: full-day dhow/boat safari Vilankulo-&gt;Bazaruto ~$100-125/person (Sailaway Dhow Safaris $100; Vilanculos Beach Lodge $125), excl. park entry fee ($10/person + $5/boat). Charter-divided per-seat. Tripadvisor day trip ~$80/person.</t>
        </is>
      </c>
      <c r="AZ56" s="46" t="n"/>
      <c r="BA56" s="34" t="inlineStr">
        <is>
          <t>rn-fe70e3a123f1</t>
        </is>
      </c>
    </row>
    <row r="57">
      <c r="A57" s="31" t="inlineStr">
        <is>
          <t>Yango Mozambique</t>
        </is>
      </c>
      <c r="B57" s="31" t="inlineStr">
        <is>
          <t>Mozambique</t>
        </is>
      </c>
      <c r="C57" s="32" t="inlineStr">
        <is>
          <t>Maputo (Porto de Maputo / Catembe pier) → Ilha dos Portugueses (Portuguese Island) / Santa Maria</t>
        </is>
      </c>
      <c r="D57" s="33" t="n">
        <v>20</v>
      </c>
      <c r="E57" s="27" t="n">
        <v>110</v>
      </c>
      <c r="F57" s="34" t="inlineStr">
        <is>
          <t>T2</t>
        </is>
      </c>
      <c r="G57" s="34" t="inlineStr">
        <is>
          <t>med</t>
        </is>
      </c>
      <c r="H57" s="20" t="n">
        <v>1</v>
      </c>
      <c r="I57" s="35">
        <f>60*D57/cruise_kt</f>
        <v/>
      </c>
      <c r="J57" s="35">
        <f>IF(B57="South Korea",D57/korea_charge_range_nm*korea_full_range_charge_min,0)</f>
        <v/>
      </c>
      <c r="K57" s="35">
        <f>IF(B57="South Korea",I57+korea_turn_min+korea_dwell_min+J57,I57+turn_min+dwell_min)</f>
        <v/>
      </c>
      <c r="L57" s="36">
        <f>IF(B57="South Korea",FLOOR(60*korea_service_hr/K57,1),MIN(15,FLOOR(60*service_hr/K57,1)))</f>
        <v/>
      </c>
      <c r="M57" s="36">
        <f>IF(ABS(MOD(ABS((365*mech_uptime*H57)),1)-0.5)&lt;1E-9,2*ROUND((365*mech_uptime*H57)/2,0),ROUND((365*mech_uptime*H57),0))</f>
        <v/>
      </c>
      <c r="N57" s="37">
        <f>mech_uptime</f>
        <v/>
      </c>
      <c r="O57" s="37">
        <f>IF(AND(B57="South Korea",scenario="MID"),korea_mid_revleg,revleg_sel)</f>
        <v/>
      </c>
      <c r="P57" s="36">
        <f>IF(ABS(MOD(ABS((L57*M57*O57)),1)-0.5)&lt;1E-9,2*ROUND((L57*M57*O57)/2,0),ROUND((L57*M57*O57),0))</f>
        <v/>
      </c>
      <c r="Q57" s="37">
        <f>IF(AND(B57="South Korea",scenario="MID"),korea_mid_load,load_sel)</f>
        <v/>
      </c>
      <c r="R57" s="38">
        <f>pax_cap*Q57</f>
        <v/>
      </c>
      <c r="S57" s="36">
        <f>R57*P57</f>
        <v/>
      </c>
      <c r="T57" s="39">
        <f>E57*discount</f>
        <v/>
      </c>
      <c r="U57" s="40">
        <f>T57*S57</f>
        <v/>
      </c>
      <c r="V57" s="40">
        <f>(battery/range_nm)*D57*P57*VLOOKUP(B57,country_opex,3,FALSE)</f>
        <v/>
      </c>
      <c r="W57" s="40">
        <f>VLOOKUP(B57,country_opex,2,FALSE)*crew_factor</f>
        <v/>
      </c>
      <c r="X57" s="40">
        <f>VLOOKUP(B57,country_opex,5,FALSE)</f>
        <v/>
      </c>
      <c r="Y57" s="40">
        <f>maint</f>
        <v/>
      </c>
      <c r="Z57" s="40">
        <f>VLOOKUP(B57,country_opex,7,FALSE)*ins_pct</f>
        <v/>
      </c>
      <c r="AA57" s="40">
        <f>charge_berth</f>
        <v/>
      </c>
      <c r="AB57" s="40">
        <f>V57+W57+X57+Y57+Z57+AA57</f>
        <v/>
      </c>
      <c r="AC57" s="40">
        <f>VLOOKUP(B57,country_opex,7,FALSE)/dep_years</f>
        <v/>
      </c>
      <c r="AD57" s="40">
        <f>U57-AB57</f>
        <v/>
      </c>
      <c r="AE57" s="37">
        <f>IF(U57=0,"",AD57/U57)</f>
        <v/>
      </c>
      <c r="AF57" s="38">
        <f>IF(AD57&lt;=0,"",VLOOKUP(B57,country_opex,7,FALSE)/AD57)</f>
        <v/>
      </c>
      <c r="AG57" s="35">
        <f>((D57*P57/diesel_nmpg)*diesel_co2pg-(battery/range_nm)*D57*P57*VLOOKUP(B57,country_opex,4,FALSE))/1000</f>
        <v/>
      </c>
      <c r="AH57" s="33" t="n"/>
      <c r="AI57" s="34" t="n"/>
      <c r="AJ57" s="34" t="n"/>
      <c r="AK57" s="41" t="n">
        <v>0.1</v>
      </c>
      <c r="AL57" s="36">
        <f>IF(AH57="","",AH57*AK57)</f>
        <v/>
      </c>
      <c r="AM57" s="36">
        <f>IF(OR(AH57="",S57=0),"",MIN(IF(AU57="",9.9E+99,AU57),FLOOR(AL57/S57,1)))</f>
        <v/>
      </c>
      <c r="AN57" s="40">
        <f>IF(AM57="","",AM57*IF(ABS(MOD(ABS((U57)),1)-0.5)&lt;1E-9,2*ROUND((U57)/2,0),ROUND((U57),0)))</f>
        <v/>
      </c>
      <c r="AO57" s="38">
        <f>IF(OR(AH57="",S57=0),"",MIN(IF(AU57="",9.9E+99,AU57),AL57/S57))</f>
        <v/>
      </c>
      <c r="AP57" s="40">
        <f>IF(AO57="","",AO57*IF(B57="South Korea",IF(ABS(MOD(ABS((U57)),1)-0.5)&lt;1E-9,2*ROUND((U57)/2,0),ROUND((U57),0)),U57))</f>
        <v/>
      </c>
      <c r="AQ57" s="42" t="n"/>
      <c r="AR57" s="34" t="inlineStr">
        <is>
          <t>Estimated</t>
        </is>
      </c>
      <c r="AS57" s="43" t="n"/>
      <c r="AT57" s="43" t="n"/>
      <c r="AU57" s="44" t="n"/>
      <c r="AV57" s="45">
        <f>IF(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&lt;=0,"",VLOOKUP(B57,country_opex,7,FALSE)/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)</f>
        <v/>
      </c>
      <c r="AW57" s="45">
        <f>IF(((T57*pax_cap*IF(B57="South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Korea",korea_mid_revleg,revleg_mid)),0))*VLOOKUP(B57,country_opex,3,FALSE))+W57+X57+Y57+Z57+AA57))&lt;=0,"",VLOOKUP(B57,country_opex,7,FALSE)/((T57*pax_cap*IF(B57="South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Korea",korea_mid_revleg,revleg_mid)),0))*VLOOKUP(B57,country_opex,3,FALSE))+W57+X57+Y57+Z57+AA57)))</f>
        <v/>
      </c>
      <c r="AX57" s="45">
        <f>IF(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&lt;=0,"",VLOOKUP(B57,country_opex,7,FALSE)/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)</f>
        <v/>
      </c>
      <c r="AY57" s="46" t="inlineStr">
        <is>
          <t>PREMIUM tier: full-day boat excursion Maputo-&gt;Santa Maria/Portuguese Island ~$110/person (GetYourGuide); private/luxury full-day tours up to $250/person. Charter-divided day-trip per-seat. (Scheduled tourist ferry tier ~1,360 MZN (~$21.4) per leg also reported, with executive 1,000 / economy 560 MZN - flagged as alternative scheduled tier.)</t>
        </is>
      </c>
      <c r="AZ57" s="46" t="n"/>
      <c r="BA57" s="34" t="inlineStr">
        <is>
          <t>rn-518248d2f686</t>
        </is>
      </c>
    </row>
    <row r="58">
      <c r="A58" s="31" t="inlineStr">
        <is>
          <t>Yango Mozambique</t>
        </is>
      </c>
      <c r="B58" s="31" t="inlineStr">
        <is>
          <t>Mozambique</t>
        </is>
      </c>
      <c r="C58" s="32" t="inlineStr">
        <is>
          <t>Maputo (Porto de Maputo / Catembe pier) → Inhaca Island (KaNyaka)</t>
        </is>
      </c>
      <c r="D58" s="33" t="n">
        <v>22</v>
      </c>
      <c r="E58" s="27" t="n">
        <v>36</v>
      </c>
      <c r="F58" s="34" t="inlineStr">
        <is>
          <t>T2</t>
        </is>
      </c>
      <c r="G58" s="34" t="inlineStr">
        <is>
          <t>med</t>
        </is>
      </c>
      <c r="H58" s="20" t="n">
        <v>1</v>
      </c>
      <c r="I58" s="35">
        <f>60*D58/cruise_kt</f>
        <v/>
      </c>
      <c r="J58" s="35">
        <f>IF(B58="South Korea",D58/korea_charge_range_nm*korea_full_range_charge_min,0)</f>
        <v/>
      </c>
      <c r="K58" s="35">
        <f>IF(B58="South Korea",I58+korea_turn_min+korea_dwell_min+J58,I58+turn_min+dwell_min)</f>
        <v/>
      </c>
      <c r="L58" s="36">
        <f>IF(B58="South Korea",FLOOR(60*korea_service_hr/K58,1),MIN(15,FLOOR(60*service_hr/K58,1)))</f>
        <v/>
      </c>
      <c r="M58" s="36">
        <f>IF(ABS(MOD(ABS((365*mech_uptime*H58)),1)-0.5)&lt;1E-9,2*ROUND((365*mech_uptime*H58)/2,0),ROUND((365*mech_uptime*H58),0))</f>
        <v/>
      </c>
      <c r="N58" s="37">
        <f>mech_uptime</f>
        <v/>
      </c>
      <c r="O58" s="37">
        <f>IF(AND(B58="South Korea",scenario="MID"),korea_mid_revleg,revleg_sel)</f>
        <v/>
      </c>
      <c r="P58" s="36">
        <f>IF(ABS(MOD(ABS((L58*M58*O58)),1)-0.5)&lt;1E-9,2*ROUND((L58*M58*O58)/2,0),ROUND((L58*M58*O58),0))</f>
        <v/>
      </c>
      <c r="Q58" s="37">
        <f>IF(AND(B58="South Korea",scenario="MID"),korea_mid_load,load_sel)</f>
        <v/>
      </c>
      <c r="R58" s="38">
        <f>pax_cap*Q58</f>
        <v/>
      </c>
      <c r="S58" s="36">
        <f>R58*P58</f>
        <v/>
      </c>
      <c r="T58" s="39">
        <f>E58*discount</f>
        <v/>
      </c>
      <c r="U58" s="40">
        <f>T58*S58</f>
        <v/>
      </c>
      <c r="V58" s="40">
        <f>(battery/range_nm)*D58*P58*VLOOKUP(B58,country_opex,3,FALSE)</f>
        <v/>
      </c>
      <c r="W58" s="40">
        <f>VLOOKUP(B58,country_opex,2,FALSE)*crew_factor</f>
        <v/>
      </c>
      <c r="X58" s="40">
        <f>VLOOKUP(B58,country_opex,5,FALSE)</f>
        <v/>
      </c>
      <c r="Y58" s="40">
        <f>maint</f>
        <v/>
      </c>
      <c r="Z58" s="40">
        <f>VLOOKUP(B58,country_opex,7,FALSE)*ins_pct</f>
        <v/>
      </c>
      <c r="AA58" s="40">
        <f>charge_berth</f>
        <v/>
      </c>
      <c r="AB58" s="40">
        <f>V58+W58+X58+Y58+Z58+AA58</f>
        <v/>
      </c>
      <c r="AC58" s="40">
        <f>VLOOKUP(B58,country_opex,7,FALSE)/dep_years</f>
        <v/>
      </c>
      <c r="AD58" s="40">
        <f>U58-AB58</f>
        <v/>
      </c>
      <c r="AE58" s="37">
        <f>IF(U58=0,"",AD58/U58)</f>
        <v/>
      </c>
      <c r="AF58" s="38">
        <f>IF(AD58&lt;=0,"",VLOOKUP(B58,country_opex,7,FALSE)/AD58)</f>
        <v/>
      </c>
      <c r="AG58" s="35">
        <f>((D58*P58/diesel_nmpg)*diesel_co2pg-(battery/range_nm)*D58*P58*VLOOKUP(B58,country_opex,4,FALSE))/1000</f>
        <v/>
      </c>
      <c r="AH58" s="33" t="n"/>
      <c r="AI58" s="34" t="n"/>
      <c r="AJ58" s="34" t="n"/>
      <c r="AK58" s="41" t="n">
        <v>0.1</v>
      </c>
      <c r="AL58" s="36">
        <f>IF(AH58="","",AH58*AK58)</f>
        <v/>
      </c>
      <c r="AM58" s="36">
        <f>IF(OR(AH58="",S58=0),"",MIN(IF(AU58="",9.9E+99,AU58),FLOOR(AL58/S58,1)))</f>
        <v/>
      </c>
      <c r="AN58" s="40">
        <f>IF(AM58="","",AM58*IF(ABS(MOD(ABS((U58)),1)-0.5)&lt;1E-9,2*ROUND((U58)/2,0),ROUND((U58),0)))</f>
        <v/>
      </c>
      <c r="AO58" s="38">
        <f>IF(OR(AH58="",S58=0),"",MIN(IF(AU58="",9.9E+99,AU58),AL58/S58))</f>
        <v/>
      </c>
      <c r="AP58" s="40">
        <f>IF(AO58="","",AO58*IF(B58="South Korea",IF(ABS(MOD(ABS((U58)),1)-0.5)&lt;1E-9,2*ROUND((U58)/2,0),ROUND((U58),0)),U58))</f>
        <v/>
      </c>
      <c r="AQ58" s="42" t="n"/>
      <c r="AR58" s="34" t="inlineStr">
        <is>
          <t>Estimated</t>
        </is>
      </c>
      <c r="AS58" s="43" t="n"/>
      <c r="AT58" s="43" t="n"/>
      <c r="AU58" s="44" t="n"/>
      <c r="AV58" s="45">
        <f>IF(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&lt;=0,"",VLOOKUP(B58,country_opex,7,FALSE)/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)</f>
        <v/>
      </c>
      <c r="AW58" s="45">
        <f>IF(((T58*pax_cap*IF(B58="South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Korea",korea_mid_revleg,revleg_mid)),0))*VLOOKUP(B58,country_opex,3,FALSE))+W58+X58+Y58+Z58+AA58))&lt;=0,"",VLOOKUP(B58,country_opex,7,FALSE)/((T58*pax_cap*IF(B58="South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Korea",korea_mid_revleg,revleg_mid)),0))*VLOOKUP(B58,country_opex,3,FALSE))+W58+X58+Y58+Z58+AA58)))</f>
        <v/>
      </c>
      <c r="AX58" s="45">
        <f>IF(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&lt;=0,"",VLOOKUP(B58,country_opex,7,FALSE)/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)</f>
        <v/>
      </c>
      <c r="AY58" s="46" t="inlineStr">
        <is>
          <t>PREMIUM tier: private scheduled boat transfer Maputo-&gt;Inhaca ~$36 one-way ($72 round-trip, Gozo Azul). Scheduled public-ferry tourist tier 850 MZN (~$13.37) one-way; foreigner KaNyaka 1st-class 680 MZN (~$10.69). The private fast transfer is the modeled premium tier.</t>
        </is>
      </c>
      <c r="AZ58" s="46" t="n"/>
      <c r="BA58" s="34" t="inlineStr">
        <is>
          <t>rn-1f7480508e4d</t>
        </is>
      </c>
    </row>
    <row r="59">
      <c r="A59" s="31" t="inlineStr">
        <is>
          <t>Yango Mozambique</t>
        </is>
      </c>
      <c r="B59" s="31" t="inlineStr">
        <is>
          <t>Mozambique</t>
        </is>
      </c>
      <c r="C59" s="32" t="inlineStr">
        <is>
          <t>Beira (Porto da Beira) → Buzi (Buzi town, Buzi/Pungwe estuary)</t>
        </is>
      </c>
      <c r="D59" s="33" t="n">
        <v>25</v>
      </c>
      <c r="E59" s="27" t="n"/>
      <c r="F59" s="34" t="n"/>
      <c r="G59" s="34" t="n"/>
      <c r="H59" s="20" t="n">
        <v>1</v>
      </c>
      <c r="I59" s="35">
        <f>60*D59/cruise_kt</f>
        <v/>
      </c>
      <c r="J59" s="35">
        <f>IF(B59="South Korea",D59/korea_charge_range_nm*korea_full_range_charge_min,0)</f>
        <v/>
      </c>
      <c r="K59" s="35">
        <f>IF(B59="South Korea",I59+korea_turn_min+korea_dwell_min+J59,I59+turn_min+dwell_min)</f>
        <v/>
      </c>
      <c r="L59" s="36">
        <f>IF(B59="South Korea",FLOOR(60*korea_service_hr/K59,1),MIN(24,FLOOR(60*service_hr/K59,1)))</f>
        <v/>
      </c>
      <c r="M59" s="36">
        <f>IF(ABS(MOD(ABS((365*mech_uptime*H59)),1)-0.5)&lt;1E-9,2*ROUND((365*mech_uptime*H59)/2,0),ROUND((365*mech_uptime*H59),0))</f>
        <v/>
      </c>
      <c r="N59" s="37">
        <f>mech_uptime</f>
        <v/>
      </c>
      <c r="O59" s="37">
        <f>IF(AND(B59="South Korea",scenario="MID"),korea_mid_revleg,revleg_sel)</f>
        <v/>
      </c>
      <c r="P59" s="36">
        <f>IF(ABS(MOD(ABS((L59*M59*O59)),1)-0.5)&lt;1E-9,2*ROUND((L59*M59*O59)/2,0),ROUND((L59*M59*O59),0))</f>
        <v/>
      </c>
      <c r="Q59" s="37">
        <f>IF(AND(B59="South Korea",scenario="MID"),korea_mid_load,load_sel)</f>
        <v/>
      </c>
      <c r="R59" s="38">
        <f>pax_cap*Q59</f>
        <v/>
      </c>
      <c r="S59" s="36">
        <f>R59*P59</f>
        <v/>
      </c>
      <c r="T59" s="39">
        <f>E59*discount</f>
        <v/>
      </c>
      <c r="U59" s="40">
        <f>T59*S59</f>
        <v/>
      </c>
      <c r="V59" s="40">
        <f>(battery/range_nm)*D59*P59*VLOOKUP(B59,country_opex,3,FALSE)</f>
        <v/>
      </c>
      <c r="W59" s="40">
        <f>VLOOKUP(B59,country_opex,2,FALSE)*crew_factor</f>
        <v/>
      </c>
      <c r="X59" s="40">
        <f>VLOOKUP(B59,country_opex,5,FALSE)</f>
        <v/>
      </c>
      <c r="Y59" s="40">
        <f>maint</f>
        <v/>
      </c>
      <c r="Z59" s="40">
        <f>VLOOKUP(B59,country_opex,7,FALSE)*ins_pct</f>
        <v/>
      </c>
      <c r="AA59" s="40">
        <f>charge_berth</f>
        <v/>
      </c>
      <c r="AB59" s="40">
        <f>V59+W59+X59+Y59+Z59+AA59</f>
        <v/>
      </c>
      <c r="AC59" s="40">
        <f>VLOOKUP(B59,country_opex,7,FALSE)/dep_years</f>
        <v/>
      </c>
      <c r="AD59" s="40">
        <f>U59-AB59</f>
        <v/>
      </c>
      <c r="AE59" s="37">
        <f>IF(U59=0,"",AD59/U59)</f>
        <v/>
      </c>
      <c r="AF59" s="38">
        <f>IF(AD59&lt;=0,"",VLOOKUP(B59,country_opex,7,FALSE)/AD59)</f>
        <v/>
      </c>
      <c r="AG59" s="35">
        <f>((D59*P59/diesel_nmpg)*diesel_co2pg-(battery/range_nm)*D59*P59*VLOOKUP(B59,country_opex,4,FALSE))/1000</f>
        <v/>
      </c>
      <c r="AH59" s="33" t="n"/>
      <c r="AI59" s="34" t="n"/>
      <c r="AJ59" s="34" t="n"/>
      <c r="AK59" s="41" t="n">
        <v>0.1</v>
      </c>
      <c r="AL59" s="36">
        <f>IF(AH59="","",AH59*AK59)</f>
        <v/>
      </c>
      <c r="AM59" s="36">
        <f>IF(OR(AH59="",S59=0),"",MIN(IF(AU59="",9.9E+99,AU59),FLOOR(AL59/S59,1)))</f>
        <v/>
      </c>
      <c r="AN59" s="40">
        <f>IF(AM59="","",AM59*IF(ABS(MOD(ABS((U59)),1)-0.5)&lt;1E-9,2*ROUND((U59)/2,0),ROUND((U59),0)))</f>
        <v/>
      </c>
      <c r="AO59" s="38">
        <f>IF(OR(AH59="",S59=0),"",MIN(IF(AU59="",9.9E+99,AU59),AL59/S59))</f>
        <v/>
      </c>
      <c r="AP59" s="40">
        <f>IF(AO59="","",AO59*IF(B59="South Korea",IF(ABS(MOD(ABS((U59)),1)-0.5)&lt;1E-9,2*ROUND((U59)/2,0),ROUND((U59),0)),U59))</f>
        <v/>
      </c>
      <c r="AQ59" s="42" t="n"/>
      <c r="AR59" s="34" t="inlineStr">
        <is>
          <t>Estimated</t>
        </is>
      </c>
      <c r="AS59" s="43" t="n"/>
      <c r="AT59" s="43" t="n"/>
      <c r="AU59" s="44" t="n"/>
      <c r="AV59" s="45">
        <f>IF(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&lt;=0,"",VLOOKUP(B59,country_opex,7,FALSE)/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)</f>
        <v/>
      </c>
      <c r="AW59" s="45">
        <f>IF(((T59*pax_cap*IF(B59="South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Korea",korea_mid_revleg,revleg_mid)),0))*VLOOKUP(B59,country_opex,3,FALSE))+W59+X59+Y59+Z59+AA59))&lt;=0,"",VLOOKUP(B59,country_opex,7,FALSE)/((T59*pax_cap*IF(B59="South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Korea",korea_mid_revleg,revleg_mid)),0))*VLOOKUP(B59,country_opex,3,FALSE))+W59+X59+Y59+Z59+AA59)))</f>
        <v/>
      </c>
      <c r="AX59" s="45">
        <f>IF(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&lt;=0,"",VLOOKUP(B59,country_opex,7,FALSE)/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)</f>
        <v/>
      </c>
      <c r="AY59" s="46" t="n"/>
      <c r="AZ59" s="46" t="n"/>
      <c r="BA59" s="34" t="inlineStr">
        <is>
          <t>rn-5d3d57a25aca</t>
        </is>
      </c>
    </row>
    <row r="60">
      <c r="A60" s="31" t="inlineStr">
        <is>
          <t>Yango Mozambique</t>
        </is>
      </c>
      <c r="B60" s="31" t="inlineStr">
        <is>
          <t>Mozambique</t>
        </is>
      </c>
      <c r="C60" s="32" t="inlineStr">
        <is>
          <t>Pemba (Pemba Bay / Paquitequete) → Ibo Island (Quirimbas Archipelago)</t>
        </is>
      </c>
      <c r="D60" s="33" t="n">
        <v>27</v>
      </c>
      <c r="E60" s="27" t="n"/>
      <c r="F60" s="34" t="n"/>
      <c r="G60" s="34" t="n"/>
      <c r="H60" s="20" t="n">
        <v>1</v>
      </c>
      <c r="I60" s="35">
        <f>60*D60/cruise_kt</f>
        <v/>
      </c>
      <c r="J60" s="35">
        <f>IF(B60="South Korea",D60/korea_charge_range_nm*korea_full_range_charge_min,0)</f>
        <v/>
      </c>
      <c r="K60" s="35">
        <f>IF(B60="South Korea",I60+korea_turn_min+korea_dwell_min+J60,I60+turn_min+dwell_min)</f>
        <v/>
      </c>
      <c r="L60" s="36">
        <f>IF(B60="South Korea",FLOOR(60*korea_service_hr/K60,1),MIN(15,FLOOR(60*service_hr/K60,1)))</f>
        <v/>
      </c>
      <c r="M60" s="36">
        <f>IF(ABS(MOD(ABS((365*mech_uptime*H60)),1)-0.5)&lt;1E-9,2*ROUND((365*mech_uptime*H60)/2,0),ROUND((365*mech_uptime*H60),0))</f>
        <v/>
      </c>
      <c r="N60" s="37">
        <f>mech_uptime</f>
        <v/>
      </c>
      <c r="O60" s="37">
        <f>IF(AND(B60="South Korea",scenario="MID"),korea_mid_revleg,revleg_sel)</f>
        <v/>
      </c>
      <c r="P60" s="36">
        <f>IF(ABS(MOD(ABS((L60*M60*O60)),1)-0.5)&lt;1E-9,2*ROUND((L60*M60*O60)/2,0),ROUND((L60*M60*O60),0))</f>
        <v/>
      </c>
      <c r="Q60" s="37">
        <f>IF(AND(B60="South Korea",scenario="MID"),korea_mid_load,load_sel)</f>
        <v/>
      </c>
      <c r="R60" s="38">
        <f>pax_cap*Q60</f>
        <v/>
      </c>
      <c r="S60" s="36">
        <f>R60*P60</f>
        <v/>
      </c>
      <c r="T60" s="39">
        <f>E60*discount</f>
        <v/>
      </c>
      <c r="U60" s="40">
        <f>T60*S60</f>
        <v/>
      </c>
      <c r="V60" s="40">
        <f>(battery/range_nm)*D60*P60*VLOOKUP(B60,country_opex,3,FALSE)</f>
        <v/>
      </c>
      <c r="W60" s="40">
        <f>VLOOKUP(B60,country_opex,2,FALSE)*crew_factor</f>
        <v/>
      </c>
      <c r="X60" s="40">
        <f>VLOOKUP(B60,country_opex,5,FALSE)</f>
        <v/>
      </c>
      <c r="Y60" s="40">
        <f>maint</f>
        <v/>
      </c>
      <c r="Z60" s="40">
        <f>VLOOKUP(B60,country_opex,7,FALSE)*ins_pct</f>
        <v/>
      </c>
      <c r="AA60" s="40">
        <f>charge_berth</f>
        <v/>
      </c>
      <c r="AB60" s="40">
        <f>V60+W60+X60+Y60+Z60+AA60</f>
        <v/>
      </c>
      <c r="AC60" s="40">
        <f>VLOOKUP(B60,country_opex,7,FALSE)/dep_years</f>
        <v/>
      </c>
      <c r="AD60" s="40">
        <f>U60-AB60</f>
        <v/>
      </c>
      <c r="AE60" s="37">
        <f>IF(U60=0,"",AD60/U60)</f>
        <v/>
      </c>
      <c r="AF60" s="38">
        <f>IF(AD60&lt;=0,"",VLOOKUP(B60,country_opex,7,FALSE)/AD60)</f>
        <v/>
      </c>
      <c r="AG60" s="35">
        <f>((D60*P60/diesel_nmpg)*diesel_co2pg-(battery/range_nm)*D60*P60*VLOOKUP(B60,country_opex,4,FALSE))/1000</f>
        <v/>
      </c>
      <c r="AH60" s="33" t="n"/>
      <c r="AI60" s="34" t="n"/>
      <c r="AJ60" s="34" t="n"/>
      <c r="AK60" s="41" t="n">
        <v>0.1</v>
      </c>
      <c r="AL60" s="36">
        <f>IF(AH60="","",AH60*AK60)</f>
        <v/>
      </c>
      <c r="AM60" s="36">
        <f>IF(OR(AH60="",S60=0),"",MIN(IF(AU60="",9.9E+99,AU60),FLOOR(AL60/S60,1)))</f>
        <v/>
      </c>
      <c r="AN60" s="40">
        <f>IF(AM60="","",AM60*IF(ABS(MOD(ABS((U60)),1)-0.5)&lt;1E-9,2*ROUND((U60)/2,0),ROUND((U60),0)))</f>
        <v/>
      </c>
      <c r="AO60" s="38">
        <f>IF(OR(AH60="",S60=0),"",MIN(IF(AU60="",9.9E+99,AU60),AL60/S60))</f>
        <v/>
      </c>
      <c r="AP60" s="40">
        <f>IF(AO60="","",AO60*IF(B60="South Korea",IF(ABS(MOD(ABS((U60)),1)-0.5)&lt;1E-9,2*ROUND((U60)/2,0),ROUND((U60),0)),U60))</f>
        <v/>
      </c>
      <c r="AQ60" s="42" t="n"/>
      <c r="AR60" s="34" t="inlineStr">
        <is>
          <t>Estimated</t>
        </is>
      </c>
      <c r="AS60" s="43" t="n"/>
      <c r="AT60" s="43" t="n"/>
      <c r="AU60" s="44" t="n"/>
      <c r="AV60" s="45">
        <f>IF(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&lt;=0,"",VLOOKUP(B60,country_opex,7,FALSE)/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)</f>
        <v/>
      </c>
      <c r="AW60" s="45">
        <f>IF(((T60*pax_cap*IF(B60="South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Korea",korea_mid_revleg,revleg_mid)),0))*VLOOKUP(B60,country_opex,3,FALSE))+W60+X60+Y60+Z60+AA60))&lt;=0,"",VLOOKUP(B60,country_opex,7,FALSE)/((T60*pax_cap*IF(B60="South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Korea",korea_mid_revleg,revleg_mid)),0))*VLOOKUP(B60,country_opex,3,FALSE))+W60+X60+Y60+Z60+AA60)))</f>
        <v/>
      </c>
      <c r="AX60" s="45">
        <f>IF(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&lt;=0,"",VLOOKUP(B60,country_opex,7,FALSE)/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)</f>
        <v/>
      </c>
      <c r="AY60" s="46" t="n"/>
      <c r="AZ60" s="46" t="n"/>
      <c r="BA60" s="34" t="inlineStr">
        <is>
          <t>rn-b3790c8e404e</t>
        </is>
      </c>
    </row>
    <row r="61">
      <c r="A61" s="31" t="inlineStr">
        <is>
          <t>Yango Namibia</t>
        </is>
      </c>
      <c r="B61" s="31" t="inlineStr">
        <is>
          <t>Namibia</t>
        </is>
      </c>
      <c r="C61" s="32" t="inlineStr">
        <is>
          <t>Walvis Bay Waterfront → Pelican Point</t>
        </is>
      </c>
      <c r="D61" s="33" t="n">
        <v>6</v>
      </c>
      <c r="E61" s="27" t="n">
        <v>48</v>
      </c>
      <c r="F61" s="34" t="inlineStr">
        <is>
          <t>T2</t>
        </is>
      </c>
      <c r="G61" s="34" t="inlineStr">
        <is>
          <t>med</t>
        </is>
      </c>
      <c r="H61" s="20" t="n">
        <v>1</v>
      </c>
      <c r="I61" s="35">
        <f>60*D61/cruise_kt</f>
        <v/>
      </c>
      <c r="J61" s="35">
        <f>IF(B61="South Korea",D61/korea_charge_range_nm*korea_full_range_charge_min,0)</f>
        <v/>
      </c>
      <c r="K61" s="35">
        <f>IF(B61="South Korea",I61+korea_turn_min+korea_dwell_min+J61,I61+turn_min+dwell_min)</f>
        <v/>
      </c>
      <c r="L61" s="36">
        <f>IF(B61="South Korea",FLOOR(60*korea_service_hr/K61,1),MIN(15,FLOOR(60*service_hr/K61,1)))</f>
        <v/>
      </c>
      <c r="M61" s="36">
        <f>IF(ABS(MOD(ABS((365*mech_uptime*H61)),1)-0.5)&lt;1E-9,2*ROUND((365*mech_uptime*H61)/2,0),ROUND((365*mech_uptime*H61),0))</f>
        <v/>
      </c>
      <c r="N61" s="37">
        <f>mech_uptime</f>
        <v/>
      </c>
      <c r="O61" s="37">
        <f>IF(AND(B61="South Korea",scenario="MID"),korea_mid_revleg,revleg_sel)</f>
        <v/>
      </c>
      <c r="P61" s="36">
        <f>IF(ABS(MOD(ABS((L61*M61*O61)),1)-0.5)&lt;1E-9,2*ROUND((L61*M61*O61)/2,0),ROUND((L61*M61*O61),0))</f>
        <v/>
      </c>
      <c r="Q61" s="37">
        <f>IF(AND(B61="South Korea",scenario="MID"),korea_mid_load,load_sel)</f>
        <v/>
      </c>
      <c r="R61" s="38">
        <f>pax_cap*Q61</f>
        <v/>
      </c>
      <c r="S61" s="36">
        <f>R61*P61</f>
        <v/>
      </c>
      <c r="T61" s="39">
        <f>E61*discount</f>
        <v/>
      </c>
      <c r="U61" s="40">
        <f>T61*S61</f>
        <v/>
      </c>
      <c r="V61" s="40">
        <f>(battery/range_nm)*D61*P61*VLOOKUP(B61,country_opex,3,FALSE)</f>
        <v/>
      </c>
      <c r="W61" s="40">
        <f>VLOOKUP(B61,country_opex,2,FALSE)*crew_factor</f>
        <v/>
      </c>
      <c r="X61" s="40">
        <f>VLOOKUP(B61,country_opex,5,FALSE)</f>
        <v/>
      </c>
      <c r="Y61" s="40">
        <f>maint</f>
        <v/>
      </c>
      <c r="Z61" s="40">
        <f>VLOOKUP(B61,country_opex,7,FALSE)*ins_pct</f>
        <v/>
      </c>
      <c r="AA61" s="40">
        <f>charge_berth</f>
        <v/>
      </c>
      <c r="AB61" s="40">
        <f>V61+W61+X61+Y61+Z61+AA61</f>
        <v/>
      </c>
      <c r="AC61" s="40">
        <f>VLOOKUP(B61,country_opex,7,FALSE)/dep_years</f>
        <v/>
      </c>
      <c r="AD61" s="40">
        <f>U61-AB61</f>
        <v/>
      </c>
      <c r="AE61" s="37">
        <f>IF(U61=0,"",AD61/U61)</f>
        <v/>
      </c>
      <c r="AF61" s="38">
        <f>IF(AD61&lt;=0,"",VLOOKUP(B61,country_opex,7,FALSE)/AD61)</f>
        <v/>
      </c>
      <c r="AG61" s="35">
        <f>((D61*P61/diesel_nmpg)*diesel_co2pg-(battery/range_nm)*D61*P61*VLOOKUP(B61,country_opex,4,FALSE))/1000</f>
        <v/>
      </c>
      <c r="AH61" s="33" t="n">
        <v>60000</v>
      </c>
      <c r="AI61" s="34" t="n"/>
      <c r="AJ61" s="34" t="inlineStr">
        <is>
          <t>med</t>
        </is>
      </c>
      <c r="AK61" s="41" t="n">
        <v>0.25</v>
      </c>
      <c r="AL61" s="36">
        <f>IF(AH61="","",AH61*AK61)</f>
        <v/>
      </c>
      <c r="AM61" s="36">
        <f>IF(OR(AH61="",S61=0),"",MIN(IF(AU61="",9.9E+99,AU61),FLOOR(AL61/S61,1)))</f>
        <v/>
      </c>
      <c r="AN61" s="40">
        <f>IF(AM61="","",AM61*IF(ABS(MOD(ABS((U61)),1)-0.5)&lt;1E-9,2*ROUND((U61)/2,0),ROUND((U61),0)))</f>
        <v/>
      </c>
      <c r="AO61" s="38">
        <f>IF(OR(AH61="",S61=0),"",MIN(IF(AU61="",9.9E+99,AU61),AL61/S61))</f>
        <v/>
      </c>
      <c r="AP61" s="40">
        <f>IF(AO61="","",AO61*IF(B61="South Korea",IF(ABS(MOD(ABS((U61)),1)-0.5)&lt;1E-9,2*ROUND((U61)/2,0),ROUND((U61),0)),U61))</f>
        <v/>
      </c>
      <c r="AQ61" s="42" t="n"/>
      <c r="AR61" s="34" t="inlineStr">
        <is>
          <t>Grounded</t>
        </is>
      </c>
      <c r="AS61" s="43" t="n"/>
      <c r="AT61" s="43" t="n"/>
      <c r="AU61" s="44" t="n"/>
      <c r="AV61" s="45">
        <f>IF(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&lt;=0,"",VLOOKUP(B61,country_opex,7,FALSE)/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)</f>
        <v/>
      </c>
      <c r="AW61" s="45">
        <f>IF(((T61*pax_cap*IF(B61="South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Korea",korea_mid_revleg,revleg_mid)),0))*VLOOKUP(B61,country_opex,3,FALSE))+W61+X61+Y61+Z61+AA61))&lt;=0,"",VLOOKUP(B61,country_opex,7,FALSE)/((T61*pax_cap*IF(B61="South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Korea",korea_mid_revleg,revleg_mid)),0))*VLOOKUP(B61,country_opex,3,FALSE))+W61+X61+Y61+Z61+AA61)))</f>
        <v/>
      </c>
      <c r="AX61" s="45">
        <f>IF(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&lt;=0,"",VLOOKUP(B61,country_opex,7,FALSE)/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)</f>
        <v/>
      </c>
      <c r="AY61" s="46" t="inlineStr">
        <is>
          <t>Walvis Bay dolphin &amp; seal cruise to Pelican Point — flagship marine product; multiple operators (Mola Mola, Levo, catamaran) at ~N$700-900 (~$40-50) per adult, 2026 operator pricing.</t>
        </is>
      </c>
      <c r="AZ61" s="46" t="n"/>
      <c r="BA61" s="34" t="n"/>
    </row>
    <row r="62">
      <c r="A62" s="31" t="inlineStr">
        <is>
          <t>Yango Namibia</t>
        </is>
      </c>
      <c r="B62" s="31" t="inlineStr">
        <is>
          <t>Namibia</t>
        </is>
      </c>
      <c r="C62" s="32" t="inlineStr">
        <is>
          <t>Walvis Bay Waterfront → Swakopmund</t>
        </is>
      </c>
      <c r="D62" s="33" t="n">
        <v>17</v>
      </c>
      <c r="E62" s="27" t="n">
        <v>15</v>
      </c>
      <c r="F62" s="34" t="inlineStr">
        <is>
          <t>T4</t>
        </is>
      </c>
      <c r="G62" s="34" t="inlineStr">
        <is>
          <t>low</t>
        </is>
      </c>
      <c r="H62" s="20" t="n">
        <v>1</v>
      </c>
      <c r="I62" s="35">
        <f>60*D62/cruise_kt</f>
        <v/>
      </c>
      <c r="J62" s="35">
        <f>IF(B62="South Korea",D62/korea_charge_range_nm*korea_full_range_charge_min,0)</f>
        <v/>
      </c>
      <c r="K62" s="35">
        <f>IF(B62="South Korea",I62+korea_turn_min+korea_dwell_min+J62,I62+turn_min+dwell_min)</f>
        <v/>
      </c>
      <c r="L62" s="36">
        <f>IF(B62="South Korea",FLOOR(60*korea_service_hr/K62,1),MIN(24,FLOOR(60*service_hr/K62,1)))</f>
        <v/>
      </c>
      <c r="M62" s="36">
        <f>IF(ABS(MOD(ABS((365*mech_uptime*H62)),1)-0.5)&lt;1E-9,2*ROUND((365*mech_uptime*H62)/2,0),ROUND((365*mech_uptime*H62),0))</f>
        <v/>
      </c>
      <c r="N62" s="37">
        <f>mech_uptime</f>
        <v/>
      </c>
      <c r="O62" s="37">
        <f>IF(AND(B62="South Korea",scenario="MID"),korea_mid_revleg,revleg_sel)</f>
        <v/>
      </c>
      <c r="P62" s="36">
        <f>IF(ABS(MOD(ABS((L62*M62*O62)),1)-0.5)&lt;1E-9,2*ROUND((L62*M62*O62)/2,0),ROUND((L62*M62*O62),0))</f>
        <v/>
      </c>
      <c r="Q62" s="37">
        <f>IF(AND(B62="South Korea",scenario="MID"),korea_mid_load,load_sel)</f>
        <v/>
      </c>
      <c r="R62" s="38">
        <f>pax_cap*Q62</f>
        <v/>
      </c>
      <c r="S62" s="36">
        <f>R62*P62</f>
        <v/>
      </c>
      <c r="T62" s="39">
        <f>E62*discount</f>
        <v/>
      </c>
      <c r="U62" s="40">
        <f>T62*S62</f>
        <v/>
      </c>
      <c r="V62" s="40">
        <f>(battery/range_nm)*D62*P62*VLOOKUP(B62,country_opex,3,FALSE)</f>
        <v/>
      </c>
      <c r="W62" s="40">
        <f>VLOOKUP(B62,country_opex,2,FALSE)*crew_factor</f>
        <v/>
      </c>
      <c r="X62" s="40">
        <f>VLOOKUP(B62,country_opex,5,FALSE)</f>
        <v/>
      </c>
      <c r="Y62" s="40">
        <f>maint</f>
        <v/>
      </c>
      <c r="Z62" s="40">
        <f>VLOOKUP(B62,country_opex,7,FALSE)*ins_pct</f>
        <v/>
      </c>
      <c r="AA62" s="40">
        <f>charge_berth</f>
        <v/>
      </c>
      <c r="AB62" s="40">
        <f>V62+W62+X62+Y62+Z62+AA62</f>
        <v/>
      </c>
      <c r="AC62" s="40">
        <f>VLOOKUP(B62,country_opex,7,FALSE)/dep_years</f>
        <v/>
      </c>
      <c r="AD62" s="40">
        <f>U62-AB62</f>
        <v/>
      </c>
      <c r="AE62" s="37">
        <f>IF(U62=0,"",AD62/U62)</f>
        <v/>
      </c>
      <c r="AF62" s="38">
        <f>IF(AD62&lt;=0,"",VLOOKUP(B62,country_opex,7,FALSE)/AD62)</f>
        <v/>
      </c>
      <c r="AG62" s="35">
        <f>((D62*P62/diesel_nmpg)*diesel_co2pg-(battery/range_nm)*D62*P62*VLOOKUP(B62,country_opex,4,FALSE))/1000</f>
        <v/>
      </c>
      <c r="AH62" s="33" t="n">
        <v>20000</v>
      </c>
      <c r="AI62" s="34" t="n"/>
      <c r="AJ62" s="34" t="inlineStr">
        <is>
          <t>low</t>
        </is>
      </c>
      <c r="AK62" s="41" t="n">
        <v>0.25</v>
      </c>
      <c r="AL62" s="36">
        <f>IF(AH62="","",AH62*AK62)</f>
        <v/>
      </c>
      <c r="AM62" s="36">
        <f>IF(OR(AH62="",S62=0),"",MIN(IF(AU62="",9.9E+99,AU62),FLOOR(AL62/S62,1)))</f>
        <v/>
      </c>
      <c r="AN62" s="40">
        <f>IF(AM62="","",AM62*IF(ABS(MOD(ABS((U62)),1)-0.5)&lt;1E-9,2*ROUND((U62)/2,0),ROUND((U62),0)))</f>
        <v/>
      </c>
      <c r="AO62" s="38">
        <f>IF(OR(AH62="",S62=0),"",MIN(IF(AU62="",9.9E+99,AU62),AL62/S62))</f>
        <v/>
      </c>
      <c r="AP62" s="40">
        <f>IF(AO62="","",AO62*IF(B62="South Korea",IF(ABS(MOD(ABS((U62)),1)-0.5)&lt;1E-9,2*ROUND((U62)/2,0),ROUND((U62),0)),U62))</f>
        <v/>
      </c>
      <c r="AQ62" s="42" t="n"/>
      <c r="AR62" s="34" t="inlineStr">
        <is>
          <t>Grounded</t>
        </is>
      </c>
      <c r="AS62" s="43" t="n"/>
      <c r="AT62" s="43" t="n"/>
      <c r="AU62" s="44" t="n"/>
      <c r="AV62" s="45">
        <f>IF(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&lt;=0,"",VLOOKUP(B62,country_opex,7,FALSE)/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)</f>
        <v/>
      </c>
      <c r="AW62" s="45">
        <f>IF(((T62*pax_cap*IF(B62="South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Korea",korea_mid_revleg,revleg_mid)),0))*VLOOKUP(B62,country_opex,3,FALSE))+W62+X62+Y62+Z62+AA62))&lt;=0,"",VLOOKUP(B62,country_opex,7,FALSE)/((T62*pax_cap*IF(B62="South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Korea",korea_mid_revleg,revleg_mid)),0))*VLOOKUP(B62,country_opex,3,FALSE))+W62+X62+Y62+Z62+AA62)))</f>
        <v/>
      </c>
      <c r="AX62" s="45">
        <f>IF(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&lt;=0,"",VLOOKUP(B62,country_opex,7,FALSE)/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)</f>
        <v/>
      </c>
      <c r="AY62" s="46" t="inlineStr">
        <is>
          <t>Modeled commuter/leisure fare for a ~30 km coastal resort link; no incumbent water service.</t>
        </is>
      </c>
      <c r="AZ62" s="46" t="n"/>
      <c r="BA62" s="34" t="n"/>
    </row>
    <row r="63">
      <c r="A63" s="31" t="inlineStr">
        <is>
          <t>Yango Namibia</t>
        </is>
      </c>
      <c r="B63" s="31" t="inlineStr">
        <is>
          <t>Namibia</t>
        </is>
      </c>
      <c r="C63" s="32" t="inlineStr">
        <is>
          <t>Walvis Bay Waterfront → Sandwich Harbour</t>
        </is>
      </c>
      <c r="D63" s="33" t="n">
        <v>26</v>
      </c>
      <c r="E63" s="27" t="n">
        <v>140</v>
      </c>
      <c r="F63" s="34" t="inlineStr">
        <is>
          <t>T2</t>
        </is>
      </c>
      <c r="G63" s="34" t="inlineStr">
        <is>
          <t>med</t>
        </is>
      </c>
      <c r="H63" s="20" t="n">
        <v>1</v>
      </c>
      <c r="I63" s="35">
        <f>60*D63/cruise_kt</f>
        <v/>
      </c>
      <c r="J63" s="35">
        <f>IF(B63="South Korea",D63/korea_charge_range_nm*korea_full_range_charge_min,0)</f>
        <v/>
      </c>
      <c r="K63" s="35">
        <f>IF(B63="South Korea",I63+korea_turn_min+korea_dwell_min+J63,I63+turn_min+dwell_min)</f>
        <v/>
      </c>
      <c r="L63" s="36">
        <f>IF(B63="South Korea",FLOOR(60*korea_service_hr/K63,1),MIN(15,FLOOR(60*service_hr/K63,1)))</f>
        <v/>
      </c>
      <c r="M63" s="36">
        <f>IF(ABS(MOD(ABS((365*mech_uptime*H63)),1)-0.5)&lt;1E-9,2*ROUND((365*mech_uptime*H63)/2,0),ROUND((365*mech_uptime*H63),0))</f>
        <v/>
      </c>
      <c r="N63" s="37">
        <f>mech_uptime</f>
        <v/>
      </c>
      <c r="O63" s="37">
        <f>IF(AND(B63="South Korea",scenario="MID"),korea_mid_revleg,revleg_sel)</f>
        <v/>
      </c>
      <c r="P63" s="36">
        <f>IF(ABS(MOD(ABS((L63*M63*O63)),1)-0.5)&lt;1E-9,2*ROUND((L63*M63*O63)/2,0),ROUND((L63*M63*O63),0))</f>
        <v/>
      </c>
      <c r="Q63" s="37">
        <f>IF(AND(B63="South Korea",scenario="MID"),korea_mid_load,load_sel)</f>
        <v/>
      </c>
      <c r="R63" s="38">
        <f>pax_cap*Q63</f>
        <v/>
      </c>
      <c r="S63" s="36">
        <f>R63*P63</f>
        <v/>
      </c>
      <c r="T63" s="39">
        <f>E63*discount</f>
        <v/>
      </c>
      <c r="U63" s="40">
        <f>T63*S63</f>
        <v/>
      </c>
      <c r="V63" s="40">
        <f>(battery/range_nm)*D63*P63*VLOOKUP(B63,country_opex,3,FALSE)</f>
        <v/>
      </c>
      <c r="W63" s="40">
        <f>VLOOKUP(B63,country_opex,2,FALSE)*crew_factor</f>
        <v/>
      </c>
      <c r="X63" s="40">
        <f>VLOOKUP(B63,country_opex,5,FALSE)</f>
        <v/>
      </c>
      <c r="Y63" s="40">
        <f>maint</f>
        <v/>
      </c>
      <c r="Z63" s="40">
        <f>VLOOKUP(B63,country_opex,7,FALSE)*ins_pct</f>
        <v/>
      </c>
      <c r="AA63" s="40">
        <f>charge_berth</f>
        <v/>
      </c>
      <c r="AB63" s="40">
        <f>V63+W63+X63+Y63+Z63+AA63</f>
        <v/>
      </c>
      <c r="AC63" s="40">
        <f>VLOOKUP(B63,country_opex,7,FALSE)/dep_years</f>
        <v/>
      </c>
      <c r="AD63" s="40">
        <f>U63-AB63</f>
        <v/>
      </c>
      <c r="AE63" s="37">
        <f>IF(U63=0,"",AD63/U63)</f>
        <v/>
      </c>
      <c r="AF63" s="38">
        <f>IF(AD63&lt;=0,"",VLOOKUP(B63,country_opex,7,FALSE)/AD63)</f>
        <v/>
      </c>
      <c r="AG63" s="35">
        <f>((D63*P63/diesel_nmpg)*diesel_co2pg-(battery/range_nm)*D63*P63*VLOOKUP(B63,country_opex,4,FALSE))/1000</f>
        <v/>
      </c>
      <c r="AH63" s="33" t="n">
        <v>15000</v>
      </c>
      <c r="AI63" s="34" t="n"/>
      <c r="AJ63" s="34" t="inlineStr">
        <is>
          <t>low</t>
        </is>
      </c>
      <c r="AK63" s="41" t="n">
        <v>0.25</v>
      </c>
      <c r="AL63" s="36">
        <f>IF(AH63="","",AH63*AK63)</f>
        <v/>
      </c>
      <c r="AM63" s="36">
        <f>IF(OR(AH63="",S63=0),"",MIN(IF(AU63="",9.9E+99,AU63),FLOOR(AL63/S63,1)))</f>
        <v/>
      </c>
      <c r="AN63" s="40">
        <f>IF(AM63="","",AM63*IF(ABS(MOD(ABS((U63)),1)-0.5)&lt;1E-9,2*ROUND((U63)/2,0),ROUND((U63),0)))</f>
        <v/>
      </c>
      <c r="AO63" s="38">
        <f>IF(OR(AH63="",S63=0),"",MIN(IF(AU63="",9.9E+99,AU63),AL63/S63))</f>
        <v/>
      </c>
      <c r="AP63" s="40">
        <f>IF(AO63="","",AO63*IF(B63="South Korea",IF(ABS(MOD(ABS((U63)),1)-0.5)&lt;1E-9,2*ROUND((U63)/2,0),ROUND((U63),0)),U63))</f>
        <v/>
      </c>
      <c r="AQ63" s="42" t="n"/>
      <c r="AR63" s="34" t="inlineStr">
        <is>
          <t>Grounded</t>
        </is>
      </c>
      <c r="AS63" s="43" t="n"/>
      <c r="AT63" s="43" t="n"/>
      <c r="AU63" s="44" t="n"/>
      <c r="AV63" s="45">
        <f>IF(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&lt;=0,"",VLOOKUP(B63,country_opex,7,FALSE)/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)</f>
        <v/>
      </c>
      <c r="AW63" s="45">
        <f>IF(((T63*pax_cap*IF(B63="South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Korea",korea_mid_revleg,revleg_mid)),0))*VLOOKUP(B63,country_opex,3,FALSE))+W63+X63+Y63+Z63+AA63))&lt;=0,"",VLOOKUP(B63,country_opex,7,FALSE)/((T63*pax_cap*IF(B63="South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Korea",korea_mid_revleg,revleg_mid)),0))*VLOOKUP(B63,country_opex,3,FALSE))+W63+X63+Y63+Z63+AA63)))</f>
        <v/>
      </c>
      <c r="AX63" s="45">
        <f>IF(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&lt;=0,"",VLOOKUP(B63,country_opex,7,FALSE)/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)</f>
        <v/>
      </c>
      <c r="AY63" s="46" t="inlineStr">
        <is>
          <t>Sandwich Harbour full-day tour ~N$2500-2600 (~$140) per person, 2026 operator pricing (currently predominantly 4x4 access).</t>
        </is>
      </c>
      <c r="AZ63" s="46" t="n"/>
      <c r="BA63" s="34" t="n"/>
    </row>
    <row r="64">
      <c r="A64" s="31" t="inlineStr">
        <is>
          <t>Yango Pakistan</t>
        </is>
      </c>
      <c r="B64" s="31" t="inlineStr">
        <is>
          <t>Pakistan</t>
        </is>
      </c>
      <c r="C64" s="32" t="inlineStr">
        <is>
          <t>Karachi Harbour (Native Jetty / Keamari) → Port Grand creek / mangrove backwaters</t>
        </is>
      </c>
      <c r="D64" s="33" t="n">
        <v>1</v>
      </c>
      <c r="E64" s="27" t="n">
        <v>18</v>
      </c>
      <c r="F64" s="34" t="inlineStr">
        <is>
          <t>T2</t>
        </is>
      </c>
      <c r="G64" s="34" t="inlineStr">
        <is>
          <t>med</t>
        </is>
      </c>
      <c r="H64" s="20" t="n">
        <v>1</v>
      </c>
      <c r="I64" s="35">
        <f>60*D64/cruise_kt</f>
        <v/>
      </c>
      <c r="J64" s="35">
        <f>IF(B64="South Korea",D64/korea_charge_range_nm*korea_full_range_charge_min,0)</f>
        <v/>
      </c>
      <c r="K64" s="35">
        <f>IF(B64="South Korea",I64+korea_turn_min+korea_dwell_min+J64,I64+turn_min+dwell_min)</f>
        <v/>
      </c>
      <c r="L64" s="36">
        <f>IF(B64="South Korea",FLOOR(60*korea_service_hr/K64,1),MIN(15,FLOOR(60*service_hr/K64,1)))</f>
        <v/>
      </c>
      <c r="M64" s="36">
        <f>IF(ABS(MOD(ABS((365*mech_uptime*H64)),1)-0.5)&lt;1E-9,2*ROUND((365*mech_uptime*H64)/2,0),ROUND((365*mech_uptime*H64),0))</f>
        <v/>
      </c>
      <c r="N64" s="37">
        <f>mech_uptime</f>
        <v/>
      </c>
      <c r="O64" s="37">
        <f>IF(AND(B64="South Korea",scenario="MID"),korea_mid_revleg,revleg_sel)</f>
        <v/>
      </c>
      <c r="P64" s="36">
        <f>IF(ABS(MOD(ABS((L64*M64*O64)),1)-0.5)&lt;1E-9,2*ROUND((L64*M64*O64)/2,0),ROUND((L64*M64*O64),0))</f>
        <v/>
      </c>
      <c r="Q64" s="37">
        <f>IF(AND(B64="South Korea",scenario="MID"),korea_mid_load,load_sel)</f>
        <v/>
      </c>
      <c r="R64" s="38">
        <f>pax_cap*Q64</f>
        <v/>
      </c>
      <c r="S64" s="36">
        <f>R64*P64</f>
        <v/>
      </c>
      <c r="T64" s="39">
        <f>E64*discount</f>
        <v/>
      </c>
      <c r="U64" s="40">
        <f>T64*S64</f>
        <v/>
      </c>
      <c r="V64" s="40">
        <f>(battery/range_nm)*D64*P64*VLOOKUP(B64,country_opex,3,FALSE)</f>
        <v/>
      </c>
      <c r="W64" s="40">
        <f>VLOOKUP(B64,country_opex,2,FALSE)*crew_factor</f>
        <v/>
      </c>
      <c r="X64" s="40">
        <f>VLOOKUP(B64,country_opex,5,FALSE)</f>
        <v/>
      </c>
      <c r="Y64" s="40">
        <f>maint</f>
        <v/>
      </c>
      <c r="Z64" s="40">
        <f>VLOOKUP(B64,country_opex,7,FALSE)*ins_pct</f>
        <v/>
      </c>
      <c r="AA64" s="40">
        <f>charge_berth</f>
        <v/>
      </c>
      <c r="AB64" s="40">
        <f>V64+W64+X64+Y64+Z64+AA64</f>
        <v/>
      </c>
      <c r="AC64" s="40">
        <f>VLOOKUP(B64,country_opex,7,FALSE)/dep_years</f>
        <v/>
      </c>
      <c r="AD64" s="40">
        <f>U64-AB64</f>
        <v/>
      </c>
      <c r="AE64" s="37">
        <f>IF(U64=0,"",AD64/U64)</f>
        <v/>
      </c>
      <c r="AF64" s="38">
        <f>IF(AD64&lt;=0,"",VLOOKUP(B64,country_opex,7,FALSE)/AD64)</f>
        <v/>
      </c>
      <c r="AG64" s="35">
        <f>((D64*P64/diesel_nmpg)*diesel_co2pg-(battery/range_nm)*D64*P64*VLOOKUP(B64,country_opex,4,FALSE))/1000</f>
        <v/>
      </c>
      <c r="AH64" s="33" t="n"/>
      <c r="AI64" s="34" t="n"/>
      <c r="AJ64" s="34" t="n"/>
      <c r="AK64" s="41" t="n">
        <v>0.1</v>
      </c>
      <c r="AL64" s="36">
        <f>IF(AH64="","",AH64*AK64)</f>
        <v/>
      </c>
      <c r="AM64" s="36">
        <f>IF(OR(AH64="",S64=0),"",MIN(IF(AU64="",9.9E+99,AU64),FLOOR(AL64/S64,1)))</f>
        <v/>
      </c>
      <c r="AN64" s="40">
        <f>IF(AM64="","",AM64*IF(ABS(MOD(ABS((U64)),1)-0.5)&lt;1E-9,2*ROUND((U64)/2,0),ROUND((U64),0)))</f>
        <v/>
      </c>
      <c r="AO64" s="38">
        <f>IF(OR(AH64="",S64=0),"",MIN(IF(AU64="",9.9E+99,AU64),AL64/S64))</f>
        <v/>
      </c>
      <c r="AP64" s="40">
        <f>IF(AO64="","",AO64*IF(B64="South Korea",IF(ABS(MOD(ABS((U64)),1)-0.5)&lt;1E-9,2*ROUND((U64)/2,0),ROUND((U64),0)),U64))</f>
        <v/>
      </c>
      <c r="AQ64" s="42" t="n"/>
      <c r="AR64" s="34" t="inlineStr">
        <is>
          <t>Estimated</t>
        </is>
      </c>
      <c r="AS64" s="43" t="n"/>
      <c r="AT64" s="43" t="n"/>
      <c r="AU64" s="44" t="n"/>
      <c r="AV64" s="45">
        <f>IF(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&lt;=0,"",VLOOKUP(B64,country_opex,7,FALSE)/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)</f>
        <v/>
      </c>
      <c r="AW64" s="45">
        <f>IF(((T64*pax_cap*IF(B64="South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Korea",korea_mid_revleg,revleg_mid)),0))*VLOOKUP(B64,country_opex,3,FALSE))+W64+X64+Y64+Z64+AA64))&lt;=0,"",VLOOKUP(B64,country_opex,7,FALSE)/((T64*pax_cap*IF(B64="South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Korea",korea_mid_revleg,revleg_mid)),0))*VLOOKUP(B64,country_opex,3,FALSE))+W64+X64+Y64+Z64+AA64)))</f>
        <v/>
      </c>
      <c r="AX64" s="45">
        <f>IF(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&lt;=0,"",VLOOKUP(B64,country_opex,7,FALSE)/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)</f>
        <v/>
      </c>
      <c r="AY64" s="46" t="inlineStr">
        <is>
          <t>[LB-255 PREMIUM RE-FARE: subsidized comparable $3.6 lifted to premium on-demand floor $18.0] PREMIUM/scheduled tier = creek &amp; mangrove cruise per-seat Rs 1,000 (~$3.6, incl. free Port Grand entry). DHA Marina Club party boats (30-50 pax, fully AC) are the higher charter tier but no per-seat fare is published. FLAG: this is a low-priced leisure-cruise seat, well below the Dubai RTA premium convention - reflects the nascent local pricing.</t>
        </is>
      </c>
      <c r="AZ64" s="46" t="n"/>
      <c r="BA64" s="34" t="n"/>
    </row>
    <row r="65">
      <c r="A65" s="31" t="inlineStr">
        <is>
          <t>Yango Pakistan</t>
        </is>
      </c>
      <c r="B65" s="31" t="inlineStr">
        <is>
          <t>Pakistan</t>
        </is>
      </c>
      <c r="C65" s="32" t="inlineStr">
        <is>
          <t>Karachi (Keamari) → Manora</t>
        </is>
      </c>
      <c r="D65" s="33" t="n">
        <v>1.5</v>
      </c>
      <c r="E65" s="27" t="n">
        <v>23.2</v>
      </c>
      <c r="F65" s="34" t="inlineStr">
        <is>
          <t>T2</t>
        </is>
      </c>
      <c r="G65" s="34" t="inlineStr">
        <is>
          <t>med</t>
        </is>
      </c>
      <c r="H65" s="20" t="n">
        <v>1</v>
      </c>
      <c r="I65" s="35">
        <f>60*D65/cruise_kt</f>
        <v/>
      </c>
      <c r="J65" s="35">
        <f>IF(B65="South Korea",D65/korea_charge_range_nm*korea_full_range_charge_min,0)</f>
        <v/>
      </c>
      <c r="K65" s="35">
        <f>IF(B65="South Korea",I65+korea_turn_min+korea_dwell_min+J65,I65+turn_min+dwell_min)</f>
        <v/>
      </c>
      <c r="L65" s="36">
        <f>IF(B65="South Korea",FLOOR(60*korea_service_hr/K65,1),MIN(24,FLOOR(60*service_hr/K65,1)))</f>
        <v/>
      </c>
      <c r="M65" s="36">
        <f>IF(ABS(MOD(ABS((365*mech_uptime*H65)),1)-0.5)&lt;1E-9,2*ROUND((365*mech_uptime*H65)/2,0),ROUND((365*mech_uptime*H65),0))</f>
        <v/>
      </c>
      <c r="N65" s="37">
        <f>mech_uptime</f>
        <v/>
      </c>
      <c r="O65" s="37">
        <f>IF(AND(B65="South Korea",scenario="MID"),korea_mid_revleg,revleg_sel)</f>
        <v/>
      </c>
      <c r="P65" s="36">
        <f>IF(ABS(MOD(ABS((L65*M65*O65)),1)-0.5)&lt;1E-9,2*ROUND((L65*M65*O65)/2,0),ROUND((L65*M65*O65),0))</f>
        <v/>
      </c>
      <c r="Q65" s="37">
        <f>IF(AND(B65="South Korea",scenario="MID"),korea_mid_load,load_sel)</f>
        <v/>
      </c>
      <c r="R65" s="38">
        <f>pax_cap*Q65</f>
        <v/>
      </c>
      <c r="S65" s="36">
        <f>R65*P65</f>
        <v/>
      </c>
      <c r="T65" s="39">
        <f>E65*discount</f>
        <v/>
      </c>
      <c r="U65" s="40">
        <f>T65*S65</f>
        <v/>
      </c>
      <c r="V65" s="40">
        <f>(battery/range_nm)*D65*P65*VLOOKUP(B65,country_opex,3,FALSE)</f>
        <v/>
      </c>
      <c r="W65" s="40">
        <f>VLOOKUP(B65,country_opex,2,FALSE)*crew_factor</f>
        <v/>
      </c>
      <c r="X65" s="40">
        <f>VLOOKUP(B65,country_opex,5,FALSE)</f>
        <v/>
      </c>
      <c r="Y65" s="40">
        <f>maint</f>
        <v/>
      </c>
      <c r="Z65" s="40">
        <f>VLOOKUP(B65,country_opex,7,FALSE)*ins_pct</f>
        <v/>
      </c>
      <c r="AA65" s="40">
        <f>charge_berth</f>
        <v/>
      </c>
      <c r="AB65" s="40">
        <f>V65+W65+X65+Y65+Z65+AA65</f>
        <v/>
      </c>
      <c r="AC65" s="40">
        <f>VLOOKUP(B65,country_opex,7,FALSE)/dep_years</f>
        <v/>
      </c>
      <c r="AD65" s="40">
        <f>U65-AB65</f>
        <v/>
      </c>
      <c r="AE65" s="37">
        <f>IF(U65=0,"",AD65/U65)</f>
        <v/>
      </c>
      <c r="AF65" s="38">
        <f>IF(AD65&lt;=0,"",VLOOKUP(B65,country_opex,7,FALSE)/AD65)</f>
        <v/>
      </c>
      <c r="AG65" s="35">
        <f>((D65*P65/diesel_nmpg)*diesel_co2pg-(battery/range_nm)*D65*P65*VLOOKUP(B65,country_opex,4,FALSE))/1000</f>
        <v/>
      </c>
      <c r="AH65" s="33" t="n">
        <v>320000</v>
      </c>
      <c r="AI65" s="34" t="n"/>
      <c r="AJ65" s="34" t="n"/>
      <c r="AK65" s="41" t="n">
        <v>0.1</v>
      </c>
      <c r="AL65" s="36">
        <f>IF(AH65="","",AH65*AK65)</f>
        <v/>
      </c>
      <c r="AM65" s="36">
        <f>IF(OR(AH65="",S65=0),"",MIN(IF(AU65="",9.9E+99,AU65),FLOOR(AL65/S65,1)))</f>
        <v/>
      </c>
      <c r="AN65" s="40">
        <f>IF(AM65="","",AM65*IF(ABS(MOD(ABS((U65)),1)-0.5)&lt;1E-9,2*ROUND((U65)/2,0),ROUND((U65),0)))</f>
        <v/>
      </c>
      <c r="AO65" s="38">
        <f>IF(OR(AH65="",S65=0),"",MIN(IF(AU65="",9.9E+99,AU65),AL65/S65))</f>
        <v/>
      </c>
      <c r="AP65" s="40">
        <f>IF(AO65="","",AO65*IF(B65="South Korea",IF(ABS(MOD(ABS((U65)),1)-0.5)&lt;1E-9,2*ROUND((U65)/2,0),ROUND((U65),0)),U65))</f>
        <v/>
      </c>
      <c r="AQ65" s="42" t="n"/>
      <c r="AR65" s="34" t="inlineStr">
        <is>
          <t>Grounded</t>
        </is>
      </c>
      <c r="AS65" s="43" t="n"/>
      <c r="AT65" s="43" t="n"/>
      <c r="AU65" s="44" t="n"/>
      <c r="AV65" s="45">
        <f>IF(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&lt;=0,"",VLOOKUP(B65,country_opex,7,FALSE)/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)</f>
        <v/>
      </c>
      <c r="AW65" s="45">
        <f>IF(((T65*pax_cap*IF(B65="South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Korea",korea_mid_revleg,revleg_mid)),0))*VLOOKUP(B65,country_opex,3,FALSE))+W65+X65+Y65+Z65+AA65))&lt;=0,"",VLOOKUP(B65,country_opex,7,FALSE)/((T65*pax_cap*IF(B65="South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Korea",korea_mid_revleg,revleg_mid)),0))*VLOOKUP(B65,country_opex,3,FALSE))+W65+X65+Y65+Z65+AA65)))</f>
        <v/>
      </c>
      <c r="AX65" s="45">
        <f>IF(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&lt;=0,"",VLOOKUP(B65,country_opex,7,FALSE)/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)</f>
        <v/>
      </c>
      <c r="AY65" s="46" t="inlineStr">
        <is>
          <t>PREMIUM tier = scheduled luxury cruise from Keamari (Coast Guard Jetty-1) Rs 6,500/adult (3.5-hr experience; child Rs ~3,500) ~= $23.2 - the highest scheduled marine product on this corridor today. FLAG: this is a 3.5-hr cruise product, not a point-to-point premium shuttle seat; a true scheduled fast Keamari&lt;-&gt;Manora premium seat does not yet exist (the new 74-pax passenger-ferry project, no fare published, would create it).</t>
        </is>
      </c>
      <c r="AZ65" s="46" t="n"/>
      <c r="BA65" s="34" t="inlineStr">
        <is>
          <t>rn-2ce5840c4e2d</t>
        </is>
      </c>
    </row>
    <row r="66">
      <c r="A66" s="31" t="inlineStr">
        <is>
          <t>Yango Pakistan</t>
        </is>
      </c>
      <c r="B66" s="31" t="inlineStr">
        <is>
          <t>Pakistan</t>
        </is>
      </c>
      <c r="C66" s="32" t="inlineStr">
        <is>
          <t>Keamari → Sandspit / Hawksbay</t>
        </is>
      </c>
      <c r="D66" s="33" t="n">
        <v>5</v>
      </c>
      <c r="E66" s="27" t="n"/>
      <c r="F66" s="34" t="n"/>
      <c r="G66" s="34" t="n"/>
      <c r="H66" s="20" t="n">
        <v>1</v>
      </c>
      <c r="I66" s="35">
        <f>60*D66/cruise_kt</f>
        <v/>
      </c>
      <c r="J66" s="35">
        <f>IF(B66="South Korea",D66/korea_charge_range_nm*korea_full_range_charge_min,0)</f>
        <v/>
      </c>
      <c r="K66" s="35">
        <f>IF(B66="South Korea",I66+korea_turn_min+korea_dwell_min+J66,I66+turn_min+dwell_min)</f>
        <v/>
      </c>
      <c r="L66" s="36">
        <f>IF(B66="South Korea",FLOOR(60*korea_service_hr/K66,1),MIN(24,FLOOR(60*service_hr/K66,1)))</f>
        <v/>
      </c>
      <c r="M66" s="36">
        <f>IF(ABS(MOD(ABS((365*mech_uptime*H66)),1)-0.5)&lt;1E-9,2*ROUND((365*mech_uptime*H66)/2,0),ROUND((365*mech_uptime*H66),0))</f>
        <v/>
      </c>
      <c r="N66" s="37">
        <f>mech_uptime</f>
        <v/>
      </c>
      <c r="O66" s="37">
        <f>IF(AND(B66="South Korea",scenario="MID"),korea_mid_revleg,revleg_sel)</f>
        <v/>
      </c>
      <c r="P66" s="36">
        <f>IF(ABS(MOD(ABS((L66*M66*O66)),1)-0.5)&lt;1E-9,2*ROUND((L66*M66*O66)/2,0),ROUND((L66*M66*O66),0))</f>
        <v/>
      </c>
      <c r="Q66" s="37">
        <f>IF(AND(B66="South Korea",scenario="MID"),korea_mid_load,load_sel)</f>
        <v/>
      </c>
      <c r="R66" s="38">
        <f>pax_cap*Q66</f>
        <v/>
      </c>
      <c r="S66" s="36">
        <f>R66*P66</f>
        <v/>
      </c>
      <c r="T66" s="39">
        <f>E66*discount</f>
        <v/>
      </c>
      <c r="U66" s="40">
        <f>T66*S66</f>
        <v/>
      </c>
      <c r="V66" s="40">
        <f>(battery/range_nm)*D66*P66*VLOOKUP(B66,country_opex,3,FALSE)</f>
        <v/>
      </c>
      <c r="W66" s="40">
        <f>VLOOKUP(B66,country_opex,2,FALSE)*crew_factor</f>
        <v/>
      </c>
      <c r="X66" s="40">
        <f>VLOOKUP(B66,country_opex,5,FALSE)</f>
        <v/>
      </c>
      <c r="Y66" s="40">
        <f>maint</f>
        <v/>
      </c>
      <c r="Z66" s="40">
        <f>VLOOKUP(B66,country_opex,7,FALSE)*ins_pct</f>
        <v/>
      </c>
      <c r="AA66" s="40">
        <f>charge_berth</f>
        <v/>
      </c>
      <c r="AB66" s="40">
        <f>V66+W66+X66+Y66+Z66+AA66</f>
        <v/>
      </c>
      <c r="AC66" s="40">
        <f>VLOOKUP(B66,country_opex,7,FALSE)/dep_years</f>
        <v/>
      </c>
      <c r="AD66" s="40">
        <f>U66-AB66</f>
        <v/>
      </c>
      <c r="AE66" s="37">
        <f>IF(U66=0,"",AD66/U66)</f>
        <v/>
      </c>
      <c r="AF66" s="38">
        <f>IF(AD66&lt;=0,"",VLOOKUP(B66,country_opex,7,FALSE)/AD66)</f>
        <v/>
      </c>
      <c r="AG66" s="35">
        <f>((D66*P66/diesel_nmpg)*diesel_co2pg-(battery/range_nm)*D66*P66*VLOOKUP(B66,country_opex,4,FALSE))/1000</f>
        <v/>
      </c>
      <c r="AH66" s="33" t="n"/>
      <c r="AI66" s="34" t="n"/>
      <c r="AJ66" s="34" t="n"/>
      <c r="AK66" s="41" t="n">
        <v>0.1</v>
      </c>
      <c r="AL66" s="36">
        <f>IF(AH66="","",AH66*AK66)</f>
        <v/>
      </c>
      <c r="AM66" s="36">
        <f>IF(OR(AH66="",S66=0),"",MIN(IF(AU66="",9.9E+99,AU66),FLOOR(AL66/S66,1)))</f>
        <v/>
      </c>
      <c r="AN66" s="40">
        <f>IF(AM66="","",AM66*IF(ABS(MOD(ABS((U66)),1)-0.5)&lt;1E-9,2*ROUND((U66)/2,0),ROUND((U66),0)))</f>
        <v/>
      </c>
      <c r="AO66" s="38">
        <f>IF(OR(AH66="",S66=0),"",MIN(IF(AU66="",9.9E+99,AU66),AL66/S66))</f>
        <v/>
      </c>
      <c r="AP66" s="40">
        <f>IF(AO66="","",AO66*IF(B66="South Korea",IF(ABS(MOD(ABS((U66)),1)-0.5)&lt;1E-9,2*ROUND((U66)/2,0),ROUND((U66),0)),U66))</f>
        <v/>
      </c>
      <c r="AQ66" s="42" t="n"/>
      <c r="AR66" s="34" t="inlineStr">
        <is>
          <t>Estimated</t>
        </is>
      </c>
      <c r="AS66" s="43" t="n"/>
      <c r="AT66" s="43" t="n"/>
      <c r="AU66" s="44" t="n"/>
      <c r="AV66" s="45">
        <f>IF(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&lt;=0,"",VLOOKUP(B66,country_opex,7,FALSE)/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)</f>
        <v/>
      </c>
      <c r="AW66" s="45">
        <f>IF(((T66*pax_cap*IF(B66="South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Korea",korea_mid_revleg,revleg_mid)),0))*VLOOKUP(B66,country_opex,3,FALSE))+W66+X66+Y66+Z66+AA66))&lt;=0,"",VLOOKUP(B66,country_opex,7,FALSE)/((T66*pax_cap*IF(B66="South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Korea",korea_mid_revleg,revleg_mid)),0))*VLOOKUP(B66,country_opex,3,FALSE))+W66+X66+Y66+Z66+AA66)))</f>
        <v/>
      </c>
      <c r="AX66" s="45">
        <f>IF(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&lt;=0,"",VLOOKUP(B66,country_opex,7,FALSE)/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)</f>
        <v/>
      </c>
      <c r="AY66" s="46" t="n"/>
      <c r="AZ66" s="46" t="n"/>
      <c r="BA66" s="34" t="inlineStr">
        <is>
          <t>rn-08bcf42dc684</t>
        </is>
      </c>
    </row>
    <row r="67">
      <c r="A67" s="31" t="inlineStr">
        <is>
          <t>Yango Pakistan</t>
        </is>
      </c>
      <c r="B67" s="31" t="inlineStr">
        <is>
          <t>Pakistan</t>
        </is>
      </c>
      <c r="C67" s="32" t="inlineStr">
        <is>
          <t>Clifton / Sea View → DHA Phase 8 Creek (Marina Club / HMR Waterfront)</t>
        </is>
      </c>
      <c r="D67" s="33" t="n">
        <v>6</v>
      </c>
      <c r="E67" s="27" t="n"/>
      <c r="F67" s="34" t="n"/>
      <c r="G67" s="34" t="n"/>
      <c r="H67" s="20" t="n">
        <v>1</v>
      </c>
      <c r="I67" s="35">
        <f>60*D67/cruise_kt</f>
        <v/>
      </c>
      <c r="J67" s="35">
        <f>IF(B67="South Korea",D67/korea_charge_range_nm*korea_full_range_charge_min,0)</f>
        <v/>
      </c>
      <c r="K67" s="35">
        <f>IF(B67="South Korea",I67+korea_turn_min+korea_dwell_min+J67,I67+turn_min+dwell_min)</f>
        <v/>
      </c>
      <c r="L67" s="36">
        <f>IF(B67="South Korea",FLOOR(60*korea_service_hr/K67,1),MIN(24,FLOOR(60*service_hr/K67,1)))</f>
        <v/>
      </c>
      <c r="M67" s="36">
        <f>IF(ABS(MOD(ABS((365*mech_uptime*H67)),1)-0.5)&lt;1E-9,2*ROUND((365*mech_uptime*H67)/2,0),ROUND((365*mech_uptime*H67),0))</f>
        <v/>
      </c>
      <c r="N67" s="37">
        <f>mech_uptime</f>
        <v/>
      </c>
      <c r="O67" s="37">
        <f>IF(AND(B67="South Korea",scenario="MID"),korea_mid_revleg,revleg_sel)</f>
        <v/>
      </c>
      <c r="P67" s="36">
        <f>IF(ABS(MOD(ABS((L67*M67*O67)),1)-0.5)&lt;1E-9,2*ROUND((L67*M67*O67)/2,0),ROUND((L67*M67*O67),0))</f>
        <v/>
      </c>
      <c r="Q67" s="37">
        <f>IF(AND(B67="South Korea",scenario="MID"),korea_mid_load,load_sel)</f>
        <v/>
      </c>
      <c r="R67" s="38">
        <f>pax_cap*Q67</f>
        <v/>
      </c>
      <c r="S67" s="36">
        <f>R67*P67</f>
        <v/>
      </c>
      <c r="T67" s="39">
        <f>E67*discount</f>
        <v/>
      </c>
      <c r="U67" s="40">
        <f>T67*S67</f>
        <v/>
      </c>
      <c r="V67" s="40">
        <f>(battery/range_nm)*D67*P67*VLOOKUP(B67,country_opex,3,FALSE)</f>
        <v/>
      </c>
      <c r="W67" s="40">
        <f>VLOOKUP(B67,country_opex,2,FALSE)*crew_factor</f>
        <v/>
      </c>
      <c r="X67" s="40">
        <f>VLOOKUP(B67,country_opex,5,FALSE)</f>
        <v/>
      </c>
      <c r="Y67" s="40">
        <f>maint</f>
        <v/>
      </c>
      <c r="Z67" s="40">
        <f>VLOOKUP(B67,country_opex,7,FALSE)*ins_pct</f>
        <v/>
      </c>
      <c r="AA67" s="40">
        <f>charge_berth</f>
        <v/>
      </c>
      <c r="AB67" s="40">
        <f>V67+W67+X67+Y67+Z67+AA67</f>
        <v/>
      </c>
      <c r="AC67" s="40">
        <f>VLOOKUP(B67,country_opex,7,FALSE)/dep_years</f>
        <v/>
      </c>
      <c r="AD67" s="40">
        <f>U67-AB67</f>
        <v/>
      </c>
      <c r="AE67" s="37">
        <f>IF(U67=0,"",AD67/U67)</f>
        <v/>
      </c>
      <c r="AF67" s="38">
        <f>IF(AD67&lt;=0,"",VLOOKUP(B67,country_opex,7,FALSE)/AD67)</f>
        <v/>
      </c>
      <c r="AG67" s="35">
        <f>((D67*P67/diesel_nmpg)*diesel_co2pg-(battery/range_nm)*D67*P67*VLOOKUP(B67,country_opex,4,FALSE))/1000</f>
        <v/>
      </c>
      <c r="AH67" s="33" t="n"/>
      <c r="AI67" s="34" t="n"/>
      <c r="AJ67" s="34" t="n"/>
      <c r="AK67" s="41" t="n">
        <v>0.1</v>
      </c>
      <c r="AL67" s="36">
        <f>IF(AH67="","",AH67*AK67)</f>
        <v/>
      </c>
      <c r="AM67" s="36">
        <f>IF(OR(AH67="",S67=0),"",MIN(IF(AU67="",9.9E+99,AU67),FLOOR(AL67/S67,1)))</f>
        <v/>
      </c>
      <c r="AN67" s="40">
        <f>IF(AM67="","",AM67*IF(ABS(MOD(ABS((U67)),1)-0.5)&lt;1E-9,2*ROUND((U67)/2,0),ROUND((U67),0)))</f>
        <v/>
      </c>
      <c r="AO67" s="38">
        <f>IF(OR(AH67="",S67=0),"",MIN(IF(AU67="",9.9E+99,AU67),AL67/S67))</f>
        <v/>
      </c>
      <c r="AP67" s="40">
        <f>IF(AO67="","",AO67*IF(B67="South Korea",IF(ABS(MOD(ABS((U67)),1)-0.5)&lt;1E-9,2*ROUND((U67)/2,0),ROUND((U67),0)),U67))</f>
        <v/>
      </c>
      <c r="AQ67" s="42" t="n"/>
      <c r="AR67" s="34" t="inlineStr">
        <is>
          <t>Estimated</t>
        </is>
      </c>
      <c r="AS67" s="43" t="n"/>
      <c r="AT67" s="43" t="n"/>
      <c r="AU67" s="44" t="n"/>
      <c r="AV67" s="45">
        <f>IF(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&lt;=0,"",VLOOKUP(B67,country_opex,7,FALSE)/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)</f>
        <v/>
      </c>
      <c r="AW67" s="45">
        <f>IF(((T67*pax_cap*IF(B67="South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Korea",korea_mid_revleg,revleg_mid)),0))*VLOOKUP(B67,country_opex,3,FALSE))+W67+X67+Y67+Z67+AA67))&lt;=0,"",VLOOKUP(B67,country_opex,7,FALSE)/((T67*pax_cap*IF(B67="South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Korea",korea_mid_revleg,revleg_mid)),0))*VLOOKUP(B67,country_opex,3,FALSE))+W67+X67+Y67+Z67+AA67)))</f>
        <v/>
      </c>
      <c r="AX67" s="45">
        <f>IF(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&lt;=0,"",VLOOKUP(B67,country_opex,7,FALSE)/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)</f>
        <v/>
      </c>
      <c r="AY67" s="46" t="n"/>
      <c r="AZ67" s="46" t="n"/>
      <c r="BA67" s="34" t="n"/>
    </row>
    <row r="68">
      <c r="A68" s="31" t="inlineStr">
        <is>
          <t>Yango Pakistan</t>
        </is>
      </c>
      <c r="B68" s="31" t="inlineStr">
        <is>
          <t>Pakistan</t>
        </is>
      </c>
      <c r="C68" s="32" t="inlineStr">
        <is>
          <t>Karachi Port (KPT) → Port Qasim</t>
        </is>
      </c>
      <c r="D68" s="33" t="n">
        <v>22</v>
      </c>
      <c r="E68" s="27" t="n"/>
      <c r="F68" s="34" t="n"/>
      <c r="G68" s="34" t="n"/>
      <c r="H68" s="20" t="n">
        <v>1</v>
      </c>
      <c r="I68" s="35">
        <f>60*D68/cruise_kt</f>
        <v/>
      </c>
      <c r="J68" s="35">
        <f>IF(B68="South Korea",D68/korea_charge_range_nm*korea_full_range_charge_min,0)</f>
        <v/>
      </c>
      <c r="K68" s="35">
        <f>IF(B68="South Korea",I68+korea_turn_min+korea_dwell_min+J68,I68+turn_min+dwell_min)</f>
        <v/>
      </c>
      <c r="L68" s="36">
        <f>IF(B68="South Korea",FLOOR(60*korea_service_hr/K68,1),MIN(24,FLOOR(60*service_hr/K68,1)))</f>
        <v/>
      </c>
      <c r="M68" s="36">
        <f>IF(ABS(MOD(ABS((365*mech_uptime*H68)),1)-0.5)&lt;1E-9,2*ROUND((365*mech_uptime*H68)/2,0),ROUND((365*mech_uptime*H68),0))</f>
        <v/>
      </c>
      <c r="N68" s="37">
        <f>mech_uptime</f>
        <v/>
      </c>
      <c r="O68" s="37">
        <f>IF(AND(B68="South Korea",scenario="MID"),korea_mid_revleg,revleg_sel)</f>
        <v/>
      </c>
      <c r="P68" s="36">
        <f>IF(ABS(MOD(ABS((L68*M68*O68)),1)-0.5)&lt;1E-9,2*ROUND((L68*M68*O68)/2,0),ROUND((L68*M68*O68),0))</f>
        <v/>
      </c>
      <c r="Q68" s="37">
        <f>IF(AND(B68="South Korea",scenario="MID"),korea_mid_load,load_sel)</f>
        <v/>
      </c>
      <c r="R68" s="38">
        <f>pax_cap*Q68</f>
        <v/>
      </c>
      <c r="S68" s="36">
        <f>R68*P68</f>
        <v/>
      </c>
      <c r="T68" s="39">
        <f>E68*discount</f>
        <v/>
      </c>
      <c r="U68" s="40">
        <f>T68*S68</f>
        <v/>
      </c>
      <c r="V68" s="40">
        <f>(battery/range_nm)*D68*P68*VLOOKUP(B68,country_opex,3,FALSE)</f>
        <v/>
      </c>
      <c r="W68" s="40">
        <f>VLOOKUP(B68,country_opex,2,FALSE)*crew_factor</f>
        <v/>
      </c>
      <c r="X68" s="40">
        <f>VLOOKUP(B68,country_opex,5,FALSE)</f>
        <v/>
      </c>
      <c r="Y68" s="40">
        <f>maint</f>
        <v/>
      </c>
      <c r="Z68" s="40">
        <f>VLOOKUP(B68,country_opex,7,FALSE)*ins_pct</f>
        <v/>
      </c>
      <c r="AA68" s="40">
        <f>charge_berth</f>
        <v/>
      </c>
      <c r="AB68" s="40">
        <f>V68+W68+X68+Y68+Z68+AA68</f>
        <v/>
      </c>
      <c r="AC68" s="40">
        <f>VLOOKUP(B68,country_opex,7,FALSE)/dep_years</f>
        <v/>
      </c>
      <c r="AD68" s="40">
        <f>U68-AB68</f>
        <v/>
      </c>
      <c r="AE68" s="37">
        <f>IF(U68=0,"",AD68/U68)</f>
        <v/>
      </c>
      <c r="AF68" s="38">
        <f>IF(AD68&lt;=0,"",VLOOKUP(B68,country_opex,7,FALSE)/AD68)</f>
        <v/>
      </c>
      <c r="AG68" s="35">
        <f>((D68*P68/diesel_nmpg)*diesel_co2pg-(battery/range_nm)*D68*P68*VLOOKUP(B68,country_opex,4,FALSE))/1000</f>
        <v/>
      </c>
      <c r="AH68" s="33" t="n"/>
      <c r="AI68" s="34" t="n"/>
      <c r="AJ68" s="34" t="n"/>
      <c r="AK68" s="41" t="n">
        <v>0.1</v>
      </c>
      <c r="AL68" s="36">
        <f>IF(AH68="","",AH68*AK68)</f>
        <v/>
      </c>
      <c r="AM68" s="36">
        <f>IF(OR(AH68="",S68=0),"",MIN(IF(AU68="",9.9E+99,AU68),FLOOR(AL68/S68,1)))</f>
        <v/>
      </c>
      <c r="AN68" s="40">
        <f>IF(AM68="","",AM68*IF(ABS(MOD(ABS((U68)),1)-0.5)&lt;1E-9,2*ROUND((U68)/2,0),ROUND((U68),0)))</f>
        <v/>
      </c>
      <c r="AO68" s="38">
        <f>IF(OR(AH68="",S68=0),"",MIN(IF(AU68="",9.9E+99,AU68),AL68/S68))</f>
        <v/>
      </c>
      <c r="AP68" s="40">
        <f>IF(AO68="","",AO68*IF(B68="South Korea",IF(ABS(MOD(ABS((U68)),1)-0.5)&lt;1E-9,2*ROUND((U68)/2,0),ROUND((U68),0)),U68))</f>
        <v/>
      </c>
      <c r="AQ68" s="42" t="n"/>
      <c r="AR68" s="34" t="inlineStr">
        <is>
          <t>Estimated</t>
        </is>
      </c>
      <c r="AS68" s="43" t="n"/>
      <c r="AT68" s="43" t="n"/>
      <c r="AU68" s="44" t="n"/>
      <c r="AV68" s="45">
        <f>IF(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&lt;=0,"",VLOOKUP(B68,country_opex,7,FALSE)/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)</f>
        <v/>
      </c>
      <c r="AW68" s="45">
        <f>IF(((T68*pax_cap*IF(B68="South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Korea",korea_mid_revleg,revleg_mid)),0))*VLOOKUP(B68,country_opex,3,FALSE))+W68+X68+Y68+Z68+AA68))&lt;=0,"",VLOOKUP(B68,country_opex,7,FALSE)/((T68*pax_cap*IF(B68="South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Korea",korea_mid_revleg,revleg_mid)),0))*VLOOKUP(B68,country_opex,3,FALSE))+W68+X68+Y68+Z68+AA68)))</f>
        <v/>
      </c>
      <c r="AX68" s="45">
        <f>IF(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&lt;=0,"",VLOOKUP(B68,country_opex,7,FALSE)/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)</f>
        <v/>
      </c>
      <c r="AY68" s="46" t="n"/>
      <c r="AZ68" s="46" t="n"/>
      <c r="BA68" s="34" t="n"/>
    </row>
    <row r="69">
      <c r="A69" s="31" t="inlineStr">
        <is>
          <t>Yango Pakistan</t>
        </is>
      </c>
      <c r="B69" s="31" t="inlineStr">
        <is>
          <t>Pakistan</t>
        </is>
      </c>
      <c r="C69" s="32" t="inlineStr">
        <is>
          <t>Karachi (Mubarak Village / Keamari) → Churna Island</t>
        </is>
      </c>
      <c r="D69" s="33" t="n">
        <v>26</v>
      </c>
      <c r="E69" s="27" t="n">
        <v>25</v>
      </c>
      <c r="F69" s="34" t="inlineStr">
        <is>
          <t>T2</t>
        </is>
      </c>
      <c r="G69" s="34" t="inlineStr">
        <is>
          <t>med</t>
        </is>
      </c>
      <c r="H69" s="20" t="n">
        <v>1</v>
      </c>
      <c r="I69" s="35">
        <f>60*D69/cruise_kt</f>
        <v/>
      </c>
      <c r="J69" s="35">
        <f>IF(B69="South Korea",D69/korea_charge_range_nm*korea_full_range_charge_min,0)</f>
        <v/>
      </c>
      <c r="K69" s="35">
        <f>IF(B69="South Korea",I69+korea_turn_min+korea_dwell_min+J69,I69+turn_min+dwell_min)</f>
        <v/>
      </c>
      <c r="L69" s="36">
        <f>IF(B69="South Korea",FLOOR(60*korea_service_hr/K69,1),MIN(15,FLOOR(60*service_hr/K69,1)))</f>
        <v/>
      </c>
      <c r="M69" s="36">
        <f>IF(ABS(MOD(ABS((365*mech_uptime*H69)),1)-0.5)&lt;1E-9,2*ROUND((365*mech_uptime*H69)/2,0),ROUND((365*mech_uptime*H69),0))</f>
        <v/>
      </c>
      <c r="N69" s="37">
        <f>mech_uptime</f>
        <v/>
      </c>
      <c r="O69" s="37">
        <f>IF(AND(B69="South Korea",scenario="MID"),korea_mid_revleg,revleg_sel)</f>
        <v/>
      </c>
      <c r="P69" s="36">
        <f>IF(ABS(MOD(ABS((L69*M69*O69)),1)-0.5)&lt;1E-9,2*ROUND((L69*M69*O69)/2,0),ROUND((L69*M69*O69),0))</f>
        <v/>
      </c>
      <c r="Q69" s="37">
        <f>IF(AND(B69="South Korea",scenario="MID"),korea_mid_load,load_sel)</f>
        <v/>
      </c>
      <c r="R69" s="38">
        <f>pax_cap*Q69</f>
        <v/>
      </c>
      <c r="S69" s="36">
        <f>R69*P69</f>
        <v/>
      </c>
      <c r="T69" s="39">
        <f>E69*discount</f>
        <v/>
      </c>
      <c r="U69" s="40">
        <f>T69*S69</f>
        <v/>
      </c>
      <c r="V69" s="40">
        <f>(battery/range_nm)*D69*P69*VLOOKUP(B69,country_opex,3,FALSE)</f>
        <v/>
      </c>
      <c r="W69" s="40">
        <f>VLOOKUP(B69,country_opex,2,FALSE)*crew_factor</f>
        <v/>
      </c>
      <c r="X69" s="40">
        <f>VLOOKUP(B69,country_opex,5,FALSE)</f>
        <v/>
      </c>
      <c r="Y69" s="40">
        <f>maint</f>
        <v/>
      </c>
      <c r="Z69" s="40">
        <f>VLOOKUP(B69,country_opex,7,FALSE)*ins_pct</f>
        <v/>
      </c>
      <c r="AA69" s="40">
        <f>charge_berth</f>
        <v/>
      </c>
      <c r="AB69" s="40">
        <f>V69+W69+X69+Y69+Z69+AA69</f>
        <v/>
      </c>
      <c r="AC69" s="40">
        <f>VLOOKUP(B69,country_opex,7,FALSE)/dep_years</f>
        <v/>
      </c>
      <c r="AD69" s="40">
        <f>U69-AB69</f>
        <v/>
      </c>
      <c r="AE69" s="37">
        <f>IF(U69=0,"",AD69/U69)</f>
        <v/>
      </c>
      <c r="AF69" s="38">
        <f>IF(AD69&lt;=0,"",VLOOKUP(B69,country_opex,7,FALSE)/AD69)</f>
        <v/>
      </c>
      <c r="AG69" s="35">
        <f>((D69*P69/diesel_nmpg)*diesel_co2pg-(battery/range_nm)*D69*P69*VLOOKUP(B69,country_opex,4,FALSE))/1000</f>
        <v/>
      </c>
      <c r="AH69" s="33" t="n"/>
      <c r="AI69" s="34" t="n"/>
      <c r="AJ69" s="34" t="n"/>
      <c r="AK69" s="41" t="n">
        <v>0.1</v>
      </c>
      <c r="AL69" s="36">
        <f>IF(AH69="","",AH69*AK69)</f>
        <v/>
      </c>
      <c r="AM69" s="36">
        <f>IF(OR(AH69="",S69=0),"",MIN(IF(AU69="",9.9E+99,AU69),FLOOR(AL69/S69,1)))</f>
        <v/>
      </c>
      <c r="AN69" s="40">
        <f>IF(AM69="","",AM69*IF(ABS(MOD(ABS((U69)),1)-0.5)&lt;1E-9,2*ROUND((U69)/2,0),ROUND((U69),0)))</f>
        <v/>
      </c>
      <c r="AO69" s="38">
        <f>IF(OR(AH69="",S69=0),"",MIN(IF(AU69="",9.9E+99,AU69),AL69/S69))</f>
        <v/>
      </c>
      <c r="AP69" s="40">
        <f>IF(AO69="","",AO69*IF(B69="South Korea",IF(ABS(MOD(ABS((U69)),1)-0.5)&lt;1E-9,2*ROUND((U69)/2,0),ROUND((U69),0)),U69))</f>
        <v/>
      </c>
      <c r="AQ69" s="42" t="n"/>
      <c r="AR69" s="34" t="inlineStr">
        <is>
          <t>Estimated</t>
        </is>
      </c>
      <c r="AS69" s="43" t="n"/>
      <c r="AT69" s="43" t="n"/>
      <c r="AU69" s="44" t="n"/>
      <c r="AV69" s="45">
        <f>IF(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&lt;=0,"",VLOOKUP(B69,country_opex,7,FALSE)/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)</f>
        <v/>
      </c>
      <c r="AW69" s="45">
        <f>IF(((T69*pax_cap*IF(B69="South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Korea",korea_mid_revleg,revleg_mid)),0))*VLOOKUP(B69,country_opex,3,FALSE))+W69+X69+Y69+Z69+AA69))&lt;=0,"",VLOOKUP(B69,country_opex,7,FALSE)/((T69*pax_cap*IF(B69="South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Korea",korea_mid_revleg,revleg_mid)),0))*VLOOKUP(B69,country_opex,3,FALSE))+W69+X69+Y69+Z69+AA69)))</f>
        <v/>
      </c>
      <c r="AX69" s="45">
        <f>IF(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&lt;=0,"",VLOOKUP(B69,country_opex,7,FALSE)/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)</f>
        <v/>
      </c>
      <c r="AY69" s="46" t="inlineStr">
        <is>
          <t>PREMIUM tier = scheduled snorkeling day-trip per-seat ~Rs 7,000 (~$25) (Rover ₨7,000; Far Adventures/TripMaker Rs 5,000-6,000 incl. transport+lunch). Scuba upgrade Rs 9,500-12,000 (~$34-43); private premium speedboat 'Stingray express' Rs 20,000 (~$71) recorded as charter context only.</t>
        </is>
      </c>
      <c r="AZ69" s="46" t="n"/>
      <c r="BA69" s="34" t="inlineStr">
        <is>
          <t>rn-a2dec8230818</t>
        </is>
      </c>
    </row>
    <row r="70">
      <c r="A70" s="31" t="inlineStr">
        <is>
          <t>Yango Peru</t>
        </is>
      </c>
      <c r="B70" s="31" t="inlineStr">
        <is>
          <t>Peru</t>
        </is>
      </c>
      <c r="C70" s="32" t="inlineStr">
        <is>
          <t>La Punta → Isla San Lorenzo</t>
        </is>
      </c>
      <c r="D70" s="33" t="n">
        <v>4</v>
      </c>
      <c r="E70" s="27" t="n">
        <v>30</v>
      </c>
      <c r="F70" s="34" t="inlineStr">
        <is>
          <t>T2</t>
        </is>
      </c>
      <c r="G70" s="34" t="inlineStr">
        <is>
          <t>med</t>
        </is>
      </c>
      <c r="H70" s="20" t="n">
        <v>1</v>
      </c>
      <c r="I70" s="35">
        <f>60*D70/cruise_kt</f>
        <v/>
      </c>
      <c r="J70" s="35">
        <f>IF(B70="South Korea",D70/korea_charge_range_nm*korea_full_range_charge_min,0)</f>
        <v/>
      </c>
      <c r="K70" s="35">
        <f>IF(B70="South Korea",I70+korea_turn_min+korea_dwell_min+J70,I70+turn_min+dwell_min)</f>
        <v/>
      </c>
      <c r="L70" s="36">
        <f>IF(B70="South Korea",FLOOR(60*korea_service_hr/K70,1),MIN(15,FLOOR(60*service_hr/K70,1)))</f>
        <v/>
      </c>
      <c r="M70" s="36">
        <f>IF(ABS(MOD(ABS((365*mech_uptime*H70)),1)-0.5)&lt;1E-9,2*ROUND((365*mech_uptime*H70)/2,0),ROUND((365*mech_uptime*H70),0))</f>
        <v/>
      </c>
      <c r="N70" s="37">
        <f>mech_uptime</f>
        <v/>
      </c>
      <c r="O70" s="37">
        <f>IF(AND(B70="South Korea",scenario="MID"),korea_mid_revleg,revleg_sel)</f>
        <v/>
      </c>
      <c r="P70" s="36">
        <f>IF(ABS(MOD(ABS((L70*M70*O70)),1)-0.5)&lt;1E-9,2*ROUND((L70*M70*O70)/2,0),ROUND((L70*M70*O70),0))</f>
        <v/>
      </c>
      <c r="Q70" s="37">
        <f>IF(AND(B70="South Korea",scenario="MID"),korea_mid_load,load_sel)</f>
        <v/>
      </c>
      <c r="R70" s="38">
        <f>pax_cap*Q70</f>
        <v/>
      </c>
      <c r="S70" s="36">
        <f>R70*P70</f>
        <v/>
      </c>
      <c r="T70" s="39">
        <f>E70*discount</f>
        <v/>
      </c>
      <c r="U70" s="40">
        <f>T70*S70</f>
        <v/>
      </c>
      <c r="V70" s="40">
        <f>(battery/range_nm)*D70*P70*VLOOKUP(B70,country_opex,3,FALSE)</f>
        <v/>
      </c>
      <c r="W70" s="40">
        <f>VLOOKUP(B70,country_opex,2,FALSE)*crew_factor</f>
        <v/>
      </c>
      <c r="X70" s="40">
        <f>VLOOKUP(B70,country_opex,5,FALSE)</f>
        <v/>
      </c>
      <c r="Y70" s="40">
        <f>maint</f>
        <v/>
      </c>
      <c r="Z70" s="40">
        <f>VLOOKUP(B70,country_opex,7,FALSE)*ins_pct</f>
        <v/>
      </c>
      <c r="AA70" s="40">
        <f>charge_berth</f>
        <v/>
      </c>
      <c r="AB70" s="40">
        <f>V70+W70+X70+Y70+Z70+AA70</f>
        <v/>
      </c>
      <c r="AC70" s="40">
        <f>VLOOKUP(B70,country_opex,7,FALSE)/dep_years</f>
        <v/>
      </c>
      <c r="AD70" s="40">
        <f>U70-AB70</f>
        <v/>
      </c>
      <c r="AE70" s="37">
        <f>IF(U70=0,"",AD70/U70)</f>
        <v/>
      </c>
      <c r="AF70" s="38">
        <f>IF(AD70&lt;=0,"",VLOOKUP(B70,country_opex,7,FALSE)/AD70)</f>
        <v/>
      </c>
      <c r="AG70" s="35">
        <f>((D70*P70/diesel_nmpg)*diesel_co2pg-(battery/range_nm)*D70*P70*VLOOKUP(B70,country_opex,4,FALSE))/1000</f>
        <v/>
      </c>
      <c r="AH70" s="33" t="n">
        <v>2000</v>
      </c>
      <c r="AI70" s="34" t="n"/>
      <c r="AJ70" s="34" t="inlineStr">
        <is>
          <t>low</t>
        </is>
      </c>
      <c r="AK70" s="41" t="n">
        <v>0.25</v>
      </c>
      <c r="AL70" s="36">
        <f>IF(AH70="","",AH70*AK70)</f>
        <v/>
      </c>
      <c r="AM70" s="36">
        <f>IF(OR(AH70="",S70=0),"",MIN(IF(AU70="",9.9E+99,AU70),FLOOR(AL70/S70,1)))</f>
        <v/>
      </c>
      <c r="AN70" s="40">
        <f>IF(AM70="","",AM70*IF(ABS(MOD(ABS((U70)),1)-0.5)&lt;1E-9,2*ROUND((U70)/2,0),ROUND((U70),0)))</f>
        <v/>
      </c>
      <c r="AO70" s="38">
        <f>IF(OR(AH70="",S70=0),"",MIN(IF(AU70="",9.9E+99,AU70),AL70/S70))</f>
        <v/>
      </c>
      <c r="AP70" s="40">
        <f>IF(AO70="","",AO70*IF(B70="South Korea",IF(ABS(MOD(ABS((U70)),1)-0.5)&lt;1E-9,2*ROUND((U70)/2,0),ROUND((U70),0)),U70))</f>
        <v/>
      </c>
      <c r="AQ70" s="42" t="n"/>
      <c r="AR70" s="34" t="inlineStr">
        <is>
          <t>Estimated</t>
        </is>
      </c>
      <c r="AS70" s="43" t="n"/>
      <c r="AT70" s="43" t="n"/>
      <c r="AU70" s="44" t="n"/>
      <c r="AV70" s="45">
        <f>IF(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&lt;=0,"",VLOOKUP(B70,country_opex,7,FALSE)/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)</f>
        <v/>
      </c>
      <c r="AW70" s="45">
        <f>IF(((T70*pax_cap*IF(B70="South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Korea",korea_mid_revleg,revleg_mid)),0))*VLOOKUP(B70,country_opex,3,FALSE))+W70+X70+Y70+Z70+AA70))&lt;=0,"",VLOOKUP(B70,country_opex,7,FALSE)/((T70*pax_cap*IF(B70="South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Korea",korea_mid_revleg,revleg_mid)),0))*VLOOKUP(B70,country_opex,3,FALSE))+W70+X70+Y70+Z70+AA70)))</f>
        <v/>
      </c>
      <c r="AX70" s="45">
        <f>IF(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&lt;=0,"",VLOOKUP(B70,country_opex,7,FALSE)/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)</f>
        <v/>
      </c>
      <c r="AY70" s="46" t="inlineStr">
        <is>
          <t>PREMIUM tier: Callao islands boat tour segment (San Lorenzo / El Fronton) ~ S/90-120 ~ $30 comparable per-seat.</t>
        </is>
      </c>
      <c r="AZ70" s="46" t="n"/>
      <c r="BA70" s="34" t="n"/>
    </row>
    <row r="71">
      <c r="A71" s="31" t="inlineStr">
        <is>
          <t>Yango Peru</t>
        </is>
      </c>
      <c r="B71" s="31" t="inlineStr">
        <is>
          <t>Peru</t>
        </is>
      </c>
      <c r="C71" s="32" t="inlineStr">
        <is>
          <t>Callao / La Punta → Palomino Islands</t>
        </is>
      </c>
      <c r="D71" s="33" t="n">
        <v>8</v>
      </c>
      <c r="E71" s="27" t="n">
        <v>40</v>
      </c>
      <c r="F71" s="34" t="inlineStr">
        <is>
          <t>T2</t>
        </is>
      </c>
      <c r="G71" s="34" t="inlineStr">
        <is>
          <t>med</t>
        </is>
      </c>
      <c r="H71" s="20" t="n">
        <v>1</v>
      </c>
      <c r="I71" s="35">
        <f>60*D71/cruise_kt</f>
        <v/>
      </c>
      <c r="J71" s="35">
        <f>IF(B71="South Korea",D71/korea_charge_range_nm*korea_full_range_charge_min,0)</f>
        <v/>
      </c>
      <c r="K71" s="35">
        <f>IF(B71="South Korea",I71+korea_turn_min+korea_dwell_min+J71,I71+turn_min+dwell_min)</f>
        <v/>
      </c>
      <c r="L71" s="36">
        <f>IF(B71="South Korea",FLOOR(60*korea_service_hr/K71,1),MIN(15,FLOOR(60*service_hr/K71,1)))</f>
        <v/>
      </c>
      <c r="M71" s="36">
        <f>IF(ABS(MOD(ABS((365*mech_uptime*H71)),1)-0.5)&lt;1E-9,2*ROUND((365*mech_uptime*H71)/2,0),ROUND((365*mech_uptime*H71),0))</f>
        <v/>
      </c>
      <c r="N71" s="37">
        <f>mech_uptime</f>
        <v/>
      </c>
      <c r="O71" s="37">
        <f>IF(AND(B71="South Korea",scenario="MID"),korea_mid_revleg,revleg_sel)</f>
        <v/>
      </c>
      <c r="P71" s="36">
        <f>IF(ABS(MOD(ABS((L71*M71*O71)),1)-0.5)&lt;1E-9,2*ROUND((L71*M71*O71)/2,0),ROUND((L71*M71*O71),0))</f>
        <v/>
      </c>
      <c r="Q71" s="37">
        <f>IF(AND(B71="South Korea",scenario="MID"),korea_mid_load,load_sel)</f>
        <v/>
      </c>
      <c r="R71" s="38">
        <f>pax_cap*Q71</f>
        <v/>
      </c>
      <c r="S71" s="36">
        <f>R71*P71</f>
        <v/>
      </c>
      <c r="T71" s="39">
        <f>E71*discount</f>
        <v/>
      </c>
      <c r="U71" s="40">
        <f>T71*S71</f>
        <v/>
      </c>
      <c r="V71" s="40">
        <f>(battery/range_nm)*D71*P71*VLOOKUP(B71,country_opex,3,FALSE)</f>
        <v/>
      </c>
      <c r="W71" s="40">
        <f>VLOOKUP(B71,country_opex,2,FALSE)*crew_factor</f>
        <v/>
      </c>
      <c r="X71" s="40">
        <f>VLOOKUP(B71,country_opex,5,FALSE)</f>
        <v/>
      </c>
      <c r="Y71" s="40">
        <f>maint</f>
        <v/>
      </c>
      <c r="Z71" s="40">
        <f>VLOOKUP(B71,country_opex,7,FALSE)*ins_pct</f>
        <v/>
      </c>
      <c r="AA71" s="40">
        <f>charge_berth</f>
        <v/>
      </c>
      <c r="AB71" s="40">
        <f>V71+W71+X71+Y71+Z71+AA71</f>
        <v/>
      </c>
      <c r="AC71" s="40">
        <f>VLOOKUP(B71,country_opex,7,FALSE)/dep_years</f>
        <v/>
      </c>
      <c r="AD71" s="40">
        <f>U71-AB71</f>
        <v/>
      </c>
      <c r="AE71" s="37">
        <f>IF(U71=0,"",AD71/U71)</f>
        <v/>
      </c>
      <c r="AF71" s="38">
        <f>IF(AD71&lt;=0,"",VLOOKUP(B71,country_opex,7,FALSE)/AD71)</f>
        <v/>
      </c>
      <c r="AG71" s="35">
        <f>((D71*P71/diesel_nmpg)*diesel_co2pg-(battery/range_nm)*D71*P71*VLOOKUP(B71,country_opex,4,FALSE))/1000</f>
        <v/>
      </c>
      <c r="AH71" s="33" t="n">
        <v>5000</v>
      </c>
      <c r="AI71" s="34" t="n"/>
      <c r="AJ71" s="34" t="inlineStr">
        <is>
          <t>med</t>
        </is>
      </c>
      <c r="AK71" s="41" t="n">
        <v>0.25</v>
      </c>
      <c r="AL71" s="36">
        <f>IF(AH71="","",AH71*AK71)</f>
        <v/>
      </c>
      <c r="AM71" s="36">
        <f>IF(OR(AH71="",S71=0),"",MIN(IF(AU71="",9.9E+99,AU71),FLOOR(AL71/S71,1)))</f>
        <v/>
      </c>
      <c r="AN71" s="40">
        <f>IF(AM71="","",AM71*IF(ABS(MOD(ABS((U71)),1)-0.5)&lt;1E-9,2*ROUND((U71)/2,0),ROUND((U71),0)))</f>
        <v/>
      </c>
      <c r="AO71" s="38">
        <f>IF(OR(AH71="",S71=0),"",MIN(IF(AU71="",9.9E+99,AU71),AL71/S71))</f>
        <v/>
      </c>
      <c r="AP71" s="40">
        <f>IF(AO71="","",AO71*IF(B71="South Korea",IF(ABS(MOD(ABS((U71)),1)-0.5)&lt;1E-9,2*ROUND((U71)/2,0),ROUND((U71),0)),U71))</f>
        <v/>
      </c>
      <c r="AQ71" s="42" t="n"/>
      <c r="AR71" s="34" t="inlineStr">
        <is>
          <t>Estimated</t>
        </is>
      </c>
      <c r="AS71" s="43" t="n"/>
      <c r="AT71" s="43" t="n"/>
      <c r="AU71" s="44" t="n"/>
      <c r="AV71" s="45">
        <f>IF(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&lt;=0,"",VLOOKUP(B71,country_opex,7,FALSE)/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)</f>
        <v/>
      </c>
      <c r="AW71" s="45">
        <f>IF(((T71*pax_cap*IF(B71="South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Korea",korea_mid_revleg,revleg_mid)),0))*VLOOKUP(B71,country_opex,3,FALSE))+W71+X71+Y71+Z71+AA71))&lt;=0,"",VLOOKUP(B71,country_opex,7,FALSE)/((T71*pax_cap*IF(B71="South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Korea",korea_mid_revleg,revleg_mid)),0))*VLOOKUP(B71,country_opex,3,FALSE))+W71+X71+Y71+Z71+AA71)))</f>
        <v/>
      </c>
      <c r="AX71" s="45">
        <f>IF(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&lt;=0,"",VLOOKUP(B71,country_opex,7,FALSE)/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)</f>
        <v/>
      </c>
      <c r="AY71" s="46" t="inlineStr">
        <is>
          <t>PREMIUM tier: Palomino Islands sea-lion swim tour 120 soles ~ $40 (Machupicchu Terra / operators, 2026). Reserve entry S/11 ~ $4.</t>
        </is>
      </c>
      <c r="AZ71" s="46" t="n"/>
      <c r="BA71" s="34" t="n"/>
    </row>
    <row r="72">
      <c r="A72" s="31" t="inlineStr">
        <is>
          <t>Yango Peru</t>
        </is>
      </c>
      <c r="B72" s="31" t="inlineStr">
        <is>
          <t>Peru</t>
        </is>
      </c>
      <c r="C72" s="32" t="inlineStr">
        <is>
          <t>Costa Verde (Chorrillos) → Callao / La Punta</t>
        </is>
      </c>
      <c r="D72" s="33" t="n">
        <v>9</v>
      </c>
      <c r="E72" s="27" t="n">
        <v>12</v>
      </c>
      <c r="F72" s="34" t="inlineStr">
        <is>
          <t>T2</t>
        </is>
      </c>
      <c r="G72" s="34" t="inlineStr">
        <is>
          <t>low</t>
        </is>
      </c>
      <c r="H72" s="20" t="n">
        <v>1</v>
      </c>
      <c r="I72" s="35">
        <f>60*D72/cruise_kt</f>
        <v/>
      </c>
      <c r="J72" s="35">
        <f>IF(B72="South Korea",D72/korea_charge_range_nm*korea_full_range_charge_min,0)</f>
        <v/>
      </c>
      <c r="K72" s="35">
        <f>IF(B72="South Korea",I72+korea_turn_min+korea_dwell_min+J72,I72+turn_min+dwell_min)</f>
        <v/>
      </c>
      <c r="L72" s="36">
        <f>IF(B72="South Korea",FLOOR(60*korea_service_hr/K72,1),MIN(24,FLOOR(60*service_hr/K72,1)))</f>
        <v/>
      </c>
      <c r="M72" s="36">
        <f>IF(ABS(MOD(ABS((365*mech_uptime*H72)),1)-0.5)&lt;1E-9,2*ROUND((365*mech_uptime*H72)/2,0),ROUND((365*mech_uptime*H72),0))</f>
        <v/>
      </c>
      <c r="N72" s="37">
        <f>mech_uptime</f>
        <v/>
      </c>
      <c r="O72" s="37">
        <f>IF(AND(B72="South Korea",scenario="MID"),korea_mid_revleg,revleg_sel)</f>
        <v/>
      </c>
      <c r="P72" s="36">
        <f>IF(ABS(MOD(ABS((L72*M72*O72)),1)-0.5)&lt;1E-9,2*ROUND((L72*M72*O72)/2,0),ROUND((L72*M72*O72),0))</f>
        <v/>
      </c>
      <c r="Q72" s="37">
        <f>IF(AND(B72="South Korea",scenario="MID"),korea_mid_load,load_sel)</f>
        <v/>
      </c>
      <c r="R72" s="38">
        <f>pax_cap*Q72</f>
        <v/>
      </c>
      <c r="S72" s="36">
        <f>R72*P72</f>
        <v/>
      </c>
      <c r="T72" s="39">
        <f>E72*discount</f>
        <v/>
      </c>
      <c r="U72" s="40">
        <f>T72*S72</f>
        <v/>
      </c>
      <c r="V72" s="40">
        <f>(battery/range_nm)*D72*P72*VLOOKUP(B72,country_opex,3,FALSE)</f>
        <v/>
      </c>
      <c r="W72" s="40">
        <f>VLOOKUP(B72,country_opex,2,FALSE)*crew_factor</f>
        <v/>
      </c>
      <c r="X72" s="40">
        <f>VLOOKUP(B72,country_opex,5,FALSE)</f>
        <v/>
      </c>
      <c r="Y72" s="40">
        <f>maint</f>
        <v/>
      </c>
      <c r="Z72" s="40">
        <f>VLOOKUP(B72,country_opex,7,FALSE)*ins_pct</f>
        <v/>
      </c>
      <c r="AA72" s="40">
        <f>charge_berth</f>
        <v/>
      </c>
      <c r="AB72" s="40">
        <f>V72+W72+X72+Y72+Z72+AA72</f>
        <v/>
      </c>
      <c r="AC72" s="40">
        <f>VLOOKUP(B72,country_opex,7,FALSE)/dep_years</f>
        <v/>
      </c>
      <c r="AD72" s="40">
        <f>U72-AB72</f>
        <v/>
      </c>
      <c r="AE72" s="37">
        <f>IF(U72=0,"",AD72/U72)</f>
        <v/>
      </c>
      <c r="AF72" s="38">
        <f>IF(AD72&lt;=0,"",VLOOKUP(B72,country_opex,7,FALSE)/AD72)</f>
        <v/>
      </c>
      <c r="AG72" s="35">
        <f>((D72*P72/diesel_nmpg)*diesel_co2pg-(battery/range_nm)*D72*P72*VLOOKUP(B72,country_opex,4,FALSE))/1000</f>
        <v/>
      </c>
      <c r="AH72" s="33" t="n">
        <v>6000</v>
      </c>
      <c r="AI72" s="34" t="n"/>
      <c r="AJ72" s="34" t="inlineStr">
        <is>
          <t>low</t>
        </is>
      </c>
      <c r="AK72" s="41" t="n">
        <v>0.25</v>
      </c>
      <c r="AL72" s="36">
        <f>IF(AH72="","",AH72*AK72)</f>
        <v/>
      </c>
      <c r="AM72" s="36">
        <f>IF(OR(AH72="",S72=0),"",MIN(IF(AU72="",9.9E+99,AU72),FLOOR(AL72/S72,1)))</f>
        <v/>
      </c>
      <c r="AN72" s="40">
        <f>IF(AM72="","",AM72*IF(ABS(MOD(ABS((U72)),1)-0.5)&lt;1E-9,2*ROUND((U72)/2,0),ROUND((U72),0)))</f>
        <v/>
      </c>
      <c r="AO72" s="38">
        <f>IF(OR(AH72="",S72=0),"",MIN(IF(AU72="",9.9E+99,AU72),AL72/S72))</f>
        <v/>
      </c>
      <c r="AP72" s="40">
        <f>IF(AO72="","",AO72*IF(B72="South Korea",IF(ABS(MOD(ABS((U72)),1)-0.5)&lt;1E-9,2*ROUND((U72)/2,0),ROUND((U72),0)),U72))</f>
        <v/>
      </c>
      <c r="AQ72" s="42" t="n"/>
      <c r="AR72" s="34" t="inlineStr">
        <is>
          <t>Estimated</t>
        </is>
      </c>
      <c r="AS72" s="43" t="n"/>
      <c r="AT72" s="43" t="n"/>
      <c r="AU72" s="44" t="n"/>
      <c r="AV72" s="45">
        <f>IF(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&lt;=0,"",VLOOKUP(B72,country_opex,7,FALSE)/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)</f>
        <v/>
      </c>
      <c r="AW72" s="45">
        <f>IF(((T72*pax_cap*IF(B72="South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Korea",korea_mid_revleg,revleg_mid)),0))*VLOOKUP(B72,country_opex,3,FALSE))+W72+X72+Y72+Z72+AA72))&lt;=0,"",VLOOKUP(B72,country_opex,7,FALSE)/((T72*pax_cap*IF(B72="South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Korea",korea_mid_revleg,revleg_mid)),0))*VLOOKUP(B72,country_opex,3,FALSE))+W72+X72+Y72+Z72+AA72)))</f>
        <v/>
      </c>
      <c r="AX72" s="45">
        <f>IF(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&lt;=0,"",VLOOKUP(B72,country_opex,7,FALSE)/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)</f>
        <v/>
      </c>
      <c r="AY72" s="46" t="inlineStr">
        <is>
          <t>No scheduled water-commute exists today (greenfield harbour run). Comparable = Lima premium leisure harbour transfer ~$12; commuter floor = Lima urban transit fare S/2.0 ~ $0.55.</t>
        </is>
      </c>
      <c r="AZ72" s="46" t="n"/>
      <c r="BA72" s="34" t="n"/>
    </row>
    <row r="73">
      <c r="A73" s="31" t="inlineStr">
        <is>
          <t>Yango Peru</t>
        </is>
      </c>
      <c r="B73" s="31" t="inlineStr">
        <is>
          <t>Peru</t>
        </is>
      </c>
      <c r="C73" s="32" t="inlineStr">
        <is>
          <t>Paracas (El Chaco) → Ballestas Islands</t>
        </is>
      </c>
      <c r="D73" s="33" t="n">
        <v>9</v>
      </c>
      <c r="E73" s="27" t="n">
        <v>15</v>
      </c>
      <c r="F73" s="34" t="inlineStr">
        <is>
          <t>T2</t>
        </is>
      </c>
      <c r="G73" s="34" t="inlineStr">
        <is>
          <t>med</t>
        </is>
      </c>
      <c r="H73" s="20" t="n">
        <v>1</v>
      </c>
      <c r="I73" s="35">
        <f>60*D73/cruise_kt</f>
        <v/>
      </c>
      <c r="J73" s="35">
        <f>IF(B73="South Korea",D73/korea_charge_range_nm*korea_full_range_charge_min,0)</f>
        <v/>
      </c>
      <c r="K73" s="35">
        <f>IF(B73="South Korea",I73+korea_turn_min+korea_dwell_min+J73,I73+turn_min+dwell_min)</f>
        <v/>
      </c>
      <c r="L73" s="36">
        <f>IF(B73="South Korea",FLOOR(60*korea_service_hr/K73,1),MIN(15,FLOOR(60*service_hr/K73,1)))</f>
        <v/>
      </c>
      <c r="M73" s="36">
        <f>IF(ABS(MOD(ABS((365*mech_uptime*H73)),1)-0.5)&lt;1E-9,2*ROUND((365*mech_uptime*H73)/2,0),ROUND((365*mech_uptime*H73),0))</f>
        <v/>
      </c>
      <c r="N73" s="37">
        <f>mech_uptime</f>
        <v/>
      </c>
      <c r="O73" s="37">
        <f>IF(AND(B73="South Korea",scenario="MID"),korea_mid_revleg,revleg_sel)</f>
        <v/>
      </c>
      <c r="P73" s="36">
        <f>IF(ABS(MOD(ABS((L73*M73*O73)),1)-0.5)&lt;1E-9,2*ROUND((L73*M73*O73)/2,0),ROUND((L73*M73*O73),0))</f>
        <v/>
      </c>
      <c r="Q73" s="37">
        <f>IF(AND(B73="South Korea",scenario="MID"),korea_mid_load,load_sel)</f>
        <v/>
      </c>
      <c r="R73" s="38">
        <f>pax_cap*Q73</f>
        <v/>
      </c>
      <c r="S73" s="36">
        <f>R73*P73</f>
        <v/>
      </c>
      <c r="T73" s="39">
        <f>E73*discount</f>
        <v/>
      </c>
      <c r="U73" s="40">
        <f>T73*S73</f>
        <v/>
      </c>
      <c r="V73" s="40">
        <f>(battery/range_nm)*D73*P73*VLOOKUP(B73,country_opex,3,FALSE)</f>
        <v/>
      </c>
      <c r="W73" s="40">
        <f>VLOOKUP(B73,country_opex,2,FALSE)*crew_factor</f>
        <v/>
      </c>
      <c r="X73" s="40">
        <f>VLOOKUP(B73,country_opex,5,FALSE)</f>
        <v/>
      </c>
      <c r="Y73" s="40">
        <f>maint</f>
        <v/>
      </c>
      <c r="Z73" s="40">
        <f>VLOOKUP(B73,country_opex,7,FALSE)*ins_pct</f>
        <v/>
      </c>
      <c r="AA73" s="40">
        <f>charge_berth</f>
        <v/>
      </c>
      <c r="AB73" s="40">
        <f>V73+W73+X73+Y73+Z73+AA73</f>
        <v/>
      </c>
      <c r="AC73" s="40">
        <f>VLOOKUP(B73,country_opex,7,FALSE)/dep_years</f>
        <v/>
      </c>
      <c r="AD73" s="40">
        <f>U73-AB73</f>
        <v/>
      </c>
      <c r="AE73" s="37">
        <f>IF(U73=0,"",AD73/U73)</f>
        <v/>
      </c>
      <c r="AF73" s="38">
        <f>IF(AD73&lt;=0,"",VLOOKUP(B73,country_opex,7,FALSE)/AD73)</f>
        <v/>
      </c>
      <c r="AG73" s="35">
        <f>((D73*P73/diesel_nmpg)*diesel_co2pg-(battery/range_nm)*D73*P73*VLOOKUP(B73,country_opex,4,FALSE))/1000</f>
        <v/>
      </c>
      <c r="AH73" s="33" t="n">
        <v>15000</v>
      </c>
      <c r="AI73" s="34" t="n"/>
      <c r="AJ73" s="34" t="inlineStr">
        <is>
          <t>med</t>
        </is>
      </c>
      <c r="AK73" s="41" t="n">
        <v>0.25</v>
      </c>
      <c r="AL73" s="36">
        <f>IF(AH73="","",AH73*AK73)</f>
        <v/>
      </c>
      <c r="AM73" s="36">
        <f>IF(OR(AH73="",S73=0),"",MIN(IF(AU73="",9.9E+99,AU73),FLOOR(AL73/S73,1)))</f>
        <v/>
      </c>
      <c r="AN73" s="40">
        <f>IF(AM73="","",AM73*IF(ABS(MOD(ABS((U73)),1)-0.5)&lt;1E-9,2*ROUND((U73)/2,0),ROUND((U73),0)))</f>
        <v/>
      </c>
      <c r="AO73" s="38">
        <f>IF(OR(AH73="",S73=0),"",MIN(IF(AU73="",9.9E+99,AU73),AL73/S73))</f>
        <v/>
      </c>
      <c r="AP73" s="40">
        <f>IF(AO73="","",AO73*IF(B73="South Korea",IF(ABS(MOD(ABS((U73)),1)-0.5)&lt;1E-9,2*ROUND((U73)/2,0),ROUND((U73),0)),U73))</f>
        <v/>
      </c>
      <c r="AQ73" s="42" t="n"/>
      <c r="AR73" s="34" t="inlineStr">
        <is>
          <t>Estimated</t>
        </is>
      </c>
      <c r="AS73" s="43" t="n"/>
      <c r="AT73" s="43" t="n"/>
      <c r="AU73" s="44" t="n"/>
      <c r="AV73" s="45">
        <f>IF(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&lt;=0,"",VLOOKUP(B73,country_opex,7,FALSE)/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)</f>
        <v/>
      </c>
      <c r="AW73" s="45">
        <f>IF(((T73*pax_cap*IF(B73="South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Korea",korea_mid_revleg,revleg_mid)),0))*VLOOKUP(B73,country_opex,3,FALSE))+W73+X73+Y73+Z73+AA73))&lt;=0,"",VLOOKUP(B73,country_opex,7,FALSE)/((T73*pax_cap*IF(B73="South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Korea",korea_mid_revleg,revleg_mid)),0))*VLOOKUP(B73,country_opex,3,FALSE))+W73+X73+Y73+Z73+AA73)))</f>
        <v/>
      </c>
      <c r="AX73" s="45">
        <f>IF(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&lt;=0,"",VLOOKUP(B73,country_opex,7,FALSE)/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)</f>
        <v/>
      </c>
      <c r="AY73" s="46" t="inlineStr">
        <is>
          <t>PREMIUM tier: Islas Ballestas 2hr boat tour $13-15 (Paracas Explorer / operators, 2026); + Paracas National Reserve entry S/11 ~ $3.</t>
        </is>
      </c>
      <c r="AZ73" s="46" t="n"/>
      <c r="BA73" s="34" t="n"/>
    </row>
    <row r="74">
      <c r="A74" s="31" t="inlineStr">
        <is>
          <t>Yango Qatar</t>
        </is>
      </c>
      <c r="B74" s="31" t="inlineStr">
        <is>
          <t>Qatar</t>
        </is>
      </c>
      <c r="C74" s="32" t="inlineStr">
        <is>
          <t>Lusail Marina → The Pearl</t>
        </is>
      </c>
      <c r="D74" s="33" t="n">
        <v>3.5</v>
      </c>
      <c r="E74" s="27" t="n"/>
      <c r="F74" s="34" t="n"/>
      <c r="G74" s="34" t="n"/>
      <c r="H74" s="20" t="n">
        <v>1</v>
      </c>
      <c r="I74" s="35">
        <f>60*D74/cruise_kt</f>
        <v/>
      </c>
      <c r="J74" s="35">
        <f>IF(B74="South Korea",D74/korea_charge_range_nm*korea_full_range_charge_min,0)</f>
        <v/>
      </c>
      <c r="K74" s="35">
        <f>IF(B74="South Korea",I74+korea_turn_min+korea_dwell_min+J74,I74+turn_min+dwell_min)</f>
        <v/>
      </c>
      <c r="L74" s="36">
        <f>IF(B74="South Korea",FLOOR(60*korea_service_hr/K74,1),MIN(15,FLOOR(60*service_hr/K74,1)))</f>
        <v/>
      </c>
      <c r="M74" s="36">
        <f>IF(ABS(MOD(ABS((365*mech_uptime*H74)),1)-0.5)&lt;1E-9,2*ROUND((365*mech_uptime*H74)/2,0),ROUND((365*mech_uptime*H74),0))</f>
        <v/>
      </c>
      <c r="N74" s="37">
        <f>mech_uptime</f>
        <v/>
      </c>
      <c r="O74" s="37">
        <f>IF(AND(B74="South Korea",scenario="MID"),korea_mid_revleg,revleg_sel)</f>
        <v/>
      </c>
      <c r="P74" s="36">
        <f>IF(ABS(MOD(ABS((L74*M74*O74)),1)-0.5)&lt;1E-9,2*ROUND((L74*M74*O74)/2,0),ROUND((L74*M74*O74),0))</f>
        <v/>
      </c>
      <c r="Q74" s="37">
        <f>IF(AND(B74="South Korea",scenario="MID"),korea_mid_load,load_sel)</f>
        <v/>
      </c>
      <c r="R74" s="38">
        <f>pax_cap*Q74</f>
        <v/>
      </c>
      <c r="S74" s="36">
        <f>R74*P74</f>
        <v/>
      </c>
      <c r="T74" s="39">
        <f>E74*discount</f>
        <v/>
      </c>
      <c r="U74" s="40">
        <f>T74*S74</f>
        <v/>
      </c>
      <c r="V74" s="40">
        <f>(battery/range_nm)*D74*P74*VLOOKUP(B74,country_opex,3,FALSE)</f>
        <v/>
      </c>
      <c r="W74" s="40">
        <f>VLOOKUP(B74,country_opex,2,FALSE)*crew_factor</f>
        <v/>
      </c>
      <c r="X74" s="40">
        <f>VLOOKUP(B74,country_opex,5,FALSE)</f>
        <v/>
      </c>
      <c r="Y74" s="40">
        <f>maint</f>
        <v/>
      </c>
      <c r="Z74" s="40">
        <f>VLOOKUP(B74,country_opex,7,FALSE)*ins_pct</f>
        <v/>
      </c>
      <c r="AA74" s="40">
        <f>charge_berth</f>
        <v/>
      </c>
      <c r="AB74" s="40">
        <f>V74+W74+X74+Y74+Z74+AA74</f>
        <v/>
      </c>
      <c r="AC74" s="40">
        <f>VLOOKUP(B74,country_opex,7,FALSE)/dep_years</f>
        <v/>
      </c>
      <c r="AD74" s="40">
        <f>U74-AB74</f>
        <v/>
      </c>
      <c r="AE74" s="37">
        <f>IF(U74=0,"",AD74/U74)</f>
        <v/>
      </c>
      <c r="AF74" s="38">
        <f>IF(AD74&lt;=0,"",VLOOKUP(B74,country_opex,7,FALSE)/AD74)</f>
        <v/>
      </c>
      <c r="AG74" s="35">
        <f>((D74*P74/diesel_nmpg)*diesel_co2pg-(battery/range_nm)*D74*P74*VLOOKUP(B74,country_opex,4,FALSE))/1000</f>
        <v/>
      </c>
      <c r="AH74" s="33" t="n"/>
      <c r="AI74" s="34" t="n"/>
      <c r="AJ74" s="34" t="n"/>
      <c r="AK74" s="41" t="n">
        <v>0.1</v>
      </c>
      <c r="AL74" s="36">
        <f>IF(AH74="","",AH74*AK74)</f>
        <v/>
      </c>
      <c r="AM74" s="36">
        <f>IF(OR(AH74="",S74=0),"",MIN(IF(AU74="",9.9E+99,AU74),FLOOR(AL74/S74,1)))</f>
        <v/>
      </c>
      <c r="AN74" s="40">
        <f>IF(AM74="","",AM74*IF(ABS(MOD(ABS((U74)),1)-0.5)&lt;1E-9,2*ROUND((U74)/2,0),ROUND((U74),0)))</f>
        <v/>
      </c>
      <c r="AO74" s="38">
        <f>IF(OR(AH74="",S74=0),"",MIN(IF(AU74="",9.9E+99,AU74),AL74/S74))</f>
        <v/>
      </c>
      <c r="AP74" s="40">
        <f>IF(AO74="","",AO74*IF(B74="South Korea",IF(ABS(MOD(ABS((U74)),1)-0.5)&lt;1E-9,2*ROUND((U74)/2,0),ROUND((U74),0)),U74))</f>
        <v/>
      </c>
      <c r="AQ74" s="42" t="n"/>
      <c r="AR74" s="34" t="inlineStr">
        <is>
          <t>Estimated</t>
        </is>
      </c>
      <c r="AS74" s="43" t="n"/>
      <c r="AT74" s="43" t="n"/>
      <c r="AU74" s="44" t="n"/>
      <c r="AV74" s="45">
        <f>IF(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&lt;=0,"",VLOOKUP(B74,country_opex,7,FALSE)/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)</f>
        <v/>
      </c>
      <c r="AW74" s="45">
        <f>IF(((T74*pax_cap*IF(B74="South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Korea",korea_mid_revleg,revleg_mid)),0))*VLOOKUP(B74,country_opex,3,FALSE))+W74+X74+Y74+Z74+AA74))&lt;=0,"",VLOOKUP(B74,country_opex,7,FALSE)/((T74*pax_cap*IF(B74="South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Korea",korea_mid_revleg,revleg_mid)),0))*VLOOKUP(B74,country_opex,3,FALSE))+W74+X74+Y74+Z74+AA74)))</f>
        <v/>
      </c>
      <c r="AX74" s="45">
        <f>IF(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&lt;=0,"",VLOOKUP(B74,country_opex,7,FALSE)/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)</f>
        <v/>
      </c>
      <c r="AY74" s="46" t="n"/>
      <c r="AZ74" s="46" t="n"/>
      <c r="BA74" s="34" t="inlineStr">
        <is>
          <t>rn-714b08705cf1</t>
        </is>
      </c>
    </row>
    <row r="75">
      <c r="A75" s="31" t="inlineStr">
        <is>
          <t>Yango Qatar</t>
        </is>
      </c>
      <c r="B75" s="31" t="inlineStr">
        <is>
          <t>Qatar</t>
        </is>
      </c>
      <c r="C75" s="32" t="inlineStr">
        <is>
          <t>Doha Corniche → The Pearl</t>
        </is>
      </c>
      <c r="D75" s="33" t="n">
        <v>4</v>
      </c>
      <c r="E75" s="27" t="n"/>
      <c r="F75" s="34" t="n"/>
      <c r="G75" s="34" t="n"/>
      <c r="H75" s="20" t="n">
        <v>1</v>
      </c>
      <c r="I75" s="35">
        <f>60*D75/cruise_kt</f>
        <v/>
      </c>
      <c r="J75" s="35">
        <f>IF(B75="South Korea",D75/korea_charge_range_nm*korea_full_range_charge_min,0)</f>
        <v/>
      </c>
      <c r="K75" s="35">
        <f>IF(B75="South Korea",I75+korea_turn_min+korea_dwell_min+J75,I75+turn_min+dwell_min)</f>
        <v/>
      </c>
      <c r="L75" s="36">
        <f>IF(B75="South Korea",FLOOR(60*korea_service_hr/K75,1),MIN(15,FLOOR(60*service_hr/K75,1)))</f>
        <v/>
      </c>
      <c r="M75" s="36">
        <f>IF(ABS(MOD(ABS((365*mech_uptime*H75)),1)-0.5)&lt;1E-9,2*ROUND((365*mech_uptime*H75)/2,0),ROUND((365*mech_uptime*H75),0))</f>
        <v/>
      </c>
      <c r="N75" s="37">
        <f>mech_uptime</f>
        <v/>
      </c>
      <c r="O75" s="37">
        <f>IF(AND(B75="South Korea",scenario="MID"),korea_mid_revleg,revleg_sel)</f>
        <v/>
      </c>
      <c r="P75" s="36">
        <f>IF(ABS(MOD(ABS((L75*M75*O75)),1)-0.5)&lt;1E-9,2*ROUND((L75*M75*O75)/2,0),ROUND((L75*M75*O75),0))</f>
        <v/>
      </c>
      <c r="Q75" s="37">
        <f>IF(AND(B75="South Korea",scenario="MID"),korea_mid_load,load_sel)</f>
        <v/>
      </c>
      <c r="R75" s="38">
        <f>pax_cap*Q75</f>
        <v/>
      </c>
      <c r="S75" s="36">
        <f>R75*P75</f>
        <v/>
      </c>
      <c r="T75" s="39">
        <f>E75*discount</f>
        <v/>
      </c>
      <c r="U75" s="40">
        <f>T75*S75</f>
        <v/>
      </c>
      <c r="V75" s="40">
        <f>(battery/range_nm)*D75*P75*VLOOKUP(B75,country_opex,3,FALSE)</f>
        <v/>
      </c>
      <c r="W75" s="40">
        <f>VLOOKUP(B75,country_opex,2,FALSE)*crew_factor</f>
        <v/>
      </c>
      <c r="X75" s="40">
        <f>VLOOKUP(B75,country_opex,5,FALSE)</f>
        <v/>
      </c>
      <c r="Y75" s="40">
        <f>maint</f>
        <v/>
      </c>
      <c r="Z75" s="40">
        <f>VLOOKUP(B75,country_opex,7,FALSE)*ins_pct</f>
        <v/>
      </c>
      <c r="AA75" s="40">
        <f>charge_berth</f>
        <v/>
      </c>
      <c r="AB75" s="40">
        <f>V75+W75+X75+Y75+Z75+AA75</f>
        <v/>
      </c>
      <c r="AC75" s="40">
        <f>VLOOKUP(B75,country_opex,7,FALSE)/dep_years</f>
        <v/>
      </c>
      <c r="AD75" s="40">
        <f>U75-AB75</f>
        <v/>
      </c>
      <c r="AE75" s="37">
        <f>IF(U75=0,"",AD75/U75)</f>
        <v/>
      </c>
      <c r="AF75" s="38">
        <f>IF(AD75&lt;=0,"",VLOOKUP(B75,country_opex,7,FALSE)/AD75)</f>
        <v/>
      </c>
      <c r="AG75" s="35">
        <f>((D75*P75/diesel_nmpg)*diesel_co2pg-(battery/range_nm)*D75*P75*VLOOKUP(B75,country_opex,4,FALSE))/1000</f>
        <v/>
      </c>
      <c r="AH75" s="33" t="n"/>
      <c r="AI75" s="34" t="n"/>
      <c r="AJ75" s="34" t="n"/>
      <c r="AK75" s="41" t="n">
        <v>0.1</v>
      </c>
      <c r="AL75" s="36">
        <f>IF(AH75="","",AH75*AK75)</f>
        <v/>
      </c>
      <c r="AM75" s="36">
        <f>IF(OR(AH75="",S75=0),"",MIN(IF(AU75="",9.9E+99,AU75),FLOOR(AL75/S75,1)))</f>
        <v/>
      </c>
      <c r="AN75" s="40">
        <f>IF(AM75="","",AM75*IF(ABS(MOD(ABS((U75)),1)-0.5)&lt;1E-9,2*ROUND((U75)/2,0),ROUND((U75),0)))</f>
        <v/>
      </c>
      <c r="AO75" s="38">
        <f>IF(OR(AH75="",S75=0),"",MIN(IF(AU75="",9.9E+99,AU75),AL75/S75))</f>
        <v/>
      </c>
      <c r="AP75" s="40">
        <f>IF(AO75="","",AO75*IF(B75="South Korea",IF(ABS(MOD(ABS((U75)),1)-0.5)&lt;1E-9,2*ROUND((U75)/2,0),ROUND((U75),0)),U75))</f>
        <v/>
      </c>
      <c r="AQ75" s="42" t="n"/>
      <c r="AR75" s="34" t="inlineStr">
        <is>
          <t>Estimated</t>
        </is>
      </c>
      <c r="AS75" s="43" t="n"/>
      <c r="AT75" s="43" t="n"/>
      <c r="AU75" s="44" t="n"/>
      <c r="AV75" s="45">
        <f>IF(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&lt;=0,"",VLOOKUP(B75,country_opex,7,FALSE)/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)</f>
        <v/>
      </c>
      <c r="AW75" s="45">
        <f>IF(((T75*pax_cap*IF(B75="South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Korea",korea_mid_revleg,revleg_mid)),0))*VLOOKUP(B75,country_opex,3,FALSE))+W75+X75+Y75+Z75+AA75))&lt;=0,"",VLOOKUP(B75,country_opex,7,FALSE)/((T75*pax_cap*IF(B75="South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Korea",korea_mid_revleg,revleg_mid)),0))*VLOOKUP(B75,country_opex,3,FALSE))+W75+X75+Y75+Z75+AA75)))</f>
        <v/>
      </c>
      <c r="AX75" s="45">
        <f>IF(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&lt;=0,"",VLOOKUP(B75,country_opex,7,FALSE)/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)</f>
        <v/>
      </c>
      <c r="AY75" s="46" t="n"/>
      <c r="AZ75" s="46" t="n"/>
      <c r="BA75" s="34" t="inlineStr">
        <is>
          <t>rn-bd6924470bd3</t>
        </is>
      </c>
    </row>
    <row r="76">
      <c r="A76" s="31" t="inlineStr">
        <is>
          <t>Yango Qatar</t>
        </is>
      </c>
      <c r="B76" s="31" t="inlineStr">
        <is>
          <t>Qatar</t>
        </is>
      </c>
      <c r="C76" s="32" t="inlineStr">
        <is>
          <t>The Pearl-Qatar (Marsa Arabia) → Doha Corniche / Old Doha Port</t>
        </is>
      </c>
      <c r="D76" s="33" t="n">
        <v>4.4</v>
      </c>
      <c r="E76" s="27" t="n">
        <v>10.99</v>
      </c>
      <c r="F76" s="34" t="inlineStr">
        <is>
          <t>T3</t>
        </is>
      </c>
      <c r="G76" s="34" t="inlineStr">
        <is>
          <t>med</t>
        </is>
      </c>
      <c r="H76" s="20" t="n">
        <v>1</v>
      </c>
      <c r="I76" s="35">
        <f>60*D76/cruise_kt</f>
        <v/>
      </c>
      <c r="J76" s="35">
        <f>IF(B76="South Korea",D76/korea_charge_range_nm*korea_full_range_charge_min,0)</f>
        <v/>
      </c>
      <c r="K76" s="35">
        <f>IF(B76="South Korea",I76+korea_turn_min+korea_dwell_min+J76,I76+turn_min+dwell_min)</f>
        <v/>
      </c>
      <c r="L76" s="36">
        <f>IF(B76="South Korea",FLOOR(60*korea_service_hr/K76,1),MIN(15,FLOOR(60*service_hr/K76,1)))</f>
        <v/>
      </c>
      <c r="M76" s="36">
        <f>IF(ABS(MOD(ABS((365*mech_uptime*H76)),1)-0.5)&lt;1E-9,2*ROUND((365*mech_uptime*H76)/2,0),ROUND((365*mech_uptime*H76),0))</f>
        <v/>
      </c>
      <c r="N76" s="37">
        <f>mech_uptime</f>
        <v/>
      </c>
      <c r="O76" s="37">
        <f>IF(AND(B76="South Korea",scenario="MID"),korea_mid_revleg,revleg_sel)</f>
        <v/>
      </c>
      <c r="P76" s="36">
        <f>IF(ABS(MOD(ABS((L76*M76*O76)),1)-0.5)&lt;1E-9,2*ROUND((L76*M76*O76)/2,0),ROUND((L76*M76*O76),0))</f>
        <v/>
      </c>
      <c r="Q76" s="37">
        <f>IF(AND(B76="South Korea",scenario="MID"),korea_mid_load,load_sel)</f>
        <v/>
      </c>
      <c r="R76" s="38">
        <f>pax_cap*Q76</f>
        <v/>
      </c>
      <c r="S76" s="36">
        <f>R76*P76</f>
        <v/>
      </c>
      <c r="T76" s="39">
        <f>E76*discount</f>
        <v/>
      </c>
      <c r="U76" s="40">
        <f>T76*S76</f>
        <v/>
      </c>
      <c r="V76" s="40">
        <f>(battery/range_nm)*D76*P76*VLOOKUP(B76,country_opex,3,FALSE)</f>
        <v/>
      </c>
      <c r="W76" s="40">
        <f>VLOOKUP(B76,country_opex,2,FALSE)*crew_factor</f>
        <v/>
      </c>
      <c r="X76" s="40">
        <f>VLOOKUP(B76,country_opex,5,FALSE)</f>
        <v/>
      </c>
      <c r="Y76" s="40">
        <f>maint</f>
        <v/>
      </c>
      <c r="Z76" s="40">
        <f>VLOOKUP(B76,country_opex,7,FALSE)*ins_pct</f>
        <v/>
      </c>
      <c r="AA76" s="40">
        <f>charge_berth</f>
        <v/>
      </c>
      <c r="AB76" s="40">
        <f>V76+W76+X76+Y76+Z76+AA76</f>
        <v/>
      </c>
      <c r="AC76" s="40">
        <f>VLOOKUP(B76,country_opex,7,FALSE)/dep_years</f>
        <v/>
      </c>
      <c r="AD76" s="40">
        <f>U76-AB76</f>
        <v/>
      </c>
      <c r="AE76" s="37">
        <f>IF(U76=0,"",AD76/U76)</f>
        <v/>
      </c>
      <c r="AF76" s="38">
        <f>IF(AD76&lt;=0,"",VLOOKUP(B76,country_opex,7,FALSE)/AD76)</f>
        <v/>
      </c>
      <c r="AG76" s="35">
        <f>((D76*P76/diesel_nmpg)*diesel_co2pg-(battery/range_nm)*D76*P76*VLOOKUP(B76,country_opex,4,FALSE))/1000</f>
        <v/>
      </c>
      <c r="AH76" s="33" t="n">
        <v>50000</v>
      </c>
      <c r="AI76" s="34" t="inlineStr">
        <is>
          <t>T5</t>
        </is>
      </c>
      <c r="AJ76" s="34" t="inlineStr">
        <is>
          <t>low</t>
        </is>
      </c>
      <c r="AK76" s="41" t="n">
        <v>0.1</v>
      </c>
      <c r="AL76" s="36">
        <f>IF(AH76="","",AH76*AK76)</f>
        <v/>
      </c>
      <c r="AM76" s="36">
        <f>IF(OR(AH76="",S76=0),"",MIN(IF(AU76="",9.9E+99,AU76),FLOOR(AL76/S76,1)))</f>
        <v/>
      </c>
      <c r="AN76" s="40">
        <f>IF(AM76="","",AM76*IF(ABS(MOD(ABS((U76)),1)-0.5)&lt;1E-9,2*ROUND((U76)/2,0),ROUND((U76),0)))</f>
        <v/>
      </c>
      <c r="AO76" s="38">
        <f>IF(OR(AH76="",S76=0),"",MIN(IF(AU76="",9.9E+99,AU76),AL76/S76))</f>
        <v/>
      </c>
      <c r="AP76" s="40">
        <f>IF(AO76="","",AO76*IF(B76="South Korea",IF(ABS(MOD(ABS((U76)),1)-0.5)&lt;1E-9,2*ROUND((U76)/2,0),ROUND((U76),0)),U76))</f>
        <v/>
      </c>
      <c r="AQ76" s="42" t="n"/>
      <c r="AR76" s="34" t="inlineStr">
        <is>
          <t>Estimated</t>
        </is>
      </c>
      <c r="AS76" s="43" t="n"/>
      <c r="AT76" s="43" t="n"/>
      <c r="AU76" s="44" t="n"/>
      <c r="AV76" s="45">
        <f>IF(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&lt;=0,"",VLOOKUP(B76,country_opex,7,FALSE)/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)</f>
        <v/>
      </c>
      <c r="AW76" s="45">
        <f>IF(((T76*pax_cap*IF(B76="South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Korea",korea_mid_revleg,revleg_mid)),0))*VLOOKUP(B76,country_opex,3,FALSE))+W76+X76+Y76+Z76+AA76))&lt;=0,"",VLOOKUP(B76,country_opex,7,FALSE)/((T76*pax_cap*IF(B76="South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Korea",korea_mid_revleg,revleg_mid)),0))*VLOOKUP(B76,country_opex,3,FALSE))+W76+X76+Y76+Z76+AA76)))</f>
        <v/>
      </c>
      <c r="AX76" s="45">
        <f>IF(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&lt;=0,"",VLOOKUP(B76,country_opex,7,FALSE)/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)</f>
        <v/>
      </c>
      <c r="AY76" s="46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Z76" s="46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  <c r="BA76" s="34" t="inlineStr">
        <is>
          <t>rn-bf5805f03313</t>
        </is>
      </c>
    </row>
    <row r="77">
      <c r="A77" s="31" t="inlineStr">
        <is>
          <t>Yango Qatar</t>
        </is>
      </c>
      <c r="B77" s="31" t="inlineStr">
        <is>
          <t>Qatar</t>
        </is>
      </c>
      <c r="C77" s="32" t="inlineStr">
        <is>
          <t>The Pearl-Qatar (Marsa Arabia) → Doha Corniche / Old Doha Port</t>
        </is>
      </c>
      <c r="D77" s="33" t="n">
        <v>4.4</v>
      </c>
      <c r="E77" s="27" t="n"/>
      <c r="F77" s="34" t="n"/>
      <c r="G77" s="34" t="n"/>
      <c r="H77" s="20" t="n">
        <v>1</v>
      </c>
      <c r="I77" s="35">
        <f>60*D77/cruise_kt</f>
        <v/>
      </c>
      <c r="J77" s="35">
        <f>IF(B77="South Korea",D77/korea_charge_range_nm*korea_full_range_charge_min,0)</f>
        <v/>
      </c>
      <c r="K77" s="35">
        <f>IF(B77="South Korea",I77+korea_turn_min+korea_dwell_min+J77,I77+turn_min+dwell_min)</f>
        <v/>
      </c>
      <c r="L77" s="36">
        <f>IF(B77="South Korea",FLOOR(60*korea_service_hr/K77,1),MIN(15,FLOOR(60*service_hr/K77,1)))</f>
        <v/>
      </c>
      <c r="M77" s="36">
        <f>IF(ABS(MOD(ABS((365*mech_uptime*H77)),1)-0.5)&lt;1E-9,2*ROUND((365*mech_uptime*H77)/2,0),ROUND((365*mech_uptime*H77),0))</f>
        <v/>
      </c>
      <c r="N77" s="37">
        <f>mech_uptime</f>
        <v/>
      </c>
      <c r="O77" s="37">
        <f>IF(AND(B77="South Korea",scenario="MID"),korea_mid_revleg,revleg_sel)</f>
        <v/>
      </c>
      <c r="P77" s="36">
        <f>IF(ABS(MOD(ABS((L77*M77*O77)),1)-0.5)&lt;1E-9,2*ROUND((L77*M77*O77)/2,0),ROUND((L77*M77*O77),0))</f>
        <v/>
      </c>
      <c r="Q77" s="37">
        <f>IF(AND(B77="South Korea",scenario="MID"),korea_mid_load,load_sel)</f>
        <v/>
      </c>
      <c r="R77" s="38">
        <f>pax_cap*Q77</f>
        <v/>
      </c>
      <c r="S77" s="36">
        <f>R77*P77</f>
        <v/>
      </c>
      <c r="T77" s="39">
        <f>E77*discount</f>
        <v/>
      </c>
      <c r="U77" s="40">
        <f>T77*S77</f>
        <v/>
      </c>
      <c r="V77" s="40">
        <f>(battery/range_nm)*D77*P77*VLOOKUP(B77,country_opex,3,FALSE)</f>
        <v/>
      </c>
      <c r="W77" s="40">
        <f>VLOOKUP(B77,country_opex,2,FALSE)*crew_factor</f>
        <v/>
      </c>
      <c r="X77" s="40">
        <f>VLOOKUP(B77,country_opex,5,FALSE)</f>
        <v/>
      </c>
      <c r="Y77" s="40">
        <f>maint</f>
        <v/>
      </c>
      <c r="Z77" s="40">
        <f>VLOOKUP(B77,country_opex,7,FALSE)*ins_pct</f>
        <v/>
      </c>
      <c r="AA77" s="40">
        <f>charge_berth</f>
        <v/>
      </c>
      <c r="AB77" s="40">
        <f>V77+W77+X77+Y77+Z77+AA77</f>
        <v/>
      </c>
      <c r="AC77" s="40">
        <f>VLOOKUP(B77,country_opex,7,FALSE)/dep_years</f>
        <v/>
      </c>
      <c r="AD77" s="40">
        <f>U77-AB77</f>
        <v/>
      </c>
      <c r="AE77" s="37">
        <f>IF(U77=0,"",AD77/U77)</f>
        <v/>
      </c>
      <c r="AF77" s="38">
        <f>IF(AD77&lt;=0,"",VLOOKUP(B77,country_opex,7,FALSE)/AD77)</f>
        <v/>
      </c>
      <c r="AG77" s="35">
        <f>((D77*P77/diesel_nmpg)*diesel_co2pg-(battery/range_nm)*D77*P77*VLOOKUP(B77,country_opex,4,FALSE))/1000</f>
        <v/>
      </c>
      <c r="AH77" s="33" t="n"/>
      <c r="AI77" s="34" t="n"/>
      <c r="AJ77" s="34" t="n"/>
      <c r="AK77" s="41" t="n">
        <v>0.1</v>
      </c>
      <c r="AL77" s="36">
        <f>IF(AH77="","",AH77*AK77)</f>
        <v/>
      </c>
      <c r="AM77" s="36">
        <f>IF(OR(AH77="",S77=0),"",MIN(IF(AU77="",9.9E+99,AU77),FLOOR(AL77/S77,1)))</f>
        <v/>
      </c>
      <c r="AN77" s="40">
        <f>IF(AM77="","",AM77*IF(ABS(MOD(ABS((U77)),1)-0.5)&lt;1E-9,2*ROUND((U77)/2,0),ROUND((U77),0)))</f>
        <v/>
      </c>
      <c r="AO77" s="38">
        <f>IF(OR(AH77="",S77=0),"",MIN(IF(AU77="",9.9E+99,AU77),AL77/S77))</f>
        <v/>
      </c>
      <c r="AP77" s="40">
        <f>IF(AO77="","",AO77*IF(B77="South Korea",IF(ABS(MOD(ABS((U77)),1)-0.5)&lt;1E-9,2*ROUND((U77)/2,0),ROUND((U77),0)),U77))</f>
        <v/>
      </c>
      <c r="AQ77" s="42" t="n"/>
      <c r="AR77" s="34" t="inlineStr">
        <is>
          <t>Estimated</t>
        </is>
      </c>
      <c r="AS77" s="43" t="n"/>
      <c r="AT77" s="43" t="n"/>
      <c r="AU77" s="44" t="n"/>
      <c r="AV77" s="45">
        <f>IF(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&lt;=0,"",VLOOKUP(B77,country_opex,7,FALSE)/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)</f>
        <v/>
      </c>
      <c r="AW77" s="45">
        <f>IF(((T77*pax_cap*IF(B77="South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Korea",korea_mid_revleg,revleg_mid)),0))*VLOOKUP(B77,country_opex,3,FALSE))+W77+X77+Y77+Z77+AA77))&lt;=0,"",VLOOKUP(B77,country_opex,7,FALSE)/((T77*pax_cap*IF(B77="South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Korea",korea_mid_revleg,revleg_mid)),0))*VLOOKUP(B77,country_opex,3,FALSE))+W77+X77+Y77+Z77+AA77)))</f>
        <v/>
      </c>
      <c r="AX77" s="45">
        <f>IF(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&lt;=0,"",VLOOKUP(B77,country_opex,7,FALSE)/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)</f>
        <v/>
      </c>
      <c r="AY77" s="46" t="n"/>
      <c r="AZ77" s="46" t="n"/>
      <c r="BA77" s="34" t="inlineStr">
        <is>
          <t>rn-bd6924470bd3</t>
        </is>
      </c>
    </row>
    <row r="78">
      <c r="A78" s="31" t="inlineStr">
        <is>
          <t>Yango Qatar</t>
        </is>
      </c>
      <c r="B78" s="31" t="inlineStr">
        <is>
          <t>Qatar</t>
        </is>
      </c>
      <c r="C78" s="32" t="inlineStr">
        <is>
          <t>Doha → Banana Island</t>
        </is>
      </c>
      <c r="D78" s="33" t="n">
        <v>4.5</v>
      </c>
      <c r="E78" s="27" t="n"/>
      <c r="F78" s="34" t="n"/>
      <c r="G78" s="34" t="n"/>
      <c r="H78" s="20" t="n">
        <v>1</v>
      </c>
      <c r="I78" s="35">
        <f>60*D78/cruise_kt</f>
        <v/>
      </c>
      <c r="J78" s="35">
        <f>IF(B78="South Korea",D78/korea_charge_range_nm*korea_full_range_charge_min,0)</f>
        <v/>
      </c>
      <c r="K78" s="35">
        <f>IF(B78="South Korea",I78+korea_turn_min+korea_dwell_min+J78,I78+turn_min+dwell_min)</f>
        <v/>
      </c>
      <c r="L78" s="36">
        <f>IF(B78="South Korea",FLOOR(60*korea_service_hr/K78,1),MIN(15,FLOOR(60*service_hr/K78,1)))</f>
        <v/>
      </c>
      <c r="M78" s="36">
        <f>IF(ABS(MOD(ABS((365*mech_uptime*H78)),1)-0.5)&lt;1E-9,2*ROUND((365*mech_uptime*H78)/2,0),ROUND((365*mech_uptime*H78),0))</f>
        <v/>
      </c>
      <c r="N78" s="37">
        <f>mech_uptime</f>
        <v/>
      </c>
      <c r="O78" s="37">
        <f>IF(AND(B78="South Korea",scenario="MID"),korea_mid_revleg,revleg_sel)</f>
        <v/>
      </c>
      <c r="P78" s="36">
        <f>IF(ABS(MOD(ABS((L78*M78*O78)),1)-0.5)&lt;1E-9,2*ROUND((L78*M78*O78)/2,0),ROUND((L78*M78*O78),0))</f>
        <v/>
      </c>
      <c r="Q78" s="37">
        <f>IF(AND(B78="South Korea",scenario="MID"),korea_mid_load,load_sel)</f>
        <v/>
      </c>
      <c r="R78" s="38">
        <f>pax_cap*Q78</f>
        <v/>
      </c>
      <c r="S78" s="36">
        <f>R78*P78</f>
        <v/>
      </c>
      <c r="T78" s="39">
        <f>E78*discount</f>
        <v/>
      </c>
      <c r="U78" s="40">
        <f>T78*S78</f>
        <v/>
      </c>
      <c r="V78" s="40">
        <f>(battery/range_nm)*D78*P78*VLOOKUP(B78,country_opex,3,FALSE)</f>
        <v/>
      </c>
      <c r="W78" s="40">
        <f>VLOOKUP(B78,country_opex,2,FALSE)*crew_factor</f>
        <v/>
      </c>
      <c r="X78" s="40">
        <f>VLOOKUP(B78,country_opex,5,FALSE)</f>
        <v/>
      </c>
      <c r="Y78" s="40">
        <f>maint</f>
        <v/>
      </c>
      <c r="Z78" s="40">
        <f>VLOOKUP(B78,country_opex,7,FALSE)*ins_pct</f>
        <v/>
      </c>
      <c r="AA78" s="40">
        <f>charge_berth</f>
        <v/>
      </c>
      <c r="AB78" s="40">
        <f>V78+W78+X78+Y78+Z78+AA78</f>
        <v/>
      </c>
      <c r="AC78" s="40">
        <f>VLOOKUP(B78,country_opex,7,FALSE)/dep_years</f>
        <v/>
      </c>
      <c r="AD78" s="40">
        <f>U78-AB78</f>
        <v/>
      </c>
      <c r="AE78" s="37">
        <f>IF(U78=0,"",AD78/U78)</f>
        <v/>
      </c>
      <c r="AF78" s="38">
        <f>IF(AD78&lt;=0,"",VLOOKUP(B78,country_opex,7,FALSE)/AD78)</f>
        <v/>
      </c>
      <c r="AG78" s="35">
        <f>((D78*P78/diesel_nmpg)*diesel_co2pg-(battery/range_nm)*D78*P78*VLOOKUP(B78,country_opex,4,FALSE))/1000</f>
        <v/>
      </c>
      <c r="AH78" s="33" t="n"/>
      <c r="AI78" s="34" t="n"/>
      <c r="AJ78" s="34" t="n"/>
      <c r="AK78" s="41" t="n">
        <v>0.1</v>
      </c>
      <c r="AL78" s="36">
        <f>IF(AH78="","",AH78*AK78)</f>
        <v/>
      </c>
      <c r="AM78" s="36">
        <f>IF(OR(AH78="",S78=0),"",MIN(IF(AU78="",9.9E+99,AU78),FLOOR(AL78/S78,1)))</f>
        <v/>
      </c>
      <c r="AN78" s="40">
        <f>IF(AM78="","",AM78*IF(ABS(MOD(ABS((U78)),1)-0.5)&lt;1E-9,2*ROUND((U78)/2,0),ROUND((U78),0)))</f>
        <v/>
      </c>
      <c r="AO78" s="38">
        <f>IF(OR(AH78="",S78=0),"",MIN(IF(AU78="",9.9E+99,AU78),AL78/S78))</f>
        <v/>
      </c>
      <c r="AP78" s="40">
        <f>IF(AO78="","",AO78*IF(B78="South Korea",IF(ABS(MOD(ABS((U78)),1)-0.5)&lt;1E-9,2*ROUND((U78)/2,0),ROUND((U78),0)),U78))</f>
        <v/>
      </c>
      <c r="AQ78" s="42" t="n"/>
      <c r="AR78" s="34" t="inlineStr">
        <is>
          <t>Estimated</t>
        </is>
      </c>
      <c r="AS78" s="43" t="n"/>
      <c r="AT78" s="43" t="n"/>
      <c r="AU78" s="44" t="n"/>
      <c r="AV78" s="45">
        <f>IF(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&lt;=0,"",VLOOKUP(B78,country_opex,7,FALSE)/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)</f>
        <v/>
      </c>
      <c r="AW78" s="45">
        <f>IF(((T78*pax_cap*IF(B78="South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Korea",korea_mid_revleg,revleg_mid)),0))*VLOOKUP(B78,country_opex,3,FALSE))+W78+X78+Y78+Z78+AA78))&lt;=0,"",VLOOKUP(B78,country_opex,7,FALSE)/((T78*pax_cap*IF(B78="South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Korea",korea_mid_revleg,revleg_mid)),0))*VLOOKUP(B78,country_opex,3,FALSE))+W78+X78+Y78+Z78+AA78)))</f>
        <v/>
      </c>
      <c r="AX78" s="45">
        <f>IF(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&lt;=0,"",VLOOKUP(B78,country_opex,7,FALSE)/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)</f>
        <v/>
      </c>
      <c r="AY78" s="46" t="n"/>
      <c r="AZ78" s="46" t="n"/>
      <c r="BA78" s="34" t="inlineStr">
        <is>
          <t>rn-888f95dd0915</t>
        </is>
      </c>
    </row>
    <row r="79">
      <c r="A79" s="31" t="inlineStr">
        <is>
          <t>Yango Qatar</t>
        </is>
      </c>
      <c r="B79" s="31" t="inlineStr">
        <is>
          <t>Qatar</t>
        </is>
      </c>
      <c r="C79" s="32" t="inlineStr">
        <is>
          <t>Doha (Al Shyoukh Terminal) → Banana Island Resort (Anantara)</t>
        </is>
      </c>
      <c r="D79" s="33" t="n">
        <v>4.9</v>
      </c>
      <c r="E79" s="27" t="n">
        <v>27.5</v>
      </c>
      <c r="F79" s="34" t="inlineStr">
        <is>
          <t>T3</t>
        </is>
      </c>
      <c r="G79" s="34" t="inlineStr">
        <is>
          <t>med</t>
        </is>
      </c>
      <c r="H79" s="20" t="n">
        <v>1</v>
      </c>
      <c r="I79" s="35">
        <f>60*D79/cruise_kt</f>
        <v/>
      </c>
      <c r="J79" s="35">
        <f>IF(B79="South Korea",D79/korea_charge_range_nm*korea_full_range_charge_min,0)</f>
        <v/>
      </c>
      <c r="K79" s="35">
        <f>IF(B79="South Korea",I79+korea_turn_min+korea_dwell_min+J79,I79+turn_min+dwell_min)</f>
        <v/>
      </c>
      <c r="L79" s="36">
        <f>IF(B79="South Korea",FLOOR(60*korea_service_hr/K79,1),MIN(15,FLOOR(60*service_hr/K79,1)))</f>
        <v/>
      </c>
      <c r="M79" s="36">
        <f>IF(ABS(MOD(ABS((365*mech_uptime*H79)),1)-0.5)&lt;1E-9,2*ROUND((365*mech_uptime*H79)/2,0),ROUND((365*mech_uptime*H79),0))</f>
        <v/>
      </c>
      <c r="N79" s="37">
        <f>mech_uptime</f>
        <v/>
      </c>
      <c r="O79" s="37">
        <f>IF(AND(B79="South Korea",scenario="MID"),korea_mid_revleg,revleg_sel)</f>
        <v/>
      </c>
      <c r="P79" s="36">
        <f>IF(ABS(MOD(ABS((L79*M79*O79)),1)-0.5)&lt;1E-9,2*ROUND((L79*M79*O79)/2,0),ROUND((L79*M79*O79),0))</f>
        <v/>
      </c>
      <c r="Q79" s="37">
        <f>IF(AND(B79="South Korea",scenario="MID"),korea_mid_load,load_sel)</f>
        <v/>
      </c>
      <c r="R79" s="38">
        <f>pax_cap*Q79</f>
        <v/>
      </c>
      <c r="S79" s="36">
        <f>R79*P79</f>
        <v/>
      </c>
      <c r="T79" s="39">
        <f>E79*discount</f>
        <v/>
      </c>
      <c r="U79" s="40">
        <f>T79*S79</f>
        <v/>
      </c>
      <c r="V79" s="40">
        <f>(battery/range_nm)*D79*P79*VLOOKUP(B79,country_opex,3,FALSE)</f>
        <v/>
      </c>
      <c r="W79" s="40">
        <f>VLOOKUP(B79,country_opex,2,FALSE)*crew_factor</f>
        <v/>
      </c>
      <c r="X79" s="40">
        <f>VLOOKUP(B79,country_opex,5,FALSE)</f>
        <v/>
      </c>
      <c r="Y79" s="40">
        <f>maint</f>
        <v/>
      </c>
      <c r="Z79" s="40">
        <f>VLOOKUP(B79,country_opex,7,FALSE)*ins_pct</f>
        <v/>
      </c>
      <c r="AA79" s="40">
        <f>charge_berth</f>
        <v/>
      </c>
      <c r="AB79" s="40">
        <f>V79+W79+X79+Y79+Z79+AA79</f>
        <v/>
      </c>
      <c r="AC79" s="40">
        <f>VLOOKUP(B79,country_opex,7,FALSE)/dep_years</f>
        <v/>
      </c>
      <c r="AD79" s="40">
        <f>U79-AB79</f>
        <v/>
      </c>
      <c r="AE79" s="37">
        <f>IF(U79=0,"",AD79/U79)</f>
        <v/>
      </c>
      <c r="AF79" s="38">
        <f>IF(AD79&lt;=0,"",VLOOKUP(B79,country_opex,7,FALSE)/AD79)</f>
        <v/>
      </c>
      <c r="AG79" s="35">
        <f>((D79*P79/diesel_nmpg)*diesel_co2pg-(battery/range_nm)*D79*P79*VLOOKUP(B79,country_opex,4,FALSE))/1000</f>
        <v/>
      </c>
      <c r="AH79" s="33" t="n">
        <v>85000</v>
      </c>
      <c r="AI79" s="34" t="inlineStr">
        <is>
          <t>T4</t>
        </is>
      </c>
      <c r="AJ79" s="34" t="inlineStr">
        <is>
          <t>med-low</t>
        </is>
      </c>
      <c r="AK79" s="41" t="n">
        <v>0.1</v>
      </c>
      <c r="AL79" s="36">
        <f>IF(AH79="","",AH79*AK79)</f>
        <v/>
      </c>
      <c r="AM79" s="36">
        <f>IF(OR(AH79="",S79=0),"",MIN(IF(AU79="",9.9E+99,AU79),FLOOR(AL79/S79,1)))</f>
        <v/>
      </c>
      <c r="AN79" s="40">
        <f>IF(AM79="","",AM79*IF(ABS(MOD(ABS((U79)),1)-0.5)&lt;1E-9,2*ROUND((U79)/2,0),ROUND((U79),0)))</f>
        <v/>
      </c>
      <c r="AO79" s="38">
        <f>IF(OR(AH79="",S79=0),"",MIN(IF(AU79="",9.9E+99,AU79),AL79/S79))</f>
        <v/>
      </c>
      <c r="AP79" s="40">
        <f>IF(AO79="","",AO79*IF(B79="South Korea",IF(ABS(MOD(ABS((U79)),1)-0.5)&lt;1E-9,2*ROUND((U79)/2,0),ROUND((U79),0)),U79))</f>
        <v/>
      </c>
      <c r="AQ79" s="42" t="n"/>
      <c r="AR79" s="34" t="inlineStr">
        <is>
          <t>Estimated</t>
        </is>
      </c>
      <c r="AS79" s="43" t="n"/>
      <c r="AT79" s="43" t="n"/>
      <c r="AU79" s="44" t="n"/>
      <c r="AV79" s="45">
        <f>IF(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&lt;=0,"",VLOOKUP(B79,country_opex,7,FALSE)/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)</f>
        <v/>
      </c>
      <c r="AW79" s="45">
        <f>IF(((T79*pax_cap*IF(B79="South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Korea",korea_mid_revleg,revleg_mid)),0))*VLOOKUP(B79,country_opex,3,FALSE))+W79+X79+Y79+Z79+AA79))&lt;=0,"",VLOOKUP(B79,country_opex,7,FALSE)/((T79*pax_cap*IF(B79="South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Korea",korea_mid_revleg,revleg_mid)),0))*VLOOKUP(B79,country_opex,3,FALSE))+W79+X79+Y79+Z79+AA79)))</f>
        <v/>
      </c>
      <c r="AX79" s="45">
        <f>IF(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&lt;=0,"",VLOOKUP(B79,country_opex,7,FALSE)/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)</f>
        <v/>
      </c>
      <c r="AY79" s="46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Z79" s="46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  <c r="BA79" s="34" t="inlineStr">
        <is>
          <t>rn-619269ea6bb1</t>
        </is>
      </c>
    </row>
    <row r="80">
      <c r="A80" s="31" t="inlineStr">
        <is>
          <t>Yango Qatar</t>
        </is>
      </c>
      <c r="B80" s="31" t="inlineStr">
        <is>
          <t>Qatar</t>
        </is>
      </c>
      <c r="C80" s="32" t="inlineStr">
        <is>
          <t>Doha (Al Shyoukh Terminal) → Banana Island Resort (Anantara)</t>
        </is>
      </c>
      <c r="D80" s="33" t="n">
        <v>4.9</v>
      </c>
      <c r="E80" s="27" t="n"/>
      <c r="F80" s="34" t="n"/>
      <c r="G80" s="34" t="n"/>
      <c r="H80" s="20" t="n">
        <v>1</v>
      </c>
      <c r="I80" s="35">
        <f>60*D80/cruise_kt</f>
        <v/>
      </c>
      <c r="J80" s="35">
        <f>IF(B80="South Korea",D80/korea_charge_range_nm*korea_full_range_charge_min,0)</f>
        <v/>
      </c>
      <c r="K80" s="35">
        <f>IF(B80="South Korea",I80+korea_turn_min+korea_dwell_min+J80,I80+turn_min+dwell_min)</f>
        <v/>
      </c>
      <c r="L80" s="36">
        <f>IF(B80="South Korea",FLOOR(60*korea_service_hr/K80,1),MIN(15,FLOOR(60*service_hr/K80,1)))</f>
        <v/>
      </c>
      <c r="M80" s="36">
        <f>IF(ABS(MOD(ABS((365*mech_uptime*H80)),1)-0.5)&lt;1E-9,2*ROUND((365*mech_uptime*H80)/2,0),ROUND((365*mech_uptime*H80),0))</f>
        <v/>
      </c>
      <c r="N80" s="37">
        <f>mech_uptime</f>
        <v/>
      </c>
      <c r="O80" s="37">
        <f>IF(AND(B80="South Korea",scenario="MID"),korea_mid_revleg,revleg_sel)</f>
        <v/>
      </c>
      <c r="P80" s="36">
        <f>IF(ABS(MOD(ABS((L80*M80*O80)),1)-0.5)&lt;1E-9,2*ROUND((L80*M80*O80)/2,0),ROUND((L80*M80*O80),0))</f>
        <v/>
      </c>
      <c r="Q80" s="37">
        <f>IF(AND(B80="South Korea",scenario="MID"),korea_mid_load,load_sel)</f>
        <v/>
      </c>
      <c r="R80" s="38">
        <f>pax_cap*Q80</f>
        <v/>
      </c>
      <c r="S80" s="36">
        <f>R80*P80</f>
        <v/>
      </c>
      <c r="T80" s="39">
        <f>E80*discount</f>
        <v/>
      </c>
      <c r="U80" s="40">
        <f>T80*S80</f>
        <v/>
      </c>
      <c r="V80" s="40">
        <f>(battery/range_nm)*D80*P80*VLOOKUP(B80,country_opex,3,FALSE)</f>
        <v/>
      </c>
      <c r="W80" s="40">
        <f>VLOOKUP(B80,country_opex,2,FALSE)*crew_factor</f>
        <v/>
      </c>
      <c r="X80" s="40">
        <f>VLOOKUP(B80,country_opex,5,FALSE)</f>
        <v/>
      </c>
      <c r="Y80" s="40">
        <f>maint</f>
        <v/>
      </c>
      <c r="Z80" s="40">
        <f>VLOOKUP(B80,country_opex,7,FALSE)*ins_pct</f>
        <v/>
      </c>
      <c r="AA80" s="40">
        <f>charge_berth</f>
        <v/>
      </c>
      <c r="AB80" s="40">
        <f>V80+W80+X80+Y80+Z80+AA80</f>
        <v/>
      </c>
      <c r="AC80" s="40">
        <f>VLOOKUP(B80,country_opex,7,FALSE)/dep_years</f>
        <v/>
      </c>
      <c r="AD80" s="40">
        <f>U80-AB80</f>
        <v/>
      </c>
      <c r="AE80" s="37">
        <f>IF(U80=0,"",AD80/U80)</f>
        <v/>
      </c>
      <c r="AF80" s="38">
        <f>IF(AD80&lt;=0,"",VLOOKUP(B80,country_opex,7,FALSE)/AD80)</f>
        <v/>
      </c>
      <c r="AG80" s="35">
        <f>((D80*P80/diesel_nmpg)*diesel_co2pg-(battery/range_nm)*D80*P80*VLOOKUP(B80,country_opex,4,FALSE))/1000</f>
        <v/>
      </c>
      <c r="AH80" s="33" t="n"/>
      <c r="AI80" s="34" t="n"/>
      <c r="AJ80" s="34" t="n"/>
      <c r="AK80" s="41" t="n">
        <v>0.9</v>
      </c>
      <c r="AL80" s="36">
        <f>IF(AH80="","",AH80*AK80)</f>
        <v/>
      </c>
      <c r="AM80" s="36">
        <f>IF(OR(AH80="",S80=0),"",MIN(IF(AU80="",9.9E+99,AU80),FLOOR(AL80/S80,1)))</f>
        <v/>
      </c>
      <c r="AN80" s="40">
        <f>IF(AM80="","",AM80*IF(ABS(MOD(ABS((U80)),1)-0.5)&lt;1E-9,2*ROUND((U80)/2,0),ROUND((U80),0)))</f>
        <v/>
      </c>
      <c r="AO80" s="38">
        <f>IF(OR(AH80="",S80=0),"",MIN(IF(AU80="",9.9E+99,AU80),AL80/S80))</f>
        <v/>
      </c>
      <c r="AP80" s="40">
        <f>IF(AO80="","",AO80*IF(B80="South Korea",IF(ABS(MOD(ABS((U80)),1)-0.5)&lt;1E-9,2*ROUND((U80)/2,0),ROUND((U80),0)),U80))</f>
        <v/>
      </c>
      <c r="AQ80" s="42" t="n"/>
      <c r="AR80" s="34" t="inlineStr">
        <is>
          <t>Estimated</t>
        </is>
      </c>
      <c r="AS80" s="43" t="n"/>
      <c r="AT80" s="43" t="n"/>
      <c r="AU80" s="44" t="n"/>
      <c r="AV80" s="45">
        <f>IF(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&lt;=0,"",VLOOKUP(B80,country_opex,7,FALSE)/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)</f>
        <v/>
      </c>
      <c r="AW80" s="45">
        <f>IF(((T80*pax_cap*IF(B80="South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Korea",korea_mid_revleg,revleg_mid)),0))*VLOOKUP(B80,country_opex,3,FALSE))+W80+X80+Y80+Z80+AA80))&lt;=0,"",VLOOKUP(B80,country_opex,7,FALSE)/((T80*pax_cap*IF(B80="South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Korea",korea_mid_revleg,revleg_mid)),0))*VLOOKUP(B80,country_opex,3,FALSE))+W80+X80+Y80+Z80+AA80)))</f>
        <v/>
      </c>
      <c r="AX80" s="45">
        <f>IF(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&lt;=0,"",VLOOKUP(B80,country_opex,7,FALSE)/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)</f>
        <v/>
      </c>
      <c r="AY80" s="46" t="n"/>
      <c r="AZ80" s="46" t="n"/>
      <c r="BA80" s="34" t="inlineStr">
        <is>
          <t>rn-888f95dd0915</t>
        </is>
      </c>
    </row>
    <row r="81">
      <c r="A81" s="31" t="inlineStr">
        <is>
          <t>Yango Qatar</t>
        </is>
      </c>
      <c r="B81" s="31" t="inlineStr">
        <is>
          <t>Qatar</t>
        </is>
      </c>
      <c r="C81" s="32" t="inlineStr">
        <is>
          <t>West Bay / Corniche (Doha) → Lusail Marina &amp; Place Vendôme</t>
        </is>
      </c>
      <c r="D81" s="33" t="n">
        <v>6.3</v>
      </c>
      <c r="E81" s="27" t="n">
        <v>16</v>
      </c>
      <c r="F81" s="34" t="inlineStr">
        <is>
          <t>T5</t>
        </is>
      </c>
      <c r="G81" s="34" t="inlineStr">
        <is>
          <t>low</t>
        </is>
      </c>
      <c r="H81" s="20" t="n">
        <v>1</v>
      </c>
      <c r="I81" s="35">
        <f>60*D81/cruise_kt</f>
        <v/>
      </c>
      <c r="J81" s="35">
        <f>IF(B81="South Korea",D81/korea_charge_range_nm*korea_full_range_charge_min,0)</f>
        <v/>
      </c>
      <c r="K81" s="35">
        <f>IF(B81="South Korea",I81+korea_turn_min+korea_dwell_min+J81,I81+turn_min+dwell_min)</f>
        <v/>
      </c>
      <c r="L81" s="36">
        <f>IF(B81="South Korea",FLOOR(60*korea_service_hr/K81,1),MIN(15,FLOOR(60*service_hr/K81,1)))</f>
        <v/>
      </c>
      <c r="M81" s="36">
        <f>IF(ABS(MOD(ABS((365*mech_uptime*H81)),1)-0.5)&lt;1E-9,2*ROUND((365*mech_uptime*H81)/2,0),ROUND((365*mech_uptime*H81),0))</f>
        <v/>
      </c>
      <c r="N81" s="37">
        <f>mech_uptime</f>
        <v/>
      </c>
      <c r="O81" s="37">
        <f>IF(AND(B81="South Korea",scenario="MID"),korea_mid_revleg,revleg_sel)</f>
        <v/>
      </c>
      <c r="P81" s="36">
        <f>IF(ABS(MOD(ABS((L81*M81*O81)),1)-0.5)&lt;1E-9,2*ROUND((L81*M81*O81)/2,0),ROUND((L81*M81*O81),0))</f>
        <v/>
      </c>
      <c r="Q81" s="37">
        <f>IF(AND(B81="South Korea",scenario="MID"),korea_mid_load,load_sel)</f>
        <v/>
      </c>
      <c r="R81" s="38">
        <f>pax_cap*Q81</f>
        <v/>
      </c>
      <c r="S81" s="36">
        <f>R81*P81</f>
        <v/>
      </c>
      <c r="T81" s="39">
        <f>E81*discount</f>
        <v/>
      </c>
      <c r="U81" s="40">
        <f>T81*S81</f>
        <v/>
      </c>
      <c r="V81" s="40">
        <f>(battery/range_nm)*D81*P81*VLOOKUP(B81,country_opex,3,FALSE)</f>
        <v/>
      </c>
      <c r="W81" s="40">
        <f>VLOOKUP(B81,country_opex,2,FALSE)*crew_factor</f>
        <v/>
      </c>
      <c r="X81" s="40">
        <f>VLOOKUP(B81,country_opex,5,FALSE)</f>
        <v/>
      </c>
      <c r="Y81" s="40">
        <f>maint</f>
        <v/>
      </c>
      <c r="Z81" s="40">
        <f>VLOOKUP(B81,country_opex,7,FALSE)*ins_pct</f>
        <v/>
      </c>
      <c r="AA81" s="40">
        <f>charge_berth</f>
        <v/>
      </c>
      <c r="AB81" s="40">
        <f>V81+W81+X81+Y81+Z81+AA81</f>
        <v/>
      </c>
      <c r="AC81" s="40">
        <f>VLOOKUP(B81,country_opex,7,FALSE)/dep_years</f>
        <v/>
      </c>
      <c r="AD81" s="40">
        <f>U81-AB81</f>
        <v/>
      </c>
      <c r="AE81" s="37">
        <f>IF(U81=0,"",AD81/U81)</f>
        <v/>
      </c>
      <c r="AF81" s="38">
        <f>IF(AD81&lt;=0,"",VLOOKUP(B81,country_opex,7,FALSE)/AD81)</f>
        <v/>
      </c>
      <c r="AG81" s="35">
        <f>((D81*P81/diesel_nmpg)*diesel_co2pg-(battery/range_nm)*D81*P81*VLOOKUP(B81,country_opex,4,FALSE))/1000</f>
        <v/>
      </c>
      <c r="AH81" s="33" t="n">
        <v>75000</v>
      </c>
      <c r="AI81" s="34" t="inlineStr">
        <is>
          <t>T5</t>
        </is>
      </c>
      <c r="AJ81" s="34" t="inlineStr">
        <is>
          <t>low</t>
        </is>
      </c>
      <c r="AK81" s="41" t="n">
        <v>0.1</v>
      </c>
      <c r="AL81" s="36">
        <f>IF(AH81="","",AH81*AK81)</f>
        <v/>
      </c>
      <c r="AM81" s="36">
        <f>IF(OR(AH81="",S81=0),"",MIN(IF(AU81="",9.9E+99,AU81),FLOOR(AL81/S81,1)))</f>
        <v/>
      </c>
      <c r="AN81" s="40">
        <f>IF(AM81="","",AM81*IF(ABS(MOD(ABS((U81)),1)-0.5)&lt;1E-9,2*ROUND((U81)/2,0),ROUND((U81),0)))</f>
        <v/>
      </c>
      <c r="AO81" s="38">
        <f>IF(OR(AH81="",S81=0),"",MIN(IF(AU81="",9.9E+99,AU81),AL81/S81))</f>
        <v/>
      </c>
      <c r="AP81" s="40">
        <f>IF(AO81="","",AO81*IF(B81="South Korea",IF(ABS(MOD(ABS((U81)),1)-0.5)&lt;1E-9,2*ROUND((U81)/2,0),ROUND((U81),0)),U81))</f>
        <v/>
      </c>
      <c r="AQ81" s="42" t="n"/>
      <c r="AR81" s="34" t="inlineStr">
        <is>
          <t>Forward SAM</t>
        </is>
      </c>
      <c r="AS81" s="43" t="n"/>
      <c r="AT81" s="43" t="n"/>
      <c r="AU81" s="44" t="n"/>
      <c r="AV81" s="45">
        <f>IF(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&lt;=0,"",VLOOKUP(B81,country_opex,7,FALSE)/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)</f>
        <v/>
      </c>
      <c r="AW81" s="45">
        <f>IF(((T81*pax_cap*IF(B81="South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Korea",korea_mid_revleg,revleg_mid)),0))*VLOOKUP(B81,country_opex,3,FALSE))+W81+X81+Y81+Z81+AA81))&lt;=0,"",VLOOKUP(B81,country_opex,7,FALSE)/((T81*pax_cap*IF(B81="South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Korea",korea_mid_revleg,revleg_mid)),0))*VLOOKUP(B81,country_opex,3,FALSE))+W81+X81+Y81+Z81+AA81)))</f>
        <v/>
      </c>
      <c r="AX81" s="45">
        <f>IF(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&lt;=0,"",VLOOKUP(B81,country_opex,7,FALSE)/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)</f>
        <v/>
      </c>
      <c r="AY81" s="46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Z81" s="46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  <c r="BA81" s="34" t="inlineStr">
        <is>
          <t>rn-e8434c243233</t>
        </is>
      </c>
    </row>
    <row r="82">
      <c r="A82" s="31" t="inlineStr">
        <is>
          <t>Yango Qatar</t>
        </is>
      </c>
      <c r="B82" s="31" t="inlineStr">
        <is>
          <t>Qatar</t>
        </is>
      </c>
      <c r="C82" s="32" t="inlineStr">
        <is>
          <t>West Bay / Corniche (Doha) → Lusail Marina &amp; Place Vendôme</t>
        </is>
      </c>
      <c r="D82" s="33" t="n">
        <v>6.3</v>
      </c>
      <c r="E82" s="27" t="n"/>
      <c r="F82" s="34" t="n"/>
      <c r="G82" s="34" t="n"/>
      <c r="H82" s="20" t="n">
        <v>1</v>
      </c>
      <c r="I82" s="35">
        <f>60*D82/cruise_kt</f>
        <v/>
      </c>
      <c r="J82" s="35">
        <f>IF(B82="South Korea",D82/korea_charge_range_nm*korea_full_range_charge_min,0)</f>
        <v/>
      </c>
      <c r="K82" s="35">
        <f>IF(B82="South Korea",I82+korea_turn_min+korea_dwell_min+J82,I82+turn_min+dwell_min)</f>
        <v/>
      </c>
      <c r="L82" s="36">
        <f>IF(B82="South Korea",FLOOR(60*korea_service_hr/K82,1),MIN(15,FLOOR(60*service_hr/K82,1)))</f>
        <v/>
      </c>
      <c r="M82" s="36">
        <f>IF(ABS(MOD(ABS((365*mech_uptime*H82)),1)-0.5)&lt;1E-9,2*ROUND((365*mech_uptime*H82)/2,0),ROUND((365*mech_uptime*H82),0))</f>
        <v/>
      </c>
      <c r="N82" s="37">
        <f>mech_uptime</f>
        <v/>
      </c>
      <c r="O82" s="37">
        <f>IF(AND(B82="South Korea",scenario="MID"),korea_mid_revleg,revleg_sel)</f>
        <v/>
      </c>
      <c r="P82" s="36">
        <f>IF(ABS(MOD(ABS((L82*M82*O82)),1)-0.5)&lt;1E-9,2*ROUND((L82*M82*O82)/2,0),ROUND((L82*M82*O82),0))</f>
        <v/>
      </c>
      <c r="Q82" s="37">
        <f>IF(AND(B82="South Korea",scenario="MID"),korea_mid_load,load_sel)</f>
        <v/>
      </c>
      <c r="R82" s="38">
        <f>pax_cap*Q82</f>
        <v/>
      </c>
      <c r="S82" s="36">
        <f>R82*P82</f>
        <v/>
      </c>
      <c r="T82" s="39">
        <f>E82*discount</f>
        <v/>
      </c>
      <c r="U82" s="40">
        <f>T82*S82</f>
        <v/>
      </c>
      <c r="V82" s="40">
        <f>(battery/range_nm)*D82*P82*VLOOKUP(B82,country_opex,3,FALSE)</f>
        <v/>
      </c>
      <c r="W82" s="40">
        <f>VLOOKUP(B82,country_opex,2,FALSE)*crew_factor</f>
        <v/>
      </c>
      <c r="X82" s="40">
        <f>VLOOKUP(B82,country_opex,5,FALSE)</f>
        <v/>
      </c>
      <c r="Y82" s="40">
        <f>maint</f>
        <v/>
      </c>
      <c r="Z82" s="40">
        <f>VLOOKUP(B82,country_opex,7,FALSE)*ins_pct</f>
        <v/>
      </c>
      <c r="AA82" s="40">
        <f>charge_berth</f>
        <v/>
      </c>
      <c r="AB82" s="40">
        <f>V82+W82+X82+Y82+Z82+AA82</f>
        <v/>
      </c>
      <c r="AC82" s="40">
        <f>VLOOKUP(B82,country_opex,7,FALSE)/dep_years</f>
        <v/>
      </c>
      <c r="AD82" s="40">
        <f>U82-AB82</f>
        <v/>
      </c>
      <c r="AE82" s="37">
        <f>IF(U82=0,"",AD82/U82)</f>
        <v/>
      </c>
      <c r="AF82" s="38">
        <f>IF(AD82&lt;=0,"",VLOOKUP(B82,country_opex,7,FALSE)/AD82)</f>
        <v/>
      </c>
      <c r="AG82" s="35">
        <f>((D82*P82/diesel_nmpg)*diesel_co2pg-(battery/range_nm)*D82*P82*VLOOKUP(B82,country_opex,4,FALSE))/1000</f>
        <v/>
      </c>
      <c r="AH82" s="33" t="n"/>
      <c r="AI82" s="34" t="n"/>
      <c r="AJ82" s="34" t="n"/>
      <c r="AK82" s="41" t="n">
        <v>0.1</v>
      </c>
      <c r="AL82" s="36">
        <f>IF(AH82="","",AH82*AK82)</f>
        <v/>
      </c>
      <c r="AM82" s="36">
        <f>IF(OR(AH82="",S82=0),"",MIN(IF(AU82="",9.9E+99,AU82),FLOOR(AL82/S82,1)))</f>
        <v/>
      </c>
      <c r="AN82" s="40">
        <f>IF(AM82="","",AM82*IF(ABS(MOD(ABS((U82)),1)-0.5)&lt;1E-9,2*ROUND((U82)/2,0),ROUND((U82),0)))</f>
        <v/>
      </c>
      <c r="AO82" s="38">
        <f>IF(OR(AH82="",S82=0),"",MIN(IF(AU82="",9.9E+99,AU82),AL82/S82))</f>
        <v/>
      </c>
      <c r="AP82" s="40">
        <f>IF(AO82="","",AO82*IF(B82="South Korea",IF(ABS(MOD(ABS((U82)),1)-0.5)&lt;1E-9,2*ROUND((U82)/2,0),ROUND((U82),0)),U82))</f>
        <v/>
      </c>
      <c r="AQ82" s="42" t="n"/>
      <c r="AR82" s="34" t="inlineStr">
        <is>
          <t>Forward SAM</t>
        </is>
      </c>
      <c r="AS82" s="43" t="inlineStr">
        <is>
          <t>FWD-SAM (2030)</t>
        </is>
      </c>
      <c r="AT82" s="43" t="n"/>
      <c r="AU82" s="44" t="n"/>
      <c r="AV82" s="45">
        <f>IF(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&lt;=0,"",VLOOKUP(B82,country_opex,7,FALSE)/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)</f>
        <v/>
      </c>
      <c r="AW82" s="45">
        <f>IF(((T82*pax_cap*IF(B82="South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Korea",korea_mid_revleg,revleg_mid)),0))*VLOOKUP(B82,country_opex,3,FALSE))+W82+X82+Y82+Z82+AA82))&lt;=0,"",VLOOKUP(B82,country_opex,7,FALSE)/((T82*pax_cap*IF(B82="South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Korea",korea_mid_revleg,revleg_mid)),0))*VLOOKUP(B82,country_opex,3,FALSE))+W82+X82+Y82+Z82+AA82)))</f>
        <v/>
      </c>
      <c r="AX82" s="45">
        <f>IF(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&lt;=0,"",VLOOKUP(B82,country_opex,7,FALSE)/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)</f>
        <v/>
      </c>
      <c r="AY82" s="46" t="n"/>
      <c r="AZ82" s="46" t="n"/>
      <c r="BA82" s="34" t="inlineStr">
        <is>
          <t>rn-e8434c243233</t>
        </is>
      </c>
    </row>
    <row r="83">
      <c r="A83" s="31" t="inlineStr">
        <is>
          <t>Yango Qatar</t>
        </is>
      </c>
      <c r="B83" s="31" t="inlineStr">
        <is>
          <t>Qatar</t>
        </is>
      </c>
      <c r="C83" s="32" t="inlineStr">
        <is>
          <t>Doha → Lusail Marina</t>
        </is>
      </c>
      <c r="D83" s="33" t="n">
        <v>6.5</v>
      </c>
      <c r="E83" s="27" t="n"/>
      <c r="F83" s="34" t="n"/>
      <c r="G83" s="34" t="n"/>
      <c r="H83" s="20" t="n">
        <v>1</v>
      </c>
      <c r="I83" s="35">
        <f>60*D83/cruise_kt</f>
        <v/>
      </c>
      <c r="J83" s="35">
        <f>IF(B83="South Korea",D83/korea_charge_range_nm*korea_full_range_charge_min,0)</f>
        <v/>
      </c>
      <c r="K83" s="35">
        <f>IF(B83="South Korea",I83+korea_turn_min+korea_dwell_min+J83,I83+turn_min+dwell_min)</f>
        <v/>
      </c>
      <c r="L83" s="36">
        <f>IF(B83="South Korea",FLOOR(60*korea_service_hr/K83,1),MIN(15,FLOOR(60*service_hr/K83,1)))</f>
        <v/>
      </c>
      <c r="M83" s="36">
        <f>IF(ABS(MOD(ABS((365*mech_uptime*H83)),1)-0.5)&lt;1E-9,2*ROUND((365*mech_uptime*H83)/2,0),ROUND((365*mech_uptime*H83),0))</f>
        <v/>
      </c>
      <c r="N83" s="37">
        <f>mech_uptime</f>
        <v/>
      </c>
      <c r="O83" s="37">
        <f>IF(AND(B83="South Korea",scenario="MID"),korea_mid_revleg,revleg_sel)</f>
        <v/>
      </c>
      <c r="P83" s="36">
        <f>IF(ABS(MOD(ABS((L83*M83*O83)),1)-0.5)&lt;1E-9,2*ROUND((L83*M83*O83)/2,0),ROUND((L83*M83*O83),0))</f>
        <v/>
      </c>
      <c r="Q83" s="37">
        <f>IF(AND(B83="South Korea",scenario="MID"),korea_mid_load,load_sel)</f>
        <v/>
      </c>
      <c r="R83" s="38">
        <f>pax_cap*Q83</f>
        <v/>
      </c>
      <c r="S83" s="36">
        <f>R83*P83</f>
        <v/>
      </c>
      <c r="T83" s="39">
        <f>E83*discount</f>
        <v/>
      </c>
      <c r="U83" s="40">
        <f>T83*S83</f>
        <v/>
      </c>
      <c r="V83" s="40">
        <f>(battery/range_nm)*D83*P83*VLOOKUP(B83,country_opex,3,FALSE)</f>
        <v/>
      </c>
      <c r="W83" s="40">
        <f>VLOOKUP(B83,country_opex,2,FALSE)*crew_factor</f>
        <v/>
      </c>
      <c r="X83" s="40">
        <f>VLOOKUP(B83,country_opex,5,FALSE)</f>
        <v/>
      </c>
      <c r="Y83" s="40">
        <f>maint</f>
        <v/>
      </c>
      <c r="Z83" s="40">
        <f>VLOOKUP(B83,country_opex,7,FALSE)*ins_pct</f>
        <v/>
      </c>
      <c r="AA83" s="40">
        <f>charge_berth</f>
        <v/>
      </c>
      <c r="AB83" s="40">
        <f>V83+W83+X83+Y83+Z83+AA83</f>
        <v/>
      </c>
      <c r="AC83" s="40">
        <f>VLOOKUP(B83,country_opex,7,FALSE)/dep_years</f>
        <v/>
      </c>
      <c r="AD83" s="40">
        <f>U83-AB83</f>
        <v/>
      </c>
      <c r="AE83" s="37">
        <f>IF(U83=0,"",AD83/U83)</f>
        <v/>
      </c>
      <c r="AF83" s="38">
        <f>IF(AD83&lt;=0,"",VLOOKUP(B83,country_opex,7,FALSE)/AD83)</f>
        <v/>
      </c>
      <c r="AG83" s="35">
        <f>((D83*P83/diesel_nmpg)*diesel_co2pg-(battery/range_nm)*D83*P83*VLOOKUP(B83,country_opex,4,FALSE))/1000</f>
        <v/>
      </c>
      <c r="AH83" s="33" t="n"/>
      <c r="AI83" s="34" t="n"/>
      <c r="AJ83" s="34" t="n"/>
      <c r="AK83" s="41" t="n">
        <v>0.1</v>
      </c>
      <c r="AL83" s="36">
        <f>IF(AH83="","",AH83*AK83)</f>
        <v/>
      </c>
      <c r="AM83" s="36">
        <f>IF(OR(AH83="",S83=0),"",MIN(IF(AU83="",9.9E+99,AU83),FLOOR(AL83/S83,1)))</f>
        <v/>
      </c>
      <c r="AN83" s="40">
        <f>IF(AM83="","",AM83*IF(ABS(MOD(ABS((U83)),1)-0.5)&lt;1E-9,2*ROUND((U83)/2,0),ROUND((U83),0)))</f>
        <v/>
      </c>
      <c r="AO83" s="38">
        <f>IF(OR(AH83="",S83=0),"",MIN(IF(AU83="",9.9E+99,AU83),AL83/S83))</f>
        <v/>
      </c>
      <c r="AP83" s="40">
        <f>IF(AO83="","",AO83*IF(B83="South Korea",IF(ABS(MOD(ABS((U83)),1)-0.5)&lt;1E-9,2*ROUND((U83)/2,0),ROUND((U83),0)),U83))</f>
        <v/>
      </c>
      <c r="AQ83" s="42" t="n"/>
      <c r="AR83" s="34" t="inlineStr">
        <is>
          <t>Estimated</t>
        </is>
      </c>
      <c r="AS83" s="43" t="n"/>
      <c r="AT83" s="43" t="n"/>
      <c r="AU83" s="44" t="n"/>
      <c r="AV83" s="45">
        <f>IF(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&lt;=0,"",VLOOKUP(B83,country_opex,7,FALSE)/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)</f>
        <v/>
      </c>
      <c r="AW83" s="45">
        <f>IF(((T83*pax_cap*IF(B83="South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Korea",korea_mid_revleg,revleg_mid)),0))*VLOOKUP(B83,country_opex,3,FALSE))+W83+X83+Y83+Z83+AA83))&lt;=0,"",VLOOKUP(B83,country_opex,7,FALSE)/((T83*pax_cap*IF(B83="South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Korea",korea_mid_revleg,revleg_mid)),0))*VLOOKUP(B83,country_opex,3,FALSE))+W83+X83+Y83+Z83+AA83)))</f>
        <v/>
      </c>
      <c r="AX83" s="45">
        <f>IF(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&lt;=0,"",VLOOKUP(B83,country_opex,7,FALSE)/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)</f>
        <v/>
      </c>
      <c r="AY83" s="46" t="n"/>
      <c r="AZ83" s="46" t="n"/>
      <c r="BA83" s="34" t="inlineStr">
        <is>
          <t>rn-e8434c243233</t>
        </is>
      </c>
    </row>
    <row r="84">
      <c r="A84" s="31" t="inlineStr">
        <is>
          <t>Yango Qatar</t>
        </is>
      </c>
      <c r="B84" s="31" t="inlineStr">
        <is>
          <t>Qatar</t>
        </is>
      </c>
      <c r="C84" s="32" t="inlineStr">
        <is>
          <t>Al Wakrah → Banana Island</t>
        </is>
      </c>
      <c r="D84" s="33" t="n">
        <v>9.5</v>
      </c>
      <c r="E84" s="27" t="n"/>
      <c r="F84" s="34" t="n"/>
      <c r="G84" s="34" t="n"/>
      <c r="H84" s="20" t="n">
        <v>1</v>
      </c>
      <c r="I84" s="35">
        <f>60*D84/cruise_kt</f>
        <v/>
      </c>
      <c r="J84" s="35">
        <f>IF(B84="South Korea",D84/korea_charge_range_nm*korea_full_range_charge_min,0)</f>
        <v/>
      </c>
      <c r="K84" s="35">
        <f>IF(B84="South Korea",I84+korea_turn_min+korea_dwell_min+J84,I84+turn_min+dwell_min)</f>
        <v/>
      </c>
      <c r="L84" s="36">
        <f>IF(B84="South Korea",FLOOR(60*korea_service_hr/K84,1),MIN(15,FLOOR(60*service_hr/K84,1)))</f>
        <v/>
      </c>
      <c r="M84" s="36">
        <f>IF(ABS(MOD(ABS((365*mech_uptime*H84)),1)-0.5)&lt;1E-9,2*ROUND((365*mech_uptime*H84)/2,0),ROUND((365*mech_uptime*H84),0))</f>
        <v/>
      </c>
      <c r="N84" s="37">
        <f>mech_uptime</f>
        <v/>
      </c>
      <c r="O84" s="37">
        <f>IF(AND(B84="South Korea",scenario="MID"),korea_mid_revleg,revleg_sel)</f>
        <v/>
      </c>
      <c r="P84" s="36">
        <f>IF(ABS(MOD(ABS((L84*M84*O84)),1)-0.5)&lt;1E-9,2*ROUND((L84*M84*O84)/2,0),ROUND((L84*M84*O84),0))</f>
        <v/>
      </c>
      <c r="Q84" s="37">
        <f>IF(AND(B84="South Korea",scenario="MID"),korea_mid_load,load_sel)</f>
        <v/>
      </c>
      <c r="R84" s="38">
        <f>pax_cap*Q84</f>
        <v/>
      </c>
      <c r="S84" s="36">
        <f>R84*P84</f>
        <v/>
      </c>
      <c r="T84" s="39">
        <f>E84*discount</f>
        <v/>
      </c>
      <c r="U84" s="40">
        <f>T84*S84</f>
        <v/>
      </c>
      <c r="V84" s="40">
        <f>(battery/range_nm)*D84*P84*VLOOKUP(B84,country_opex,3,FALSE)</f>
        <v/>
      </c>
      <c r="W84" s="40">
        <f>VLOOKUP(B84,country_opex,2,FALSE)*crew_factor</f>
        <v/>
      </c>
      <c r="X84" s="40">
        <f>VLOOKUP(B84,country_opex,5,FALSE)</f>
        <v/>
      </c>
      <c r="Y84" s="40">
        <f>maint</f>
        <v/>
      </c>
      <c r="Z84" s="40">
        <f>VLOOKUP(B84,country_opex,7,FALSE)*ins_pct</f>
        <v/>
      </c>
      <c r="AA84" s="40">
        <f>charge_berth</f>
        <v/>
      </c>
      <c r="AB84" s="40">
        <f>V84+W84+X84+Y84+Z84+AA84</f>
        <v/>
      </c>
      <c r="AC84" s="40">
        <f>VLOOKUP(B84,country_opex,7,FALSE)/dep_years</f>
        <v/>
      </c>
      <c r="AD84" s="40">
        <f>U84-AB84</f>
        <v/>
      </c>
      <c r="AE84" s="37">
        <f>IF(U84=0,"",AD84/U84)</f>
        <v/>
      </c>
      <c r="AF84" s="38">
        <f>IF(AD84&lt;=0,"",VLOOKUP(B84,country_opex,7,FALSE)/AD84)</f>
        <v/>
      </c>
      <c r="AG84" s="35">
        <f>((D84*P84/diesel_nmpg)*diesel_co2pg-(battery/range_nm)*D84*P84*VLOOKUP(B84,country_opex,4,FALSE))/1000</f>
        <v/>
      </c>
      <c r="AH84" s="33" t="n"/>
      <c r="AI84" s="34" t="n"/>
      <c r="AJ84" s="34" t="n"/>
      <c r="AK84" s="41" t="n">
        <v>0.1</v>
      </c>
      <c r="AL84" s="36">
        <f>IF(AH84="","",AH84*AK84)</f>
        <v/>
      </c>
      <c r="AM84" s="36">
        <f>IF(OR(AH84="",S84=0),"",MIN(IF(AU84="",9.9E+99,AU84),FLOOR(AL84/S84,1)))</f>
        <v/>
      </c>
      <c r="AN84" s="40">
        <f>IF(AM84="","",AM84*IF(ABS(MOD(ABS((U84)),1)-0.5)&lt;1E-9,2*ROUND((U84)/2,0),ROUND((U84),0)))</f>
        <v/>
      </c>
      <c r="AO84" s="38">
        <f>IF(OR(AH84="",S84=0),"",MIN(IF(AU84="",9.9E+99,AU84),AL84/S84))</f>
        <v/>
      </c>
      <c r="AP84" s="40">
        <f>IF(AO84="","",AO84*IF(B84="South Korea",IF(ABS(MOD(ABS((U84)),1)-0.5)&lt;1E-9,2*ROUND((U84)/2,0),ROUND((U84),0)),U84))</f>
        <v/>
      </c>
      <c r="AQ84" s="42" t="n"/>
      <c r="AR84" s="34" t="inlineStr">
        <is>
          <t>Estimated</t>
        </is>
      </c>
      <c r="AS84" s="43" t="n"/>
      <c r="AT84" s="43" t="n"/>
      <c r="AU84" s="44" t="n"/>
      <c r="AV84" s="45">
        <f>IF(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&lt;=0,"",VLOOKUP(B84,country_opex,7,FALSE)/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)</f>
        <v/>
      </c>
      <c r="AW84" s="45">
        <f>IF(((T84*pax_cap*IF(B84="South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Korea",korea_mid_revleg,revleg_mid)),0))*VLOOKUP(B84,country_opex,3,FALSE))+W84+X84+Y84+Z84+AA84))&lt;=0,"",VLOOKUP(B84,country_opex,7,FALSE)/((T84*pax_cap*IF(B84="South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Korea",korea_mid_revleg,revleg_mid)),0))*VLOOKUP(B84,country_opex,3,FALSE))+W84+X84+Y84+Z84+AA84)))</f>
        <v/>
      </c>
      <c r="AX84" s="45">
        <f>IF(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&lt;=0,"",VLOOKUP(B84,country_opex,7,FALSE)/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)</f>
        <v/>
      </c>
      <c r="AY84" s="46" t="n"/>
      <c r="AZ84" s="46" t="n"/>
      <c r="BA84" s="34" t="inlineStr">
        <is>
          <t>rn-ad6f66610b8c</t>
        </is>
      </c>
    </row>
    <row r="85">
      <c r="A85" s="31" t="inlineStr">
        <is>
          <t>Yango Qatar</t>
        </is>
      </c>
      <c r="B85" s="31" t="inlineStr">
        <is>
          <t>Qatar</t>
        </is>
      </c>
      <c r="C85" s="32" t="inlineStr">
        <is>
          <t>Doha → Al Wakrah Marina</t>
        </is>
      </c>
      <c r="D85" s="33" t="n">
        <v>11</v>
      </c>
      <c r="E85" s="27" t="n"/>
      <c r="F85" s="34" t="n"/>
      <c r="G85" s="34" t="n"/>
      <c r="H85" s="20" t="n">
        <v>1</v>
      </c>
      <c r="I85" s="35">
        <f>60*D85/cruise_kt</f>
        <v/>
      </c>
      <c r="J85" s="35">
        <f>IF(B85="South Korea",D85/korea_charge_range_nm*korea_full_range_charge_min,0)</f>
        <v/>
      </c>
      <c r="K85" s="35">
        <f>IF(B85="South Korea",I85+korea_turn_min+korea_dwell_min+J85,I85+turn_min+dwell_min)</f>
        <v/>
      </c>
      <c r="L85" s="36">
        <f>IF(B85="South Korea",FLOOR(60*korea_service_hr/K85,1),MIN(15,FLOOR(60*service_hr/K85,1)))</f>
        <v/>
      </c>
      <c r="M85" s="36">
        <f>IF(ABS(MOD(ABS((365*mech_uptime*H85)),1)-0.5)&lt;1E-9,2*ROUND((365*mech_uptime*H85)/2,0),ROUND((365*mech_uptime*H85),0))</f>
        <v/>
      </c>
      <c r="N85" s="37">
        <f>mech_uptime</f>
        <v/>
      </c>
      <c r="O85" s="37">
        <f>IF(AND(B85="South Korea",scenario="MID"),korea_mid_revleg,revleg_sel)</f>
        <v/>
      </c>
      <c r="P85" s="36">
        <f>IF(ABS(MOD(ABS((L85*M85*O85)),1)-0.5)&lt;1E-9,2*ROUND((L85*M85*O85)/2,0),ROUND((L85*M85*O85),0))</f>
        <v/>
      </c>
      <c r="Q85" s="37">
        <f>IF(AND(B85="South Korea",scenario="MID"),korea_mid_load,load_sel)</f>
        <v/>
      </c>
      <c r="R85" s="38">
        <f>pax_cap*Q85</f>
        <v/>
      </c>
      <c r="S85" s="36">
        <f>R85*P85</f>
        <v/>
      </c>
      <c r="T85" s="39">
        <f>E85*discount</f>
        <v/>
      </c>
      <c r="U85" s="40">
        <f>T85*S85</f>
        <v/>
      </c>
      <c r="V85" s="40">
        <f>(battery/range_nm)*D85*P85*VLOOKUP(B85,country_opex,3,FALSE)</f>
        <v/>
      </c>
      <c r="W85" s="40">
        <f>VLOOKUP(B85,country_opex,2,FALSE)*crew_factor</f>
        <v/>
      </c>
      <c r="X85" s="40">
        <f>VLOOKUP(B85,country_opex,5,FALSE)</f>
        <v/>
      </c>
      <c r="Y85" s="40">
        <f>maint</f>
        <v/>
      </c>
      <c r="Z85" s="40">
        <f>VLOOKUP(B85,country_opex,7,FALSE)*ins_pct</f>
        <v/>
      </c>
      <c r="AA85" s="40">
        <f>charge_berth</f>
        <v/>
      </c>
      <c r="AB85" s="40">
        <f>V85+W85+X85+Y85+Z85+AA85</f>
        <v/>
      </c>
      <c r="AC85" s="40">
        <f>VLOOKUP(B85,country_opex,7,FALSE)/dep_years</f>
        <v/>
      </c>
      <c r="AD85" s="40">
        <f>U85-AB85</f>
        <v/>
      </c>
      <c r="AE85" s="37">
        <f>IF(U85=0,"",AD85/U85)</f>
        <v/>
      </c>
      <c r="AF85" s="38">
        <f>IF(AD85&lt;=0,"",VLOOKUP(B85,country_opex,7,FALSE)/AD85)</f>
        <v/>
      </c>
      <c r="AG85" s="35">
        <f>((D85*P85/diesel_nmpg)*diesel_co2pg-(battery/range_nm)*D85*P85*VLOOKUP(B85,country_opex,4,FALSE))/1000</f>
        <v/>
      </c>
      <c r="AH85" s="33" t="n"/>
      <c r="AI85" s="34" t="n"/>
      <c r="AJ85" s="34" t="n"/>
      <c r="AK85" s="41" t="n">
        <v>0.1</v>
      </c>
      <c r="AL85" s="36">
        <f>IF(AH85="","",AH85*AK85)</f>
        <v/>
      </c>
      <c r="AM85" s="36">
        <f>IF(OR(AH85="",S85=0),"",MIN(IF(AU85="",9.9E+99,AU85),FLOOR(AL85/S85,1)))</f>
        <v/>
      </c>
      <c r="AN85" s="40">
        <f>IF(AM85="","",AM85*IF(ABS(MOD(ABS((U85)),1)-0.5)&lt;1E-9,2*ROUND((U85)/2,0),ROUND((U85),0)))</f>
        <v/>
      </c>
      <c r="AO85" s="38">
        <f>IF(OR(AH85="",S85=0),"",MIN(IF(AU85="",9.9E+99,AU85),AL85/S85))</f>
        <v/>
      </c>
      <c r="AP85" s="40">
        <f>IF(AO85="","",AO85*IF(B85="South Korea",IF(ABS(MOD(ABS((U85)),1)-0.5)&lt;1E-9,2*ROUND((U85)/2,0),ROUND((U85),0)),U85))</f>
        <v/>
      </c>
      <c r="AQ85" s="42" t="n"/>
      <c r="AR85" s="34" t="inlineStr">
        <is>
          <t>Estimated</t>
        </is>
      </c>
      <c r="AS85" s="43" t="n"/>
      <c r="AT85" s="43" t="n"/>
      <c r="AU85" s="44" t="n"/>
      <c r="AV85" s="45">
        <f>IF(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&lt;=0,"",VLOOKUP(B85,country_opex,7,FALSE)/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)</f>
        <v/>
      </c>
      <c r="AW85" s="45">
        <f>IF(((T85*pax_cap*IF(B85="South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Korea",korea_mid_revleg,revleg_mid)),0))*VLOOKUP(B85,country_opex,3,FALSE))+W85+X85+Y85+Z85+AA85))&lt;=0,"",VLOOKUP(B85,country_opex,7,FALSE)/((T85*pax_cap*IF(B85="South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Korea",korea_mid_revleg,revleg_mid)),0))*VLOOKUP(B85,country_opex,3,FALSE))+W85+X85+Y85+Z85+AA85)))</f>
        <v/>
      </c>
      <c r="AX85" s="45">
        <f>IF(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&lt;=0,"",VLOOKUP(B85,country_opex,7,FALSE)/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)</f>
        <v/>
      </c>
      <c r="AY85" s="46" t="n"/>
      <c r="AZ85" s="46" t="n"/>
      <c r="BA85" s="34" t="inlineStr">
        <is>
          <t>gcn-e2b0929d6f-qatar</t>
        </is>
      </c>
    </row>
    <row r="86">
      <c r="A86" s="31" t="inlineStr">
        <is>
          <t>Yango Senegal</t>
        </is>
      </c>
      <c r="B86" s="31" t="inlineStr">
        <is>
          <t>Senegal</t>
        </is>
      </c>
      <c r="C86" s="32" t="inlineStr">
        <is>
          <t>Dakar (Plage de Ngor) → Ile de Ngor</t>
        </is>
      </c>
      <c r="D86" s="33" t="n">
        <v>0.3</v>
      </c>
      <c r="E86" s="27" t="n">
        <v>18</v>
      </c>
      <c r="F86" s="34" t="inlineStr">
        <is>
          <t>T2</t>
        </is>
      </c>
      <c r="G86" s="34" t="inlineStr">
        <is>
          <t>med</t>
        </is>
      </c>
      <c r="H86" s="20" t="n">
        <v>1</v>
      </c>
      <c r="I86" s="35">
        <f>60*D86/cruise_kt</f>
        <v/>
      </c>
      <c r="J86" s="35">
        <f>IF(B86="South Korea",D86/korea_charge_range_nm*korea_full_range_charge_min,0)</f>
        <v/>
      </c>
      <c r="K86" s="35">
        <f>IF(B86="South Korea",I86+korea_turn_min+korea_dwell_min+J86,I86+turn_min+dwell_min)</f>
        <v/>
      </c>
      <c r="L86" s="36">
        <f>IF(B86="South Korea",FLOOR(60*korea_service_hr/K86,1),MIN(15,FLOOR(60*service_hr/K86,1)))</f>
        <v/>
      </c>
      <c r="M86" s="36">
        <f>IF(ABS(MOD(ABS((365*mech_uptime*H86)),1)-0.5)&lt;1E-9,2*ROUND((365*mech_uptime*H86)/2,0),ROUND((365*mech_uptime*H86),0))</f>
        <v/>
      </c>
      <c r="N86" s="37">
        <f>mech_uptime</f>
        <v/>
      </c>
      <c r="O86" s="37">
        <f>IF(AND(B86="South Korea",scenario="MID"),korea_mid_revleg,revleg_sel)</f>
        <v/>
      </c>
      <c r="P86" s="36">
        <f>IF(ABS(MOD(ABS((L86*M86*O86)),1)-0.5)&lt;1E-9,2*ROUND((L86*M86*O86)/2,0),ROUND((L86*M86*O86),0))</f>
        <v/>
      </c>
      <c r="Q86" s="37">
        <f>IF(AND(B86="South Korea",scenario="MID"),korea_mid_load,load_sel)</f>
        <v/>
      </c>
      <c r="R86" s="38">
        <f>pax_cap*Q86</f>
        <v/>
      </c>
      <c r="S86" s="36">
        <f>R86*P86</f>
        <v/>
      </c>
      <c r="T86" s="39">
        <f>E86*discount</f>
        <v/>
      </c>
      <c r="U86" s="40">
        <f>T86*S86</f>
        <v/>
      </c>
      <c r="V86" s="40">
        <f>(battery/range_nm)*D86*P86*VLOOKUP(B86,country_opex,3,FALSE)</f>
        <v/>
      </c>
      <c r="W86" s="40">
        <f>VLOOKUP(B86,country_opex,2,FALSE)*crew_factor</f>
        <v/>
      </c>
      <c r="X86" s="40">
        <f>VLOOKUP(B86,country_opex,5,FALSE)</f>
        <v/>
      </c>
      <c r="Y86" s="40">
        <f>maint</f>
        <v/>
      </c>
      <c r="Z86" s="40">
        <f>VLOOKUP(B86,country_opex,7,FALSE)*ins_pct</f>
        <v/>
      </c>
      <c r="AA86" s="40">
        <f>charge_berth</f>
        <v/>
      </c>
      <c r="AB86" s="40">
        <f>V86+W86+X86+Y86+Z86+AA86</f>
        <v/>
      </c>
      <c r="AC86" s="40">
        <f>VLOOKUP(B86,country_opex,7,FALSE)/dep_years</f>
        <v/>
      </c>
      <c r="AD86" s="40">
        <f>U86-AB86</f>
        <v/>
      </c>
      <c r="AE86" s="37">
        <f>IF(U86=0,"",AD86/U86)</f>
        <v/>
      </c>
      <c r="AF86" s="38">
        <f>IF(AD86&lt;=0,"",VLOOKUP(B86,country_opex,7,FALSE)/AD86)</f>
        <v/>
      </c>
      <c r="AG86" s="35">
        <f>((D86*P86/diesel_nmpg)*diesel_co2pg-(battery/range_nm)*D86*P86*VLOOKUP(B86,country_opex,4,FALSE))/1000</f>
        <v/>
      </c>
      <c r="AH86" s="33" t="n"/>
      <c r="AI86" s="34" t="n"/>
      <c r="AJ86" s="34" t="n"/>
      <c r="AK86" s="41" t="n">
        <v>0.1</v>
      </c>
      <c r="AL86" s="36">
        <f>IF(AH86="","",AH86*AK86)</f>
        <v/>
      </c>
      <c r="AM86" s="36">
        <f>IF(OR(AH86="",S86=0),"",MIN(IF(AU86="",9.9E+99,AU86),FLOOR(AL86/S86,1)))</f>
        <v/>
      </c>
      <c r="AN86" s="40">
        <f>IF(AM86="","",AM86*IF(ABS(MOD(ABS((U86)),1)-0.5)&lt;1E-9,2*ROUND((U86)/2,0),ROUND((U86),0)))</f>
        <v/>
      </c>
      <c r="AO86" s="38">
        <f>IF(OR(AH86="",S86=0),"",MIN(IF(AU86="",9.9E+99,AU86),AL86/S86))</f>
        <v/>
      </c>
      <c r="AP86" s="40">
        <f>IF(AO86="","",AO86*IF(B86="South Korea",IF(ABS(MOD(ABS((U86)),1)-0.5)&lt;1E-9,2*ROUND((U86)/2,0),ROUND((U86),0)),U86))</f>
        <v/>
      </c>
      <c r="AQ86" s="42" t="n"/>
      <c r="AR86" s="34" t="inlineStr">
        <is>
          <t>Estimated</t>
        </is>
      </c>
      <c r="AS86" s="43" t="n"/>
      <c r="AT86" s="43" t="n"/>
      <c r="AU86" s="44" t="n"/>
      <c r="AV86" s="45">
        <f>IF(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&lt;=0,"",VLOOKUP(B86,country_opex,7,FALSE)/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)</f>
        <v/>
      </c>
      <c r="AW86" s="45">
        <f>IF(((T86*pax_cap*IF(B86="South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Korea",korea_mid_revleg,revleg_mid)),0))*VLOOKUP(B86,country_opex,3,FALSE))+W86+X86+Y86+Z86+AA86))&lt;=0,"",VLOOKUP(B86,country_opex,7,FALSE)/((T86*pax_cap*IF(B86="South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Korea",korea_mid_revleg,revleg_mid)),0))*VLOOKUP(B86,country_opex,3,FALSE))+W86+X86+Y86+Z86+AA86)))</f>
        <v/>
      </c>
      <c r="AX86" s="45">
        <f>IF(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&lt;=0,"",VLOOKUP(B86,country_opex,7,FALSE)/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)</f>
        <v/>
      </c>
      <c r="AY86" s="46" t="inlineStr">
        <is>
          <t>[LB-255 PREMIUM RE-FARE: subsidized comparable $0.87 lifted to premium on-demand floor $18.0] Pirogue shuttle 1,000 FCFA ALLER-RETOUR =&gt; ~500 one-way =&gt; $0.87. NOTE: this corridor has essentially no premium tier today (single low fare); $0.87 doubles as both anchor and floor.</t>
        </is>
      </c>
      <c r="AZ86" s="46" t="n"/>
      <c r="BA86" s="34" t="inlineStr">
        <is>
          <t>rn-dc2e7e55b6e6</t>
        </is>
      </c>
    </row>
    <row r="87">
      <c r="A87" s="31" t="inlineStr">
        <is>
          <t>Yango Senegal</t>
        </is>
      </c>
      <c r="B87" s="31" t="inlineStr">
        <is>
          <t>Senegal</t>
        </is>
      </c>
      <c r="C87" s="32" t="inlineStr">
        <is>
          <t>Dakar (Soumbedioune / Mole) → Parc National des Iles de la Madeleine (Ile aux Serpents/Sarpan)</t>
        </is>
      </c>
      <c r="D87" s="33" t="n">
        <v>2.2</v>
      </c>
      <c r="E87" s="27" t="n">
        <v>18</v>
      </c>
      <c r="F87" s="34" t="inlineStr">
        <is>
          <t>T2</t>
        </is>
      </c>
      <c r="G87" s="34" t="inlineStr">
        <is>
          <t>med</t>
        </is>
      </c>
      <c r="H87" s="20" t="n">
        <v>1</v>
      </c>
      <c r="I87" s="35">
        <f>60*D87/cruise_kt</f>
        <v/>
      </c>
      <c r="J87" s="35">
        <f>IF(B87="South Korea",D87/korea_charge_range_nm*korea_full_range_charge_min,0)</f>
        <v/>
      </c>
      <c r="K87" s="35">
        <f>IF(B87="South Korea",I87+korea_turn_min+korea_dwell_min+J87,I87+turn_min+dwell_min)</f>
        <v/>
      </c>
      <c r="L87" s="36">
        <f>IF(B87="South Korea",FLOOR(60*korea_service_hr/K87,1),MIN(15,FLOOR(60*service_hr/K87,1)))</f>
        <v/>
      </c>
      <c r="M87" s="36">
        <f>IF(ABS(MOD(ABS((365*mech_uptime*H87)),1)-0.5)&lt;1E-9,2*ROUND((365*mech_uptime*H87)/2,0),ROUND((365*mech_uptime*H87),0))</f>
        <v/>
      </c>
      <c r="N87" s="37">
        <f>mech_uptime</f>
        <v/>
      </c>
      <c r="O87" s="37">
        <f>IF(AND(B87="South Korea",scenario="MID"),korea_mid_revleg,revleg_sel)</f>
        <v/>
      </c>
      <c r="P87" s="36">
        <f>IF(ABS(MOD(ABS((L87*M87*O87)),1)-0.5)&lt;1E-9,2*ROUND((L87*M87*O87)/2,0),ROUND((L87*M87*O87),0))</f>
        <v/>
      </c>
      <c r="Q87" s="37">
        <f>IF(AND(B87="South Korea",scenario="MID"),korea_mid_load,load_sel)</f>
        <v/>
      </c>
      <c r="R87" s="38">
        <f>pax_cap*Q87</f>
        <v/>
      </c>
      <c r="S87" s="36">
        <f>R87*P87</f>
        <v/>
      </c>
      <c r="T87" s="39">
        <f>E87*discount</f>
        <v/>
      </c>
      <c r="U87" s="40">
        <f>T87*S87</f>
        <v/>
      </c>
      <c r="V87" s="40">
        <f>(battery/range_nm)*D87*P87*VLOOKUP(B87,country_opex,3,FALSE)</f>
        <v/>
      </c>
      <c r="W87" s="40">
        <f>VLOOKUP(B87,country_opex,2,FALSE)*crew_factor</f>
        <v/>
      </c>
      <c r="X87" s="40">
        <f>VLOOKUP(B87,country_opex,5,FALSE)</f>
        <v/>
      </c>
      <c r="Y87" s="40">
        <f>maint</f>
        <v/>
      </c>
      <c r="Z87" s="40">
        <f>VLOOKUP(B87,country_opex,7,FALSE)*ins_pct</f>
        <v/>
      </c>
      <c r="AA87" s="40">
        <f>charge_berth</f>
        <v/>
      </c>
      <c r="AB87" s="40">
        <f>V87+W87+X87+Y87+Z87+AA87</f>
        <v/>
      </c>
      <c r="AC87" s="40">
        <f>VLOOKUP(B87,country_opex,7,FALSE)/dep_years</f>
        <v/>
      </c>
      <c r="AD87" s="40">
        <f>U87-AB87</f>
        <v/>
      </c>
      <c r="AE87" s="37">
        <f>IF(U87=0,"",AD87/U87)</f>
        <v/>
      </c>
      <c r="AF87" s="38">
        <f>IF(AD87&lt;=0,"",VLOOKUP(B87,country_opex,7,FALSE)/AD87)</f>
        <v/>
      </c>
      <c r="AG87" s="35">
        <f>((D87*P87/diesel_nmpg)*diesel_co2pg-(battery/range_nm)*D87*P87*VLOOKUP(B87,country_opex,4,FALSE))/1000</f>
        <v/>
      </c>
      <c r="AH87" s="33" t="n"/>
      <c r="AI87" s="34" t="n"/>
      <c r="AJ87" s="34" t="n"/>
      <c r="AK87" s="41" t="n">
        <v>0.1</v>
      </c>
      <c r="AL87" s="36">
        <f>IF(AH87="","",AH87*AK87)</f>
        <v/>
      </c>
      <c r="AM87" s="36">
        <f>IF(OR(AH87="",S87=0),"",MIN(IF(AU87="",9.9E+99,AU87),FLOOR(AL87/S87,1)))</f>
        <v/>
      </c>
      <c r="AN87" s="40">
        <f>IF(AM87="","",AM87*IF(ABS(MOD(ABS((U87)),1)-0.5)&lt;1E-9,2*ROUND((U87)/2,0),ROUND((U87),0)))</f>
        <v/>
      </c>
      <c r="AO87" s="38">
        <f>IF(OR(AH87="",S87=0),"",MIN(IF(AU87="",9.9E+99,AU87),AL87/S87))</f>
        <v/>
      </c>
      <c r="AP87" s="40">
        <f>IF(AO87="","",AO87*IF(B87="South Korea",IF(ABS(MOD(ABS((U87)),1)-0.5)&lt;1E-9,2*ROUND((U87)/2,0),ROUND((U87),0)),U87))</f>
        <v/>
      </c>
      <c r="AQ87" s="42" t="n"/>
      <c r="AR87" s="34" t="inlineStr">
        <is>
          <t>Estimated</t>
        </is>
      </c>
      <c r="AS87" s="43" t="n"/>
      <c r="AT87" s="43" t="n"/>
      <c r="AU87" s="44" t="n"/>
      <c r="AV87" s="45">
        <f>IF(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&lt;=0,"",VLOOKUP(B87,country_opex,7,FALSE)/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)</f>
        <v/>
      </c>
      <c r="AW87" s="45">
        <f>IF(((T87*pax_cap*IF(B87="South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Korea",korea_mid_revleg,revleg_mid)),0))*VLOOKUP(B87,country_opex,3,FALSE))+W87+X87+Y87+Z87+AA87))&lt;=0,"",VLOOKUP(B87,country_opex,7,FALSE)/((T87*pax_cap*IF(B87="South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Korea",korea_mid_revleg,revleg_mid)),0))*VLOOKUP(B87,country_opex,3,FALSE))+W87+X87+Y87+Z87+AA87)))</f>
        <v/>
      </c>
      <c r="AX87" s="45">
        <f>IF(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&lt;=0,"",VLOOKUP(B87,country_opex,7,FALSE)/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)</f>
        <v/>
      </c>
      <c r="AY87" s="46" t="inlineStr">
        <is>
          <t>[LB-255 PREMIUM RE-FARE: subsidized comparable $3.48 lifted to premium on-demand floor $18.0] Divided-pirogue per-seat: 4,000 FCFA/pers ALLER-RETOUR for the crossing (excl. 1,000 FCFA park entry + 5,000 FCFA/group guide) =&gt; ~2,000 one-way =&gt; $3.48.</t>
        </is>
      </c>
      <c r="AZ87" s="46" t="n"/>
      <c r="BA87" s="34" t="inlineStr">
        <is>
          <t>rn-b281b65142d4</t>
        </is>
      </c>
    </row>
    <row r="88">
      <c r="A88" s="31" t="inlineStr">
        <is>
          <t>Yango Senegal</t>
        </is>
      </c>
      <c r="B88" s="31" t="inlineStr">
        <is>
          <t>Senegal</t>
        </is>
      </c>
      <c r="C88" s="32" t="inlineStr">
        <is>
          <t>Dakar Port → Île de Gorée</t>
        </is>
      </c>
      <c r="D88" s="33" t="n">
        <v>2.5</v>
      </c>
      <c r="E88" s="27" t="n">
        <v>18</v>
      </c>
      <c r="F88" s="34" t="inlineStr">
        <is>
          <t>T2</t>
        </is>
      </c>
      <c r="G88" s="34" t="inlineStr">
        <is>
          <t>med</t>
        </is>
      </c>
      <c r="H88" s="20" t="n">
        <v>1</v>
      </c>
      <c r="I88" s="35">
        <f>60*D88/cruise_kt</f>
        <v/>
      </c>
      <c r="J88" s="35">
        <f>IF(B88="South Korea",D88/korea_charge_range_nm*korea_full_range_charge_min,0)</f>
        <v/>
      </c>
      <c r="K88" s="35">
        <f>IF(B88="South Korea",I88+korea_turn_min+korea_dwell_min+J88,I88+turn_min+dwell_min)</f>
        <v/>
      </c>
      <c r="L88" s="36">
        <f>IF(B88="South Korea",FLOOR(60*korea_service_hr/K88,1),MIN(15,FLOOR(60*service_hr/K88,1)))</f>
        <v/>
      </c>
      <c r="M88" s="36">
        <f>IF(ABS(MOD(ABS((365*mech_uptime*H88)),1)-0.5)&lt;1E-9,2*ROUND((365*mech_uptime*H88)/2,0),ROUND((365*mech_uptime*H88),0))</f>
        <v/>
      </c>
      <c r="N88" s="37">
        <f>mech_uptime</f>
        <v/>
      </c>
      <c r="O88" s="37">
        <f>IF(AND(B88="South Korea",scenario="MID"),korea_mid_revleg,revleg_sel)</f>
        <v/>
      </c>
      <c r="P88" s="36">
        <f>IF(ABS(MOD(ABS((L88*M88*O88)),1)-0.5)&lt;1E-9,2*ROUND((L88*M88*O88)/2,0),ROUND((L88*M88*O88),0))</f>
        <v/>
      </c>
      <c r="Q88" s="37">
        <f>IF(AND(B88="South Korea",scenario="MID"),korea_mid_load,load_sel)</f>
        <v/>
      </c>
      <c r="R88" s="38">
        <f>pax_cap*Q88</f>
        <v/>
      </c>
      <c r="S88" s="36">
        <f>R88*P88</f>
        <v/>
      </c>
      <c r="T88" s="39">
        <f>E88*discount</f>
        <v/>
      </c>
      <c r="U88" s="40">
        <f>T88*S88</f>
        <v/>
      </c>
      <c r="V88" s="40">
        <f>(battery/range_nm)*D88*P88*VLOOKUP(B88,country_opex,3,FALSE)</f>
        <v/>
      </c>
      <c r="W88" s="40">
        <f>VLOOKUP(B88,country_opex,2,FALSE)*crew_factor</f>
        <v/>
      </c>
      <c r="X88" s="40">
        <f>VLOOKUP(B88,country_opex,5,FALSE)</f>
        <v/>
      </c>
      <c r="Y88" s="40">
        <f>maint</f>
        <v/>
      </c>
      <c r="Z88" s="40">
        <f>VLOOKUP(B88,country_opex,7,FALSE)*ins_pct</f>
        <v/>
      </c>
      <c r="AA88" s="40">
        <f>charge_berth</f>
        <v/>
      </c>
      <c r="AB88" s="40">
        <f>V88+W88+X88+Y88+Z88+AA88</f>
        <v/>
      </c>
      <c r="AC88" s="40">
        <f>VLOOKUP(B88,country_opex,7,FALSE)/dep_years</f>
        <v/>
      </c>
      <c r="AD88" s="40">
        <f>U88-AB88</f>
        <v/>
      </c>
      <c r="AE88" s="37">
        <f>IF(U88=0,"",AD88/U88)</f>
        <v/>
      </c>
      <c r="AF88" s="38">
        <f>IF(AD88&lt;=0,"",VLOOKUP(B88,country_opex,7,FALSE)/AD88)</f>
        <v/>
      </c>
      <c r="AG88" s="35">
        <f>((D88*P88/diesel_nmpg)*diesel_co2pg-(battery/range_nm)*D88*P88*VLOOKUP(B88,country_opex,4,FALSE))/1000</f>
        <v/>
      </c>
      <c r="AH88" s="33" t="n">
        <v>80000</v>
      </c>
      <c r="AI88" s="34" t="n"/>
      <c r="AJ88" s="34" t="inlineStr">
        <is>
          <t>med</t>
        </is>
      </c>
      <c r="AK88" s="41" t="n">
        <v>0.25</v>
      </c>
      <c r="AL88" s="36">
        <f>IF(AH88="","",AH88*AK88)</f>
        <v/>
      </c>
      <c r="AM88" s="36">
        <f>IF(OR(AH88="",S88=0),"",MIN(IF(AU88="",9.9E+99,AU88),FLOOR(AL88/S88,1)))</f>
        <v/>
      </c>
      <c r="AN88" s="40">
        <f>IF(AM88="","",AM88*IF(ABS(MOD(ABS((U88)),1)-0.5)&lt;1E-9,2*ROUND((U88)/2,0),ROUND((U88),0)))</f>
        <v/>
      </c>
      <c r="AO88" s="38">
        <f>IF(OR(AH88="",S88=0),"",MIN(IF(AU88="",9.9E+99,AU88),AL88/S88))</f>
        <v/>
      </c>
      <c r="AP88" s="40">
        <f>IF(AO88="","",AO88*IF(B88="South Korea",IF(ABS(MOD(ABS((U88)),1)-0.5)&lt;1E-9,2*ROUND((U88)/2,0),ROUND((U88),0)),U88))</f>
        <v/>
      </c>
      <c r="AQ88" s="42" t="n"/>
      <c r="AR88" s="34" t="inlineStr">
        <is>
          <t>Grounded</t>
        </is>
      </c>
      <c r="AS88" s="43" t="n"/>
      <c r="AT88" s="43" t="n"/>
      <c r="AU88" s="44" t="n"/>
      <c r="AV88" s="45">
        <f>IF(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&lt;=0,"",VLOOKUP(B88,country_opex,7,FALSE)/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)</f>
        <v/>
      </c>
      <c r="AW88" s="45">
        <f>IF(((T88*pax_cap*IF(B88="South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Korea",korea_mid_revleg,revleg_mid)),0))*VLOOKUP(B88,country_opex,3,FALSE))+W88+X88+Y88+Z88+AA88))&lt;=0,"",VLOOKUP(B88,country_opex,7,FALSE)/((T88*pax_cap*IF(B88="South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Korea",korea_mid_revleg,revleg_mid)),0))*VLOOKUP(B88,country_opex,3,FALSE))+W88+X88+Y88+Z88+AA88)))</f>
        <v/>
      </c>
      <c r="AX88" s="45">
        <f>IF(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&lt;=0,"",VLOOKUP(B88,country_opex,7,FALSE)/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)</f>
        <v/>
      </c>
      <c r="AY88" s="46" t="inlineStr">
        <is>
          <t>[LB-255 PREMIUM RE-FARE: subsidized comparable $5.22 lifted to premium on-demand floor $18.0] PREMIUM tier: non-resident (foreign) adult tourist fare 6,000 FCFA ALLER-RETOUR (effective Oct 2025) =&gt; ~3,000 FCFA one-way =&gt; $5.22. (Pre-Oct-2025 non-resident fare was 5,200 FCFA RT.)</t>
        </is>
      </c>
      <c r="AZ88" s="46" t="n"/>
      <c r="BA88" s="34" t="inlineStr">
        <is>
          <t>rn-35617f774f7f</t>
        </is>
      </c>
    </row>
    <row r="89">
      <c r="A89" s="31" t="inlineStr">
        <is>
          <t>Yango Senegal</t>
        </is>
      </c>
      <c r="B89" s="31" t="inlineStr">
        <is>
          <t>Senegal</t>
        </is>
      </c>
      <c r="C89" s="32" t="inlineStr">
        <is>
          <t>Dakar (Yoff / Almadies) → Dakar (Soumbedioune / Plateau)</t>
        </is>
      </c>
      <c r="D89" s="33" t="n">
        <v>8</v>
      </c>
      <c r="E89" s="27" t="n"/>
      <c r="F89" s="34" t="n"/>
      <c r="G89" s="34" t="n"/>
      <c r="H89" s="20" t="n">
        <v>1</v>
      </c>
      <c r="I89" s="35">
        <f>60*D89/cruise_kt</f>
        <v/>
      </c>
      <c r="J89" s="35">
        <f>IF(B89="South Korea",D89/korea_charge_range_nm*korea_full_range_charge_min,0)</f>
        <v/>
      </c>
      <c r="K89" s="35">
        <f>IF(B89="South Korea",I89+korea_turn_min+korea_dwell_min+J89,I89+turn_min+dwell_min)</f>
        <v/>
      </c>
      <c r="L89" s="36">
        <f>IF(B89="South Korea",FLOOR(60*korea_service_hr/K89,1),MIN(24,FLOOR(60*service_hr/K89,1)))</f>
        <v/>
      </c>
      <c r="M89" s="36">
        <f>IF(ABS(MOD(ABS((365*mech_uptime*H89)),1)-0.5)&lt;1E-9,2*ROUND((365*mech_uptime*H89)/2,0),ROUND((365*mech_uptime*H89),0))</f>
        <v/>
      </c>
      <c r="N89" s="37">
        <f>mech_uptime</f>
        <v/>
      </c>
      <c r="O89" s="37">
        <f>IF(AND(B89="South Korea",scenario="MID"),korea_mid_revleg,revleg_sel)</f>
        <v/>
      </c>
      <c r="P89" s="36">
        <f>IF(ABS(MOD(ABS((L89*M89*O89)),1)-0.5)&lt;1E-9,2*ROUND((L89*M89*O89)/2,0),ROUND((L89*M89*O89),0))</f>
        <v/>
      </c>
      <c r="Q89" s="37">
        <f>IF(AND(B89="South Korea",scenario="MID"),korea_mid_load,load_sel)</f>
        <v/>
      </c>
      <c r="R89" s="38">
        <f>pax_cap*Q89</f>
        <v/>
      </c>
      <c r="S89" s="36">
        <f>R89*P89</f>
        <v/>
      </c>
      <c r="T89" s="39">
        <f>E89*discount</f>
        <v/>
      </c>
      <c r="U89" s="40">
        <f>T89*S89</f>
        <v/>
      </c>
      <c r="V89" s="40">
        <f>(battery/range_nm)*D89*P89*VLOOKUP(B89,country_opex,3,FALSE)</f>
        <v/>
      </c>
      <c r="W89" s="40">
        <f>VLOOKUP(B89,country_opex,2,FALSE)*crew_factor</f>
        <v/>
      </c>
      <c r="X89" s="40">
        <f>VLOOKUP(B89,country_opex,5,FALSE)</f>
        <v/>
      </c>
      <c r="Y89" s="40">
        <f>maint</f>
        <v/>
      </c>
      <c r="Z89" s="40">
        <f>VLOOKUP(B89,country_opex,7,FALSE)*ins_pct</f>
        <v/>
      </c>
      <c r="AA89" s="40">
        <f>charge_berth</f>
        <v/>
      </c>
      <c r="AB89" s="40">
        <f>V89+W89+X89+Y89+Z89+AA89</f>
        <v/>
      </c>
      <c r="AC89" s="40">
        <f>VLOOKUP(B89,country_opex,7,FALSE)/dep_years</f>
        <v/>
      </c>
      <c r="AD89" s="40">
        <f>U89-AB89</f>
        <v/>
      </c>
      <c r="AE89" s="37">
        <f>IF(U89=0,"",AD89/U89)</f>
        <v/>
      </c>
      <c r="AF89" s="38">
        <f>IF(AD89&lt;=0,"",VLOOKUP(B89,country_opex,7,FALSE)/AD89)</f>
        <v/>
      </c>
      <c r="AG89" s="35">
        <f>((D89*P89/diesel_nmpg)*diesel_co2pg-(battery/range_nm)*D89*P89*VLOOKUP(B89,country_opex,4,FALSE))/1000</f>
        <v/>
      </c>
      <c r="AH89" s="33" t="n"/>
      <c r="AI89" s="34" t="n"/>
      <c r="AJ89" s="34" t="n"/>
      <c r="AK89" s="41" t="n">
        <v>0.1</v>
      </c>
      <c r="AL89" s="36">
        <f>IF(AH89="","",AH89*AK89)</f>
        <v/>
      </c>
      <c r="AM89" s="36">
        <f>IF(OR(AH89="",S89=0),"",MIN(IF(AU89="",9.9E+99,AU89),FLOOR(AL89/S89,1)))</f>
        <v/>
      </c>
      <c r="AN89" s="40">
        <f>IF(AM89="","",AM89*IF(ABS(MOD(ABS((U89)),1)-0.5)&lt;1E-9,2*ROUND((U89)/2,0),ROUND((U89),0)))</f>
        <v/>
      </c>
      <c r="AO89" s="38">
        <f>IF(OR(AH89="",S89=0),"",MIN(IF(AU89="",9.9E+99,AU89),AL89/S89))</f>
        <v/>
      </c>
      <c r="AP89" s="40">
        <f>IF(AO89="","",AO89*IF(B89="South Korea",IF(ABS(MOD(ABS((U89)),1)-0.5)&lt;1E-9,2*ROUND((U89)/2,0),ROUND((U89),0)),U89))</f>
        <v/>
      </c>
      <c r="AQ89" s="42" t="n"/>
      <c r="AR89" s="34" t="inlineStr">
        <is>
          <t>Estimated</t>
        </is>
      </c>
      <c r="AS89" s="43" t="n"/>
      <c r="AT89" s="43" t="n"/>
      <c r="AU89" s="44" t="n"/>
      <c r="AV89" s="45">
        <f>IF(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&lt;=0,"",VLOOKUP(B89,country_opex,7,FALSE)/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)</f>
        <v/>
      </c>
      <c r="AW89" s="45">
        <f>IF(((T89*pax_cap*IF(B89="South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Korea",korea_mid_revleg,revleg_mid)),0))*VLOOKUP(B89,country_opex,3,FALSE))+W89+X89+Y89+Z89+AA89))&lt;=0,"",VLOOKUP(B89,country_opex,7,FALSE)/((T89*pax_cap*IF(B89="South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Korea",korea_mid_revleg,revleg_mid)),0))*VLOOKUP(B89,country_opex,3,FALSE))+W89+X89+Y89+Z89+AA89)))</f>
        <v/>
      </c>
      <c r="AX89" s="45">
        <f>IF(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&lt;=0,"",VLOOKUP(B89,country_opex,7,FALSE)/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)</f>
        <v/>
      </c>
      <c r="AY89" s="46" t="n"/>
      <c r="AZ89" s="46" t="n"/>
      <c r="BA89" s="34" t="inlineStr">
        <is>
          <t>rn-7e112fcb44dd</t>
        </is>
      </c>
    </row>
    <row r="90">
      <c r="A90" s="31" t="inlineStr">
        <is>
          <t>Yango Senegal</t>
        </is>
      </c>
      <c r="B90" s="31" t="inlineStr">
        <is>
          <t>Senegal</t>
        </is>
      </c>
      <c r="C90" s="32" t="inlineStr">
        <is>
          <t>Dakar / Mbour-Petite Cote → Foundiougne (Sine-Saloum delta)</t>
        </is>
      </c>
      <c r="D90" s="33" t="n">
        <v>60</v>
      </c>
      <c r="E90" s="27" t="n"/>
      <c r="F90" s="34" t="n"/>
      <c r="G90" s="34" t="n"/>
      <c r="H90" s="20" t="n">
        <v>1</v>
      </c>
      <c r="I90" s="35">
        <f>60*D90/cruise_kt</f>
        <v/>
      </c>
      <c r="J90" s="35">
        <f>IF(B90="South Korea",D90/korea_charge_range_nm*korea_full_range_charge_min,0)</f>
        <v/>
      </c>
      <c r="K90" s="35">
        <f>IF(B90="South Korea",I90+korea_turn_min+korea_dwell_min+J90,I90+turn_min+dwell_min)</f>
        <v/>
      </c>
      <c r="L90" s="36">
        <f>IF(B90="South Korea",FLOOR(60*korea_service_hr/K90,1),MIN(15,FLOOR(60*service_hr/K90,1)))</f>
        <v/>
      </c>
      <c r="M90" s="36">
        <f>IF(ABS(MOD(ABS((365*mech_uptime*H90)),1)-0.5)&lt;1E-9,2*ROUND((365*mech_uptime*H90)/2,0),ROUND((365*mech_uptime*H90),0))</f>
        <v/>
      </c>
      <c r="N90" s="37">
        <f>mech_uptime</f>
        <v/>
      </c>
      <c r="O90" s="37">
        <f>IF(AND(B90="South Korea",scenario="MID"),korea_mid_revleg,revleg_sel)</f>
        <v/>
      </c>
      <c r="P90" s="36">
        <f>IF(ABS(MOD(ABS((L90*M90*O90)),1)-0.5)&lt;1E-9,2*ROUND((L90*M90*O90)/2,0),ROUND((L90*M90*O90),0))</f>
        <v/>
      </c>
      <c r="Q90" s="37">
        <f>IF(AND(B90="South Korea",scenario="MID"),korea_mid_load,load_sel)</f>
        <v/>
      </c>
      <c r="R90" s="38">
        <f>pax_cap*Q90</f>
        <v/>
      </c>
      <c r="S90" s="36">
        <f>R90*P90</f>
        <v/>
      </c>
      <c r="T90" s="39">
        <f>E90*discount</f>
        <v/>
      </c>
      <c r="U90" s="40">
        <f>T90*S90</f>
        <v/>
      </c>
      <c r="V90" s="40">
        <f>(battery/range_nm)*D90*P90*VLOOKUP(B90,country_opex,3,FALSE)</f>
        <v/>
      </c>
      <c r="W90" s="40">
        <f>VLOOKUP(B90,country_opex,2,FALSE)*crew_factor</f>
        <v/>
      </c>
      <c r="X90" s="40">
        <f>VLOOKUP(B90,country_opex,5,FALSE)</f>
        <v/>
      </c>
      <c r="Y90" s="40">
        <f>maint</f>
        <v/>
      </c>
      <c r="Z90" s="40">
        <f>VLOOKUP(B90,country_opex,7,FALSE)*ins_pct</f>
        <v/>
      </c>
      <c r="AA90" s="40">
        <f>charge_berth</f>
        <v/>
      </c>
      <c r="AB90" s="40">
        <f>V90+W90+X90+Y90+Z90+AA90</f>
        <v/>
      </c>
      <c r="AC90" s="40">
        <f>VLOOKUP(B90,country_opex,7,FALSE)/dep_years</f>
        <v/>
      </c>
      <c r="AD90" s="40">
        <f>U90-AB90</f>
        <v/>
      </c>
      <c r="AE90" s="37">
        <f>IF(U90=0,"",AD90/U90)</f>
        <v/>
      </c>
      <c r="AF90" s="38">
        <f>IF(AD90&lt;=0,"",VLOOKUP(B90,country_opex,7,FALSE)/AD90)</f>
        <v/>
      </c>
      <c r="AG90" s="35">
        <f>((D90*P90/diesel_nmpg)*diesel_co2pg-(battery/range_nm)*D90*P90*VLOOKUP(B90,country_opex,4,FALSE))/1000</f>
        <v/>
      </c>
      <c r="AH90" s="33" t="n"/>
      <c r="AI90" s="34" t="n"/>
      <c r="AJ90" s="34" t="n"/>
      <c r="AK90" s="41" t="n">
        <v>0.1</v>
      </c>
      <c r="AL90" s="36">
        <f>IF(AH90="","",AH90*AK90)</f>
        <v/>
      </c>
      <c r="AM90" s="36">
        <f>IF(OR(AH90="",S90=0),"",MIN(IF(AU90="",9.9E+99,AU90),FLOOR(AL90/S90,1)))</f>
        <v/>
      </c>
      <c r="AN90" s="40">
        <f>IF(AM90="","",AM90*IF(ABS(MOD(ABS((U90)),1)-0.5)&lt;1E-9,2*ROUND((U90)/2,0),ROUND((U90),0)))</f>
        <v/>
      </c>
      <c r="AO90" s="38">
        <f>IF(OR(AH90="",S90=0),"",MIN(IF(AU90="",9.9E+99,AU90),AL90/S90))</f>
        <v/>
      </c>
      <c r="AP90" s="40">
        <f>IF(AO90="","",AO90*IF(B90="South Korea",IF(ABS(MOD(ABS((U90)),1)-0.5)&lt;1E-9,2*ROUND((U90)/2,0),ROUND((U90),0)),U90))</f>
        <v/>
      </c>
      <c r="AQ90" s="42" t="n"/>
      <c r="AR90" s="34" t="inlineStr">
        <is>
          <t>Estimated</t>
        </is>
      </c>
      <c r="AS90" s="43" t="n"/>
      <c r="AT90" s="43" t="n"/>
      <c r="AU90" s="44" t="n"/>
      <c r="AV90" s="45">
        <f>IF(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&lt;=0,"",VLOOKUP(B90,country_opex,7,FALSE)/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)</f>
        <v/>
      </c>
      <c r="AW90" s="45">
        <f>IF(((T90*pax_cap*IF(B90="South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Korea",korea_mid_revleg,revleg_mid)),0))*VLOOKUP(B90,country_opex,3,FALSE))+W90+X90+Y90+Z90+AA90))&lt;=0,"",VLOOKUP(B90,country_opex,7,FALSE)/((T90*pax_cap*IF(B90="South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Korea",korea_mid_revleg,revleg_mid)),0))*VLOOKUP(B90,country_opex,3,FALSE))+W90+X90+Y90+Z90+AA90)))</f>
        <v/>
      </c>
      <c r="AX90" s="45">
        <f>IF(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&lt;=0,"",VLOOKUP(B90,country_opex,7,FALSE)/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)</f>
        <v/>
      </c>
      <c r="AY90" s="46" t="n"/>
      <c r="AZ90" s="46" t="n"/>
      <c r="BA90" s="34" t="n"/>
    </row>
    <row r="91">
      <c r="A91" s="31" t="inlineStr">
        <is>
          <t>Yango Tunisia</t>
        </is>
      </c>
      <c r="B91" s="31" t="inlineStr">
        <is>
          <t>Tunisia</t>
        </is>
      </c>
      <c r="C91" s="32" t="inlineStr">
        <is>
          <t>Jorf (mainland) → Ajim (Djerba Island)</t>
        </is>
      </c>
      <c r="D91" s="33" t="n">
        <v>1.1</v>
      </c>
      <c r="E91" s="27" t="n"/>
      <c r="F91" s="34" t="n"/>
      <c r="G91" s="34" t="n"/>
      <c r="H91" s="20" t="n">
        <v>1</v>
      </c>
      <c r="I91" s="35">
        <f>60*D91/cruise_kt</f>
        <v/>
      </c>
      <c r="J91" s="35">
        <f>IF(B91="South Korea",D91/korea_charge_range_nm*korea_full_range_charge_min,0)</f>
        <v/>
      </c>
      <c r="K91" s="35">
        <f>IF(B91="South Korea",I91+korea_turn_min+korea_dwell_min+J91,I91+turn_min+dwell_min)</f>
        <v/>
      </c>
      <c r="L91" s="36">
        <f>IF(B91="South Korea",FLOOR(60*korea_service_hr/K91,1),MIN(15,FLOOR(60*service_hr/K91,1)))</f>
        <v/>
      </c>
      <c r="M91" s="36">
        <f>IF(ABS(MOD(ABS((365*mech_uptime*H91)),1)-0.5)&lt;1E-9,2*ROUND((365*mech_uptime*H91)/2,0),ROUND((365*mech_uptime*H91),0))</f>
        <v/>
      </c>
      <c r="N91" s="37">
        <f>mech_uptime</f>
        <v/>
      </c>
      <c r="O91" s="37">
        <f>IF(AND(B91="South Korea",scenario="MID"),korea_mid_revleg,revleg_sel)</f>
        <v/>
      </c>
      <c r="P91" s="36">
        <f>IF(ABS(MOD(ABS((L91*M91*O91)),1)-0.5)&lt;1E-9,2*ROUND((L91*M91*O91)/2,0),ROUND((L91*M91*O91),0))</f>
        <v/>
      </c>
      <c r="Q91" s="37">
        <f>IF(AND(B91="South Korea",scenario="MID"),korea_mid_load,load_sel)</f>
        <v/>
      </c>
      <c r="R91" s="38">
        <f>pax_cap*Q91</f>
        <v/>
      </c>
      <c r="S91" s="36">
        <f>R91*P91</f>
        <v/>
      </c>
      <c r="T91" s="39">
        <f>E91*discount</f>
        <v/>
      </c>
      <c r="U91" s="40">
        <f>T91*S91</f>
        <v/>
      </c>
      <c r="V91" s="40">
        <f>(battery/range_nm)*D91*P91*VLOOKUP(B91,country_opex,3,FALSE)</f>
        <v/>
      </c>
      <c r="W91" s="40">
        <f>VLOOKUP(B91,country_opex,2,FALSE)*crew_factor</f>
        <v/>
      </c>
      <c r="X91" s="40">
        <f>VLOOKUP(B91,country_opex,5,FALSE)</f>
        <v/>
      </c>
      <c r="Y91" s="40">
        <f>maint</f>
        <v/>
      </c>
      <c r="Z91" s="40">
        <f>VLOOKUP(B91,country_opex,7,FALSE)*ins_pct</f>
        <v/>
      </c>
      <c r="AA91" s="40">
        <f>charge_berth</f>
        <v/>
      </c>
      <c r="AB91" s="40">
        <f>V91+W91+X91+Y91+Z91+AA91</f>
        <v/>
      </c>
      <c r="AC91" s="40">
        <f>VLOOKUP(B91,country_opex,7,FALSE)/dep_years</f>
        <v/>
      </c>
      <c r="AD91" s="40">
        <f>U91-AB91</f>
        <v/>
      </c>
      <c r="AE91" s="37">
        <f>IF(U91=0,"",AD91/U91)</f>
        <v/>
      </c>
      <c r="AF91" s="38">
        <f>IF(AD91&lt;=0,"",VLOOKUP(B91,country_opex,7,FALSE)/AD91)</f>
        <v/>
      </c>
      <c r="AG91" s="35">
        <f>((D91*P91/diesel_nmpg)*diesel_co2pg-(battery/range_nm)*D91*P91*VLOOKUP(B91,country_opex,4,FALSE))/1000</f>
        <v/>
      </c>
      <c r="AH91" s="33" t="n">
        <v>2463750</v>
      </c>
      <c r="AI91" s="34" t="n"/>
      <c r="AJ91" s="34" t="n"/>
      <c r="AK91" s="41" t="n">
        <v>0.1</v>
      </c>
      <c r="AL91" s="36">
        <f>IF(AH91="","",AH91*AK91)</f>
        <v/>
      </c>
      <c r="AM91" s="36">
        <f>IF(OR(AH91="",S91=0),"",MIN(IF(AU91="",9.9E+99,AU91),FLOOR(AL91/S91,1)))</f>
        <v/>
      </c>
      <c r="AN91" s="40">
        <f>IF(AM91="","",AM91*IF(ABS(MOD(ABS((U91)),1)-0.5)&lt;1E-9,2*ROUND((U91)/2,0),ROUND((U91),0)))</f>
        <v/>
      </c>
      <c r="AO91" s="38">
        <f>IF(OR(AH91="",S91=0),"",MIN(IF(AU91="",9.9E+99,AU91),AL91/S91))</f>
        <v/>
      </c>
      <c r="AP91" s="40">
        <f>IF(AO91="","",AO91*IF(B91="South Korea",IF(ABS(MOD(ABS((U91)),1)-0.5)&lt;1E-9,2*ROUND((U91)/2,0),ROUND((U91),0)),U91))</f>
        <v/>
      </c>
      <c r="AQ91" s="42" t="n"/>
      <c r="AR91" s="34" t="inlineStr">
        <is>
          <t>Estimated</t>
        </is>
      </c>
      <c r="AS91" s="43" t="n"/>
      <c r="AT91" s="43" t="n"/>
      <c r="AU91" s="44" t="n"/>
      <c r="AV91" s="45">
        <f>IF(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&lt;=0,"",VLOOKUP(B91,country_opex,7,FALSE)/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)</f>
        <v/>
      </c>
      <c r="AW91" s="45">
        <f>IF(((T91*pax_cap*IF(B91="South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Korea",korea_mid_revleg,revleg_mid)),0))*VLOOKUP(B91,country_opex,3,FALSE))+W91+X91+Y91+Z91+AA91))&lt;=0,"",VLOOKUP(B91,country_opex,7,FALSE)/((T91*pax_cap*IF(B91="South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Korea",korea_mid_revleg,revleg_mid)),0))*VLOOKUP(B91,country_opex,3,FALSE))+W91+X91+Y91+Z91+AA91)))</f>
        <v/>
      </c>
      <c r="AX91" s="45">
        <f>IF(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&lt;=0,"",VLOOKUP(B91,country_opex,7,FALSE)/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)</f>
        <v/>
      </c>
      <c r="AY91" s="46" t="n"/>
      <c r="AZ91" s="46" t="n"/>
      <c r="BA91" s="34" t="inlineStr">
        <is>
          <t>rn-4668b16ef32c</t>
        </is>
      </c>
    </row>
    <row r="92">
      <c r="A92" s="31" t="inlineStr">
        <is>
          <t>Yango Tunisia</t>
        </is>
      </c>
      <c r="B92" s="31" t="inlineStr">
        <is>
          <t>Tunisia</t>
        </is>
      </c>
      <c r="C92" s="32" t="inlineStr">
        <is>
          <t>La Goulette → Sidi Bou Said</t>
        </is>
      </c>
      <c r="D92" s="33" t="n">
        <v>4</v>
      </c>
      <c r="E92" s="27" t="n">
        <v>27</v>
      </c>
      <c r="F92" s="34" t="inlineStr">
        <is>
          <t>T2</t>
        </is>
      </c>
      <c r="G92" s="34" t="inlineStr">
        <is>
          <t>med</t>
        </is>
      </c>
      <c r="H92" s="20" t="n">
        <v>1</v>
      </c>
      <c r="I92" s="35">
        <f>60*D92/cruise_kt</f>
        <v/>
      </c>
      <c r="J92" s="35">
        <f>IF(B92="South Korea",D92/korea_charge_range_nm*korea_full_range_charge_min,0)</f>
        <v/>
      </c>
      <c r="K92" s="35">
        <f>IF(B92="South Korea",I92+korea_turn_min+korea_dwell_min+J92,I92+turn_min+dwell_min)</f>
        <v/>
      </c>
      <c r="L92" s="36">
        <f>IF(B92="South Korea",FLOOR(60*korea_service_hr/K92,1),MIN(15,FLOOR(60*service_hr/K92,1)))</f>
        <v/>
      </c>
      <c r="M92" s="36">
        <f>IF(ABS(MOD(ABS((365*mech_uptime*H92)),1)-0.5)&lt;1E-9,2*ROUND((365*mech_uptime*H92)/2,0),ROUND((365*mech_uptime*H92),0))</f>
        <v/>
      </c>
      <c r="N92" s="37">
        <f>mech_uptime</f>
        <v/>
      </c>
      <c r="O92" s="37">
        <f>IF(AND(B92="South Korea",scenario="MID"),korea_mid_revleg,revleg_sel)</f>
        <v/>
      </c>
      <c r="P92" s="36">
        <f>IF(ABS(MOD(ABS((L92*M92*O92)),1)-0.5)&lt;1E-9,2*ROUND((L92*M92*O92)/2,0),ROUND((L92*M92*O92),0))</f>
        <v/>
      </c>
      <c r="Q92" s="37">
        <f>IF(AND(B92="South Korea",scenario="MID"),korea_mid_load,load_sel)</f>
        <v/>
      </c>
      <c r="R92" s="38">
        <f>pax_cap*Q92</f>
        <v/>
      </c>
      <c r="S92" s="36">
        <f>R92*P92</f>
        <v/>
      </c>
      <c r="T92" s="39">
        <f>E92*discount</f>
        <v/>
      </c>
      <c r="U92" s="40">
        <f>T92*S92</f>
        <v/>
      </c>
      <c r="V92" s="40">
        <f>(battery/range_nm)*D92*P92*VLOOKUP(B92,country_opex,3,FALSE)</f>
        <v/>
      </c>
      <c r="W92" s="40">
        <f>VLOOKUP(B92,country_opex,2,FALSE)*crew_factor</f>
        <v/>
      </c>
      <c r="X92" s="40">
        <f>VLOOKUP(B92,country_opex,5,FALSE)</f>
        <v/>
      </c>
      <c r="Y92" s="40">
        <f>maint</f>
        <v/>
      </c>
      <c r="Z92" s="40">
        <f>VLOOKUP(B92,country_opex,7,FALSE)*ins_pct</f>
        <v/>
      </c>
      <c r="AA92" s="40">
        <f>charge_berth</f>
        <v/>
      </c>
      <c r="AB92" s="40">
        <f>V92+W92+X92+Y92+Z92+AA92</f>
        <v/>
      </c>
      <c r="AC92" s="40">
        <f>VLOOKUP(B92,country_opex,7,FALSE)/dep_years</f>
        <v/>
      </c>
      <c r="AD92" s="40">
        <f>U92-AB92</f>
        <v/>
      </c>
      <c r="AE92" s="37">
        <f>IF(U92=0,"",AD92/U92)</f>
        <v/>
      </c>
      <c r="AF92" s="38">
        <f>IF(AD92&lt;=0,"",VLOOKUP(B92,country_opex,7,FALSE)/AD92)</f>
        <v/>
      </c>
      <c r="AG92" s="35">
        <f>((D92*P92/diesel_nmpg)*diesel_co2pg-(battery/range_nm)*D92*P92*VLOOKUP(B92,country_opex,4,FALSE))/1000</f>
        <v/>
      </c>
      <c r="AH92" s="33" t="n">
        <v>222000</v>
      </c>
      <c r="AI92" s="34" t="n"/>
      <c r="AJ92" s="34" t="n"/>
      <c r="AK92" s="41" t="n">
        <v>0.1</v>
      </c>
      <c r="AL92" s="36">
        <f>IF(AH92="","",AH92*AK92)</f>
        <v/>
      </c>
      <c r="AM92" s="36">
        <f>IF(OR(AH92="",S92=0),"",MIN(IF(AU92="",9.9E+99,AU92),FLOOR(AL92/S92,1)))</f>
        <v/>
      </c>
      <c r="AN92" s="40">
        <f>IF(AM92="","",AM92*IF(ABS(MOD(ABS((U92)),1)-0.5)&lt;1E-9,2*ROUND((U92)/2,0),ROUND((U92),0)))</f>
        <v/>
      </c>
      <c r="AO92" s="38">
        <f>IF(OR(AH92="",S92=0),"",MIN(IF(AU92="",9.9E+99,AU92),AL92/S92))</f>
        <v/>
      </c>
      <c r="AP92" s="40">
        <f>IF(AO92="","",AO92*IF(B92="South Korea",IF(ABS(MOD(ABS((U92)),1)-0.5)&lt;1E-9,2*ROUND((U92)/2,0),ROUND((U92),0)),U92))</f>
        <v/>
      </c>
      <c r="AQ92" s="42" t="n"/>
      <c r="AR92" s="34" t="inlineStr">
        <is>
          <t>Grounded</t>
        </is>
      </c>
      <c r="AS92" s="43" t="n"/>
      <c r="AT92" s="43" t="n"/>
      <c r="AU92" s="44" t="n"/>
      <c r="AV92" s="45">
        <f>IF(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&lt;=0,"",VLOOKUP(B92,country_opex,7,FALSE)/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)</f>
        <v/>
      </c>
      <c r="AW92" s="45">
        <f>IF(((T92*pax_cap*IF(B92="South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Korea",korea_mid_revleg,revleg_mid)),0))*VLOOKUP(B92,country_opex,3,FALSE))+W92+X92+Y92+Z92+AA92))&lt;=0,"",VLOOKUP(B92,country_opex,7,FALSE)/((T92*pax_cap*IF(B92="South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Korea",korea_mid_revleg,revleg_mid)),0))*VLOOKUP(B92,country_opex,3,FALSE))+W92+X92+Y92+Z92+AA92)))</f>
        <v/>
      </c>
      <c r="AX92" s="45">
        <f>IF(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&lt;=0,"",VLOOKUP(B92,country_opex,7,FALSE)/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)</f>
        <v/>
      </c>
      <c r="AY92" s="46" t="inlineStr">
        <is>
          <t>PREMIUM charter-divided tier: Gulf of Tunis / Sidi Bou Said per-seat excursion cruise ~EUR 25 (pirate-boat dinner cruise 'from EUR 30'; 3h marina cruise EUR 15-20) x 1.08 ~= $27. Nearest premium per-seat water product on this corridor; no scheduled fast catamaran exists.</t>
        </is>
      </c>
      <c r="AZ92" s="46" t="n"/>
      <c r="BA92" s="34" t="inlineStr">
        <is>
          <t>rn-d0ef490c589b</t>
        </is>
      </c>
    </row>
    <row r="93">
      <c r="A93" s="31" t="inlineStr">
        <is>
          <t>Yango Tunisia</t>
        </is>
      </c>
      <c r="B93" s="31" t="inlineStr">
        <is>
          <t>Tunisia</t>
        </is>
      </c>
      <c r="C93" s="32" t="inlineStr">
        <is>
          <t>Tunis (Tunis Marine) → La Goulette</t>
        </is>
      </c>
      <c r="D93" s="33" t="n">
        <v>5</v>
      </c>
      <c r="E93" s="27" t="n"/>
      <c r="F93" s="34" t="n"/>
      <c r="G93" s="34" t="n"/>
      <c r="H93" s="20" t="n">
        <v>1</v>
      </c>
      <c r="I93" s="35">
        <f>60*D93/cruise_kt</f>
        <v/>
      </c>
      <c r="J93" s="35">
        <f>IF(B93="South Korea",D93/korea_charge_range_nm*korea_full_range_charge_min,0)</f>
        <v/>
      </c>
      <c r="K93" s="35">
        <f>IF(B93="South Korea",I93+korea_turn_min+korea_dwell_min+J93,I93+turn_min+dwell_min)</f>
        <v/>
      </c>
      <c r="L93" s="36">
        <f>IF(B93="South Korea",FLOOR(60*korea_service_hr/K93,1),MIN(24,FLOOR(60*service_hr/K93,1)))</f>
        <v/>
      </c>
      <c r="M93" s="36">
        <f>IF(ABS(MOD(ABS((365*mech_uptime*H93)),1)-0.5)&lt;1E-9,2*ROUND((365*mech_uptime*H93)/2,0),ROUND((365*mech_uptime*H93),0))</f>
        <v/>
      </c>
      <c r="N93" s="37">
        <f>mech_uptime</f>
        <v/>
      </c>
      <c r="O93" s="37">
        <f>IF(AND(B93="South Korea",scenario="MID"),korea_mid_revleg,revleg_sel)</f>
        <v/>
      </c>
      <c r="P93" s="36">
        <f>IF(ABS(MOD(ABS((L93*M93*O93)),1)-0.5)&lt;1E-9,2*ROUND((L93*M93*O93)/2,0),ROUND((L93*M93*O93),0))</f>
        <v/>
      </c>
      <c r="Q93" s="37">
        <f>IF(AND(B93="South Korea",scenario="MID"),korea_mid_load,load_sel)</f>
        <v/>
      </c>
      <c r="R93" s="38">
        <f>pax_cap*Q93</f>
        <v/>
      </c>
      <c r="S93" s="36">
        <f>R93*P93</f>
        <v/>
      </c>
      <c r="T93" s="39">
        <f>E93*discount</f>
        <v/>
      </c>
      <c r="U93" s="40">
        <f>T93*S93</f>
        <v/>
      </c>
      <c r="V93" s="40">
        <f>(battery/range_nm)*D93*P93*VLOOKUP(B93,country_opex,3,FALSE)</f>
        <v/>
      </c>
      <c r="W93" s="40">
        <f>VLOOKUP(B93,country_opex,2,FALSE)*crew_factor</f>
        <v/>
      </c>
      <c r="X93" s="40">
        <f>VLOOKUP(B93,country_opex,5,FALSE)</f>
        <v/>
      </c>
      <c r="Y93" s="40">
        <f>maint</f>
        <v/>
      </c>
      <c r="Z93" s="40">
        <f>VLOOKUP(B93,country_opex,7,FALSE)*ins_pct</f>
        <v/>
      </c>
      <c r="AA93" s="40">
        <f>charge_berth</f>
        <v/>
      </c>
      <c r="AB93" s="40">
        <f>V93+W93+X93+Y93+Z93+AA93</f>
        <v/>
      </c>
      <c r="AC93" s="40">
        <f>VLOOKUP(B93,country_opex,7,FALSE)/dep_years</f>
        <v/>
      </c>
      <c r="AD93" s="40">
        <f>U93-AB93</f>
        <v/>
      </c>
      <c r="AE93" s="37">
        <f>IF(U93=0,"",AD93/U93)</f>
        <v/>
      </c>
      <c r="AF93" s="38">
        <f>IF(AD93&lt;=0,"",VLOOKUP(B93,country_opex,7,FALSE)/AD93)</f>
        <v/>
      </c>
      <c r="AG93" s="35">
        <f>((D93*P93/diesel_nmpg)*diesel_co2pg-(battery/range_nm)*D93*P93*VLOOKUP(B93,country_opex,4,FALSE))/1000</f>
        <v/>
      </c>
      <c r="AH93" s="33" t="n">
        <v>296000</v>
      </c>
      <c r="AI93" s="34" t="n"/>
      <c r="AJ93" s="34" t="n"/>
      <c r="AK93" s="41" t="n">
        <v>0.1</v>
      </c>
      <c r="AL93" s="36">
        <f>IF(AH93="","",AH93*AK93)</f>
        <v/>
      </c>
      <c r="AM93" s="36">
        <f>IF(OR(AH93="",S93=0),"",MIN(IF(AU93="",9.9E+99,AU93),FLOOR(AL93/S93,1)))</f>
        <v/>
      </c>
      <c r="AN93" s="40">
        <f>IF(AM93="","",AM93*IF(ABS(MOD(ABS((U93)),1)-0.5)&lt;1E-9,2*ROUND((U93)/2,0),ROUND((U93),0)))</f>
        <v/>
      </c>
      <c r="AO93" s="38">
        <f>IF(OR(AH93="",S93=0),"",MIN(IF(AU93="",9.9E+99,AU93),AL93/S93))</f>
        <v/>
      </c>
      <c r="AP93" s="40">
        <f>IF(AO93="","",AO93*IF(B93="South Korea",IF(ABS(MOD(ABS((U93)),1)-0.5)&lt;1E-9,2*ROUND((U93)/2,0),ROUND((U93),0)),U93))</f>
        <v/>
      </c>
      <c r="AQ93" s="42" t="n"/>
      <c r="AR93" s="34" t="inlineStr">
        <is>
          <t>Estimated</t>
        </is>
      </c>
      <c r="AS93" s="43" t="n"/>
      <c r="AT93" s="43" t="n"/>
      <c r="AU93" s="44" t="n"/>
      <c r="AV93" s="45">
        <f>IF(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&lt;=0,"",VLOOKUP(B93,country_opex,7,FALSE)/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)</f>
        <v/>
      </c>
      <c r="AW93" s="45">
        <f>IF(((T93*pax_cap*IF(B93="South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Korea",korea_mid_revleg,revleg_mid)),0))*VLOOKUP(B93,country_opex,3,FALSE))+W93+X93+Y93+Z93+AA93))&lt;=0,"",VLOOKUP(B93,country_opex,7,FALSE)/((T93*pax_cap*IF(B93="South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Korea",korea_mid_revleg,revleg_mid)),0))*VLOOKUP(B93,country_opex,3,FALSE))+W93+X93+Y93+Z93+AA93)))</f>
        <v/>
      </c>
      <c r="AX93" s="45">
        <f>IF(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&lt;=0,"",VLOOKUP(B93,country_opex,7,FALSE)/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)</f>
        <v/>
      </c>
      <c r="AY93" s="46" t="n"/>
      <c r="AZ93" s="46" t="n"/>
      <c r="BA93" s="34" t="n"/>
    </row>
    <row r="94">
      <c r="A94" s="31" t="inlineStr">
        <is>
          <t>Yango Tunisia</t>
        </is>
      </c>
      <c r="B94" s="31" t="inlineStr">
        <is>
          <t>Tunisia</t>
        </is>
      </c>
      <c r="C94" s="32" t="inlineStr">
        <is>
          <t>Tunis (La Goulette) → La Marsa / Gammarth</t>
        </is>
      </c>
      <c r="D94" s="33" t="n">
        <v>7</v>
      </c>
      <c r="E94" s="27" t="n"/>
      <c r="F94" s="34" t="n"/>
      <c r="G94" s="34" t="n"/>
      <c r="H94" s="20" t="n">
        <v>1</v>
      </c>
      <c r="I94" s="35">
        <f>60*D94/cruise_kt</f>
        <v/>
      </c>
      <c r="J94" s="35">
        <f>IF(B94="South Korea",D94/korea_charge_range_nm*korea_full_range_charge_min,0)</f>
        <v/>
      </c>
      <c r="K94" s="35">
        <f>IF(B94="South Korea",I94+korea_turn_min+korea_dwell_min+J94,I94+turn_min+dwell_min)</f>
        <v/>
      </c>
      <c r="L94" s="36">
        <f>IF(B94="South Korea",FLOOR(60*korea_service_hr/K94,1),MIN(24,FLOOR(60*service_hr/K94,1)))</f>
        <v/>
      </c>
      <c r="M94" s="36">
        <f>IF(ABS(MOD(ABS((365*mech_uptime*H94)),1)-0.5)&lt;1E-9,2*ROUND((365*mech_uptime*H94)/2,0),ROUND((365*mech_uptime*H94),0))</f>
        <v/>
      </c>
      <c r="N94" s="37">
        <f>mech_uptime</f>
        <v/>
      </c>
      <c r="O94" s="37">
        <f>IF(AND(B94="South Korea",scenario="MID"),korea_mid_revleg,revleg_sel)</f>
        <v/>
      </c>
      <c r="P94" s="36">
        <f>IF(ABS(MOD(ABS((L94*M94*O94)),1)-0.5)&lt;1E-9,2*ROUND((L94*M94*O94)/2,0),ROUND((L94*M94*O94),0))</f>
        <v/>
      </c>
      <c r="Q94" s="37">
        <f>IF(AND(B94="South Korea",scenario="MID"),korea_mid_load,load_sel)</f>
        <v/>
      </c>
      <c r="R94" s="38">
        <f>pax_cap*Q94</f>
        <v/>
      </c>
      <c r="S94" s="36">
        <f>R94*P94</f>
        <v/>
      </c>
      <c r="T94" s="39">
        <f>E94*discount</f>
        <v/>
      </c>
      <c r="U94" s="40">
        <f>T94*S94</f>
        <v/>
      </c>
      <c r="V94" s="40">
        <f>(battery/range_nm)*D94*P94*VLOOKUP(B94,country_opex,3,FALSE)</f>
        <v/>
      </c>
      <c r="W94" s="40">
        <f>VLOOKUP(B94,country_opex,2,FALSE)*crew_factor</f>
        <v/>
      </c>
      <c r="X94" s="40">
        <f>VLOOKUP(B94,country_opex,5,FALSE)</f>
        <v/>
      </c>
      <c r="Y94" s="40">
        <f>maint</f>
        <v/>
      </c>
      <c r="Z94" s="40">
        <f>VLOOKUP(B94,country_opex,7,FALSE)*ins_pct</f>
        <v/>
      </c>
      <c r="AA94" s="40">
        <f>charge_berth</f>
        <v/>
      </c>
      <c r="AB94" s="40">
        <f>V94+W94+X94+Y94+Z94+AA94</f>
        <v/>
      </c>
      <c r="AC94" s="40">
        <f>VLOOKUP(B94,country_opex,7,FALSE)/dep_years</f>
        <v/>
      </c>
      <c r="AD94" s="40">
        <f>U94-AB94</f>
        <v/>
      </c>
      <c r="AE94" s="37">
        <f>IF(U94=0,"",AD94/U94)</f>
        <v/>
      </c>
      <c r="AF94" s="38">
        <f>IF(AD94&lt;=0,"",VLOOKUP(B94,country_opex,7,FALSE)/AD94)</f>
        <v/>
      </c>
      <c r="AG94" s="35">
        <f>((D94*P94/diesel_nmpg)*diesel_co2pg-(battery/range_nm)*D94*P94*VLOOKUP(B94,country_opex,4,FALSE))/1000</f>
        <v/>
      </c>
      <c r="AH94" s="33" t="n">
        <v>222000</v>
      </c>
      <c r="AI94" s="34" t="n"/>
      <c r="AJ94" s="34" t="n"/>
      <c r="AK94" s="41" t="n">
        <v>0.1</v>
      </c>
      <c r="AL94" s="36">
        <f>IF(AH94="","",AH94*AK94)</f>
        <v/>
      </c>
      <c r="AM94" s="36">
        <f>IF(OR(AH94="",S94=0),"",MIN(IF(AU94="",9.9E+99,AU94),FLOOR(AL94/S94,1)))</f>
        <v/>
      </c>
      <c r="AN94" s="40">
        <f>IF(AM94="","",AM94*IF(ABS(MOD(ABS((U94)),1)-0.5)&lt;1E-9,2*ROUND((U94)/2,0),ROUND((U94),0)))</f>
        <v/>
      </c>
      <c r="AO94" s="38">
        <f>IF(OR(AH94="",S94=0),"",MIN(IF(AU94="",9.9E+99,AU94),AL94/S94))</f>
        <v/>
      </c>
      <c r="AP94" s="40">
        <f>IF(AO94="","",AO94*IF(B94="South Korea",IF(ABS(MOD(ABS((U94)),1)-0.5)&lt;1E-9,2*ROUND((U94)/2,0),ROUND((U94),0)),U94))</f>
        <v/>
      </c>
      <c r="AQ94" s="42" t="n"/>
      <c r="AR94" s="34" t="inlineStr">
        <is>
          <t>Estimated</t>
        </is>
      </c>
      <c r="AS94" s="43" t="n"/>
      <c r="AT94" s="43" t="n"/>
      <c r="AU94" s="44" t="n"/>
      <c r="AV94" s="45">
        <f>IF(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&lt;=0,"",VLOOKUP(B94,country_opex,7,FALSE)/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)</f>
        <v/>
      </c>
      <c r="AW94" s="45">
        <f>IF(((T94*pax_cap*IF(B94="South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Korea",korea_mid_revleg,revleg_mid)),0))*VLOOKUP(B94,country_opex,3,FALSE))+W94+X94+Y94+Z94+AA94))&lt;=0,"",VLOOKUP(B94,country_opex,7,FALSE)/((T94*pax_cap*IF(B94="South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Korea",korea_mid_revleg,revleg_mid)),0))*VLOOKUP(B94,country_opex,3,FALSE))+W94+X94+Y94+Z94+AA94)))</f>
        <v/>
      </c>
      <c r="AX94" s="45">
        <f>IF(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&lt;=0,"",VLOOKUP(B94,country_opex,7,FALSE)/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)</f>
        <v/>
      </c>
      <c r="AY94" s="46" t="n"/>
      <c r="AZ94" s="46" t="n"/>
      <c r="BA94" s="34" t="inlineStr">
        <is>
          <t>rn-3a88bb1bc7a3</t>
        </is>
      </c>
    </row>
    <row r="95">
      <c r="A95" s="31" t="inlineStr">
        <is>
          <t>Yango Tunisia</t>
        </is>
      </c>
      <c r="B95" s="31" t="inlineStr">
        <is>
          <t>Tunisia</t>
        </is>
      </c>
      <c r="C95" s="32" t="inlineStr">
        <is>
          <t>Yasmine Hammamet → Nabeul</t>
        </is>
      </c>
      <c r="D95" s="33" t="n">
        <v>7</v>
      </c>
      <c r="E95" s="27" t="n">
        <v>22</v>
      </c>
      <c r="F95" s="34" t="inlineStr">
        <is>
          <t>T2</t>
        </is>
      </c>
      <c r="G95" s="34" t="inlineStr">
        <is>
          <t>med</t>
        </is>
      </c>
      <c r="H95" s="20" t="n">
        <v>1</v>
      </c>
      <c r="I95" s="35">
        <f>60*D95/cruise_kt</f>
        <v/>
      </c>
      <c r="J95" s="35">
        <f>IF(B95="South Korea",D95/korea_charge_range_nm*korea_full_range_charge_min,0)</f>
        <v/>
      </c>
      <c r="K95" s="35">
        <f>IF(B95="South Korea",I95+korea_turn_min+korea_dwell_min+J95,I95+turn_min+dwell_min)</f>
        <v/>
      </c>
      <c r="L95" s="36">
        <f>IF(B95="South Korea",FLOOR(60*korea_service_hr/K95,1),MIN(15,FLOOR(60*service_hr/K95,1)))</f>
        <v/>
      </c>
      <c r="M95" s="36">
        <f>IF(ABS(MOD(ABS((365*mech_uptime*H95)),1)-0.5)&lt;1E-9,2*ROUND((365*mech_uptime*H95)/2,0),ROUND((365*mech_uptime*H95),0))</f>
        <v/>
      </c>
      <c r="N95" s="37">
        <f>mech_uptime</f>
        <v/>
      </c>
      <c r="O95" s="37">
        <f>IF(AND(B95="South Korea",scenario="MID"),korea_mid_revleg,revleg_sel)</f>
        <v/>
      </c>
      <c r="P95" s="36">
        <f>IF(ABS(MOD(ABS((L95*M95*O95)),1)-0.5)&lt;1E-9,2*ROUND((L95*M95*O95)/2,0),ROUND((L95*M95*O95),0))</f>
        <v/>
      </c>
      <c r="Q95" s="37">
        <f>IF(AND(B95="South Korea",scenario="MID"),korea_mid_load,load_sel)</f>
        <v/>
      </c>
      <c r="R95" s="38">
        <f>pax_cap*Q95</f>
        <v/>
      </c>
      <c r="S95" s="36">
        <f>R95*P95</f>
        <v/>
      </c>
      <c r="T95" s="39">
        <f>E95*discount</f>
        <v/>
      </c>
      <c r="U95" s="40">
        <f>T95*S95</f>
        <v/>
      </c>
      <c r="V95" s="40">
        <f>(battery/range_nm)*D95*P95*VLOOKUP(B95,country_opex,3,FALSE)</f>
        <v/>
      </c>
      <c r="W95" s="40">
        <f>VLOOKUP(B95,country_opex,2,FALSE)*crew_factor</f>
        <v/>
      </c>
      <c r="X95" s="40">
        <f>VLOOKUP(B95,country_opex,5,FALSE)</f>
        <v/>
      </c>
      <c r="Y95" s="40">
        <f>maint</f>
        <v/>
      </c>
      <c r="Z95" s="40">
        <f>VLOOKUP(B95,country_opex,7,FALSE)*ins_pct</f>
        <v/>
      </c>
      <c r="AA95" s="40">
        <f>charge_berth</f>
        <v/>
      </c>
      <c r="AB95" s="40">
        <f>V95+W95+X95+Y95+Z95+AA95</f>
        <v/>
      </c>
      <c r="AC95" s="40">
        <f>VLOOKUP(B95,country_opex,7,FALSE)/dep_years</f>
        <v/>
      </c>
      <c r="AD95" s="40">
        <f>U95-AB95</f>
        <v/>
      </c>
      <c r="AE95" s="37">
        <f>IF(U95=0,"",AD95/U95)</f>
        <v/>
      </c>
      <c r="AF95" s="38">
        <f>IF(AD95&lt;=0,"",VLOOKUP(B95,country_opex,7,FALSE)/AD95)</f>
        <v/>
      </c>
      <c r="AG95" s="35">
        <f>((D95*P95/diesel_nmpg)*diesel_co2pg-(battery/range_nm)*D95*P95*VLOOKUP(B95,country_opex,4,FALSE))/1000</f>
        <v/>
      </c>
      <c r="AH95" s="33" t="n"/>
      <c r="AI95" s="34" t="n"/>
      <c r="AJ95" s="34" t="n"/>
      <c r="AK95" s="41" t="n">
        <v>0.1</v>
      </c>
      <c r="AL95" s="36">
        <f>IF(AH95="","",AH95*AK95)</f>
        <v/>
      </c>
      <c r="AM95" s="36">
        <f>IF(OR(AH95="",S95=0),"",MIN(IF(AU95="",9.9E+99,AU95),FLOOR(AL95/S95,1)))</f>
        <v/>
      </c>
      <c r="AN95" s="40">
        <f>IF(AM95="","",AM95*IF(ABS(MOD(ABS((U95)),1)-0.5)&lt;1E-9,2*ROUND((U95)/2,0),ROUND((U95),0)))</f>
        <v/>
      </c>
      <c r="AO95" s="38">
        <f>IF(OR(AH95="",S95=0),"",MIN(IF(AU95="",9.9E+99,AU95),AL95/S95))</f>
        <v/>
      </c>
      <c r="AP95" s="40">
        <f>IF(AO95="","",AO95*IF(B95="South Korea",IF(ABS(MOD(ABS((U95)),1)-0.5)&lt;1E-9,2*ROUND((U95)/2,0),ROUND((U95),0)),U95))</f>
        <v/>
      </c>
      <c r="AQ95" s="42" t="n"/>
      <c r="AR95" s="34" t="inlineStr">
        <is>
          <t>Estimated</t>
        </is>
      </c>
      <c r="AS95" s="43" t="n"/>
      <c r="AT95" s="43" t="n"/>
      <c r="AU95" s="44" t="n"/>
      <c r="AV95" s="45">
        <f>IF(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&lt;=0,"",VLOOKUP(B95,country_opex,7,FALSE)/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)</f>
        <v/>
      </c>
      <c r="AW95" s="45">
        <f>IF(((T95*pax_cap*IF(B95="South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Korea",korea_mid_revleg,revleg_mid)),0))*VLOOKUP(B95,country_opex,3,FALSE))+W95+X95+Y95+Z95+AA95))&lt;=0,"",VLOOKUP(B95,country_opex,7,FALSE)/((T95*pax_cap*IF(B95="South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Korea",korea_mid_revleg,revleg_mid)),0))*VLOOKUP(B95,country_opex,3,FALSE))+W95+X95+Y95+Z95+AA95)))</f>
        <v/>
      </c>
      <c r="AX95" s="45">
        <f>IF(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&lt;=0,"",VLOOKUP(B95,country_opex,7,FALSE)/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)</f>
        <v/>
      </c>
      <c r="AY95" s="46" t="inlineStr">
        <is>
          <t>PREMIUM charter-divided tier: Hammamet/Nabeul bay per-seat excursion boat ~EUR 15-25 (3h marina cruise w/ swim stop) -&gt; ~EUR 20 x 1.08 ~= $22. Nearest premium per-seat water product on the bay.</t>
        </is>
      </c>
      <c r="AZ95" s="46" t="n"/>
      <c r="BA95" s="34" t="n"/>
    </row>
    <row r="96">
      <c r="A96" s="31" t="inlineStr">
        <is>
          <t>Yango Tunisia</t>
        </is>
      </c>
      <c r="B96" s="31" t="inlineStr">
        <is>
          <t>Tunisia</t>
        </is>
      </c>
      <c r="C96" s="32" t="inlineStr">
        <is>
          <t>Sfax → Sidi Youssef (Kerkennah Islands)</t>
        </is>
      </c>
      <c r="D96" s="33" t="n">
        <v>11</v>
      </c>
      <c r="E96" s="27" t="n"/>
      <c r="F96" s="34" t="n"/>
      <c r="G96" s="34" t="n"/>
      <c r="H96" s="20" t="n">
        <v>1</v>
      </c>
      <c r="I96" s="35">
        <f>60*D96/cruise_kt</f>
        <v/>
      </c>
      <c r="J96" s="35">
        <f>IF(B96="South Korea",D96/korea_charge_range_nm*korea_full_range_charge_min,0)</f>
        <v/>
      </c>
      <c r="K96" s="35">
        <f>IF(B96="South Korea",I96+korea_turn_min+korea_dwell_min+J96,I96+turn_min+dwell_min)</f>
        <v/>
      </c>
      <c r="L96" s="36">
        <f>IF(B96="South Korea",FLOOR(60*korea_service_hr/K96,1),MIN(15,FLOOR(60*service_hr/K96,1)))</f>
        <v/>
      </c>
      <c r="M96" s="36">
        <f>IF(ABS(MOD(ABS((365*mech_uptime*H96)),1)-0.5)&lt;1E-9,2*ROUND((365*mech_uptime*H96)/2,0),ROUND((365*mech_uptime*H96),0))</f>
        <v/>
      </c>
      <c r="N96" s="37">
        <f>mech_uptime</f>
        <v/>
      </c>
      <c r="O96" s="37">
        <f>IF(AND(B96="South Korea",scenario="MID"),korea_mid_revleg,revleg_sel)</f>
        <v/>
      </c>
      <c r="P96" s="36">
        <f>IF(ABS(MOD(ABS((L96*M96*O96)),1)-0.5)&lt;1E-9,2*ROUND((L96*M96*O96)/2,0),ROUND((L96*M96*O96),0))</f>
        <v/>
      </c>
      <c r="Q96" s="37">
        <f>IF(AND(B96="South Korea",scenario="MID"),korea_mid_load,load_sel)</f>
        <v/>
      </c>
      <c r="R96" s="38">
        <f>pax_cap*Q96</f>
        <v/>
      </c>
      <c r="S96" s="36">
        <f>R96*P96</f>
        <v/>
      </c>
      <c r="T96" s="39">
        <f>E96*discount</f>
        <v/>
      </c>
      <c r="U96" s="40">
        <f>T96*S96</f>
        <v/>
      </c>
      <c r="V96" s="40">
        <f>(battery/range_nm)*D96*P96*VLOOKUP(B96,country_opex,3,FALSE)</f>
        <v/>
      </c>
      <c r="W96" s="40">
        <f>VLOOKUP(B96,country_opex,2,FALSE)*crew_factor</f>
        <v/>
      </c>
      <c r="X96" s="40">
        <f>VLOOKUP(B96,country_opex,5,FALSE)</f>
        <v/>
      </c>
      <c r="Y96" s="40">
        <f>maint</f>
        <v/>
      </c>
      <c r="Z96" s="40">
        <f>VLOOKUP(B96,country_opex,7,FALSE)*ins_pct</f>
        <v/>
      </c>
      <c r="AA96" s="40">
        <f>charge_berth</f>
        <v/>
      </c>
      <c r="AB96" s="40">
        <f>V96+W96+X96+Y96+Z96+AA96</f>
        <v/>
      </c>
      <c r="AC96" s="40">
        <f>VLOOKUP(B96,country_opex,7,FALSE)/dep_years</f>
        <v/>
      </c>
      <c r="AD96" s="40">
        <f>U96-AB96</f>
        <v/>
      </c>
      <c r="AE96" s="37">
        <f>IF(U96=0,"",AD96/U96)</f>
        <v/>
      </c>
      <c r="AF96" s="38">
        <f>IF(AD96&lt;=0,"",VLOOKUP(B96,country_opex,7,FALSE)/AD96)</f>
        <v/>
      </c>
      <c r="AG96" s="35">
        <f>((D96*P96/diesel_nmpg)*diesel_co2pg-(battery/range_nm)*D96*P96*VLOOKUP(B96,country_opex,4,FALSE))/1000</f>
        <v/>
      </c>
      <c r="AH96" s="33" t="n">
        <v>1750000</v>
      </c>
      <c r="AI96" s="34" t="n"/>
      <c r="AJ96" s="34" t="n"/>
      <c r="AK96" s="41" t="n">
        <v>0.1</v>
      </c>
      <c r="AL96" s="36">
        <f>IF(AH96="","",AH96*AK96)</f>
        <v/>
      </c>
      <c r="AM96" s="36">
        <f>IF(OR(AH96="",S96=0),"",MIN(IF(AU96="",9.9E+99,AU96),FLOOR(AL96/S96,1)))</f>
        <v/>
      </c>
      <c r="AN96" s="40">
        <f>IF(AM96="","",AM96*IF(ABS(MOD(ABS((U96)),1)-0.5)&lt;1E-9,2*ROUND((U96)/2,0),ROUND((U96),0)))</f>
        <v/>
      </c>
      <c r="AO96" s="38">
        <f>IF(OR(AH96="",S96=0),"",MIN(IF(AU96="",9.9E+99,AU96),AL96/S96))</f>
        <v/>
      </c>
      <c r="AP96" s="40">
        <f>IF(AO96="","",AO96*IF(B96="South Korea",IF(ABS(MOD(ABS((U96)),1)-0.5)&lt;1E-9,2*ROUND((U96)/2,0),ROUND((U96),0)),U96))</f>
        <v/>
      </c>
      <c r="AQ96" s="42" t="n"/>
      <c r="AR96" s="34" t="inlineStr">
        <is>
          <t>Estimated</t>
        </is>
      </c>
      <c r="AS96" s="43" t="n"/>
      <c r="AT96" s="43" t="n"/>
      <c r="AU96" s="44" t="n"/>
      <c r="AV96" s="45">
        <f>IF(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&lt;=0,"",VLOOKUP(B96,country_opex,7,FALSE)/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)</f>
        <v/>
      </c>
      <c r="AW96" s="45">
        <f>IF(((T96*pax_cap*IF(B96="South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Korea",korea_mid_revleg,revleg_mid)),0))*VLOOKUP(B96,country_opex,3,FALSE))+W96+X96+Y96+Z96+AA96))&lt;=0,"",VLOOKUP(B96,country_opex,7,FALSE)/((T96*pax_cap*IF(B96="South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Korea",korea_mid_revleg,revleg_mid)),0))*VLOOKUP(B96,country_opex,3,FALSE))+W96+X96+Y96+Z96+AA96)))</f>
        <v/>
      </c>
      <c r="AX96" s="45">
        <f>IF(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&lt;=0,"",VLOOKUP(B96,country_opex,7,FALSE)/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)</f>
        <v/>
      </c>
      <c r="AY96" s="46" t="n"/>
      <c r="AZ96" s="46" t="n"/>
      <c r="BA96" s="34" t="n"/>
    </row>
    <row r="97">
      <c r="A97" s="31" t="inlineStr">
        <is>
          <t>Yango Tunisia</t>
        </is>
      </c>
      <c r="B97" s="31" t="inlineStr">
        <is>
          <t>Tunisia</t>
        </is>
      </c>
      <c r="C97" s="32" t="inlineStr">
        <is>
          <t>Sousse (Port El Kantaoui) → Monastir (Marina)</t>
        </is>
      </c>
      <c r="D97" s="33" t="n">
        <v>12</v>
      </c>
      <c r="E97" s="27" t="n">
        <v>32</v>
      </c>
      <c r="F97" s="34" t="inlineStr">
        <is>
          <t>T2</t>
        </is>
      </c>
      <c r="G97" s="34" t="inlineStr">
        <is>
          <t>med</t>
        </is>
      </c>
      <c r="H97" s="20" t="n">
        <v>1</v>
      </c>
      <c r="I97" s="35">
        <f>60*D97/cruise_kt</f>
        <v/>
      </c>
      <c r="J97" s="35">
        <f>IF(B97="South Korea",D97/korea_charge_range_nm*korea_full_range_charge_min,0)</f>
        <v/>
      </c>
      <c r="K97" s="35">
        <f>IF(B97="South Korea",I97+korea_turn_min+korea_dwell_min+J97,I97+turn_min+dwell_min)</f>
        <v/>
      </c>
      <c r="L97" s="36">
        <f>IF(B97="South Korea",FLOOR(60*korea_service_hr/K97,1),MIN(24,FLOOR(60*service_hr/K97,1)))</f>
        <v/>
      </c>
      <c r="M97" s="36">
        <f>IF(ABS(MOD(ABS((365*mech_uptime*H97)),1)-0.5)&lt;1E-9,2*ROUND((365*mech_uptime*H97)/2,0),ROUND((365*mech_uptime*H97),0))</f>
        <v/>
      </c>
      <c r="N97" s="37">
        <f>mech_uptime</f>
        <v/>
      </c>
      <c r="O97" s="37">
        <f>IF(AND(B97="South Korea",scenario="MID"),korea_mid_revleg,revleg_sel)</f>
        <v/>
      </c>
      <c r="P97" s="36">
        <f>IF(ABS(MOD(ABS((L97*M97*O97)),1)-0.5)&lt;1E-9,2*ROUND((L97*M97*O97)/2,0),ROUND((L97*M97*O97),0))</f>
        <v/>
      </c>
      <c r="Q97" s="37">
        <f>IF(AND(B97="South Korea",scenario="MID"),korea_mid_load,load_sel)</f>
        <v/>
      </c>
      <c r="R97" s="38">
        <f>pax_cap*Q97</f>
        <v/>
      </c>
      <c r="S97" s="36">
        <f>R97*P97</f>
        <v/>
      </c>
      <c r="T97" s="39">
        <f>E97*discount</f>
        <v/>
      </c>
      <c r="U97" s="40">
        <f>T97*S97</f>
        <v/>
      </c>
      <c r="V97" s="40">
        <f>(battery/range_nm)*D97*P97*VLOOKUP(B97,country_opex,3,FALSE)</f>
        <v/>
      </c>
      <c r="W97" s="40">
        <f>VLOOKUP(B97,country_opex,2,FALSE)*crew_factor</f>
        <v/>
      </c>
      <c r="X97" s="40">
        <f>VLOOKUP(B97,country_opex,5,FALSE)</f>
        <v/>
      </c>
      <c r="Y97" s="40">
        <f>maint</f>
        <v/>
      </c>
      <c r="Z97" s="40">
        <f>VLOOKUP(B97,country_opex,7,FALSE)*ins_pct</f>
        <v/>
      </c>
      <c r="AA97" s="40">
        <f>charge_berth</f>
        <v/>
      </c>
      <c r="AB97" s="40">
        <f>V97+W97+X97+Y97+Z97+AA97</f>
        <v/>
      </c>
      <c r="AC97" s="40">
        <f>VLOOKUP(B97,country_opex,7,FALSE)/dep_years</f>
        <v/>
      </c>
      <c r="AD97" s="40">
        <f>U97-AB97</f>
        <v/>
      </c>
      <c r="AE97" s="37">
        <f>IF(U97=0,"",AD97/U97)</f>
        <v/>
      </c>
      <c r="AF97" s="38">
        <f>IF(AD97&lt;=0,"",VLOOKUP(B97,country_opex,7,FALSE)/AD97)</f>
        <v/>
      </c>
      <c r="AG97" s="35">
        <f>((D97*P97/diesel_nmpg)*diesel_co2pg-(battery/range_nm)*D97*P97*VLOOKUP(B97,country_opex,4,FALSE))/1000</f>
        <v/>
      </c>
      <c r="AH97" s="33" t="n">
        <v>344000</v>
      </c>
      <c r="AI97" s="34" t="n"/>
      <c r="AJ97" s="34" t="n"/>
      <c r="AK97" s="41" t="n">
        <v>0.1</v>
      </c>
      <c r="AL97" s="36">
        <f>IF(AH97="","",AH97*AK97)</f>
        <v/>
      </c>
      <c r="AM97" s="36">
        <f>IF(OR(AH97="",S97=0),"",MIN(IF(AU97="",9.9E+99,AU97),FLOOR(AL97/S97,1)))</f>
        <v/>
      </c>
      <c r="AN97" s="40">
        <f>IF(AM97="","",AM97*IF(ABS(MOD(ABS((U97)),1)-0.5)&lt;1E-9,2*ROUND((U97)/2,0),ROUND((U97),0)))</f>
        <v/>
      </c>
      <c r="AO97" s="38">
        <f>IF(OR(AH97="",S97=0),"",MIN(IF(AU97="",9.9E+99,AU97),AL97/S97))</f>
        <v/>
      </c>
      <c r="AP97" s="40">
        <f>IF(AO97="","",AO97*IF(B97="South Korea",IF(ABS(MOD(ABS((U97)),1)-0.5)&lt;1E-9,2*ROUND((U97)/2,0),ROUND((U97),0)),U97))</f>
        <v/>
      </c>
      <c r="AQ97" s="42" t="n"/>
      <c r="AR97" s="34" t="inlineStr">
        <is>
          <t>Grounded</t>
        </is>
      </c>
      <c r="AS97" s="43" t="n"/>
      <c r="AT97" s="43" t="n"/>
      <c r="AU97" s="44" t="n"/>
      <c r="AV97" s="45">
        <f>IF(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&lt;=0,"",VLOOKUP(B97,country_opex,7,FALSE)/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)</f>
        <v/>
      </c>
      <c r="AW97" s="45">
        <f>IF(((T97*pax_cap*IF(B97="South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Korea",korea_mid_revleg,revleg_mid)),0))*VLOOKUP(B97,country_opex,3,FALSE))+W97+X97+Y97+Z97+AA97))&lt;=0,"",VLOOKUP(B97,country_opex,7,FALSE)/((T97*pax_cap*IF(B97="South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Korea",korea_mid_revleg,revleg_mid)),0))*VLOOKUP(B97,country_opex,3,FALSE))+W97+X97+Y97+Z97+AA97)))</f>
        <v/>
      </c>
      <c r="AX97" s="45">
        <f>IF(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&lt;=0,"",VLOOKUP(B97,country_opex,7,FALSE)/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)</f>
        <v/>
      </c>
      <c r="AY97" s="46" t="inlineStr">
        <is>
          <t>PREMIUM charter-divided tier: Port El Kantaoui per-seat catamaran / 'pirate boat' coastal cruise ~EUR 25-35 (Catamaran Amira day-cruise; half-day pirate-boat Sousse-Monastir) -&gt; midpoint ~EUR 30 x 1.08 ~= $32. This is the nearest premium per-seat water product operating on this exact coast.</t>
        </is>
      </c>
      <c r="AZ97" s="46" t="n"/>
      <c r="BA97" s="34" t="inlineStr">
        <is>
          <t>rn-27da217834e5</t>
        </is>
      </c>
    </row>
    <row r="98">
      <c r="A98" s="31" t="inlineStr">
        <is>
          <t>Yango Uae</t>
        </is>
      </c>
      <c r="B98" s="31" t="inlineStr">
        <is>
          <t>United Arab Emirates</t>
        </is>
      </c>
      <c r="C98" s="32" t="inlineStr">
        <is>
          <t>One&amp;Only The Palm Jetty → Jumeirah Zabeel Saray Jetty</t>
        </is>
      </c>
      <c r="D98" s="33" t="n">
        <v>0.5</v>
      </c>
      <c r="E98" s="27" t="n">
        <v>130</v>
      </c>
      <c r="F98" s="34" t="inlineStr">
        <is>
          <t>T5</t>
        </is>
      </c>
      <c r="G98" s="34" t="inlineStr">
        <is>
          <t>low</t>
        </is>
      </c>
      <c r="H98" s="20" t="n">
        <v>1</v>
      </c>
      <c r="I98" s="35">
        <f>60*D98/cruise_kt</f>
        <v/>
      </c>
      <c r="J98" s="35">
        <f>IF(B98="South Korea",D98/korea_charge_range_nm*korea_full_range_charge_min,0)</f>
        <v/>
      </c>
      <c r="K98" s="35">
        <f>IF(B98="South Korea",I98+korea_turn_min+korea_dwell_min+J98,I98+turn_min+dwell_min)</f>
        <v/>
      </c>
      <c r="L98" s="36">
        <f>IF(B98="South Korea",FLOOR(60*korea_service_hr/K98,1),MIN(24,FLOOR(60*service_hr/K98,1)))</f>
        <v/>
      </c>
      <c r="M98" s="36">
        <f>IF(ABS(MOD(ABS((365*mech_uptime*H98)),1)-0.5)&lt;1E-9,2*ROUND((365*mech_uptime*H98)/2,0),ROUND((365*mech_uptime*H98),0))</f>
        <v/>
      </c>
      <c r="N98" s="37">
        <f>mech_uptime</f>
        <v/>
      </c>
      <c r="O98" s="37">
        <f>IF(AND(B98="South Korea",scenario="MID"),korea_mid_revleg,revleg_sel)</f>
        <v/>
      </c>
      <c r="P98" s="36">
        <f>IF(ABS(MOD(ABS((L98*M98*O98)),1)-0.5)&lt;1E-9,2*ROUND((L98*M98*O98)/2,0),ROUND((L98*M98*O98),0))</f>
        <v/>
      </c>
      <c r="Q98" s="37">
        <f>IF(AND(B98="South Korea",scenario="MID"),korea_mid_load,load_sel)</f>
        <v/>
      </c>
      <c r="R98" s="38">
        <f>pax_cap*Q98</f>
        <v/>
      </c>
      <c r="S98" s="36">
        <f>R98*P98</f>
        <v/>
      </c>
      <c r="T98" s="39">
        <f>E98*discount</f>
        <v/>
      </c>
      <c r="U98" s="40">
        <f>T98*S98</f>
        <v/>
      </c>
      <c r="V98" s="40">
        <f>(battery/range_nm)*D98*P98*VLOOKUP(B98,country_opex,3,FALSE)</f>
        <v/>
      </c>
      <c r="W98" s="40">
        <f>VLOOKUP(B98,country_opex,2,FALSE)*crew_factor</f>
        <v/>
      </c>
      <c r="X98" s="40">
        <f>VLOOKUP(B98,country_opex,5,FALSE)</f>
        <v/>
      </c>
      <c r="Y98" s="40">
        <f>maint</f>
        <v/>
      </c>
      <c r="Z98" s="40">
        <f>VLOOKUP(B98,country_opex,7,FALSE)*ins_pct</f>
        <v/>
      </c>
      <c r="AA98" s="40">
        <f>charge_berth</f>
        <v/>
      </c>
      <c r="AB98" s="40">
        <f>V98+W98+X98+Y98+Z98+AA98</f>
        <v/>
      </c>
      <c r="AC98" s="40">
        <f>VLOOKUP(B98,country_opex,7,FALSE)/dep_years</f>
        <v/>
      </c>
      <c r="AD98" s="40">
        <f>U98-AB98</f>
        <v/>
      </c>
      <c r="AE98" s="37">
        <f>IF(U98=0,"",AD98/U98)</f>
        <v/>
      </c>
      <c r="AF98" s="38">
        <f>IF(AD98&lt;=0,"",VLOOKUP(B98,country_opex,7,FALSE)/AD98)</f>
        <v/>
      </c>
      <c r="AG98" s="35">
        <f>((D98*P98/diesel_nmpg)*diesel_co2pg-(battery/range_nm)*D98*P98*VLOOKUP(B98,country_opex,4,FALSE))/1000</f>
        <v/>
      </c>
      <c r="AH98" s="33" t="n">
        <v>25000</v>
      </c>
      <c r="AI98" s="34" t="inlineStr">
        <is>
          <t>T3</t>
        </is>
      </c>
      <c r="AJ98" s="34" t="inlineStr">
        <is>
          <t>low</t>
        </is>
      </c>
      <c r="AK98" s="41" t="n">
        <v>0.1</v>
      </c>
      <c r="AL98" s="36">
        <f>IF(AH98="","",AH98*AK98)</f>
        <v/>
      </c>
      <c r="AM98" s="36">
        <f>IF(OR(AH98="",S98=0),"",MIN(IF(AU98="",9.9E+99,AU98),FLOOR(AL98/S98,1)))</f>
        <v/>
      </c>
      <c r="AN98" s="40">
        <f>IF(AM98="","",AM98*IF(ABS(MOD(ABS((U98)),1)-0.5)&lt;1E-9,2*ROUND((U98)/2,0),ROUND((U98),0)))</f>
        <v/>
      </c>
      <c r="AO98" s="38">
        <f>IF(OR(AH98="",S98=0),"",MIN(IF(AU98="",9.9E+99,AU98),AL98/S98))</f>
        <v/>
      </c>
      <c r="AP98" s="40">
        <f>IF(AO98="","",AO98*IF(B98="South Korea",IF(ABS(MOD(ABS((U98)),1)-0.5)&lt;1E-9,2*ROUND((U98)/2,0),ROUND((U98),0)),U98))</f>
        <v/>
      </c>
      <c r="AQ98" s="42" t="n"/>
      <c r="AR98" s="34" t="inlineStr">
        <is>
          <t>Estimated</t>
        </is>
      </c>
      <c r="AS98" s="43" t="n"/>
      <c r="AT98" s="43" t="n"/>
      <c r="AU98" s="44" t="n"/>
      <c r="AV98" s="45">
        <f>IF(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&lt;=0,"",VLOOKUP(B98,country_opex,7,FALSE)/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)</f>
        <v/>
      </c>
      <c r="AW98" s="45">
        <f>IF(((T98*pax_cap*IF(B98="South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Korea",korea_mid_revleg,revleg_mid)),0))*VLOOKUP(B98,country_opex,3,FALSE))+W98+X98+Y98+Z98+AA98))&lt;=0,"",VLOOKUP(B98,country_opex,7,FALSE)/((T98*pax_cap*IF(B98="South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Korea",korea_mid_revleg,revleg_mid)),0))*VLOOKUP(B98,country_opex,3,FALSE))+W98+X98+Y98+Z98+AA98)))</f>
        <v/>
      </c>
      <c r="AX98" s="45">
        <f>IF(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&lt;=0,"",VLOOKUP(B98,country_opex,7,FALSE)/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)</f>
        <v/>
      </c>
      <c r="AY98" s="46" t="inlineStr">
        <is>
          <t>Palm ultra-lux cluster (One&amp;Only&lt;-&gt;Zabeel Saray). Road-served. T5/low.</t>
        </is>
      </c>
      <c r="AZ98" s="46" t="inlineStr">
        <is>
          <t>UAE-DEMAND-ANCHORS-2026-06-17.json — tier-based addressable pool derived from sourcing wave anchors (hotel keys × occ × shuttle adoption, marina activity, RTA marine baseline).</t>
        </is>
      </c>
      <c r="BA98" s="34" t="inlineStr">
        <is>
          <t>rn-1ec5dd6a2bb4</t>
        </is>
      </c>
    </row>
    <row r="99">
      <c r="A99" s="31" t="inlineStr">
        <is>
          <t>Yango Uae</t>
        </is>
      </c>
      <c r="B99" s="31" t="inlineStr">
        <is>
          <t>United Arab Emirates</t>
        </is>
      </c>
      <c r="C99" s="32" t="inlineStr">
        <is>
          <t>Dubai Harbour Marina → Bluewaters Marina</t>
        </is>
      </c>
      <c r="D99" s="33" t="n">
        <v>1.1</v>
      </c>
      <c r="E99" s="27" t="n">
        <v>45</v>
      </c>
      <c r="F99" s="34" t="inlineStr">
        <is>
          <t>T1</t>
        </is>
      </c>
      <c r="G99" s="34" t="inlineStr">
        <is>
          <t>high</t>
        </is>
      </c>
      <c r="H99" s="20" t="n">
        <v>1</v>
      </c>
      <c r="I99" s="35">
        <f>60*D99/cruise_kt</f>
        <v/>
      </c>
      <c r="J99" s="35">
        <f>IF(B99="South Korea",D99/korea_charge_range_nm*korea_full_range_charge_min,0)</f>
        <v/>
      </c>
      <c r="K99" s="35">
        <f>IF(B99="South Korea",I99+korea_turn_min+korea_dwell_min+J99,I99+turn_min+dwell_min)</f>
        <v/>
      </c>
      <c r="L99" s="36">
        <f>IF(B99="South Korea",FLOOR(60*korea_service_hr/K99,1),MIN(24,FLOOR(60*service_hr/K99,1)))</f>
        <v/>
      </c>
      <c r="M99" s="36">
        <f>IF(ABS(MOD(ABS((365*mech_uptime*H99)),1)-0.5)&lt;1E-9,2*ROUND((365*mech_uptime*H99)/2,0),ROUND((365*mech_uptime*H99),0))</f>
        <v/>
      </c>
      <c r="N99" s="37">
        <f>mech_uptime</f>
        <v/>
      </c>
      <c r="O99" s="37">
        <f>IF(AND(B99="South Korea",scenario="MID"),korea_mid_revleg,revleg_sel)</f>
        <v/>
      </c>
      <c r="P99" s="36">
        <f>IF(ABS(MOD(ABS((L99*M99*O99)),1)-0.5)&lt;1E-9,2*ROUND((L99*M99*O99)/2,0),ROUND((L99*M99*O99),0))</f>
        <v/>
      </c>
      <c r="Q99" s="37">
        <f>IF(AND(B99="South Korea",scenario="MID"),korea_mid_load,load_sel)</f>
        <v/>
      </c>
      <c r="R99" s="38">
        <f>pax_cap*Q99</f>
        <v/>
      </c>
      <c r="S99" s="36">
        <f>R99*P99</f>
        <v/>
      </c>
      <c r="T99" s="39">
        <f>E99*discount</f>
        <v/>
      </c>
      <c r="U99" s="40">
        <f>T99*S99</f>
        <v/>
      </c>
      <c r="V99" s="40">
        <f>(battery/range_nm)*D99*P99*VLOOKUP(B99,country_opex,3,FALSE)</f>
        <v/>
      </c>
      <c r="W99" s="40">
        <f>VLOOKUP(B99,country_opex,2,FALSE)*crew_factor</f>
        <v/>
      </c>
      <c r="X99" s="40">
        <f>VLOOKUP(B99,country_opex,5,FALSE)</f>
        <v/>
      </c>
      <c r="Y99" s="40">
        <f>maint</f>
        <v/>
      </c>
      <c r="Z99" s="40">
        <f>VLOOKUP(B99,country_opex,7,FALSE)*ins_pct</f>
        <v/>
      </c>
      <c r="AA99" s="40">
        <f>charge_berth</f>
        <v/>
      </c>
      <c r="AB99" s="40">
        <f>V99+W99+X99+Y99+Z99+AA99</f>
        <v/>
      </c>
      <c r="AC99" s="40">
        <f>VLOOKUP(B99,country_opex,7,FALSE)/dep_years</f>
        <v/>
      </c>
      <c r="AD99" s="40">
        <f>U99-AB99</f>
        <v/>
      </c>
      <c r="AE99" s="37">
        <f>IF(U99=0,"",AD99/U99)</f>
        <v/>
      </c>
      <c r="AF99" s="38">
        <f>IF(AD99&lt;=0,"",VLOOKUP(B99,country_opex,7,FALSE)/AD99)</f>
        <v/>
      </c>
      <c r="AG99" s="35">
        <f>((D99*P99/diesel_nmpg)*diesel_co2pg-(battery/range_nm)*D99*P99*VLOOKUP(B99,country_opex,4,FALSE))/1000</f>
        <v/>
      </c>
      <c r="AH99" s="33" t="n">
        <v>200000</v>
      </c>
      <c r="AI99" s="34" t="inlineStr">
        <is>
          <t>T5</t>
        </is>
      </c>
      <c r="AJ99" s="34" t="inlineStr">
        <is>
          <t>low</t>
        </is>
      </c>
      <c r="AK99" s="41" t="n">
        <v>0.1</v>
      </c>
      <c r="AL99" s="36">
        <f>IF(AH99="","",AH99*AK99)</f>
        <v/>
      </c>
      <c r="AM99" s="36">
        <f>IF(OR(AH99="",S99=0),"",MIN(IF(AU99="",9.9E+99,AU99),FLOOR(AL99/S99,1)))</f>
        <v/>
      </c>
      <c r="AN99" s="40">
        <f>IF(AM99="","",AM99*IF(ABS(MOD(ABS((U99)),1)-0.5)&lt;1E-9,2*ROUND((U99)/2,0),ROUND((U99),0)))</f>
        <v/>
      </c>
      <c r="AO99" s="38">
        <f>IF(OR(AH99="",S99=0),"",MIN(IF(AU99="",9.9E+99,AU99),AL99/S99))</f>
        <v/>
      </c>
      <c r="AP99" s="40">
        <f>IF(AO99="","",AO99*IF(B99="South Korea",IF(ABS(MOD(ABS((U99)),1)-0.5)&lt;1E-9,2*ROUND((U99)/2,0),ROUND((U99),0)),U99))</f>
        <v/>
      </c>
      <c r="AQ99" s="42" t="n"/>
      <c r="AR99" s="34" t="inlineStr">
        <is>
          <t>Grounded</t>
        </is>
      </c>
      <c r="AS99" s="43" t="n"/>
      <c r="AT99" s="43" t="n"/>
      <c r="AU99" s="44" t="n"/>
      <c r="AV99" s="45">
        <f>IF(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&lt;=0,"",VLOOKUP(B99,country_opex,7,FALSE)/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)</f>
        <v/>
      </c>
      <c r="AW99" s="45">
        <f>IF(((T99*pax_cap*IF(B99="South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Korea",korea_mid_revleg,revleg_mid)),0))*VLOOKUP(B99,country_opex,3,FALSE))+W99+X99+Y99+Z99+AA99))&lt;=0,"",VLOOKUP(B99,country_opex,7,FALSE)/((T99*pax_cap*IF(B99="South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Korea",korea_mid_revleg,revleg_mid)),0))*VLOOKUP(B99,country_opex,3,FALSE))+W99+X99+Y99+Z99+AA99)))</f>
        <v/>
      </c>
      <c r="AX99" s="45">
        <f>IF(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&lt;=0,"",VLOOKUP(B99,country_opex,7,FALSE)/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)</f>
        <v/>
      </c>
      <c r="AY99" s="46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Z99" s="46" t="inlineStr">
        <is>
          <t>RTA marine = 18.4M riders 2025 (WAM, T1); bulk are ~1km Creek abras (R3-ABRA, different micro-corridor). Premium non-abra modes a small fraction.</t>
        </is>
      </c>
      <c r="BA99" s="34" t="inlineStr">
        <is>
          <t>rn-dcc7d4c3b9f9</t>
        </is>
      </c>
    </row>
    <row r="100">
      <c r="A100" s="31" t="inlineStr">
        <is>
          <t>Yango Uae</t>
        </is>
      </c>
      <c r="B100" s="31" t="inlineStr">
        <is>
          <t>United Arab Emirates</t>
        </is>
      </c>
      <c r="C100" s="32" t="inlineStr">
        <is>
          <t>Kempinski Hotel &amp; Residences Palm Jumeirah Jetty → Atlantis The Palm Jetty</t>
        </is>
      </c>
      <c r="D100" s="33" t="n">
        <v>1.2</v>
      </c>
      <c r="E100" s="27" t="n">
        <v>130</v>
      </c>
      <c r="F100" s="34" t="inlineStr">
        <is>
          <t>T5</t>
        </is>
      </c>
      <c r="G100" s="34" t="inlineStr">
        <is>
          <t>low</t>
        </is>
      </c>
      <c r="H100" s="20" t="n">
        <v>1</v>
      </c>
      <c r="I100" s="35">
        <f>60*D100/cruise_kt</f>
        <v/>
      </c>
      <c r="J100" s="35">
        <f>IF(B100="South Korea",D100/korea_charge_range_nm*korea_full_range_charge_min,0)</f>
        <v/>
      </c>
      <c r="K100" s="35">
        <f>IF(B100="South Korea",I100+korea_turn_min+korea_dwell_min+J100,I100+turn_min+dwell_min)</f>
        <v/>
      </c>
      <c r="L100" s="36">
        <f>IF(B100="South Korea",FLOOR(60*korea_service_hr/K100,1),MIN(24,FLOOR(60*service_hr/K100,1)))</f>
        <v/>
      </c>
      <c r="M100" s="36">
        <f>IF(ABS(MOD(ABS((365*mech_uptime*H100)),1)-0.5)&lt;1E-9,2*ROUND((365*mech_uptime*H100)/2,0),ROUND((365*mech_uptime*H100),0))</f>
        <v/>
      </c>
      <c r="N100" s="37">
        <f>mech_uptime</f>
        <v/>
      </c>
      <c r="O100" s="37">
        <f>IF(AND(B100="South Korea",scenario="MID"),korea_mid_revleg,revleg_sel)</f>
        <v/>
      </c>
      <c r="P100" s="36">
        <f>IF(ABS(MOD(ABS((L100*M100*O100)),1)-0.5)&lt;1E-9,2*ROUND((L100*M100*O100)/2,0),ROUND((L100*M100*O100),0))</f>
        <v/>
      </c>
      <c r="Q100" s="37">
        <f>IF(AND(B100="South Korea",scenario="MID"),korea_mid_load,load_sel)</f>
        <v/>
      </c>
      <c r="R100" s="38">
        <f>pax_cap*Q100</f>
        <v/>
      </c>
      <c r="S100" s="36">
        <f>R100*P100</f>
        <v/>
      </c>
      <c r="T100" s="39">
        <f>E100*discount</f>
        <v/>
      </c>
      <c r="U100" s="40">
        <f>T100*S100</f>
        <v/>
      </c>
      <c r="V100" s="40">
        <f>(battery/range_nm)*D100*P100*VLOOKUP(B100,country_opex,3,FALSE)</f>
        <v/>
      </c>
      <c r="W100" s="40">
        <f>VLOOKUP(B100,country_opex,2,FALSE)*crew_factor</f>
        <v/>
      </c>
      <c r="X100" s="40">
        <f>VLOOKUP(B100,country_opex,5,FALSE)</f>
        <v/>
      </c>
      <c r="Y100" s="40">
        <f>maint</f>
        <v/>
      </c>
      <c r="Z100" s="40">
        <f>VLOOKUP(B100,country_opex,7,FALSE)*ins_pct</f>
        <v/>
      </c>
      <c r="AA100" s="40">
        <f>charge_berth</f>
        <v/>
      </c>
      <c r="AB100" s="40">
        <f>V100+W100+X100+Y100+Z100+AA100</f>
        <v/>
      </c>
      <c r="AC100" s="40">
        <f>VLOOKUP(B100,country_opex,7,FALSE)/dep_years</f>
        <v/>
      </c>
      <c r="AD100" s="40">
        <f>U100-AB100</f>
        <v/>
      </c>
      <c r="AE100" s="37">
        <f>IF(U100=0,"",AD100/U100)</f>
        <v/>
      </c>
      <c r="AF100" s="38">
        <f>IF(AD100&lt;=0,"",VLOOKUP(B100,country_opex,7,FALSE)/AD100)</f>
        <v/>
      </c>
      <c r="AG100" s="35">
        <f>((D100*P100/diesel_nmpg)*diesel_co2pg-(battery/range_nm)*D100*P100*VLOOKUP(B100,country_opex,4,FALSE))/1000</f>
        <v/>
      </c>
      <c r="AH100" s="33" t="n">
        <v>30000</v>
      </c>
      <c r="AI100" s="34" t="inlineStr">
        <is>
          <t>T3</t>
        </is>
      </c>
      <c r="AJ100" s="34" t="inlineStr">
        <is>
          <t>low</t>
        </is>
      </c>
      <c r="AK100" s="41" t="n">
        <v>0.1</v>
      </c>
      <c r="AL100" s="36">
        <f>IF(AH100="","",AH100*AK100)</f>
        <v/>
      </c>
      <c r="AM100" s="36">
        <f>IF(OR(AH100="",S100=0),"",MIN(IF(AU100="",9.9E+99,AU100),FLOOR(AL100/S100,1)))</f>
        <v/>
      </c>
      <c r="AN100" s="40">
        <f>IF(AM100="","",AM100*IF(ABS(MOD(ABS((U100)),1)-0.5)&lt;1E-9,2*ROUND((U100)/2,0),ROUND((U100),0)))</f>
        <v/>
      </c>
      <c r="AO100" s="38">
        <f>IF(OR(AH100="",S100=0),"",MIN(IF(AU100="",9.9E+99,AU100),AL100/S100))</f>
        <v/>
      </c>
      <c r="AP100" s="40">
        <f>IF(AO100="","",AO100*IF(B100="South Korea",IF(ABS(MOD(ABS((U100)),1)-0.5)&lt;1E-9,2*ROUND((U100)/2,0),ROUND((U100),0)),U100))</f>
        <v/>
      </c>
      <c r="AQ100" s="42" t="n"/>
      <c r="AR100" s="34" t="inlineStr">
        <is>
          <t>Estimated</t>
        </is>
      </c>
      <c r="AS100" s="43" t="n"/>
      <c r="AT100" s="43" t="n"/>
      <c r="AU100" s="44" t="n"/>
      <c r="AV100" s="45">
        <f>IF(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&lt;=0,"",VLOOKUP(B100,country_opex,7,FALSE)/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)</f>
        <v/>
      </c>
      <c r="AW100" s="45">
        <f>IF(((T100*pax_cap*IF(B100="South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Korea",korea_mid_revleg,revleg_mid)),0))*VLOOKUP(B100,country_opex,3,FALSE))+W100+X100+Y100+Z100+AA100))&lt;=0,"",VLOOKUP(B100,country_opex,7,FALSE)/((T100*pax_cap*IF(B100="South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Korea",korea_mid_revleg,revleg_mid)),0))*VLOOKUP(B100,country_opex,3,FALSE))+W100+X100+Y100+Z100+AA100)))</f>
        <v/>
      </c>
      <c r="AX100" s="45">
        <f>IF(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&lt;=0,"",VLOOKUP(B100,country_opex,7,FALSE)/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)</f>
        <v/>
      </c>
      <c r="AY100" s="46" t="inlineStr">
        <is>
          <t>Palm resort cluster (Kempinski&lt;-&gt;Atlantis). Road-served. T5/low.</t>
        </is>
      </c>
      <c r="AZ100" s="46" t="inlineStr">
        <is>
          <t>UAE-DEMAND-ANCHORS-2026-06-17.json — tier-based addressable pool derived from sourcing wave anchors (hotel keys × occ × shuttle adoption, marina activity, RTA marine baseline).</t>
        </is>
      </c>
      <c r="BA100" s="34" t="inlineStr">
        <is>
          <t>rn-04c94f935684</t>
        </is>
      </c>
    </row>
    <row r="101">
      <c r="A101" s="31" t="inlineStr">
        <is>
          <t>Yango Uae</t>
        </is>
      </c>
      <c r="B101" s="31" t="inlineStr">
        <is>
          <t>United Arab Emirates</t>
        </is>
      </c>
      <c r="C101" s="32" t="inlineStr">
        <is>
          <t>La Mer / J1 Beach Jetty → Nikki Beach Resort Pearl Jumeirah Jetty</t>
        </is>
      </c>
      <c r="D101" s="33" t="n">
        <v>1.2</v>
      </c>
      <c r="E101" s="27" t="n">
        <v>110</v>
      </c>
      <c r="F101" s="34" t="inlineStr">
        <is>
          <t>T5</t>
        </is>
      </c>
      <c r="G101" s="34" t="inlineStr">
        <is>
          <t>low</t>
        </is>
      </c>
      <c r="H101" s="20" t="n">
        <v>1</v>
      </c>
      <c r="I101" s="35">
        <f>60*D101/cruise_kt</f>
        <v/>
      </c>
      <c r="J101" s="35">
        <f>IF(B101="South Korea",D101/korea_charge_range_nm*korea_full_range_charge_min,0)</f>
        <v/>
      </c>
      <c r="K101" s="35">
        <f>IF(B101="South Korea",I101+korea_turn_min+korea_dwell_min+J101,I101+turn_min+dwell_min)</f>
        <v/>
      </c>
      <c r="L101" s="36">
        <f>IF(B101="South Korea",FLOOR(60*korea_service_hr/K101,1),MIN(24,FLOOR(60*service_hr/K101,1)))</f>
        <v/>
      </c>
      <c r="M101" s="36">
        <f>IF(ABS(MOD(ABS((365*mech_uptime*H101)),1)-0.5)&lt;1E-9,2*ROUND((365*mech_uptime*H101)/2,0),ROUND((365*mech_uptime*H101),0))</f>
        <v/>
      </c>
      <c r="N101" s="37">
        <f>mech_uptime</f>
        <v/>
      </c>
      <c r="O101" s="37">
        <f>IF(AND(B101="South Korea",scenario="MID"),korea_mid_revleg,revleg_sel)</f>
        <v/>
      </c>
      <c r="P101" s="36">
        <f>IF(ABS(MOD(ABS((L101*M101*O101)),1)-0.5)&lt;1E-9,2*ROUND((L101*M101*O101)/2,0),ROUND((L101*M101*O101),0))</f>
        <v/>
      </c>
      <c r="Q101" s="37">
        <f>IF(AND(B101="South Korea",scenario="MID"),korea_mid_load,load_sel)</f>
        <v/>
      </c>
      <c r="R101" s="38">
        <f>pax_cap*Q101</f>
        <v/>
      </c>
      <c r="S101" s="36">
        <f>R101*P101</f>
        <v/>
      </c>
      <c r="T101" s="39">
        <f>E101*discount</f>
        <v/>
      </c>
      <c r="U101" s="40">
        <f>T101*S101</f>
        <v/>
      </c>
      <c r="V101" s="40">
        <f>(battery/range_nm)*D101*P101*VLOOKUP(B101,country_opex,3,FALSE)</f>
        <v/>
      </c>
      <c r="W101" s="40">
        <f>VLOOKUP(B101,country_opex,2,FALSE)*crew_factor</f>
        <v/>
      </c>
      <c r="X101" s="40">
        <f>VLOOKUP(B101,country_opex,5,FALSE)</f>
        <v/>
      </c>
      <c r="Y101" s="40">
        <f>maint</f>
        <v/>
      </c>
      <c r="Z101" s="40">
        <f>VLOOKUP(B101,country_opex,7,FALSE)*ins_pct</f>
        <v/>
      </c>
      <c r="AA101" s="40">
        <f>charge_berth</f>
        <v/>
      </c>
      <c r="AB101" s="40">
        <f>V101+W101+X101+Y101+Z101+AA101</f>
        <v/>
      </c>
      <c r="AC101" s="40">
        <f>VLOOKUP(B101,country_opex,7,FALSE)/dep_years</f>
        <v/>
      </c>
      <c r="AD101" s="40">
        <f>U101-AB101</f>
        <v/>
      </c>
      <c r="AE101" s="37">
        <f>IF(U101=0,"",AD101/U101)</f>
        <v/>
      </c>
      <c r="AF101" s="38">
        <f>IF(AD101&lt;=0,"",VLOOKUP(B101,country_opex,7,FALSE)/AD101)</f>
        <v/>
      </c>
      <c r="AG101" s="35">
        <f>((D101*P101/diesel_nmpg)*diesel_co2pg-(battery/range_nm)*D101*P101*VLOOKUP(B101,country_opex,4,FALSE))/1000</f>
        <v/>
      </c>
      <c r="AH101" s="33" t="n">
        <v>25000</v>
      </c>
      <c r="AI101" s="34" t="inlineStr">
        <is>
          <t>T3</t>
        </is>
      </c>
      <c r="AJ101" s="34" t="inlineStr">
        <is>
          <t>low</t>
        </is>
      </c>
      <c r="AK101" s="41" t="n">
        <v>0.1</v>
      </c>
      <c r="AL101" s="36">
        <f>IF(AH101="","",AH101*AK101)</f>
        <v/>
      </c>
      <c r="AM101" s="36">
        <f>IF(OR(AH101="",S101=0),"",MIN(IF(AU101="",9.9E+99,AU101),FLOOR(AL101/S101,1)))</f>
        <v/>
      </c>
      <c r="AN101" s="40">
        <f>IF(AM101="","",AM101*IF(ABS(MOD(ABS((U101)),1)-0.5)&lt;1E-9,2*ROUND((U101)/2,0),ROUND((U101),0)))</f>
        <v/>
      </c>
      <c r="AO101" s="38">
        <f>IF(OR(AH101="",S101=0),"",MIN(IF(AU101="",9.9E+99,AU101),AL101/S101))</f>
        <v/>
      </c>
      <c r="AP101" s="40">
        <f>IF(AO101="","",AO101*IF(B101="South Korea",IF(ABS(MOD(ABS((U101)),1)-0.5)&lt;1E-9,2*ROUND((U101)/2,0),ROUND((U101),0)),U101))</f>
        <v/>
      </c>
      <c r="AQ101" s="42" t="n"/>
      <c r="AR101" s="34" t="inlineStr">
        <is>
          <t>Estimated</t>
        </is>
      </c>
      <c r="AS101" s="43" t="n"/>
      <c r="AT101" s="43" t="n"/>
      <c r="AU101" s="44" t="n"/>
      <c r="AV101" s="45">
        <f>IF(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&lt;=0,"",VLOOKUP(B101,country_opex,7,FALSE)/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)</f>
        <v/>
      </c>
      <c r="AW101" s="45">
        <f>IF(((T101*pax_cap*IF(B101="South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Korea",korea_mid_revleg,revleg_mid)),0))*VLOOKUP(B101,country_opex,3,FALSE))+W101+X101+Y101+Z101+AA101))&lt;=0,"",VLOOKUP(B101,country_opex,7,FALSE)/((T101*pax_cap*IF(B101="South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Korea",korea_mid_revleg,revleg_mid)),0))*VLOOKUP(B101,country_opex,3,FALSE))+W101+X101+Y101+Z101+AA101)))</f>
        <v/>
      </c>
      <c r="AX101" s="45">
        <f>IF(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&lt;=0,"",VLOOKUP(B101,country_opex,7,FALSE)/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)</f>
        <v/>
      </c>
      <c r="AY101" s="46" t="inlineStr">
        <is>
          <t>Urban Dubai beach-club leisure hop. Road-served. T5/low.</t>
        </is>
      </c>
      <c r="AZ101" s="46" t="inlineStr">
        <is>
          <t>UAE-DEMAND-ANCHORS-2026-06-17.json — tier-based addressable pool derived from sourcing wave anchors (hotel keys × occ × shuttle adoption, marina activity, RTA marine baseline).</t>
        </is>
      </c>
      <c r="BA101" s="34" t="inlineStr">
        <is>
          <t>rn-9349160e716f</t>
        </is>
      </c>
    </row>
    <row r="102">
      <c r="A102" s="31" t="inlineStr">
        <is>
          <t>Yango Uae</t>
        </is>
      </c>
      <c r="B102" s="31" t="inlineStr">
        <is>
          <t>United Arab Emirates</t>
        </is>
      </c>
      <c r="C102" s="32" t="inlineStr">
        <is>
          <t>Palm Jumeirah Marina West → Atlantis The Palm Jetty</t>
        </is>
      </c>
      <c r="D102" s="33" t="n">
        <v>1.3</v>
      </c>
      <c r="E102" s="27" t="n">
        <v>150</v>
      </c>
      <c r="F102" s="34" t="inlineStr">
        <is>
          <t>T5</t>
        </is>
      </c>
      <c r="G102" s="34" t="inlineStr">
        <is>
          <t>low</t>
        </is>
      </c>
      <c r="H102" s="20" t="n">
        <v>1</v>
      </c>
      <c r="I102" s="35">
        <f>60*D102/cruise_kt</f>
        <v/>
      </c>
      <c r="J102" s="35">
        <f>IF(B102="South Korea",D102/korea_charge_range_nm*korea_full_range_charge_min,0)</f>
        <v/>
      </c>
      <c r="K102" s="35">
        <f>IF(B102="South Korea",I102+korea_turn_min+korea_dwell_min+J102,I102+turn_min+dwell_min)</f>
        <v/>
      </c>
      <c r="L102" s="36">
        <f>IF(B102="South Korea",FLOOR(60*korea_service_hr/K102,1),MIN(24,FLOOR(60*service_hr/K102,1)))</f>
        <v/>
      </c>
      <c r="M102" s="36">
        <f>IF(ABS(MOD(ABS((365*mech_uptime*H102)),1)-0.5)&lt;1E-9,2*ROUND((365*mech_uptime*H102)/2,0),ROUND((365*mech_uptime*H102),0))</f>
        <v/>
      </c>
      <c r="N102" s="37">
        <f>mech_uptime</f>
        <v/>
      </c>
      <c r="O102" s="37">
        <f>IF(AND(B102="South Korea",scenario="MID"),korea_mid_revleg,revleg_sel)</f>
        <v/>
      </c>
      <c r="P102" s="36">
        <f>IF(ABS(MOD(ABS((L102*M102*O102)),1)-0.5)&lt;1E-9,2*ROUND((L102*M102*O102)/2,0),ROUND((L102*M102*O102),0))</f>
        <v/>
      </c>
      <c r="Q102" s="37">
        <f>IF(AND(B102="South Korea",scenario="MID"),korea_mid_load,load_sel)</f>
        <v/>
      </c>
      <c r="R102" s="38">
        <f>pax_cap*Q102</f>
        <v/>
      </c>
      <c r="S102" s="36">
        <f>R102*P102</f>
        <v/>
      </c>
      <c r="T102" s="39">
        <f>E102*discount</f>
        <v/>
      </c>
      <c r="U102" s="40">
        <f>T102*S102</f>
        <v/>
      </c>
      <c r="V102" s="40">
        <f>(battery/range_nm)*D102*P102*VLOOKUP(B102,country_opex,3,FALSE)</f>
        <v/>
      </c>
      <c r="W102" s="40">
        <f>VLOOKUP(B102,country_opex,2,FALSE)*crew_factor</f>
        <v/>
      </c>
      <c r="X102" s="40">
        <f>VLOOKUP(B102,country_opex,5,FALSE)</f>
        <v/>
      </c>
      <c r="Y102" s="40">
        <f>maint</f>
        <v/>
      </c>
      <c r="Z102" s="40">
        <f>VLOOKUP(B102,country_opex,7,FALSE)*ins_pct</f>
        <v/>
      </c>
      <c r="AA102" s="40">
        <f>charge_berth</f>
        <v/>
      </c>
      <c r="AB102" s="40">
        <f>V102+W102+X102+Y102+Z102+AA102</f>
        <v/>
      </c>
      <c r="AC102" s="40">
        <f>VLOOKUP(B102,country_opex,7,FALSE)/dep_years</f>
        <v/>
      </c>
      <c r="AD102" s="40">
        <f>U102-AB102</f>
        <v/>
      </c>
      <c r="AE102" s="37">
        <f>IF(U102=0,"",AD102/U102)</f>
        <v/>
      </c>
      <c r="AF102" s="38">
        <f>IF(AD102&lt;=0,"",VLOOKUP(B102,country_opex,7,FALSE)/AD102)</f>
        <v/>
      </c>
      <c r="AG102" s="35">
        <f>((D102*P102/diesel_nmpg)*diesel_co2pg-(battery/range_nm)*D102*P102*VLOOKUP(B102,country_opex,4,FALSE))/1000</f>
        <v/>
      </c>
      <c r="AH102" s="33" t="n">
        <v>120000</v>
      </c>
      <c r="AI102" s="34" t="inlineStr">
        <is>
          <t>T2</t>
        </is>
      </c>
      <c r="AJ102" s="34" t="inlineStr">
        <is>
          <t>medium</t>
        </is>
      </c>
      <c r="AK102" s="41" t="n">
        <v>0.1</v>
      </c>
      <c r="AL102" s="36">
        <f>IF(AH102="","",AH102*AK102)</f>
        <v/>
      </c>
      <c r="AM102" s="36">
        <f>IF(OR(AH102="",S102=0),"",MIN(IF(AU102="",9.9E+99,AU102),FLOOR(AL102/S102,1)))</f>
        <v/>
      </c>
      <c r="AN102" s="40">
        <f>IF(AM102="","",AM102*IF(ABS(MOD(ABS((U102)),1)-0.5)&lt;1E-9,2*ROUND((U102)/2,0),ROUND((U102),0)))</f>
        <v/>
      </c>
      <c r="AO102" s="38">
        <f>IF(OR(AH102="",S102=0),"",MIN(IF(AU102="",9.9E+99,AU102),AL102/S102))</f>
        <v/>
      </c>
      <c r="AP102" s="40">
        <f>IF(AO102="","",AO102*IF(B102="South Korea",IF(ABS(MOD(ABS((U102)),1)-0.5)&lt;1E-9,2*ROUND((U102)/2,0),ROUND((U102),0)),U102))</f>
        <v/>
      </c>
      <c r="AQ102" s="42" t="n"/>
      <c r="AR102" s="34" t="inlineStr">
        <is>
          <t>Grounded</t>
        </is>
      </c>
      <c r="AS102" s="43" t="n"/>
      <c r="AT102" s="43" t="n"/>
      <c r="AU102" s="44" t="n"/>
      <c r="AV102" s="45">
        <f>IF(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&lt;=0,"",VLOOKUP(B102,country_opex,7,FALSE)/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)</f>
        <v/>
      </c>
      <c r="AW102" s="45">
        <f>IF(((T102*pax_cap*IF(B102="South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Korea",korea_mid_revleg,revleg_mid)),0))*VLOOKUP(B102,country_opex,3,FALSE))+W102+X102+Y102+Z102+AA102))&lt;=0,"",VLOOKUP(B102,country_opex,7,FALSE)/((T102*pax_cap*IF(B102="South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Korea",korea_mid_revleg,revleg_mid)),0))*VLOOKUP(B102,country_opex,3,FALSE))+W102+X102+Y102+Z102+AA102)))</f>
        <v/>
      </c>
      <c r="AX102" s="45">
        <f>IF(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&lt;=0,"",VLOOKUP(B102,country_opex,7,FALSE)/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)</f>
        <v/>
      </c>
      <c r="AY102" s="46" t="inlineStr">
        <is>
          <t>Atlantis The Palm (1,544 rooms) road-served; premium marine arrival opportunity-to-create. T5/low.</t>
        </is>
      </c>
      <c r="AZ102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02" s="34" t="inlineStr">
        <is>
          <t>rn-b49c885ed913</t>
        </is>
      </c>
    </row>
    <row r="103">
      <c r="A103" s="31" t="inlineStr">
        <is>
          <t>Yango Uae</t>
        </is>
      </c>
      <c r="B103" s="31" t="inlineStr">
        <is>
          <t>United Arab Emirates</t>
        </is>
      </c>
      <c r="C103" s="32" t="inlineStr">
        <is>
          <t>Dubai Creek Marina → Al Seef Marine Transport Station</t>
        </is>
      </c>
      <c r="D103" s="33" t="n">
        <v>1.5</v>
      </c>
      <c r="E103" s="27" t="n">
        <v>41</v>
      </c>
      <c r="F103" s="34" t="inlineStr">
        <is>
          <t>T1</t>
        </is>
      </c>
      <c r="G103" s="34" t="inlineStr">
        <is>
          <t>high</t>
        </is>
      </c>
      <c r="H103" s="20" t="n">
        <v>1</v>
      </c>
      <c r="I103" s="35">
        <f>60*D103/cruise_kt</f>
        <v/>
      </c>
      <c r="J103" s="35">
        <f>IF(B103="South Korea",D103/korea_charge_range_nm*korea_full_range_charge_min,0)</f>
        <v/>
      </c>
      <c r="K103" s="35">
        <f>IF(B103="South Korea",I103+korea_turn_min+korea_dwell_min+J103,I103+turn_min+dwell_min)</f>
        <v/>
      </c>
      <c r="L103" s="36">
        <f>IF(B103="South Korea",FLOOR(60*korea_service_hr/K103,1),MIN(24,FLOOR(60*service_hr/K103,1)))</f>
        <v/>
      </c>
      <c r="M103" s="36">
        <f>IF(ABS(MOD(ABS((365*mech_uptime*H103)),1)-0.5)&lt;1E-9,2*ROUND((365*mech_uptime*H103)/2,0),ROUND((365*mech_uptime*H103),0))</f>
        <v/>
      </c>
      <c r="N103" s="37">
        <f>mech_uptime</f>
        <v/>
      </c>
      <c r="O103" s="37">
        <f>IF(AND(B103="South Korea",scenario="MID"),korea_mid_revleg,revleg_sel)</f>
        <v/>
      </c>
      <c r="P103" s="36">
        <f>IF(ABS(MOD(ABS((L103*M103*O103)),1)-0.5)&lt;1E-9,2*ROUND((L103*M103*O103)/2,0),ROUND((L103*M103*O103),0))</f>
        <v/>
      </c>
      <c r="Q103" s="37">
        <f>IF(AND(B103="South Korea",scenario="MID"),korea_mid_load,load_sel)</f>
        <v/>
      </c>
      <c r="R103" s="38">
        <f>pax_cap*Q103</f>
        <v/>
      </c>
      <c r="S103" s="36">
        <f>R103*P103</f>
        <v/>
      </c>
      <c r="T103" s="39">
        <f>E103*discount</f>
        <v/>
      </c>
      <c r="U103" s="40">
        <f>T103*S103</f>
        <v/>
      </c>
      <c r="V103" s="40">
        <f>(battery/range_nm)*D103*P103*VLOOKUP(B103,country_opex,3,FALSE)</f>
        <v/>
      </c>
      <c r="W103" s="40">
        <f>VLOOKUP(B103,country_opex,2,FALSE)*crew_factor</f>
        <v/>
      </c>
      <c r="X103" s="40">
        <f>VLOOKUP(B103,country_opex,5,FALSE)</f>
        <v/>
      </c>
      <c r="Y103" s="40">
        <f>maint</f>
        <v/>
      </c>
      <c r="Z103" s="40">
        <f>VLOOKUP(B103,country_opex,7,FALSE)*ins_pct</f>
        <v/>
      </c>
      <c r="AA103" s="40">
        <f>charge_berth</f>
        <v/>
      </c>
      <c r="AB103" s="40">
        <f>V103+W103+X103+Y103+Z103+AA103</f>
        <v/>
      </c>
      <c r="AC103" s="40">
        <f>VLOOKUP(B103,country_opex,7,FALSE)/dep_years</f>
        <v/>
      </c>
      <c r="AD103" s="40">
        <f>U103-AB103</f>
        <v/>
      </c>
      <c r="AE103" s="37">
        <f>IF(U103=0,"",AD103/U103)</f>
        <v/>
      </c>
      <c r="AF103" s="38">
        <f>IF(AD103&lt;=0,"",VLOOKUP(B103,country_opex,7,FALSE)/AD103)</f>
        <v/>
      </c>
      <c r="AG103" s="35">
        <f>((D103*P103/diesel_nmpg)*diesel_co2pg-(battery/range_nm)*D103*P103*VLOOKUP(B103,country_opex,4,FALSE))/1000</f>
        <v/>
      </c>
      <c r="AH103" s="33" t="n">
        <v>120000</v>
      </c>
      <c r="AI103" s="34" t="inlineStr">
        <is>
          <t>T5</t>
        </is>
      </c>
      <c r="AJ103" s="34" t="inlineStr">
        <is>
          <t>low</t>
        </is>
      </c>
      <c r="AK103" s="41" t="n">
        <v>0.1</v>
      </c>
      <c r="AL103" s="36">
        <f>IF(AH103="","",AH103*AK103)</f>
        <v/>
      </c>
      <c r="AM103" s="36">
        <f>IF(OR(AH103="",S103=0),"",MIN(IF(AU103="",9.9E+99,AU103),FLOOR(AL103/S103,1)))</f>
        <v/>
      </c>
      <c r="AN103" s="40">
        <f>IF(AM103="","",AM103*IF(ABS(MOD(ABS((U103)),1)-0.5)&lt;1E-9,2*ROUND((U103)/2,0),ROUND((U103),0)))</f>
        <v/>
      </c>
      <c r="AO103" s="38">
        <f>IF(OR(AH103="",S103=0),"",MIN(IF(AU103="",9.9E+99,AU103),AL103/S103))</f>
        <v/>
      </c>
      <c r="AP103" s="40">
        <f>IF(AO103="","",AO103*IF(B103="South Korea",IF(ABS(MOD(ABS((U103)),1)-0.5)&lt;1E-9,2*ROUND((U103)/2,0),ROUND((U103),0)),U103))</f>
        <v/>
      </c>
      <c r="AQ103" s="42" t="n"/>
      <c r="AR103" s="34" t="inlineStr">
        <is>
          <t>Grounded</t>
        </is>
      </c>
      <c r="AS103" s="43" t="n"/>
      <c r="AT103" s="43" t="n"/>
      <c r="AU103" s="44" t="n"/>
      <c r="AV103" s="45">
        <f>IF(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&lt;=0,"",VLOOKUP(B103,country_opex,7,FALSE)/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)</f>
        <v/>
      </c>
      <c r="AW103" s="45">
        <f>IF(((T103*pax_cap*IF(B103="South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Korea",korea_mid_revleg,revleg_mid)),0))*VLOOKUP(B103,country_opex,3,FALSE))+W103+X103+Y103+Z103+AA103))&lt;=0,"",VLOOKUP(B103,country_opex,7,FALSE)/((T103*pax_cap*IF(B103="South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Korea",korea_mid_revleg,revleg_mid)),0))*VLOOKUP(B103,country_opex,3,FALSE))+W103+X103+Y103+Z103+AA103)))</f>
        <v/>
      </c>
      <c r="AX103" s="45">
        <f>IF(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&lt;=0,"",VLOOKUP(B103,country_opex,7,FALSE)/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)</f>
        <v/>
      </c>
      <c r="AY103" s="46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Z103" s="46" t="inlineStr">
        <is>
          <t>18.4M RTA marine is ~all sub-1km abras (R3-ABRA); premium water-taxi/ferry tier is a small fraction.</t>
        </is>
      </c>
      <c r="BA103" s="34" t="inlineStr">
        <is>
          <t>rn-355d8ba3c15a</t>
        </is>
      </c>
    </row>
    <row r="104">
      <c r="A104" s="31" t="inlineStr">
        <is>
          <t>Yango Uae</t>
        </is>
      </c>
      <c r="B104" s="31" t="inlineStr">
        <is>
          <t>United Arab Emirates</t>
        </is>
      </c>
      <c r="C104" s="32" t="inlineStr">
        <is>
          <t>Yacht Marina → The Westin Dubai Mina Seyahi Beach Resort &amp; Marina</t>
        </is>
      </c>
      <c r="D104" s="33" t="n">
        <v>1.5</v>
      </c>
      <c r="E104" s="27" t="n">
        <v>95</v>
      </c>
      <c r="F104" s="34" t="inlineStr">
        <is>
          <t>T4</t>
        </is>
      </c>
      <c r="G104" s="34" t="inlineStr">
        <is>
          <t>low</t>
        </is>
      </c>
      <c r="H104" s="20" t="n">
        <v>1</v>
      </c>
      <c r="I104" s="35">
        <f>60*D104/cruise_kt</f>
        <v/>
      </c>
      <c r="J104" s="35">
        <f>IF(B104="South Korea",D104/korea_charge_range_nm*korea_full_range_charge_min,0)</f>
        <v/>
      </c>
      <c r="K104" s="35">
        <f>IF(B104="South Korea",I104+korea_turn_min+korea_dwell_min+J104,I104+turn_min+dwell_min)</f>
        <v/>
      </c>
      <c r="L104" s="36">
        <f>IF(B104="South Korea",FLOOR(60*korea_service_hr/K104,1),MIN(24,FLOOR(60*service_hr/K104,1)))</f>
        <v/>
      </c>
      <c r="M104" s="36">
        <f>IF(ABS(MOD(ABS((365*mech_uptime*H104)),1)-0.5)&lt;1E-9,2*ROUND((365*mech_uptime*H104)/2,0),ROUND((365*mech_uptime*H104),0))</f>
        <v/>
      </c>
      <c r="N104" s="37">
        <f>mech_uptime</f>
        <v/>
      </c>
      <c r="O104" s="37">
        <f>IF(AND(B104="South Korea",scenario="MID"),korea_mid_revleg,revleg_sel)</f>
        <v/>
      </c>
      <c r="P104" s="36">
        <f>IF(ABS(MOD(ABS((L104*M104*O104)),1)-0.5)&lt;1E-9,2*ROUND((L104*M104*O104)/2,0),ROUND((L104*M104*O104),0))</f>
        <v/>
      </c>
      <c r="Q104" s="37">
        <f>IF(AND(B104="South Korea",scenario="MID"),korea_mid_load,load_sel)</f>
        <v/>
      </c>
      <c r="R104" s="38">
        <f>pax_cap*Q104</f>
        <v/>
      </c>
      <c r="S104" s="36">
        <f>R104*P104</f>
        <v/>
      </c>
      <c r="T104" s="39">
        <f>E104*discount</f>
        <v/>
      </c>
      <c r="U104" s="40">
        <f>T104*S104</f>
        <v/>
      </c>
      <c r="V104" s="40">
        <f>(battery/range_nm)*D104*P104*VLOOKUP(B104,country_opex,3,FALSE)</f>
        <v/>
      </c>
      <c r="W104" s="40">
        <f>VLOOKUP(B104,country_opex,2,FALSE)*crew_factor</f>
        <v/>
      </c>
      <c r="X104" s="40">
        <f>VLOOKUP(B104,country_opex,5,FALSE)</f>
        <v/>
      </c>
      <c r="Y104" s="40">
        <f>maint</f>
        <v/>
      </c>
      <c r="Z104" s="40">
        <f>VLOOKUP(B104,country_opex,7,FALSE)*ins_pct</f>
        <v/>
      </c>
      <c r="AA104" s="40">
        <f>charge_berth</f>
        <v/>
      </c>
      <c r="AB104" s="40">
        <f>V104+W104+X104+Y104+Z104+AA104</f>
        <v/>
      </c>
      <c r="AC104" s="40">
        <f>VLOOKUP(B104,country_opex,7,FALSE)/dep_years</f>
        <v/>
      </c>
      <c r="AD104" s="40">
        <f>U104-AB104</f>
        <v/>
      </c>
      <c r="AE104" s="37">
        <f>IF(U104=0,"",AD104/U104)</f>
        <v/>
      </c>
      <c r="AF104" s="38">
        <f>IF(AD104&lt;=0,"",VLOOKUP(B104,country_opex,7,FALSE)/AD104)</f>
        <v/>
      </c>
      <c r="AG104" s="35">
        <f>((D104*P104/diesel_nmpg)*diesel_co2pg-(battery/range_nm)*D104*P104*VLOOKUP(B104,country_opex,4,FALSE))/1000</f>
        <v/>
      </c>
      <c r="AH104" s="33" t="n">
        <v>25000</v>
      </c>
      <c r="AI104" s="34" t="inlineStr">
        <is>
          <t>T3</t>
        </is>
      </c>
      <c r="AJ104" s="34" t="inlineStr">
        <is>
          <t>low</t>
        </is>
      </c>
      <c r="AK104" s="41" t="n">
        <v>0.1</v>
      </c>
      <c r="AL104" s="36">
        <f>IF(AH104="","",AH104*AK104)</f>
        <v/>
      </c>
      <c r="AM104" s="36">
        <f>IF(OR(AH104="",S104=0),"",MIN(IF(AU104="",9.9E+99,AU104),FLOOR(AL104/S104,1)))</f>
        <v/>
      </c>
      <c r="AN104" s="40">
        <f>IF(AM104="","",AM104*IF(ABS(MOD(ABS((U104)),1)-0.5)&lt;1E-9,2*ROUND((U104)/2,0),ROUND((U104),0)))</f>
        <v/>
      </c>
      <c r="AO104" s="38">
        <f>IF(OR(AH104="",S104=0),"",MIN(IF(AU104="",9.9E+99,AU104),AL104/S104))</f>
        <v/>
      </c>
      <c r="AP104" s="40">
        <f>IF(AO104="","",AO104*IF(B104="South Korea",IF(ABS(MOD(ABS((U104)),1)-0.5)&lt;1E-9,2*ROUND((U104)/2,0),ROUND((U104),0)),U104))</f>
        <v/>
      </c>
      <c r="AQ104" s="42" t="n"/>
      <c r="AR104" s="34" t="inlineStr">
        <is>
          <t>Estimated</t>
        </is>
      </c>
      <c r="AS104" s="43" t="n"/>
      <c r="AT104" s="43" t="n"/>
      <c r="AU104" s="44" t="n"/>
      <c r="AV104" s="45">
        <f>IF(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&lt;=0,"",VLOOKUP(B104,country_opex,7,FALSE)/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)</f>
        <v/>
      </c>
      <c r="AW104" s="45">
        <f>IF(((T104*pax_cap*IF(B104="South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Korea",korea_mid_revleg,revleg_mid)),0))*VLOOKUP(B104,country_opex,3,FALSE))+W104+X104+Y104+Z104+AA104))&lt;=0,"",VLOOKUP(B104,country_opex,7,FALSE)/((T104*pax_cap*IF(B104="South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Korea",korea_mid_revleg,revleg_mid)),0))*VLOOKUP(B104,country_opex,3,FALSE))+W104+X104+Y104+Z104+AA104)))</f>
        <v/>
      </c>
      <c r="AX104" s="45">
        <f>IF(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&lt;=0,"",VLOOKUP(B104,country_opex,7,FALSE)/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)</f>
        <v/>
      </c>
      <c r="AY104" s="46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Z104" s="46" t="inlineStr">
        <is>
          <t>UAE-DEMAND-ANCHORS-2026-06-17.json — tier-based addressable pool derived from sourcing wave anchors (hotel keys × occ × shuttle adoption, marina activity, RTA marine baseline).</t>
        </is>
      </c>
      <c r="BA104" s="34" t="inlineStr">
        <is>
          <t>rn-1347ee2ca13f</t>
        </is>
      </c>
    </row>
    <row r="105">
      <c r="A105" s="31" t="inlineStr">
        <is>
          <t>Yango Uae</t>
        </is>
      </c>
      <c r="B105" s="31" t="inlineStr">
        <is>
          <t>United Arab Emirates</t>
        </is>
      </c>
      <c r="C105" s="32" t="inlineStr">
        <is>
          <t>Marina Mall / Breakwater Marina → Lulu Island Jetty</t>
        </is>
      </c>
      <c r="D105" s="33" t="n">
        <v>1.7</v>
      </c>
      <c r="E105" s="27" t="n">
        <v>45</v>
      </c>
      <c r="F105" s="34" t="inlineStr">
        <is>
          <t>T4</t>
        </is>
      </c>
      <c r="G105" s="34" t="inlineStr">
        <is>
          <t>low</t>
        </is>
      </c>
      <c r="H105" s="20" t="n">
        <v>1</v>
      </c>
      <c r="I105" s="35">
        <f>60*D105/cruise_kt</f>
        <v/>
      </c>
      <c r="J105" s="35">
        <f>IF(B105="South Korea",D105/korea_charge_range_nm*korea_full_range_charge_min,0)</f>
        <v/>
      </c>
      <c r="K105" s="35">
        <f>IF(B105="South Korea",I105+korea_turn_min+korea_dwell_min+J105,I105+turn_min+dwell_min)</f>
        <v/>
      </c>
      <c r="L105" s="36">
        <f>IF(B105="South Korea",FLOOR(60*korea_service_hr/K105,1),MIN(24,FLOOR(60*service_hr/K105,1)))</f>
        <v/>
      </c>
      <c r="M105" s="36">
        <f>IF(ABS(MOD(ABS((365*mech_uptime*H105)),1)-0.5)&lt;1E-9,2*ROUND((365*mech_uptime*H105)/2,0),ROUND((365*mech_uptime*H105),0))</f>
        <v/>
      </c>
      <c r="N105" s="37">
        <f>mech_uptime</f>
        <v/>
      </c>
      <c r="O105" s="37">
        <f>IF(AND(B105="South Korea",scenario="MID"),korea_mid_revleg,revleg_sel)</f>
        <v/>
      </c>
      <c r="P105" s="36">
        <f>IF(ABS(MOD(ABS((L105*M105*O105)),1)-0.5)&lt;1E-9,2*ROUND((L105*M105*O105)/2,0),ROUND((L105*M105*O105),0))</f>
        <v/>
      </c>
      <c r="Q105" s="37">
        <f>IF(AND(B105="South Korea",scenario="MID"),korea_mid_load,load_sel)</f>
        <v/>
      </c>
      <c r="R105" s="38">
        <f>pax_cap*Q105</f>
        <v/>
      </c>
      <c r="S105" s="36">
        <f>R105*P105</f>
        <v/>
      </c>
      <c r="T105" s="39">
        <f>E105*discount</f>
        <v/>
      </c>
      <c r="U105" s="40">
        <f>T105*S105</f>
        <v/>
      </c>
      <c r="V105" s="40">
        <f>(battery/range_nm)*D105*P105*VLOOKUP(B105,country_opex,3,FALSE)</f>
        <v/>
      </c>
      <c r="W105" s="40">
        <f>VLOOKUP(B105,country_opex,2,FALSE)*crew_factor</f>
        <v/>
      </c>
      <c r="X105" s="40">
        <f>VLOOKUP(B105,country_opex,5,FALSE)</f>
        <v/>
      </c>
      <c r="Y105" s="40">
        <f>maint</f>
        <v/>
      </c>
      <c r="Z105" s="40">
        <f>VLOOKUP(B105,country_opex,7,FALSE)*ins_pct</f>
        <v/>
      </c>
      <c r="AA105" s="40">
        <f>charge_berth</f>
        <v/>
      </c>
      <c r="AB105" s="40">
        <f>V105+W105+X105+Y105+Z105+AA105</f>
        <v/>
      </c>
      <c r="AC105" s="40">
        <f>VLOOKUP(B105,country_opex,7,FALSE)/dep_years</f>
        <v/>
      </c>
      <c r="AD105" s="40">
        <f>U105-AB105</f>
        <v/>
      </c>
      <c r="AE105" s="37">
        <f>IF(U105=0,"",AD105/U105)</f>
        <v/>
      </c>
      <c r="AF105" s="38">
        <f>IF(AD105&lt;=0,"",VLOOKUP(B105,country_opex,7,FALSE)/AD105)</f>
        <v/>
      </c>
      <c r="AG105" s="35">
        <f>((D105*P105/diesel_nmpg)*diesel_co2pg-(battery/range_nm)*D105*P105*VLOOKUP(B105,country_opex,4,FALSE))/1000</f>
        <v/>
      </c>
      <c r="AH105" s="33" t="n">
        <v>20000</v>
      </c>
      <c r="AI105" s="34" t="inlineStr">
        <is>
          <t>T5</t>
        </is>
      </c>
      <c r="AJ105" s="34" t="inlineStr">
        <is>
          <t>low</t>
        </is>
      </c>
      <c r="AK105" s="41" t="n">
        <v>0.1</v>
      </c>
      <c r="AL105" s="36">
        <f>IF(AH105="","",AH105*AK105)</f>
        <v/>
      </c>
      <c r="AM105" s="36">
        <f>IF(OR(AH105="",S105=0),"",MIN(IF(AU105="",9.9E+99,AU105),FLOOR(AL105/S105,1)))</f>
        <v/>
      </c>
      <c r="AN105" s="40">
        <f>IF(AM105="","",AM105*IF(ABS(MOD(ABS((U105)),1)-0.5)&lt;1E-9,2*ROUND((U105)/2,0),ROUND((U105),0)))</f>
        <v/>
      </c>
      <c r="AO105" s="38">
        <f>IF(OR(AH105="",S105=0),"",MIN(IF(AU105="",9.9E+99,AU105),AL105/S105))</f>
        <v/>
      </c>
      <c r="AP105" s="40">
        <f>IF(AO105="","",AO105*IF(B105="South Korea",IF(ABS(MOD(ABS((U105)),1)-0.5)&lt;1E-9,2*ROUND((U105)/2,0),ROUND((U105),0)),U105))</f>
        <v/>
      </c>
      <c r="AQ105" s="42" t="n"/>
      <c r="AR105" s="34" t="inlineStr">
        <is>
          <t>Estimated</t>
        </is>
      </c>
      <c r="AS105" s="43" t="n"/>
      <c r="AT105" s="43" t="n"/>
      <c r="AU105" s="44" t="n"/>
      <c r="AV105" s="45">
        <f>IF(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&lt;=0,"",VLOOKUP(B105,country_opex,7,FALSE)/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)</f>
        <v/>
      </c>
      <c r="AW105" s="45">
        <f>IF(((T105*pax_cap*IF(B105="South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Korea",korea_mid_revleg,revleg_mid)),0))*VLOOKUP(B105,country_opex,3,FALSE))+W105+X105+Y105+Z105+AA105))&lt;=0,"",VLOOKUP(B105,country_opex,7,FALSE)/((T105*pax_cap*IF(B105="South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Korea",korea_mid_revleg,revleg_mid)),0))*VLOOKUP(B105,country_opex,3,FALSE))+W105+X105+Y105+Z105+AA105)))</f>
        <v/>
      </c>
      <c r="AX105" s="45">
        <f>IF(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&lt;=0,"",VLOOKUP(B105,country_opex,7,FALSE)/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)</f>
        <v/>
      </c>
      <c r="AY105" s="46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Z105" s="46" t="inlineStr">
        <is>
          <t>Lulu boat-only (R3-EXCEPTION) but undeveloped/limited-access -&gt; small day-visit pool.</t>
        </is>
      </c>
      <c r="BA105" s="34" t="inlineStr">
        <is>
          <t>rn-4d0113ef1fd5</t>
        </is>
      </c>
    </row>
    <row r="106">
      <c r="A106" s="31" t="inlineStr">
        <is>
          <t>Yango Uae</t>
        </is>
      </c>
      <c r="B106" s="31" t="inlineStr">
        <is>
          <t>United Arab Emirates</t>
        </is>
      </c>
      <c r="C106" s="32" t="inlineStr">
        <is>
          <t>Dubai Harbour Marina → Palm Jumeirah Marina West</t>
        </is>
      </c>
      <c r="D106" s="33" t="n">
        <v>2.1</v>
      </c>
      <c r="E106" s="27" t="n">
        <v>48</v>
      </c>
      <c r="F106" s="34" t="inlineStr">
        <is>
          <t>T1</t>
        </is>
      </c>
      <c r="G106" s="34" t="inlineStr">
        <is>
          <t>high</t>
        </is>
      </c>
      <c r="H106" s="20" t="n">
        <v>1</v>
      </c>
      <c r="I106" s="35">
        <f>60*D106/cruise_kt</f>
        <v/>
      </c>
      <c r="J106" s="35">
        <f>IF(B106="South Korea",D106/korea_charge_range_nm*korea_full_range_charge_min,0)</f>
        <v/>
      </c>
      <c r="K106" s="35">
        <f>IF(B106="South Korea",I106+korea_turn_min+korea_dwell_min+J106,I106+turn_min+dwell_min)</f>
        <v/>
      </c>
      <c r="L106" s="36">
        <f>IF(B106="South Korea",FLOOR(60*korea_service_hr/K106,1),MIN(24,FLOOR(60*service_hr/K106,1)))</f>
        <v/>
      </c>
      <c r="M106" s="36">
        <f>IF(ABS(MOD(ABS((365*mech_uptime*H106)),1)-0.5)&lt;1E-9,2*ROUND((365*mech_uptime*H106)/2,0),ROUND((365*mech_uptime*H106),0))</f>
        <v/>
      </c>
      <c r="N106" s="37">
        <f>mech_uptime</f>
        <v/>
      </c>
      <c r="O106" s="37">
        <f>IF(AND(B106="South Korea",scenario="MID"),korea_mid_revleg,revleg_sel)</f>
        <v/>
      </c>
      <c r="P106" s="36">
        <f>IF(ABS(MOD(ABS((L106*M106*O106)),1)-0.5)&lt;1E-9,2*ROUND((L106*M106*O106)/2,0),ROUND((L106*M106*O106),0))</f>
        <v/>
      </c>
      <c r="Q106" s="37">
        <f>IF(AND(B106="South Korea",scenario="MID"),korea_mid_load,load_sel)</f>
        <v/>
      </c>
      <c r="R106" s="38">
        <f>pax_cap*Q106</f>
        <v/>
      </c>
      <c r="S106" s="36">
        <f>R106*P106</f>
        <v/>
      </c>
      <c r="T106" s="39">
        <f>E106*discount</f>
        <v/>
      </c>
      <c r="U106" s="40">
        <f>T106*S106</f>
        <v/>
      </c>
      <c r="V106" s="40">
        <f>(battery/range_nm)*D106*P106*VLOOKUP(B106,country_opex,3,FALSE)</f>
        <v/>
      </c>
      <c r="W106" s="40">
        <f>VLOOKUP(B106,country_opex,2,FALSE)*crew_factor</f>
        <v/>
      </c>
      <c r="X106" s="40">
        <f>VLOOKUP(B106,country_opex,5,FALSE)</f>
        <v/>
      </c>
      <c r="Y106" s="40">
        <f>maint</f>
        <v/>
      </c>
      <c r="Z106" s="40">
        <f>VLOOKUP(B106,country_opex,7,FALSE)*ins_pct</f>
        <v/>
      </c>
      <c r="AA106" s="40">
        <f>charge_berth</f>
        <v/>
      </c>
      <c r="AB106" s="40">
        <f>V106+W106+X106+Y106+Z106+AA106</f>
        <v/>
      </c>
      <c r="AC106" s="40">
        <f>VLOOKUP(B106,country_opex,7,FALSE)/dep_years</f>
        <v/>
      </c>
      <c r="AD106" s="40">
        <f>U106-AB106</f>
        <v/>
      </c>
      <c r="AE106" s="37">
        <f>IF(U106=0,"",AD106/U106)</f>
        <v/>
      </c>
      <c r="AF106" s="38">
        <f>IF(AD106&lt;=0,"",VLOOKUP(B106,country_opex,7,FALSE)/AD106)</f>
        <v/>
      </c>
      <c r="AG106" s="35">
        <f>((D106*P106/diesel_nmpg)*diesel_co2pg-(battery/range_nm)*D106*P106*VLOOKUP(B106,country_opex,4,FALSE))/1000</f>
        <v/>
      </c>
      <c r="AH106" s="33" t="n">
        <v>35000</v>
      </c>
      <c r="AI106" s="34" t="inlineStr">
        <is>
          <t>T3</t>
        </is>
      </c>
      <c r="AJ106" s="34" t="inlineStr">
        <is>
          <t>low</t>
        </is>
      </c>
      <c r="AK106" s="41" t="n">
        <v>0.1</v>
      </c>
      <c r="AL106" s="36">
        <f>IF(AH106="","",AH106*AK106)</f>
        <v/>
      </c>
      <c r="AM106" s="36">
        <f>IF(OR(AH106="",S106=0),"",MIN(IF(AU106="",9.9E+99,AU106),FLOOR(AL106/S106,1)))</f>
        <v/>
      </c>
      <c r="AN106" s="40">
        <f>IF(AM106="","",AM106*IF(ABS(MOD(ABS((U106)),1)-0.5)&lt;1E-9,2*ROUND((U106)/2,0),ROUND((U106),0)))</f>
        <v/>
      </c>
      <c r="AO106" s="38">
        <f>IF(OR(AH106="",S106=0),"",MIN(IF(AU106="",9.9E+99,AU106),AL106/S106))</f>
        <v/>
      </c>
      <c r="AP106" s="40">
        <f>IF(AO106="","",AO106*IF(B106="South Korea",IF(ABS(MOD(ABS((U106)),1)-0.5)&lt;1E-9,2*ROUND((U106)/2,0),ROUND((U106),0)),U106))</f>
        <v/>
      </c>
      <c r="AQ106" s="42" t="n"/>
      <c r="AR106" s="34" t="inlineStr">
        <is>
          <t>Estimated</t>
        </is>
      </c>
      <c r="AS106" s="43" t="n"/>
      <c r="AT106" s="43" t="n"/>
      <c r="AU106" s="44" t="n"/>
      <c r="AV106" s="45">
        <f>IF(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&lt;=0,"",VLOOKUP(B106,country_opex,7,FALSE)/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)</f>
        <v/>
      </c>
      <c r="AW106" s="45">
        <f>IF(((T106*pax_cap*IF(B106="South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Korea",korea_mid_revleg,revleg_mid)),0))*VLOOKUP(B106,country_opex,3,FALSE))+W106+X106+Y106+Z106+AA106))&lt;=0,"",VLOOKUP(B106,country_opex,7,FALSE)/((T106*pax_cap*IF(B106="South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Korea",korea_mid_revleg,revleg_mid)),0))*VLOOKUP(B106,country_opex,3,FALSE))+W106+X106+Y106+Z106+AA106)))</f>
        <v/>
      </c>
      <c r="AX106" s="45">
        <f>IF(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&lt;=0,"",VLOOKUP(B106,country_opex,7,FALSE)/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)</f>
        <v/>
      </c>
      <c r="AY106" s="46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Z106" s="46" t="inlineStr">
        <is>
          <t>UAE-DEMAND-ANCHORS-2026-06-17.json — tier-based addressable pool derived from sourcing wave anchors (hotel keys × occ × shuttle adoption, marina activity, RTA marine baseline).</t>
        </is>
      </c>
      <c r="BA106" s="34" t="inlineStr">
        <is>
          <t>rn-42aa1791bb60</t>
        </is>
      </c>
    </row>
    <row r="107">
      <c r="A107" s="31" t="inlineStr">
        <is>
          <t>Yango Uae</t>
        </is>
      </c>
      <c r="B107" s="31" t="inlineStr">
        <is>
          <t>United Arab Emirates</t>
        </is>
      </c>
      <c r="C107" s="32" t="inlineStr">
        <is>
          <t>Al Bateen Marina → Emirates Palace Marina</t>
        </is>
      </c>
      <c r="D107" s="33" t="n">
        <v>2.2</v>
      </c>
      <c r="E107" s="27" t="n">
        <v>150</v>
      </c>
      <c r="F107" s="34" t="inlineStr">
        <is>
          <t>T5</t>
        </is>
      </c>
      <c r="G107" s="34" t="inlineStr">
        <is>
          <t>low</t>
        </is>
      </c>
      <c r="H107" s="20" t="n">
        <v>1</v>
      </c>
      <c r="I107" s="35">
        <f>60*D107/cruise_kt</f>
        <v/>
      </c>
      <c r="J107" s="35">
        <f>IF(B107="South Korea",D107/korea_charge_range_nm*korea_full_range_charge_min,0)</f>
        <v/>
      </c>
      <c r="K107" s="35">
        <f>IF(B107="South Korea",I107+korea_turn_min+korea_dwell_min+J107,I107+turn_min+dwell_min)</f>
        <v/>
      </c>
      <c r="L107" s="36">
        <f>IF(B107="South Korea",FLOOR(60*korea_service_hr/K107,1),MIN(24,FLOOR(60*service_hr/K107,1)))</f>
        <v/>
      </c>
      <c r="M107" s="36">
        <f>IF(ABS(MOD(ABS((365*mech_uptime*H107)),1)-0.5)&lt;1E-9,2*ROUND((365*mech_uptime*H107)/2,0),ROUND((365*mech_uptime*H107),0))</f>
        <v/>
      </c>
      <c r="N107" s="37">
        <f>mech_uptime</f>
        <v/>
      </c>
      <c r="O107" s="37">
        <f>IF(AND(B107="South Korea",scenario="MID"),korea_mid_revleg,revleg_sel)</f>
        <v/>
      </c>
      <c r="P107" s="36">
        <f>IF(ABS(MOD(ABS((L107*M107*O107)),1)-0.5)&lt;1E-9,2*ROUND((L107*M107*O107)/2,0),ROUND((L107*M107*O107),0))</f>
        <v/>
      </c>
      <c r="Q107" s="37">
        <f>IF(AND(B107="South Korea",scenario="MID"),korea_mid_load,load_sel)</f>
        <v/>
      </c>
      <c r="R107" s="38">
        <f>pax_cap*Q107</f>
        <v/>
      </c>
      <c r="S107" s="36">
        <f>R107*P107</f>
        <v/>
      </c>
      <c r="T107" s="39">
        <f>E107*discount</f>
        <v/>
      </c>
      <c r="U107" s="40">
        <f>T107*S107</f>
        <v/>
      </c>
      <c r="V107" s="40">
        <f>(battery/range_nm)*D107*P107*VLOOKUP(B107,country_opex,3,FALSE)</f>
        <v/>
      </c>
      <c r="W107" s="40">
        <f>VLOOKUP(B107,country_opex,2,FALSE)*crew_factor</f>
        <v/>
      </c>
      <c r="X107" s="40">
        <f>VLOOKUP(B107,country_opex,5,FALSE)</f>
        <v/>
      </c>
      <c r="Y107" s="40">
        <f>maint</f>
        <v/>
      </c>
      <c r="Z107" s="40">
        <f>VLOOKUP(B107,country_opex,7,FALSE)*ins_pct</f>
        <v/>
      </c>
      <c r="AA107" s="40">
        <f>charge_berth</f>
        <v/>
      </c>
      <c r="AB107" s="40">
        <f>V107+W107+X107+Y107+Z107+AA107</f>
        <v/>
      </c>
      <c r="AC107" s="40">
        <f>VLOOKUP(B107,country_opex,7,FALSE)/dep_years</f>
        <v/>
      </c>
      <c r="AD107" s="40">
        <f>U107-AB107</f>
        <v/>
      </c>
      <c r="AE107" s="37">
        <f>IF(U107=0,"",AD107/U107)</f>
        <v/>
      </c>
      <c r="AF107" s="38">
        <f>IF(AD107&lt;=0,"",VLOOKUP(B107,country_opex,7,FALSE)/AD107)</f>
        <v/>
      </c>
      <c r="AG107" s="35">
        <f>((D107*P107/diesel_nmpg)*diesel_co2pg-(battery/range_nm)*D107*P107*VLOOKUP(B107,country_opex,4,FALSE))/1000</f>
        <v/>
      </c>
      <c r="AH107" s="33" t="n">
        <v>20000</v>
      </c>
      <c r="AI107" s="34" t="inlineStr">
        <is>
          <t>T3</t>
        </is>
      </c>
      <c r="AJ107" s="34" t="inlineStr">
        <is>
          <t>low</t>
        </is>
      </c>
      <c r="AK107" s="41" t="n">
        <v>0.1</v>
      </c>
      <c r="AL107" s="36">
        <f>IF(AH107="","",AH107*AK107)</f>
        <v/>
      </c>
      <c r="AM107" s="36">
        <f>IF(OR(AH107="",S107=0),"",MIN(IF(AU107="",9.9E+99,AU107),FLOOR(AL107/S107,1)))</f>
        <v/>
      </c>
      <c r="AN107" s="40">
        <f>IF(AM107="","",AM107*IF(ABS(MOD(ABS((U107)),1)-0.5)&lt;1E-9,2*ROUND((U107)/2,0),ROUND((U107),0)))</f>
        <v/>
      </c>
      <c r="AO107" s="38">
        <f>IF(OR(AH107="",S107=0),"",MIN(IF(AU107="",9.9E+99,AU107),AL107/S107))</f>
        <v/>
      </c>
      <c r="AP107" s="40">
        <f>IF(AO107="","",AO107*IF(B107="South Korea",IF(ABS(MOD(ABS((U107)),1)-0.5)&lt;1E-9,2*ROUND((U107)/2,0),ROUND((U107),0)),U107))</f>
        <v/>
      </c>
      <c r="AQ107" s="42" t="n"/>
      <c r="AR107" s="34" t="inlineStr">
        <is>
          <t>Estimated</t>
        </is>
      </c>
      <c r="AS107" s="43" t="n"/>
      <c r="AT107" s="43" t="n"/>
      <c r="AU107" s="44" t="n"/>
      <c r="AV107" s="45">
        <f>IF(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&lt;=0,"",VLOOKUP(B107,country_opex,7,FALSE)/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)</f>
        <v/>
      </c>
      <c r="AW107" s="45">
        <f>IF(((T107*pax_cap*IF(B107="South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Korea",korea_mid_revleg,revleg_mid)),0))*VLOOKUP(B107,country_opex,3,FALSE))+W107+X107+Y107+Z107+AA107))&lt;=0,"",VLOOKUP(B107,country_opex,7,FALSE)/((T107*pax_cap*IF(B107="South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Korea",korea_mid_revleg,revleg_mid)),0))*VLOOKUP(B107,country_opex,3,FALSE))+W107+X107+Y107+Z107+AA107)))</f>
        <v/>
      </c>
      <c r="AX107" s="45">
        <f>IF(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&lt;=0,"",VLOOKUP(B107,country_opex,7,FALSE)/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)</f>
        <v/>
      </c>
      <c r="AY107" s="46" t="inlineStr">
        <is>
          <t>Emirates Palace (flagship AD luxury hotel) marina arrival; road-served; opportunity-to-create. T5/low.</t>
        </is>
      </c>
      <c r="AZ107" s="46" t="inlineStr">
        <is>
          <t>UAE-DEMAND-ANCHORS-2026-06-17.json — tier-based addressable pool derived from sourcing wave anchors (hotel keys × occ × shuttle adoption, marina activity, RTA marine baseline).</t>
        </is>
      </c>
      <c r="BA107" s="34" t="inlineStr">
        <is>
          <t>rn-afe7eee97714</t>
        </is>
      </c>
    </row>
    <row r="108">
      <c r="A108" s="31" t="inlineStr">
        <is>
          <t>Yango Uae</t>
        </is>
      </c>
      <c r="B108" s="31" t="inlineStr">
        <is>
          <t>United Arab Emirates</t>
        </is>
      </c>
      <c r="C108" s="32" t="inlineStr">
        <is>
          <t>Côte d'Azur Resort Marina (Heart of Europe) → Anantara World Islands Resort Jetty (planned)</t>
        </is>
      </c>
      <c r="D108" s="33" t="n">
        <v>2.4</v>
      </c>
      <c r="E108" s="27" t="n">
        <v>150</v>
      </c>
      <c r="F108" s="34" t="inlineStr">
        <is>
          <t>T5</t>
        </is>
      </c>
      <c r="G108" s="34" t="inlineStr">
        <is>
          <t>low</t>
        </is>
      </c>
      <c r="H108" s="20" t="n">
        <v>1</v>
      </c>
      <c r="I108" s="35">
        <f>60*D108/cruise_kt</f>
        <v/>
      </c>
      <c r="J108" s="35">
        <f>IF(B108="South Korea",D108/korea_charge_range_nm*korea_full_range_charge_min,0)</f>
        <v/>
      </c>
      <c r="K108" s="35">
        <f>IF(B108="South Korea",I108+korea_turn_min+korea_dwell_min+J108,I108+turn_min+dwell_min)</f>
        <v/>
      </c>
      <c r="L108" s="36">
        <f>IF(B108="South Korea",FLOOR(60*korea_service_hr/K108,1),MIN(24,FLOOR(60*service_hr/K108,1)))</f>
        <v/>
      </c>
      <c r="M108" s="36">
        <f>IF(ABS(MOD(ABS((365*mech_uptime*H108)),1)-0.5)&lt;1E-9,2*ROUND((365*mech_uptime*H108)/2,0),ROUND((365*mech_uptime*H108),0))</f>
        <v/>
      </c>
      <c r="N108" s="37">
        <f>mech_uptime</f>
        <v/>
      </c>
      <c r="O108" s="37">
        <f>IF(AND(B108="South Korea",scenario="MID"),korea_mid_revleg,revleg_sel)</f>
        <v/>
      </c>
      <c r="P108" s="36">
        <f>IF(ABS(MOD(ABS((L108*M108*O108)),1)-0.5)&lt;1E-9,2*ROUND((L108*M108*O108)/2,0),ROUND((L108*M108*O108),0))</f>
        <v/>
      </c>
      <c r="Q108" s="37">
        <f>IF(AND(B108="South Korea",scenario="MID"),korea_mid_load,load_sel)</f>
        <v/>
      </c>
      <c r="R108" s="38">
        <f>pax_cap*Q108</f>
        <v/>
      </c>
      <c r="S108" s="36">
        <f>R108*P108</f>
        <v/>
      </c>
      <c r="T108" s="39">
        <f>E108*discount</f>
        <v/>
      </c>
      <c r="U108" s="40">
        <f>T108*S108</f>
        <v/>
      </c>
      <c r="V108" s="40">
        <f>(battery/range_nm)*D108*P108*VLOOKUP(B108,country_opex,3,FALSE)</f>
        <v/>
      </c>
      <c r="W108" s="40">
        <f>VLOOKUP(B108,country_opex,2,FALSE)*crew_factor</f>
        <v/>
      </c>
      <c r="X108" s="40">
        <f>VLOOKUP(B108,country_opex,5,FALSE)</f>
        <v/>
      </c>
      <c r="Y108" s="40">
        <f>maint</f>
        <v/>
      </c>
      <c r="Z108" s="40">
        <f>VLOOKUP(B108,country_opex,7,FALSE)*ins_pct</f>
        <v/>
      </c>
      <c r="AA108" s="40">
        <f>charge_berth</f>
        <v/>
      </c>
      <c r="AB108" s="40">
        <f>V108+W108+X108+Y108+Z108+AA108</f>
        <v/>
      </c>
      <c r="AC108" s="40">
        <f>VLOOKUP(B108,country_opex,7,FALSE)/dep_years</f>
        <v/>
      </c>
      <c r="AD108" s="40">
        <f>U108-AB108</f>
        <v/>
      </c>
      <c r="AE108" s="37">
        <f>IF(U108=0,"",AD108/U108)</f>
        <v/>
      </c>
      <c r="AF108" s="38">
        <f>IF(AD108&lt;=0,"",VLOOKUP(B108,country_opex,7,FALSE)/AD108)</f>
        <v/>
      </c>
      <c r="AG108" s="35">
        <f>((D108*P108/diesel_nmpg)*diesel_co2pg-(battery/range_nm)*D108*P108*VLOOKUP(B108,country_opex,4,FALSE))/1000</f>
        <v/>
      </c>
      <c r="AH108" s="33" t="n">
        <v>25000</v>
      </c>
      <c r="AI108" s="34" t="inlineStr">
        <is>
          <t>T3</t>
        </is>
      </c>
      <c r="AJ108" s="34" t="inlineStr">
        <is>
          <t>low</t>
        </is>
      </c>
      <c r="AK108" s="41" t="n">
        <v>0.1</v>
      </c>
      <c r="AL108" s="36">
        <f>IF(AH108="","",AH108*AK108)</f>
        <v/>
      </c>
      <c r="AM108" s="36">
        <f>IF(OR(AH108="",S108=0),"",MIN(IF(AU108="",9.9E+99,AU108),FLOOR(AL108/S108,1)))</f>
        <v/>
      </c>
      <c r="AN108" s="40">
        <f>IF(AM108="","",AM108*IF(ABS(MOD(ABS((U108)),1)-0.5)&lt;1E-9,2*ROUND((U108)/2,0),ROUND((U108),0)))</f>
        <v/>
      </c>
      <c r="AO108" s="38">
        <f>IF(OR(AH108="",S108=0),"",MIN(IF(AU108="",9.9E+99,AU108),AL108/S108))</f>
        <v/>
      </c>
      <c r="AP108" s="40">
        <f>IF(AO108="","",AO108*IF(B108="South Korea",IF(ABS(MOD(ABS((U108)),1)-0.5)&lt;1E-9,2*ROUND((U108)/2,0),ROUND((U108),0)),U108))</f>
        <v/>
      </c>
      <c r="AQ108" s="42" t="n"/>
      <c r="AR108" s="34" t="inlineStr">
        <is>
          <t>Estimated</t>
        </is>
      </c>
      <c r="AS108" s="43" t="n"/>
      <c r="AT108" s="43" t="n"/>
      <c r="AU108" s="44" t="n"/>
      <c r="AV108" s="45">
        <f>IF(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&lt;=0,"",VLOOKUP(B108,country_opex,7,FALSE)/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)</f>
        <v/>
      </c>
      <c r="AW108" s="45">
        <f>IF(((T108*pax_cap*IF(B108="South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Korea",korea_mid_revleg,revleg_mid)),0))*VLOOKUP(B108,country_opex,3,FALSE))+W108+X108+Y108+Z108+AA108))&lt;=0,"",VLOOKUP(B108,country_opex,7,FALSE)/((T108*pax_cap*IF(B108="South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Korea",korea_mid_revleg,revleg_mid)),0))*VLOOKUP(B108,country_opex,3,FALSE))+W108+X108+Y108+Z108+AA108)))</f>
        <v/>
      </c>
      <c r="AX108" s="45">
        <f>IF(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&lt;=0,"",VLOOKUP(B108,country_opex,7,FALSE)/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)</f>
        <v/>
      </c>
      <c r="AY108" s="46" t="inlineStr">
        <is>
          <t>Intra-The-World offshore hop; both boat-only. Greenfield premium per-seat. T5/low.</t>
        </is>
      </c>
      <c r="AZ108" s="46" t="inlineStr">
        <is>
          <t>UAE-DEMAND-ANCHORS-2026-06-17.json — tier-based addressable pool derived from sourcing wave anchors (hotel keys × occ × shuttle adoption, marina activity, RTA marine baseline).</t>
        </is>
      </c>
      <c r="BA108" s="34" t="inlineStr">
        <is>
          <t>rn-af9d261fd724</t>
        </is>
      </c>
    </row>
    <row r="109">
      <c r="A109" s="31" t="inlineStr">
        <is>
          <t>Yango Uae</t>
        </is>
      </c>
      <c r="B109" s="31" t="inlineStr">
        <is>
          <t>United Arab Emirates</t>
        </is>
      </c>
      <c r="C109" s="32" t="inlineStr">
        <is>
          <t>Bulgari Yacht Club &amp; Marina → La Mer / J1 Beach Jetty</t>
        </is>
      </c>
      <c r="D109" s="33" t="n">
        <v>2.6</v>
      </c>
      <c r="E109" s="27" t="n">
        <v>120</v>
      </c>
      <c r="F109" s="34" t="inlineStr">
        <is>
          <t>T5</t>
        </is>
      </c>
      <c r="G109" s="34" t="inlineStr">
        <is>
          <t>low</t>
        </is>
      </c>
      <c r="H109" s="20" t="n">
        <v>1</v>
      </c>
      <c r="I109" s="35">
        <f>60*D109/cruise_kt</f>
        <v/>
      </c>
      <c r="J109" s="35">
        <f>IF(B109="South Korea",D109/korea_charge_range_nm*korea_full_range_charge_min,0)</f>
        <v/>
      </c>
      <c r="K109" s="35">
        <f>IF(B109="South Korea",I109+korea_turn_min+korea_dwell_min+J109,I109+turn_min+dwell_min)</f>
        <v/>
      </c>
      <c r="L109" s="36">
        <f>IF(B109="South Korea",FLOOR(60*korea_service_hr/K109,1),MIN(24,FLOOR(60*service_hr/K109,1)))</f>
        <v/>
      </c>
      <c r="M109" s="36">
        <f>IF(ABS(MOD(ABS((365*mech_uptime*H109)),1)-0.5)&lt;1E-9,2*ROUND((365*mech_uptime*H109)/2,0),ROUND((365*mech_uptime*H109),0))</f>
        <v/>
      </c>
      <c r="N109" s="37">
        <f>mech_uptime</f>
        <v/>
      </c>
      <c r="O109" s="37">
        <f>IF(AND(B109="South Korea",scenario="MID"),korea_mid_revleg,revleg_sel)</f>
        <v/>
      </c>
      <c r="P109" s="36">
        <f>IF(ABS(MOD(ABS((L109*M109*O109)),1)-0.5)&lt;1E-9,2*ROUND((L109*M109*O109)/2,0),ROUND((L109*M109*O109),0))</f>
        <v/>
      </c>
      <c r="Q109" s="37">
        <f>IF(AND(B109="South Korea",scenario="MID"),korea_mid_load,load_sel)</f>
        <v/>
      </c>
      <c r="R109" s="38">
        <f>pax_cap*Q109</f>
        <v/>
      </c>
      <c r="S109" s="36">
        <f>R109*P109</f>
        <v/>
      </c>
      <c r="T109" s="39">
        <f>E109*discount</f>
        <v/>
      </c>
      <c r="U109" s="40">
        <f>T109*S109</f>
        <v/>
      </c>
      <c r="V109" s="40">
        <f>(battery/range_nm)*D109*P109*VLOOKUP(B109,country_opex,3,FALSE)</f>
        <v/>
      </c>
      <c r="W109" s="40">
        <f>VLOOKUP(B109,country_opex,2,FALSE)*crew_factor</f>
        <v/>
      </c>
      <c r="X109" s="40">
        <f>VLOOKUP(B109,country_opex,5,FALSE)</f>
        <v/>
      </c>
      <c r="Y109" s="40">
        <f>maint</f>
        <v/>
      </c>
      <c r="Z109" s="40">
        <f>VLOOKUP(B109,country_opex,7,FALSE)*ins_pct</f>
        <v/>
      </c>
      <c r="AA109" s="40">
        <f>charge_berth</f>
        <v/>
      </c>
      <c r="AB109" s="40">
        <f>V109+W109+X109+Y109+Z109+AA109</f>
        <v/>
      </c>
      <c r="AC109" s="40">
        <f>VLOOKUP(B109,country_opex,7,FALSE)/dep_years</f>
        <v/>
      </c>
      <c r="AD109" s="40">
        <f>U109-AB109</f>
        <v/>
      </c>
      <c r="AE109" s="37">
        <f>IF(U109=0,"",AD109/U109)</f>
        <v/>
      </c>
      <c r="AF109" s="38">
        <f>IF(AD109&lt;=0,"",VLOOKUP(B109,country_opex,7,FALSE)/AD109)</f>
        <v/>
      </c>
      <c r="AG109" s="35">
        <f>((D109*P109/diesel_nmpg)*diesel_co2pg-(battery/range_nm)*D109*P109*VLOOKUP(B109,country_opex,4,FALSE))/1000</f>
        <v/>
      </c>
      <c r="AH109" s="33" t="n">
        <v>30000</v>
      </c>
      <c r="AI109" s="34" t="inlineStr">
        <is>
          <t>T3</t>
        </is>
      </c>
      <c r="AJ109" s="34" t="inlineStr">
        <is>
          <t>low</t>
        </is>
      </c>
      <c r="AK109" s="41" t="n">
        <v>0.1</v>
      </c>
      <c r="AL109" s="36">
        <f>IF(AH109="","",AH109*AK109)</f>
        <v/>
      </c>
      <c r="AM109" s="36">
        <f>IF(OR(AH109="",S109=0),"",MIN(IF(AU109="",9.9E+99,AU109),FLOOR(AL109/S109,1)))</f>
        <v/>
      </c>
      <c r="AN109" s="40">
        <f>IF(AM109="","",AM109*IF(ABS(MOD(ABS((U109)),1)-0.5)&lt;1E-9,2*ROUND((U109)/2,0),ROUND((U109),0)))</f>
        <v/>
      </c>
      <c r="AO109" s="38">
        <f>IF(OR(AH109="",S109=0),"",MIN(IF(AU109="",9.9E+99,AU109),AL109/S109))</f>
        <v/>
      </c>
      <c r="AP109" s="40">
        <f>IF(AO109="","",AO109*IF(B109="South Korea",IF(ABS(MOD(ABS((U109)),1)-0.5)&lt;1E-9,2*ROUND((U109)/2,0),ROUND((U109),0)),U109))</f>
        <v/>
      </c>
      <c r="AQ109" s="42" t="n"/>
      <c r="AR109" s="34" t="inlineStr">
        <is>
          <t>Estimated</t>
        </is>
      </c>
      <c r="AS109" s="43" t="n"/>
      <c r="AT109" s="43" t="n"/>
      <c r="AU109" s="44" t="n"/>
      <c r="AV109" s="45">
        <f>IF(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&lt;=0,"",VLOOKUP(B109,country_opex,7,FALSE)/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)</f>
        <v/>
      </c>
      <c r="AW109" s="45">
        <f>IF(((T109*pax_cap*IF(B109="South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Korea",korea_mid_revleg,revleg_mid)),0))*VLOOKUP(B109,country_opex,3,FALSE))+W109+X109+Y109+Z109+AA109))&lt;=0,"",VLOOKUP(B109,country_opex,7,FALSE)/((T109*pax_cap*IF(B109="South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Korea",korea_mid_revleg,revleg_mid)),0))*VLOOKUP(B109,country_opex,3,FALSE))+W109+X109+Y109+Z109+AA109)))</f>
        <v/>
      </c>
      <c r="AX109" s="45">
        <f>IF(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&lt;=0,"",VLOOKUP(B109,country_opex,7,FALSE)/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)</f>
        <v/>
      </c>
      <c r="AY109" s="46" t="inlineStr">
        <is>
          <t>Urban Dubai beach-club leisure hop (Bulgari Bay&lt;-&gt;La Mer/J1). Road-served. T5/low.</t>
        </is>
      </c>
      <c r="AZ109" s="46" t="inlineStr">
        <is>
          <t>UAE-DEMAND-ANCHORS-2026-06-17.json — tier-based addressable pool derived from sourcing wave anchors (hotel keys × occ × shuttle adoption, marina activity, RTA marine baseline).</t>
        </is>
      </c>
      <c r="BA109" s="34" t="inlineStr">
        <is>
          <t>rn-faac84ea1206</t>
        </is>
      </c>
    </row>
    <row r="110">
      <c r="A110" s="31" t="inlineStr">
        <is>
          <t>Yango Uae</t>
        </is>
      </c>
      <c r="B110" s="31" t="inlineStr">
        <is>
          <t>United Arab Emirates</t>
        </is>
      </c>
      <c r="C110" s="32" t="inlineStr">
        <is>
          <t>Marina Mall / Breakwater Marina → Al Bateen Marina</t>
        </is>
      </c>
      <c r="D110" s="33" t="n">
        <v>2.6</v>
      </c>
      <c r="E110" s="27" t="n">
        <v>45</v>
      </c>
      <c r="F110" s="34" t="inlineStr">
        <is>
          <t>T4</t>
        </is>
      </c>
      <c r="G110" s="34" t="inlineStr">
        <is>
          <t>low</t>
        </is>
      </c>
      <c r="H110" s="20" t="n">
        <v>1</v>
      </c>
      <c r="I110" s="35">
        <f>60*D110/cruise_kt</f>
        <v/>
      </c>
      <c r="J110" s="35">
        <f>IF(B110="South Korea",D110/korea_charge_range_nm*korea_full_range_charge_min,0)</f>
        <v/>
      </c>
      <c r="K110" s="35">
        <f>IF(B110="South Korea",I110+korea_turn_min+korea_dwell_min+J110,I110+turn_min+dwell_min)</f>
        <v/>
      </c>
      <c r="L110" s="36">
        <f>IF(B110="South Korea",FLOOR(60*korea_service_hr/K110,1),MIN(24,FLOOR(60*service_hr/K110,1)))</f>
        <v/>
      </c>
      <c r="M110" s="36">
        <f>IF(ABS(MOD(ABS((365*mech_uptime*H110)),1)-0.5)&lt;1E-9,2*ROUND((365*mech_uptime*H110)/2,0),ROUND((365*mech_uptime*H110),0))</f>
        <v/>
      </c>
      <c r="N110" s="37">
        <f>mech_uptime</f>
        <v/>
      </c>
      <c r="O110" s="37">
        <f>IF(AND(B110="South Korea",scenario="MID"),korea_mid_revleg,revleg_sel)</f>
        <v/>
      </c>
      <c r="P110" s="36">
        <f>IF(ABS(MOD(ABS((L110*M110*O110)),1)-0.5)&lt;1E-9,2*ROUND((L110*M110*O110)/2,0),ROUND((L110*M110*O110),0))</f>
        <v/>
      </c>
      <c r="Q110" s="37">
        <f>IF(AND(B110="South Korea",scenario="MID"),korea_mid_load,load_sel)</f>
        <v/>
      </c>
      <c r="R110" s="38">
        <f>pax_cap*Q110</f>
        <v/>
      </c>
      <c r="S110" s="36">
        <f>R110*P110</f>
        <v/>
      </c>
      <c r="T110" s="39">
        <f>E110*discount</f>
        <v/>
      </c>
      <c r="U110" s="40">
        <f>T110*S110</f>
        <v/>
      </c>
      <c r="V110" s="40">
        <f>(battery/range_nm)*D110*P110*VLOOKUP(B110,country_opex,3,FALSE)</f>
        <v/>
      </c>
      <c r="W110" s="40">
        <f>VLOOKUP(B110,country_opex,2,FALSE)*crew_factor</f>
        <v/>
      </c>
      <c r="X110" s="40">
        <f>VLOOKUP(B110,country_opex,5,FALSE)</f>
        <v/>
      </c>
      <c r="Y110" s="40">
        <f>maint</f>
        <v/>
      </c>
      <c r="Z110" s="40">
        <f>VLOOKUP(B110,country_opex,7,FALSE)*ins_pct</f>
        <v/>
      </c>
      <c r="AA110" s="40">
        <f>charge_berth</f>
        <v/>
      </c>
      <c r="AB110" s="40">
        <f>V110+W110+X110+Y110+Z110+AA110</f>
        <v/>
      </c>
      <c r="AC110" s="40">
        <f>VLOOKUP(B110,country_opex,7,FALSE)/dep_years</f>
        <v/>
      </c>
      <c r="AD110" s="40">
        <f>U110-AB110</f>
        <v/>
      </c>
      <c r="AE110" s="37">
        <f>IF(U110=0,"",AD110/U110)</f>
        <v/>
      </c>
      <c r="AF110" s="38">
        <f>IF(AD110&lt;=0,"",VLOOKUP(B110,country_opex,7,FALSE)/AD110)</f>
        <v/>
      </c>
      <c r="AG110" s="35">
        <f>((D110*P110/diesel_nmpg)*diesel_co2pg-(battery/range_nm)*D110*P110*VLOOKUP(B110,country_opex,4,FALSE))/1000</f>
        <v/>
      </c>
      <c r="AH110" s="33" t="n">
        <v>50000</v>
      </c>
      <c r="AI110" s="34" t="inlineStr">
        <is>
          <t>T3</t>
        </is>
      </c>
      <c r="AJ110" s="34" t="inlineStr">
        <is>
          <t>low</t>
        </is>
      </c>
      <c r="AK110" s="41" t="n">
        <v>0.1</v>
      </c>
      <c r="AL110" s="36">
        <f>IF(AH110="","",AH110*AK110)</f>
        <v/>
      </c>
      <c r="AM110" s="36">
        <f>IF(OR(AH110="",S110=0),"",MIN(IF(AU110="",9.9E+99,AU110),FLOOR(AL110/S110,1)))</f>
        <v/>
      </c>
      <c r="AN110" s="40">
        <f>IF(AM110="","",AM110*IF(ABS(MOD(ABS((U110)),1)-0.5)&lt;1E-9,2*ROUND((U110)/2,0),ROUND((U110),0)))</f>
        <v/>
      </c>
      <c r="AO110" s="38">
        <f>IF(OR(AH110="",S110=0),"",MIN(IF(AU110="",9.9E+99,AU110),AL110/S110))</f>
        <v/>
      </c>
      <c r="AP110" s="40">
        <f>IF(AO110="","",AO110*IF(B110="South Korea",IF(ABS(MOD(ABS((U110)),1)-0.5)&lt;1E-9,2*ROUND((U110)/2,0),ROUND((U110),0)),U110))</f>
        <v/>
      </c>
      <c r="AQ110" s="42" t="n"/>
      <c r="AR110" s="34" t="inlineStr">
        <is>
          <t>Estimated</t>
        </is>
      </c>
      <c r="AS110" s="43" t="n"/>
      <c r="AT110" s="43" t="n"/>
      <c r="AU110" s="44" t="n"/>
      <c r="AV110" s="45">
        <f>IF(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&lt;=0,"",VLOOKUP(B110,country_opex,7,FALSE)/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)</f>
        <v/>
      </c>
      <c r="AW110" s="45">
        <f>IF(((T110*pax_cap*IF(B110="South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Korea",korea_mid_revleg,revleg_mid)),0))*VLOOKUP(B110,country_opex,3,FALSE))+W110+X110+Y110+Z110+AA110))&lt;=0,"",VLOOKUP(B110,country_opex,7,FALSE)/((T110*pax_cap*IF(B110="South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Korea",korea_mid_revleg,revleg_mid)),0))*VLOOKUP(B110,country_opex,3,FALSE))+W110+X110+Y110+Z110+AA110)))</f>
        <v/>
      </c>
      <c r="AX110" s="45">
        <f>IF(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&lt;=0,"",VLOOKUP(B110,country_opex,7,FALSE)/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)</f>
        <v/>
      </c>
      <c r="AY110" s="46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Z110" s="46" t="inlineStr">
        <is>
          <t>UAE-DEMAND-ANCHORS-2026-06-17.json — tier-based addressable pool derived from sourcing wave anchors (hotel keys × occ × shuttle adoption, marina activity, RTA marine baseline).</t>
        </is>
      </c>
      <c r="BA110" s="34" t="inlineStr">
        <is>
          <t>rn-aef40f1a50bb</t>
        </is>
      </c>
    </row>
    <row r="111">
      <c r="A111" s="31" t="inlineStr">
        <is>
          <t>Yango Uae</t>
        </is>
      </c>
      <c r="B111" s="31" t="inlineStr">
        <is>
          <t>United Arab Emirates</t>
        </is>
      </c>
      <c r="C111" s="32" t="inlineStr">
        <is>
          <t>Dubai Harbour Marina → Anantara The Palm Dubai Jetty</t>
        </is>
      </c>
      <c r="D111" s="33" t="n">
        <v>3.4</v>
      </c>
      <c r="E111" s="27" t="n"/>
      <c r="F111" s="34" t="n"/>
      <c r="G111" s="34" t="n"/>
      <c r="H111" s="20" t="n">
        <v>1</v>
      </c>
      <c r="I111" s="35">
        <f>60*D111/cruise_kt</f>
        <v/>
      </c>
      <c r="J111" s="35">
        <f>IF(B111="South Korea",D111/korea_charge_range_nm*korea_full_range_charge_min,0)</f>
        <v/>
      </c>
      <c r="K111" s="35">
        <f>IF(B111="South Korea",I111+korea_turn_min+korea_dwell_min+J111,I111+turn_min+dwell_min)</f>
        <v/>
      </c>
      <c r="L111" s="36">
        <f>IF(B111="South Korea",FLOOR(60*korea_service_hr/K111,1),MIN(15,FLOOR(60*service_hr/K111,1)))</f>
        <v/>
      </c>
      <c r="M111" s="36">
        <f>IF(ABS(MOD(ABS((365*mech_uptime*H111)),1)-0.5)&lt;1E-9,2*ROUND((365*mech_uptime*H111)/2,0),ROUND((365*mech_uptime*H111),0))</f>
        <v/>
      </c>
      <c r="N111" s="37">
        <f>mech_uptime</f>
        <v/>
      </c>
      <c r="O111" s="37">
        <f>IF(AND(B111="South Korea",scenario="MID"),korea_mid_revleg,revleg_sel)</f>
        <v/>
      </c>
      <c r="P111" s="36">
        <f>IF(ABS(MOD(ABS((L111*M111*O111)),1)-0.5)&lt;1E-9,2*ROUND((L111*M111*O111)/2,0),ROUND((L111*M111*O111),0))</f>
        <v/>
      </c>
      <c r="Q111" s="37">
        <f>IF(AND(B111="South Korea",scenario="MID"),korea_mid_load,load_sel)</f>
        <v/>
      </c>
      <c r="R111" s="38">
        <f>pax_cap*Q111</f>
        <v/>
      </c>
      <c r="S111" s="36">
        <f>R111*P111</f>
        <v/>
      </c>
      <c r="T111" s="39">
        <f>E111*discount</f>
        <v/>
      </c>
      <c r="U111" s="40">
        <f>T111*S111</f>
        <v/>
      </c>
      <c r="V111" s="40">
        <f>(battery/range_nm)*D111*P111*VLOOKUP(B111,country_opex,3,FALSE)</f>
        <v/>
      </c>
      <c r="W111" s="40">
        <f>VLOOKUP(B111,country_opex,2,FALSE)*crew_factor</f>
        <v/>
      </c>
      <c r="X111" s="40">
        <f>VLOOKUP(B111,country_opex,5,FALSE)</f>
        <v/>
      </c>
      <c r="Y111" s="40">
        <f>maint</f>
        <v/>
      </c>
      <c r="Z111" s="40">
        <f>VLOOKUP(B111,country_opex,7,FALSE)*ins_pct</f>
        <v/>
      </c>
      <c r="AA111" s="40">
        <f>charge_berth</f>
        <v/>
      </c>
      <c r="AB111" s="40">
        <f>V111+W111+X111+Y111+Z111+AA111</f>
        <v/>
      </c>
      <c r="AC111" s="40">
        <f>VLOOKUP(B111,country_opex,7,FALSE)/dep_years</f>
        <v/>
      </c>
      <c r="AD111" s="40">
        <f>U111-AB111</f>
        <v/>
      </c>
      <c r="AE111" s="37">
        <f>IF(U111=0,"",AD111/U111)</f>
        <v/>
      </c>
      <c r="AF111" s="38">
        <f>IF(AD111&lt;=0,"",VLOOKUP(B111,country_opex,7,FALSE)/AD111)</f>
        <v/>
      </c>
      <c r="AG111" s="35">
        <f>((D111*P111/diesel_nmpg)*diesel_co2pg-(battery/range_nm)*D111*P111*VLOOKUP(B111,country_opex,4,FALSE))/1000</f>
        <v/>
      </c>
      <c r="AH111" s="33" t="n"/>
      <c r="AI111" s="34" t="n"/>
      <c r="AJ111" s="34" t="n"/>
      <c r="AK111" s="41" t="n">
        <v>0.1</v>
      </c>
      <c r="AL111" s="36">
        <f>IF(AH111="","",AH111*AK111)</f>
        <v/>
      </c>
      <c r="AM111" s="36">
        <f>IF(OR(AH111="",S111=0),"",MIN(IF(AU111="",9.9E+99,AU111),FLOOR(AL111/S111,1)))</f>
        <v/>
      </c>
      <c r="AN111" s="40">
        <f>IF(AM111="","",AM111*IF(ABS(MOD(ABS((U111)),1)-0.5)&lt;1E-9,2*ROUND((U111)/2,0),ROUND((U111),0)))</f>
        <v/>
      </c>
      <c r="AO111" s="38">
        <f>IF(OR(AH111="",S111=0),"",MIN(IF(AU111="",9.9E+99,AU111),AL111/S111))</f>
        <v/>
      </c>
      <c r="AP111" s="40">
        <f>IF(AO111="","",AO111*IF(B111="South Korea",IF(ABS(MOD(ABS((U111)),1)-0.5)&lt;1E-9,2*ROUND((U111)/2,0),ROUND((U111),0)),U111))</f>
        <v/>
      </c>
      <c r="AQ111" s="42" t="n"/>
      <c r="AR111" s="34" t="inlineStr">
        <is>
          <t>Estimated</t>
        </is>
      </c>
      <c r="AS111" s="43" t="n"/>
      <c r="AT111" s="43" t="n"/>
      <c r="AU111" s="44" t="n"/>
      <c r="AV111" s="45">
        <f>IF(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&lt;=0,"",VLOOKUP(B111,country_opex,7,FALSE)/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)</f>
        <v/>
      </c>
      <c r="AW111" s="45">
        <f>IF(((T111*pax_cap*IF(B111="South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Korea",korea_mid_revleg,revleg_mid)),0))*VLOOKUP(B111,country_opex,3,FALSE))+W111+X111+Y111+Z111+AA111))&lt;=0,"",VLOOKUP(B111,country_opex,7,FALSE)/((T111*pax_cap*IF(B111="South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Korea",korea_mid_revleg,revleg_mid)),0))*VLOOKUP(B111,country_opex,3,FALSE))+W111+X111+Y111+Z111+AA111)))</f>
        <v/>
      </c>
      <c r="AX111" s="45">
        <f>IF(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&lt;=0,"",VLOOKUP(B111,country_opex,7,FALSE)/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)</f>
        <v/>
      </c>
      <c r="AY111" s="46" t="n"/>
      <c r="AZ111" s="46" t="n"/>
      <c r="BA111" s="34" t="inlineStr">
        <is>
          <t>rn-b0d5e6498ee4</t>
        </is>
      </c>
    </row>
    <row r="112">
      <c r="A112" s="31" t="inlineStr">
        <is>
          <t>Yango Uae</t>
        </is>
      </c>
      <c r="B112" s="31" t="inlineStr">
        <is>
          <t>United Arab Emirates</t>
        </is>
      </c>
      <c r="C112" s="32" t="inlineStr">
        <is>
          <t>Al Bateen Marina → Hudayriat Marina</t>
        </is>
      </c>
      <c r="D112" s="33" t="n">
        <v>3.6</v>
      </c>
      <c r="E112" s="27" t="n">
        <v>90</v>
      </c>
      <c r="F112" s="34" t="inlineStr">
        <is>
          <t>T4</t>
        </is>
      </c>
      <c r="G112" s="34" t="inlineStr">
        <is>
          <t>low</t>
        </is>
      </c>
      <c r="H112" s="20" t="n">
        <v>1</v>
      </c>
      <c r="I112" s="35">
        <f>60*D112/cruise_kt</f>
        <v/>
      </c>
      <c r="J112" s="35">
        <f>IF(B112="South Korea",D112/korea_charge_range_nm*korea_full_range_charge_min,0)</f>
        <v/>
      </c>
      <c r="K112" s="35">
        <f>IF(B112="South Korea",I112+korea_turn_min+korea_dwell_min+J112,I112+turn_min+dwell_min)</f>
        <v/>
      </c>
      <c r="L112" s="36">
        <f>IF(B112="South Korea",FLOOR(60*korea_service_hr/K112,1),MIN(24,FLOOR(60*service_hr/K112,1)))</f>
        <v/>
      </c>
      <c r="M112" s="36">
        <f>IF(ABS(MOD(ABS((365*mech_uptime*H112)),1)-0.5)&lt;1E-9,2*ROUND((365*mech_uptime*H112)/2,0),ROUND((365*mech_uptime*H112),0))</f>
        <v/>
      </c>
      <c r="N112" s="37">
        <f>mech_uptime</f>
        <v/>
      </c>
      <c r="O112" s="37">
        <f>IF(AND(B112="South Korea",scenario="MID"),korea_mid_revleg,revleg_sel)</f>
        <v/>
      </c>
      <c r="P112" s="36">
        <f>IF(ABS(MOD(ABS((L112*M112*O112)),1)-0.5)&lt;1E-9,2*ROUND((L112*M112*O112)/2,0),ROUND((L112*M112*O112),0))</f>
        <v/>
      </c>
      <c r="Q112" s="37">
        <f>IF(AND(B112="South Korea",scenario="MID"),korea_mid_load,load_sel)</f>
        <v/>
      </c>
      <c r="R112" s="38">
        <f>pax_cap*Q112</f>
        <v/>
      </c>
      <c r="S112" s="36">
        <f>R112*P112</f>
        <v/>
      </c>
      <c r="T112" s="39">
        <f>E112*discount</f>
        <v/>
      </c>
      <c r="U112" s="40">
        <f>T112*S112</f>
        <v/>
      </c>
      <c r="V112" s="40">
        <f>(battery/range_nm)*D112*P112*VLOOKUP(B112,country_opex,3,FALSE)</f>
        <v/>
      </c>
      <c r="W112" s="40">
        <f>VLOOKUP(B112,country_opex,2,FALSE)*crew_factor</f>
        <v/>
      </c>
      <c r="X112" s="40">
        <f>VLOOKUP(B112,country_opex,5,FALSE)</f>
        <v/>
      </c>
      <c r="Y112" s="40">
        <f>maint</f>
        <v/>
      </c>
      <c r="Z112" s="40">
        <f>VLOOKUP(B112,country_opex,7,FALSE)*ins_pct</f>
        <v/>
      </c>
      <c r="AA112" s="40">
        <f>charge_berth</f>
        <v/>
      </c>
      <c r="AB112" s="40">
        <f>V112+W112+X112+Y112+Z112+AA112</f>
        <v/>
      </c>
      <c r="AC112" s="40">
        <f>VLOOKUP(B112,country_opex,7,FALSE)/dep_years</f>
        <v/>
      </c>
      <c r="AD112" s="40">
        <f>U112-AB112</f>
        <v/>
      </c>
      <c r="AE112" s="37">
        <f>IF(U112=0,"",AD112/U112)</f>
        <v/>
      </c>
      <c r="AF112" s="38">
        <f>IF(AD112&lt;=0,"",VLOOKUP(B112,country_opex,7,FALSE)/AD112)</f>
        <v/>
      </c>
      <c r="AG112" s="35">
        <f>((D112*P112/diesel_nmpg)*diesel_co2pg-(battery/range_nm)*D112*P112*VLOOKUP(B112,country_opex,4,FALSE))/1000</f>
        <v/>
      </c>
      <c r="AH112" s="33" t="n">
        <v>35000</v>
      </c>
      <c r="AI112" s="34" t="inlineStr">
        <is>
          <t>T3</t>
        </is>
      </c>
      <c r="AJ112" s="34" t="inlineStr">
        <is>
          <t>low</t>
        </is>
      </c>
      <c r="AK112" s="41" t="n">
        <v>0.1</v>
      </c>
      <c r="AL112" s="36">
        <f>IF(AH112="","",AH112*AK112)</f>
        <v/>
      </c>
      <c r="AM112" s="36">
        <f>IF(OR(AH112="",S112=0),"",MIN(IF(AU112="",9.9E+99,AU112),FLOOR(AL112/S112,1)))</f>
        <v/>
      </c>
      <c r="AN112" s="40">
        <f>IF(AM112="","",AM112*IF(ABS(MOD(ABS((U112)),1)-0.5)&lt;1E-9,2*ROUND((U112)/2,0),ROUND((U112),0)))</f>
        <v/>
      </c>
      <c r="AO112" s="38">
        <f>IF(OR(AH112="",S112=0),"",MIN(IF(AU112="",9.9E+99,AU112),AL112/S112))</f>
        <v/>
      </c>
      <c r="AP112" s="40">
        <f>IF(AO112="","",AO112*IF(B112="South Korea",IF(ABS(MOD(ABS((U112)),1)-0.5)&lt;1E-9,2*ROUND((U112)/2,0),ROUND((U112),0)),U112))</f>
        <v/>
      </c>
      <c r="AQ112" s="42" t="n"/>
      <c r="AR112" s="34" t="inlineStr">
        <is>
          <t>Estimated</t>
        </is>
      </c>
      <c r="AS112" s="43" t="n"/>
      <c r="AT112" s="43" t="n"/>
      <c r="AU112" s="44" t="n"/>
      <c r="AV112" s="45">
        <f>IF(((T112*pax_cap*load_thin*IF(ABS(MOD(ABS((L112*M112*revleg_thin)),1)-0.5)&lt;1E-9,2*ROUND((L112*M112*revleg_thin)/2,0),ROUND((L112*M112*revleg_thin),0)))-(((battery/range_nm)*D112*IF(ABS(MOD(ABS((L112*M112*revleg_thin)),1)-0.5)&lt;1E-9,2*ROUND((L112*M112*revleg_thin)/2,0),ROUND((L112*M112*revleg_thin),0))*VLOOKUP(B112,country_opex,3,FALSE))+W112+X112+Y112+Z112+AA112))&lt;=0,"",VLOOKUP(B112,country_opex,7,FALSE)/((T112*pax_cap*load_thin*IF(ABS(MOD(ABS((L112*M112*revleg_thin)),1)-0.5)&lt;1E-9,2*ROUND((L112*M112*revleg_thin)/2,0),ROUND((L112*M112*revleg_thin),0)))-(((battery/range_nm)*D112*IF(ABS(MOD(ABS((L112*M112*revleg_thin)),1)-0.5)&lt;1E-9,2*ROUND((L112*M112*revleg_thin)/2,0),ROUND((L112*M112*revleg_thin),0))*VLOOKUP(B112,country_opex,3,FALSE))+W112+X112+Y112+Z112+AA112)))</f>
        <v/>
      </c>
      <c r="AW112" s="45">
        <f>IF(((T112*pax_cap*IF(B112="South Korea",korea_mid_load,load_mid)*IF(ABS(MOD(ABS((L112*M112*IF(B112="South Korea",korea_mid_revleg,revleg_mid))),1)-0.5)&lt;1E-9,2*ROUND((L112*M112*IF(B112="South Korea",korea_mid_revleg,revleg_mid))/2,0),ROUND((L112*M112*IF(B112="South Korea",korea_mid_revleg,revleg_mid)),0)))-(((battery/range_nm)*D112*IF(ABS(MOD(ABS((L112*M112*IF(B112="South Korea",korea_mid_revleg,revleg_mid))),1)-0.5)&lt;1E-9,2*ROUND((L112*M112*IF(B112="South Korea",korea_mid_revleg,revleg_mid))/2,0),ROUND((L112*M112*IF(B112="South Korea",korea_mid_revleg,revleg_mid)),0))*VLOOKUP(B112,country_opex,3,FALSE))+W112+X112+Y112+Z112+AA112))&lt;=0,"",VLOOKUP(B112,country_opex,7,FALSE)/((T112*pax_cap*IF(B112="South Korea",korea_mid_load,load_mid)*IF(ABS(MOD(ABS((L112*M112*IF(B112="South Korea",korea_mid_revleg,revleg_mid))),1)-0.5)&lt;1E-9,2*ROUND((L112*M112*IF(B112="South Korea",korea_mid_revleg,revleg_mid))/2,0),ROUND((L112*M112*IF(B112="South Korea",korea_mid_revleg,revleg_mid)),0)))-(((battery/range_nm)*D112*IF(ABS(MOD(ABS((L112*M112*IF(B112="South Korea",korea_mid_revleg,revleg_mid))),1)-0.5)&lt;1E-9,2*ROUND((L112*M112*IF(B112="South Korea",korea_mid_revleg,revleg_mid))/2,0),ROUND((L112*M112*IF(B112="South Korea",korea_mid_revleg,revleg_mid)),0))*VLOOKUP(B112,country_opex,3,FALSE))+W112+X112+Y112+Z112+AA112)))</f>
        <v/>
      </c>
      <c r="AX112" s="45">
        <f>IF(((T112*pax_cap*load_full*IF(ABS(MOD(ABS((L112*M112*revleg_full)),1)-0.5)&lt;1E-9,2*ROUND((L112*M112*revleg_full)/2,0),ROUND((L112*M112*revleg_full),0)))-(((battery/range_nm)*D112*IF(ABS(MOD(ABS((L112*M112*revleg_full)),1)-0.5)&lt;1E-9,2*ROUND((L112*M112*revleg_full)/2,0),ROUND((L112*M112*revleg_full),0))*VLOOKUP(B112,country_opex,3,FALSE))+W112+X112+Y112+Z112+AA112))&lt;=0,"",VLOOKUP(B112,country_opex,7,FALSE)/((T112*pax_cap*load_full*IF(ABS(MOD(ABS((L112*M112*revleg_full)),1)-0.5)&lt;1E-9,2*ROUND((L112*M112*revleg_full)/2,0),ROUND((L112*M112*revleg_full),0)))-(((battery/range_nm)*D112*IF(ABS(MOD(ABS((L112*M112*revleg_full)),1)-0.5)&lt;1E-9,2*ROUND((L112*M112*revleg_full)/2,0),ROUND((L112*M112*revleg_full),0))*VLOOKUP(B112,country_opex,3,FALSE))+W112+X112+Y112+Z112+AA112)))</f>
        <v/>
      </c>
      <c r="AY112" s="46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Z112" s="46" t="inlineStr">
        <is>
          <t>UAE-DEMAND-ANCHORS-2026-06-17.json — tier-based addressable pool derived from sourcing wave anchors (hotel keys × occ × shuttle adoption, marina activity, RTA marine baseline).</t>
        </is>
      </c>
      <c r="BA112" s="34" t="inlineStr">
        <is>
          <t>rn-0721cde8d55b</t>
        </is>
      </c>
    </row>
    <row r="113">
      <c r="A113" s="31" t="inlineStr">
        <is>
          <t>Yango Uae</t>
        </is>
      </c>
      <c r="B113" s="31" t="inlineStr">
        <is>
          <t>United Arab Emirates</t>
        </is>
      </c>
      <c r="C113" s="32" t="inlineStr">
        <is>
          <t>Côte d'Azur Resort Marina (Heart of Europe) → Bulgari Yacht Club &amp; Marina</t>
        </is>
      </c>
      <c r="D113" s="33" t="n">
        <v>4.2</v>
      </c>
      <c r="E113" s="27" t="n">
        <v>150</v>
      </c>
      <c r="F113" s="34" t="inlineStr">
        <is>
          <t>T5</t>
        </is>
      </c>
      <c r="G113" s="34" t="inlineStr">
        <is>
          <t>low</t>
        </is>
      </c>
      <c r="H113" s="20" t="n">
        <v>1</v>
      </c>
      <c r="I113" s="35">
        <f>60*D113/cruise_kt</f>
        <v/>
      </c>
      <c r="J113" s="35">
        <f>IF(B113="South Korea",D113/korea_charge_range_nm*korea_full_range_charge_min,0)</f>
        <v/>
      </c>
      <c r="K113" s="35">
        <f>IF(B113="South Korea",I113+korea_turn_min+korea_dwell_min+J113,I113+turn_min+dwell_min)</f>
        <v/>
      </c>
      <c r="L113" s="36">
        <f>IF(B113="South Korea",FLOOR(60*korea_service_hr/K113,1),MIN(24,FLOOR(60*service_hr/K113,1)))</f>
        <v/>
      </c>
      <c r="M113" s="36">
        <f>IF(ABS(MOD(ABS((365*mech_uptime*H113)),1)-0.5)&lt;1E-9,2*ROUND((365*mech_uptime*H113)/2,0),ROUND((365*mech_uptime*H113),0))</f>
        <v/>
      </c>
      <c r="N113" s="37">
        <f>mech_uptime</f>
        <v/>
      </c>
      <c r="O113" s="37">
        <f>IF(AND(B113="South Korea",scenario="MID"),korea_mid_revleg,revleg_sel)</f>
        <v/>
      </c>
      <c r="P113" s="36">
        <f>IF(ABS(MOD(ABS((L113*M113*O113)),1)-0.5)&lt;1E-9,2*ROUND((L113*M113*O113)/2,0),ROUND((L113*M113*O113),0))</f>
        <v/>
      </c>
      <c r="Q113" s="37">
        <f>IF(AND(B113="South Korea",scenario="MID"),korea_mid_load,load_sel)</f>
        <v/>
      </c>
      <c r="R113" s="38">
        <f>pax_cap*Q113</f>
        <v/>
      </c>
      <c r="S113" s="36">
        <f>R113*P113</f>
        <v/>
      </c>
      <c r="T113" s="39">
        <f>E113*discount</f>
        <v/>
      </c>
      <c r="U113" s="40">
        <f>T113*S113</f>
        <v/>
      </c>
      <c r="V113" s="40">
        <f>(battery/range_nm)*D113*P113*VLOOKUP(B113,country_opex,3,FALSE)</f>
        <v/>
      </c>
      <c r="W113" s="40">
        <f>VLOOKUP(B113,country_opex,2,FALSE)*crew_factor</f>
        <v/>
      </c>
      <c r="X113" s="40">
        <f>VLOOKUP(B113,country_opex,5,FALSE)</f>
        <v/>
      </c>
      <c r="Y113" s="40">
        <f>maint</f>
        <v/>
      </c>
      <c r="Z113" s="40">
        <f>VLOOKUP(B113,country_opex,7,FALSE)*ins_pct</f>
        <v/>
      </c>
      <c r="AA113" s="40">
        <f>charge_berth</f>
        <v/>
      </c>
      <c r="AB113" s="40">
        <f>V113+W113+X113+Y113+Z113+AA113</f>
        <v/>
      </c>
      <c r="AC113" s="40">
        <f>VLOOKUP(B113,country_opex,7,FALSE)/dep_years</f>
        <v/>
      </c>
      <c r="AD113" s="40">
        <f>U113-AB113</f>
        <v/>
      </c>
      <c r="AE113" s="37">
        <f>IF(U113=0,"",AD113/U113)</f>
        <v/>
      </c>
      <c r="AF113" s="38">
        <f>IF(AD113&lt;=0,"",VLOOKUP(B113,country_opex,7,FALSE)/AD113)</f>
        <v/>
      </c>
      <c r="AG113" s="35">
        <f>((D113*P113/diesel_nmpg)*diesel_co2pg-(battery/range_nm)*D113*P113*VLOOKUP(B113,country_opex,4,FALSE))/1000</f>
        <v/>
      </c>
      <c r="AH113" s="33" t="n">
        <v>20000</v>
      </c>
      <c r="AI113" s="34" t="inlineStr">
        <is>
          <t>T3</t>
        </is>
      </c>
      <c r="AJ113" s="34" t="inlineStr">
        <is>
          <t>low</t>
        </is>
      </c>
      <c r="AK113" s="41" t="n">
        <v>0.1</v>
      </c>
      <c r="AL113" s="36">
        <f>IF(AH113="","",AH113*AK113)</f>
        <v/>
      </c>
      <c r="AM113" s="36">
        <f>IF(OR(AH113="",S113=0),"",MIN(IF(AU113="",9.9E+99,AU113),FLOOR(AL113/S113,1)))</f>
        <v/>
      </c>
      <c r="AN113" s="40">
        <f>IF(AM113="","",AM113*IF(ABS(MOD(ABS((U113)),1)-0.5)&lt;1E-9,2*ROUND((U113)/2,0),ROUND((U113),0)))</f>
        <v/>
      </c>
      <c r="AO113" s="38">
        <f>IF(OR(AH113="",S113=0),"",MIN(IF(AU113="",9.9E+99,AU113),AL113/S113))</f>
        <v/>
      </c>
      <c r="AP113" s="40">
        <f>IF(AO113="","",AO113*IF(B113="South Korea",IF(ABS(MOD(ABS((U113)),1)-0.5)&lt;1E-9,2*ROUND((U113)/2,0),ROUND((U113),0)),U113))</f>
        <v/>
      </c>
      <c r="AQ113" s="42" t="n"/>
      <c r="AR113" s="34" t="inlineStr">
        <is>
          <t>Estimated</t>
        </is>
      </c>
      <c r="AS113" s="43" t="n"/>
      <c r="AT113" s="43" t="n"/>
      <c r="AU113" s="44" t="n"/>
      <c r="AV113" s="45">
        <f>IF(((T113*pax_cap*load_thin*IF(ABS(MOD(ABS((L113*M113*revleg_thin)),1)-0.5)&lt;1E-9,2*ROUND((L113*M113*revleg_thin)/2,0),ROUND((L113*M113*revleg_thin),0)))-(((battery/range_nm)*D113*IF(ABS(MOD(ABS((L113*M113*revleg_thin)),1)-0.5)&lt;1E-9,2*ROUND((L113*M113*revleg_thin)/2,0),ROUND((L113*M113*revleg_thin),0))*VLOOKUP(B113,country_opex,3,FALSE))+W113+X113+Y113+Z113+AA113))&lt;=0,"",VLOOKUP(B113,country_opex,7,FALSE)/((T113*pax_cap*load_thin*IF(ABS(MOD(ABS((L113*M113*revleg_thin)),1)-0.5)&lt;1E-9,2*ROUND((L113*M113*revleg_thin)/2,0),ROUND((L113*M113*revleg_thin),0)))-(((battery/range_nm)*D113*IF(ABS(MOD(ABS((L113*M113*revleg_thin)),1)-0.5)&lt;1E-9,2*ROUND((L113*M113*revleg_thin)/2,0),ROUND((L113*M113*revleg_thin),0))*VLOOKUP(B113,country_opex,3,FALSE))+W113+X113+Y113+Z113+AA113)))</f>
        <v/>
      </c>
      <c r="AW113" s="45">
        <f>IF(((T113*pax_cap*IF(B113="South Korea",korea_mid_load,load_mid)*IF(ABS(MOD(ABS((L113*M113*IF(B113="South Korea",korea_mid_revleg,revleg_mid))),1)-0.5)&lt;1E-9,2*ROUND((L113*M113*IF(B113="South Korea",korea_mid_revleg,revleg_mid))/2,0),ROUND((L113*M113*IF(B113="South Korea",korea_mid_revleg,revleg_mid)),0)))-(((battery/range_nm)*D113*IF(ABS(MOD(ABS((L113*M113*IF(B113="South Korea",korea_mid_revleg,revleg_mid))),1)-0.5)&lt;1E-9,2*ROUND((L113*M113*IF(B113="South Korea",korea_mid_revleg,revleg_mid))/2,0),ROUND((L113*M113*IF(B113="South Korea",korea_mid_revleg,revleg_mid)),0))*VLOOKUP(B113,country_opex,3,FALSE))+W113+X113+Y113+Z113+AA113))&lt;=0,"",VLOOKUP(B113,country_opex,7,FALSE)/((T113*pax_cap*IF(B113="South Korea",korea_mid_load,load_mid)*IF(ABS(MOD(ABS((L113*M113*IF(B113="South Korea",korea_mid_revleg,revleg_mid))),1)-0.5)&lt;1E-9,2*ROUND((L113*M113*IF(B113="South Korea",korea_mid_revleg,revleg_mid))/2,0),ROUND((L113*M113*IF(B113="South Korea",korea_mid_revleg,revleg_mid)),0)))-(((battery/range_nm)*D113*IF(ABS(MOD(ABS((L113*M113*IF(B113="South Korea",korea_mid_revleg,revleg_mid))),1)-0.5)&lt;1E-9,2*ROUND((L113*M113*IF(B113="South Korea",korea_mid_revleg,revleg_mid))/2,0),ROUND((L113*M113*IF(B113="South Korea",korea_mid_revleg,revleg_mid)),0))*VLOOKUP(B113,country_opex,3,FALSE))+W113+X113+Y113+Z113+AA113)))</f>
        <v/>
      </c>
      <c r="AX113" s="45">
        <f>IF(((T113*pax_cap*load_full*IF(ABS(MOD(ABS((L113*M113*revleg_full)),1)-0.5)&lt;1E-9,2*ROUND((L113*M113*revleg_full)/2,0),ROUND((L113*M113*revleg_full),0)))-(((battery/range_nm)*D113*IF(ABS(MOD(ABS((L113*M113*revleg_full)),1)-0.5)&lt;1E-9,2*ROUND((L113*M113*revleg_full)/2,0),ROUND((L113*M113*revleg_full),0))*VLOOKUP(B113,country_opex,3,FALSE))+W113+X113+Y113+Z113+AA113))&lt;=0,"",VLOOKUP(B113,country_opex,7,FALSE)/((T113*pax_cap*load_full*IF(ABS(MOD(ABS((L113*M113*revleg_full)),1)-0.5)&lt;1E-9,2*ROUND((L113*M113*revleg_full)/2,0),ROUND((L113*M113*revleg_full),0)))-(((battery/range_nm)*D113*IF(ABS(MOD(ABS((L113*M113*revleg_full)),1)-0.5)&lt;1E-9,2*ROUND((L113*M113*revleg_full)/2,0),ROUND((L113*M113*revleg_full),0))*VLOOKUP(B113,country_opex,3,FALSE))+W113+X113+Y113+Z113+AA113)))</f>
        <v/>
      </c>
      <c r="AY113" s="46" t="inlineStr">
        <is>
          <t>The World (boat-only)&lt;-&gt;Bulgari (Jumeirah Bay) luxury hop. Greenfield. T5/low.</t>
        </is>
      </c>
      <c r="AZ113" s="46" t="inlineStr">
        <is>
          <t>UAE-DEMAND-ANCHORS-2026-06-17.json — tier-based addressable pool derived from sourcing wave anchors (hotel keys × occ × shuttle adoption, marina activity, RTA marine baseline).</t>
        </is>
      </c>
      <c r="BA113" s="34" t="inlineStr">
        <is>
          <t>rn-122e1872dd04</t>
        </is>
      </c>
    </row>
    <row r="114">
      <c r="A114" s="31" t="inlineStr">
        <is>
          <t>Yango Uae</t>
        </is>
      </c>
      <c r="B114" s="31" t="inlineStr">
        <is>
          <t>United Arab Emirates</t>
        </is>
      </c>
      <c r="C114" s="32" t="inlineStr">
        <is>
          <t>Saadiyat Beach Club Jetty → Zaya Nurai Island Jetty</t>
        </is>
      </c>
      <c r="D114" s="33" t="n">
        <v>4.4</v>
      </c>
      <c r="E114" s="27" t="n">
        <v>150</v>
      </c>
      <c r="F114" s="34" t="inlineStr">
        <is>
          <t>T3</t>
        </is>
      </c>
      <c r="G114" s="34" t="inlineStr">
        <is>
          <t>med</t>
        </is>
      </c>
      <c r="H114" s="20" t="n">
        <v>1</v>
      </c>
      <c r="I114" s="35">
        <f>60*D114/cruise_kt</f>
        <v/>
      </c>
      <c r="J114" s="35">
        <f>IF(B114="South Korea",D114/korea_charge_range_nm*korea_full_range_charge_min,0)</f>
        <v/>
      </c>
      <c r="K114" s="35">
        <f>IF(B114="South Korea",I114+korea_turn_min+korea_dwell_min+J114,I114+turn_min+dwell_min)</f>
        <v/>
      </c>
      <c r="L114" s="36">
        <f>IF(B114="South Korea",FLOOR(60*korea_service_hr/K114,1),MIN(24,FLOOR(60*service_hr/K114,1)))</f>
        <v/>
      </c>
      <c r="M114" s="36">
        <f>IF(ABS(MOD(ABS((365*mech_uptime*H114)),1)-0.5)&lt;1E-9,2*ROUND((365*mech_uptime*H114)/2,0),ROUND((365*mech_uptime*H114),0))</f>
        <v/>
      </c>
      <c r="N114" s="37">
        <f>mech_uptime</f>
        <v/>
      </c>
      <c r="O114" s="37">
        <f>IF(AND(B114="South Korea",scenario="MID"),korea_mid_revleg,revleg_sel)</f>
        <v/>
      </c>
      <c r="P114" s="36">
        <f>IF(ABS(MOD(ABS((L114*M114*O114)),1)-0.5)&lt;1E-9,2*ROUND((L114*M114*O114)/2,0),ROUND((L114*M114*O114),0))</f>
        <v/>
      </c>
      <c r="Q114" s="37">
        <f>IF(AND(B114="South Korea",scenario="MID"),korea_mid_load,load_sel)</f>
        <v/>
      </c>
      <c r="R114" s="38">
        <f>pax_cap*Q114</f>
        <v/>
      </c>
      <c r="S114" s="36">
        <f>R114*P114</f>
        <v/>
      </c>
      <c r="T114" s="39">
        <f>E114*discount</f>
        <v/>
      </c>
      <c r="U114" s="40">
        <f>T114*S114</f>
        <v/>
      </c>
      <c r="V114" s="40">
        <f>(battery/range_nm)*D114*P114*VLOOKUP(B114,country_opex,3,FALSE)</f>
        <v/>
      </c>
      <c r="W114" s="40">
        <f>VLOOKUP(B114,country_opex,2,FALSE)*crew_factor</f>
        <v/>
      </c>
      <c r="X114" s="40">
        <f>VLOOKUP(B114,country_opex,5,FALSE)</f>
        <v/>
      </c>
      <c r="Y114" s="40">
        <f>maint</f>
        <v/>
      </c>
      <c r="Z114" s="40">
        <f>VLOOKUP(B114,country_opex,7,FALSE)*ins_pct</f>
        <v/>
      </c>
      <c r="AA114" s="40">
        <f>charge_berth</f>
        <v/>
      </c>
      <c r="AB114" s="40">
        <f>V114+W114+X114+Y114+Z114+AA114</f>
        <v/>
      </c>
      <c r="AC114" s="40">
        <f>VLOOKUP(B114,country_opex,7,FALSE)/dep_years</f>
        <v/>
      </c>
      <c r="AD114" s="40">
        <f>U114-AB114</f>
        <v/>
      </c>
      <c r="AE114" s="37">
        <f>IF(U114=0,"",AD114/U114)</f>
        <v/>
      </c>
      <c r="AF114" s="38">
        <f>IF(AD114&lt;=0,"",VLOOKUP(B114,country_opex,7,FALSE)/AD114)</f>
        <v/>
      </c>
      <c r="AG114" s="35">
        <f>((D114*P114/diesel_nmpg)*diesel_co2pg-(battery/range_nm)*D114*P114*VLOOKUP(B114,country_opex,4,FALSE))/1000</f>
        <v/>
      </c>
      <c r="AH114" s="33" t="n">
        <v>45000</v>
      </c>
      <c r="AI114" s="34" t="inlineStr">
        <is>
          <t>T5</t>
        </is>
      </c>
      <c r="AJ114" s="34" t="inlineStr">
        <is>
          <t>low</t>
        </is>
      </c>
      <c r="AK114" s="41" t="n">
        <v>0.1</v>
      </c>
      <c r="AL114" s="36">
        <f>IF(AH114="","",AH114*AK114)</f>
        <v/>
      </c>
      <c r="AM114" s="36">
        <f>IF(OR(AH114="",S114=0),"",MIN(IF(AU114="",9.9E+99,AU114),FLOOR(AL114/S114,1)))</f>
        <v/>
      </c>
      <c r="AN114" s="40">
        <f>IF(AM114="","",AM114*IF(ABS(MOD(ABS((U114)),1)-0.5)&lt;1E-9,2*ROUND((U114)/2,0),ROUND((U114),0)))</f>
        <v/>
      </c>
      <c r="AO114" s="38">
        <f>IF(OR(AH114="",S114=0),"",MIN(IF(AU114="",9.9E+99,AU114),AL114/S114))</f>
        <v/>
      </c>
      <c r="AP114" s="40">
        <f>IF(AO114="","",AO114*IF(B114="South Korea",IF(ABS(MOD(ABS((U114)),1)-0.5)&lt;1E-9,2*ROUND((U114)/2,0),ROUND((U114),0)),U114))</f>
        <v/>
      </c>
      <c r="AQ114" s="42" t="n"/>
      <c r="AR114" s="34" t="inlineStr">
        <is>
          <t>Estimated</t>
        </is>
      </c>
      <c r="AS114" s="43" t="n"/>
      <c r="AT114" s="43" t="n"/>
      <c r="AU114" s="44" t="n"/>
      <c r="AV114" s="45">
        <f>IF(((T114*pax_cap*load_thin*IF(ABS(MOD(ABS((L114*M114*revleg_thin)),1)-0.5)&lt;1E-9,2*ROUND((L114*M114*revleg_thin)/2,0),ROUND((L114*M114*revleg_thin),0)))-(((battery/range_nm)*D114*IF(ABS(MOD(ABS((L114*M114*revleg_thin)),1)-0.5)&lt;1E-9,2*ROUND((L114*M114*revleg_thin)/2,0),ROUND((L114*M114*revleg_thin),0))*VLOOKUP(B114,country_opex,3,FALSE))+W114+X114+Y114+Z114+AA114))&lt;=0,"",VLOOKUP(B114,country_opex,7,FALSE)/((T114*pax_cap*load_thin*IF(ABS(MOD(ABS((L114*M114*revleg_thin)),1)-0.5)&lt;1E-9,2*ROUND((L114*M114*revleg_thin)/2,0),ROUND((L114*M114*revleg_thin),0)))-(((battery/range_nm)*D114*IF(ABS(MOD(ABS((L114*M114*revleg_thin)),1)-0.5)&lt;1E-9,2*ROUND((L114*M114*revleg_thin)/2,0),ROUND((L114*M114*revleg_thin),0))*VLOOKUP(B114,country_opex,3,FALSE))+W114+X114+Y114+Z114+AA114)))</f>
        <v/>
      </c>
      <c r="AW114" s="45">
        <f>IF(((T114*pax_cap*IF(B114="South Korea",korea_mid_load,load_mid)*IF(ABS(MOD(ABS((L114*M114*IF(B114="South Korea",korea_mid_revleg,revleg_mid))),1)-0.5)&lt;1E-9,2*ROUND((L114*M114*IF(B114="South Korea",korea_mid_revleg,revleg_mid))/2,0),ROUND((L114*M114*IF(B114="South Korea",korea_mid_revleg,revleg_mid)),0)))-(((battery/range_nm)*D114*IF(ABS(MOD(ABS((L114*M114*IF(B114="South Korea",korea_mid_revleg,revleg_mid))),1)-0.5)&lt;1E-9,2*ROUND((L114*M114*IF(B114="South Korea",korea_mid_revleg,revleg_mid))/2,0),ROUND((L114*M114*IF(B114="South Korea",korea_mid_revleg,revleg_mid)),0))*VLOOKUP(B114,country_opex,3,FALSE))+W114+X114+Y114+Z114+AA114))&lt;=0,"",VLOOKUP(B114,country_opex,7,FALSE)/((T114*pax_cap*IF(B114="South Korea",korea_mid_load,load_mid)*IF(ABS(MOD(ABS((L114*M114*IF(B114="South Korea",korea_mid_revleg,revleg_mid))),1)-0.5)&lt;1E-9,2*ROUND((L114*M114*IF(B114="South Korea",korea_mid_revleg,revleg_mid))/2,0),ROUND((L114*M114*IF(B114="South Korea",korea_mid_revleg,revleg_mid)),0)))-(((battery/range_nm)*D114*IF(ABS(MOD(ABS((L114*M114*IF(B114="South Korea",korea_mid_revleg,revleg_mid))),1)-0.5)&lt;1E-9,2*ROUND((L114*M114*IF(B114="South Korea",korea_mid_revleg,revleg_mid))/2,0),ROUND((L114*M114*IF(B114="South Korea",korea_mid_revleg,revleg_mid)),0))*VLOOKUP(B114,country_opex,3,FALSE))+W114+X114+Y114+Z114+AA114)))</f>
        <v/>
      </c>
      <c r="AX114" s="45">
        <f>IF(((T114*pax_cap*load_full*IF(ABS(MOD(ABS((L114*M114*revleg_full)),1)-0.5)&lt;1E-9,2*ROUND((L114*M114*revleg_full)/2,0),ROUND((L114*M114*revleg_full),0)))-(((battery/range_nm)*D114*IF(ABS(MOD(ABS((L114*M114*revleg_full)),1)-0.5)&lt;1E-9,2*ROUND((L114*M114*revleg_full)/2,0),ROUND((L114*M114*revleg_full),0))*VLOOKUP(B114,country_opex,3,FALSE))+W114+X114+Y114+Z114+AA114))&lt;=0,"",VLOOKUP(B114,country_opex,7,FALSE)/((T114*pax_cap*load_full*IF(ABS(MOD(ABS((L114*M114*revleg_full)),1)-0.5)&lt;1E-9,2*ROUND((L114*M114*revleg_full)/2,0),ROUND((L114*M114*revleg_full),0)))-(((battery/range_nm)*D114*IF(ABS(MOD(ABS((L114*M114*revleg_full)),1)-0.5)&lt;1E-9,2*ROUND((L114*M114*revleg_full)/2,0),ROUND((L114*M114*revleg_full),0))*VLOOKUP(B114,country_opex,3,FALSE))+W114+X114+Y114+Z114+AA114)))</f>
        <v/>
      </c>
      <c r="AY114" s="46" t="inlineStr">
        <is>
          <t>Saadiyat Beach Club-&gt;Zaya Nurai Island (4.4nm). WATER-ONLY (12-15min boat from Saadiyat; boat-only, 32 villas + 23 residences). Day-pass + transfer redemption ladder; premium per-seat $150.</t>
        </is>
      </c>
      <c r="AZ114" s="46" t="inlineStr">
        <is>
          <t>Boat-only -&gt; FULLY addressable (R3-EXCEPTION). 32 villas + 23 residences stay-pool + day-club guests (major Saadiyat day-trip).</t>
        </is>
      </c>
      <c r="BA114" s="34" t="inlineStr">
        <is>
          <t>rn-444748135d1b</t>
        </is>
      </c>
    </row>
    <row r="115">
      <c r="A115" s="31" t="inlineStr">
        <is>
          <t>Yango Uae</t>
        </is>
      </c>
      <c r="B115" s="31" t="inlineStr">
        <is>
          <t>United Arab Emirates</t>
        </is>
      </c>
      <c r="C115" s="32" t="inlineStr">
        <is>
          <t>Dubai Harbour Marina → Atlantis The Royal Jetty</t>
        </is>
      </c>
      <c r="D115" s="33" t="n">
        <v>4.9</v>
      </c>
      <c r="E115" s="27" t="n">
        <v>175</v>
      </c>
      <c r="F115" s="34" t="inlineStr">
        <is>
          <t>T5</t>
        </is>
      </c>
      <c r="G115" s="34" t="inlineStr">
        <is>
          <t>low</t>
        </is>
      </c>
      <c r="H115" s="20" t="n">
        <v>1</v>
      </c>
      <c r="I115" s="35">
        <f>60*D115/cruise_kt</f>
        <v/>
      </c>
      <c r="J115" s="35">
        <f>IF(B115="South Korea",D115/korea_charge_range_nm*korea_full_range_charge_min,0)</f>
        <v/>
      </c>
      <c r="K115" s="35">
        <f>IF(B115="South Korea",I115+korea_turn_min+korea_dwell_min+J115,I115+turn_min+dwell_min)</f>
        <v/>
      </c>
      <c r="L115" s="36">
        <f>IF(B115="South Korea",FLOOR(60*korea_service_hr/K115,1),MIN(24,FLOOR(60*service_hr/K115,1)))</f>
        <v/>
      </c>
      <c r="M115" s="36">
        <f>IF(ABS(MOD(ABS((365*mech_uptime*H115)),1)-0.5)&lt;1E-9,2*ROUND((365*mech_uptime*H115)/2,0),ROUND((365*mech_uptime*H115),0))</f>
        <v/>
      </c>
      <c r="N115" s="37">
        <f>mech_uptime</f>
        <v/>
      </c>
      <c r="O115" s="37">
        <f>IF(AND(B115="South Korea",scenario="MID"),korea_mid_revleg,revleg_sel)</f>
        <v/>
      </c>
      <c r="P115" s="36">
        <f>IF(ABS(MOD(ABS((L115*M115*O115)),1)-0.5)&lt;1E-9,2*ROUND((L115*M115*O115)/2,0),ROUND((L115*M115*O115),0))</f>
        <v/>
      </c>
      <c r="Q115" s="37">
        <f>IF(AND(B115="South Korea",scenario="MID"),korea_mid_load,load_sel)</f>
        <v/>
      </c>
      <c r="R115" s="38">
        <f>pax_cap*Q115</f>
        <v/>
      </c>
      <c r="S115" s="36">
        <f>R115*P115</f>
        <v/>
      </c>
      <c r="T115" s="39">
        <f>E115*discount</f>
        <v/>
      </c>
      <c r="U115" s="40">
        <f>T115*S115</f>
        <v/>
      </c>
      <c r="V115" s="40">
        <f>(battery/range_nm)*D115*P115*VLOOKUP(B115,country_opex,3,FALSE)</f>
        <v/>
      </c>
      <c r="W115" s="40">
        <f>VLOOKUP(B115,country_opex,2,FALSE)*crew_factor</f>
        <v/>
      </c>
      <c r="X115" s="40">
        <f>VLOOKUP(B115,country_opex,5,FALSE)</f>
        <v/>
      </c>
      <c r="Y115" s="40">
        <f>maint</f>
        <v/>
      </c>
      <c r="Z115" s="40">
        <f>VLOOKUP(B115,country_opex,7,FALSE)*ins_pct</f>
        <v/>
      </c>
      <c r="AA115" s="40">
        <f>charge_berth</f>
        <v/>
      </c>
      <c r="AB115" s="40">
        <f>V115+W115+X115+Y115+Z115+AA115</f>
        <v/>
      </c>
      <c r="AC115" s="40">
        <f>VLOOKUP(B115,country_opex,7,FALSE)/dep_years</f>
        <v/>
      </c>
      <c r="AD115" s="40">
        <f>U115-AB115</f>
        <v/>
      </c>
      <c r="AE115" s="37">
        <f>IF(U115=0,"",AD115/U115)</f>
        <v/>
      </c>
      <c r="AF115" s="38">
        <f>IF(AD115&lt;=0,"",VLOOKUP(B115,country_opex,7,FALSE)/AD115)</f>
        <v/>
      </c>
      <c r="AG115" s="35">
        <f>((D115*P115/diesel_nmpg)*diesel_co2pg-(battery/range_nm)*D115*P115*VLOOKUP(B115,country_opex,4,FALSE))/1000</f>
        <v/>
      </c>
      <c r="AH115" s="33" t="n">
        <v>10000</v>
      </c>
      <c r="AI115" s="34" t="inlineStr">
        <is>
          <t>T5</t>
        </is>
      </c>
      <c r="AJ115" s="34" t="inlineStr">
        <is>
          <t>low</t>
        </is>
      </c>
      <c r="AK115" s="41" t="n">
        <v>0.1</v>
      </c>
      <c r="AL115" s="36">
        <f>IF(AH115="","",AH115*AK115)</f>
        <v/>
      </c>
      <c r="AM115" s="36">
        <f>IF(OR(AH115="",S115=0),"",MIN(IF(AU115="",9.9E+99,AU115),FLOOR(AL115/S115,1)))</f>
        <v/>
      </c>
      <c r="AN115" s="40">
        <f>IF(AM115="","",AM115*IF(ABS(MOD(ABS((U115)),1)-0.5)&lt;1E-9,2*ROUND((U115)/2,0),ROUND((U115),0)))</f>
        <v/>
      </c>
      <c r="AO115" s="38">
        <f>IF(OR(AH115="",S115=0),"",MIN(IF(AU115="",9.9E+99,AU115),AL115/S115))</f>
        <v/>
      </c>
      <c r="AP115" s="40">
        <f>IF(AO115="","",AO115*IF(B115="South Korea",IF(ABS(MOD(ABS((U115)),1)-0.5)&lt;1E-9,2*ROUND((U115)/2,0),ROUND((U115),0)),U115))</f>
        <v/>
      </c>
      <c r="AQ115" s="42" t="n"/>
      <c r="AR115" s="34" t="inlineStr">
        <is>
          <t>Estimated</t>
        </is>
      </c>
      <c r="AS115" s="43" t="n"/>
      <c r="AT115" s="43" t="n"/>
      <c r="AU115" s="44" t="n"/>
      <c r="AV115" s="45">
        <f>IF(((T115*pax_cap*load_thin*IF(ABS(MOD(ABS((L115*M115*revleg_thin)),1)-0.5)&lt;1E-9,2*ROUND((L115*M115*revleg_thin)/2,0),ROUND((L115*M115*revleg_thin),0)))-(((battery/range_nm)*D115*IF(ABS(MOD(ABS((L115*M115*revleg_thin)),1)-0.5)&lt;1E-9,2*ROUND((L115*M115*revleg_thin)/2,0),ROUND((L115*M115*revleg_thin),0))*VLOOKUP(B115,country_opex,3,FALSE))+W115+X115+Y115+Z115+AA115))&lt;=0,"",VLOOKUP(B115,country_opex,7,FALSE)/((T115*pax_cap*load_thin*IF(ABS(MOD(ABS((L115*M115*revleg_thin)),1)-0.5)&lt;1E-9,2*ROUND((L115*M115*revleg_thin)/2,0),ROUND((L115*M115*revleg_thin),0)))-(((battery/range_nm)*D115*IF(ABS(MOD(ABS((L115*M115*revleg_thin)),1)-0.5)&lt;1E-9,2*ROUND((L115*M115*revleg_thin)/2,0),ROUND((L115*M115*revleg_thin),0))*VLOOKUP(B115,country_opex,3,FALSE))+W115+X115+Y115+Z115+AA115)))</f>
        <v/>
      </c>
      <c r="AW115" s="45">
        <f>IF(((T115*pax_cap*IF(B115="South Korea",korea_mid_load,load_mid)*IF(ABS(MOD(ABS((L115*M115*IF(B115="South Korea",korea_mid_revleg,revleg_mid))),1)-0.5)&lt;1E-9,2*ROUND((L115*M115*IF(B115="South Korea",korea_mid_revleg,revleg_mid))/2,0),ROUND((L115*M115*IF(B115="South Korea",korea_mid_revleg,revleg_mid)),0)))-(((battery/range_nm)*D115*IF(ABS(MOD(ABS((L115*M115*IF(B115="South Korea",korea_mid_revleg,revleg_mid))),1)-0.5)&lt;1E-9,2*ROUND((L115*M115*IF(B115="South Korea",korea_mid_revleg,revleg_mid))/2,0),ROUND((L115*M115*IF(B115="South Korea",korea_mid_revleg,revleg_mid)),0))*VLOOKUP(B115,country_opex,3,FALSE))+W115+X115+Y115+Z115+AA115))&lt;=0,"",VLOOKUP(B115,country_opex,7,FALSE)/((T115*pax_cap*IF(B115="South Korea",korea_mid_load,load_mid)*IF(ABS(MOD(ABS((L115*M115*IF(B115="South Korea",korea_mid_revleg,revleg_mid))),1)-0.5)&lt;1E-9,2*ROUND((L115*M115*IF(B115="South Korea",korea_mid_revleg,revleg_mid))/2,0),ROUND((L115*M115*IF(B115="South Korea",korea_mid_revleg,revleg_mid)),0)))-(((battery/range_nm)*D115*IF(ABS(MOD(ABS((L115*M115*IF(B115="South Korea",korea_mid_revleg,revleg_mid))),1)-0.5)&lt;1E-9,2*ROUND((L115*M115*IF(B115="South Korea",korea_mid_revleg,revleg_mid))/2,0),ROUND((L115*M115*IF(B115="South Korea",korea_mid_revleg,revleg_mid)),0))*VLOOKUP(B115,country_opex,3,FALSE))+W115+X115+Y115+Z115+AA115)))</f>
        <v/>
      </c>
      <c r="AX115" s="45">
        <f>IF(((T115*pax_cap*load_full*IF(ABS(MOD(ABS((L115*M115*revleg_full)),1)-0.5)&lt;1E-9,2*ROUND((L115*M115*revleg_full)/2,0),ROUND((L115*M115*revleg_full),0)))-(((battery/range_nm)*D115*IF(ABS(MOD(ABS((L115*M115*revleg_full)),1)-0.5)&lt;1E-9,2*ROUND((L115*M115*revleg_full)/2,0),ROUND((L115*M115*revleg_full),0))*VLOOKUP(B115,country_opex,3,FALSE))+W115+X115+Y115+Z115+AA115))&lt;=0,"",VLOOKUP(B115,country_opex,7,FALSE)/((T115*pax_cap*load_full*IF(ABS(MOD(ABS((L115*M115*revleg_full)),1)-0.5)&lt;1E-9,2*ROUND((L115*M115*revleg_full)/2,0),ROUND((L115*M115*revleg_full),0)))-(((battery/range_nm)*D115*IF(ABS(MOD(ABS((L115*M115*revleg_full)),1)-0.5)&lt;1E-9,2*ROUND((L115*M115*revleg_full)/2,0),ROUND((L115*M115*revleg_full),0))*VLOOKUP(B115,country_opex,3,FALSE))+W115+X115+Y115+Z115+AA115)))</f>
        <v/>
      </c>
      <c r="AY115" s="46" t="inlineStr">
        <is>
          <t>Atlantis The Royal (795 keys) road-served; signature marine arrival opportunity-to-create. T5/low.</t>
        </is>
      </c>
      <c r="AZ115" s="46" t="inlineStr">
        <is>
          <t>OPT-IN luxury-arrival fraction only (R3-LAND road-served). 795 keys x occ -&gt; small opt-in marine pool.</t>
        </is>
      </c>
      <c r="BA115" s="34" t="inlineStr">
        <is>
          <t>rn-fe3fdf5c23c4</t>
        </is>
      </c>
    </row>
    <row r="116">
      <c r="A116" s="31" t="inlineStr">
        <is>
          <t>Yango Uae</t>
        </is>
      </c>
      <c r="B116" s="31" t="inlineStr">
        <is>
          <t>United Arab Emirates</t>
        </is>
      </c>
      <c r="C116" s="32" t="inlineStr">
        <is>
          <t>Jebel Dhanna / Ruwais Ferry Terminal → Sir Bani Yas Cruise Port</t>
        </is>
      </c>
      <c r="D116" s="33" t="n">
        <v>5.3</v>
      </c>
      <c r="E116" s="27" t="n">
        <v>90</v>
      </c>
      <c r="F116" s="34" t="inlineStr">
        <is>
          <t>T5</t>
        </is>
      </c>
      <c r="G116" s="34" t="inlineStr">
        <is>
          <t>low</t>
        </is>
      </c>
      <c r="H116" s="20" t="n">
        <v>1</v>
      </c>
      <c r="I116" s="35">
        <f>60*D116/cruise_kt</f>
        <v/>
      </c>
      <c r="J116" s="35">
        <f>IF(B116="South Korea",D116/korea_charge_range_nm*korea_full_range_charge_min,0)</f>
        <v/>
      </c>
      <c r="K116" s="35">
        <f>IF(B116="South Korea",I116+korea_turn_min+korea_dwell_min+J116,I116+turn_min+dwell_min)</f>
        <v/>
      </c>
      <c r="L116" s="36">
        <f>IF(B116="South Korea",FLOOR(60*korea_service_hr/K116,1),MIN(24,FLOOR(60*service_hr/K116,1)))</f>
        <v/>
      </c>
      <c r="M116" s="36">
        <f>IF(ABS(MOD(ABS((365*mech_uptime*H116)),1)-0.5)&lt;1E-9,2*ROUND((365*mech_uptime*H116)/2,0),ROUND((365*mech_uptime*H116),0))</f>
        <v/>
      </c>
      <c r="N116" s="37">
        <f>mech_uptime</f>
        <v/>
      </c>
      <c r="O116" s="37">
        <f>IF(AND(B116="South Korea",scenario="MID"),korea_mid_revleg,revleg_sel)</f>
        <v/>
      </c>
      <c r="P116" s="36">
        <f>IF(ABS(MOD(ABS((L116*M116*O116)),1)-0.5)&lt;1E-9,2*ROUND((L116*M116*O116)/2,0),ROUND((L116*M116*O116),0))</f>
        <v/>
      </c>
      <c r="Q116" s="37">
        <f>IF(AND(B116="South Korea",scenario="MID"),korea_mid_load,load_sel)</f>
        <v/>
      </c>
      <c r="R116" s="38">
        <f>pax_cap*Q116</f>
        <v/>
      </c>
      <c r="S116" s="36">
        <f>R116*P116</f>
        <v/>
      </c>
      <c r="T116" s="39">
        <f>E116*discount</f>
        <v/>
      </c>
      <c r="U116" s="40">
        <f>T116*S116</f>
        <v/>
      </c>
      <c r="V116" s="40">
        <f>(battery/range_nm)*D116*P116*VLOOKUP(B116,country_opex,3,FALSE)</f>
        <v/>
      </c>
      <c r="W116" s="40">
        <f>VLOOKUP(B116,country_opex,2,FALSE)*crew_factor</f>
        <v/>
      </c>
      <c r="X116" s="40">
        <f>VLOOKUP(B116,country_opex,5,FALSE)</f>
        <v/>
      </c>
      <c r="Y116" s="40">
        <f>maint</f>
        <v/>
      </c>
      <c r="Z116" s="40">
        <f>VLOOKUP(B116,country_opex,7,FALSE)*ins_pct</f>
        <v/>
      </c>
      <c r="AA116" s="40">
        <f>charge_berth</f>
        <v/>
      </c>
      <c r="AB116" s="40">
        <f>V116+W116+X116+Y116+Z116+AA116</f>
        <v/>
      </c>
      <c r="AC116" s="40">
        <f>VLOOKUP(B116,country_opex,7,FALSE)/dep_years</f>
        <v/>
      </c>
      <c r="AD116" s="40">
        <f>U116-AB116</f>
        <v/>
      </c>
      <c r="AE116" s="37">
        <f>IF(U116=0,"",AD116/U116)</f>
        <v/>
      </c>
      <c r="AF116" s="38">
        <f>IF(AD116&lt;=0,"",VLOOKUP(B116,country_opex,7,FALSE)/AD116)</f>
        <v/>
      </c>
      <c r="AG116" s="35">
        <f>((D116*P116/diesel_nmpg)*diesel_co2pg-(battery/range_nm)*D116*P116*VLOOKUP(B116,country_opex,4,FALSE))/1000</f>
        <v/>
      </c>
      <c r="AH116" s="33" t="n">
        <v>60000</v>
      </c>
      <c r="AI116" s="34" t="inlineStr">
        <is>
          <t>T5</t>
        </is>
      </c>
      <c r="AJ116" s="34" t="inlineStr">
        <is>
          <t>low</t>
        </is>
      </c>
      <c r="AK116" s="41" t="n">
        <v>0.1</v>
      </c>
      <c r="AL116" s="36">
        <f>IF(AH116="","",AH116*AK116)</f>
        <v/>
      </c>
      <c r="AM116" s="36">
        <f>IF(OR(AH116="",S116=0),"",MIN(IF(AU116="",9.9E+99,AU116),FLOOR(AL116/S116,1)))</f>
        <v/>
      </c>
      <c r="AN116" s="40">
        <f>IF(AM116="","",AM116*IF(ABS(MOD(ABS((U116)),1)-0.5)&lt;1E-9,2*ROUND((U116)/2,0),ROUND((U116),0)))</f>
        <v/>
      </c>
      <c r="AO116" s="38">
        <f>IF(OR(AH116="",S116=0),"",MIN(IF(AU116="",9.9E+99,AU116),AL116/S116))</f>
        <v/>
      </c>
      <c r="AP116" s="40">
        <f>IF(AO116="","",AO116*IF(B116="South Korea",IF(ABS(MOD(ABS((U116)),1)-0.5)&lt;1E-9,2*ROUND((U116)/2,0),ROUND((U116),0)),U116))</f>
        <v/>
      </c>
      <c r="AQ116" s="42" t="n"/>
      <c r="AR116" s="34" t="inlineStr">
        <is>
          <t>Estimated</t>
        </is>
      </c>
      <c r="AS116" s="43" t="n"/>
      <c r="AT116" s="43" t="n"/>
      <c r="AU116" s="44" t="n"/>
      <c r="AV116" s="45">
        <f>IF(((T116*pax_cap*load_thin*IF(ABS(MOD(ABS((L116*M116*revleg_thin)),1)-0.5)&lt;1E-9,2*ROUND((L116*M116*revleg_thin)/2,0),ROUND((L116*M116*revleg_thin),0)))-(((battery/range_nm)*D116*IF(ABS(MOD(ABS((L116*M116*revleg_thin)),1)-0.5)&lt;1E-9,2*ROUND((L116*M116*revleg_thin)/2,0),ROUND((L116*M116*revleg_thin),0))*VLOOKUP(B116,country_opex,3,FALSE))+W116+X116+Y116+Z116+AA116))&lt;=0,"",VLOOKUP(B116,country_opex,7,FALSE)/((T116*pax_cap*load_thin*IF(ABS(MOD(ABS((L116*M116*revleg_thin)),1)-0.5)&lt;1E-9,2*ROUND((L116*M116*revleg_thin)/2,0),ROUND((L116*M116*revleg_thin),0)))-(((battery/range_nm)*D116*IF(ABS(MOD(ABS((L116*M116*revleg_thin)),1)-0.5)&lt;1E-9,2*ROUND((L116*M116*revleg_thin)/2,0),ROUND((L116*M116*revleg_thin),0))*VLOOKUP(B116,country_opex,3,FALSE))+W116+X116+Y116+Z116+AA116)))</f>
        <v/>
      </c>
      <c r="AW116" s="45">
        <f>IF(((T116*pax_cap*IF(B116="South Korea",korea_mid_load,load_mid)*IF(ABS(MOD(ABS((L116*M116*IF(B116="South Korea",korea_mid_revleg,revleg_mid))),1)-0.5)&lt;1E-9,2*ROUND((L116*M116*IF(B116="South Korea",korea_mid_revleg,revleg_mid))/2,0),ROUND((L116*M116*IF(B116="South Korea",korea_mid_revleg,revleg_mid)),0)))-(((battery/range_nm)*D116*IF(ABS(MOD(ABS((L116*M116*IF(B116="South Korea",korea_mid_revleg,revleg_mid))),1)-0.5)&lt;1E-9,2*ROUND((L116*M116*IF(B116="South Korea",korea_mid_revleg,revleg_mid))/2,0),ROUND((L116*M116*IF(B116="South Korea",korea_mid_revleg,revleg_mid)),0))*VLOOKUP(B116,country_opex,3,FALSE))+W116+X116+Y116+Z116+AA116))&lt;=0,"",VLOOKUP(B116,country_opex,7,FALSE)/((T116*pax_cap*IF(B116="South Korea",korea_mid_load,load_mid)*IF(ABS(MOD(ABS((L116*M116*IF(B116="South Korea",korea_mid_revleg,revleg_mid))),1)-0.5)&lt;1E-9,2*ROUND((L116*M116*IF(B116="South Korea",korea_mid_revleg,revleg_mid))/2,0),ROUND((L116*M116*IF(B116="South Korea",korea_mid_revleg,revleg_mid)),0)))-(((battery/range_nm)*D116*IF(ABS(MOD(ABS((L116*M116*IF(B116="South Korea",korea_mid_revleg,revleg_mid))),1)-0.5)&lt;1E-9,2*ROUND((L116*M116*IF(B116="South Korea",korea_mid_revleg,revleg_mid))/2,0),ROUND((L116*M116*IF(B116="South Korea",korea_mid_revleg,revleg_mid)),0))*VLOOKUP(B116,country_opex,3,FALSE))+W116+X116+Y116+Z116+AA116)))</f>
        <v/>
      </c>
      <c r="AX116" s="45">
        <f>IF(((T116*pax_cap*load_full*IF(ABS(MOD(ABS((L116*M116*revleg_full)),1)-0.5)&lt;1E-9,2*ROUND((L116*M116*revleg_full)/2,0),ROUND((L116*M116*revleg_full),0)))-(((battery/range_nm)*D116*IF(ABS(MOD(ABS((L116*M116*revleg_full)),1)-0.5)&lt;1E-9,2*ROUND((L116*M116*revleg_full)/2,0),ROUND((L116*M116*revleg_full),0))*VLOOKUP(B116,country_opex,3,FALSE))+W116+X116+Y116+Z116+AA116))&lt;=0,"",VLOOKUP(B116,country_opex,7,FALSE)/((T116*pax_cap*load_full*IF(ABS(MOD(ABS((L116*M116*revleg_full)),1)-0.5)&lt;1E-9,2*ROUND((L116*M116*revleg_full)/2,0),ROUND((L116*M116*revleg_full),0)))-(((battery/range_nm)*D116*IF(ABS(MOD(ABS((L116*M116*revleg_full)),1)-0.5)&lt;1E-9,2*ROUND((L116*M116*revleg_full)/2,0),ROUND((L116*M116*revleg_full),0))*VLOOKUP(B116,country_opex,3,FALSE))+W116+X116+Y116+Z116+AA116)))</f>
        <v/>
      </c>
      <c r="AY116" s="46" t="inlineStr">
        <is>
          <t>Sir Bani Yas boat-only (~8km offshore). 3 Anantara resorts ~124 keys. Guest boat transfer FREE today (R-UAE-1) -&gt; $90 opportunity-to-create / day-guest analog. T5/low.</t>
        </is>
      </c>
      <c r="AZ116" s="46" t="inlineStr">
        <is>
          <t>Sir Bani Yas boat-only (R3-EXCEPTION). 3 Anantara resorts ~124 keys + Arabian Wildlife Park day-visitors via Jebel Dhanna ferry.</t>
        </is>
      </c>
      <c r="BA116" s="34" t="inlineStr">
        <is>
          <t>rn-08f29522c5f2</t>
        </is>
      </c>
    </row>
    <row r="117">
      <c r="A117" s="31" t="inlineStr">
        <is>
          <t>Yango Uae</t>
        </is>
      </c>
      <c r="B117" s="31" t="inlineStr">
        <is>
          <t>United Arab Emirates</t>
        </is>
      </c>
      <c r="C117" s="32" t="inlineStr">
        <is>
          <t>Dubai Harbour Marina → Burj Al Arab Private Jetty</t>
        </is>
      </c>
      <c r="D117" s="33" t="n">
        <v>6.9</v>
      </c>
      <c r="E117" s="27" t="n">
        <v>250</v>
      </c>
      <c r="F117" s="34" t="inlineStr">
        <is>
          <t>T5</t>
        </is>
      </c>
      <c r="G117" s="34" t="inlineStr">
        <is>
          <t>low</t>
        </is>
      </c>
      <c r="H117" s="20" t="n">
        <v>1</v>
      </c>
      <c r="I117" s="35">
        <f>60*D117/cruise_kt</f>
        <v/>
      </c>
      <c r="J117" s="35">
        <f>IF(B117="South Korea",D117/korea_charge_range_nm*korea_full_range_charge_min,0)</f>
        <v/>
      </c>
      <c r="K117" s="35">
        <f>IF(B117="South Korea",I117+korea_turn_min+korea_dwell_min+J117,I117+turn_min+dwell_min)</f>
        <v/>
      </c>
      <c r="L117" s="36">
        <f>IF(B117="South Korea",FLOOR(60*korea_service_hr/K117,1),MIN(24,FLOOR(60*service_hr/K117,1)))</f>
        <v/>
      </c>
      <c r="M117" s="36">
        <f>IF(ABS(MOD(ABS((365*mech_uptime*H117)),1)-0.5)&lt;1E-9,2*ROUND((365*mech_uptime*H117)/2,0),ROUND((365*mech_uptime*H117),0))</f>
        <v/>
      </c>
      <c r="N117" s="37">
        <f>mech_uptime</f>
        <v/>
      </c>
      <c r="O117" s="37">
        <f>IF(AND(B117="South Korea",scenario="MID"),korea_mid_revleg,revleg_sel)</f>
        <v/>
      </c>
      <c r="P117" s="36">
        <f>IF(ABS(MOD(ABS((L117*M117*O117)),1)-0.5)&lt;1E-9,2*ROUND((L117*M117*O117)/2,0),ROUND((L117*M117*O117),0))</f>
        <v/>
      </c>
      <c r="Q117" s="37">
        <f>IF(AND(B117="South Korea",scenario="MID"),korea_mid_load,load_sel)</f>
        <v/>
      </c>
      <c r="R117" s="38">
        <f>pax_cap*Q117</f>
        <v/>
      </c>
      <c r="S117" s="36">
        <f>R117*P117</f>
        <v/>
      </c>
      <c r="T117" s="39">
        <f>E117*discount</f>
        <v/>
      </c>
      <c r="U117" s="40">
        <f>T117*S117</f>
        <v/>
      </c>
      <c r="V117" s="40">
        <f>(battery/range_nm)*D117*P117*VLOOKUP(B117,country_opex,3,FALSE)</f>
        <v/>
      </c>
      <c r="W117" s="40">
        <f>VLOOKUP(B117,country_opex,2,FALSE)*crew_factor</f>
        <v/>
      </c>
      <c r="X117" s="40">
        <f>VLOOKUP(B117,country_opex,5,FALSE)</f>
        <v/>
      </c>
      <c r="Y117" s="40">
        <f>maint</f>
        <v/>
      </c>
      <c r="Z117" s="40">
        <f>VLOOKUP(B117,country_opex,7,FALSE)*ins_pct</f>
        <v/>
      </c>
      <c r="AA117" s="40">
        <f>charge_berth</f>
        <v/>
      </c>
      <c r="AB117" s="40">
        <f>V117+W117+X117+Y117+Z117+AA117</f>
        <v/>
      </c>
      <c r="AC117" s="40">
        <f>VLOOKUP(B117,country_opex,7,FALSE)/dep_years</f>
        <v/>
      </c>
      <c r="AD117" s="40">
        <f>U117-AB117</f>
        <v/>
      </c>
      <c r="AE117" s="37">
        <f>IF(U117=0,"",AD117/U117)</f>
        <v/>
      </c>
      <c r="AF117" s="38">
        <f>IF(AD117&lt;=0,"",VLOOKUP(B117,country_opex,7,FALSE)/AD117)</f>
        <v/>
      </c>
      <c r="AG117" s="35">
        <f>((D117*P117/diesel_nmpg)*diesel_co2pg-(battery/range_nm)*D117*P117*VLOOKUP(B117,country_opex,4,FALSE))/1000</f>
        <v/>
      </c>
      <c r="AH117" s="33" t="n">
        <v>5000</v>
      </c>
      <c r="AI117" s="34" t="inlineStr">
        <is>
          <t>T5</t>
        </is>
      </c>
      <c r="AJ117" s="34" t="inlineStr">
        <is>
          <t>low</t>
        </is>
      </c>
      <c r="AK117" s="41" t="n">
        <v>0.1</v>
      </c>
      <c r="AL117" s="36">
        <f>IF(AH117="","",AH117*AK117)</f>
        <v/>
      </c>
      <c r="AM117" s="36">
        <f>IF(OR(AH117="",S117=0),"",MIN(IF(AU117="",9.9E+99,AU117),FLOOR(AL117/S117,1)))</f>
        <v/>
      </c>
      <c r="AN117" s="40">
        <f>IF(AM117="","",AM117*IF(ABS(MOD(ABS((U117)),1)-0.5)&lt;1E-9,2*ROUND((U117)/2,0),ROUND((U117),0)))</f>
        <v/>
      </c>
      <c r="AO117" s="38">
        <f>IF(OR(AH117="",S117=0),"",MIN(IF(AU117="",9.9E+99,AU117),AL117/S117))</f>
        <v/>
      </c>
      <c r="AP117" s="40">
        <f>IF(AO117="","",AO117*IF(B117="South Korea",IF(ABS(MOD(ABS((U117)),1)-0.5)&lt;1E-9,2*ROUND((U117)/2,0),ROUND((U117),0)),U117))</f>
        <v/>
      </c>
      <c r="AQ117" s="42" t="n"/>
      <c r="AR117" s="34" t="inlineStr">
        <is>
          <t>Estimated</t>
        </is>
      </c>
      <c r="AS117" s="43" t="n"/>
      <c r="AT117" s="43" t="n"/>
      <c r="AU117" s="44" t="n"/>
      <c r="AV117" s="45">
        <f>IF(((T117*pax_cap*load_thin*IF(ABS(MOD(ABS((L117*M117*revleg_thin)),1)-0.5)&lt;1E-9,2*ROUND((L117*M117*revleg_thin)/2,0),ROUND((L117*M117*revleg_thin),0)))-(((battery/range_nm)*D117*IF(ABS(MOD(ABS((L117*M117*revleg_thin)),1)-0.5)&lt;1E-9,2*ROUND((L117*M117*revleg_thin)/2,0),ROUND((L117*M117*revleg_thin),0))*VLOOKUP(B117,country_opex,3,FALSE))+W117+X117+Y117+Z117+AA117))&lt;=0,"",VLOOKUP(B117,country_opex,7,FALSE)/((T117*pax_cap*load_thin*IF(ABS(MOD(ABS((L117*M117*revleg_thin)),1)-0.5)&lt;1E-9,2*ROUND((L117*M117*revleg_thin)/2,0),ROUND((L117*M117*revleg_thin),0)))-(((battery/range_nm)*D117*IF(ABS(MOD(ABS((L117*M117*revleg_thin)),1)-0.5)&lt;1E-9,2*ROUND((L117*M117*revleg_thin)/2,0),ROUND((L117*M117*revleg_thin),0))*VLOOKUP(B117,country_opex,3,FALSE))+W117+X117+Y117+Z117+AA117)))</f>
        <v/>
      </c>
      <c r="AW117" s="45">
        <f>IF(((T117*pax_cap*IF(B117="South Korea",korea_mid_load,load_mid)*IF(ABS(MOD(ABS((L117*M117*IF(B117="South Korea",korea_mid_revleg,revleg_mid))),1)-0.5)&lt;1E-9,2*ROUND((L117*M117*IF(B117="South Korea",korea_mid_revleg,revleg_mid))/2,0),ROUND((L117*M117*IF(B117="South Korea",korea_mid_revleg,revleg_mid)),0)))-(((battery/range_nm)*D117*IF(ABS(MOD(ABS((L117*M117*IF(B117="South Korea",korea_mid_revleg,revleg_mid))),1)-0.5)&lt;1E-9,2*ROUND((L117*M117*IF(B117="South Korea",korea_mid_revleg,revleg_mid))/2,0),ROUND((L117*M117*IF(B117="South Korea",korea_mid_revleg,revleg_mid)),0))*VLOOKUP(B117,country_opex,3,FALSE))+W117+X117+Y117+Z117+AA117))&lt;=0,"",VLOOKUP(B117,country_opex,7,FALSE)/((T117*pax_cap*IF(B117="South Korea",korea_mid_load,load_mid)*IF(ABS(MOD(ABS((L117*M117*IF(B117="South Korea",korea_mid_revleg,revleg_mid))),1)-0.5)&lt;1E-9,2*ROUND((L117*M117*IF(B117="South Korea",korea_mid_revleg,revleg_mid))/2,0),ROUND((L117*M117*IF(B117="South Korea",korea_mid_revleg,revleg_mid)),0)))-(((battery/range_nm)*D117*IF(ABS(MOD(ABS((L117*M117*IF(B117="South Korea",korea_mid_revleg,revleg_mid))),1)-0.5)&lt;1E-9,2*ROUND((L117*M117*IF(B117="South Korea",korea_mid_revleg,revleg_mid))/2,0),ROUND((L117*M117*IF(B117="South Korea",korea_mid_revleg,revleg_mid)),0))*VLOOKUP(B117,country_opex,3,FALSE))+W117+X117+Y117+Z117+AA117)))</f>
        <v/>
      </c>
      <c r="AX117" s="45">
        <f>IF(((T117*pax_cap*load_full*IF(ABS(MOD(ABS((L117*M117*revleg_full)),1)-0.5)&lt;1E-9,2*ROUND((L117*M117*revleg_full)/2,0),ROUND((L117*M117*revleg_full),0)))-(((battery/range_nm)*D117*IF(ABS(MOD(ABS((L117*M117*revleg_full)),1)-0.5)&lt;1E-9,2*ROUND((L117*M117*revleg_full)/2,0),ROUND((L117*M117*revleg_full),0))*VLOOKUP(B117,country_opex,3,FALSE))+W117+X117+Y117+Z117+AA117))&lt;=0,"",VLOOKUP(B117,country_opex,7,FALSE)/((T117*pax_cap*load_full*IF(ABS(MOD(ABS((L117*M117*revleg_full)),1)-0.5)&lt;1E-9,2*ROUND((L117*M117*revleg_full)/2,0),ROUND((L117*M117*revleg_full),0)))-(((battery/range_nm)*D117*IF(ABS(MOD(ABS((L117*M117*revleg_full)),1)-0.5)&lt;1E-9,2*ROUND((L117*M117*revleg_full)/2,0),ROUND((L117*M117*revleg_full),0))*VLOOKUP(B117,country_opex,3,FALSE))+W117+X117+Y117+Z117+AA117)))</f>
        <v/>
      </c>
      <c r="AY117" s="46" t="inlineStr">
        <is>
          <t>Burj Al Arab (202 suites) road-served; iconic signature marine arrival. T5/low.</t>
        </is>
      </c>
      <c r="AZ117" s="46" t="inlineStr">
        <is>
          <t>OPT-IN only (R3-LAND). 202 suites x occ -&gt; modest base + experiential day-guest yacht-arrivals.</t>
        </is>
      </c>
      <c r="BA117" s="34" t="inlineStr">
        <is>
          <t>rn-06eef0dc0a9a</t>
        </is>
      </c>
    </row>
    <row r="118">
      <c r="A118" s="31" t="inlineStr">
        <is>
          <t>Yango Uae</t>
        </is>
      </c>
      <c r="B118" s="31" t="inlineStr">
        <is>
          <t>United Arab Emirates</t>
        </is>
      </c>
      <c r="C118" s="32" t="inlineStr">
        <is>
          <t>Marina Mall / Breakwater Marina → Reem Island Marina (Najmat / Marina Square)</t>
        </is>
      </c>
      <c r="D118" s="33" t="n">
        <v>7.1</v>
      </c>
      <c r="E118" s="27" t="n">
        <v>60</v>
      </c>
      <c r="F118" s="34" t="inlineStr">
        <is>
          <t>T4</t>
        </is>
      </c>
      <c r="G118" s="34" t="inlineStr">
        <is>
          <t>low</t>
        </is>
      </c>
      <c r="H118" s="20" t="n">
        <v>1</v>
      </c>
      <c r="I118" s="35">
        <f>60*D118/cruise_kt</f>
        <v/>
      </c>
      <c r="J118" s="35">
        <f>IF(B118="South Korea",D118/korea_charge_range_nm*korea_full_range_charge_min,0)</f>
        <v/>
      </c>
      <c r="K118" s="35">
        <f>IF(B118="South Korea",I118+korea_turn_min+korea_dwell_min+J118,I118+turn_min+dwell_min)</f>
        <v/>
      </c>
      <c r="L118" s="36">
        <f>IF(B118="South Korea",FLOOR(60*korea_service_hr/K118,1),MIN(24,FLOOR(60*service_hr/K118,1)))</f>
        <v/>
      </c>
      <c r="M118" s="36">
        <f>IF(ABS(MOD(ABS((365*mech_uptime*H118)),1)-0.5)&lt;1E-9,2*ROUND((365*mech_uptime*H118)/2,0),ROUND((365*mech_uptime*H118),0))</f>
        <v/>
      </c>
      <c r="N118" s="37">
        <f>mech_uptime</f>
        <v/>
      </c>
      <c r="O118" s="37">
        <f>IF(AND(B118="South Korea",scenario="MID"),korea_mid_revleg,revleg_sel)</f>
        <v/>
      </c>
      <c r="P118" s="36">
        <f>IF(ABS(MOD(ABS((L118*M118*O118)),1)-0.5)&lt;1E-9,2*ROUND((L118*M118*O118)/2,0),ROUND((L118*M118*O118),0))</f>
        <v/>
      </c>
      <c r="Q118" s="37">
        <f>IF(AND(B118="South Korea",scenario="MID"),korea_mid_load,load_sel)</f>
        <v/>
      </c>
      <c r="R118" s="38">
        <f>pax_cap*Q118</f>
        <v/>
      </c>
      <c r="S118" s="36">
        <f>R118*P118</f>
        <v/>
      </c>
      <c r="T118" s="39">
        <f>E118*discount</f>
        <v/>
      </c>
      <c r="U118" s="40">
        <f>T118*S118</f>
        <v/>
      </c>
      <c r="V118" s="40">
        <f>(battery/range_nm)*D118*P118*VLOOKUP(B118,country_opex,3,FALSE)</f>
        <v/>
      </c>
      <c r="W118" s="40">
        <f>VLOOKUP(B118,country_opex,2,FALSE)*crew_factor</f>
        <v/>
      </c>
      <c r="X118" s="40">
        <f>VLOOKUP(B118,country_opex,5,FALSE)</f>
        <v/>
      </c>
      <c r="Y118" s="40">
        <f>maint</f>
        <v/>
      </c>
      <c r="Z118" s="40">
        <f>VLOOKUP(B118,country_opex,7,FALSE)*ins_pct</f>
        <v/>
      </c>
      <c r="AA118" s="40">
        <f>charge_berth</f>
        <v/>
      </c>
      <c r="AB118" s="40">
        <f>V118+W118+X118+Y118+Z118+AA118</f>
        <v/>
      </c>
      <c r="AC118" s="40">
        <f>VLOOKUP(B118,country_opex,7,FALSE)/dep_years</f>
        <v/>
      </c>
      <c r="AD118" s="40">
        <f>U118-AB118</f>
        <v/>
      </c>
      <c r="AE118" s="37">
        <f>IF(U118=0,"",AD118/U118)</f>
        <v/>
      </c>
      <c r="AF118" s="38">
        <f>IF(AD118&lt;=0,"",VLOOKUP(B118,country_opex,7,FALSE)/AD118)</f>
        <v/>
      </c>
      <c r="AG118" s="35">
        <f>((D118*P118/diesel_nmpg)*diesel_co2pg-(battery/range_nm)*D118*P118*VLOOKUP(B118,country_opex,4,FALSE))/1000</f>
        <v/>
      </c>
      <c r="AH118" s="33" t="n">
        <v>35000</v>
      </c>
      <c r="AI118" s="34" t="inlineStr">
        <is>
          <t>T3</t>
        </is>
      </c>
      <c r="AJ118" s="34" t="inlineStr">
        <is>
          <t>low</t>
        </is>
      </c>
      <c r="AK118" s="41" t="n">
        <v>0.1</v>
      </c>
      <c r="AL118" s="36">
        <f>IF(AH118="","",AH118*AK118)</f>
        <v/>
      </c>
      <c r="AM118" s="36">
        <f>IF(OR(AH118="",S118=0),"",MIN(IF(AU118="",9.9E+99,AU118),FLOOR(AL118/S118,1)))</f>
        <v/>
      </c>
      <c r="AN118" s="40">
        <f>IF(AM118="","",AM118*IF(ABS(MOD(ABS((U118)),1)-0.5)&lt;1E-9,2*ROUND((U118)/2,0),ROUND((U118),0)))</f>
        <v/>
      </c>
      <c r="AO118" s="38">
        <f>IF(OR(AH118="",S118=0),"",MIN(IF(AU118="",9.9E+99,AU118),AL118/S118))</f>
        <v/>
      </c>
      <c r="AP118" s="40">
        <f>IF(AO118="","",AO118*IF(B118="South Korea",IF(ABS(MOD(ABS((U118)),1)-0.5)&lt;1E-9,2*ROUND((U118)/2,0),ROUND((U118),0)),U118))</f>
        <v/>
      </c>
      <c r="AQ118" s="42" t="n"/>
      <c r="AR118" s="34" t="inlineStr">
        <is>
          <t>Estimated</t>
        </is>
      </c>
      <c r="AS118" s="43" t="n"/>
      <c r="AT118" s="43" t="n"/>
      <c r="AU118" s="44" t="n"/>
      <c r="AV118" s="45">
        <f>IF(((T118*pax_cap*load_thin*IF(ABS(MOD(ABS((L118*M118*revleg_thin)),1)-0.5)&lt;1E-9,2*ROUND((L118*M118*revleg_thin)/2,0),ROUND((L118*M118*revleg_thin),0)))-(((battery/range_nm)*D118*IF(ABS(MOD(ABS((L118*M118*revleg_thin)),1)-0.5)&lt;1E-9,2*ROUND((L118*M118*revleg_thin)/2,0),ROUND((L118*M118*revleg_thin),0))*VLOOKUP(B118,country_opex,3,FALSE))+W118+X118+Y118+Z118+AA118))&lt;=0,"",VLOOKUP(B118,country_opex,7,FALSE)/((T118*pax_cap*load_thin*IF(ABS(MOD(ABS((L118*M118*revleg_thin)),1)-0.5)&lt;1E-9,2*ROUND((L118*M118*revleg_thin)/2,0),ROUND((L118*M118*revleg_thin),0)))-(((battery/range_nm)*D118*IF(ABS(MOD(ABS((L118*M118*revleg_thin)),1)-0.5)&lt;1E-9,2*ROUND((L118*M118*revleg_thin)/2,0),ROUND((L118*M118*revleg_thin),0))*VLOOKUP(B118,country_opex,3,FALSE))+W118+X118+Y118+Z118+AA118)))</f>
        <v/>
      </c>
      <c r="AW118" s="45">
        <f>IF(((T118*pax_cap*IF(B118="South Korea",korea_mid_load,load_mid)*IF(ABS(MOD(ABS((L118*M118*IF(B118="South Korea",korea_mid_revleg,revleg_mid))),1)-0.5)&lt;1E-9,2*ROUND((L118*M118*IF(B118="South Korea",korea_mid_revleg,revleg_mid))/2,0),ROUND((L118*M118*IF(B118="South Korea",korea_mid_revleg,revleg_mid)),0)))-(((battery/range_nm)*D118*IF(ABS(MOD(ABS((L118*M118*IF(B118="South Korea",korea_mid_revleg,revleg_mid))),1)-0.5)&lt;1E-9,2*ROUND((L118*M118*IF(B118="South Korea",korea_mid_revleg,revleg_mid))/2,0),ROUND((L118*M118*IF(B118="South Korea",korea_mid_revleg,revleg_mid)),0))*VLOOKUP(B118,country_opex,3,FALSE))+W118+X118+Y118+Z118+AA118))&lt;=0,"",VLOOKUP(B118,country_opex,7,FALSE)/((T118*pax_cap*IF(B118="South Korea",korea_mid_load,load_mid)*IF(ABS(MOD(ABS((L118*M118*IF(B118="South Korea",korea_mid_revleg,revleg_mid))),1)-0.5)&lt;1E-9,2*ROUND((L118*M118*IF(B118="South Korea",korea_mid_revleg,revleg_mid))/2,0),ROUND((L118*M118*IF(B118="South Korea",korea_mid_revleg,revleg_mid)),0)))-(((battery/range_nm)*D118*IF(ABS(MOD(ABS((L118*M118*IF(B118="South Korea",korea_mid_revleg,revleg_mid))),1)-0.5)&lt;1E-9,2*ROUND((L118*M118*IF(B118="South Korea",korea_mid_revleg,revleg_mid))/2,0),ROUND((L118*M118*IF(B118="South Korea",korea_mid_revleg,revleg_mid)),0))*VLOOKUP(B118,country_opex,3,FALSE))+W118+X118+Y118+Z118+AA118)))</f>
        <v/>
      </c>
      <c r="AX118" s="45">
        <f>IF(((T118*pax_cap*load_full*IF(ABS(MOD(ABS((L118*M118*revleg_full)),1)-0.5)&lt;1E-9,2*ROUND((L118*M118*revleg_full)/2,0),ROUND((L118*M118*revleg_full),0)))-(((battery/range_nm)*D118*IF(ABS(MOD(ABS((L118*M118*revleg_full)),1)-0.5)&lt;1E-9,2*ROUND((L118*M118*revleg_full)/2,0),ROUND((L118*M118*revleg_full),0))*VLOOKUP(B118,country_opex,3,FALSE))+W118+X118+Y118+Z118+AA118))&lt;=0,"",VLOOKUP(B118,country_opex,7,FALSE)/((T118*pax_cap*load_full*IF(ABS(MOD(ABS((L118*M118*revleg_full)),1)-0.5)&lt;1E-9,2*ROUND((L118*M118*revleg_full)/2,0),ROUND((L118*M118*revleg_full),0)))-(((battery/range_nm)*D118*IF(ABS(MOD(ABS((L118*M118*revleg_full)),1)-0.5)&lt;1E-9,2*ROUND((L118*M118*revleg_full)/2,0),ROUND((L118*M118*revleg_full),0))*VLOOKUP(B118,country_opex,3,FALSE))+W118+X118+Y118+Z118+AA118)))</f>
        <v/>
      </c>
      <c r="AY118" s="46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Z118" s="46" t="inlineStr">
        <is>
          <t>UAE-DEMAND-ANCHORS-2026-06-17.json — tier-based addressable pool derived from sourcing wave anchors (hotel keys × occ × shuttle adoption, marina activity, RTA marine baseline).</t>
        </is>
      </c>
      <c r="BA118" s="34" t="inlineStr">
        <is>
          <t>rn-4a56839963b5</t>
        </is>
      </c>
    </row>
    <row r="119">
      <c r="A119" s="31" t="inlineStr">
        <is>
          <t>Yango Uae</t>
        </is>
      </c>
      <c r="B119" s="31" t="inlineStr">
        <is>
          <t>United Arab Emirates</t>
        </is>
      </c>
      <c r="C119" s="32" t="inlineStr">
        <is>
          <t>Dubai Harbour Marina → Anantara World Islands Resort Jetty (planned)</t>
        </is>
      </c>
      <c r="D119" s="33" t="n">
        <v>7.9</v>
      </c>
      <c r="E119" s="27" t="n">
        <v>80</v>
      </c>
      <c r="F119" s="34" t="inlineStr">
        <is>
          <t>T4</t>
        </is>
      </c>
      <c r="G119" s="34" t="inlineStr">
        <is>
          <t>low</t>
        </is>
      </c>
      <c r="H119" s="20" t="n">
        <v>1</v>
      </c>
      <c r="I119" s="35">
        <f>60*D119/cruise_kt</f>
        <v/>
      </c>
      <c r="J119" s="35">
        <f>IF(B119="South Korea",D119/korea_charge_range_nm*korea_full_range_charge_min,0)</f>
        <v/>
      </c>
      <c r="K119" s="35">
        <f>IF(B119="South Korea",I119+korea_turn_min+korea_dwell_min+J119,I119+turn_min+dwell_min)</f>
        <v/>
      </c>
      <c r="L119" s="36">
        <f>IF(B119="South Korea",FLOOR(60*korea_service_hr/K119,1),MIN(24,FLOOR(60*service_hr/K119,1)))</f>
        <v/>
      </c>
      <c r="M119" s="36">
        <f>IF(ABS(MOD(ABS((365*mech_uptime*H119)),1)-0.5)&lt;1E-9,2*ROUND((365*mech_uptime*H119)/2,0),ROUND((365*mech_uptime*H119),0))</f>
        <v/>
      </c>
      <c r="N119" s="37">
        <f>mech_uptime</f>
        <v/>
      </c>
      <c r="O119" s="37">
        <f>IF(AND(B119="South Korea",scenario="MID"),korea_mid_revleg,revleg_sel)</f>
        <v/>
      </c>
      <c r="P119" s="36">
        <f>IF(ABS(MOD(ABS((L119*M119*O119)),1)-0.5)&lt;1E-9,2*ROUND((L119*M119*O119)/2,0),ROUND((L119*M119*O119),0))</f>
        <v/>
      </c>
      <c r="Q119" s="37">
        <f>IF(AND(B119="South Korea",scenario="MID"),korea_mid_load,load_sel)</f>
        <v/>
      </c>
      <c r="R119" s="38">
        <f>pax_cap*Q119</f>
        <v/>
      </c>
      <c r="S119" s="36">
        <f>R119*P119</f>
        <v/>
      </c>
      <c r="T119" s="39">
        <f>E119*discount</f>
        <v/>
      </c>
      <c r="U119" s="40">
        <f>T119*S119</f>
        <v/>
      </c>
      <c r="V119" s="40">
        <f>(battery/range_nm)*D119*P119*VLOOKUP(B119,country_opex,3,FALSE)</f>
        <v/>
      </c>
      <c r="W119" s="40">
        <f>VLOOKUP(B119,country_opex,2,FALSE)*crew_factor</f>
        <v/>
      </c>
      <c r="X119" s="40">
        <f>VLOOKUP(B119,country_opex,5,FALSE)</f>
        <v/>
      </c>
      <c r="Y119" s="40">
        <f>maint</f>
        <v/>
      </c>
      <c r="Z119" s="40">
        <f>VLOOKUP(B119,country_opex,7,FALSE)*ins_pct</f>
        <v/>
      </c>
      <c r="AA119" s="40">
        <f>charge_berth</f>
        <v/>
      </c>
      <c r="AB119" s="40">
        <f>V119+W119+X119+Y119+Z119+AA119</f>
        <v/>
      </c>
      <c r="AC119" s="40">
        <f>VLOOKUP(B119,country_opex,7,FALSE)/dep_years</f>
        <v/>
      </c>
      <c r="AD119" s="40">
        <f>U119-AB119</f>
        <v/>
      </c>
      <c r="AE119" s="37">
        <f>IF(U119=0,"",AD119/U119)</f>
        <v/>
      </c>
      <c r="AF119" s="38">
        <f>IF(AD119&lt;=0,"",VLOOKUP(B119,country_opex,7,FALSE)/AD119)</f>
        <v/>
      </c>
      <c r="AG119" s="35">
        <f>((D119*P119/diesel_nmpg)*diesel_co2pg-(battery/range_nm)*D119*P119*VLOOKUP(B119,country_opex,4,FALSE))/1000</f>
        <v/>
      </c>
      <c r="AH119" s="33" t="n">
        <v>30000</v>
      </c>
      <c r="AI119" s="34" t="inlineStr">
        <is>
          <t>T5</t>
        </is>
      </c>
      <c r="AJ119" s="34" t="inlineStr">
        <is>
          <t>low</t>
        </is>
      </c>
      <c r="AK119" s="41" t="n">
        <v>0.1</v>
      </c>
      <c r="AL119" s="36">
        <f>IF(AH119="","",AH119*AK119)</f>
        <v/>
      </c>
      <c r="AM119" s="36">
        <f>IF(OR(AH119="",S119=0),"",MIN(IF(AU119="",9.9E+99,AU119),FLOOR(AL119/S119,1)))</f>
        <v/>
      </c>
      <c r="AN119" s="40">
        <f>IF(AM119="","",AM119*IF(ABS(MOD(ABS((U119)),1)-0.5)&lt;1E-9,2*ROUND((U119)/2,0),ROUND((U119),0)))</f>
        <v/>
      </c>
      <c r="AO119" s="38">
        <f>IF(OR(AH119="",S119=0),"",MIN(IF(AU119="",9.9E+99,AU119),AL119/S119))</f>
        <v/>
      </c>
      <c r="AP119" s="40">
        <f>IF(AO119="","",AO119*IF(B119="South Korea",IF(ABS(MOD(ABS((U119)),1)-0.5)&lt;1E-9,2*ROUND((U119)/2,0),ROUND((U119),0)),U119))</f>
        <v/>
      </c>
      <c r="AQ119" s="42" t="n"/>
      <c r="AR119" s="34" t="inlineStr">
        <is>
          <t>Estimated</t>
        </is>
      </c>
      <c r="AS119" s="43" t="n"/>
      <c r="AT119" s="43" t="n"/>
      <c r="AU119" s="44" t="n"/>
      <c r="AV119" s="45">
        <f>IF(((T119*pax_cap*load_thin*IF(ABS(MOD(ABS((L119*M119*revleg_thin)),1)-0.5)&lt;1E-9,2*ROUND((L119*M119*revleg_thin)/2,0),ROUND((L119*M119*revleg_thin),0)))-(((battery/range_nm)*D119*IF(ABS(MOD(ABS((L119*M119*revleg_thin)),1)-0.5)&lt;1E-9,2*ROUND((L119*M119*revleg_thin)/2,0),ROUND((L119*M119*revleg_thin),0))*VLOOKUP(B119,country_opex,3,FALSE))+W119+X119+Y119+Z119+AA119))&lt;=0,"",VLOOKUP(B119,country_opex,7,FALSE)/((T119*pax_cap*load_thin*IF(ABS(MOD(ABS((L119*M119*revleg_thin)),1)-0.5)&lt;1E-9,2*ROUND((L119*M119*revleg_thin)/2,0),ROUND((L119*M119*revleg_thin),0)))-(((battery/range_nm)*D119*IF(ABS(MOD(ABS((L119*M119*revleg_thin)),1)-0.5)&lt;1E-9,2*ROUND((L119*M119*revleg_thin)/2,0),ROUND((L119*M119*revleg_thin),0))*VLOOKUP(B119,country_opex,3,FALSE))+W119+X119+Y119+Z119+AA119)))</f>
        <v/>
      </c>
      <c r="AW119" s="45">
        <f>IF(((T119*pax_cap*IF(B119="South Korea",korea_mid_load,load_mid)*IF(ABS(MOD(ABS((L119*M119*IF(B119="South Korea",korea_mid_revleg,revleg_mid))),1)-0.5)&lt;1E-9,2*ROUND((L119*M119*IF(B119="South Korea",korea_mid_revleg,revleg_mid))/2,0),ROUND((L119*M119*IF(B119="South Korea",korea_mid_revleg,revleg_mid)),0)))-(((battery/range_nm)*D119*IF(ABS(MOD(ABS((L119*M119*IF(B119="South Korea",korea_mid_revleg,revleg_mid))),1)-0.5)&lt;1E-9,2*ROUND((L119*M119*IF(B119="South Korea",korea_mid_revleg,revleg_mid))/2,0),ROUND((L119*M119*IF(B119="South Korea",korea_mid_revleg,revleg_mid)),0))*VLOOKUP(B119,country_opex,3,FALSE))+W119+X119+Y119+Z119+AA119))&lt;=0,"",VLOOKUP(B119,country_opex,7,FALSE)/((T119*pax_cap*IF(B119="South Korea",korea_mid_load,load_mid)*IF(ABS(MOD(ABS((L119*M119*IF(B119="South Korea",korea_mid_revleg,revleg_mid))),1)-0.5)&lt;1E-9,2*ROUND((L119*M119*IF(B119="South Korea",korea_mid_revleg,revleg_mid))/2,0),ROUND((L119*M119*IF(B119="South Korea",korea_mid_revleg,revleg_mid)),0)))-(((battery/range_nm)*D119*IF(ABS(MOD(ABS((L119*M119*IF(B119="South Korea",korea_mid_revleg,revleg_mid))),1)-0.5)&lt;1E-9,2*ROUND((L119*M119*IF(B119="South Korea",korea_mid_revleg,revleg_mid))/2,0),ROUND((L119*M119*IF(B119="South Korea",korea_mid_revleg,revleg_mid)),0))*VLOOKUP(B119,country_opex,3,FALSE))+W119+X119+Y119+Z119+AA119)))</f>
        <v/>
      </c>
      <c r="AX119" s="45">
        <f>IF(((T119*pax_cap*load_full*IF(ABS(MOD(ABS((L119*M119*revleg_full)),1)-0.5)&lt;1E-9,2*ROUND((L119*M119*revleg_full)/2,0),ROUND((L119*M119*revleg_full),0)))-(((battery/range_nm)*D119*IF(ABS(MOD(ABS((L119*M119*revleg_full)),1)-0.5)&lt;1E-9,2*ROUND((L119*M119*revleg_full)/2,0),ROUND((L119*M119*revleg_full),0))*VLOOKUP(B119,country_opex,3,FALSE))+W119+X119+Y119+Z119+AA119))&lt;=0,"",VLOOKUP(B119,country_opex,7,FALSE)/((T119*pax_cap*load_full*IF(ABS(MOD(ABS((L119*M119*revleg_full)),1)-0.5)&lt;1E-9,2*ROUND((L119*M119*revleg_full)/2,0),ROUND((L119*M119*revleg_full),0)))-(((battery/range_nm)*D119*IF(ABS(MOD(ABS((L119*M119*revleg_full)),1)-0.5)&lt;1E-9,2*ROUND((L119*M119*revleg_full)/2,0),ROUND((L119*M119*revleg_full),0))*VLOOKUP(B119,country_opex,3,FALSE))+W119+X119+Y119+Z119+AA119)))</f>
        <v/>
      </c>
      <c r="AY119" s="46" t="inlineStr">
        <is>
          <t>Anantara World Islands Resort (boat-only; Forbes/Expedia 'accessible only by boat'). Resort shuttle ~AED 150/pax RETURN (~$20/way); premium per-seat modeled $80.</t>
        </is>
      </c>
      <c r="AZ119" s="46" t="inlineStr">
        <is>
          <t>Boot-only -&gt; arrivals=crossing ridership FULLY addressable (R3-EXCEPTION). ~70 keys x ~65% occ + day-guests.</t>
        </is>
      </c>
      <c r="BA119" s="34" t="inlineStr">
        <is>
          <t>rn-a0295522defb</t>
        </is>
      </c>
    </row>
    <row r="120">
      <c r="A120" s="31" t="inlineStr">
        <is>
          <t>Yango Uae</t>
        </is>
      </c>
      <c r="B120" s="31" t="inlineStr">
        <is>
          <t>United Arab Emirates</t>
        </is>
      </c>
      <c r="C120" s="32" t="inlineStr">
        <is>
          <t>Saadiyat Beach Club Jetty → Marina Mall / Breakwater Marina</t>
        </is>
      </c>
      <c r="D120" s="33" t="n">
        <v>8.9</v>
      </c>
      <c r="E120" s="27" t="n">
        <v>70</v>
      </c>
      <c r="F120" s="34" t="inlineStr">
        <is>
          <t>T4</t>
        </is>
      </c>
      <c r="G120" s="34" t="inlineStr">
        <is>
          <t>low</t>
        </is>
      </c>
      <c r="H120" s="20" t="n">
        <v>1</v>
      </c>
      <c r="I120" s="35">
        <f>60*D120/cruise_kt</f>
        <v/>
      </c>
      <c r="J120" s="35">
        <f>IF(B120="South Korea",D120/korea_charge_range_nm*korea_full_range_charge_min,0)</f>
        <v/>
      </c>
      <c r="K120" s="35">
        <f>IF(B120="South Korea",I120+korea_turn_min+korea_dwell_min+J120,I120+turn_min+dwell_min)</f>
        <v/>
      </c>
      <c r="L120" s="36">
        <f>IF(B120="South Korea",FLOOR(60*korea_service_hr/K120,1),MIN(24,FLOOR(60*service_hr/K120,1)))</f>
        <v/>
      </c>
      <c r="M120" s="36">
        <f>IF(ABS(MOD(ABS((365*mech_uptime*H120)),1)-0.5)&lt;1E-9,2*ROUND((365*mech_uptime*H120)/2,0),ROUND((365*mech_uptime*H120),0))</f>
        <v/>
      </c>
      <c r="N120" s="37">
        <f>mech_uptime</f>
        <v/>
      </c>
      <c r="O120" s="37">
        <f>IF(AND(B120="South Korea",scenario="MID"),korea_mid_revleg,revleg_sel)</f>
        <v/>
      </c>
      <c r="P120" s="36">
        <f>IF(ABS(MOD(ABS((L120*M120*O120)),1)-0.5)&lt;1E-9,2*ROUND((L120*M120*O120)/2,0),ROUND((L120*M120*O120),0))</f>
        <v/>
      </c>
      <c r="Q120" s="37">
        <f>IF(AND(B120="South Korea",scenario="MID"),korea_mid_load,load_sel)</f>
        <v/>
      </c>
      <c r="R120" s="38">
        <f>pax_cap*Q120</f>
        <v/>
      </c>
      <c r="S120" s="36">
        <f>R120*P120</f>
        <v/>
      </c>
      <c r="T120" s="39">
        <f>E120*discount</f>
        <v/>
      </c>
      <c r="U120" s="40">
        <f>T120*S120</f>
        <v/>
      </c>
      <c r="V120" s="40">
        <f>(battery/range_nm)*D120*P120*VLOOKUP(B120,country_opex,3,FALSE)</f>
        <v/>
      </c>
      <c r="W120" s="40">
        <f>VLOOKUP(B120,country_opex,2,FALSE)*crew_factor</f>
        <v/>
      </c>
      <c r="X120" s="40">
        <f>VLOOKUP(B120,country_opex,5,FALSE)</f>
        <v/>
      </c>
      <c r="Y120" s="40">
        <f>maint</f>
        <v/>
      </c>
      <c r="Z120" s="40">
        <f>VLOOKUP(B120,country_opex,7,FALSE)*ins_pct</f>
        <v/>
      </c>
      <c r="AA120" s="40">
        <f>charge_berth</f>
        <v/>
      </c>
      <c r="AB120" s="40">
        <f>V120+W120+X120+Y120+Z120+AA120</f>
        <v/>
      </c>
      <c r="AC120" s="40">
        <f>VLOOKUP(B120,country_opex,7,FALSE)/dep_years</f>
        <v/>
      </c>
      <c r="AD120" s="40">
        <f>U120-AB120</f>
        <v/>
      </c>
      <c r="AE120" s="37">
        <f>IF(U120=0,"",AD120/U120)</f>
        <v/>
      </c>
      <c r="AF120" s="38">
        <f>IF(AD120&lt;=0,"",VLOOKUP(B120,country_opex,7,FALSE)/AD120)</f>
        <v/>
      </c>
      <c r="AG120" s="35">
        <f>((D120*P120/diesel_nmpg)*diesel_co2pg-(battery/range_nm)*D120*P120*VLOOKUP(B120,country_opex,4,FALSE))/1000</f>
        <v/>
      </c>
      <c r="AH120" s="33" t="n">
        <v>25000</v>
      </c>
      <c r="AI120" s="34" t="inlineStr">
        <is>
          <t>T3</t>
        </is>
      </c>
      <c r="AJ120" s="34" t="inlineStr">
        <is>
          <t>low</t>
        </is>
      </c>
      <c r="AK120" s="41" t="n">
        <v>0.1</v>
      </c>
      <c r="AL120" s="36">
        <f>IF(AH120="","",AH120*AK120)</f>
        <v/>
      </c>
      <c r="AM120" s="36">
        <f>IF(OR(AH120="",S120=0),"",MIN(IF(AU120="",9.9E+99,AU120),FLOOR(AL120/S120,1)))</f>
        <v/>
      </c>
      <c r="AN120" s="40">
        <f>IF(AM120="","",AM120*IF(ABS(MOD(ABS((U120)),1)-0.5)&lt;1E-9,2*ROUND((U120)/2,0),ROUND((U120),0)))</f>
        <v/>
      </c>
      <c r="AO120" s="38">
        <f>IF(OR(AH120="",S120=0),"",MIN(IF(AU120="",9.9E+99,AU120),AL120/S120))</f>
        <v/>
      </c>
      <c r="AP120" s="40">
        <f>IF(AO120="","",AO120*IF(B120="South Korea",IF(ABS(MOD(ABS((U120)),1)-0.5)&lt;1E-9,2*ROUND((U120)/2,0),ROUND((U120),0)),U120))</f>
        <v/>
      </c>
      <c r="AQ120" s="42" t="n"/>
      <c r="AR120" s="34" t="inlineStr">
        <is>
          <t>Estimated</t>
        </is>
      </c>
      <c r="AS120" s="43" t="n"/>
      <c r="AT120" s="43" t="n"/>
      <c r="AU120" s="44" t="n"/>
      <c r="AV120" s="45">
        <f>IF(((T120*pax_cap*load_thin*IF(ABS(MOD(ABS((L120*M120*revleg_thin)),1)-0.5)&lt;1E-9,2*ROUND((L120*M120*revleg_thin)/2,0),ROUND((L120*M120*revleg_thin),0)))-(((battery/range_nm)*D120*IF(ABS(MOD(ABS((L120*M120*revleg_thin)),1)-0.5)&lt;1E-9,2*ROUND((L120*M120*revleg_thin)/2,0),ROUND((L120*M120*revleg_thin),0))*VLOOKUP(B120,country_opex,3,FALSE))+W120+X120+Y120+Z120+AA120))&lt;=0,"",VLOOKUP(B120,country_opex,7,FALSE)/((T120*pax_cap*load_thin*IF(ABS(MOD(ABS((L120*M120*revleg_thin)),1)-0.5)&lt;1E-9,2*ROUND((L120*M120*revleg_thin)/2,0),ROUND((L120*M120*revleg_thin),0)))-(((battery/range_nm)*D120*IF(ABS(MOD(ABS((L120*M120*revleg_thin)),1)-0.5)&lt;1E-9,2*ROUND((L120*M120*revleg_thin)/2,0),ROUND((L120*M120*revleg_thin),0))*VLOOKUP(B120,country_opex,3,FALSE))+W120+X120+Y120+Z120+AA120)))</f>
        <v/>
      </c>
      <c r="AW120" s="45">
        <f>IF(((T120*pax_cap*IF(B120="South Korea",korea_mid_load,load_mid)*IF(ABS(MOD(ABS((L120*M120*IF(B120="South Korea",korea_mid_revleg,revleg_mid))),1)-0.5)&lt;1E-9,2*ROUND((L120*M120*IF(B120="South Korea",korea_mid_revleg,revleg_mid))/2,0),ROUND((L120*M120*IF(B120="South Korea",korea_mid_revleg,revleg_mid)),0)))-(((battery/range_nm)*D120*IF(ABS(MOD(ABS((L120*M120*IF(B120="South Korea",korea_mid_revleg,revleg_mid))),1)-0.5)&lt;1E-9,2*ROUND((L120*M120*IF(B120="South Korea",korea_mid_revleg,revleg_mid))/2,0),ROUND((L120*M120*IF(B120="South Korea",korea_mid_revleg,revleg_mid)),0))*VLOOKUP(B120,country_opex,3,FALSE))+W120+X120+Y120+Z120+AA120))&lt;=0,"",VLOOKUP(B120,country_opex,7,FALSE)/((T120*pax_cap*IF(B120="South Korea",korea_mid_load,load_mid)*IF(ABS(MOD(ABS((L120*M120*IF(B120="South Korea",korea_mid_revleg,revleg_mid))),1)-0.5)&lt;1E-9,2*ROUND((L120*M120*IF(B120="South Korea",korea_mid_revleg,revleg_mid))/2,0),ROUND((L120*M120*IF(B120="South Korea",korea_mid_revleg,revleg_mid)),0)))-(((battery/range_nm)*D120*IF(ABS(MOD(ABS((L120*M120*IF(B120="South Korea",korea_mid_revleg,revleg_mid))),1)-0.5)&lt;1E-9,2*ROUND((L120*M120*IF(B120="South Korea",korea_mid_revleg,revleg_mid))/2,0),ROUND((L120*M120*IF(B120="South Korea",korea_mid_revleg,revleg_mid)),0))*VLOOKUP(B120,country_opex,3,FALSE))+W120+X120+Y120+Z120+AA120)))</f>
        <v/>
      </c>
      <c r="AX120" s="45">
        <f>IF(((T120*pax_cap*load_full*IF(ABS(MOD(ABS((L120*M120*revleg_full)),1)-0.5)&lt;1E-9,2*ROUND((L120*M120*revleg_full)/2,0),ROUND((L120*M120*revleg_full),0)))-(((battery/range_nm)*D120*IF(ABS(MOD(ABS((L120*M120*revleg_full)),1)-0.5)&lt;1E-9,2*ROUND((L120*M120*revleg_full)/2,0),ROUND((L120*M120*revleg_full),0))*VLOOKUP(B120,country_opex,3,FALSE))+W120+X120+Y120+Z120+AA120))&lt;=0,"",VLOOKUP(B120,country_opex,7,FALSE)/((T120*pax_cap*load_full*IF(ABS(MOD(ABS((L120*M120*revleg_full)),1)-0.5)&lt;1E-9,2*ROUND((L120*M120*revleg_full)/2,0),ROUND((L120*M120*revleg_full),0)))-(((battery/range_nm)*D120*IF(ABS(MOD(ABS((L120*M120*revleg_full)),1)-0.5)&lt;1E-9,2*ROUND((L120*M120*revleg_full)/2,0),ROUND((L120*M120*revleg_full),0))*VLOOKUP(B120,country_opex,3,FALSE))+W120+X120+Y120+Z120+AA120)))</f>
        <v/>
      </c>
      <c r="AY120" s="46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Z120" s="46" t="inlineStr">
        <is>
          <t>UAE-DEMAND-ANCHORS-2026-06-17.json — tier-based addressable pool derived from sourcing wave anchors (hotel keys × occ × shuttle adoption, marina activity, RTA marine baseline).</t>
        </is>
      </c>
      <c r="BA120" s="34" t="inlineStr">
        <is>
          <t>rn-6b584e8b2049</t>
        </is>
      </c>
    </row>
    <row r="121">
      <c r="A121" s="31" t="inlineStr">
        <is>
          <t>Yango Uae</t>
        </is>
      </c>
      <c r="B121" s="31" t="inlineStr">
        <is>
          <t>United Arab Emirates</t>
        </is>
      </c>
      <c r="C121" s="32" t="inlineStr">
        <is>
          <t>Dubai Harbour Marina → Côte d'Azur Resort Marina (Heart of Europe)</t>
        </is>
      </c>
      <c r="D121" s="33" t="n">
        <v>9.199999999999999</v>
      </c>
      <c r="E121" s="27" t="n">
        <v>175</v>
      </c>
      <c r="F121" s="34" t="inlineStr">
        <is>
          <t>T5</t>
        </is>
      </c>
      <c r="G121" s="34" t="inlineStr">
        <is>
          <t>low</t>
        </is>
      </c>
      <c r="H121" s="20" t="n">
        <v>1</v>
      </c>
      <c r="I121" s="35">
        <f>60*D121/cruise_kt</f>
        <v/>
      </c>
      <c r="J121" s="35">
        <f>IF(B121="South Korea",D121/korea_charge_range_nm*korea_full_range_charge_min,0)</f>
        <v/>
      </c>
      <c r="K121" s="35">
        <f>IF(B121="South Korea",I121+korea_turn_min+korea_dwell_min+J121,I121+turn_min+dwell_min)</f>
        <v/>
      </c>
      <c r="L121" s="36">
        <f>IF(B121="South Korea",FLOOR(60*korea_service_hr/K121,1),MIN(24,FLOOR(60*service_hr/K121,1)))</f>
        <v/>
      </c>
      <c r="M121" s="36">
        <f>IF(ABS(MOD(ABS((365*mech_uptime*H121)),1)-0.5)&lt;1E-9,2*ROUND((365*mech_uptime*H121)/2,0),ROUND((365*mech_uptime*H121),0))</f>
        <v/>
      </c>
      <c r="N121" s="37">
        <f>mech_uptime</f>
        <v/>
      </c>
      <c r="O121" s="37">
        <f>IF(AND(B121="South Korea",scenario="MID"),korea_mid_revleg,revleg_sel)</f>
        <v/>
      </c>
      <c r="P121" s="36">
        <f>IF(ABS(MOD(ABS((L121*M121*O121)),1)-0.5)&lt;1E-9,2*ROUND((L121*M121*O121)/2,0),ROUND((L121*M121*O121),0))</f>
        <v/>
      </c>
      <c r="Q121" s="37">
        <f>IF(AND(B121="South Korea",scenario="MID"),korea_mid_load,load_sel)</f>
        <v/>
      </c>
      <c r="R121" s="38">
        <f>pax_cap*Q121</f>
        <v/>
      </c>
      <c r="S121" s="36">
        <f>R121*P121</f>
        <v/>
      </c>
      <c r="T121" s="39">
        <f>E121*discount</f>
        <v/>
      </c>
      <c r="U121" s="40">
        <f>T121*S121</f>
        <v/>
      </c>
      <c r="V121" s="40">
        <f>(battery/range_nm)*D121*P121*VLOOKUP(B121,country_opex,3,FALSE)</f>
        <v/>
      </c>
      <c r="W121" s="40">
        <f>VLOOKUP(B121,country_opex,2,FALSE)*crew_factor</f>
        <v/>
      </c>
      <c r="X121" s="40">
        <f>VLOOKUP(B121,country_opex,5,FALSE)</f>
        <v/>
      </c>
      <c r="Y121" s="40">
        <f>maint</f>
        <v/>
      </c>
      <c r="Z121" s="40">
        <f>VLOOKUP(B121,country_opex,7,FALSE)*ins_pct</f>
        <v/>
      </c>
      <c r="AA121" s="40">
        <f>charge_berth</f>
        <v/>
      </c>
      <c r="AB121" s="40">
        <f>V121+W121+X121+Y121+Z121+AA121</f>
        <v/>
      </c>
      <c r="AC121" s="40">
        <f>VLOOKUP(B121,country_opex,7,FALSE)/dep_years</f>
        <v/>
      </c>
      <c r="AD121" s="40">
        <f>U121-AB121</f>
        <v/>
      </c>
      <c r="AE121" s="37">
        <f>IF(U121=0,"",AD121/U121)</f>
        <v/>
      </c>
      <c r="AF121" s="38">
        <f>IF(AD121&lt;=0,"",VLOOKUP(B121,country_opex,7,FALSE)/AD121)</f>
        <v/>
      </c>
      <c r="AG121" s="35">
        <f>((D121*P121/diesel_nmpg)*diesel_co2pg-(battery/range_nm)*D121*P121*VLOOKUP(B121,country_opex,4,FALSE))/1000</f>
        <v/>
      </c>
      <c r="AH121" s="33" t="n">
        <v>70000</v>
      </c>
      <c r="AI121" s="34" t="inlineStr">
        <is>
          <t>T2</t>
        </is>
      </c>
      <c r="AJ121" s="34" t="inlineStr">
        <is>
          <t>medium</t>
        </is>
      </c>
      <c r="AK121" s="41" t="n">
        <v>0.1</v>
      </c>
      <c r="AL121" s="36">
        <f>IF(AH121="","",AH121*AK121)</f>
        <v/>
      </c>
      <c r="AM121" s="36">
        <f>IF(OR(AH121="",S121=0),"",MIN(IF(AU121="",9.9E+99,AU121),FLOOR(AL121/S121,1)))</f>
        <v/>
      </c>
      <c r="AN121" s="40">
        <f>IF(AM121="","",AM121*IF(ABS(MOD(ABS((U121)),1)-0.5)&lt;1E-9,2*ROUND((U121)/2,0),ROUND((U121),0)))</f>
        <v/>
      </c>
      <c r="AO121" s="38">
        <f>IF(OR(AH121="",S121=0),"",MIN(IF(AU121="",9.9E+99,AU121),AL121/S121))</f>
        <v/>
      </c>
      <c r="AP121" s="40">
        <f>IF(AO121="","",AO121*IF(B121="South Korea",IF(ABS(MOD(ABS((U121)),1)-0.5)&lt;1E-9,2*ROUND((U121)/2,0),ROUND((U121),0)),U121))</f>
        <v/>
      </c>
      <c r="AQ121" s="42" t="n"/>
      <c r="AR121" s="34" t="inlineStr">
        <is>
          <t>Estimated</t>
        </is>
      </c>
      <c r="AS121" s="43" t="n"/>
      <c r="AT121" s="43" t="n"/>
      <c r="AU121" s="44" t="n"/>
      <c r="AV121" s="45">
        <f>IF(((T121*pax_cap*load_thin*IF(ABS(MOD(ABS((L121*M121*revleg_thin)),1)-0.5)&lt;1E-9,2*ROUND((L121*M121*revleg_thin)/2,0),ROUND((L121*M121*revleg_thin),0)))-(((battery/range_nm)*D121*IF(ABS(MOD(ABS((L121*M121*revleg_thin)),1)-0.5)&lt;1E-9,2*ROUND((L121*M121*revleg_thin)/2,0),ROUND((L121*M121*revleg_thin),0))*VLOOKUP(B121,country_opex,3,FALSE))+W121+X121+Y121+Z121+AA121))&lt;=0,"",VLOOKUP(B121,country_opex,7,FALSE)/((T121*pax_cap*load_thin*IF(ABS(MOD(ABS((L121*M121*revleg_thin)),1)-0.5)&lt;1E-9,2*ROUND((L121*M121*revleg_thin)/2,0),ROUND((L121*M121*revleg_thin),0)))-(((battery/range_nm)*D121*IF(ABS(MOD(ABS((L121*M121*revleg_thin)),1)-0.5)&lt;1E-9,2*ROUND((L121*M121*revleg_thin)/2,0),ROUND((L121*M121*revleg_thin),0))*VLOOKUP(B121,country_opex,3,FALSE))+W121+X121+Y121+Z121+AA121)))</f>
        <v/>
      </c>
      <c r="AW121" s="45">
        <f>IF(((T121*pax_cap*IF(B121="South Korea",korea_mid_load,load_mid)*IF(ABS(MOD(ABS((L121*M121*IF(B121="South Korea",korea_mid_revleg,revleg_mid))),1)-0.5)&lt;1E-9,2*ROUND((L121*M121*IF(B121="South Korea",korea_mid_revleg,revleg_mid))/2,0),ROUND((L121*M121*IF(B121="South Korea",korea_mid_revleg,revleg_mid)),0)))-(((battery/range_nm)*D121*IF(ABS(MOD(ABS((L121*M121*IF(B121="South Korea",korea_mid_revleg,revleg_mid))),1)-0.5)&lt;1E-9,2*ROUND((L121*M121*IF(B121="South Korea",korea_mid_revleg,revleg_mid))/2,0),ROUND((L121*M121*IF(B121="South Korea",korea_mid_revleg,revleg_mid)),0))*VLOOKUP(B121,country_opex,3,FALSE))+W121+X121+Y121+Z121+AA121))&lt;=0,"",VLOOKUP(B121,country_opex,7,FALSE)/((T121*pax_cap*IF(B121="South Korea",korea_mid_load,load_mid)*IF(ABS(MOD(ABS((L121*M121*IF(B121="South Korea",korea_mid_revleg,revleg_mid))),1)-0.5)&lt;1E-9,2*ROUND((L121*M121*IF(B121="South Korea",korea_mid_revleg,revleg_mid))/2,0),ROUND((L121*M121*IF(B121="South Korea",korea_mid_revleg,revleg_mid)),0)))-(((battery/range_nm)*D121*IF(ABS(MOD(ABS((L121*M121*IF(B121="South Korea",korea_mid_revleg,revleg_mid))),1)-0.5)&lt;1E-9,2*ROUND((L121*M121*IF(B121="South Korea",korea_mid_revleg,revleg_mid))/2,0),ROUND((L121*M121*IF(B121="South Korea",korea_mid_revleg,revleg_mid)),0))*VLOOKUP(B121,country_opex,3,FALSE))+W121+X121+Y121+Z121+AA121)))</f>
        <v/>
      </c>
      <c r="AX121" s="45">
        <f>IF(((T121*pax_cap*load_full*IF(ABS(MOD(ABS((L121*M121*revleg_full)),1)-0.5)&lt;1E-9,2*ROUND((L121*M121*revleg_full)/2,0),ROUND((L121*M121*revleg_full),0)))-(((battery/range_nm)*D121*IF(ABS(MOD(ABS((L121*M121*revleg_full)),1)-0.5)&lt;1E-9,2*ROUND((L121*M121*revleg_full)/2,0),ROUND((L121*M121*revleg_full),0))*VLOOKUP(B121,country_opex,3,FALSE))+W121+X121+Y121+Z121+AA121))&lt;=0,"",VLOOKUP(B121,country_opex,7,FALSE)/((T121*pax_cap*load_full*IF(ABS(MOD(ABS((L121*M121*revleg_full)),1)-0.5)&lt;1E-9,2*ROUND((L121*M121*revleg_full)/2,0),ROUND((L121*M121*revleg_full),0)))-(((battery/range_nm)*D121*IF(ABS(MOD(ABS((L121*M121*revleg_full)),1)-0.5)&lt;1E-9,2*ROUND((L121*M121*revleg_full)/2,0),ROUND((L121*M121*revleg_full),0))*VLOOKUP(B121,country_opex,3,FALSE))+W121+X121+Y121+Z121+AA121)))</f>
        <v/>
      </c>
      <c r="AY121" s="46" t="inlineStr">
        <is>
          <t>The World (Heart of Europe/Cote d'Azur) boat-only offshore. Shared per-seat $56-120/pax; resort transfers bundled. T5/low - opportunity-to-create.</t>
        </is>
      </c>
      <c r="AZ121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21" s="34" t="inlineStr">
        <is>
          <t>rn-12f09bd4d4d6</t>
        </is>
      </c>
    </row>
    <row r="122">
      <c r="A122" s="31" t="inlineStr">
        <is>
          <t>Yango Uae</t>
        </is>
      </c>
      <c r="B122" s="31" t="inlineStr">
        <is>
          <t>United Arab Emirates</t>
        </is>
      </c>
      <c r="C122" s="32" t="inlineStr">
        <is>
          <t>Vida Beach Resort Umm Al Quwain → Sharjah Waterfront City marina</t>
        </is>
      </c>
      <c r="D122" s="33" t="n">
        <v>9.6</v>
      </c>
      <c r="E122" s="27" t="n"/>
      <c r="F122" s="34" t="n"/>
      <c r="G122" s="34" t="n"/>
      <c r="H122" s="20" t="n">
        <v>1</v>
      </c>
      <c r="I122" s="35">
        <f>60*D122/cruise_kt</f>
        <v/>
      </c>
      <c r="J122" s="35">
        <f>IF(B122="South Korea",D122/korea_charge_range_nm*korea_full_range_charge_min,0)</f>
        <v/>
      </c>
      <c r="K122" s="35">
        <f>IF(B122="South Korea",I122+korea_turn_min+korea_dwell_min+J122,I122+turn_min+dwell_min)</f>
        <v/>
      </c>
      <c r="L122" s="36">
        <f>IF(B122="South Korea",FLOOR(60*korea_service_hr/K122,1),MIN(15,FLOOR(60*service_hr/K122,1)))</f>
        <v/>
      </c>
      <c r="M122" s="36">
        <f>IF(ABS(MOD(ABS((365*mech_uptime*H122)),1)-0.5)&lt;1E-9,2*ROUND((365*mech_uptime*H122)/2,0),ROUND((365*mech_uptime*H122),0))</f>
        <v/>
      </c>
      <c r="N122" s="37">
        <f>mech_uptime</f>
        <v/>
      </c>
      <c r="O122" s="37">
        <f>IF(AND(B122="South Korea",scenario="MID"),korea_mid_revleg,revleg_sel)</f>
        <v/>
      </c>
      <c r="P122" s="36">
        <f>IF(ABS(MOD(ABS((L122*M122*O122)),1)-0.5)&lt;1E-9,2*ROUND((L122*M122*O122)/2,0),ROUND((L122*M122*O122),0))</f>
        <v/>
      </c>
      <c r="Q122" s="37">
        <f>IF(AND(B122="South Korea",scenario="MID"),korea_mid_load,load_sel)</f>
        <v/>
      </c>
      <c r="R122" s="38">
        <f>pax_cap*Q122</f>
        <v/>
      </c>
      <c r="S122" s="36">
        <f>R122*P122</f>
        <v/>
      </c>
      <c r="T122" s="39">
        <f>E122*discount</f>
        <v/>
      </c>
      <c r="U122" s="40">
        <f>T122*S122</f>
        <v/>
      </c>
      <c r="V122" s="40">
        <f>(battery/range_nm)*D122*P122*VLOOKUP(B122,country_opex,3,FALSE)</f>
        <v/>
      </c>
      <c r="W122" s="40">
        <f>VLOOKUP(B122,country_opex,2,FALSE)*crew_factor</f>
        <v/>
      </c>
      <c r="X122" s="40">
        <f>VLOOKUP(B122,country_opex,5,FALSE)</f>
        <v/>
      </c>
      <c r="Y122" s="40">
        <f>maint</f>
        <v/>
      </c>
      <c r="Z122" s="40">
        <f>VLOOKUP(B122,country_opex,7,FALSE)*ins_pct</f>
        <v/>
      </c>
      <c r="AA122" s="40">
        <f>charge_berth</f>
        <v/>
      </c>
      <c r="AB122" s="40">
        <f>V122+W122+X122+Y122+Z122+AA122</f>
        <v/>
      </c>
      <c r="AC122" s="40">
        <f>VLOOKUP(B122,country_opex,7,FALSE)/dep_years</f>
        <v/>
      </c>
      <c r="AD122" s="40">
        <f>U122-AB122</f>
        <v/>
      </c>
      <c r="AE122" s="37">
        <f>IF(U122=0,"",AD122/U122)</f>
        <v/>
      </c>
      <c r="AF122" s="38">
        <f>IF(AD122&lt;=0,"",VLOOKUP(B122,country_opex,7,FALSE)/AD122)</f>
        <v/>
      </c>
      <c r="AG122" s="35">
        <f>((D122*P122/diesel_nmpg)*diesel_co2pg-(battery/range_nm)*D122*P122*VLOOKUP(B122,country_opex,4,FALSE))/1000</f>
        <v/>
      </c>
      <c r="AH122" s="33" t="n"/>
      <c r="AI122" s="34" t="n"/>
      <c r="AJ122" s="34" t="n"/>
      <c r="AK122" s="41" t="n">
        <v>0.1</v>
      </c>
      <c r="AL122" s="36">
        <f>IF(AH122="","",AH122*AK122)</f>
        <v/>
      </c>
      <c r="AM122" s="36">
        <f>IF(OR(AH122="",S122=0),"",MIN(IF(AU122="",9.9E+99,AU122),FLOOR(AL122/S122,1)))</f>
        <v/>
      </c>
      <c r="AN122" s="40">
        <f>IF(AM122="","",AM122*IF(ABS(MOD(ABS((U122)),1)-0.5)&lt;1E-9,2*ROUND((U122)/2,0),ROUND((U122),0)))</f>
        <v/>
      </c>
      <c r="AO122" s="38">
        <f>IF(OR(AH122="",S122=0),"",MIN(IF(AU122="",9.9E+99,AU122),AL122/S122))</f>
        <v/>
      </c>
      <c r="AP122" s="40">
        <f>IF(AO122="","",AO122*IF(B122="South Korea",IF(ABS(MOD(ABS((U122)),1)-0.5)&lt;1E-9,2*ROUND((U122)/2,0),ROUND((U122),0)),U122))</f>
        <v/>
      </c>
      <c r="AQ122" s="42" t="n"/>
      <c r="AR122" s="34" t="inlineStr">
        <is>
          <t>Estimated</t>
        </is>
      </c>
      <c r="AS122" s="43" t="n"/>
      <c r="AT122" s="43" t="n"/>
      <c r="AU122" s="44" t="n"/>
      <c r="AV122" s="45">
        <f>IF(((T122*pax_cap*load_thin*IF(ABS(MOD(ABS((L122*M122*revleg_thin)),1)-0.5)&lt;1E-9,2*ROUND((L122*M122*revleg_thin)/2,0),ROUND((L122*M122*revleg_thin),0)))-(((battery/range_nm)*D122*IF(ABS(MOD(ABS((L122*M122*revleg_thin)),1)-0.5)&lt;1E-9,2*ROUND((L122*M122*revleg_thin)/2,0),ROUND((L122*M122*revleg_thin),0))*VLOOKUP(B122,country_opex,3,FALSE))+W122+X122+Y122+Z122+AA122))&lt;=0,"",VLOOKUP(B122,country_opex,7,FALSE)/((T122*pax_cap*load_thin*IF(ABS(MOD(ABS((L122*M122*revleg_thin)),1)-0.5)&lt;1E-9,2*ROUND((L122*M122*revleg_thin)/2,0),ROUND((L122*M122*revleg_thin),0)))-(((battery/range_nm)*D122*IF(ABS(MOD(ABS((L122*M122*revleg_thin)),1)-0.5)&lt;1E-9,2*ROUND((L122*M122*revleg_thin)/2,0),ROUND((L122*M122*revleg_thin),0))*VLOOKUP(B122,country_opex,3,FALSE))+W122+X122+Y122+Z122+AA122)))</f>
        <v/>
      </c>
      <c r="AW122" s="45">
        <f>IF(((T122*pax_cap*IF(B122="South Korea",korea_mid_load,load_mid)*IF(ABS(MOD(ABS((L122*M122*IF(B122="South Korea",korea_mid_revleg,revleg_mid))),1)-0.5)&lt;1E-9,2*ROUND((L122*M122*IF(B122="South Korea",korea_mid_revleg,revleg_mid))/2,0),ROUND((L122*M122*IF(B122="South Korea",korea_mid_revleg,revleg_mid)),0)))-(((battery/range_nm)*D122*IF(ABS(MOD(ABS((L122*M122*IF(B122="South Korea",korea_mid_revleg,revleg_mid))),1)-0.5)&lt;1E-9,2*ROUND((L122*M122*IF(B122="South Korea",korea_mid_revleg,revleg_mid))/2,0),ROUND((L122*M122*IF(B122="South Korea",korea_mid_revleg,revleg_mid)),0))*VLOOKUP(B122,country_opex,3,FALSE))+W122+X122+Y122+Z122+AA122))&lt;=0,"",VLOOKUP(B122,country_opex,7,FALSE)/((T122*pax_cap*IF(B122="South Korea",korea_mid_load,load_mid)*IF(ABS(MOD(ABS((L122*M122*IF(B122="South Korea",korea_mid_revleg,revleg_mid))),1)-0.5)&lt;1E-9,2*ROUND((L122*M122*IF(B122="South Korea",korea_mid_revleg,revleg_mid))/2,0),ROUND((L122*M122*IF(B122="South Korea",korea_mid_revleg,revleg_mid)),0)))-(((battery/range_nm)*D122*IF(ABS(MOD(ABS((L122*M122*IF(B122="South Korea",korea_mid_revleg,revleg_mid))),1)-0.5)&lt;1E-9,2*ROUND((L122*M122*IF(B122="South Korea",korea_mid_revleg,revleg_mid))/2,0),ROUND((L122*M122*IF(B122="South Korea",korea_mid_revleg,revleg_mid)),0))*VLOOKUP(B122,country_opex,3,FALSE))+W122+X122+Y122+Z122+AA122)))</f>
        <v/>
      </c>
      <c r="AX122" s="45">
        <f>IF(((T122*pax_cap*load_full*IF(ABS(MOD(ABS((L122*M122*revleg_full)),1)-0.5)&lt;1E-9,2*ROUND((L122*M122*revleg_full)/2,0),ROUND((L122*M122*revleg_full),0)))-(((battery/range_nm)*D122*IF(ABS(MOD(ABS((L122*M122*revleg_full)),1)-0.5)&lt;1E-9,2*ROUND((L122*M122*revleg_full)/2,0),ROUND((L122*M122*revleg_full),0))*VLOOKUP(B122,country_opex,3,FALSE))+W122+X122+Y122+Z122+AA122))&lt;=0,"",VLOOKUP(B122,country_opex,7,FALSE)/((T122*pax_cap*load_full*IF(ABS(MOD(ABS((L122*M122*revleg_full)),1)-0.5)&lt;1E-9,2*ROUND((L122*M122*revleg_full)/2,0),ROUND((L122*M122*revleg_full),0)))-(((battery/range_nm)*D122*IF(ABS(MOD(ABS((L122*M122*revleg_full)),1)-0.5)&lt;1E-9,2*ROUND((L122*M122*revleg_full)/2,0),ROUND((L122*M122*revleg_full),0))*VLOOKUP(B122,country_opex,3,FALSE))+W122+X122+Y122+Z122+AA122)))</f>
        <v/>
      </c>
      <c r="AY122" s="46" t="n"/>
      <c r="AZ122" s="46" t="n"/>
      <c r="BA122" s="34" t="inlineStr">
        <is>
          <t>rn-02a40748974d</t>
        </is>
      </c>
    </row>
    <row r="123">
      <c r="A123" s="31" t="inlineStr">
        <is>
          <t>Yango Uae</t>
        </is>
      </c>
      <c r="B123" s="31" t="inlineStr">
        <is>
          <t>United Arab Emirates</t>
        </is>
      </c>
      <c r="C123" s="32" t="inlineStr">
        <is>
          <t>Bluewaters Marina → Heart of Europe — Main Marina (The World)</t>
        </is>
      </c>
      <c r="D123" s="33" t="n">
        <v>9.880000000000001</v>
      </c>
      <c r="E123" s="27" t="n">
        <v>175</v>
      </c>
      <c r="F123" s="34" t="inlineStr">
        <is>
          <t>T5</t>
        </is>
      </c>
      <c r="G123" s="34" t="inlineStr">
        <is>
          <t>low</t>
        </is>
      </c>
      <c r="H123" s="20" t="n">
        <v>1</v>
      </c>
      <c r="I123" s="35">
        <f>60*D123/cruise_kt</f>
        <v/>
      </c>
      <c r="J123" s="35">
        <f>IF(B123="South Korea",D123/korea_charge_range_nm*korea_full_range_charge_min,0)</f>
        <v/>
      </c>
      <c r="K123" s="35">
        <f>IF(B123="South Korea",I123+korea_turn_min+korea_dwell_min+J123,I123+turn_min+dwell_min)</f>
        <v/>
      </c>
      <c r="L123" s="36">
        <f>IF(B123="South Korea",FLOOR(60*korea_service_hr/K123,1),MIN(24,FLOOR(60*service_hr/K123,1)))</f>
        <v/>
      </c>
      <c r="M123" s="36">
        <f>IF(ABS(MOD(ABS((365*mech_uptime*H123)),1)-0.5)&lt;1E-9,2*ROUND((365*mech_uptime*H123)/2,0),ROUND((365*mech_uptime*H123),0))</f>
        <v/>
      </c>
      <c r="N123" s="37">
        <f>mech_uptime</f>
        <v/>
      </c>
      <c r="O123" s="37">
        <f>IF(AND(B123="South Korea",scenario="MID"),korea_mid_revleg,revleg_sel)</f>
        <v/>
      </c>
      <c r="P123" s="36">
        <f>IF(ABS(MOD(ABS((L123*M123*O123)),1)-0.5)&lt;1E-9,2*ROUND((L123*M123*O123)/2,0),ROUND((L123*M123*O123),0))</f>
        <v/>
      </c>
      <c r="Q123" s="37">
        <f>IF(AND(B123="South Korea",scenario="MID"),korea_mid_load,load_sel)</f>
        <v/>
      </c>
      <c r="R123" s="38">
        <f>pax_cap*Q123</f>
        <v/>
      </c>
      <c r="S123" s="36">
        <f>R123*P123</f>
        <v/>
      </c>
      <c r="T123" s="39">
        <f>E123*discount</f>
        <v/>
      </c>
      <c r="U123" s="40">
        <f>T123*S123</f>
        <v/>
      </c>
      <c r="V123" s="40">
        <f>(battery/range_nm)*D123*P123*VLOOKUP(B123,country_opex,3,FALSE)</f>
        <v/>
      </c>
      <c r="W123" s="40">
        <f>VLOOKUP(B123,country_opex,2,FALSE)*crew_factor</f>
        <v/>
      </c>
      <c r="X123" s="40">
        <f>VLOOKUP(B123,country_opex,5,FALSE)</f>
        <v/>
      </c>
      <c r="Y123" s="40">
        <f>maint</f>
        <v/>
      </c>
      <c r="Z123" s="40">
        <f>VLOOKUP(B123,country_opex,7,FALSE)*ins_pct</f>
        <v/>
      </c>
      <c r="AA123" s="40">
        <f>charge_berth</f>
        <v/>
      </c>
      <c r="AB123" s="40">
        <f>V123+W123+X123+Y123+Z123+AA123</f>
        <v/>
      </c>
      <c r="AC123" s="40">
        <f>VLOOKUP(B123,country_opex,7,FALSE)/dep_years</f>
        <v/>
      </c>
      <c r="AD123" s="40">
        <f>U123-AB123</f>
        <v/>
      </c>
      <c r="AE123" s="37">
        <f>IF(U123=0,"",AD123/U123)</f>
        <v/>
      </c>
      <c r="AF123" s="38">
        <f>IF(AD123&lt;=0,"",VLOOKUP(B123,country_opex,7,FALSE)/AD123)</f>
        <v/>
      </c>
      <c r="AG123" s="35">
        <f>((D123*P123/diesel_nmpg)*diesel_co2pg-(battery/range_nm)*D123*P123*VLOOKUP(B123,country_opex,4,FALSE))/1000</f>
        <v/>
      </c>
      <c r="AH123" s="33" t="n">
        <v>20000</v>
      </c>
      <c r="AI123" s="34" t="inlineStr">
        <is>
          <t>T3</t>
        </is>
      </c>
      <c r="AJ123" s="34" t="inlineStr">
        <is>
          <t>low</t>
        </is>
      </c>
      <c r="AK123" s="41" t="n">
        <v>0.1</v>
      </c>
      <c r="AL123" s="36">
        <f>IF(AH123="","",AH123*AK123)</f>
        <v/>
      </c>
      <c r="AM123" s="36">
        <f>IF(OR(AH123="",S123=0),"",MIN(IF(AU123="",9.9E+99,AU123),FLOOR(AL123/S123,1)))</f>
        <v/>
      </c>
      <c r="AN123" s="40">
        <f>IF(AM123="","",AM123*IF(ABS(MOD(ABS((U123)),1)-0.5)&lt;1E-9,2*ROUND((U123)/2,0),ROUND((U123),0)))</f>
        <v/>
      </c>
      <c r="AO123" s="38">
        <f>IF(OR(AH123="",S123=0),"",MIN(IF(AU123="",9.9E+99,AU123),AL123/S123))</f>
        <v/>
      </c>
      <c r="AP123" s="40">
        <f>IF(AO123="","",AO123*IF(B123="South Korea",IF(ABS(MOD(ABS((U123)),1)-0.5)&lt;1E-9,2*ROUND((U123)/2,0),ROUND((U123),0)),U123))</f>
        <v/>
      </c>
      <c r="AQ123" s="42" t="n"/>
      <c r="AR123" s="34" t="inlineStr">
        <is>
          <t>Estimated</t>
        </is>
      </c>
      <c r="AS123" s="43" t="n"/>
      <c r="AT123" s="43" t="n"/>
      <c r="AU123" s="44" t="n"/>
      <c r="AV123" s="45">
        <f>IF(((T123*pax_cap*load_thin*IF(ABS(MOD(ABS((L123*M123*revleg_thin)),1)-0.5)&lt;1E-9,2*ROUND((L123*M123*revleg_thin)/2,0),ROUND((L123*M123*revleg_thin),0)))-(((battery/range_nm)*D123*IF(ABS(MOD(ABS((L123*M123*revleg_thin)),1)-0.5)&lt;1E-9,2*ROUND((L123*M123*revleg_thin)/2,0),ROUND((L123*M123*revleg_thin),0))*VLOOKUP(B123,country_opex,3,FALSE))+W123+X123+Y123+Z123+AA123))&lt;=0,"",VLOOKUP(B123,country_opex,7,FALSE)/((T123*pax_cap*load_thin*IF(ABS(MOD(ABS((L123*M123*revleg_thin)),1)-0.5)&lt;1E-9,2*ROUND((L123*M123*revleg_thin)/2,0),ROUND((L123*M123*revleg_thin),0)))-(((battery/range_nm)*D123*IF(ABS(MOD(ABS((L123*M123*revleg_thin)),1)-0.5)&lt;1E-9,2*ROUND((L123*M123*revleg_thin)/2,0),ROUND((L123*M123*revleg_thin),0))*VLOOKUP(B123,country_opex,3,FALSE))+W123+X123+Y123+Z123+AA123)))</f>
        <v/>
      </c>
      <c r="AW123" s="45">
        <f>IF(((T123*pax_cap*IF(B123="South Korea",korea_mid_load,load_mid)*IF(ABS(MOD(ABS((L123*M123*IF(B123="South Korea",korea_mid_revleg,revleg_mid))),1)-0.5)&lt;1E-9,2*ROUND((L123*M123*IF(B123="South Korea",korea_mid_revleg,revleg_mid))/2,0),ROUND((L123*M123*IF(B123="South Korea",korea_mid_revleg,revleg_mid)),0)))-(((battery/range_nm)*D123*IF(ABS(MOD(ABS((L123*M123*IF(B123="South Korea",korea_mid_revleg,revleg_mid))),1)-0.5)&lt;1E-9,2*ROUND((L123*M123*IF(B123="South Korea",korea_mid_revleg,revleg_mid))/2,0),ROUND((L123*M123*IF(B123="South Korea",korea_mid_revleg,revleg_mid)),0))*VLOOKUP(B123,country_opex,3,FALSE))+W123+X123+Y123+Z123+AA123))&lt;=0,"",VLOOKUP(B123,country_opex,7,FALSE)/((T123*pax_cap*IF(B123="South Korea",korea_mid_load,load_mid)*IF(ABS(MOD(ABS((L123*M123*IF(B123="South Korea",korea_mid_revleg,revleg_mid))),1)-0.5)&lt;1E-9,2*ROUND((L123*M123*IF(B123="South Korea",korea_mid_revleg,revleg_mid))/2,0),ROUND((L123*M123*IF(B123="South Korea",korea_mid_revleg,revleg_mid)),0)))-(((battery/range_nm)*D123*IF(ABS(MOD(ABS((L123*M123*IF(B123="South Korea",korea_mid_revleg,revleg_mid))),1)-0.5)&lt;1E-9,2*ROUND((L123*M123*IF(B123="South Korea",korea_mid_revleg,revleg_mid))/2,0),ROUND((L123*M123*IF(B123="South Korea",korea_mid_revleg,revleg_mid)),0))*VLOOKUP(B123,country_opex,3,FALSE))+W123+X123+Y123+Z123+AA123)))</f>
        <v/>
      </c>
      <c r="AX123" s="45">
        <f>IF(((T123*pax_cap*load_full*IF(ABS(MOD(ABS((L123*M123*revleg_full)),1)-0.5)&lt;1E-9,2*ROUND((L123*M123*revleg_full)/2,0),ROUND((L123*M123*revleg_full),0)))-(((battery/range_nm)*D123*IF(ABS(MOD(ABS((L123*M123*revleg_full)),1)-0.5)&lt;1E-9,2*ROUND((L123*M123*revleg_full)/2,0),ROUND((L123*M123*revleg_full),0))*VLOOKUP(B123,country_opex,3,FALSE))+W123+X123+Y123+Z123+AA123))&lt;=0,"",VLOOKUP(B123,country_opex,7,FALSE)/((T123*pax_cap*load_full*IF(ABS(MOD(ABS((L123*M123*revleg_full)),1)-0.5)&lt;1E-9,2*ROUND((L123*M123*revleg_full)/2,0),ROUND((L123*M123*revleg_full),0)))-(((battery/range_nm)*D123*IF(ABS(MOD(ABS((L123*M123*revleg_full)),1)-0.5)&lt;1E-9,2*ROUND((L123*M123*revleg_full)/2,0),ROUND((L123*M123*revleg_full),0))*VLOOKUP(B123,country_opex,3,FALSE))+W123+X123+Y123+Z123+AA123)))</f>
        <v/>
      </c>
      <c r="AY123" s="46" t="inlineStr">
        <is>
          <t>The World (Heart of Europe) boat-only offshore; greenfield. T5/low.</t>
        </is>
      </c>
      <c r="AZ123" s="46" t="inlineStr">
        <is>
          <t>UAE-DEMAND-ANCHORS-2026-06-17.json — tier-based addressable pool derived from sourcing wave anchors (hotel keys × occ × shuttle adoption, marina activity, RTA marine baseline).</t>
        </is>
      </c>
      <c r="BA123" s="34" t="inlineStr">
        <is>
          <t>rn-5a196635c94f</t>
        </is>
      </c>
    </row>
    <row r="124">
      <c r="A124" s="31" t="inlineStr">
        <is>
          <t>Yango Uae</t>
        </is>
      </c>
      <c r="B124" s="31" t="inlineStr">
        <is>
          <t>United Arab Emirates</t>
        </is>
      </c>
      <c r="C124" s="32" t="inlineStr">
        <is>
          <t>Dubai Harbour Marina → Bulgari Yacht Club &amp; Marina</t>
        </is>
      </c>
      <c r="D124" s="33" t="n">
        <v>10.2</v>
      </c>
      <c r="E124" s="27" t="n">
        <v>200</v>
      </c>
      <c r="F124" s="34" t="inlineStr">
        <is>
          <t>T5</t>
        </is>
      </c>
      <c r="G124" s="34" t="inlineStr">
        <is>
          <t>low</t>
        </is>
      </c>
      <c r="H124" s="20" t="n">
        <v>1</v>
      </c>
      <c r="I124" s="35">
        <f>60*D124/cruise_kt</f>
        <v/>
      </c>
      <c r="J124" s="35">
        <f>IF(B124="South Korea",D124/korea_charge_range_nm*korea_full_range_charge_min,0)</f>
        <v/>
      </c>
      <c r="K124" s="35">
        <f>IF(B124="South Korea",I124+korea_turn_min+korea_dwell_min+J124,I124+turn_min+dwell_min)</f>
        <v/>
      </c>
      <c r="L124" s="36">
        <f>IF(B124="South Korea",FLOOR(60*korea_service_hr/K124,1),MIN(24,FLOOR(60*service_hr/K124,1)))</f>
        <v/>
      </c>
      <c r="M124" s="36">
        <f>IF(ABS(MOD(ABS((365*mech_uptime*H124)),1)-0.5)&lt;1E-9,2*ROUND((365*mech_uptime*H124)/2,0),ROUND((365*mech_uptime*H124),0))</f>
        <v/>
      </c>
      <c r="N124" s="37">
        <f>mech_uptime</f>
        <v/>
      </c>
      <c r="O124" s="37">
        <f>IF(AND(B124="South Korea",scenario="MID"),korea_mid_revleg,revleg_sel)</f>
        <v/>
      </c>
      <c r="P124" s="36">
        <f>IF(ABS(MOD(ABS((L124*M124*O124)),1)-0.5)&lt;1E-9,2*ROUND((L124*M124*O124)/2,0),ROUND((L124*M124*O124),0))</f>
        <v/>
      </c>
      <c r="Q124" s="37">
        <f>IF(AND(B124="South Korea",scenario="MID"),korea_mid_load,load_sel)</f>
        <v/>
      </c>
      <c r="R124" s="38">
        <f>pax_cap*Q124</f>
        <v/>
      </c>
      <c r="S124" s="36">
        <f>R124*P124</f>
        <v/>
      </c>
      <c r="T124" s="39">
        <f>E124*discount</f>
        <v/>
      </c>
      <c r="U124" s="40">
        <f>T124*S124</f>
        <v/>
      </c>
      <c r="V124" s="40">
        <f>(battery/range_nm)*D124*P124*VLOOKUP(B124,country_opex,3,FALSE)</f>
        <v/>
      </c>
      <c r="W124" s="40">
        <f>VLOOKUP(B124,country_opex,2,FALSE)*crew_factor</f>
        <v/>
      </c>
      <c r="X124" s="40">
        <f>VLOOKUP(B124,country_opex,5,FALSE)</f>
        <v/>
      </c>
      <c r="Y124" s="40">
        <f>maint</f>
        <v/>
      </c>
      <c r="Z124" s="40">
        <f>VLOOKUP(B124,country_opex,7,FALSE)*ins_pct</f>
        <v/>
      </c>
      <c r="AA124" s="40">
        <f>charge_berth</f>
        <v/>
      </c>
      <c r="AB124" s="40">
        <f>V124+W124+X124+Y124+Z124+AA124</f>
        <v/>
      </c>
      <c r="AC124" s="40">
        <f>VLOOKUP(B124,country_opex,7,FALSE)/dep_years</f>
        <v/>
      </c>
      <c r="AD124" s="40">
        <f>U124-AB124</f>
        <v/>
      </c>
      <c r="AE124" s="37">
        <f>IF(U124=0,"",AD124/U124)</f>
        <v/>
      </c>
      <c r="AF124" s="38">
        <f>IF(AD124&lt;=0,"",VLOOKUP(B124,country_opex,7,FALSE)/AD124)</f>
        <v/>
      </c>
      <c r="AG124" s="35">
        <f>((D124*P124/diesel_nmpg)*diesel_co2pg-(battery/range_nm)*D124*P124*VLOOKUP(B124,country_opex,4,FALSE))/1000</f>
        <v/>
      </c>
      <c r="AH124" s="33" t="n">
        <v>4000</v>
      </c>
      <c r="AI124" s="34" t="inlineStr">
        <is>
          <t>T5</t>
        </is>
      </c>
      <c r="AJ124" s="34" t="inlineStr">
        <is>
          <t>low</t>
        </is>
      </c>
      <c r="AK124" s="41" t="n">
        <v>0.1</v>
      </c>
      <c r="AL124" s="36">
        <f>IF(AH124="","",AH124*AK124)</f>
        <v/>
      </c>
      <c r="AM124" s="36">
        <f>IF(OR(AH124="",S124=0),"",MIN(IF(AU124="",9.9E+99,AU124),FLOOR(AL124/S124,1)))</f>
        <v/>
      </c>
      <c r="AN124" s="40">
        <f>IF(AM124="","",AM124*IF(ABS(MOD(ABS((U124)),1)-0.5)&lt;1E-9,2*ROUND((U124)/2,0),ROUND((U124),0)))</f>
        <v/>
      </c>
      <c r="AO124" s="38">
        <f>IF(OR(AH124="",S124=0),"",MIN(IF(AU124="",9.9E+99,AU124),AL124/S124))</f>
        <v/>
      </c>
      <c r="AP124" s="40">
        <f>IF(AO124="","",AO124*IF(B124="South Korea",IF(ABS(MOD(ABS((U124)),1)-0.5)&lt;1E-9,2*ROUND((U124)/2,0),ROUND((U124),0)),U124))</f>
        <v/>
      </c>
      <c r="AQ124" s="42" t="n"/>
      <c r="AR124" s="34" t="inlineStr">
        <is>
          <t>Estimated</t>
        </is>
      </c>
      <c r="AS124" s="43" t="n"/>
      <c r="AT124" s="43" t="n"/>
      <c r="AU124" s="44" t="n"/>
      <c r="AV124" s="45">
        <f>IF(((T124*pax_cap*load_thin*IF(ABS(MOD(ABS((L124*M124*revleg_thin)),1)-0.5)&lt;1E-9,2*ROUND((L124*M124*revleg_thin)/2,0),ROUND((L124*M124*revleg_thin),0)))-(((battery/range_nm)*D124*IF(ABS(MOD(ABS((L124*M124*revleg_thin)),1)-0.5)&lt;1E-9,2*ROUND((L124*M124*revleg_thin)/2,0),ROUND((L124*M124*revleg_thin),0))*VLOOKUP(B124,country_opex,3,FALSE))+W124+X124+Y124+Z124+AA124))&lt;=0,"",VLOOKUP(B124,country_opex,7,FALSE)/((T124*pax_cap*load_thin*IF(ABS(MOD(ABS((L124*M124*revleg_thin)),1)-0.5)&lt;1E-9,2*ROUND((L124*M124*revleg_thin)/2,0),ROUND((L124*M124*revleg_thin),0)))-(((battery/range_nm)*D124*IF(ABS(MOD(ABS((L124*M124*revleg_thin)),1)-0.5)&lt;1E-9,2*ROUND((L124*M124*revleg_thin)/2,0),ROUND((L124*M124*revleg_thin),0))*VLOOKUP(B124,country_opex,3,FALSE))+W124+X124+Y124+Z124+AA124)))</f>
        <v/>
      </c>
      <c r="AW124" s="45">
        <f>IF(((T124*pax_cap*IF(B124="South Korea",korea_mid_load,load_mid)*IF(ABS(MOD(ABS((L124*M124*IF(B124="South Korea",korea_mid_revleg,revleg_mid))),1)-0.5)&lt;1E-9,2*ROUND((L124*M124*IF(B124="South Korea",korea_mid_revleg,revleg_mid))/2,0),ROUND((L124*M124*IF(B124="South Korea",korea_mid_revleg,revleg_mid)),0)))-(((battery/range_nm)*D124*IF(ABS(MOD(ABS((L124*M124*IF(B124="South Korea",korea_mid_revleg,revleg_mid))),1)-0.5)&lt;1E-9,2*ROUND((L124*M124*IF(B124="South Korea",korea_mid_revleg,revleg_mid))/2,0),ROUND((L124*M124*IF(B124="South Korea",korea_mid_revleg,revleg_mid)),0))*VLOOKUP(B124,country_opex,3,FALSE))+W124+X124+Y124+Z124+AA124))&lt;=0,"",VLOOKUP(B124,country_opex,7,FALSE)/((T124*pax_cap*IF(B124="South Korea",korea_mid_load,load_mid)*IF(ABS(MOD(ABS((L124*M124*IF(B124="South Korea",korea_mid_revleg,revleg_mid))),1)-0.5)&lt;1E-9,2*ROUND((L124*M124*IF(B124="South Korea",korea_mid_revleg,revleg_mid))/2,0),ROUND((L124*M124*IF(B124="South Korea",korea_mid_revleg,revleg_mid)),0)))-(((battery/range_nm)*D124*IF(ABS(MOD(ABS((L124*M124*IF(B124="South Korea",korea_mid_revleg,revleg_mid))),1)-0.5)&lt;1E-9,2*ROUND((L124*M124*IF(B124="South Korea",korea_mid_revleg,revleg_mid))/2,0),ROUND((L124*M124*IF(B124="South Korea",korea_mid_revleg,revleg_mid)),0))*VLOOKUP(B124,country_opex,3,FALSE))+W124+X124+Y124+Z124+AA124)))</f>
        <v/>
      </c>
      <c r="AX124" s="45">
        <f>IF(((T124*pax_cap*load_full*IF(ABS(MOD(ABS((L124*M124*revleg_full)),1)-0.5)&lt;1E-9,2*ROUND((L124*M124*revleg_full)/2,0),ROUND((L124*M124*revleg_full),0)))-(((battery/range_nm)*D124*IF(ABS(MOD(ABS((L124*M124*revleg_full)),1)-0.5)&lt;1E-9,2*ROUND((L124*M124*revleg_full)/2,0),ROUND((L124*M124*revleg_full),0))*VLOOKUP(B124,country_opex,3,FALSE))+W124+X124+Y124+Z124+AA124))&lt;=0,"",VLOOKUP(B124,country_opex,7,FALSE)/((T124*pax_cap*load_full*IF(ABS(MOD(ABS((L124*M124*revleg_full)),1)-0.5)&lt;1E-9,2*ROUND((L124*M124*revleg_full)/2,0),ROUND((L124*M124*revleg_full),0)))-(((battery/range_nm)*D124*IF(ABS(MOD(ABS((L124*M124*revleg_full)),1)-0.5)&lt;1E-9,2*ROUND((L124*M124*revleg_full)/2,0),ROUND((L124*M124*revleg_full),0))*VLOOKUP(B124,country_opex,3,FALSE))+W124+X124+Y124+Z124+AA124)))</f>
        <v/>
      </c>
      <c r="AY124" s="46" t="inlineStr">
        <is>
          <t>Bulgari Resort Dubai ~129 keys + Bulgari Yacht Club &amp; Marina; road-served. T5/low.</t>
        </is>
      </c>
      <c r="AZ124" s="46" t="inlineStr">
        <is>
          <t>OPT-IN only (R3-LAND). ~129-key resort + yacht-club members.</t>
        </is>
      </c>
      <c r="BA124" s="34" t="inlineStr">
        <is>
          <t>rn-f1a7150d087e</t>
        </is>
      </c>
    </row>
    <row r="125">
      <c r="A125" s="31" t="inlineStr">
        <is>
          <t>Yango Uae</t>
        </is>
      </c>
      <c r="B125" s="31" t="inlineStr">
        <is>
          <t>United Arab Emirates</t>
        </is>
      </c>
      <c r="C125" s="32" t="inlineStr">
        <is>
          <t>Emirates Palace Marina → Saadiyat Beach Club Jetty</t>
        </is>
      </c>
      <c r="D125" s="33" t="n">
        <v>10.4</v>
      </c>
      <c r="E125" s="27" t="n">
        <v>175</v>
      </c>
      <c r="F125" s="34" t="inlineStr">
        <is>
          <t>T5</t>
        </is>
      </c>
      <c r="G125" s="34" t="inlineStr">
        <is>
          <t>low</t>
        </is>
      </c>
      <c r="H125" s="20" t="n">
        <v>1</v>
      </c>
      <c r="I125" s="35">
        <f>60*D125/cruise_kt</f>
        <v/>
      </c>
      <c r="J125" s="35">
        <f>IF(B125="South Korea",D125/korea_charge_range_nm*korea_full_range_charge_min,0)</f>
        <v/>
      </c>
      <c r="K125" s="35">
        <f>IF(B125="South Korea",I125+korea_turn_min+korea_dwell_min+J125,I125+turn_min+dwell_min)</f>
        <v/>
      </c>
      <c r="L125" s="36">
        <f>IF(B125="South Korea",FLOOR(60*korea_service_hr/K125,1),MIN(24,FLOOR(60*service_hr/K125,1)))</f>
        <v/>
      </c>
      <c r="M125" s="36">
        <f>IF(ABS(MOD(ABS((365*mech_uptime*H125)),1)-0.5)&lt;1E-9,2*ROUND((365*mech_uptime*H125)/2,0),ROUND((365*mech_uptime*H125),0))</f>
        <v/>
      </c>
      <c r="N125" s="37">
        <f>mech_uptime</f>
        <v/>
      </c>
      <c r="O125" s="37">
        <f>IF(AND(B125="South Korea",scenario="MID"),korea_mid_revleg,revleg_sel)</f>
        <v/>
      </c>
      <c r="P125" s="36">
        <f>IF(ABS(MOD(ABS((L125*M125*O125)),1)-0.5)&lt;1E-9,2*ROUND((L125*M125*O125)/2,0),ROUND((L125*M125*O125),0))</f>
        <v/>
      </c>
      <c r="Q125" s="37">
        <f>IF(AND(B125="South Korea",scenario="MID"),korea_mid_load,load_sel)</f>
        <v/>
      </c>
      <c r="R125" s="38">
        <f>pax_cap*Q125</f>
        <v/>
      </c>
      <c r="S125" s="36">
        <f>R125*P125</f>
        <v/>
      </c>
      <c r="T125" s="39">
        <f>E125*discount</f>
        <v/>
      </c>
      <c r="U125" s="40">
        <f>T125*S125</f>
        <v/>
      </c>
      <c r="V125" s="40">
        <f>(battery/range_nm)*D125*P125*VLOOKUP(B125,country_opex,3,FALSE)</f>
        <v/>
      </c>
      <c r="W125" s="40">
        <f>VLOOKUP(B125,country_opex,2,FALSE)*crew_factor</f>
        <v/>
      </c>
      <c r="X125" s="40">
        <f>VLOOKUP(B125,country_opex,5,FALSE)</f>
        <v/>
      </c>
      <c r="Y125" s="40">
        <f>maint</f>
        <v/>
      </c>
      <c r="Z125" s="40">
        <f>VLOOKUP(B125,country_opex,7,FALSE)*ins_pct</f>
        <v/>
      </c>
      <c r="AA125" s="40">
        <f>charge_berth</f>
        <v/>
      </c>
      <c r="AB125" s="40">
        <f>V125+W125+X125+Y125+Z125+AA125</f>
        <v/>
      </c>
      <c r="AC125" s="40">
        <f>VLOOKUP(B125,country_opex,7,FALSE)/dep_years</f>
        <v/>
      </c>
      <c r="AD125" s="40">
        <f>U125-AB125</f>
        <v/>
      </c>
      <c r="AE125" s="37">
        <f>IF(U125=0,"",AD125/U125)</f>
        <v/>
      </c>
      <c r="AF125" s="38">
        <f>IF(AD125&lt;=0,"",VLOOKUP(B125,country_opex,7,FALSE)/AD125)</f>
        <v/>
      </c>
      <c r="AG125" s="35">
        <f>((D125*P125/diesel_nmpg)*diesel_co2pg-(battery/range_nm)*D125*P125*VLOOKUP(B125,country_opex,4,FALSE))/1000</f>
        <v/>
      </c>
      <c r="AH125" s="33" t="n">
        <v>3000</v>
      </c>
      <c r="AI125" s="34" t="inlineStr">
        <is>
          <t>T5</t>
        </is>
      </c>
      <c r="AJ125" s="34" t="inlineStr">
        <is>
          <t>low</t>
        </is>
      </c>
      <c r="AK125" s="41" t="n">
        <v>0.1</v>
      </c>
      <c r="AL125" s="36">
        <f>IF(AH125="","",AH125*AK125)</f>
        <v/>
      </c>
      <c r="AM125" s="36">
        <f>IF(OR(AH125="",S125=0),"",MIN(IF(AU125="",9.9E+99,AU125),FLOOR(AL125/S125,1)))</f>
        <v/>
      </c>
      <c r="AN125" s="40">
        <f>IF(AM125="","",AM125*IF(ABS(MOD(ABS((U125)),1)-0.5)&lt;1E-9,2*ROUND((U125)/2,0),ROUND((U125),0)))</f>
        <v/>
      </c>
      <c r="AO125" s="38">
        <f>IF(OR(AH125="",S125=0),"",MIN(IF(AU125="",9.9E+99,AU125),AL125/S125))</f>
        <v/>
      </c>
      <c r="AP125" s="40">
        <f>IF(AO125="","",AO125*IF(B125="South Korea",IF(ABS(MOD(ABS((U125)),1)-0.5)&lt;1E-9,2*ROUND((U125)/2,0),ROUND((U125),0)),U125))</f>
        <v/>
      </c>
      <c r="AQ125" s="42" t="n"/>
      <c r="AR125" s="34" t="inlineStr">
        <is>
          <t>Estimated</t>
        </is>
      </c>
      <c r="AS125" s="43" t="n"/>
      <c r="AT125" s="43" t="n"/>
      <c r="AU125" s="44" t="n"/>
      <c r="AV125" s="45">
        <f>IF(((T125*pax_cap*load_thin*IF(ABS(MOD(ABS((L125*M125*revleg_thin)),1)-0.5)&lt;1E-9,2*ROUND((L125*M125*revleg_thin)/2,0),ROUND((L125*M125*revleg_thin),0)))-(((battery/range_nm)*D125*IF(ABS(MOD(ABS((L125*M125*revleg_thin)),1)-0.5)&lt;1E-9,2*ROUND((L125*M125*revleg_thin)/2,0),ROUND((L125*M125*revleg_thin),0))*VLOOKUP(B125,country_opex,3,FALSE))+W125+X125+Y125+Z125+AA125))&lt;=0,"",VLOOKUP(B125,country_opex,7,FALSE)/((T125*pax_cap*load_thin*IF(ABS(MOD(ABS((L125*M125*revleg_thin)),1)-0.5)&lt;1E-9,2*ROUND((L125*M125*revleg_thin)/2,0),ROUND((L125*M125*revleg_thin),0)))-(((battery/range_nm)*D125*IF(ABS(MOD(ABS((L125*M125*revleg_thin)),1)-0.5)&lt;1E-9,2*ROUND((L125*M125*revleg_thin)/2,0),ROUND((L125*M125*revleg_thin),0))*VLOOKUP(B125,country_opex,3,FALSE))+W125+X125+Y125+Z125+AA125)))</f>
        <v/>
      </c>
      <c r="AW125" s="45">
        <f>IF(((T125*pax_cap*IF(B125="South Korea",korea_mid_load,load_mid)*IF(ABS(MOD(ABS((L125*M125*IF(B125="South Korea",korea_mid_revleg,revleg_mid))),1)-0.5)&lt;1E-9,2*ROUND((L125*M125*IF(B125="South Korea",korea_mid_revleg,revleg_mid))/2,0),ROUND((L125*M125*IF(B125="South Korea",korea_mid_revleg,revleg_mid)),0)))-(((battery/range_nm)*D125*IF(ABS(MOD(ABS((L125*M125*IF(B125="South Korea",korea_mid_revleg,revleg_mid))),1)-0.5)&lt;1E-9,2*ROUND((L125*M125*IF(B125="South Korea",korea_mid_revleg,revleg_mid))/2,0),ROUND((L125*M125*IF(B125="South Korea",korea_mid_revleg,revleg_mid)),0))*VLOOKUP(B125,country_opex,3,FALSE))+W125+X125+Y125+Z125+AA125))&lt;=0,"",VLOOKUP(B125,country_opex,7,FALSE)/((T125*pax_cap*IF(B125="South Korea",korea_mid_load,load_mid)*IF(ABS(MOD(ABS((L125*M125*IF(B125="South Korea",korea_mid_revleg,revleg_mid))),1)-0.5)&lt;1E-9,2*ROUND((L125*M125*IF(B125="South Korea",korea_mid_revleg,revleg_mid))/2,0),ROUND((L125*M125*IF(B125="South Korea",korea_mid_revleg,revleg_mid)),0)))-(((battery/range_nm)*D125*IF(ABS(MOD(ABS((L125*M125*IF(B125="South Korea",korea_mid_revleg,revleg_mid))),1)-0.5)&lt;1E-9,2*ROUND((L125*M125*IF(B125="South Korea",korea_mid_revleg,revleg_mid))/2,0),ROUND((L125*M125*IF(B125="South Korea",korea_mid_revleg,revleg_mid)),0))*VLOOKUP(B125,country_opex,3,FALSE))+W125+X125+Y125+Z125+AA125)))</f>
        <v/>
      </c>
      <c r="AX125" s="45">
        <f>IF(((T125*pax_cap*load_full*IF(ABS(MOD(ABS((L125*M125*revleg_full)),1)-0.5)&lt;1E-9,2*ROUND((L125*M125*revleg_full)/2,0),ROUND((L125*M125*revleg_full),0)))-(((battery/range_nm)*D125*IF(ABS(MOD(ABS((L125*M125*revleg_full)),1)-0.5)&lt;1E-9,2*ROUND((L125*M125*revleg_full)/2,0),ROUND((L125*M125*revleg_full),0))*VLOOKUP(B125,country_opex,3,FALSE))+W125+X125+Y125+Z125+AA125))&lt;=0,"",VLOOKUP(B125,country_opex,7,FALSE)/((T125*pax_cap*load_full*IF(ABS(MOD(ABS((L125*M125*revleg_full)),1)-0.5)&lt;1E-9,2*ROUND((L125*M125*revleg_full)/2,0),ROUND((L125*M125*revleg_full),0)))-(((battery/range_nm)*D125*IF(ABS(MOD(ABS((L125*M125*revleg_full)),1)-0.5)&lt;1E-9,2*ROUND((L125*M125*revleg_full)/2,0),ROUND((L125*M125*revleg_full),0))*VLOOKUP(B125,country_opex,3,FALSE))+W125+X125+Y125+Z125+AA125)))</f>
        <v/>
      </c>
      <c r="AY125" s="46" t="inlineStr">
        <is>
          <t>Emirates Palace&lt;-&gt;Saadiyat experiential luxury hop; both road-served. T5/low.</t>
        </is>
      </c>
      <c r="AZ125" s="46" t="inlineStr">
        <is>
          <t>OPT-IN only (R3-LAND: both road-served). Experiential luxury hop.</t>
        </is>
      </c>
      <c r="BA125" s="34" t="inlineStr">
        <is>
          <t>rn-9d65d29a88ec</t>
        </is>
      </c>
    </row>
    <row r="126">
      <c r="A126" s="31" t="inlineStr">
        <is>
          <t>Yango Uae</t>
        </is>
      </c>
      <c r="B126" s="31" t="inlineStr">
        <is>
          <t>United Arab Emirates</t>
        </is>
      </c>
      <c r="C126" s="32" t="inlineStr">
        <is>
          <t>Fujairah → Khorfakkan Corniche / Port</t>
        </is>
      </c>
      <c r="D126" s="33" t="n">
        <v>11.4</v>
      </c>
      <c r="E126" s="27" t="n"/>
      <c r="F126" s="34" t="n"/>
      <c r="G126" s="34" t="n"/>
      <c r="H126" s="20" t="n">
        <v>1</v>
      </c>
      <c r="I126" s="35">
        <f>60*D126/cruise_kt</f>
        <v/>
      </c>
      <c r="J126" s="35">
        <f>IF(B126="South Korea",D126/korea_charge_range_nm*korea_full_range_charge_min,0)</f>
        <v/>
      </c>
      <c r="K126" s="35">
        <f>IF(B126="South Korea",I126+korea_turn_min+korea_dwell_min+J126,I126+turn_min+dwell_min)</f>
        <v/>
      </c>
      <c r="L126" s="36">
        <f>IF(B126="South Korea",FLOOR(60*korea_service_hr/K126,1),MIN(15,FLOOR(60*service_hr/K126,1)))</f>
        <v/>
      </c>
      <c r="M126" s="36">
        <f>IF(ABS(MOD(ABS((365*mech_uptime*H126)),1)-0.5)&lt;1E-9,2*ROUND((365*mech_uptime*H126)/2,0),ROUND((365*mech_uptime*H126),0))</f>
        <v/>
      </c>
      <c r="N126" s="37">
        <f>mech_uptime</f>
        <v/>
      </c>
      <c r="O126" s="37">
        <f>IF(AND(B126="South Korea",scenario="MID"),korea_mid_revleg,revleg_sel)</f>
        <v/>
      </c>
      <c r="P126" s="36">
        <f>IF(ABS(MOD(ABS((L126*M126*O126)),1)-0.5)&lt;1E-9,2*ROUND((L126*M126*O126)/2,0),ROUND((L126*M126*O126),0))</f>
        <v/>
      </c>
      <c r="Q126" s="37">
        <f>IF(AND(B126="South Korea",scenario="MID"),korea_mid_load,load_sel)</f>
        <v/>
      </c>
      <c r="R126" s="38">
        <f>pax_cap*Q126</f>
        <v/>
      </c>
      <c r="S126" s="36">
        <f>R126*P126</f>
        <v/>
      </c>
      <c r="T126" s="39">
        <f>E126*discount</f>
        <v/>
      </c>
      <c r="U126" s="40">
        <f>T126*S126</f>
        <v/>
      </c>
      <c r="V126" s="40">
        <f>(battery/range_nm)*D126*P126*VLOOKUP(B126,country_opex,3,FALSE)</f>
        <v/>
      </c>
      <c r="W126" s="40">
        <f>VLOOKUP(B126,country_opex,2,FALSE)*crew_factor</f>
        <v/>
      </c>
      <c r="X126" s="40">
        <f>VLOOKUP(B126,country_opex,5,FALSE)</f>
        <v/>
      </c>
      <c r="Y126" s="40">
        <f>maint</f>
        <v/>
      </c>
      <c r="Z126" s="40">
        <f>VLOOKUP(B126,country_opex,7,FALSE)*ins_pct</f>
        <v/>
      </c>
      <c r="AA126" s="40">
        <f>charge_berth</f>
        <v/>
      </c>
      <c r="AB126" s="40">
        <f>V126+W126+X126+Y126+Z126+AA126</f>
        <v/>
      </c>
      <c r="AC126" s="40">
        <f>VLOOKUP(B126,country_opex,7,FALSE)/dep_years</f>
        <v/>
      </c>
      <c r="AD126" s="40">
        <f>U126-AB126</f>
        <v/>
      </c>
      <c r="AE126" s="37">
        <f>IF(U126=0,"",AD126/U126)</f>
        <v/>
      </c>
      <c r="AF126" s="38">
        <f>IF(AD126&lt;=0,"",VLOOKUP(B126,country_opex,7,FALSE)/AD126)</f>
        <v/>
      </c>
      <c r="AG126" s="35">
        <f>((D126*P126/diesel_nmpg)*diesel_co2pg-(battery/range_nm)*D126*P126*VLOOKUP(B126,country_opex,4,FALSE))/1000</f>
        <v/>
      </c>
      <c r="AH126" s="33" t="n"/>
      <c r="AI126" s="34" t="n"/>
      <c r="AJ126" s="34" t="n"/>
      <c r="AK126" s="41" t="n">
        <v>0.1</v>
      </c>
      <c r="AL126" s="36">
        <f>IF(AH126="","",AH126*AK126)</f>
        <v/>
      </c>
      <c r="AM126" s="36">
        <f>IF(OR(AH126="",S126=0),"",MIN(IF(AU126="",9.9E+99,AU126),FLOOR(AL126/S126,1)))</f>
        <v/>
      </c>
      <c r="AN126" s="40">
        <f>IF(AM126="","",AM126*IF(ABS(MOD(ABS((U126)),1)-0.5)&lt;1E-9,2*ROUND((U126)/2,0),ROUND((U126),0)))</f>
        <v/>
      </c>
      <c r="AO126" s="38">
        <f>IF(OR(AH126="",S126=0),"",MIN(IF(AU126="",9.9E+99,AU126),AL126/S126))</f>
        <v/>
      </c>
      <c r="AP126" s="40">
        <f>IF(AO126="","",AO126*IF(B126="South Korea",IF(ABS(MOD(ABS((U126)),1)-0.5)&lt;1E-9,2*ROUND((U126)/2,0),ROUND((U126),0)),U126))</f>
        <v/>
      </c>
      <c r="AQ126" s="42" t="n"/>
      <c r="AR126" s="34" t="inlineStr">
        <is>
          <t>Estimated</t>
        </is>
      </c>
      <c r="AS126" s="43" t="n"/>
      <c r="AT126" s="43" t="n"/>
      <c r="AU126" s="44" t="n"/>
      <c r="AV126" s="45">
        <f>IF(((T126*pax_cap*load_thin*IF(ABS(MOD(ABS((L126*M126*revleg_thin)),1)-0.5)&lt;1E-9,2*ROUND((L126*M126*revleg_thin)/2,0),ROUND((L126*M126*revleg_thin),0)))-(((battery/range_nm)*D126*IF(ABS(MOD(ABS((L126*M126*revleg_thin)),1)-0.5)&lt;1E-9,2*ROUND((L126*M126*revleg_thin)/2,0),ROUND((L126*M126*revleg_thin),0))*VLOOKUP(B126,country_opex,3,FALSE))+W126+X126+Y126+Z126+AA126))&lt;=0,"",VLOOKUP(B126,country_opex,7,FALSE)/((T126*pax_cap*load_thin*IF(ABS(MOD(ABS((L126*M126*revleg_thin)),1)-0.5)&lt;1E-9,2*ROUND((L126*M126*revleg_thin)/2,0),ROUND((L126*M126*revleg_thin),0)))-(((battery/range_nm)*D126*IF(ABS(MOD(ABS((L126*M126*revleg_thin)),1)-0.5)&lt;1E-9,2*ROUND((L126*M126*revleg_thin)/2,0),ROUND((L126*M126*revleg_thin),0))*VLOOKUP(B126,country_opex,3,FALSE))+W126+X126+Y126+Z126+AA126)))</f>
        <v/>
      </c>
      <c r="AW126" s="45">
        <f>IF(((T126*pax_cap*IF(B126="South Korea",korea_mid_load,load_mid)*IF(ABS(MOD(ABS((L126*M126*IF(B126="South Korea",korea_mid_revleg,revleg_mid))),1)-0.5)&lt;1E-9,2*ROUND((L126*M126*IF(B126="South Korea",korea_mid_revleg,revleg_mid))/2,0),ROUND((L126*M126*IF(B126="South Korea",korea_mid_revleg,revleg_mid)),0)))-(((battery/range_nm)*D126*IF(ABS(MOD(ABS((L126*M126*IF(B126="South Korea",korea_mid_revleg,revleg_mid))),1)-0.5)&lt;1E-9,2*ROUND((L126*M126*IF(B126="South Korea",korea_mid_revleg,revleg_mid))/2,0),ROUND((L126*M126*IF(B126="South Korea",korea_mid_revleg,revleg_mid)),0))*VLOOKUP(B126,country_opex,3,FALSE))+W126+X126+Y126+Z126+AA126))&lt;=0,"",VLOOKUP(B126,country_opex,7,FALSE)/((T126*pax_cap*IF(B126="South Korea",korea_mid_load,load_mid)*IF(ABS(MOD(ABS((L126*M126*IF(B126="South Korea",korea_mid_revleg,revleg_mid))),1)-0.5)&lt;1E-9,2*ROUND((L126*M126*IF(B126="South Korea",korea_mid_revleg,revleg_mid))/2,0),ROUND((L126*M126*IF(B126="South Korea",korea_mid_revleg,revleg_mid)),0)))-(((battery/range_nm)*D126*IF(ABS(MOD(ABS((L126*M126*IF(B126="South Korea",korea_mid_revleg,revleg_mid))),1)-0.5)&lt;1E-9,2*ROUND((L126*M126*IF(B126="South Korea",korea_mid_revleg,revleg_mid))/2,0),ROUND((L126*M126*IF(B126="South Korea",korea_mid_revleg,revleg_mid)),0))*VLOOKUP(B126,country_opex,3,FALSE))+W126+X126+Y126+Z126+AA126)))</f>
        <v/>
      </c>
      <c r="AX126" s="45">
        <f>IF(((T126*pax_cap*load_full*IF(ABS(MOD(ABS((L126*M126*revleg_full)),1)-0.5)&lt;1E-9,2*ROUND((L126*M126*revleg_full)/2,0),ROUND((L126*M126*revleg_full),0)))-(((battery/range_nm)*D126*IF(ABS(MOD(ABS((L126*M126*revleg_full)),1)-0.5)&lt;1E-9,2*ROUND((L126*M126*revleg_full)/2,0),ROUND((L126*M126*revleg_full),0))*VLOOKUP(B126,country_opex,3,FALSE))+W126+X126+Y126+Z126+AA126))&lt;=0,"",VLOOKUP(B126,country_opex,7,FALSE)/((T126*pax_cap*load_full*IF(ABS(MOD(ABS((L126*M126*revleg_full)),1)-0.5)&lt;1E-9,2*ROUND((L126*M126*revleg_full)/2,0),ROUND((L126*M126*revleg_full),0)))-(((battery/range_nm)*D126*IF(ABS(MOD(ABS((L126*M126*revleg_full)),1)-0.5)&lt;1E-9,2*ROUND((L126*M126*revleg_full)/2,0),ROUND((L126*M126*revleg_full),0))*VLOOKUP(B126,country_opex,3,FALSE))+W126+X126+Y126+Z126+AA126)))</f>
        <v/>
      </c>
      <c r="AY126" s="46" t="n"/>
      <c r="AZ126" s="46" t="n"/>
      <c r="BA126" s="34" t="inlineStr">
        <is>
          <t>rn-bc685bdb0da3</t>
        </is>
      </c>
    </row>
    <row r="127">
      <c r="A127" s="31" t="inlineStr">
        <is>
          <t>Yango Uae</t>
        </is>
      </c>
      <c r="B127" s="31" t="inlineStr">
        <is>
          <t>United Arab Emirates</t>
        </is>
      </c>
      <c r="C127" s="32" t="inlineStr">
        <is>
          <t>Dubai Harbour Marina → Nikki Beach Resort Pearl Jumeirah Jetty</t>
        </is>
      </c>
      <c r="D127" s="33" t="n">
        <v>11.9</v>
      </c>
      <c r="E127" s="27" t="n"/>
      <c r="F127" s="34" t="n"/>
      <c r="G127" s="34" t="n"/>
      <c r="H127" s="20" t="n">
        <v>1</v>
      </c>
      <c r="I127" s="35">
        <f>60*D127/cruise_kt</f>
        <v/>
      </c>
      <c r="J127" s="35">
        <f>IF(B127="South Korea",D127/korea_charge_range_nm*korea_full_range_charge_min,0)</f>
        <v/>
      </c>
      <c r="K127" s="35">
        <f>IF(B127="South Korea",I127+korea_turn_min+korea_dwell_min+J127,I127+turn_min+dwell_min)</f>
        <v/>
      </c>
      <c r="L127" s="36">
        <f>IF(B127="South Korea",FLOOR(60*korea_service_hr/K127,1),MIN(15,FLOOR(60*service_hr/K127,1)))</f>
        <v/>
      </c>
      <c r="M127" s="36">
        <f>IF(ABS(MOD(ABS((365*mech_uptime*H127)),1)-0.5)&lt;1E-9,2*ROUND((365*mech_uptime*H127)/2,0),ROUND((365*mech_uptime*H127),0))</f>
        <v/>
      </c>
      <c r="N127" s="37">
        <f>mech_uptime</f>
        <v/>
      </c>
      <c r="O127" s="37">
        <f>IF(AND(B127="South Korea",scenario="MID"),korea_mid_revleg,revleg_sel)</f>
        <v/>
      </c>
      <c r="P127" s="36">
        <f>IF(ABS(MOD(ABS((L127*M127*O127)),1)-0.5)&lt;1E-9,2*ROUND((L127*M127*O127)/2,0),ROUND((L127*M127*O127),0))</f>
        <v/>
      </c>
      <c r="Q127" s="37">
        <f>IF(AND(B127="South Korea",scenario="MID"),korea_mid_load,load_sel)</f>
        <v/>
      </c>
      <c r="R127" s="38">
        <f>pax_cap*Q127</f>
        <v/>
      </c>
      <c r="S127" s="36">
        <f>R127*P127</f>
        <v/>
      </c>
      <c r="T127" s="39">
        <f>E127*discount</f>
        <v/>
      </c>
      <c r="U127" s="40">
        <f>T127*S127</f>
        <v/>
      </c>
      <c r="V127" s="40">
        <f>(battery/range_nm)*D127*P127*VLOOKUP(B127,country_opex,3,FALSE)</f>
        <v/>
      </c>
      <c r="W127" s="40">
        <f>VLOOKUP(B127,country_opex,2,FALSE)*crew_factor</f>
        <v/>
      </c>
      <c r="X127" s="40">
        <f>VLOOKUP(B127,country_opex,5,FALSE)</f>
        <v/>
      </c>
      <c r="Y127" s="40">
        <f>maint</f>
        <v/>
      </c>
      <c r="Z127" s="40">
        <f>VLOOKUP(B127,country_opex,7,FALSE)*ins_pct</f>
        <v/>
      </c>
      <c r="AA127" s="40">
        <f>charge_berth</f>
        <v/>
      </c>
      <c r="AB127" s="40">
        <f>V127+W127+X127+Y127+Z127+AA127</f>
        <v/>
      </c>
      <c r="AC127" s="40">
        <f>VLOOKUP(B127,country_opex,7,FALSE)/dep_years</f>
        <v/>
      </c>
      <c r="AD127" s="40">
        <f>U127-AB127</f>
        <v/>
      </c>
      <c r="AE127" s="37">
        <f>IF(U127=0,"",AD127/U127)</f>
        <v/>
      </c>
      <c r="AF127" s="38">
        <f>IF(AD127&lt;=0,"",VLOOKUP(B127,country_opex,7,FALSE)/AD127)</f>
        <v/>
      </c>
      <c r="AG127" s="35">
        <f>((D127*P127/diesel_nmpg)*diesel_co2pg-(battery/range_nm)*D127*P127*VLOOKUP(B127,country_opex,4,FALSE))/1000</f>
        <v/>
      </c>
      <c r="AH127" s="33" t="n"/>
      <c r="AI127" s="34" t="n"/>
      <c r="AJ127" s="34" t="n"/>
      <c r="AK127" s="41" t="n">
        <v>0.1</v>
      </c>
      <c r="AL127" s="36">
        <f>IF(AH127="","",AH127*AK127)</f>
        <v/>
      </c>
      <c r="AM127" s="36">
        <f>IF(OR(AH127="",S127=0),"",MIN(IF(AU127="",9.9E+99,AU127),FLOOR(AL127/S127,1)))</f>
        <v/>
      </c>
      <c r="AN127" s="40">
        <f>IF(AM127="","",AM127*IF(ABS(MOD(ABS((U127)),1)-0.5)&lt;1E-9,2*ROUND((U127)/2,0),ROUND((U127),0)))</f>
        <v/>
      </c>
      <c r="AO127" s="38">
        <f>IF(OR(AH127="",S127=0),"",MIN(IF(AU127="",9.9E+99,AU127),AL127/S127))</f>
        <v/>
      </c>
      <c r="AP127" s="40">
        <f>IF(AO127="","",AO127*IF(B127="South Korea",IF(ABS(MOD(ABS((U127)),1)-0.5)&lt;1E-9,2*ROUND((U127)/2,0),ROUND((U127),0)),U127))</f>
        <v/>
      </c>
      <c r="AQ127" s="42" t="n"/>
      <c r="AR127" s="34" t="inlineStr">
        <is>
          <t>Estimated</t>
        </is>
      </c>
      <c r="AS127" s="43" t="n"/>
      <c r="AT127" s="43" t="n"/>
      <c r="AU127" s="44" t="n"/>
      <c r="AV127" s="45">
        <f>IF(((T127*pax_cap*load_thin*IF(ABS(MOD(ABS((L127*M127*revleg_thin)),1)-0.5)&lt;1E-9,2*ROUND((L127*M127*revleg_thin)/2,0),ROUND((L127*M127*revleg_thin),0)))-(((battery/range_nm)*D127*IF(ABS(MOD(ABS((L127*M127*revleg_thin)),1)-0.5)&lt;1E-9,2*ROUND((L127*M127*revleg_thin)/2,0),ROUND((L127*M127*revleg_thin),0))*VLOOKUP(B127,country_opex,3,FALSE))+W127+X127+Y127+Z127+AA127))&lt;=0,"",VLOOKUP(B127,country_opex,7,FALSE)/((T127*pax_cap*load_thin*IF(ABS(MOD(ABS((L127*M127*revleg_thin)),1)-0.5)&lt;1E-9,2*ROUND((L127*M127*revleg_thin)/2,0),ROUND((L127*M127*revleg_thin),0)))-(((battery/range_nm)*D127*IF(ABS(MOD(ABS((L127*M127*revleg_thin)),1)-0.5)&lt;1E-9,2*ROUND((L127*M127*revleg_thin)/2,0),ROUND((L127*M127*revleg_thin),0))*VLOOKUP(B127,country_opex,3,FALSE))+W127+X127+Y127+Z127+AA127)))</f>
        <v/>
      </c>
      <c r="AW127" s="45">
        <f>IF(((T127*pax_cap*IF(B127="South Korea",korea_mid_load,load_mid)*IF(ABS(MOD(ABS((L127*M127*IF(B127="South Korea",korea_mid_revleg,revleg_mid))),1)-0.5)&lt;1E-9,2*ROUND((L127*M127*IF(B127="South Korea",korea_mid_revleg,revleg_mid))/2,0),ROUND((L127*M127*IF(B127="South Korea",korea_mid_revleg,revleg_mid)),0)))-(((battery/range_nm)*D127*IF(ABS(MOD(ABS((L127*M127*IF(B127="South Korea",korea_mid_revleg,revleg_mid))),1)-0.5)&lt;1E-9,2*ROUND((L127*M127*IF(B127="South Korea",korea_mid_revleg,revleg_mid))/2,0),ROUND((L127*M127*IF(B127="South Korea",korea_mid_revleg,revleg_mid)),0))*VLOOKUP(B127,country_opex,3,FALSE))+W127+X127+Y127+Z127+AA127))&lt;=0,"",VLOOKUP(B127,country_opex,7,FALSE)/((T127*pax_cap*IF(B127="South Korea",korea_mid_load,load_mid)*IF(ABS(MOD(ABS((L127*M127*IF(B127="South Korea",korea_mid_revleg,revleg_mid))),1)-0.5)&lt;1E-9,2*ROUND((L127*M127*IF(B127="South Korea",korea_mid_revleg,revleg_mid))/2,0),ROUND((L127*M127*IF(B127="South Korea",korea_mid_revleg,revleg_mid)),0)))-(((battery/range_nm)*D127*IF(ABS(MOD(ABS((L127*M127*IF(B127="South Korea",korea_mid_revleg,revleg_mid))),1)-0.5)&lt;1E-9,2*ROUND((L127*M127*IF(B127="South Korea",korea_mid_revleg,revleg_mid))/2,0),ROUND((L127*M127*IF(B127="South Korea",korea_mid_revleg,revleg_mid)),0))*VLOOKUP(B127,country_opex,3,FALSE))+W127+X127+Y127+Z127+AA127)))</f>
        <v/>
      </c>
      <c r="AX127" s="45">
        <f>IF(((T127*pax_cap*load_full*IF(ABS(MOD(ABS((L127*M127*revleg_full)),1)-0.5)&lt;1E-9,2*ROUND((L127*M127*revleg_full)/2,0),ROUND((L127*M127*revleg_full),0)))-(((battery/range_nm)*D127*IF(ABS(MOD(ABS((L127*M127*revleg_full)),1)-0.5)&lt;1E-9,2*ROUND((L127*M127*revleg_full)/2,0),ROUND((L127*M127*revleg_full),0))*VLOOKUP(B127,country_opex,3,FALSE))+W127+X127+Y127+Z127+AA127))&lt;=0,"",VLOOKUP(B127,country_opex,7,FALSE)/((T127*pax_cap*load_full*IF(ABS(MOD(ABS((L127*M127*revleg_full)),1)-0.5)&lt;1E-9,2*ROUND((L127*M127*revleg_full)/2,0),ROUND((L127*M127*revleg_full),0)))-(((battery/range_nm)*D127*IF(ABS(MOD(ABS((L127*M127*revleg_full)),1)-0.5)&lt;1E-9,2*ROUND((L127*M127*revleg_full)/2,0),ROUND((L127*M127*revleg_full),0))*VLOOKUP(B127,country_opex,3,FALSE))+W127+X127+Y127+Z127+AA127)))</f>
        <v/>
      </c>
      <c r="AY127" s="46" t="n"/>
      <c r="AZ127" s="46" t="n"/>
      <c r="BA127" s="34" t="inlineStr">
        <is>
          <t>rn-b1ba183aa886</t>
        </is>
      </c>
    </row>
    <row r="128">
      <c r="A128" s="31" t="inlineStr">
        <is>
          <t>Yango Uae</t>
        </is>
      </c>
      <c r="B128" s="31" t="inlineStr">
        <is>
          <t>United Arab Emirates</t>
        </is>
      </c>
      <c r="C128" s="32" t="inlineStr">
        <is>
          <t>Ras Al Khaimah → ميناء صيادين غليلة</t>
        </is>
      </c>
      <c r="D128" s="33" t="n">
        <v>11.9</v>
      </c>
      <c r="E128" s="27" t="n"/>
      <c r="F128" s="34" t="n"/>
      <c r="G128" s="34" t="n"/>
      <c r="H128" s="20" t="n">
        <v>1</v>
      </c>
      <c r="I128" s="35">
        <f>60*D128/cruise_kt</f>
        <v/>
      </c>
      <c r="J128" s="35">
        <f>IF(B128="South Korea",D128/korea_charge_range_nm*korea_full_range_charge_min,0)</f>
        <v/>
      </c>
      <c r="K128" s="35">
        <f>IF(B128="South Korea",I128+korea_turn_min+korea_dwell_min+J128,I128+turn_min+dwell_min)</f>
        <v/>
      </c>
      <c r="L128" s="36">
        <f>IF(B128="South Korea",FLOOR(60*korea_service_hr/K128,1),MIN(15,FLOOR(60*service_hr/K128,1)))</f>
        <v/>
      </c>
      <c r="M128" s="36">
        <f>IF(ABS(MOD(ABS((365*mech_uptime*H128)),1)-0.5)&lt;1E-9,2*ROUND((365*mech_uptime*H128)/2,0),ROUND((365*mech_uptime*H128),0))</f>
        <v/>
      </c>
      <c r="N128" s="37">
        <f>mech_uptime</f>
        <v/>
      </c>
      <c r="O128" s="37">
        <f>IF(AND(B128="South Korea",scenario="MID"),korea_mid_revleg,revleg_sel)</f>
        <v/>
      </c>
      <c r="P128" s="36">
        <f>IF(ABS(MOD(ABS((L128*M128*O128)),1)-0.5)&lt;1E-9,2*ROUND((L128*M128*O128)/2,0),ROUND((L128*M128*O128),0))</f>
        <v/>
      </c>
      <c r="Q128" s="37">
        <f>IF(AND(B128="South Korea",scenario="MID"),korea_mid_load,load_sel)</f>
        <v/>
      </c>
      <c r="R128" s="38">
        <f>pax_cap*Q128</f>
        <v/>
      </c>
      <c r="S128" s="36">
        <f>R128*P128</f>
        <v/>
      </c>
      <c r="T128" s="39">
        <f>E128*discount</f>
        <v/>
      </c>
      <c r="U128" s="40">
        <f>T128*S128</f>
        <v/>
      </c>
      <c r="V128" s="40">
        <f>(battery/range_nm)*D128*P128*VLOOKUP(B128,country_opex,3,FALSE)</f>
        <v/>
      </c>
      <c r="W128" s="40">
        <f>VLOOKUP(B128,country_opex,2,FALSE)*crew_factor</f>
        <v/>
      </c>
      <c r="X128" s="40">
        <f>VLOOKUP(B128,country_opex,5,FALSE)</f>
        <v/>
      </c>
      <c r="Y128" s="40">
        <f>maint</f>
        <v/>
      </c>
      <c r="Z128" s="40">
        <f>VLOOKUP(B128,country_opex,7,FALSE)*ins_pct</f>
        <v/>
      </c>
      <c r="AA128" s="40">
        <f>charge_berth</f>
        <v/>
      </c>
      <c r="AB128" s="40">
        <f>V128+W128+X128+Y128+Z128+AA128</f>
        <v/>
      </c>
      <c r="AC128" s="40">
        <f>VLOOKUP(B128,country_opex,7,FALSE)/dep_years</f>
        <v/>
      </c>
      <c r="AD128" s="40">
        <f>U128-AB128</f>
        <v/>
      </c>
      <c r="AE128" s="37">
        <f>IF(U128=0,"",AD128/U128)</f>
        <v/>
      </c>
      <c r="AF128" s="38">
        <f>IF(AD128&lt;=0,"",VLOOKUP(B128,country_opex,7,FALSE)/AD128)</f>
        <v/>
      </c>
      <c r="AG128" s="35">
        <f>((D128*P128/diesel_nmpg)*diesel_co2pg-(battery/range_nm)*D128*P128*VLOOKUP(B128,country_opex,4,FALSE))/1000</f>
        <v/>
      </c>
      <c r="AH128" s="33" t="n"/>
      <c r="AI128" s="34" t="n"/>
      <c r="AJ128" s="34" t="n"/>
      <c r="AK128" s="41" t="n">
        <v>0.1</v>
      </c>
      <c r="AL128" s="36">
        <f>IF(AH128="","",AH128*AK128)</f>
        <v/>
      </c>
      <c r="AM128" s="36">
        <f>IF(OR(AH128="",S128=0),"",MIN(IF(AU128="",9.9E+99,AU128),FLOOR(AL128/S128,1)))</f>
        <v/>
      </c>
      <c r="AN128" s="40">
        <f>IF(AM128="","",AM128*IF(ABS(MOD(ABS((U128)),1)-0.5)&lt;1E-9,2*ROUND((U128)/2,0),ROUND((U128),0)))</f>
        <v/>
      </c>
      <c r="AO128" s="38">
        <f>IF(OR(AH128="",S128=0),"",MIN(IF(AU128="",9.9E+99,AU128),AL128/S128))</f>
        <v/>
      </c>
      <c r="AP128" s="40">
        <f>IF(AO128="","",AO128*IF(B128="South Korea",IF(ABS(MOD(ABS((U128)),1)-0.5)&lt;1E-9,2*ROUND((U128)/2,0),ROUND((U128),0)),U128))</f>
        <v/>
      </c>
      <c r="AQ128" s="42" t="n"/>
      <c r="AR128" s="34" t="inlineStr">
        <is>
          <t>Estimated</t>
        </is>
      </c>
      <c r="AS128" s="43" t="n"/>
      <c r="AT128" s="43" t="n"/>
      <c r="AU128" s="44" t="n"/>
      <c r="AV128" s="45">
        <f>IF(((T128*pax_cap*load_thin*IF(ABS(MOD(ABS((L128*M128*revleg_thin)),1)-0.5)&lt;1E-9,2*ROUND((L128*M128*revleg_thin)/2,0),ROUND((L128*M128*revleg_thin),0)))-(((battery/range_nm)*D128*IF(ABS(MOD(ABS((L128*M128*revleg_thin)),1)-0.5)&lt;1E-9,2*ROUND((L128*M128*revleg_thin)/2,0),ROUND((L128*M128*revleg_thin),0))*VLOOKUP(B128,country_opex,3,FALSE))+W128+X128+Y128+Z128+AA128))&lt;=0,"",VLOOKUP(B128,country_opex,7,FALSE)/((T128*pax_cap*load_thin*IF(ABS(MOD(ABS((L128*M128*revleg_thin)),1)-0.5)&lt;1E-9,2*ROUND((L128*M128*revleg_thin)/2,0),ROUND((L128*M128*revleg_thin),0)))-(((battery/range_nm)*D128*IF(ABS(MOD(ABS((L128*M128*revleg_thin)),1)-0.5)&lt;1E-9,2*ROUND((L128*M128*revleg_thin)/2,0),ROUND((L128*M128*revleg_thin),0))*VLOOKUP(B128,country_opex,3,FALSE))+W128+X128+Y128+Z128+AA128)))</f>
        <v/>
      </c>
      <c r="AW128" s="45">
        <f>IF(((T128*pax_cap*IF(B128="South Korea",korea_mid_load,load_mid)*IF(ABS(MOD(ABS((L128*M128*IF(B128="South Korea",korea_mid_revleg,revleg_mid))),1)-0.5)&lt;1E-9,2*ROUND((L128*M128*IF(B128="South Korea",korea_mid_revleg,revleg_mid))/2,0),ROUND((L128*M128*IF(B128="South Korea",korea_mid_revleg,revleg_mid)),0)))-(((battery/range_nm)*D128*IF(ABS(MOD(ABS((L128*M128*IF(B128="South Korea",korea_mid_revleg,revleg_mid))),1)-0.5)&lt;1E-9,2*ROUND((L128*M128*IF(B128="South Korea",korea_mid_revleg,revleg_mid))/2,0),ROUND((L128*M128*IF(B128="South Korea",korea_mid_revleg,revleg_mid)),0))*VLOOKUP(B128,country_opex,3,FALSE))+W128+X128+Y128+Z128+AA128))&lt;=0,"",VLOOKUP(B128,country_opex,7,FALSE)/((T128*pax_cap*IF(B128="South Korea",korea_mid_load,load_mid)*IF(ABS(MOD(ABS((L128*M128*IF(B128="South Korea",korea_mid_revleg,revleg_mid))),1)-0.5)&lt;1E-9,2*ROUND((L128*M128*IF(B128="South Korea",korea_mid_revleg,revleg_mid))/2,0),ROUND((L128*M128*IF(B128="South Korea",korea_mid_revleg,revleg_mid)),0)))-(((battery/range_nm)*D128*IF(ABS(MOD(ABS((L128*M128*IF(B128="South Korea",korea_mid_revleg,revleg_mid))),1)-0.5)&lt;1E-9,2*ROUND((L128*M128*IF(B128="South Korea",korea_mid_revleg,revleg_mid))/2,0),ROUND((L128*M128*IF(B128="South Korea",korea_mid_revleg,revleg_mid)),0))*VLOOKUP(B128,country_opex,3,FALSE))+W128+X128+Y128+Z128+AA128)))</f>
        <v/>
      </c>
      <c r="AX128" s="45">
        <f>IF(((T128*pax_cap*load_full*IF(ABS(MOD(ABS((L128*M128*revleg_full)),1)-0.5)&lt;1E-9,2*ROUND((L128*M128*revleg_full)/2,0),ROUND((L128*M128*revleg_full),0)))-(((battery/range_nm)*D128*IF(ABS(MOD(ABS((L128*M128*revleg_full)),1)-0.5)&lt;1E-9,2*ROUND((L128*M128*revleg_full)/2,0),ROUND((L128*M128*revleg_full),0))*VLOOKUP(B128,country_opex,3,FALSE))+W128+X128+Y128+Z128+AA128))&lt;=0,"",VLOOKUP(B128,country_opex,7,FALSE)/((T128*pax_cap*load_full*IF(ABS(MOD(ABS((L128*M128*revleg_full)),1)-0.5)&lt;1E-9,2*ROUND((L128*M128*revleg_full)/2,0),ROUND((L128*M128*revleg_full),0)))-(((battery/range_nm)*D128*IF(ABS(MOD(ABS((L128*M128*revleg_full)),1)-0.5)&lt;1E-9,2*ROUND((L128*M128*revleg_full)/2,0),ROUND((L128*M128*revleg_full),0))*VLOOKUP(B128,country_opex,3,FALSE))+W128+X128+Y128+Z128+AA128)))</f>
        <v/>
      </c>
      <c r="AY128" s="46" t="n"/>
      <c r="AZ128" s="46" t="n"/>
      <c r="BA128" s="34" t="inlineStr">
        <is>
          <t>rn-d61bc3c848d9</t>
        </is>
      </c>
    </row>
    <row r="129">
      <c r="A129" s="31" t="inlineStr">
        <is>
          <t>Yango Uae</t>
        </is>
      </c>
      <c r="B129" s="31" t="inlineStr">
        <is>
          <t>United Arab Emirates</t>
        </is>
      </c>
      <c r="C129" s="32" t="inlineStr">
        <is>
          <t>Dubai Marina → Downtown / Dubai Creek</t>
        </is>
      </c>
      <c r="D129" s="33" t="n">
        <v>12</v>
      </c>
      <c r="E129" s="27" t="n"/>
      <c r="F129" s="34" t="n"/>
      <c r="G129" s="34" t="n"/>
      <c r="H129" s="20" t="n">
        <v>1</v>
      </c>
      <c r="I129" s="35">
        <f>60*D129/cruise_kt</f>
        <v/>
      </c>
      <c r="J129" s="35">
        <f>IF(B129="South Korea",D129/korea_charge_range_nm*korea_full_range_charge_min,0)</f>
        <v/>
      </c>
      <c r="K129" s="35">
        <f>IF(B129="South Korea",I129+korea_turn_min+korea_dwell_min+J129,I129+turn_min+dwell_min)</f>
        <v/>
      </c>
      <c r="L129" s="36">
        <f>IF(B129="South Korea",FLOOR(60*korea_service_hr/K129,1),MIN(24,FLOOR(60*service_hr/K129,1)))</f>
        <v/>
      </c>
      <c r="M129" s="36">
        <f>IF(ABS(MOD(ABS((365*mech_uptime*H129)),1)-0.5)&lt;1E-9,2*ROUND((365*mech_uptime*H129)/2,0),ROUND((365*mech_uptime*H129),0))</f>
        <v/>
      </c>
      <c r="N129" s="37">
        <f>mech_uptime</f>
        <v/>
      </c>
      <c r="O129" s="37">
        <f>IF(AND(B129="South Korea",scenario="MID"),korea_mid_revleg,revleg_sel)</f>
        <v/>
      </c>
      <c r="P129" s="36">
        <f>IF(ABS(MOD(ABS((L129*M129*O129)),1)-0.5)&lt;1E-9,2*ROUND((L129*M129*O129)/2,0),ROUND((L129*M129*O129),0))</f>
        <v/>
      </c>
      <c r="Q129" s="37">
        <f>IF(AND(B129="South Korea",scenario="MID"),korea_mid_load,load_sel)</f>
        <v/>
      </c>
      <c r="R129" s="38">
        <f>pax_cap*Q129</f>
        <v/>
      </c>
      <c r="S129" s="36">
        <f>R129*P129</f>
        <v/>
      </c>
      <c r="T129" s="39">
        <f>E129*discount</f>
        <v/>
      </c>
      <c r="U129" s="40">
        <f>T129*S129</f>
        <v/>
      </c>
      <c r="V129" s="40">
        <f>(battery/range_nm)*D129*P129*VLOOKUP(B129,country_opex,3,FALSE)</f>
        <v/>
      </c>
      <c r="W129" s="40">
        <f>VLOOKUP(B129,country_opex,2,FALSE)*crew_factor</f>
        <v/>
      </c>
      <c r="X129" s="40">
        <f>VLOOKUP(B129,country_opex,5,FALSE)</f>
        <v/>
      </c>
      <c r="Y129" s="40">
        <f>maint</f>
        <v/>
      </c>
      <c r="Z129" s="40">
        <f>VLOOKUP(B129,country_opex,7,FALSE)*ins_pct</f>
        <v/>
      </c>
      <c r="AA129" s="40">
        <f>charge_berth</f>
        <v/>
      </c>
      <c r="AB129" s="40">
        <f>V129+W129+X129+Y129+Z129+AA129</f>
        <v/>
      </c>
      <c r="AC129" s="40">
        <f>VLOOKUP(B129,country_opex,7,FALSE)/dep_years</f>
        <v/>
      </c>
      <c r="AD129" s="40">
        <f>U129-AB129</f>
        <v/>
      </c>
      <c r="AE129" s="37">
        <f>IF(U129=0,"",AD129/U129)</f>
        <v/>
      </c>
      <c r="AF129" s="38">
        <f>IF(AD129&lt;=0,"",VLOOKUP(B129,country_opex,7,FALSE)/AD129)</f>
        <v/>
      </c>
      <c r="AG129" s="35">
        <f>((D129*P129/diesel_nmpg)*diesel_co2pg-(battery/range_nm)*D129*P129*VLOOKUP(B129,country_opex,4,FALSE))/1000</f>
        <v/>
      </c>
      <c r="AH129" s="33" t="n"/>
      <c r="AI129" s="34" t="n"/>
      <c r="AJ129" s="34" t="n"/>
      <c r="AK129" s="41" t="n">
        <v>0.1</v>
      </c>
      <c r="AL129" s="36">
        <f>IF(AH129="","",AH129*AK129)</f>
        <v/>
      </c>
      <c r="AM129" s="36">
        <f>IF(OR(AH129="",S129=0),"",MIN(IF(AU129="",9.9E+99,AU129),FLOOR(AL129/S129,1)))</f>
        <v/>
      </c>
      <c r="AN129" s="40">
        <f>IF(AM129="","",AM129*IF(ABS(MOD(ABS((U129)),1)-0.5)&lt;1E-9,2*ROUND((U129)/2,0),ROUND((U129),0)))</f>
        <v/>
      </c>
      <c r="AO129" s="38">
        <f>IF(OR(AH129="",S129=0),"",MIN(IF(AU129="",9.9E+99,AU129),AL129/S129))</f>
        <v/>
      </c>
      <c r="AP129" s="40">
        <f>IF(AO129="","",AO129*IF(B129="South Korea",IF(ABS(MOD(ABS((U129)),1)-0.5)&lt;1E-9,2*ROUND((U129)/2,0),ROUND((U129),0)),U129))</f>
        <v/>
      </c>
      <c r="AQ129" s="42" t="n"/>
      <c r="AR129" s="34" t="inlineStr">
        <is>
          <t>Estimated</t>
        </is>
      </c>
      <c r="AS129" s="43" t="n"/>
      <c r="AT129" s="43" t="n"/>
      <c r="AU129" s="44" t="n"/>
      <c r="AV129" s="45">
        <f>IF(((T129*pax_cap*load_thin*IF(ABS(MOD(ABS((L129*M129*revleg_thin)),1)-0.5)&lt;1E-9,2*ROUND((L129*M129*revleg_thin)/2,0),ROUND((L129*M129*revleg_thin),0)))-(((battery/range_nm)*D129*IF(ABS(MOD(ABS((L129*M129*revleg_thin)),1)-0.5)&lt;1E-9,2*ROUND((L129*M129*revleg_thin)/2,0),ROUND((L129*M129*revleg_thin),0))*VLOOKUP(B129,country_opex,3,FALSE))+W129+X129+Y129+Z129+AA129))&lt;=0,"",VLOOKUP(B129,country_opex,7,FALSE)/((T129*pax_cap*load_thin*IF(ABS(MOD(ABS((L129*M129*revleg_thin)),1)-0.5)&lt;1E-9,2*ROUND((L129*M129*revleg_thin)/2,0),ROUND((L129*M129*revleg_thin),0)))-(((battery/range_nm)*D129*IF(ABS(MOD(ABS((L129*M129*revleg_thin)),1)-0.5)&lt;1E-9,2*ROUND((L129*M129*revleg_thin)/2,0),ROUND((L129*M129*revleg_thin),0))*VLOOKUP(B129,country_opex,3,FALSE))+W129+X129+Y129+Z129+AA129)))</f>
        <v/>
      </c>
      <c r="AW129" s="45">
        <f>IF(((T129*pax_cap*IF(B129="South Korea",korea_mid_load,load_mid)*IF(ABS(MOD(ABS((L129*M129*IF(B129="South Korea",korea_mid_revleg,revleg_mid))),1)-0.5)&lt;1E-9,2*ROUND((L129*M129*IF(B129="South Korea",korea_mid_revleg,revleg_mid))/2,0),ROUND((L129*M129*IF(B129="South Korea",korea_mid_revleg,revleg_mid)),0)))-(((battery/range_nm)*D129*IF(ABS(MOD(ABS((L129*M129*IF(B129="South Korea",korea_mid_revleg,revleg_mid))),1)-0.5)&lt;1E-9,2*ROUND((L129*M129*IF(B129="South Korea",korea_mid_revleg,revleg_mid))/2,0),ROUND((L129*M129*IF(B129="South Korea",korea_mid_revleg,revleg_mid)),0))*VLOOKUP(B129,country_opex,3,FALSE))+W129+X129+Y129+Z129+AA129))&lt;=0,"",VLOOKUP(B129,country_opex,7,FALSE)/((T129*pax_cap*IF(B129="South Korea",korea_mid_load,load_mid)*IF(ABS(MOD(ABS((L129*M129*IF(B129="South Korea",korea_mid_revleg,revleg_mid))),1)-0.5)&lt;1E-9,2*ROUND((L129*M129*IF(B129="South Korea",korea_mid_revleg,revleg_mid))/2,0),ROUND((L129*M129*IF(B129="South Korea",korea_mid_revleg,revleg_mid)),0)))-(((battery/range_nm)*D129*IF(ABS(MOD(ABS((L129*M129*IF(B129="South Korea",korea_mid_revleg,revleg_mid))),1)-0.5)&lt;1E-9,2*ROUND((L129*M129*IF(B129="South Korea",korea_mid_revleg,revleg_mid))/2,0),ROUND((L129*M129*IF(B129="South Korea",korea_mid_revleg,revleg_mid)),0))*VLOOKUP(B129,country_opex,3,FALSE))+W129+X129+Y129+Z129+AA129)))</f>
        <v/>
      </c>
      <c r="AX129" s="45">
        <f>IF(((T129*pax_cap*load_full*IF(ABS(MOD(ABS((L129*M129*revleg_full)),1)-0.5)&lt;1E-9,2*ROUND((L129*M129*revleg_full)/2,0),ROUND((L129*M129*revleg_full),0)))-(((battery/range_nm)*D129*IF(ABS(MOD(ABS((L129*M129*revleg_full)),1)-0.5)&lt;1E-9,2*ROUND((L129*M129*revleg_full)/2,0),ROUND((L129*M129*revleg_full),0))*VLOOKUP(B129,country_opex,3,FALSE))+W129+X129+Y129+Z129+AA129))&lt;=0,"",VLOOKUP(B129,country_opex,7,FALSE)/((T129*pax_cap*load_full*IF(ABS(MOD(ABS((L129*M129*revleg_full)),1)-0.5)&lt;1E-9,2*ROUND((L129*M129*revleg_full)/2,0),ROUND((L129*M129*revleg_full),0)))-(((battery/range_nm)*D129*IF(ABS(MOD(ABS((L129*M129*revleg_full)),1)-0.5)&lt;1E-9,2*ROUND((L129*M129*revleg_full)/2,0),ROUND((L129*M129*revleg_full),0))*VLOOKUP(B129,country_opex,3,FALSE))+W129+X129+Y129+Z129+AA129)))</f>
        <v/>
      </c>
      <c r="AY129" s="46" t="n"/>
      <c r="AZ129" s="46" t="n"/>
      <c r="BA129" s="34" t="inlineStr">
        <is>
          <t>gcn-cf6ba343d2-bolt</t>
        </is>
      </c>
    </row>
    <row r="130">
      <c r="A130" s="31" t="inlineStr">
        <is>
          <t>Yango Uae</t>
        </is>
      </c>
      <c r="B130" s="31" t="inlineStr">
        <is>
          <t>United Arab Emirates</t>
        </is>
      </c>
      <c r="C130" s="32" t="inlineStr">
        <is>
          <t>Dubai Marina → Downtown Creek</t>
        </is>
      </c>
      <c r="D130" s="33" t="n">
        <v>12</v>
      </c>
      <c r="E130" s="27" t="n"/>
      <c r="F130" s="34" t="n"/>
      <c r="G130" s="34" t="n"/>
      <c r="H130" s="20" t="n">
        <v>1</v>
      </c>
      <c r="I130" s="35">
        <f>60*D130/cruise_kt</f>
        <v/>
      </c>
      <c r="J130" s="35">
        <f>IF(B130="South Korea",D130/korea_charge_range_nm*korea_full_range_charge_min,0)</f>
        <v/>
      </c>
      <c r="K130" s="35">
        <f>IF(B130="South Korea",I130+korea_turn_min+korea_dwell_min+J130,I130+turn_min+dwell_min)</f>
        <v/>
      </c>
      <c r="L130" s="36">
        <f>IF(B130="South Korea",FLOOR(60*korea_service_hr/K130,1),MIN(24,FLOOR(60*service_hr/K130,1)))</f>
        <v/>
      </c>
      <c r="M130" s="36">
        <f>IF(ABS(MOD(ABS((365*mech_uptime*H130)),1)-0.5)&lt;1E-9,2*ROUND((365*mech_uptime*H130)/2,0),ROUND((365*mech_uptime*H130),0))</f>
        <v/>
      </c>
      <c r="N130" s="37">
        <f>mech_uptime</f>
        <v/>
      </c>
      <c r="O130" s="37">
        <f>IF(AND(B130="South Korea",scenario="MID"),korea_mid_revleg,revleg_sel)</f>
        <v/>
      </c>
      <c r="P130" s="36">
        <f>IF(ABS(MOD(ABS((L130*M130*O130)),1)-0.5)&lt;1E-9,2*ROUND((L130*M130*O130)/2,0),ROUND((L130*M130*O130),0))</f>
        <v/>
      </c>
      <c r="Q130" s="37">
        <f>IF(AND(B130="South Korea",scenario="MID"),korea_mid_load,load_sel)</f>
        <v/>
      </c>
      <c r="R130" s="38">
        <f>pax_cap*Q130</f>
        <v/>
      </c>
      <c r="S130" s="36">
        <f>R130*P130</f>
        <v/>
      </c>
      <c r="T130" s="39">
        <f>E130*discount</f>
        <v/>
      </c>
      <c r="U130" s="40">
        <f>T130*S130</f>
        <v/>
      </c>
      <c r="V130" s="40">
        <f>(battery/range_nm)*D130*P130*VLOOKUP(B130,country_opex,3,FALSE)</f>
        <v/>
      </c>
      <c r="W130" s="40">
        <f>VLOOKUP(B130,country_opex,2,FALSE)*crew_factor</f>
        <v/>
      </c>
      <c r="X130" s="40">
        <f>VLOOKUP(B130,country_opex,5,FALSE)</f>
        <v/>
      </c>
      <c r="Y130" s="40">
        <f>maint</f>
        <v/>
      </c>
      <c r="Z130" s="40">
        <f>VLOOKUP(B130,country_opex,7,FALSE)*ins_pct</f>
        <v/>
      </c>
      <c r="AA130" s="40">
        <f>charge_berth</f>
        <v/>
      </c>
      <c r="AB130" s="40">
        <f>V130+W130+X130+Y130+Z130+AA130</f>
        <v/>
      </c>
      <c r="AC130" s="40">
        <f>VLOOKUP(B130,country_opex,7,FALSE)/dep_years</f>
        <v/>
      </c>
      <c r="AD130" s="40">
        <f>U130-AB130</f>
        <v/>
      </c>
      <c r="AE130" s="37">
        <f>IF(U130=0,"",AD130/U130)</f>
        <v/>
      </c>
      <c r="AF130" s="38">
        <f>IF(AD130&lt;=0,"",VLOOKUP(B130,country_opex,7,FALSE)/AD130)</f>
        <v/>
      </c>
      <c r="AG130" s="35">
        <f>((D130*P130/diesel_nmpg)*diesel_co2pg-(battery/range_nm)*D130*P130*VLOOKUP(B130,country_opex,4,FALSE))/1000</f>
        <v/>
      </c>
      <c r="AH130" s="33" t="n"/>
      <c r="AI130" s="34" t="n"/>
      <c r="AJ130" s="34" t="n"/>
      <c r="AK130" s="41" t="n">
        <v>0.1</v>
      </c>
      <c r="AL130" s="36">
        <f>IF(AH130="","",AH130*AK130)</f>
        <v/>
      </c>
      <c r="AM130" s="36">
        <f>IF(OR(AH130="",S130=0),"",MIN(IF(AU130="",9.9E+99,AU130),FLOOR(AL130/S130,1)))</f>
        <v/>
      </c>
      <c r="AN130" s="40">
        <f>IF(AM130="","",AM130*IF(ABS(MOD(ABS((U130)),1)-0.5)&lt;1E-9,2*ROUND((U130)/2,0),ROUND((U130),0)))</f>
        <v/>
      </c>
      <c r="AO130" s="38">
        <f>IF(OR(AH130="",S130=0),"",MIN(IF(AU130="",9.9E+99,AU130),AL130/S130))</f>
        <v/>
      </c>
      <c r="AP130" s="40">
        <f>IF(AO130="","",AO130*IF(B130="South Korea",IF(ABS(MOD(ABS((U130)),1)-0.5)&lt;1E-9,2*ROUND((U130)/2,0),ROUND((U130),0)),U130))</f>
        <v/>
      </c>
      <c r="AQ130" s="42" t="n"/>
      <c r="AR130" s="34" t="inlineStr">
        <is>
          <t>Estimated</t>
        </is>
      </c>
      <c r="AS130" s="43" t="n"/>
      <c r="AT130" s="43" t="n"/>
      <c r="AU130" s="44" t="n"/>
      <c r="AV130" s="45">
        <f>IF(((T130*pax_cap*load_thin*IF(ABS(MOD(ABS((L130*M130*revleg_thin)),1)-0.5)&lt;1E-9,2*ROUND((L130*M130*revleg_thin)/2,0),ROUND((L130*M130*revleg_thin),0)))-(((battery/range_nm)*D130*IF(ABS(MOD(ABS((L130*M130*revleg_thin)),1)-0.5)&lt;1E-9,2*ROUND((L130*M130*revleg_thin)/2,0),ROUND((L130*M130*revleg_thin),0))*VLOOKUP(B130,country_opex,3,FALSE))+W130+X130+Y130+Z130+AA130))&lt;=0,"",VLOOKUP(B130,country_opex,7,FALSE)/((T130*pax_cap*load_thin*IF(ABS(MOD(ABS((L130*M130*revleg_thin)),1)-0.5)&lt;1E-9,2*ROUND((L130*M130*revleg_thin)/2,0),ROUND((L130*M130*revleg_thin),0)))-(((battery/range_nm)*D130*IF(ABS(MOD(ABS((L130*M130*revleg_thin)),1)-0.5)&lt;1E-9,2*ROUND((L130*M130*revleg_thin)/2,0),ROUND((L130*M130*revleg_thin),0))*VLOOKUP(B130,country_opex,3,FALSE))+W130+X130+Y130+Z130+AA130)))</f>
        <v/>
      </c>
      <c r="AW130" s="45">
        <f>IF(((T130*pax_cap*IF(B130="South Korea",korea_mid_load,load_mid)*IF(ABS(MOD(ABS((L130*M130*IF(B130="South Korea",korea_mid_revleg,revleg_mid))),1)-0.5)&lt;1E-9,2*ROUND((L130*M130*IF(B130="South Korea",korea_mid_revleg,revleg_mid))/2,0),ROUND((L130*M130*IF(B130="South Korea",korea_mid_revleg,revleg_mid)),0)))-(((battery/range_nm)*D130*IF(ABS(MOD(ABS((L130*M130*IF(B130="South Korea",korea_mid_revleg,revleg_mid))),1)-0.5)&lt;1E-9,2*ROUND((L130*M130*IF(B130="South Korea",korea_mid_revleg,revleg_mid))/2,0),ROUND((L130*M130*IF(B130="South Korea",korea_mid_revleg,revleg_mid)),0))*VLOOKUP(B130,country_opex,3,FALSE))+W130+X130+Y130+Z130+AA130))&lt;=0,"",VLOOKUP(B130,country_opex,7,FALSE)/((T130*pax_cap*IF(B130="South Korea",korea_mid_load,load_mid)*IF(ABS(MOD(ABS((L130*M130*IF(B130="South Korea",korea_mid_revleg,revleg_mid))),1)-0.5)&lt;1E-9,2*ROUND((L130*M130*IF(B130="South Korea",korea_mid_revleg,revleg_mid))/2,0),ROUND((L130*M130*IF(B130="South Korea",korea_mid_revleg,revleg_mid)),0)))-(((battery/range_nm)*D130*IF(ABS(MOD(ABS((L130*M130*IF(B130="South Korea",korea_mid_revleg,revleg_mid))),1)-0.5)&lt;1E-9,2*ROUND((L130*M130*IF(B130="South Korea",korea_mid_revleg,revleg_mid))/2,0),ROUND((L130*M130*IF(B130="South Korea",korea_mid_revleg,revleg_mid)),0))*VLOOKUP(B130,country_opex,3,FALSE))+W130+X130+Y130+Z130+AA130)))</f>
        <v/>
      </c>
      <c r="AX130" s="45">
        <f>IF(((T130*pax_cap*load_full*IF(ABS(MOD(ABS((L130*M130*revleg_full)),1)-0.5)&lt;1E-9,2*ROUND((L130*M130*revleg_full)/2,0),ROUND((L130*M130*revleg_full),0)))-(((battery/range_nm)*D130*IF(ABS(MOD(ABS((L130*M130*revleg_full)),1)-0.5)&lt;1E-9,2*ROUND((L130*M130*revleg_full)/2,0),ROUND((L130*M130*revleg_full),0))*VLOOKUP(B130,country_opex,3,FALSE))+W130+X130+Y130+Z130+AA130))&lt;=0,"",VLOOKUP(B130,country_opex,7,FALSE)/((T130*pax_cap*load_full*IF(ABS(MOD(ABS((L130*M130*revleg_full)),1)-0.5)&lt;1E-9,2*ROUND((L130*M130*revleg_full)/2,0),ROUND((L130*M130*revleg_full),0)))-(((battery/range_nm)*D130*IF(ABS(MOD(ABS((L130*M130*revleg_full)),1)-0.5)&lt;1E-9,2*ROUND((L130*M130*revleg_full)/2,0),ROUND((L130*M130*revleg_full),0))*VLOOKUP(B130,country_opex,3,FALSE))+W130+X130+Y130+Z130+AA130)))</f>
        <v/>
      </c>
      <c r="AY130" s="46" t="n"/>
      <c r="AZ130" s="46" t="n"/>
      <c r="BA130" s="34" t="inlineStr">
        <is>
          <t>gcn-1662e39eb7-careem</t>
        </is>
      </c>
    </row>
    <row r="131">
      <c r="A131" s="31" t="inlineStr">
        <is>
          <t>Yango Uae</t>
        </is>
      </c>
      <c r="B131" s="31" t="inlineStr">
        <is>
          <t>United Arab Emirates</t>
        </is>
      </c>
      <c r="C131" s="32" t="inlineStr">
        <is>
          <t>Yas Marina → Four Seasons Al Maryah Jetty</t>
        </is>
      </c>
      <c r="D131" s="33" t="n">
        <v>12.4</v>
      </c>
      <c r="E131" s="27" t="n"/>
      <c r="F131" s="34" t="n"/>
      <c r="G131" s="34" t="n"/>
      <c r="H131" s="20" t="n">
        <v>1</v>
      </c>
      <c r="I131" s="35">
        <f>60*D131/cruise_kt</f>
        <v/>
      </c>
      <c r="J131" s="35">
        <f>IF(B131="South Korea",D131/korea_charge_range_nm*korea_full_range_charge_min,0)</f>
        <v/>
      </c>
      <c r="K131" s="35">
        <f>IF(B131="South Korea",I131+korea_turn_min+korea_dwell_min+J131,I131+turn_min+dwell_min)</f>
        <v/>
      </c>
      <c r="L131" s="36">
        <f>IF(B131="South Korea",FLOOR(60*korea_service_hr/K131,1),MIN(15,FLOOR(60*service_hr/K131,1)))</f>
        <v/>
      </c>
      <c r="M131" s="36">
        <f>IF(ABS(MOD(ABS((365*mech_uptime*H131)),1)-0.5)&lt;1E-9,2*ROUND((365*mech_uptime*H131)/2,0),ROUND((365*mech_uptime*H131),0))</f>
        <v/>
      </c>
      <c r="N131" s="37">
        <f>mech_uptime</f>
        <v/>
      </c>
      <c r="O131" s="37">
        <f>IF(AND(B131="South Korea",scenario="MID"),korea_mid_revleg,revleg_sel)</f>
        <v/>
      </c>
      <c r="P131" s="36">
        <f>IF(ABS(MOD(ABS((L131*M131*O131)),1)-0.5)&lt;1E-9,2*ROUND((L131*M131*O131)/2,0),ROUND((L131*M131*O131),0))</f>
        <v/>
      </c>
      <c r="Q131" s="37">
        <f>IF(AND(B131="South Korea",scenario="MID"),korea_mid_load,load_sel)</f>
        <v/>
      </c>
      <c r="R131" s="38">
        <f>pax_cap*Q131</f>
        <v/>
      </c>
      <c r="S131" s="36">
        <f>R131*P131</f>
        <v/>
      </c>
      <c r="T131" s="39">
        <f>E131*discount</f>
        <v/>
      </c>
      <c r="U131" s="40">
        <f>T131*S131</f>
        <v/>
      </c>
      <c r="V131" s="40">
        <f>(battery/range_nm)*D131*P131*VLOOKUP(B131,country_opex,3,FALSE)</f>
        <v/>
      </c>
      <c r="W131" s="40">
        <f>VLOOKUP(B131,country_opex,2,FALSE)*crew_factor</f>
        <v/>
      </c>
      <c r="X131" s="40">
        <f>VLOOKUP(B131,country_opex,5,FALSE)</f>
        <v/>
      </c>
      <c r="Y131" s="40">
        <f>maint</f>
        <v/>
      </c>
      <c r="Z131" s="40">
        <f>VLOOKUP(B131,country_opex,7,FALSE)*ins_pct</f>
        <v/>
      </c>
      <c r="AA131" s="40">
        <f>charge_berth</f>
        <v/>
      </c>
      <c r="AB131" s="40">
        <f>V131+W131+X131+Y131+Z131+AA131</f>
        <v/>
      </c>
      <c r="AC131" s="40">
        <f>VLOOKUP(B131,country_opex,7,FALSE)/dep_years</f>
        <v/>
      </c>
      <c r="AD131" s="40">
        <f>U131-AB131</f>
        <v/>
      </c>
      <c r="AE131" s="37">
        <f>IF(U131=0,"",AD131/U131)</f>
        <v/>
      </c>
      <c r="AF131" s="38">
        <f>IF(AD131&lt;=0,"",VLOOKUP(B131,country_opex,7,FALSE)/AD131)</f>
        <v/>
      </c>
      <c r="AG131" s="35">
        <f>((D131*P131/diesel_nmpg)*diesel_co2pg-(battery/range_nm)*D131*P131*VLOOKUP(B131,country_opex,4,FALSE))/1000</f>
        <v/>
      </c>
      <c r="AH131" s="33" t="n"/>
      <c r="AI131" s="34" t="n"/>
      <c r="AJ131" s="34" t="n"/>
      <c r="AK131" s="41" t="n">
        <v>0.1</v>
      </c>
      <c r="AL131" s="36">
        <f>IF(AH131="","",AH131*AK131)</f>
        <v/>
      </c>
      <c r="AM131" s="36">
        <f>IF(OR(AH131="",S131=0),"",MIN(IF(AU131="",9.9E+99,AU131),FLOOR(AL131/S131,1)))</f>
        <v/>
      </c>
      <c r="AN131" s="40">
        <f>IF(AM131="","",AM131*IF(ABS(MOD(ABS((U131)),1)-0.5)&lt;1E-9,2*ROUND((U131)/2,0),ROUND((U131),0)))</f>
        <v/>
      </c>
      <c r="AO131" s="38">
        <f>IF(OR(AH131="",S131=0),"",MIN(IF(AU131="",9.9E+99,AU131),AL131/S131))</f>
        <v/>
      </c>
      <c r="AP131" s="40">
        <f>IF(AO131="","",AO131*IF(B131="South Korea",IF(ABS(MOD(ABS((U131)),1)-0.5)&lt;1E-9,2*ROUND((U131)/2,0),ROUND((U131),0)),U131))</f>
        <v/>
      </c>
      <c r="AQ131" s="42" t="n"/>
      <c r="AR131" s="34" t="inlineStr">
        <is>
          <t>Estimated</t>
        </is>
      </c>
      <c r="AS131" s="43" t="n"/>
      <c r="AT131" s="43" t="n"/>
      <c r="AU131" s="44" t="n"/>
      <c r="AV131" s="45">
        <f>IF(((T131*pax_cap*load_thin*IF(ABS(MOD(ABS((L131*M131*revleg_thin)),1)-0.5)&lt;1E-9,2*ROUND((L131*M131*revleg_thin)/2,0),ROUND((L131*M131*revleg_thin),0)))-(((battery/range_nm)*D131*IF(ABS(MOD(ABS((L131*M131*revleg_thin)),1)-0.5)&lt;1E-9,2*ROUND((L131*M131*revleg_thin)/2,0),ROUND((L131*M131*revleg_thin),0))*VLOOKUP(B131,country_opex,3,FALSE))+W131+X131+Y131+Z131+AA131))&lt;=0,"",VLOOKUP(B131,country_opex,7,FALSE)/((T131*pax_cap*load_thin*IF(ABS(MOD(ABS((L131*M131*revleg_thin)),1)-0.5)&lt;1E-9,2*ROUND((L131*M131*revleg_thin)/2,0),ROUND((L131*M131*revleg_thin),0)))-(((battery/range_nm)*D131*IF(ABS(MOD(ABS((L131*M131*revleg_thin)),1)-0.5)&lt;1E-9,2*ROUND((L131*M131*revleg_thin)/2,0),ROUND((L131*M131*revleg_thin),0))*VLOOKUP(B131,country_opex,3,FALSE))+W131+X131+Y131+Z131+AA131)))</f>
        <v/>
      </c>
      <c r="AW131" s="45">
        <f>IF(((T131*pax_cap*IF(B131="South Korea",korea_mid_load,load_mid)*IF(ABS(MOD(ABS((L131*M131*IF(B131="South Korea",korea_mid_revleg,revleg_mid))),1)-0.5)&lt;1E-9,2*ROUND((L131*M131*IF(B131="South Korea",korea_mid_revleg,revleg_mid))/2,0),ROUND((L131*M131*IF(B131="South Korea",korea_mid_revleg,revleg_mid)),0)))-(((battery/range_nm)*D131*IF(ABS(MOD(ABS((L131*M131*IF(B131="South Korea",korea_mid_revleg,revleg_mid))),1)-0.5)&lt;1E-9,2*ROUND((L131*M131*IF(B131="South Korea",korea_mid_revleg,revleg_mid))/2,0),ROUND((L131*M131*IF(B131="South Korea",korea_mid_revleg,revleg_mid)),0))*VLOOKUP(B131,country_opex,3,FALSE))+W131+X131+Y131+Z131+AA131))&lt;=0,"",VLOOKUP(B131,country_opex,7,FALSE)/((T131*pax_cap*IF(B131="South Korea",korea_mid_load,load_mid)*IF(ABS(MOD(ABS((L131*M131*IF(B131="South Korea",korea_mid_revleg,revleg_mid))),1)-0.5)&lt;1E-9,2*ROUND((L131*M131*IF(B131="South Korea",korea_mid_revleg,revleg_mid))/2,0),ROUND((L131*M131*IF(B131="South Korea",korea_mid_revleg,revleg_mid)),0)))-(((battery/range_nm)*D131*IF(ABS(MOD(ABS((L131*M131*IF(B131="South Korea",korea_mid_revleg,revleg_mid))),1)-0.5)&lt;1E-9,2*ROUND((L131*M131*IF(B131="South Korea",korea_mid_revleg,revleg_mid))/2,0),ROUND((L131*M131*IF(B131="South Korea",korea_mid_revleg,revleg_mid)),0))*VLOOKUP(B131,country_opex,3,FALSE))+W131+X131+Y131+Z131+AA131)))</f>
        <v/>
      </c>
      <c r="AX131" s="45">
        <f>IF(((T131*pax_cap*load_full*IF(ABS(MOD(ABS((L131*M131*revleg_full)),1)-0.5)&lt;1E-9,2*ROUND((L131*M131*revleg_full)/2,0),ROUND((L131*M131*revleg_full),0)))-(((battery/range_nm)*D131*IF(ABS(MOD(ABS((L131*M131*revleg_full)),1)-0.5)&lt;1E-9,2*ROUND((L131*M131*revleg_full)/2,0),ROUND((L131*M131*revleg_full),0))*VLOOKUP(B131,country_opex,3,FALSE))+W131+X131+Y131+Z131+AA131))&lt;=0,"",VLOOKUP(B131,country_opex,7,FALSE)/((T131*pax_cap*load_full*IF(ABS(MOD(ABS((L131*M131*revleg_full)),1)-0.5)&lt;1E-9,2*ROUND((L131*M131*revleg_full)/2,0),ROUND((L131*M131*revleg_full),0)))-(((battery/range_nm)*D131*IF(ABS(MOD(ABS((L131*M131*revleg_full)),1)-0.5)&lt;1E-9,2*ROUND((L131*M131*revleg_full)/2,0),ROUND((L131*M131*revleg_full),0))*VLOOKUP(B131,country_opex,3,FALSE))+W131+X131+Y131+Z131+AA131)))</f>
        <v/>
      </c>
      <c r="AY131" s="46" t="n"/>
      <c r="AZ131" s="46" t="n"/>
      <c r="BA131" s="34" t="inlineStr">
        <is>
          <t>rn-80c408c085a6</t>
        </is>
      </c>
    </row>
    <row r="132">
      <c r="A132" s="31" t="inlineStr">
        <is>
          <t>Yango Uae</t>
        </is>
      </c>
      <c r="B132" s="31" t="inlineStr">
        <is>
          <t>United Arab Emirates</t>
        </is>
      </c>
      <c r="C132" s="32" t="inlineStr">
        <is>
          <t>Yas Marina → Zaya Nurai Island Jetty</t>
        </is>
      </c>
      <c r="D132" s="33" t="n">
        <v>12.6</v>
      </c>
      <c r="E132" s="27" t="n">
        <v>175</v>
      </c>
      <c r="F132" s="34" t="inlineStr">
        <is>
          <t>T5</t>
        </is>
      </c>
      <c r="G132" s="34" t="inlineStr">
        <is>
          <t>low</t>
        </is>
      </c>
      <c r="H132" s="20" t="n">
        <v>1</v>
      </c>
      <c r="I132" s="35">
        <f>60*D132/cruise_kt</f>
        <v/>
      </c>
      <c r="J132" s="35">
        <f>IF(B132="South Korea",D132/korea_charge_range_nm*korea_full_range_charge_min,0)</f>
        <v/>
      </c>
      <c r="K132" s="35">
        <f>IF(B132="South Korea",I132+korea_turn_min+korea_dwell_min+J132,I132+turn_min+dwell_min)</f>
        <v/>
      </c>
      <c r="L132" s="36">
        <f>IF(B132="South Korea",FLOOR(60*korea_service_hr/K132,1),MIN(24,FLOOR(60*service_hr/K132,1)))</f>
        <v/>
      </c>
      <c r="M132" s="36">
        <f>IF(ABS(MOD(ABS((365*mech_uptime*H132)),1)-0.5)&lt;1E-9,2*ROUND((365*mech_uptime*H132)/2,0),ROUND((365*mech_uptime*H132),0))</f>
        <v/>
      </c>
      <c r="N132" s="37">
        <f>mech_uptime</f>
        <v/>
      </c>
      <c r="O132" s="37">
        <f>IF(AND(B132="South Korea",scenario="MID"),korea_mid_revleg,revleg_sel)</f>
        <v/>
      </c>
      <c r="P132" s="36">
        <f>IF(ABS(MOD(ABS((L132*M132*O132)),1)-0.5)&lt;1E-9,2*ROUND((L132*M132*O132)/2,0),ROUND((L132*M132*O132),0))</f>
        <v/>
      </c>
      <c r="Q132" s="37">
        <f>IF(AND(B132="South Korea",scenario="MID"),korea_mid_load,load_sel)</f>
        <v/>
      </c>
      <c r="R132" s="38">
        <f>pax_cap*Q132</f>
        <v/>
      </c>
      <c r="S132" s="36">
        <f>R132*P132</f>
        <v/>
      </c>
      <c r="T132" s="39">
        <f>E132*discount</f>
        <v/>
      </c>
      <c r="U132" s="40">
        <f>T132*S132</f>
        <v/>
      </c>
      <c r="V132" s="40">
        <f>(battery/range_nm)*D132*P132*VLOOKUP(B132,country_opex,3,FALSE)</f>
        <v/>
      </c>
      <c r="W132" s="40">
        <f>VLOOKUP(B132,country_opex,2,FALSE)*crew_factor</f>
        <v/>
      </c>
      <c r="X132" s="40">
        <f>VLOOKUP(B132,country_opex,5,FALSE)</f>
        <v/>
      </c>
      <c r="Y132" s="40">
        <f>maint</f>
        <v/>
      </c>
      <c r="Z132" s="40">
        <f>VLOOKUP(B132,country_opex,7,FALSE)*ins_pct</f>
        <v/>
      </c>
      <c r="AA132" s="40">
        <f>charge_berth</f>
        <v/>
      </c>
      <c r="AB132" s="40">
        <f>V132+W132+X132+Y132+Z132+AA132</f>
        <v/>
      </c>
      <c r="AC132" s="40">
        <f>VLOOKUP(B132,country_opex,7,FALSE)/dep_years</f>
        <v/>
      </c>
      <c r="AD132" s="40">
        <f>U132-AB132</f>
        <v/>
      </c>
      <c r="AE132" s="37">
        <f>IF(U132=0,"",AD132/U132)</f>
        <v/>
      </c>
      <c r="AF132" s="38">
        <f>IF(AD132&lt;=0,"",VLOOKUP(B132,country_opex,7,FALSE)/AD132)</f>
        <v/>
      </c>
      <c r="AG132" s="35">
        <f>((D132*P132/diesel_nmpg)*diesel_co2pg-(battery/range_nm)*D132*P132*VLOOKUP(B132,country_opex,4,FALSE))/1000</f>
        <v/>
      </c>
      <c r="AH132" s="33" t="n">
        <v>15000</v>
      </c>
      <c r="AI132" s="34" t="inlineStr">
        <is>
          <t>T3</t>
        </is>
      </c>
      <c r="AJ132" s="34" t="inlineStr">
        <is>
          <t>low</t>
        </is>
      </c>
      <c r="AK132" s="41" t="n">
        <v>0.1</v>
      </c>
      <c r="AL132" s="36">
        <f>IF(AH132="","",AH132*AK132)</f>
        <v/>
      </c>
      <c r="AM132" s="36">
        <f>IF(OR(AH132="",S132=0),"",MIN(IF(AU132="",9.9E+99,AU132),FLOOR(AL132/S132,1)))</f>
        <v/>
      </c>
      <c r="AN132" s="40">
        <f>IF(AM132="","",AM132*IF(ABS(MOD(ABS((U132)),1)-0.5)&lt;1E-9,2*ROUND((U132)/2,0),ROUND((U132),0)))</f>
        <v/>
      </c>
      <c r="AO132" s="38">
        <f>IF(OR(AH132="",S132=0),"",MIN(IF(AU132="",9.9E+99,AU132),AL132/S132))</f>
        <v/>
      </c>
      <c r="AP132" s="40">
        <f>IF(AO132="","",AO132*IF(B132="South Korea",IF(ABS(MOD(ABS((U132)),1)-0.5)&lt;1E-9,2*ROUND((U132)/2,0),ROUND((U132),0)),U132))</f>
        <v/>
      </c>
      <c r="AQ132" s="42" t="n"/>
      <c r="AR132" s="34" t="inlineStr">
        <is>
          <t>Estimated</t>
        </is>
      </c>
      <c r="AS132" s="43" t="n"/>
      <c r="AT132" s="43" t="n"/>
      <c r="AU132" s="44" t="n"/>
      <c r="AV132" s="45">
        <f>IF(((T132*pax_cap*load_thin*IF(ABS(MOD(ABS((L132*M132*revleg_thin)),1)-0.5)&lt;1E-9,2*ROUND((L132*M132*revleg_thin)/2,0),ROUND((L132*M132*revleg_thin),0)))-(((battery/range_nm)*D132*IF(ABS(MOD(ABS((L132*M132*revleg_thin)),1)-0.5)&lt;1E-9,2*ROUND((L132*M132*revleg_thin)/2,0),ROUND((L132*M132*revleg_thin),0))*VLOOKUP(B132,country_opex,3,FALSE))+W132+X132+Y132+Z132+AA132))&lt;=0,"",VLOOKUP(B132,country_opex,7,FALSE)/((T132*pax_cap*load_thin*IF(ABS(MOD(ABS((L132*M132*revleg_thin)),1)-0.5)&lt;1E-9,2*ROUND((L132*M132*revleg_thin)/2,0),ROUND((L132*M132*revleg_thin),0)))-(((battery/range_nm)*D132*IF(ABS(MOD(ABS((L132*M132*revleg_thin)),1)-0.5)&lt;1E-9,2*ROUND((L132*M132*revleg_thin)/2,0),ROUND((L132*M132*revleg_thin),0))*VLOOKUP(B132,country_opex,3,FALSE))+W132+X132+Y132+Z132+AA132)))</f>
        <v/>
      </c>
      <c r="AW132" s="45">
        <f>IF(((T132*pax_cap*IF(B132="South Korea",korea_mid_load,load_mid)*IF(ABS(MOD(ABS((L132*M132*IF(B132="South Korea",korea_mid_revleg,revleg_mid))),1)-0.5)&lt;1E-9,2*ROUND((L132*M132*IF(B132="South Korea",korea_mid_revleg,revleg_mid))/2,0),ROUND((L132*M132*IF(B132="South Korea",korea_mid_revleg,revleg_mid)),0)))-(((battery/range_nm)*D132*IF(ABS(MOD(ABS((L132*M132*IF(B132="South Korea",korea_mid_revleg,revleg_mid))),1)-0.5)&lt;1E-9,2*ROUND((L132*M132*IF(B132="South Korea",korea_mid_revleg,revleg_mid))/2,0),ROUND((L132*M132*IF(B132="South Korea",korea_mid_revleg,revleg_mid)),0))*VLOOKUP(B132,country_opex,3,FALSE))+W132+X132+Y132+Z132+AA132))&lt;=0,"",VLOOKUP(B132,country_opex,7,FALSE)/((T132*pax_cap*IF(B132="South Korea",korea_mid_load,load_mid)*IF(ABS(MOD(ABS((L132*M132*IF(B132="South Korea",korea_mid_revleg,revleg_mid))),1)-0.5)&lt;1E-9,2*ROUND((L132*M132*IF(B132="South Korea",korea_mid_revleg,revleg_mid))/2,0),ROUND((L132*M132*IF(B132="South Korea",korea_mid_revleg,revleg_mid)),0)))-(((battery/range_nm)*D132*IF(ABS(MOD(ABS((L132*M132*IF(B132="South Korea",korea_mid_revleg,revleg_mid))),1)-0.5)&lt;1E-9,2*ROUND((L132*M132*IF(B132="South Korea",korea_mid_revleg,revleg_mid))/2,0),ROUND((L132*M132*IF(B132="South Korea",korea_mid_revleg,revleg_mid)),0))*VLOOKUP(B132,country_opex,3,FALSE))+W132+X132+Y132+Z132+AA132)))</f>
        <v/>
      </c>
      <c r="AX132" s="45">
        <f>IF(((T132*pax_cap*load_full*IF(ABS(MOD(ABS((L132*M132*revleg_full)),1)-0.5)&lt;1E-9,2*ROUND((L132*M132*revleg_full)/2,0),ROUND((L132*M132*revleg_full),0)))-(((battery/range_nm)*D132*IF(ABS(MOD(ABS((L132*M132*revleg_full)),1)-0.5)&lt;1E-9,2*ROUND((L132*M132*revleg_full)/2,0),ROUND((L132*M132*revleg_full),0))*VLOOKUP(B132,country_opex,3,FALSE))+W132+X132+Y132+Z132+AA132))&lt;=0,"",VLOOKUP(B132,country_opex,7,FALSE)/((T132*pax_cap*load_full*IF(ABS(MOD(ABS((L132*M132*revleg_full)),1)-0.5)&lt;1E-9,2*ROUND((L132*M132*revleg_full)/2,0),ROUND((L132*M132*revleg_full),0)))-(((battery/range_nm)*D132*IF(ABS(MOD(ABS((L132*M132*revleg_full)),1)-0.5)&lt;1E-9,2*ROUND((L132*M132*revleg_full)/2,0),ROUND((L132*M132*revleg_full),0))*VLOOKUP(B132,country_opex,3,FALSE))+W132+X132+Y132+Z132+AA132)))</f>
        <v/>
      </c>
      <c r="AY132" s="46" t="inlineStr">
        <is>
          <t>Zaya Nurai boat-only, but real transfers depart Saadiyat (4.4nm) not Yas Marina (12.6nm) -&gt; R3-PIER. $175 modeled; demand NULL. T5/low.</t>
        </is>
      </c>
      <c r="AZ132" s="46" t="inlineStr">
        <is>
          <t>UAE-DEMAND-ANCHORS-2026-06-17.json — tier-based addressable pool derived from sourcing wave anchors (hotel keys × occ × shuttle adoption, marina activity, RTA marine baseline).</t>
        </is>
      </c>
      <c r="BA132" s="34" t="inlineStr">
        <is>
          <t>rn-bb2eb160c1a5</t>
        </is>
      </c>
    </row>
    <row r="133">
      <c r="A133" s="31" t="inlineStr">
        <is>
          <t>Yango Uae</t>
        </is>
      </c>
      <c r="B133" s="31" t="inlineStr">
        <is>
          <t>United Arab Emirates</t>
        </is>
      </c>
      <c r="C133" s="32" t="inlineStr">
        <is>
          <t>Yas Marina → Saadiyat Beach Club Jetty</t>
        </is>
      </c>
      <c r="D133" s="33" t="n">
        <v>13</v>
      </c>
      <c r="E133" s="27" t="n">
        <v>75</v>
      </c>
      <c r="F133" s="34" t="inlineStr">
        <is>
          <t>T4</t>
        </is>
      </c>
      <c r="G133" s="34" t="inlineStr">
        <is>
          <t>low</t>
        </is>
      </c>
      <c r="H133" s="20" t="n">
        <v>1</v>
      </c>
      <c r="I133" s="35">
        <f>60*D133/cruise_kt</f>
        <v/>
      </c>
      <c r="J133" s="35">
        <f>IF(B133="South Korea",D133/korea_charge_range_nm*korea_full_range_charge_min,0)</f>
        <v/>
      </c>
      <c r="K133" s="35">
        <f>IF(B133="South Korea",I133+korea_turn_min+korea_dwell_min+J133,I133+turn_min+dwell_min)</f>
        <v/>
      </c>
      <c r="L133" s="36">
        <f>IF(B133="South Korea",FLOOR(60*korea_service_hr/K133,1),MIN(24,FLOOR(60*service_hr/K133,1)))</f>
        <v/>
      </c>
      <c r="M133" s="36">
        <f>IF(ABS(MOD(ABS((365*mech_uptime*H133)),1)-0.5)&lt;1E-9,2*ROUND((365*mech_uptime*H133)/2,0),ROUND((365*mech_uptime*H133),0))</f>
        <v/>
      </c>
      <c r="N133" s="37">
        <f>mech_uptime</f>
        <v/>
      </c>
      <c r="O133" s="37">
        <f>IF(AND(B133="South Korea",scenario="MID"),korea_mid_revleg,revleg_sel)</f>
        <v/>
      </c>
      <c r="P133" s="36">
        <f>IF(ABS(MOD(ABS((L133*M133*O133)),1)-0.5)&lt;1E-9,2*ROUND((L133*M133*O133)/2,0),ROUND((L133*M133*O133),0))</f>
        <v/>
      </c>
      <c r="Q133" s="37">
        <f>IF(AND(B133="South Korea",scenario="MID"),korea_mid_load,load_sel)</f>
        <v/>
      </c>
      <c r="R133" s="38">
        <f>pax_cap*Q133</f>
        <v/>
      </c>
      <c r="S133" s="36">
        <f>R133*P133</f>
        <v/>
      </c>
      <c r="T133" s="39">
        <f>E133*discount</f>
        <v/>
      </c>
      <c r="U133" s="40">
        <f>T133*S133</f>
        <v/>
      </c>
      <c r="V133" s="40">
        <f>(battery/range_nm)*D133*P133*VLOOKUP(B133,country_opex,3,FALSE)</f>
        <v/>
      </c>
      <c r="W133" s="40">
        <f>VLOOKUP(B133,country_opex,2,FALSE)*crew_factor</f>
        <v/>
      </c>
      <c r="X133" s="40">
        <f>VLOOKUP(B133,country_opex,5,FALSE)</f>
        <v/>
      </c>
      <c r="Y133" s="40">
        <f>maint</f>
        <v/>
      </c>
      <c r="Z133" s="40">
        <f>VLOOKUP(B133,country_opex,7,FALSE)*ins_pct</f>
        <v/>
      </c>
      <c r="AA133" s="40">
        <f>charge_berth</f>
        <v/>
      </c>
      <c r="AB133" s="40">
        <f>V133+W133+X133+Y133+Z133+AA133</f>
        <v/>
      </c>
      <c r="AC133" s="40">
        <f>VLOOKUP(B133,country_opex,7,FALSE)/dep_years</f>
        <v/>
      </c>
      <c r="AD133" s="40">
        <f>U133-AB133</f>
        <v/>
      </c>
      <c r="AE133" s="37">
        <f>IF(U133=0,"",AD133/U133)</f>
        <v/>
      </c>
      <c r="AF133" s="38">
        <f>IF(AD133&lt;=0,"",VLOOKUP(B133,country_opex,7,FALSE)/AD133)</f>
        <v/>
      </c>
      <c r="AG133" s="35">
        <f>((D133*P133/diesel_nmpg)*diesel_co2pg-(battery/range_nm)*D133*P133*VLOOKUP(B133,country_opex,4,FALSE))/1000</f>
        <v/>
      </c>
      <c r="AH133" s="33" t="n">
        <v>30000</v>
      </c>
      <c r="AI133" s="34" t="inlineStr">
        <is>
          <t>T3</t>
        </is>
      </c>
      <c r="AJ133" s="34" t="inlineStr">
        <is>
          <t>low</t>
        </is>
      </c>
      <c r="AK133" s="41" t="n">
        <v>0.1</v>
      </c>
      <c r="AL133" s="36">
        <f>IF(AH133="","",AH133*AK133)</f>
        <v/>
      </c>
      <c r="AM133" s="36">
        <f>IF(OR(AH133="",S133=0),"",MIN(IF(AU133="",9.9E+99,AU133),FLOOR(AL133/S133,1)))</f>
        <v/>
      </c>
      <c r="AN133" s="40">
        <f>IF(AM133="","",AM133*IF(ABS(MOD(ABS((U133)),1)-0.5)&lt;1E-9,2*ROUND((U133)/2,0),ROUND((U133),0)))</f>
        <v/>
      </c>
      <c r="AO133" s="38">
        <f>IF(OR(AH133="",S133=0),"",MIN(IF(AU133="",9.9E+99,AU133),AL133/S133))</f>
        <v/>
      </c>
      <c r="AP133" s="40">
        <f>IF(AO133="","",AO133*IF(B133="South Korea",IF(ABS(MOD(ABS((U133)),1)-0.5)&lt;1E-9,2*ROUND((U133)/2,0),ROUND((U133),0)),U133))</f>
        <v/>
      </c>
      <c r="AQ133" s="42" t="n"/>
      <c r="AR133" s="34" t="inlineStr">
        <is>
          <t>Estimated</t>
        </is>
      </c>
      <c r="AS133" s="43" t="n"/>
      <c r="AT133" s="43" t="n"/>
      <c r="AU133" s="44" t="n"/>
      <c r="AV133" s="45">
        <f>IF(((T133*pax_cap*load_thin*IF(ABS(MOD(ABS((L133*M133*revleg_thin)),1)-0.5)&lt;1E-9,2*ROUND((L133*M133*revleg_thin)/2,0),ROUND((L133*M133*revleg_thin),0)))-(((battery/range_nm)*D133*IF(ABS(MOD(ABS((L133*M133*revleg_thin)),1)-0.5)&lt;1E-9,2*ROUND((L133*M133*revleg_thin)/2,0),ROUND((L133*M133*revleg_thin),0))*VLOOKUP(B133,country_opex,3,FALSE))+W133+X133+Y133+Z133+AA133))&lt;=0,"",VLOOKUP(B133,country_opex,7,FALSE)/((T133*pax_cap*load_thin*IF(ABS(MOD(ABS((L133*M133*revleg_thin)),1)-0.5)&lt;1E-9,2*ROUND((L133*M133*revleg_thin)/2,0),ROUND((L133*M133*revleg_thin),0)))-(((battery/range_nm)*D133*IF(ABS(MOD(ABS((L133*M133*revleg_thin)),1)-0.5)&lt;1E-9,2*ROUND((L133*M133*revleg_thin)/2,0),ROUND((L133*M133*revleg_thin),0))*VLOOKUP(B133,country_opex,3,FALSE))+W133+X133+Y133+Z133+AA133)))</f>
        <v/>
      </c>
      <c r="AW133" s="45">
        <f>IF(((T133*pax_cap*IF(B133="South Korea",korea_mid_load,load_mid)*IF(ABS(MOD(ABS((L133*M133*IF(B133="South Korea",korea_mid_revleg,revleg_mid))),1)-0.5)&lt;1E-9,2*ROUND((L133*M133*IF(B133="South Korea",korea_mid_revleg,revleg_mid))/2,0),ROUND((L133*M133*IF(B133="South Korea",korea_mid_revleg,revleg_mid)),0)))-(((battery/range_nm)*D133*IF(ABS(MOD(ABS((L133*M133*IF(B133="South Korea",korea_mid_revleg,revleg_mid))),1)-0.5)&lt;1E-9,2*ROUND((L133*M133*IF(B133="South Korea",korea_mid_revleg,revleg_mid))/2,0),ROUND((L133*M133*IF(B133="South Korea",korea_mid_revleg,revleg_mid)),0))*VLOOKUP(B133,country_opex,3,FALSE))+W133+X133+Y133+Z133+AA133))&lt;=0,"",VLOOKUP(B133,country_opex,7,FALSE)/((T133*pax_cap*IF(B133="South Korea",korea_mid_load,load_mid)*IF(ABS(MOD(ABS((L133*M133*IF(B133="South Korea",korea_mid_revleg,revleg_mid))),1)-0.5)&lt;1E-9,2*ROUND((L133*M133*IF(B133="South Korea",korea_mid_revleg,revleg_mid))/2,0),ROUND((L133*M133*IF(B133="South Korea",korea_mid_revleg,revleg_mid)),0)))-(((battery/range_nm)*D133*IF(ABS(MOD(ABS((L133*M133*IF(B133="South Korea",korea_mid_revleg,revleg_mid))),1)-0.5)&lt;1E-9,2*ROUND((L133*M133*IF(B133="South Korea",korea_mid_revleg,revleg_mid))/2,0),ROUND((L133*M133*IF(B133="South Korea",korea_mid_revleg,revleg_mid)),0))*VLOOKUP(B133,country_opex,3,FALSE))+W133+X133+Y133+Z133+AA133)))</f>
        <v/>
      </c>
      <c r="AX133" s="45">
        <f>IF(((T133*pax_cap*load_full*IF(ABS(MOD(ABS((L133*M133*revleg_full)),1)-0.5)&lt;1E-9,2*ROUND((L133*M133*revleg_full)/2,0),ROUND((L133*M133*revleg_full),0)))-(((battery/range_nm)*D133*IF(ABS(MOD(ABS((L133*M133*revleg_full)),1)-0.5)&lt;1E-9,2*ROUND((L133*M133*revleg_full)/2,0),ROUND((L133*M133*revleg_full),0))*VLOOKUP(B133,country_opex,3,FALSE))+W133+X133+Y133+Z133+AA133))&lt;=0,"",VLOOKUP(B133,country_opex,7,FALSE)/((T133*pax_cap*load_full*IF(ABS(MOD(ABS((L133*M133*revleg_full)),1)-0.5)&lt;1E-9,2*ROUND((L133*M133*revleg_full)/2,0),ROUND((L133*M133*revleg_full),0)))-(((battery/range_nm)*D133*IF(ABS(MOD(ABS((L133*M133*revleg_full)),1)-0.5)&lt;1E-9,2*ROUND((L133*M133*revleg_full)/2,0),ROUND((L133*M133*revleg_full),0))*VLOOKUP(B133,country_opex,3,FALSE))+W133+X133+Y133+Z133+AA133)))</f>
        <v/>
      </c>
      <c r="AY133" s="46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Z133" s="46" t="inlineStr">
        <is>
          <t>UAE-DEMAND-ANCHORS-2026-06-17.json — tier-based addressable pool derived from sourcing wave anchors (hotel keys × occ × shuttle adoption, marina activity, RTA marine baseline).</t>
        </is>
      </c>
      <c r="BA133" s="34" t="inlineStr">
        <is>
          <t>rn-c2a5e2033f94</t>
        </is>
      </c>
    </row>
    <row r="134">
      <c r="A134" s="31" t="inlineStr">
        <is>
          <t>Yango Uae</t>
        </is>
      </c>
      <c r="B134" s="31" t="inlineStr">
        <is>
          <t>United Arab Emirates</t>
        </is>
      </c>
      <c r="C134" s="32" t="inlineStr">
        <is>
          <t>Dubai Harbour Marina → Al Khan Lagoon mouth</t>
        </is>
      </c>
      <c r="D134" s="33" t="n">
        <v>19.4</v>
      </c>
      <c r="E134" s="27" t="n"/>
      <c r="F134" s="34" t="n"/>
      <c r="G134" s="34" t="n"/>
      <c r="H134" s="20" t="n">
        <v>1</v>
      </c>
      <c r="I134" s="35">
        <f>60*D134/cruise_kt</f>
        <v/>
      </c>
      <c r="J134" s="35">
        <f>IF(B134="South Korea",D134/korea_charge_range_nm*korea_full_range_charge_min,0)</f>
        <v/>
      </c>
      <c r="K134" s="35">
        <f>IF(B134="South Korea",I134+korea_turn_min+korea_dwell_min+J134,I134+turn_min+dwell_min)</f>
        <v/>
      </c>
      <c r="L134" s="36">
        <f>IF(B134="South Korea",FLOOR(60*korea_service_hr/K134,1),MIN(15,FLOOR(60*service_hr/K134,1)))</f>
        <v/>
      </c>
      <c r="M134" s="36">
        <f>IF(ABS(MOD(ABS((365*mech_uptime*H134)),1)-0.5)&lt;1E-9,2*ROUND((365*mech_uptime*H134)/2,0),ROUND((365*mech_uptime*H134),0))</f>
        <v/>
      </c>
      <c r="N134" s="37">
        <f>mech_uptime</f>
        <v/>
      </c>
      <c r="O134" s="37">
        <f>IF(AND(B134="South Korea",scenario="MID"),korea_mid_revleg,revleg_sel)</f>
        <v/>
      </c>
      <c r="P134" s="36">
        <f>IF(ABS(MOD(ABS((L134*M134*O134)),1)-0.5)&lt;1E-9,2*ROUND((L134*M134*O134)/2,0),ROUND((L134*M134*O134),0))</f>
        <v/>
      </c>
      <c r="Q134" s="37">
        <f>IF(AND(B134="South Korea",scenario="MID"),korea_mid_load,load_sel)</f>
        <v/>
      </c>
      <c r="R134" s="38">
        <f>pax_cap*Q134</f>
        <v/>
      </c>
      <c r="S134" s="36">
        <f>R134*P134</f>
        <v/>
      </c>
      <c r="T134" s="39">
        <f>E134*discount</f>
        <v/>
      </c>
      <c r="U134" s="40">
        <f>T134*S134</f>
        <v/>
      </c>
      <c r="V134" s="40">
        <f>(battery/range_nm)*D134*P134*VLOOKUP(B134,country_opex,3,FALSE)</f>
        <v/>
      </c>
      <c r="W134" s="40">
        <f>VLOOKUP(B134,country_opex,2,FALSE)*crew_factor</f>
        <v/>
      </c>
      <c r="X134" s="40">
        <f>VLOOKUP(B134,country_opex,5,FALSE)</f>
        <v/>
      </c>
      <c r="Y134" s="40">
        <f>maint</f>
        <v/>
      </c>
      <c r="Z134" s="40">
        <f>VLOOKUP(B134,country_opex,7,FALSE)*ins_pct</f>
        <v/>
      </c>
      <c r="AA134" s="40">
        <f>charge_berth</f>
        <v/>
      </c>
      <c r="AB134" s="40">
        <f>V134+W134+X134+Y134+Z134+AA134</f>
        <v/>
      </c>
      <c r="AC134" s="40">
        <f>VLOOKUP(B134,country_opex,7,FALSE)/dep_years</f>
        <v/>
      </c>
      <c r="AD134" s="40">
        <f>U134-AB134</f>
        <v/>
      </c>
      <c r="AE134" s="37">
        <f>IF(U134=0,"",AD134/U134)</f>
        <v/>
      </c>
      <c r="AF134" s="38">
        <f>IF(AD134&lt;=0,"",VLOOKUP(B134,country_opex,7,FALSE)/AD134)</f>
        <v/>
      </c>
      <c r="AG134" s="35">
        <f>((D134*P134/diesel_nmpg)*diesel_co2pg-(battery/range_nm)*D134*P134*VLOOKUP(B134,country_opex,4,FALSE))/1000</f>
        <v/>
      </c>
      <c r="AH134" s="33" t="n"/>
      <c r="AI134" s="34" t="n"/>
      <c r="AJ134" s="34" t="n"/>
      <c r="AK134" s="41" t="n">
        <v>0.1</v>
      </c>
      <c r="AL134" s="36">
        <f>IF(AH134="","",AH134*AK134)</f>
        <v/>
      </c>
      <c r="AM134" s="36">
        <f>IF(OR(AH134="",S134=0),"",MIN(IF(AU134="",9.9E+99,AU134),FLOOR(AL134/S134,1)))</f>
        <v/>
      </c>
      <c r="AN134" s="40">
        <f>IF(AM134="","",AM134*IF(ABS(MOD(ABS((U134)),1)-0.5)&lt;1E-9,2*ROUND((U134)/2,0),ROUND((U134),0)))</f>
        <v/>
      </c>
      <c r="AO134" s="38">
        <f>IF(OR(AH134="",S134=0),"",MIN(IF(AU134="",9.9E+99,AU134),AL134/S134))</f>
        <v/>
      </c>
      <c r="AP134" s="40">
        <f>IF(AO134="","",AO134*IF(B134="South Korea",IF(ABS(MOD(ABS((U134)),1)-0.5)&lt;1E-9,2*ROUND((U134)/2,0),ROUND((U134),0)),U134))</f>
        <v/>
      </c>
      <c r="AQ134" s="42" t="n"/>
      <c r="AR134" s="34" t="inlineStr">
        <is>
          <t>Estimated</t>
        </is>
      </c>
      <c r="AS134" s="43" t="n"/>
      <c r="AT134" s="43" t="n"/>
      <c r="AU134" s="44" t="n"/>
      <c r="AV134" s="45">
        <f>IF(((T134*pax_cap*load_thin*IF(ABS(MOD(ABS((L134*M134*revleg_thin)),1)-0.5)&lt;1E-9,2*ROUND((L134*M134*revleg_thin)/2,0),ROUND((L134*M134*revleg_thin),0)))-(((battery/range_nm)*D134*IF(ABS(MOD(ABS((L134*M134*revleg_thin)),1)-0.5)&lt;1E-9,2*ROUND((L134*M134*revleg_thin)/2,0),ROUND((L134*M134*revleg_thin),0))*VLOOKUP(B134,country_opex,3,FALSE))+W134+X134+Y134+Z134+AA134))&lt;=0,"",VLOOKUP(B134,country_opex,7,FALSE)/((T134*pax_cap*load_thin*IF(ABS(MOD(ABS((L134*M134*revleg_thin)),1)-0.5)&lt;1E-9,2*ROUND((L134*M134*revleg_thin)/2,0),ROUND((L134*M134*revleg_thin),0)))-(((battery/range_nm)*D134*IF(ABS(MOD(ABS((L134*M134*revleg_thin)),1)-0.5)&lt;1E-9,2*ROUND((L134*M134*revleg_thin)/2,0),ROUND((L134*M134*revleg_thin),0))*VLOOKUP(B134,country_opex,3,FALSE))+W134+X134+Y134+Z134+AA134)))</f>
        <v/>
      </c>
      <c r="AW134" s="45">
        <f>IF(((T134*pax_cap*IF(B134="South Korea",korea_mid_load,load_mid)*IF(ABS(MOD(ABS((L134*M134*IF(B134="South Korea",korea_mid_revleg,revleg_mid))),1)-0.5)&lt;1E-9,2*ROUND((L134*M134*IF(B134="South Korea",korea_mid_revleg,revleg_mid))/2,0),ROUND((L134*M134*IF(B134="South Korea",korea_mid_revleg,revleg_mid)),0)))-(((battery/range_nm)*D134*IF(ABS(MOD(ABS((L134*M134*IF(B134="South Korea",korea_mid_revleg,revleg_mid))),1)-0.5)&lt;1E-9,2*ROUND((L134*M134*IF(B134="South Korea",korea_mid_revleg,revleg_mid))/2,0),ROUND((L134*M134*IF(B134="South Korea",korea_mid_revleg,revleg_mid)),0))*VLOOKUP(B134,country_opex,3,FALSE))+W134+X134+Y134+Z134+AA134))&lt;=0,"",VLOOKUP(B134,country_opex,7,FALSE)/((T134*pax_cap*IF(B134="South Korea",korea_mid_load,load_mid)*IF(ABS(MOD(ABS((L134*M134*IF(B134="South Korea",korea_mid_revleg,revleg_mid))),1)-0.5)&lt;1E-9,2*ROUND((L134*M134*IF(B134="South Korea",korea_mid_revleg,revleg_mid))/2,0),ROUND((L134*M134*IF(B134="South Korea",korea_mid_revleg,revleg_mid)),0)))-(((battery/range_nm)*D134*IF(ABS(MOD(ABS((L134*M134*IF(B134="South Korea",korea_mid_revleg,revleg_mid))),1)-0.5)&lt;1E-9,2*ROUND((L134*M134*IF(B134="South Korea",korea_mid_revleg,revleg_mid))/2,0),ROUND((L134*M134*IF(B134="South Korea",korea_mid_revleg,revleg_mid)),0))*VLOOKUP(B134,country_opex,3,FALSE))+W134+X134+Y134+Z134+AA134)))</f>
        <v/>
      </c>
      <c r="AX134" s="45">
        <f>IF(((T134*pax_cap*load_full*IF(ABS(MOD(ABS((L134*M134*revleg_full)),1)-0.5)&lt;1E-9,2*ROUND((L134*M134*revleg_full)/2,0),ROUND((L134*M134*revleg_full),0)))-(((battery/range_nm)*D134*IF(ABS(MOD(ABS((L134*M134*revleg_full)),1)-0.5)&lt;1E-9,2*ROUND((L134*M134*revleg_full)/2,0),ROUND((L134*M134*revleg_full),0))*VLOOKUP(B134,country_opex,3,FALSE))+W134+X134+Y134+Z134+AA134))&lt;=0,"",VLOOKUP(B134,country_opex,7,FALSE)/((T134*pax_cap*load_full*IF(ABS(MOD(ABS((L134*M134*revleg_full)),1)-0.5)&lt;1E-9,2*ROUND((L134*M134*revleg_full)/2,0),ROUND((L134*M134*revleg_full),0)))-(((battery/range_nm)*D134*IF(ABS(MOD(ABS((L134*M134*revleg_full)),1)-0.5)&lt;1E-9,2*ROUND((L134*M134*revleg_full)/2,0),ROUND((L134*M134*revleg_full),0))*VLOOKUP(B134,country_opex,3,FALSE))+W134+X134+Y134+Z134+AA134)))</f>
        <v/>
      </c>
      <c r="AY134" s="46" t="n"/>
      <c r="AZ134" s="46" t="n"/>
      <c r="BA134" s="34" t="inlineStr">
        <is>
          <t>gcn-8e3c2d581c-bolt</t>
        </is>
      </c>
    </row>
    <row r="135">
      <c r="A135" s="31" t="inlineStr">
        <is>
          <t>Yango Uae</t>
        </is>
      </c>
      <c r="B135" s="31" t="inlineStr">
        <is>
          <t>United Arab Emirates</t>
        </is>
      </c>
      <c r="C135" s="32" t="inlineStr">
        <is>
          <t>Dibba Marina (Fujairah) → Khorfakkan Corniche / Port (Sharjah enclave)</t>
        </is>
      </c>
      <c r="D135" s="33" t="n">
        <v>20.4</v>
      </c>
      <c r="E135" s="27" t="n">
        <v>65</v>
      </c>
      <c r="F135" s="34" t="inlineStr">
        <is>
          <t>T3</t>
        </is>
      </c>
      <c r="G135" s="34" t="inlineStr">
        <is>
          <t>med</t>
        </is>
      </c>
      <c r="H135" s="20" t="n">
        <v>1</v>
      </c>
      <c r="I135" s="35">
        <f>60*D135/cruise_kt</f>
        <v/>
      </c>
      <c r="J135" s="35">
        <f>IF(B135="South Korea",D135/korea_charge_range_nm*korea_full_range_charge_min,0)</f>
        <v/>
      </c>
      <c r="K135" s="35">
        <f>IF(B135="South Korea",I135+korea_turn_min+korea_dwell_min+J135,I135+turn_min+dwell_min)</f>
        <v/>
      </c>
      <c r="L135" s="36">
        <f>IF(B135="South Korea",FLOOR(60*korea_service_hr/K135,1),MIN(24,FLOOR(60*service_hr/K135,1)))</f>
        <v/>
      </c>
      <c r="M135" s="36">
        <f>IF(ABS(MOD(ABS((365*mech_uptime*H135)),1)-0.5)&lt;1E-9,2*ROUND((365*mech_uptime*H135)/2,0),ROUND((365*mech_uptime*H135),0))</f>
        <v/>
      </c>
      <c r="N135" s="37">
        <f>mech_uptime</f>
        <v/>
      </c>
      <c r="O135" s="37">
        <f>IF(AND(B135="South Korea",scenario="MID"),korea_mid_revleg,revleg_sel)</f>
        <v/>
      </c>
      <c r="P135" s="36">
        <f>IF(ABS(MOD(ABS((L135*M135*O135)),1)-0.5)&lt;1E-9,2*ROUND((L135*M135*O135)/2,0),ROUND((L135*M135*O135),0))</f>
        <v/>
      </c>
      <c r="Q135" s="37">
        <f>IF(AND(B135="South Korea",scenario="MID"),korea_mid_load,load_sel)</f>
        <v/>
      </c>
      <c r="R135" s="38">
        <f>pax_cap*Q135</f>
        <v/>
      </c>
      <c r="S135" s="36">
        <f>R135*P135</f>
        <v/>
      </c>
      <c r="T135" s="39">
        <f>E135*discount</f>
        <v/>
      </c>
      <c r="U135" s="40">
        <f>T135*S135</f>
        <v/>
      </c>
      <c r="V135" s="40">
        <f>(battery/range_nm)*D135*P135*VLOOKUP(B135,country_opex,3,FALSE)</f>
        <v/>
      </c>
      <c r="W135" s="40">
        <f>VLOOKUP(B135,country_opex,2,FALSE)*crew_factor</f>
        <v/>
      </c>
      <c r="X135" s="40">
        <f>VLOOKUP(B135,country_opex,5,FALSE)</f>
        <v/>
      </c>
      <c r="Y135" s="40">
        <f>maint</f>
        <v/>
      </c>
      <c r="Z135" s="40">
        <f>VLOOKUP(B135,country_opex,7,FALSE)*ins_pct</f>
        <v/>
      </c>
      <c r="AA135" s="40">
        <f>charge_berth</f>
        <v/>
      </c>
      <c r="AB135" s="40">
        <f>V135+W135+X135+Y135+Z135+AA135</f>
        <v/>
      </c>
      <c r="AC135" s="40">
        <f>VLOOKUP(B135,country_opex,7,FALSE)/dep_years</f>
        <v/>
      </c>
      <c r="AD135" s="40">
        <f>U135-AB135</f>
        <v/>
      </c>
      <c r="AE135" s="37">
        <f>IF(U135=0,"",AD135/U135)</f>
        <v/>
      </c>
      <c r="AF135" s="38">
        <f>IF(AD135&lt;=0,"",VLOOKUP(B135,country_opex,7,FALSE)/AD135)</f>
        <v/>
      </c>
      <c r="AG135" s="35">
        <f>((D135*P135/diesel_nmpg)*diesel_co2pg-(battery/range_nm)*D135*P135*VLOOKUP(B135,country_opex,4,FALSE))/1000</f>
        <v/>
      </c>
      <c r="AH135" s="33" t="n">
        <v>60000</v>
      </c>
      <c r="AI135" s="34" t="inlineStr">
        <is>
          <t>T4</t>
        </is>
      </c>
      <c r="AJ135" s="34" t="inlineStr">
        <is>
          <t>low</t>
        </is>
      </c>
      <c r="AK135" s="41" t="n">
        <v>0.1</v>
      </c>
      <c r="AL135" s="36">
        <f>IF(AH135="","",AH135*AK135)</f>
        <v/>
      </c>
      <c r="AM135" s="36">
        <f>IF(OR(AH135="",S135=0),"",MIN(IF(AU135="",9.9E+99,AU135),FLOOR(AL135/S135,1)))</f>
        <v/>
      </c>
      <c r="AN135" s="40">
        <f>IF(AM135="","",AM135*IF(ABS(MOD(ABS((U135)),1)-0.5)&lt;1E-9,2*ROUND((U135)/2,0),ROUND((U135),0)))</f>
        <v/>
      </c>
      <c r="AO135" s="38">
        <f>IF(OR(AH135="",S135=0),"",MIN(IF(AU135="",9.9E+99,AU135),AL135/S135))</f>
        <v/>
      </c>
      <c r="AP135" s="40">
        <f>IF(AO135="","",AO135*IF(B135="South Korea",IF(ABS(MOD(ABS((U135)),1)-0.5)&lt;1E-9,2*ROUND((U135)/2,0),ROUND((U135),0)),U135))</f>
        <v/>
      </c>
      <c r="AQ135" s="42" t="n"/>
      <c r="AR135" s="34" t="inlineStr">
        <is>
          <t>Grounded</t>
        </is>
      </c>
      <c r="AS135" s="43" t="n"/>
      <c r="AT135" s="43" t="n"/>
      <c r="AU135" s="44" t="n"/>
      <c r="AV135" s="45">
        <f>IF(((T135*pax_cap*load_thin*IF(ABS(MOD(ABS((L135*M135*revleg_thin)),1)-0.5)&lt;1E-9,2*ROUND((L135*M135*revleg_thin)/2,0),ROUND((L135*M135*revleg_thin),0)))-(((battery/range_nm)*D135*IF(ABS(MOD(ABS((L135*M135*revleg_thin)),1)-0.5)&lt;1E-9,2*ROUND((L135*M135*revleg_thin)/2,0),ROUND((L135*M135*revleg_thin),0))*VLOOKUP(B135,country_opex,3,FALSE))+W135+X135+Y135+Z135+AA135))&lt;=0,"",VLOOKUP(B135,country_opex,7,FALSE)/((T135*pax_cap*load_thin*IF(ABS(MOD(ABS((L135*M135*revleg_thin)),1)-0.5)&lt;1E-9,2*ROUND((L135*M135*revleg_thin)/2,0),ROUND((L135*M135*revleg_thin),0)))-(((battery/range_nm)*D135*IF(ABS(MOD(ABS((L135*M135*revleg_thin)),1)-0.5)&lt;1E-9,2*ROUND((L135*M135*revleg_thin)/2,0),ROUND((L135*M135*revleg_thin),0))*VLOOKUP(B135,country_opex,3,FALSE))+W135+X135+Y135+Z135+AA135)))</f>
        <v/>
      </c>
      <c r="AW135" s="45">
        <f>IF(((T135*pax_cap*IF(B135="South Korea",korea_mid_load,load_mid)*IF(ABS(MOD(ABS((L135*M135*IF(B135="South Korea",korea_mid_revleg,revleg_mid))),1)-0.5)&lt;1E-9,2*ROUND((L135*M135*IF(B135="South Korea",korea_mid_revleg,revleg_mid))/2,0),ROUND((L135*M135*IF(B135="South Korea",korea_mid_revleg,revleg_mid)),0)))-(((battery/range_nm)*D135*IF(ABS(MOD(ABS((L135*M135*IF(B135="South Korea",korea_mid_revleg,revleg_mid))),1)-0.5)&lt;1E-9,2*ROUND((L135*M135*IF(B135="South Korea",korea_mid_revleg,revleg_mid))/2,0),ROUND((L135*M135*IF(B135="South Korea",korea_mid_revleg,revleg_mid)),0))*VLOOKUP(B135,country_opex,3,FALSE))+W135+X135+Y135+Z135+AA135))&lt;=0,"",VLOOKUP(B135,country_opex,7,FALSE)/((T135*pax_cap*IF(B135="South Korea",korea_mid_load,load_mid)*IF(ABS(MOD(ABS((L135*M135*IF(B135="South Korea",korea_mid_revleg,revleg_mid))),1)-0.5)&lt;1E-9,2*ROUND((L135*M135*IF(B135="South Korea",korea_mid_revleg,revleg_mid))/2,0),ROUND((L135*M135*IF(B135="South Korea",korea_mid_revleg,revleg_mid)),0)))-(((battery/range_nm)*D135*IF(ABS(MOD(ABS((L135*M135*IF(B135="South Korea",korea_mid_revleg,revleg_mid))),1)-0.5)&lt;1E-9,2*ROUND((L135*M135*IF(B135="South Korea",korea_mid_revleg,revleg_mid))/2,0),ROUND((L135*M135*IF(B135="South Korea",korea_mid_revleg,revleg_mid)),0))*VLOOKUP(B135,country_opex,3,FALSE))+W135+X135+Y135+Z135+AA135)))</f>
        <v/>
      </c>
      <c r="AX135" s="45">
        <f>IF(((T135*pax_cap*load_full*IF(ABS(MOD(ABS((L135*M135*revleg_full)),1)-0.5)&lt;1E-9,2*ROUND((L135*M135*revleg_full)/2,0),ROUND((L135*M135*revleg_full),0)))-(((battery/range_nm)*D135*IF(ABS(MOD(ABS((L135*M135*revleg_full)),1)-0.5)&lt;1E-9,2*ROUND((L135*M135*revleg_full)/2,0),ROUND((L135*M135*revleg_full),0))*VLOOKUP(B135,country_opex,3,FALSE))+W135+X135+Y135+Z135+AA135))&lt;=0,"",VLOOKUP(B135,country_opex,7,FALSE)/((T135*pax_cap*load_full*IF(ABS(MOD(ABS((L135*M135*revleg_full)),1)-0.5)&lt;1E-9,2*ROUND((L135*M135*revleg_full)/2,0),ROUND((L135*M135*revleg_full),0)))-(((battery/range_nm)*D135*IF(ABS(MOD(ABS((L135*M135*revleg_full)),1)-0.5)&lt;1E-9,2*ROUND((L135*M135*revleg_full)/2,0),ROUND((L135*M135*revleg_full),0))*VLOOKUP(B135,country_opex,3,FALSE))+W135+X135+Y135+Z135+AA135)))</f>
        <v/>
      </c>
      <c r="AY135" s="46" t="inlineStr">
        <is>
          <t>Fujairah east-coast day-trip boats: Dibba/Khor Fakkan dhow &amp; speedboat tours AED 140-210/pax (Instagram/Tripadvisor/Viator 2025); Musandam dhow cruises similar.</t>
        </is>
      </c>
      <c r="AZ135" s="46" t="inlineStr">
        <is>
          <t>Fujairah arrivals crossed 340,000 (+22% YoY), 209 hotels, 70-100% occ (UAE Ministry/Fujairah Tourism); east-coast diving/Musandam day-trips genuinely water-based.</t>
        </is>
      </c>
      <c r="BA135" s="34" t="inlineStr">
        <is>
          <t>rn-0d9b2acf81b1</t>
        </is>
      </c>
    </row>
    <row r="136">
      <c r="A136" s="31" t="inlineStr">
        <is>
          <t>Yango Uae</t>
        </is>
      </c>
      <c r="B136" s="31" t="inlineStr">
        <is>
          <t>United Arab Emirates</t>
        </is>
      </c>
      <c r="C136" s="32" t="inlineStr">
        <is>
          <t>Dubai Harbour Marina → Al Khan Lagoon mouth</t>
        </is>
      </c>
      <c r="D136" s="33" t="n">
        <v>25.1</v>
      </c>
      <c r="E136" s="27" t="n">
        <v>85</v>
      </c>
      <c r="F136" s="34" t="inlineStr">
        <is>
          <t>T5</t>
        </is>
      </c>
      <c r="G136" s="34" t="inlineStr">
        <is>
          <t>low</t>
        </is>
      </c>
      <c r="H136" s="20" t="n">
        <v>1</v>
      </c>
      <c r="I136" s="35">
        <f>60*D136/cruise_kt</f>
        <v/>
      </c>
      <c r="J136" s="35">
        <f>IF(B136="South Korea",D136/korea_charge_range_nm*korea_full_range_charge_min,0)</f>
        <v/>
      </c>
      <c r="K136" s="35">
        <f>IF(B136="South Korea",I136+korea_turn_min+korea_dwell_min+J136,I136+turn_min+dwell_min)</f>
        <v/>
      </c>
      <c r="L136" s="36">
        <f>IF(B136="South Korea",FLOOR(60*korea_service_hr/K136,1),MIN(24,FLOOR(60*service_hr/K136,1)))</f>
        <v/>
      </c>
      <c r="M136" s="36">
        <f>IF(ABS(MOD(ABS((365*mech_uptime*H136)),1)-0.5)&lt;1E-9,2*ROUND((365*mech_uptime*H136)/2,0),ROUND((365*mech_uptime*H136),0))</f>
        <v/>
      </c>
      <c r="N136" s="37">
        <f>mech_uptime</f>
        <v/>
      </c>
      <c r="O136" s="37">
        <f>IF(AND(B136="South Korea",scenario="MID"),korea_mid_revleg,revleg_sel)</f>
        <v/>
      </c>
      <c r="P136" s="36">
        <f>IF(ABS(MOD(ABS((L136*M136*O136)),1)-0.5)&lt;1E-9,2*ROUND((L136*M136*O136)/2,0),ROUND((L136*M136*O136),0))</f>
        <v/>
      </c>
      <c r="Q136" s="37">
        <f>IF(AND(B136="South Korea",scenario="MID"),korea_mid_load,load_sel)</f>
        <v/>
      </c>
      <c r="R136" s="38">
        <f>pax_cap*Q136</f>
        <v/>
      </c>
      <c r="S136" s="36">
        <f>R136*P136</f>
        <v/>
      </c>
      <c r="T136" s="39">
        <f>E136*discount</f>
        <v/>
      </c>
      <c r="U136" s="40">
        <f>T136*S136</f>
        <v/>
      </c>
      <c r="V136" s="40">
        <f>(battery/range_nm)*D136*P136*VLOOKUP(B136,country_opex,3,FALSE)</f>
        <v/>
      </c>
      <c r="W136" s="40">
        <f>VLOOKUP(B136,country_opex,2,FALSE)*crew_factor</f>
        <v/>
      </c>
      <c r="X136" s="40">
        <f>VLOOKUP(B136,country_opex,5,FALSE)</f>
        <v/>
      </c>
      <c r="Y136" s="40">
        <f>maint</f>
        <v/>
      </c>
      <c r="Z136" s="40">
        <f>VLOOKUP(B136,country_opex,7,FALSE)*ins_pct</f>
        <v/>
      </c>
      <c r="AA136" s="40">
        <f>charge_berth</f>
        <v/>
      </c>
      <c r="AB136" s="40">
        <f>V136+W136+X136+Y136+Z136+AA136</f>
        <v/>
      </c>
      <c r="AC136" s="40">
        <f>VLOOKUP(B136,country_opex,7,FALSE)/dep_years</f>
        <v/>
      </c>
      <c r="AD136" s="40">
        <f>U136-AB136</f>
        <v/>
      </c>
      <c r="AE136" s="37">
        <f>IF(U136=0,"",AD136/U136)</f>
        <v/>
      </c>
      <c r="AF136" s="38">
        <f>IF(AD136&lt;=0,"",VLOOKUP(B136,country_opex,7,FALSE)/AD136)</f>
        <v/>
      </c>
      <c r="AG136" s="35">
        <f>((D136*P136/diesel_nmpg)*diesel_co2pg-(battery/range_nm)*D136*P136*VLOOKUP(B136,country_opex,4,FALSE))/1000</f>
        <v/>
      </c>
      <c r="AH136" s="33" t="n">
        <v>40000</v>
      </c>
      <c r="AI136" s="34" t="inlineStr">
        <is>
          <t>T2</t>
        </is>
      </c>
      <c r="AJ136" s="34" t="inlineStr">
        <is>
          <t>low</t>
        </is>
      </c>
      <c r="AK136" s="41" t="n">
        <v>0.1</v>
      </c>
      <c r="AL136" s="36">
        <f>IF(AH136="","",AH136*AK136)</f>
        <v/>
      </c>
      <c r="AM136" s="36">
        <f>IF(OR(AH136="",S136=0),"",MIN(IF(AU136="",9.9E+99,AU136),FLOOR(AL136/S136,1)))</f>
        <v/>
      </c>
      <c r="AN136" s="40">
        <f>IF(AM136="","",AM136*IF(ABS(MOD(ABS((U136)),1)-0.5)&lt;1E-9,2*ROUND((U136)/2,0),ROUND((U136),0)))</f>
        <v/>
      </c>
      <c r="AO136" s="38">
        <f>IF(OR(AH136="",S136=0),"",MIN(IF(AU136="",9.9E+99,AU136),AL136/S136))</f>
        <v/>
      </c>
      <c r="AP136" s="40">
        <f>IF(AO136="","",AO136*IF(B136="South Korea",IF(ABS(MOD(ABS((U136)),1)-0.5)&lt;1E-9,2*ROUND((U136)/2,0),ROUND((U136),0)),U136))</f>
        <v/>
      </c>
      <c r="AQ136" s="42" t="n"/>
      <c r="AR136" s="34" t="inlineStr">
        <is>
          <t>Estimated</t>
        </is>
      </c>
      <c r="AS136" s="43" t="n"/>
      <c r="AT136" s="43" t="n"/>
      <c r="AU136" s="44" t="n"/>
      <c r="AV136" s="45">
        <f>IF(((T136*pax_cap*load_thin*IF(ABS(MOD(ABS((L136*M136*revleg_thin)),1)-0.5)&lt;1E-9,2*ROUND((L136*M136*revleg_thin)/2,0),ROUND((L136*M136*revleg_thin),0)))-(((battery/range_nm)*D136*IF(ABS(MOD(ABS((L136*M136*revleg_thin)),1)-0.5)&lt;1E-9,2*ROUND((L136*M136*revleg_thin)/2,0),ROUND((L136*M136*revleg_thin),0))*VLOOKUP(B136,country_opex,3,FALSE))+W136+X136+Y136+Z136+AA136))&lt;=0,"",VLOOKUP(B136,country_opex,7,FALSE)/((T136*pax_cap*load_thin*IF(ABS(MOD(ABS((L136*M136*revleg_thin)),1)-0.5)&lt;1E-9,2*ROUND((L136*M136*revleg_thin)/2,0),ROUND((L136*M136*revleg_thin),0)))-(((battery/range_nm)*D136*IF(ABS(MOD(ABS((L136*M136*revleg_thin)),1)-0.5)&lt;1E-9,2*ROUND((L136*M136*revleg_thin)/2,0),ROUND((L136*M136*revleg_thin),0))*VLOOKUP(B136,country_opex,3,FALSE))+W136+X136+Y136+Z136+AA136)))</f>
        <v/>
      </c>
      <c r="AW136" s="45">
        <f>IF(((T136*pax_cap*IF(B136="South Korea",korea_mid_load,load_mid)*IF(ABS(MOD(ABS((L136*M136*IF(B136="South Korea",korea_mid_revleg,revleg_mid))),1)-0.5)&lt;1E-9,2*ROUND((L136*M136*IF(B136="South Korea",korea_mid_revleg,revleg_mid))/2,0),ROUND((L136*M136*IF(B136="South Korea",korea_mid_revleg,revleg_mid)),0)))-(((battery/range_nm)*D136*IF(ABS(MOD(ABS((L136*M136*IF(B136="South Korea",korea_mid_revleg,revleg_mid))),1)-0.5)&lt;1E-9,2*ROUND((L136*M136*IF(B136="South Korea",korea_mid_revleg,revleg_mid))/2,0),ROUND((L136*M136*IF(B136="South Korea",korea_mid_revleg,revleg_mid)),0))*VLOOKUP(B136,country_opex,3,FALSE))+W136+X136+Y136+Z136+AA136))&lt;=0,"",VLOOKUP(B136,country_opex,7,FALSE)/((T136*pax_cap*IF(B136="South Korea",korea_mid_load,load_mid)*IF(ABS(MOD(ABS((L136*M136*IF(B136="South Korea",korea_mid_revleg,revleg_mid))),1)-0.5)&lt;1E-9,2*ROUND((L136*M136*IF(B136="South Korea",korea_mid_revleg,revleg_mid))/2,0),ROUND((L136*M136*IF(B136="South Korea",korea_mid_revleg,revleg_mid)),0)))-(((battery/range_nm)*D136*IF(ABS(MOD(ABS((L136*M136*IF(B136="South Korea",korea_mid_revleg,revleg_mid))),1)-0.5)&lt;1E-9,2*ROUND((L136*M136*IF(B136="South Korea",korea_mid_revleg,revleg_mid))/2,0),ROUND((L136*M136*IF(B136="South Korea",korea_mid_revleg,revleg_mid)),0))*VLOOKUP(B136,country_opex,3,FALSE))+W136+X136+Y136+Z136+AA136)))</f>
        <v/>
      </c>
      <c r="AX136" s="45">
        <f>IF(((T136*pax_cap*load_full*IF(ABS(MOD(ABS((L136*M136*revleg_full)),1)-0.5)&lt;1E-9,2*ROUND((L136*M136*revleg_full)/2,0),ROUND((L136*M136*revleg_full),0)))-(((battery/range_nm)*D136*IF(ABS(MOD(ABS((L136*M136*revleg_full)),1)-0.5)&lt;1E-9,2*ROUND((L136*M136*revleg_full)/2,0),ROUND((L136*M136*revleg_full),0))*VLOOKUP(B136,country_opex,3,FALSE))+W136+X136+Y136+Z136+AA136))&lt;=0,"",VLOOKUP(B136,country_opex,7,FALSE)/((T136*pax_cap*load_full*IF(ABS(MOD(ABS((L136*M136*revleg_full)),1)-0.5)&lt;1E-9,2*ROUND((L136*M136*revleg_full)/2,0),ROUND((L136*M136*revleg_full),0)))-(((battery/range_nm)*D136*IF(ABS(MOD(ABS((L136*M136*revleg_full)),1)-0.5)&lt;1E-9,2*ROUND((L136*M136*revleg_full)/2,0),ROUND((L136*M136*revleg_full),0))*VLOOKUP(B136,country_opex,3,FALSE))+W136+X136+Y136+Z136+AA136)))</f>
        <v/>
      </c>
      <c r="AY136" s="46" t="inlineStr">
        <is>
          <t>Dubai-Sharjah Ferry Gold AED 25 subsidized-commuter (R5-EXT). Premium per-seat $85 modeled (between subsidized ferry and charter). T5/low.</t>
        </is>
      </c>
      <c r="AZ136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36" s="34" t="inlineStr">
        <is>
          <t>rn-01b4a3efaf0f</t>
        </is>
      </c>
    </row>
    <row r="137">
      <c r="A137" s="31" t="inlineStr">
        <is>
          <t>Yango Uae</t>
        </is>
      </c>
      <c r="B137" s="31" t="inlineStr">
        <is>
          <t>United Arab Emirates</t>
        </is>
      </c>
      <c r="C137" s="32" t="inlineStr">
        <is>
          <t>Dubai Harbour Marina → Wynn Al Marjan Island arrival lagoon</t>
        </is>
      </c>
      <c r="D137" s="33" t="n">
        <v>49.8</v>
      </c>
      <c r="E137" s="27" t="n"/>
      <c r="F137" s="34" t="n"/>
      <c r="G137" s="34" t="n"/>
      <c r="H137" s="20" t="n">
        <v>1</v>
      </c>
      <c r="I137" s="35">
        <f>60*D137/cruise_kt</f>
        <v/>
      </c>
      <c r="J137" s="35">
        <f>IF(B137="South Korea",D137/korea_charge_range_nm*korea_full_range_charge_min,0)</f>
        <v/>
      </c>
      <c r="K137" s="35">
        <f>IF(B137="South Korea",I137+korea_turn_min+korea_dwell_min+J137,I137+turn_min+dwell_min)</f>
        <v/>
      </c>
      <c r="L137" s="36">
        <f>IF(B137="South Korea",FLOOR(60*korea_service_hr/K137,1),MIN(15,FLOOR(60*service_hr/K137,1)))</f>
        <v/>
      </c>
      <c r="M137" s="36">
        <f>IF(ABS(MOD(ABS((365*mech_uptime*H137)),1)-0.5)&lt;1E-9,2*ROUND((365*mech_uptime*H137)/2,0),ROUND((365*mech_uptime*H137),0))</f>
        <v/>
      </c>
      <c r="N137" s="37">
        <f>mech_uptime</f>
        <v/>
      </c>
      <c r="O137" s="37">
        <f>IF(AND(B137="South Korea",scenario="MID"),korea_mid_revleg,revleg_sel)</f>
        <v/>
      </c>
      <c r="P137" s="36">
        <f>IF(ABS(MOD(ABS((L137*M137*O137)),1)-0.5)&lt;1E-9,2*ROUND((L137*M137*O137)/2,0),ROUND((L137*M137*O137),0))</f>
        <v/>
      </c>
      <c r="Q137" s="37">
        <f>IF(AND(B137="South Korea",scenario="MID"),korea_mid_load,load_sel)</f>
        <v/>
      </c>
      <c r="R137" s="38">
        <f>pax_cap*Q137</f>
        <v/>
      </c>
      <c r="S137" s="36">
        <f>R137*P137</f>
        <v/>
      </c>
      <c r="T137" s="39">
        <f>E137*discount</f>
        <v/>
      </c>
      <c r="U137" s="40">
        <f>T137*S137</f>
        <v/>
      </c>
      <c r="V137" s="40">
        <f>(battery/range_nm)*D137*P137*VLOOKUP(B137,country_opex,3,FALSE)</f>
        <v/>
      </c>
      <c r="W137" s="40">
        <f>VLOOKUP(B137,country_opex,2,FALSE)*crew_factor</f>
        <v/>
      </c>
      <c r="X137" s="40">
        <f>VLOOKUP(B137,country_opex,5,FALSE)</f>
        <v/>
      </c>
      <c r="Y137" s="40">
        <f>maint</f>
        <v/>
      </c>
      <c r="Z137" s="40">
        <f>VLOOKUP(B137,country_opex,7,FALSE)*ins_pct</f>
        <v/>
      </c>
      <c r="AA137" s="40">
        <f>charge_berth</f>
        <v/>
      </c>
      <c r="AB137" s="40">
        <f>V137+W137+X137+Y137+Z137+AA137</f>
        <v/>
      </c>
      <c r="AC137" s="40">
        <f>VLOOKUP(B137,country_opex,7,FALSE)/dep_years</f>
        <v/>
      </c>
      <c r="AD137" s="40">
        <f>U137-AB137</f>
        <v/>
      </c>
      <c r="AE137" s="37">
        <f>IF(U137=0,"",AD137/U137)</f>
        <v/>
      </c>
      <c r="AF137" s="38">
        <f>IF(AD137&lt;=0,"",VLOOKUP(B137,country_opex,7,FALSE)/AD137)</f>
        <v/>
      </c>
      <c r="AG137" s="35">
        <f>((D137*P137/diesel_nmpg)*diesel_co2pg-(battery/range_nm)*D137*P137*VLOOKUP(B137,country_opex,4,FALSE))/1000</f>
        <v/>
      </c>
      <c r="AH137" s="33" t="n"/>
      <c r="AI137" s="34" t="n"/>
      <c r="AJ137" s="34" t="n"/>
      <c r="AK137" s="41" t="n">
        <v>0.1</v>
      </c>
      <c r="AL137" s="36">
        <f>IF(AH137="","",AH137*AK137)</f>
        <v/>
      </c>
      <c r="AM137" s="36">
        <f>IF(OR(AH137="",S137=0),"",MIN(IF(AU137="",9.9E+99,AU137),FLOOR(AL137/S137,1)))</f>
        <v/>
      </c>
      <c r="AN137" s="40">
        <f>IF(AM137="","",AM137*IF(ABS(MOD(ABS((U137)),1)-0.5)&lt;1E-9,2*ROUND((U137)/2,0),ROUND((U137),0)))</f>
        <v/>
      </c>
      <c r="AO137" s="38">
        <f>IF(OR(AH137="",S137=0),"",MIN(IF(AU137="",9.9E+99,AU137),AL137/S137))</f>
        <v/>
      </c>
      <c r="AP137" s="40">
        <f>IF(AO137="","",AO137*IF(B137="South Korea",IF(ABS(MOD(ABS((U137)),1)-0.5)&lt;1E-9,2*ROUND((U137)/2,0),ROUND((U137),0)),U137))</f>
        <v/>
      </c>
      <c r="AQ137" s="42" t="n"/>
      <c r="AR137" s="34" t="inlineStr">
        <is>
          <t>Estimated</t>
        </is>
      </c>
      <c r="AS137" s="43" t="n"/>
      <c r="AT137" s="43" t="n"/>
      <c r="AU137" s="44" t="n"/>
      <c r="AV137" s="45">
        <f>IF(((T137*pax_cap*load_thin*IF(ABS(MOD(ABS((L137*M137*revleg_thin)),1)-0.5)&lt;1E-9,2*ROUND((L137*M137*revleg_thin)/2,0),ROUND((L137*M137*revleg_thin),0)))-(((battery/range_nm)*D137*IF(ABS(MOD(ABS((L137*M137*revleg_thin)),1)-0.5)&lt;1E-9,2*ROUND((L137*M137*revleg_thin)/2,0),ROUND((L137*M137*revleg_thin),0))*VLOOKUP(B137,country_opex,3,FALSE))+W137+X137+Y137+Z137+AA137))&lt;=0,"",VLOOKUP(B137,country_opex,7,FALSE)/((T137*pax_cap*load_thin*IF(ABS(MOD(ABS((L137*M137*revleg_thin)),1)-0.5)&lt;1E-9,2*ROUND((L137*M137*revleg_thin)/2,0),ROUND((L137*M137*revleg_thin),0)))-(((battery/range_nm)*D137*IF(ABS(MOD(ABS((L137*M137*revleg_thin)),1)-0.5)&lt;1E-9,2*ROUND((L137*M137*revleg_thin)/2,0),ROUND((L137*M137*revleg_thin),0))*VLOOKUP(B137,country_opex,3,FALSE))+W137+X137+Y137+Z137+AA137)))</f>
        <v/>
      </c>
      <c r="AW137" s="45">
        <f>IF(((T137*pax_cap*IF(B137="South Korea",korea_mid_load,load_mid)*IF(ABS(MOD(ABS((L137*M137*IF(B137="South Korea",korea_mid_revleg,revleg_mid))),1)-0.5)&lt;1E-9,2*ROUND((L137*M137*IF(B137="South Korea",korea_mid_revleg,revleg_mid))/2,0),ROUND((L137*M137*IF(B137="South Korea",korea_mid_revleg,revleg_mid)),0)))-(((battery/range_nm)*D137*IF(ABS(MOD(ABS((L137*M137*IF(B137="South Korea",korea_mid_revleg,revleg_mid))),1)-0.5)&lt;1E-9,2*ROUND((L137*M137*IF(B137="South Korea",korea_mid_revleg,revleg_mid))/2,0),ROUND((L137*M137*IF(B137="South Korea",korea_mid_revleg,revleg_mid)),0))*VLOOKUP(B137,country_opex,3,FALSE))+W137+X137+Y137+Z137+AA137))&lt;=0,"",VLOOKUP(B137,country_opex,7,FALSE)/((T137*pax_cap*IF(B137="South Korea",korea_mid_load,load_mid)*IF(ABS(MOD(ABS((L137*M137*IF(B137="South Korea",korea_mid_revleg,revleg_mid))),1)-0.5)&lt;1E-9,2*ROUND((L137*M137*IF(B137="South Korea",korea_mid_revleg,revleg_mid))/2,0),ROUND((L137*M137*IF(B137="South Korea",korea_mid_revleg,revleg_mid)),0)))-(((battery/range_nm)*D137*IF(ABS(MOD(ABS((L137*M137*IF(B137="South Korea",korea_mid_revleg,revleg_mid))),1)-0.5)&lt;1E-9,2*ROUND((L137*M137*IF(B137="South Korea",korea_mid_revleg,revleg_mid))/2,0),ROUND((L137*M137*IF(B137="South Korea",korea_mid_revleg,revleg_mid)),0))*VLOOKUP(B137,country_opex,3,FALSE))+W137+X137+Y137+Z137+AA137)))</f>
        <v/>
      </c>
      <c r="AX137" s="45">
        <f>IF(((T137*pax_cap*load_full*IF(ABS(MOD(ABS((L137*M137*revleg_full)),1)-0.5)&lt;1E-9,2*ROUND((L137*M137*revleg_full)/2,0),ROUND((L137*M137*revleg_full),0)))-(((battery/range_nm)*D137*IF(ABS(MOD(ABS((L137*M137*revleg_full)),1)-0.5)&lt;1E-9,2*ROUND((L137*M137*revleg_full)/2,0),ROUND((L137*M137*revleg_full),0))*VLOOKUP(B137,country_opex,3,FALSE))+W137+X137+Y137+Z137+AA137))&lt;=0,"",VLOOKUP(B137,country_opex,7,FALSE)/((T137*pax_cap*load_full*IF(ABS(MOD(ABS((L137*M137*revleg_full)),1)-0.5)&lt;1E-9,2*ROUND((L137*M137*revleg_full)/2,0),ROUND((L137*M137*revleg_full),0)))-(((battery/range_nm)*D137*IF(ABS(MOD(ABS((L137*M137*revleg_full)),1)-0.5)&lt;1E-9,2*ROUND((L137*M137*revleg_full)/2,0),ROUND((L137*M137*revleg_full),0))*VLOOKUP(B137,country_opex,3,FALSE))+W137+X137+Y137+Z137+AA137)))</f>
        <v/>
      </c>
      <c r="AY137" s="46" t="n"/>
      <c r="AZ137" s="46" t="n"/>
      <c r="BA137" s="34" t="inlineStr">
        <is>
          <t>gcn-9e515da38a-bolt</t>
        </is>
      </c>
    </row>
    <row r="138">
      <c r="A138" s="31" t="inlineStr">
        <is>
          <t>Yango Uae</t>
        </is>
      </c>
      <c r="B138" s="31" t="inlineStr">
        <is>
          <t>United Arab Emirates</t>
        </is>
      </c>
      <c r="C138" s="32" t="inlineStr">
        <is>
          <t>Dubai → Abu Dhabi (Corniche)</t>
        </is>
      </c>
      <c r="D138" s="33" t="n">
        <v>55.8</v>
      </c>
      <c r="E138" s="27" t="n"/>
      <c r="F138" s="34" t="n"/>
      <c r="G138" s="34" t="n"/>
      <c r="H138" s="20" t="n">
        <v>1</v>
      </c>
      <c r="I138" s="35">
        <f>60*D138/cruise_kt</f>
        <v/>
      </c>
      <c r="J138" s="35">
        <f>IF(B138="South Korea",D138/korea_charge_range_nm*korea_full_range_charge_min,0)</f>
        <v/>
      </c>
      <c r="K138" s="35">
        <f>IF(B138="South Korea",I138+korea_turn_min+korea_dwell_min+J138,I138+turn_min+dwell_min)</f>
        <v/>
      </c>
      <c r="L138" s="36">
        <f>IF(B138="South Korea",FLOOR(60*korea_service_hr/K138,1),MIN(15,FLOOR(60*service_hr/K138,1)))</f>
        <v/>
      </c>
      <c r="M138" s="36">
        <f>IF(ABS(MOD(ABS((365*mech_uptime*H138)),1)-0.5)&lt;1E-9,2*ROUND((365*mech_uptime*H138)/2,0),ROUND((365*mech_uptime*H138),0))</f>
        <v/>
      </c>
      <c r="N138" s="37">
        <f>mech_uptime</f>
        <v/>
      </c>
      <c r="O138" s="37">
        <f>IF(AND(B138="South Korea",scenario="MID"),korea_mid_revleg,revleg_sel)</f>
        <v/>
      </c>
      <c r="P138" s="36">
        <f>IF(ABS(MOD(ABS((L138*M138*O138)),1)-0.5)&lt;1E-9,2*ROUND((L138*M138*O138)/2,0),ROUND((L138*M138*O138),0))</f>
        <v/>
      </c>
      <c r="Q138" s="37">
        <f>IF(AND(B138="South Korea",scenario="MID"),korea_mid_load,load_sel)</f>
        <v/>
      </c>
      <c r="R138" s="38">
        <f>pax_cap*Q138</f>
        <v/>
      </c>
      <c r="S138" s="36">
        <f>R138*P138</f>
        <v/>
      </c>
      <c r="T138" s="39">
        <f>E138*discount</f>
        <v/>
      </c>
      <c r="U138" s="40">
        <f>T138*S138</f>
        <v/>
      </c>
      <c r="V138" s="40">
        <f>(battery/range_nm)*D138*P138*VLOOKUP(B138,country_opex,3,FALSE)</f>
        <v/>
      </c>
      <c r="W138" s="40">
        <f>VLOOKUP(B138,country_opex,2,FALSE)*crew_factor</f>
        <v/>
      </c>
      <c r="X138" s="40">
        <f>VLOOKUP(B138,country_opex,5,FALSE)</f>
        <v/>
      </c>
      <c r="Y138" s="40">
        <f>maint</f>
        <v/>
      </c>
      <c r="Z138" s="40">
        <f>VLOOKUP(B138,country_opex,7,FALSE)*ins_pct</f>
        <v/>
      </c>
      <c r="AA138" s="40">
        <f>charge_berth</f>
        <v/>
      </c>
      <c r="AB138" s="40">
        <f>V138+W138+X138+Y138+Z138+AA138</f>
        <v/>
      </c>
      <c r="AC138" s="40">
        <f>VLOOKUP(B138,country_opex,7,FALSE)/dep_years</f>
        <v/>
      </c>
      <c r="AD138" s="40">
        <f>U138-AB138</f>
        <v/>
      </c>
      <c r="AE138" s="37">
        <f>IF(U138=0,"",AD138/U138)</f>
        <v/>
      </c>
      <c r="AF138" s="38">
        <f>IF(AD138&lt;=0,"",VLOOKUP(B138,country_opex,7,FALSE)/AD138)</f>
        <v/>
      </c>
      <c r="AG138" s="35">
        <f>((D138*P138/diesel_nmpg)*diesel_co2pg-(battery/range_nm)*D138*P138*VLOOKUP(B138,country_opex,4,FALSE))/1000</f>
        <v/>
      </c>
      <c r="AH138" s="33" t="n"/>
      <c r="AI138" s="34" t="n"/>
      <c r="AJ138" s="34" t="n"/>
      <c r="AK138" s="41" t="n">
        <v>0.1</v>
      </c>
      <c r="AL138" s="36">
        <f>IF(AH138="","",AH138*AK138)</f>
        <v/>
      </c>
      <c r="AM138" s="36">
        <f>IF(OR(AH138="",S138=0),"",MIN(IF(AU138="",9.9E+99,AU138),FLOOR(AL138/S138,1)))</f>
        <v/>
      </c>
      <c r="AN138" s="40">
        <f>IF(AM138="","",AM138*IF(ABS(MOD(ABS((U138)),1)-0.5)&lt;1E-9,2*ROUND((U138)/2,0),ROUND((U138),0)))</f>
        <v/>
      </c>
      <c r="AO138" s="38">
        <f>IF(OR(AH138="",S138=0),"",MIN(IF(AU138="",9.9E+99,AU138),AL138/S138))</f>
        <v/>
      </c>
      <c r="AP138" s="40">
        <f>IF(AO138="","",AO138*IF(B138="South Korea",IF(ABS(MOD(ABS((U138)),1)-0.5)&lt;1E-9,2*ROUND((U138)/2,0),ROUND((U138),0)),U138))</f>
        <v/>
      </c>
      <c r="AQ138" s="42" t="n"/>
      <c r="AR138" s="34" t="inlineStr">
        <is>
          <t>Estimated</t>
        </is>
      </c>
      <c r="AS138" s="43" t="n"/>
      <c r="AT138" s="43" t="n"/>
      <c r="AU138" s="44" t="n"/>
      <c r="AV138" s="45">
        <f>IF(((T138*pax_cap*load_thin*IF(ABS(MOD(ABS((L138*M138*revleg_thin)),1)-0.5)&lt;1E-9,2*ROUND((L138*M138*revleg_thin)/2,0),ROUND((L138*M138*revleg_thin),0)))-(((battery/range_nm)*D138*IF(ABS(MOD(ABS((L138*M138*revleg_thin)),1)-0.5)&lt;1E-9,2*ROUND((L138*M138*revleg_thin)/2,0),ROUND((L138*M138*revleg_thin),0))*VLOOKUP(B138,country_opex,3,FALSE))+W138+X138+Y138+Z138+AA138))&lt;=0,"",VLOOKUP(B138,country_opex,7,FALSE)/((T138*pax_cap*load_thin*IF(ABS(MOD(ABS((L138*M138*revleg_thin)),1)-0.5)&lt;1E-9,2*ROUND((L138*M138*revleg_thin)/2,0),ROUND((L138*M138*revleg_thin),0)))-(((battery/range_nm)*D138*IF(ABS(MOD(ABS((L138*M138*revleg_thin)),1)-0.5)&lt;1E-9,2*ROUND((L138*M138*revleg_thin)/2,0),ROUND((L138*M138*revleg_thin),0))*VLOOKUP(B138,country_opex,3,FALSE))+W138+X138+Y138+Z138+AA138)))</f>
        <v/>
      </c>
      <c r="AW138" s="45">
        <f>IF(((T138*pax_cap*IF(B138="South Korea",korea_mid_load,load_mid)*IF(ABS(MOD(ABS((L138*M138*IF(B138="South Korea",korea_mid_revleg,revleg_mid))),1)-0.5)&lt;1E-9,2*ROUND((L138*M138*IF(B138="South Korea",korea_mid_revleg,revleg_mid))/2,0),ROUND((L138*M138*IF(B138="South Korea",korea_mid_revleg,revleg_mid)),0)))-(((battery/range_nm)*D138*IF(ABS(MOD(ABS((L138*M138*IF(B138="South Korea",korea_mid_revleg,revleg_mid))),1)-0.5)&lt;1E-9,2*ROUND((L138*M138*IF(B138="South Korea",korea_mid_revleg,revleg_mid))/2,0),ROUND((L138*M138*IF(B138="South Korea",korea_mid_revleg,revleg_mid)),0))*VLOOKUP(B138,country_opex,3,FALSE))+W138+X138+Y138+Z138+AA138))&lt;=0,"",VLOOKUP(B138,country_opex,7,FALSE)/((T138*pax_cap*IF(B138="South Korea",korea_mid_load,load_mid)*IF(ABS(MOD(ABS((L138*M138*IF(B138="South Korea",korea_mid_revleg,revleg_mid))),1)-0.5)&lt;1E-9,2*ROUND((L138*M138*IF(B138="South Korea",korea_mid_revleg,revleg_mid))/2,0),ROUND((L138*M138*IF(B138="South Korea",korea_mid_revleg,revleg_mid)),0)))-(((battery/range_nm)*D138*IF(ABS(MOD(ABS((L138*M138*IF(B138="South Korea",korea_mid_revleg,revleg_mid))),1)-0.5)&lt;1E-9,2*ROUND((L138*M138*IF(B138="South Korea",korea_mid_revleg,revleg_mid))/2,0),ROUND((L138*M138*IF(B138="South Korea",korea_mid_revleg,revleg_mid)),0))*VLOOKUP(B138,country_opex,3,FALSE))+W138+X138+Y138+Z138+AA138)))</f>
        <v/>
      </c>
      <c r="AX138" s="45">
        <f>IF(((T138*pax_cap*load_full*IF(ABS(MOD(ABS((L138*M138*revleg_full)),1)-0.5)&lt;1E-9,2*ROUND((L138*M138*revleg_full)/2,0),ROUND((L138*M138*revleg_full),0)))-(((battery/range_nm)*D138*IF(ABS(MOD(ABS((L138*M138*revleg_full)),1)-0.5)&lt;1E-9,2*ROUND((L138*M138*revleg_full)/2,0),ROUND((L138*M138*revleg_full),0))*VLOOKUP(B138,country_opex,3,FALSE))+W138+X138+Y138+Z138+AA138))&lt;=0,"",VLOOKUP(B138,country_opex,7,FALSE)/((T138*pax_cap*load_full*IF(ABS(MOD(ABS((L138*M138*revleg_full)),1)-0.5)&lt;1E-9,2*ROUND((L138*M138*revleg_full)/2,0),ROUND((L138*M138*revleg_full),0)))-(((battery/range_nm)*D138*IF(ABS(MOD(ABS((L138*M138*revleg_full)),1)-0.5)&lt;1E-9,2*ROUND((L138*M138*revleg_full)/2,0),ROUND((L138*M138*revleg_full),0))*VLOOKUP(B138,country_opex,3,FALSE))+W138+X138+Y138+Z138+AA138)))</f>
        <v/>
      </c>
      <c r="AY138" s="46" t="n"/>
      <c r="AZ138" s="46" t="n"/>
      <c r="BA138" s="34" t="inlineStr">
        <is>
          <t>gcn-8ad7567d09-bolt</t>
        </is>
      </c>
    </row>
    <row r="139">
      <c r="A139" s="31" t="inlineStr">
        <is>
          <t>Yango Uae</t>
        </is>
      </c>
      <c r="B139" s="31" t="inlineStr">
        <is>
          <t>United Arab Emirates</t>
        </is>
      </c>
      <c r="C139" s="32" t="inlineStr">
        <is>
          <t>Dubai → Abu Dhabi (Corniche)</t>
        </is>
      </c>
      <c r="D139" s="33" t="n">
        <v>55.8</v>
      </c>
      <c r="E139" s="27" t="n"/>
      <c r="F139" s="34" t="n"/>
      <c r="G139" s="34" t="n"/>
      <c r="H139" s="20" t="n">
        <v>1</v>
      </c>
      <c r="I139" s="35">
        <f>60*D139/cruise_kt</f>
        <v/>
      </c>
      <c r="J139" s="35">
        <f>IF(B139="South Korea",D139/korea_charge_range_nm*korea_full_range_charge_min,0)</f>
        <v/>
      </c>
      <c r="K139" s="35">
        <f>IF(B139="South Korea",I139+korea_turn_min+korea_dwell_min+J139,I139+turn_min+dwell_min)</f>
        <v/>
      </c>
      <c r="L139" s="36">
        <f>IF(B139="South Korea",FLOOR(60*korea_service_hr/K139,1),MIN(15,FLOOR(60*service_hr/K139,1)))</f>
        <v/>
      </c>
      <c r="M139" s="36">
        <f>IF(ABS(MOD(ABS((365*mech_uptime*H139)),1)-0.5)&lt;1E-9,2*ROUND((365*mech_uptime*H139)/2,0),ROUND((365*mech_uptime*H139),0))</f>
        <v/>
      </c>
      <c r="N139" s="37">
        <f>mech_uptime</f>
        <v/>
      </c>
      <c r="O139" s="37">
        <f>IF(AND(B139="South Korea",scenario="MID"),korea_mid_revleg,revleg_sel)</f>
        <v/>
      </c>
      <c r="P139" s="36">
        <f>IF(ABS(MOD(ABS((L139*M139*O139)),1)-0.5)&lt;1E-9,2*ROUND((L139*M139*O139)/2,0),ROUND((L139*M139*O139),0))</f>
        <v/>
      </c>
      <c r="Q139" s="37">
        <f>IF(AND(B139="South Korea",scenario="MID"),korea_mid_load,load_sel)</f>
        <v/>
      </c>
      <c r="R139" s="38">
        <f>pax_cap*Q139</f>
        <v/>
      </c>
      <c r="S139" s="36">
        <f>R139*P139</f>
        <v/>
      </c>
      <c r="T139" s="39">
        <f>E139*discount</f>
        <v/>
      </c>
      <c r="U139" s="40">
        <f>T139*S139</f>
        <v/>
      </c>
      <c r="V139" s="40">
        <f>(battery/range_nm)*D139*P139*VLOOKUP(B139,country_opex,3,FALSE)</f>
        <v/>
      </c>
      <c r="W139" s="40">
        <f>VLOOKUP(B139,country_opex,2,FALSE)*crew_factor</f>
        <v/>
      </c>
      <c r="X139" s="40">
        <f>VLOOKUP(B139,country_opex,5,FALSE)</f>
        <v/>
      </c>
      <c r="Y139" s="40">
        <f>maint</f>
        <v/>
      </c>
      <c r="Z139" s="40">
        <f>VLOOKUP(B139,country_opex,7,FALSE)*ins_pct</f>
        <v/>
      </c>
      <c r="AA139" s="40">
        <f>charge_berth</f>
        <v/>
      </c>
      <c r="AB139" s="40">
        <f>V139+W139+X139+Y139+Z139+AA139</f>
        <v/>
      </c>
      <c r="AC139" s="40">
        <f>VLOOKUP(B139,country_opex,7,FALSE)/dep_years</f>
        <v/>
      </c>
      <c r="AD139" s="40">
        <f>U139-AB139</f>
        <v/>
      </c>
      <c r="AE139" s="37">
        <f>IF(U139=0,"",AD139/U139)</f>
        <v/>
      </c>
      <c r="AF139" s="38">
        <f>IF(AD139&lt;=0,"",VLOOKUP(B139,country_opex,7,FALSE)/AD139)</f>
        <v/>
      </c>
      <c r="AG139" s="35">
        <f>((D139*P139/diesel_nmpg)*diesel_co2pg-(battery/range_nm)*D139*P139*VLOOKUP(B139,country_opex,4,FALSE))/1000</f>
        <v/>
      </c>
      <c r="AH139" s="33" t="n"/>
      <c r="AI139" s="34" t="n"/>
      <c r="AJ139" s="34" t="n"/>
      <c r="AK139" s="41" t="n">
        <v>0.1</v>
      </c>
      <c r="AL139" s="36">
        <f>IF(AH139="","",AH139*AK139)</f>
        <v/>
      </c>
      <c r="AM139" s="36">
        <f>IF(OR(AH139="",S139=0),"",MIN(IF(AU139="",9.9E+99,AU139),FLOOR(AL139/S139,1)))</f>
        <v/>
      </c>
      <c r="AN139" s="40">
        <f>IF(AM139="","",AM139*IF(ABS(MOD(ABS((U139)),1)-0.5)&lt;1E-9,2*ROUND((U139)/2,0),ROUND((U139),0)))</f>
        <v/>
      </c>
      <c r="AO139" s="38">
        <f>IF(OR(AH139="",S139=0),"",MIN(IF(AU139="",9.9E+99,AU139),AL139/S139))</f>
        <v/>
      </c>
      <c r="AP139" s="40">
        <f>IF(AO139="","",AO139*IF(B139="South Korea",IF(ABS(MOD(ABS((U139)),1)-0.5)&lt;1E-9,2*ROUND((U139)/2,0),ROUND((U139),0)),U139))</f>
        <v/>
      </c>
      <c r="AQ139" s="42" t="n"/>
      <c r="AR139" s="34" t="inlineStr">
        <is>
          <t>Estimated</t>
        </is>
      </c>
      <c r="AS139" s="43" t="n"/>
      <c r="AT139" s="43" t="n"/>
      <c r="AU139" s="44" t="n"/>
      <c r="AV139" s="45">
        <f>IF(((T139*pax_cap*load_thin*IF(ABS(MOD(ABS((L139*M139*revleg_thin)),1)-0.5)&lt;1E-9,2*ROUND((L139*M139*revleg_thin)/2,0),ROUND((L139*M139*revleg_thin),0)))-(((battery/range_nm)*D139*IF(ABS(MOD(ABS((L139*M139*revleg_thin)),1)-0.5)&lt;1E-9,2*ROUND((L139*M139*revleg_thin)/2,0),ROUND((L139*M139*revleg_thin),0))*VLOOKUP(B139,country_opex,3,FALSE))+W139+X139+Y139+Z139+AA139))&lt;=0,"",VLOOKUP(B139,country_opex,7,FALSE)/((T139*pax_cap*load_thin*IF(ABS(MOD(ABS((L139*M139*revleg_thin)),1)-0.5)&lt;1E-9,2*ROUND((L139*M139*revleg_thin)/2,0),ROUND((L139*M139*revleg_thin),0)))-(((battery/range_nm)*D139*IF(ABS(MOD(ABS((L139*M139*revleg_thin)),1)-0.5)&lt;1E-9,2*ROUND((L139*M139*revleg_thin)/2,0),ROUND((L139*M139*revleg_thin),0))*VLOOKUP(B139,country_opex,3,FALSE))+W139+X139+Y139+Z139+AA139)))</f>
        <v/>
      </c>
      <c r="AW139" s="45">
        <f>IF(((T139*pax_cap*IF(B139="South Korea",korea_mid_load,load_mid)*IF(ABS(MOD(ABS((L139*M139*IF(B139="South Korea",korea_mid_revleg,revleg_mid))),1)-0.5)&lt;1E-9,2*ROUND((L139*M139*IF(B139="South Korea",korea_mid_revleg,revleg_mid))/2,0),ROUND((L139*M139*IF(B139="South Korea",korea_mid_revleg,revleg_mid)),0)))-(((battery/range_nm)*D139*IF(ABS(MOD(ABS((L139*M139*IF(B139="South Korea",korea_mid_revleg,revleg_mid))),1)-0.5)&lt;1E-9,2*ROUND((L139*M139*IF(B139="South Korea",korea_mid_revleg,revleg_mid))/2,0),ROUND((L139*M139*IF(B139="South Korea",korea_mid_revleg,revleg_mid)),0))*VLOOKUP(B139,country_opex,3,FALSE))+W139+X139+Y139+Z139+AA139))&lt;=0,"",VLOOKUP(B139,country_opex,7,FALSE)/((T139*pax_cap*IF(B139="South Korea",korea_mid_load,load_mid)*IF(ABS(MOD(ABS((L139*M139*IF(B139="South Korea",korea_mid_revleg,revleg_mid))),1)-0.5)&lt;1E-9,2*ROUND((L139*M139*IF(B139="South Korea",korea_mid_revleg,revleg_mid))/2,0),ROUND((L139*M139*IF(B139="South Korea",korea_mid_revleg,revleg_mid)),0)))-(((battery/range_nm)*D139*IF(ABS(MOD(ABS((L139*M139*IF(B139="South Korea",korea_mid_revleg,revleg_mid))),1)-0.5)&lt;1E-9,2*ROUND((L139*M139*IF(B139="South Korea",korea_mid_revleg,revleg_mid))/2,0),ROUND((L139*M139*IF(B139="South Korea",korea_mid_revleg,revleg_mid)),0))*VLOOKUP(B139,country_opex,3,FALSE))+W139+X139+Y139+Z139+AA139)))</f>
        <v/>
      </c>
      <c r="AX139" s="45">
        <f>IF(((T139*pax_cap*load_full*IF(ABS(MOD(ABS((L139*M139*revleg_full)),1)-0.5)&lt;1E-9,2*ROUND((L139*M139*revleg_full)/2,0),ROUND((L139*M139*revleg_full),0)))-(((battery/range_nm)*D139*IF(ABS(MOD(ABS((L139*M139*revleg_full)),1)-0.5)&lt;1E-9,2*ROUND((L139*M139*revleg_full)/2,0),ROUND((L139*M139*revleg_full),0))*VLOOKUP(B139,country_opex,3,FALSE))+W139+X139+Y139+Z139+AA139))&lt;=0,"",VLOOKUP(B139,country_opex,7,FALSE)/((T139*pax_cap*load_full*IF(ABS(MOD(ABS((L139*M139*revleg_full)),1)-0.5)&lt;1E-9,2*ROUND((L139*M139*revleg_full)/2,0),ROUND((L139*M139*revleg_full),0)))-(((battery/range_nm)*D139*IF(ABS(MOD(ABS((L139*M139*revleg_full)),1)-0.5)&lt;1E-9,2*ROUND((L139*M139*revleg_full)/2,0),ROUND((L139*M139*revleg_full),0))*VLOOKUP(B139,country_opex,3,FALSE))+W139+X139+Y139+Z139+AA139)))</f>
        <v/>
      </c>
      <c r="AY139" s="46" t="n"/>
      <c r="AZ139" s="46" t="n"/>
      <c r="BA139" s="34" t="n"/>
    </row>
    <row r="140">
      <c r="A140" s="31" t="inlineStr">
        <is>
          <t>Yango Uae</t>
        </is>
      </c>
      <c r="B140" s="31" t="inlineStr">
        <is>
          <t>United Arab Emirates</t>
        </is>
      </c>
      <c r="C140" s="32" t="inlineStr">
        <is>
          <t>Dubai Marina → Abu Dhabi Corniche</t>
        </is>
      </c>
      <c r="D140" s="33" t="n">
        <v>55.8</v>
      </c>
      <c r="E140" s="27" t="n"/>
      <c r="F140" s="34" t="n"/>
      <c r="G140" s="34" t="n"/>
      <c r="H140" s="20" t="n">
        <v>1</v>
      </c>
      <c r="I140" s="35">
        <f>60*D140/cruise_kt</f>
        <v/>
      </c>
      <c r="J140" s="35">
        <f>IF(B140="South Korea",D140/korea_charge_range_nm*korea_full_range_charge_min,0)</f>
        <v/>
      </c>
      <c r="K140" s="35">
        <f>IF(B140="South Korea",I140+korea_turn_min+korea_dwell_min+J140,I140+turn_min+dwell_min)</f>
        <v/>
      </c>
      <c r="L140" s="36">
        <f>IF(B140="South Korea",FLOOR(60*korea_service_hr/K140,1),MIN(24,FLOOR(60*service_hr/K140,1)))</f>
        <v/>
      </c>
      <c r="M140" s="36">
        <f>IF(ABS(MOD(ABS((365*mech_uptime*H140)),1)-0.5)&lt;1E-9,2*ROUND((365*mech_uptime*H140)/2,0),ROUND((365*mech_uptime*H140),0))</f>
        <v/>
      </c>
      <c r="N140" s="37">
        <f>mech_uptime</f>
        <v/>
      </c>
      <c r="O140" s="37">
        <f>IF(AND(B140="South Korea",scenario="MID"),korea_mid_revleg,revleg_sel)</f>
        <v/>
      </c>
      <c r="P140" s="36">
        <f>IF(ABS(MOD(ABS((L140*M140*O140)),1)-0.5)&lt;1E-9,2*ROUND((L140*M140*O140)/2,0),ROUND((L140*M140*O140),0))</f>
        <v/>
      </c>
      <c r="Q140" s="37">
        <f>IF(AND(B140="South Korea",scenario="MID"),korea_mid_load,load_sel)</f>
        <v/>
      </c>
      <c r="R140" s="38">
        <f>pax_cap*Q140</f>
        <v/>
      </c>
      <c r="S140" s="36">
        <f>R140*P140</f>
        <v/>
      </c>
      <c r="T140" s="39">
        <f>E140*discount</f>
        <v/>
      </c>
      <c r="U140" s="40">
        <f>T140*S140</f>
        <v/>
      </c>
      <c r="V140" s="40">
        <f>(battery/range_nm)*D140*P140*VLOOKUP(B140,country_opex,3,FALSE)</f>
        <v/>
      </c>
      <c r="W140" s="40">
        <f>VLOOKUP(B140,country_opex,2,FALSE)*crew_factor</f>
        <v/>
      </c>
      <c r="X140" s="40">
        <f>VLOOKUP(B140,country_opex,5,FALSE)</f>
        <v/>
      </c>
      <c r="Y140" s="40">
        <f>maint</f>
        <v/>
      </c>
      <c r="Z140" s="40">
        <f>VLOOKUP(B140,country_opex,7,FALSE)*ins_pct</f>
        <v/>
      </c>
      <c r="AA140" s="40">
        <f>charge_berth</f>
        <v/>
      </c>
      <c r="AB140" s="40">
        <f>V140+W140+X140+Y140+Z140+AA140</f>
        <v/>
      </c>
      <c r="AC140" s="40">
        <f>VLOOKUP(B140,country_opex,7,FALSE)/dep_years</f>
        <v/>
      </c>
      <c r="AD140" s="40">
        <f>U140-AB140</f>
        <v/>
      </c>
      <c r="AE140" s="37">
        <f>IF(U140=0,"",AD140/U140)</f>
        <v/>
      </c>
      <c r="AF140" s="38">
        <f>IF(AD140&lt;=0,"",VLOOKUP(B140,country_opex,7,FALSE)/AD140)</f>
        <v/>
      </c>
      <c r="AG140" s="35">
        <f>((D140*P140/diesel_nmpg)*diesel_co2pg-(battery/range_nm)*D140*P140*VLOOKUP(B140,country_opex,4,FALSE))/1000</f>
        <v/>
      </c>
      <c r="AH140" s="33" t="n"/>
      <c r="AI140" s="34" t="n"/>
      <c r="AJ140" s="34" t="n"/>
      <c r="AK140" s="41" t="n">
        <v>0.1</v>
      </c>
      <c r="AL140" s="36">
        <f>IF(AH140="","",AH140*AK140)</f>
        <v/>
      </c>
      <c r="AM140" s="36">
        <f>IF(OR(AH140="",S140=0),"",MIN(IF(AU140="",9.9E+99,AU140),FLOOR(AL140/S140,1)))</f>
        <v/>
      </c>
      <c r="AN140" s="40">
        <f>IF(AM140="","",AM140*IF(ABS(MOD(ABS((U140)),1)-0.5)&lt;1E-9,2*ROUND((U140)/2,0),ROUND((U140),0)))</f>
        <v/>
      </c>
      <c r="AO140" s="38">
        <f>IF(OR(AH140="",S140=0),"",MIN(IF(AU140="",9.9E+99,AU140),AL140/S140))</f>
        <v/>
      </c>
      <c r="AP140" s="40">
        <f>IF(AO140="","",AO140*IF(B140="South Korea",IF(ABS(MOD(ABS((U140)),1)-0.5)&lt;1E-9,2*ROUND((U140)/2,0),ROUND((U140),0)),U140))</f>
        <v/>
      </c>
      <c r="AQ140" s="42" t="n"/>
      <c r="AR140" s="34" t="inlineStr">
        <is>
          <t>Estimated</t>
        </is>
      </c>
      <c r="AS140" s="43" t="n"/>
      <c r="AT140" s="43" t="n"/>
      <c r="AU140" s="44" t="n"/>
      <c r="AV140" s="45">
        <f>IF(((T140*pax_cap*load_thin*IF(ABS(MOD(ABS((L140*M140*revleg_thin)),1)-0.5)&lt;1E-9,2*ROUND((L140*M140*revleg_thin)/2,0),ROUND((L140*M140*revleg_thin),0)))-(((battery/range_nm)*D140*IF(ABS(MOD(ABS((L140*M140*revleg_thin)),1)-0.5)&lt;1E-9,2*ROUND((L140*M140*revleg_thin)/2,0),ROUND((L140*M140*revleg_thin),0))*VLOOKUP(B140,country_opex,3,FALSE))+W140+X140+Y140+Z140+AA140))&lt;=0,"",VLOOKUP(B140,country_opex,7,FALSE)/((T140*pax_cap*load_thin*IF(ABS(MOD(ABS((L140*M140*revleg_thin)),1)-0.5)&lt;1E-9,2*ROUND((L140*M140*revleg_thin)/2,0),ROUND((L140*M140*revleg_thin),0)))-(((battery/range_nm)*D140*IF(ABS(MOD(ABS((L140*M140*revleg_thin)),1)-0.5)&lt;1E-9,2*ROUND((L140*M140*revleg_thin)/2,0),ROUND((L140*M140*revleg_thin),0))*VLOOKUP(B140,country_opex,3,FALSE))+W140+X140+Y140+Z140+AA140)))</f>
        <v/>
      </c>
      <c r="AW140" s="45">
        <f>IF(((T140*pax_cap*IF(B140="South Korea",korea_mid_load,load_mid)*IF(ABS(MOD(ABS((L140*M140*IF(B140="South Korea",korea_mid_revleg,revleg_mid))),1)-0.5)&lt;1E-9,2*ROUND((L140*M140*IF(B140="South Korea",korea_mid_revleg,revleg_mid))/2,0),ROUND((L140*M140*IF(B140="South Korea",korea_mid_revleg,revleg_mid)),0)))-(((battery/range_nm)*D140*IF(ABS(MOD(ABS((L140*M140*IF(B140="South Korea",korea_mid_revleg,revleg_mid))),1)-0.5)&lt;1E-9,2*ROUND((L140*M140*IF(B140="South Korea",korea_mid_revleg,revleg_mid))/2,0),ROUND((L140*M140*IF(B140="South Korea",korea_mid_revleg,revleg_mid)),0))*VLOOKUP(B140,country_opex,3,FALSE))+W140+X140+Y140+Z140+AA140))&lt;=0,"",VLOOKUP(B140,country_opex,7,FALSE)/((T140*pax_cap*IF(B140="South Korea",korea_mid_load,load_mid)*IF(ABS(MOD(ABS((L140*M140*IF(B140="South Korea",korea_mid_revleg,revleg_mid))),1)-0.5)&lt;1E-9,2*ROUND((L140*M140*IF(B140="South Korea",korea_mid_revleg,revleg_mid))/2,0),ROUND((L140*M140*IF(B140="South Korea",korea_mid_revleg,revleg_mid)),0)))-(((battery/range_nm)*D140*IF(ABS(MOD(ABS((L140*M140*IF(B140="South Korea",korea_mid_revleg,revleg_mid))),1)-0.5)&lt;1E-9,2*ROUND((L140*M140*IF(B140="South Korea",korea_mid_revleg,revleg_mid))/2,0),ROUND((L140*M140*IF(B140="South Korea",korea_mid_revleg,revleg_mid)),0))*VLOOKUP(B140,country_opex,3,FALSE))+W140+X140+Y140+Z140+AA140)))</f>
        <v/>
      </c>
      <c r="AX140" s="45">
        <f>IF(((T140*pax_cap*load_full*IF(ABS(MOD(ABS((L140*M140*revleg_full)),1)-0.5)&lt;1E-9,2*ROUND((L140*M140*revleg_full)/2,0),ROUND((L140*M140*revleg_full),0)))-(((battery/range_nm)*D140*IF(ABS(MOD(ABS((L140*M140*revleg_full)),1)-0.5)&lt;1E-9,2*ROUND((L140*M140*revleg_full)/2,0),ROUND((L140*M140*revleg_full),0))*VLOOKUP(B140,country_opex,3,FALSE))+W140+X140+Y140+Z140+AA140))&lt;=0,"",VLOOKUP(B140,country_opex,7,FALSE)/((T140*pax_cap*load_full*IF(ABS(MOD(ABS((L140*M140*revleg_full)),1)-0.5)&lt;1E-9,2*ROUND((L140*M140*revleg_full)/2,0),ROUND((L140*M140*revleg_full),0)))-(((battery/range_nm)*D140*IF(ABS(MOD(ABS((L140*M140*revleg_full)),1)-0.5)&lt;1E-9,2*ROUND((L140*M140*revleg_full)/2,0),ROUND((L140*M140*revleg_full),0))*VLOOKUP(B140,country_opex,3,FALSE))+W140+X140+Y140+Z140+AA140)))</f>
        <v/>
      </c>
      <c r="AY140" s="46" t="n"/>
      <c r="AZ140" s="46" t="n"/>
      <c r="BA140" s="34" t="inlineStr">
        <is>
          <t>gcn-8605781d07-careem</t>
        </is>
      </c>
    </row>
    <row r="141">
      <c r="A141" s="31" t="inlineStr">
        <is>
          <t>Yango Uae</t>
        </is>
      </c>
      <c r="B141" s="31" t="inlineStr">
        <is>
          <t>United Arab Emirates</t>
        </is>
      </c>
      <c r="C141" s="32" t="inlineStr">
        <is>
          <t>Dubai Marina → Abu Dhabi Corniche</t>
        </is>
      </c>
      <c r="D141" s="33" t="n">
        <v>55.8</v>
      </c>
      <c r="E141" s="27" t="n"/>
      <c r="F141" s="34" t="n"/>
      <c r="G141" s="34" t="n"/>
      <c r="H141" s="20" t="n">
        <v>1</v>
      </c>
      <c r="I141" s="35">
        <f>60*D141/cruise_kt</f>
        <v/>
      </c>
      <c r="J141" s="35">
        <f>IF(B141="South Korea",D141/korea_charge_range_nm*korea_full_range_charge_min,0)</f>
        <v/>
      </c>
      <c r="K141" s="35">
        <f>IF(B141="South Korea",I141+korea_turn_min+korea_dwell_min+J141,I141+turn_min+dwell_min)</f>
        <v/>
      </c>
      <c r="L141" s="36">
        <f>IF(B141="South Korea",FLOOR(60*korea_service_hr/K141,1),MIN(15,FLOOR(60*service_hr/K141,1)))</f>
        <v/>
      </c>
      <c r="M141" s="36">
        <f>IF(ABS(MOD(ABS((365*mech_uptime*H141)),1)-0.5)&lt;1E-9,2*ROUND((365*mech_uptime*H141)/2,0),ROUND((365*mech_uptime*H141),0))</f>
        <v/>
      </c>
      <c r="N141" s="37">
        <f>mech_uptime</f>
        <v/>
      </c>
      <c r="O141" s="37">
        <f>IF(AND(B141="South Korea",scenario="MID"),korea_mid_revleg,revleg_sel)</f>
        <v/>
      </c>
      <c r="P141" s="36">
        <f>IF(ABS(MOD(ABS((L141*M141*O141)),1)-0.5)&lt;1E-9,2*ROUND((L141*M141*O141)/2,0),ROUND((L141*M141*O141),0))</f>
        <v/>
      </c>
      <c r="Q141" s="37">
        <f>IF(AND(B141="South Korea",scenario="MID"),korea_mid_load,load_sel)</f>
        <v/>
      </c>
      <c r="R141" s="38">
        <f>pax_cap*Q141</f>
        <v/>
      </c>
      <c r="S141" s="36">
        <f>R141*P141</f>
        <v/>
      </c>
      <c r="T141" s="39">
        <f>E141*discount</f>
        <v/>
      </c>
      <c r="U141" s="40">
        <f>T141*S141</f>
        <v/>
      </c>
      <c r="V141" s="40">
        <f>(battery/range_nm)*D141*P141*VLOOKUP(B141,country_opex,3,FALSE)</f>
        <v/>
      </c>
      <c r="W141" s="40">
        <f>VLOOKUP(B141,country_opex,2,FALSE)*crew_factor</f>
        <v/>
      </c>
      <c r="X141" s="40">
        <f>VLOOKUP(B141,country_opex,5,FALSE)</f>
        <v/>
      </c>
      <c r="Y141" s="40">
        <f>maint</f>
        <v/>
      </c>
      <c r="Z141" s="40">
        <f>VLOOKUP(B141,country_opex,7,FALSE)*ins_pct</f>
        <v/>
      </c>
      <c r="AA141" s="40">
        <f>charge_berth</f>
        <v/>
      </c>
      <c r="AB141" s="40">
        <f>V141+W141+X141+Y141+Z141+AA141</f>
        <v/>
      </c>
      <c r="AC141" s="40">
        <f>VLOOKUP(B141,country_opex,7,FALSE)/dep_years</f>
        <v/>
      </c>
      <c r="AD141" s="40">
        <f>U141-AB141</f>
        <v/>
      </c>
      <c r="AE141" s="37">
        <f>IF(U141=0,"",AD141/U141)</f>
        <v/>
      </c>
      <c r="AF141" s="38">
        <f>IF(AD141&lt;=0,"",VLOOKUP(B141,country_opex,7,FALSE)/AD141)</f>
        <v/>
      </c>
      <c r="AG141" s="35">
        <f>((D141*P141/diesel_nmpg)*diesel_co2pg-(battery/range_nm)*D141*P141*VLOOKUP(B141,country_opex,4,FALSE))/1000</f>
        <v/>
      </c>
      <c r="AH141" s="33" t="n"/>
      <c r="AI141" s="34" t="n"/>
      <c r="AJ141" s="34" t="n"/>
      <c r="AK141" s="41" t="n">
        <v>0.1</v>
      </c>
      <c r="AL141" s="36">
        <f>IF(AH141="","",AH141*AK141)</f>
        <v/>
      </c>
      <c r="AM141" s="36">
        <f>IF(OR(AH141="",S141=0),"",MIN(IF(AU141="",9.9E+99,AU141),FLOOR(AL141/S141,1)))</f>
        <v/>
      </c>
      <c r="AN141" s="40">
        <f>IF(AM141="","",AM141*IF(ABS(MOD(ABS((U141)),1)-0.5)&lt;1E-9,2*ROUND((U141)/2,0),ROUND((U141),0)))</f>
        <v/>
      </c>
      <c r="AO141" s="38">
        <f>IF(OR(AH141="",S141=0),"",MIN(IF(AU141="",9.9E+99,AU141),AL141/S141))</f>
        <v/>
      </c>
      <c r="AP141" s="40">
        <f>IF(AO141="","",AO141*IF(B141="South Korea",IF(ABS(MOD(ABS((U141)),1)-0.5)&lt;1E-9,2*ROUND((U141)/2,0),ROUND((U141),0)),U141))</f>
        <v/>
      </c>
      <c r="AQ141" s="42" t="n"/>
      <c r="AR141" s="34" t="inlineStr">
        <is>
          <t>Estimated</t>
        </is>
      </c>
      <c r="AS141" s="43" t="n"/>
      <c r="AT141" s="43" t="n"/>
      <c r="AU141" s="44" t="n"/>
      <c r="AV141" s="45">
        <f>IF(((T141*pax_cap*load_thin*IF(ABS(MOD(ABS((L141*M141*revleg_thin)),1)-0.5)&lt;1E-9,2*ROUND((L141*M141*revleg_thin)/2,0),ROUND((L141*M141*revleg_thin),0)))-(((battery/range_nm)*D141*IF(ABS(MOD(ABS((L141*M141*revleg_thin)),1)-0.5)&lt;1E-9,2*ROUND((L141*M141*revleg_thin)/2,0),ROUND((L141*M141*revleg_thin),0))*VLOOKUP(B141,country_opex,3,FALSE))+W141+X141+Y141+Z141+AA141))&lt;=0,"",VLOOKUP(B141,country_opex,7,FALSE)/((T141*pax_cap*load_thin*IF(ABS(MOD(ABS((L141*M141*revleg_thin)),1)-0.5)&lt;1E-9,2*ROUND((L141*M141*revleg_thin)/2,0),ROUND((L141*M141*revleg_thin),0)))-(((battery/range_nm)*D141*IF(ABS(MOD(ABS((L141*M141*revleg_thin)),1)-0.5)&lt;1E-9,2*ROUND((L141*M141*revleg_thin)/2,0),ROUND((L141*M141*revleg_thin),0))*VLOOKUP(B141,country_opex,3,FALSE))+W141+X141+Y141+Z141+AA141)))</f>
        <v/>
      </c>
      <c r="AW141" s="45">
        <f>IF(((T141*pax_cap*IF(B141="South Korea",korea_mid_load,load_mid)*IF(ABS(MOD(ABS((L141*M141*IF(B141="South Korea",korea_mid_revleg,revleg_mid))),1)-0.5)&lt;1E-9,2*ROUND((L141*M141*IF(B141="South Korea",korea_mid_revleg,revleg_mid))/2,0),ROUND((L141*M141*IF(B141="South Korea",korea_mid_revleg,revleg_mid)),0)))-(((battery/range_nm)*D141*IF(ABS(MOD(ABS((L141*M141*IF(B141="South Korea",korea_mid_revleg,revleg_mid))),1)-0.5)&lt;1E-9,2*ROUND((L141*M141*IF(B141="South Korea",korea_mid_revleg,revleg_mid))/2,0),ROUND((L141*M141*IF(B141="South Korea",korea_mid_revleg,revleg_mid)),0))*VLOOKUP(B141,country_opex,3,FALSE))+W141+X141+Y141+Z141+AA141))&lt;=0,"",VLOOKUP(B141,country_opex,7,FALSE)/((T141*pax_cap*IF(B141="South Korea",korea_mid_load,load_mid)*IF(ABS(MOD(ABS((L141*M141*IF(B141="South Korea",korea_mid_revleg,revleg_mid))),1)-0.5)&lt;1E-9,2*ROUND((L141*M141*IF(B141="South Korea",korea_mid_revleg,revleg_mid))/2,0),ROUND((L141*M141*IF(B141="South Korea",korea_mid_revleg,revleg_mid)),0)))-(((battery/range_nm)*D141*IF(ABS(MOD(ABS((L141*M141*IF(B141="South Korea",korea_mid_revleg,revleg_mid))),1)-0.5)&lt;1E-9,2*ROUND((L141*M141*IF(B141="South Korea",korea_mid_revleg,revleg_mid))/2,0),ROUND((L141*M141*IF(B141="South Korea",korea_mid_revleg,revleg_mid)),0))*VLOOKUP(B141,country_opex,3,FALSE))+W141+X141+Y141+Z141+AA141)))</f>
        <v/>
      </c>
      <c r="AX141" s="45">
        <f>IF(((T141*pax_cap*load_full*IF(ABS(MOD(ABS((L141*M141*revleg_full)),1)-0.5)&lt;1E-9,2*ROUND((L141*M141*revleg_full)/2,0),ROUND((L141*M141*revleg_full),0)))-(((battery/range_nm)*D141*IF(ABS(MOD(ABS((L141*M141*revleg_full)),1)-0.5)&lt;1E-9,2*ROUND((L141*M141*revleg_full)/2,0),ROUND((L141*M141*revleg_full),0))*VLOOKUP(B141,country_opex,3,FALSE))+W141+X141+Y141+Z141+AA141))&lt;=0,"",VLOOKUP(B141,country_opex,7,FALSE)/((T141*pax_cap*load_full*IF(ABS(MOD(ABS((L141*M141*revleg_full)),1)-0.5)&lt;1E-9,2*ROUND((L141*M141*revleg_full)/2,0),ROUND((L141*M141*revleg_full),0)))-(((battery/range_nm)*D141*IF(ABS(MOD(ABS((L141*M141*revleg_full)),1)-0.5)&lt;1E-9,2*ROUND((L141*M141*revleg_full)/2,0),ROUND((L141*M141*revleg_full),0))*VLOOKUP(B141,country_opex,3,FALSE))+W141+X141+Y141+Z141+AA141)))</f>
        <v/>
      </c>
      <c r="AY141" s="46" t="n"/>
      <c r="AZ141" s="46" t="n"/>
      <c r="BA141" s="34" t="n"/>
    </row>
    <row r="142">
      <c r="A142" s="31" t="inlineStr">
        <is>
          <t>Yango Uae</t>
        </is>
      </c>
      <c r="B142" s="31" t="inlineStr">
        <is>
          <t>United Arab Emirates</t>
        </is>
      </c>
      <c r="C142" s="32" t="inlineStr">
        <is>
          <t>Dubai Harbour Marina → Wynn Al Marjan Island arrival lagoon</t>
        </is>
      </c>
      <c r="D142" s="33" t="n">
        <v>56</v>
      </c>
      <c r="E142" s="27" t="n">
        <v>200</v>
      </c>
      <c r="F142" s="34" t="inlineStr">
        <is>
          <t>T5</t>
        </is>
      </c>
      <c r="G142" s="34" t="inlineStr">
        <is>
          <t>low</t>
        </is>
      </c>
      <c r="H142" s="20" t="n">
        <v>1</v>
      </c>
      <c r="I142" s="35">
        <f>60*D142/cruise_kt</f>
        <v/>
      </c>
      <c r="J142" s="35">
        <f>IF(B142="South Korea",D142/korea_charge_range_nm*korea_full_range_charge_min,0)</f>
        <v/>
      </c>
      <c r="K142" s="35">
        <f>IF(B142="South Korea",I142+korea_turn_min+korea_dwell_min+J142,I142+turn_min+dwell_min)</f>
        <v/>
      </c>
      <c r="L142" s="36">
        <f>IF(B142="South Korea",FLOOR(60*korea_service_hr/K142,1),MIN(24,FLOOR(60*service_hr/K142,1)))</f>
        <v/>
      </c>
      <c r="M142" s="36">
        <f>IF(ABS(MOD(ABS((365*mech_uptime*H142)),1)-0.5)&lt;1E-9,2*ROUND((365*mech_uptime*H142)/2,0),ROUND((365*mech_uptime*H142),0))</f>
        <v/>
      </c>
      <c r="N142" s="37">
        <f>mech_uptime</f>
        <v/>
      </c>
      <c r="O142" s="37">
        <f>IF(AND(B142="South Korea",scenario="MID"),korea_mid_revleg,revleg_sel)</f>
        <v/>
      </c>
      <c r="P142" s="36">
        <f>IF(ABS(MOD(ABS((L142*M142*O142)),1)-0.5)&lt;1E-9,2*ROUND((L142*M142*O142)/2,0),ROUND((L142*M142*O142),0))</f>
        <v/>
      </c>
      <c r="Q142" s="37">
        <f>IF(AND(B142="South Korea",scenario="MID"),korea_mid_load,load_sel)</f>
        <v/>
      </c>
      <c r="R142" s="38">
        <f>pax_cap*Q142</f>
        <v/>
      </c>
      <c r="S142" s="36">
        <f>R142*P142</f>
        <v/>
      </c>
      <c r="T142" s="39">
        <f>E142*discount</f>
        <v/>
      </c>
      <c r="U142" s="40">
        <f>T142*S142</f>
        <v/>
      </c>
      <c r="V142" s="40">
        <f>(battery/range_nm)*D142*P142*VLOOKUP(B142,country_opex,3,FALSE)</f>
        <v/>
      </c>
      <c r="W142" s="40">
        <f>VLOOKUP(B142,country_opex,2,FALSE)*crew_factor</f>
        <v/>
      </c>
      <c r="X142" s="40">
        <f>VLOOKUP(B142,country_opex,5,FALSE)</f>
        <v/>
      </c>
      <c r="Y142" s="40">
        <f>maint</f>
        <v/>
      </c>
      <c r="Z142" s="40">
        <f>VLOOKUP(B142,country_opex,7,FALSE)*ins_pct</f>
        <v/>
      </c>
      <c r="AA142" s="40">
        <f>charge_berth</f>
        <v/>
      </c>
      <c r="AB142" s="40">
        <f>V142+W142+X142+Y142+Z142+AA142</f>
        <v/>
      </c>
      <c r="AC142" s="40">
        <f>VLOOKUP(B142,country_opex,7,FALSE)/dep_years</f>
        <v/>
      </c>
      <c r="AD142" s="40">
        <f>U142-AB142</f>
        <v/>
      </c>
      <c r="AE142" s="37">
        <f>IF(U142=0,"",AD142/U142)</f>
        <v/>
      </c>
      <c r="AF142" s="38">
        <f>IF(AD142&lt;=0,"",VLOOKUP(B142,country_opex,7,FALSE)/AD142)</f>
        <v/>
      </c>
      <c r="AG142" s="35">
        <f>((D142*P142/diesel_nmpg)*diesel_co2pg-(battery/range_nm)*D142*P142*VLOOKUP(B142,country_opex,4,FALSE))/1000</f>
        <v/>
      </c>
      <c r="AH142" s="33" t="n">
        <v>60000</v>
      </c>
      <c r="AI142" s="34" t="inlineStr">
        <is>
          <t>T2</t>
        </is>
      </c>
      <c r="AJ142" s="34" t="inlineStr">
        <is>
          <t>medium</t>
        </is>
      </c>
      <c r="AK142" s="41" t="n">
        <v>0.1</v>
      </c>
      <c r="AL142" s="36">
        <f>IF(AH142="","",AH142*AK142)</f>
        <v/>
      </c>
      <c r="AM142" s="36">
        <f>IF(OR(AH142="",S142=0),"",MIN(IF(AU142="",9.9E+99,AU142),FLOOR(AL142/S142,1)))</f>
        <v/>
      </c>
      <c r="AN142" s="40">
        <f>IF(AM142="","",AM142*IF(ABS(MOD(ABS((U142)),1)-0.5)&lt;1E-9,2*ROUND((U142)/2,0),ROUND((U142),0)))</f>
        <v/>
      </c>
      <c r="AO142" s="38">
        <f>IF(OR(AH142="",S142=0),"",MIN(IF(AU142="",9.9E+99,AU142),AL142/S142))</f>
        <v/>
      </c>
      <c r="AP142" s="40">
        <f>IF(AO142="","",AO142*IF(B142="South Korea",IF(ABS(MOD(ABS((U142)),1)-0.5)&lt;1E-9,2*ROUND((U142)/2,0),ROUND((U142),0)),U142))</f>
        <v/>
      </c>
      <c r="AQ142" s="42" t="n"/>
      <c r="AR142" s="34" t="inlineStr">
        <is>
          <t>Estimated</t>
        </is>
      </c>
      <c r="AS142" s="43" t="n"/>
      <c r="AT142" s="43" t="n"/>
      <c r="AU142" s="44" t="n"/>
      <c r="AV142" s="45">
        <f>IF(((T142*pax_cap*load_thin*IF(ABS(MOD(ABS((L142*M142*revleg_thin)),1)-0.5)&lt;1E-9,2*ROUND((L142*M142*revleg_thin)/2,0),ROUND((L142*M142*revleg_thin),0)))-(((battery/range_nm)*D142*IF(ABS(MOD(ABS((L142*M142*revleg_thin)),1)-0.5)&lt;1E-9,2*ROUND((L142*M142*revleg_thin)/2,0),ROUND((L142*M142*revleg_thin),0))*VLOOKUP(B142,country_opex,3,FALSE))+W142+X142+Y142+Z142+AA142))&lt;=0,"",VLOOKUP(B142,country_opex,7,FALSE)/((T142*pax_cap*load_thin*IF(ABS(MOD(ABS((L142*M142*revleg_thin)),1)-0.5)&lt;1E-9,2*ROUND((L142*M142*revleg_thin)/2,0),ROUND((L142*M142*revleg_thin),0)))-(((battery/range_nm)*D142*IF(ABS(MOD(ABS((L142*M142*revleg_thin)),1)-0.5)&lt;1E-9,2*ROUND((L142*M142*revleg_thin)/2,0),ROUND((L142*M142*revleg_thin),0))*VLOOKUP(B142,country_opex,3,FALSE))+W142+X142+Y142+Z142+AA142)))</f>
        <v/>
      </c>
      <c r="AW142" s="45">
        <f>IF(((T142*pax_cap*IF(B142="South Korea",korea_mid_load,load_mid)*IF(ABS(MOD(ABS((L142*M142*IF(B142="South Korea",korea_mid_revleg,revleg_mid))),1)-0.5)&lt;1E-9,2*ROUND((L142*M142*IF(B142="South Korea",korea_mid_revleg,revleg_mid))/2,0),ROUND((L142*M142*IF(B142="South Korea",korea_mid_revleg,revleg_mid)),0)))-(((battery/range_nm)*D142*IF(ABS(MOD(ABS((L142*M142*IF(B142="South Korea",korea_mid_revleg,revleg_mid))),1)-0.5)&lt;1E-9,2*ROUND((L142*M142*IF(B142="South Korea",korea_mid_revleg,revleg_mid))/2,0),ROUND((L142*M142*IF(B142="South Korea",korea_mid_revleg,revleg_mid)),0))*VLOOKUP(B142,country_opex,3,FALSE))+W142+X142+Y142+Z142+AA142))&lt;=0,"",VLOOKUP(B142,country_opex,7,FALSE)/((T142*pax_cap*IF(B142="South Korea",korea_mid_load,load_mid)*IF(ABS(MOD(ABS((L142*M142*IF(B142="South Korea",korea_mid_revleg,revleg_mid))),1)-0.5)&lt;1E-9,2*ROUND((L142*M142*IF(B142="South Korea",korea_mid_revleg,revleg_mid))/2,0),ROUND((L142*M142*IF(B142="South Korea",korea_mid_revleg,revleg_mid)),0)))-(((battery/range_nm)*D142*IF(ABS(MOD(ABS((L142*M142*IF(B142="South Korea",korea_mid_revleg,revleg_mid))),1)-0.5)&lt;1E-9,2*ROUND((L142*M142*IF(B142="South Korea",korea_mid_revleg,revleg_mid))/2,0),ROUND((L142*M142*IF(B142="South Korea",korea_mid_revleg,revleg_mid)),0))*VLOOKUP(B142,country_opex,3,FALSE))+W142+X142+Y142+Z142+AA142)))</f>
        <v/>
      </c>
      <c r="AX142" s="45">
        <f>IF(((T142*pax_cap*load_full*IF(ABS(MOD(ABS((L142*M142*revleg_full)),1)-0.5)&lt;1E-9,2*ROUND((L142*M142*revleg_full)/2,0),ROUND((L142*M142*revleg_full),0)))-(((battery/range_nm)*D142*IF(ABS(MOD(ABS((L142*M142*revleg_full)),1)-0.5)&lt;1E-9,2*ROUND((L142*M142*revleg_full)/2,0),ROUND((L142*M142*revleg_full),0))*VLOOKUP(B142,country_opex,3,FALSE))+W142+X142+Y142+Z142+AA142))&lt;=0,"",VLOOKUP(B142,country_opex,7,FALSE)/((T142*pax_cap*load_full*IF(ABS(MOD(ABS((L142*M142*revleg_full)),1)-0.5)&lt;1E-9,2*ROUND((L142*M142*revleg_full)/2,0),ROUND((L142*M142*revleg_full),0)))-(((battery/range_nm)*D142*IF(ABS(MOD(ABS((L142*M142*revleg_full)),1)-0.5)&lt;1E-9,2*ROUND((L142*M142*revleg_full)/2,0),ROUND((L142*M142*revleg_full),0))*VLOOKUP(B142,country_opex,3,FALSE))+W142+X142+Y142+Z142+AA142)))</f>
        <v/>
      </c>
      <c r="AY142" s="46" t="inlineStr">
        <is>
          <t>Wynn Al Marjan (first UAE gaming resort) opens early 2027: 1,217 rooms + 297 residences. No marine transfer today. T5/low - greenfield.</t>
        </is>
      </c>
      <c r="AZ142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42" s="34" t="inlineStr">
        <is>
          <t>rn-dd4500aa99f5</t>
        </is>
      </c>
    </row>
    <row r="143">
      <c r="A143" s="31" t="inlineStr">
        <is>
          <t>Yango Uae</t>
        </is>
      </c>
      <c r="B143" s="31" t="inlineStr">
        <is>
          <t>United Arab Emirates</t>
        </is>
      </c>
      <c r="C143" s="32" t="inlineStr">
        <is>
          <t>Ushuaïa Dubai Harbour Experience → Marina Mall / Breakwater Marina</t>
        </is>
      </c>
      <c r="D143" s="33" t="n">
        <v>57.4</v>
      </c>
      <c r="E143" s="27" t="n"/>
      <c r="F143" s="34" t="n"/>
      <c r="G143" s="34" t="n"/>
      <c r="H143" s="20" t="n">
        <v>1</v>
      </c>
      <c r="I143" s="35">
        <f>60*D143/cruise_kt</f>
        <v/>
      </c>
      <c r="J143" s="35">
        <f>IF(B143="South Korea",D143/korea_charge_range_nm*korea_full_range_charge_min,0)</f>
        <v/>
      </c>
      <c r="K143" s="35">
        <f>IF(B143="South Korea",I143+korea_turn_min+korea_dwell_min+J143,I143+turn_min+dwell_min)</f>
        <v/>
      </c>
      <c r="L143" s="36">
        <f>IF(B143="South Korea",FLOOR(60*korea_service_hr/K143,1),MIN(15,FLOOR(60*service_hr/K143,1)))</f>
        <v/>
      </c>
      <c r="M143" s="36">
        <f>IF(ABS(MOD(ABS((365*mech_uptime*H143)),1)-0.5)&lt;1E-9,2*ROUND((365*mech_uptime*H143)/2,0),ROUND((365*mech_uptime*H143),0))</f>
        <v/>
      </c>
      <c r="N143" s="37">
        <f>mech_uptime</f>
        <v/>
      </c>
      <c r="O143" s="37">
        <f>IF(AND(B143="South Korea",scenario="MID"),korea_mid_revleg,revleg_sel)</f>
        <v/>
      </c>
      <c r="P143" s="36">
        <f>IF(ABS(MOD(ABS((L143*M143*O143)),1)-0.5)&lt;1E-9,2*ROUND((L143*M143*O143)/2,0),ROUND((L143*M143*O143),0))</f>
        <v/>
      </c>
      <c r="Q143" s="37">
        <f>IF(AND(B143="South Korea",scenario="MID"),korea_mid_load,load_sel)</f>
        <v/>
      </c>
      <c r="R143" s="38">
        <f>pax_cap*Q143</f>
        <v/>
      </c>
      <c r="S143" s="36">
        <f>R143*P143</f>
        <v/>
      </c>
      <c r="T143" s="39">
        <f>E143*discount</f>
        <v/>
      </c>
      <c r="U143" s="40">
        <f>T143*S143</f>
        <v/>
      </c>
      <c r="V143" s="40">
        <f>(battery/range_nm)*D143*P143*VLOOKUP(B143,country_opex,3,FALSE)</f>
        <v/>
      </c>
      <c r="W143" s="40">
        <f>VLOOKUP(B143,country_opex,2,FALSE)*crew_factor</f>
        <v/>
      </c>
      <c r="X143" s="40">
        <f>VLOOKUP(B143,country_opex,5,FALSE)</f>
        <v/>
      </c>
      <c r="Y143" s="40">
        <f>maint</f>
        <v/>
      </c>
      <c r="Z143" s="40">
        <f>VLOOKUP(B143,country_opex,7,FALSE)*ins_pct</f>
        <v/>
      </c>
      <c r="AA143" s="40">
        <f>charge_berth</f>
        <v/>
      </c>
      <c r="AB143" s="40">
        <f>V143+W143+X143+Y143+Z143+AA143</f>
        <v/>
      </c>
      <c r="AC143" s="40">
        <f>VLOOKUP(B143,country_opex,7,FALSE)/dep_years</f>
        <v/>
      </c>
      <c r="AD143" s="40">
        <f>U143-AB143</f>
        <v/>
      </c>
      <c r="AE143" s="37">
        <f>IF(U143=0,"",AD143/U143)</f>
        <v/>
      </c>
      <c r="AF143" s="38">
        <f>IF(AD143&lt;=0,"",VLOOKUP(B143,country_opex,7,FALSE)/AD143)</f>
        <v/>
      </c>
      <c r="AG143" s="35">
        <f>((D143*P143/diesel_nmpg)*diesel_co2pg-(battery/range_nm)*D143*P143*VLOOKUP(B143,country_opex,4,FALSE))/1000</f>
        <v/>
      </c>
      <c r="AH143" s="33" t="n"/>
      <c r="AI143" s="34" t="n"/>
      <c r="AJ143" s="34" t="n"/>
      <c r="AK143" s="41" t="n">
        <v>0.1</v>
      </c>
      <c r="AL143" s="36">
        <f>IF(AH143="","",AH143*AK143)</f>
        <v/>
      </c>
      <c r="AM143" s="36">
        <f>IF(OR(AH143="",S143=0),"",MIN(IF(AU143="",9.9E+99,AU143),FLOOR(AL143/S143,1)))</f>
        <v/>
      </c>
      <c r="AN143" s="40">
        <f>IF(AM143="","",AM143*IF(ABS(MOD(ABS((U143)),1)-0.5)&lt;1E-9,2*ROUND((U143)/2,0),ROUND((U143),0)))</f>
        <v/>
      </c>
      <c r="AO143" s="38">
        <f>IF(OR(AH143="",S143=0),"",MIN(IF(AU143="",9.9E+99,AU143),AL143/S143))</f>
        <v/>
      </c>
      <c r="AP143" s="40">
        <f>IF(AO143="","",AO143*IF(B143="South Korea",IF(ABS(MOD(ABS((U143)),1)-0.5)&lt;1E-9,2*ROUND((U143)/2,0),ROUND((U143),0)),U143))</f>
        <v/>
      </c>
      <c r="AQ143" s="42" t="n"/>
      <c r="AR143" s="34" t="inlineStr">
        <is>
          <t>Estimated</t>
        </is>
      </c>
      <c r="AS143" s="43" t="n"/>
      <c r="AT143" s="43" t="n"/>
      <c r="AU143" s="44" t="n"/>
      <c r="AV143" s="45">
        <f>IF(((T143*pax_cap*load_thin*IF(ABS(MOD(ABS((L143*M143*revleg_thin)),1)-0.5)&lt;1E-9,2*ROUND((L143*M143*revleg_thin)/2,0),ROUND((L143*M143*revleg_thin),0)))-(((battery/range_nm)*D143*IF(ABS(MOD(ABS((L143*M143*revleg_thin)),1)-0.5)&lt;1E-9,2*ROUND((L143*M143*revleg_thin)/2,0),ROUND((L143*M143*revleg_thin),0))*VLOOKUP(B143,country_opex,3,FALSE))+W143+X143+Y143+Z143+AA143))&lt;=0,"",VLOOKUP(B143,country_opex,7,FALSE)/((T143*pax_cap*load_thin*IF(ABS(MOD(ABS((L143*M143*revleg_thin)),1)-0.5)&lt;1E-9,2*ROUND((L143*M143*revleg_thin)/2,0),ROUND((L143*M143*revleg_thin),0)))-(((battery/range_nm)*D143*IF(ABS(MOD(ABS((L143*M143*revleg_thin)),1)-0.5)&lt;1E-9,2*ROUND((L143*M143*revleg_thin)/2,0),ROUND((L143*M143*revleg_thin),0))*VLOOKUP(B143,country_opex,3,FALSE))+W143+X143+Y143+Z143+AA143)))</f>
        <v/>
      </c>
      <c r="AW143" s="45">
        <f>IF(((T143*pax_cap*IF(B143="South Korea",korea_mid_load,load_mid)*IF(ABS(MOD(ABS((L143*M143*IF(B143="South Korea",korea_mid_revleg,revleg_mid))),1)-0.5)&lt;1E-9,2*ROUND((L143*M143*IF(B143="South Korea",korea_mid_revleg,revleg_mid))/2,0),ROUND((L143*M143*IF(B143="South Korea",korea_mid_revleg,revleg_mid)),0)))-(((battery/range_nm)*D143*IF(ABS(MOD(ABS((L143*M143*IF(B143="South Korea",korea_mid_revleg,revleg_mid))),1)-0.5)&lt;1E-9,2*ROUND((L143*M143*IF(B143="South Korea",korea_mid_revleg,revleg_mid))/2,0),ROUND((L143*M143*IF(B143="South Korea",korea_mid_revleg,revleg_mid)),0))*VLOOKUP(B143,country_opex,3,FALSE))+W143+X143+Y143+Z143+AA143))&lt;=0,"",VLOOKUP(B143,country_opex,7,FALSE)/((T143*pax_cap*IF(B143="South Korea",korea_mid_load,load_mid)*IF(ABS(MOD(ABS((L143*M143*IF(B143="South Korea",korea_mid_revleg,revleg_mid))),1)-0.5)&lt;1E-9,2*ROUND((L143*M143*IF(B143="South Korea",korea_mid_revleg,revleg_mid))/2,0),ROUND((L143*M143*IF(B143="South Korea",korea_mid_revleg,revleg_mid)),0)))-(((battery/range_nm)*D143*IF(ABS(MOD(ABS((L143*M143*IF(B143="South Korea",korea_mid_revleg,revleg_mid))),1)-0.5)&lt;1E-9,2*ROUND((L143*M143*IF(B143="South Korea",korea_mid_revleg,revleg_mid))/2,0),ROUND((L143*M143*IF(B143="South Korea",korea_mid_revleg,revleg_mid)),0))*VLOOKUP(B143,country_opex,3,FALSE))+W143+X143+Y143+Z143+AA143)))</f>
        <v/>
      </c>
      <c r="AX143" s="45">
        <f>IF(((T143*pax_cap*load_full*IF(ABS(MOD(ABS((L143*M143*revleg_full)),1)-0.5)&lt;1E-9,2*ROUND((L143*M143*revleg_full)/2,0),ROUND((L143*M143*revleg_full),0)))-(((battery/range_nm)*D143*IF(ABS(MOD(ABS((L143*M143*revleg_full)),1)-0.5)&lt;1E-9,2*ROUND((L143*M143*revleg_full)/2,0),ROUND((L143*M143*revleg_full),0))*VLOOKUP(B143,country_opex,3,FALSE))+W143+X143+Y143+Z143+AA143))&lt;=0,"",VLOOKUP(B143,country_opex,7,FALSE)/((T143*pax_cap*load_full*IF(ABS(MOD(ABS((L143*M143*revleg_full)),1)-0.5)&lt;1E-9,2*ROUND((L143*M143*revleg_full)/2,0),ROUND((L143*M143*revleg_full),0)))-(((battery/range_nm)*D143*IF(ABS(MOD(ABS((L143*M143*revleg_full)),1)-0.5)&lt;1E-9,2*ROUND((L143*M143*revleg_full)/2,0),ROUND((L143*M143*revleg_full),0))*VLOOKUP(B143,country_opex,3,FALSE))+W143+X143+Y143+Z143+AA143)))</f>
        <v/>
      </c>
      <c r="AY143" s="46" t="n"/>
      <c r="AZ143" s="46" t="n"/>
      <c r="BA143" s="34" t="inlineStr">
        <is>
          <t>gcn-4ae479b872-bolt</t>
        </is>
      </c>
    </row>
    <row r="144">
      <c r="A144" s="31" t="inlineStr">
        <is>
          <t>Yango Uae</t>
        </is>
      </c>
      <c r="B144" s="31" t="inlineStr">
        <is>
          <t>United Arab Emirates</t>
        </is>
      </c>
      <c r="C144" s="32" t="inlineStr">
        <is>
          <t>Dubai Harbour Marina → Marina Mall / Breakwater Marina</t>
        </is>
      </c>
      <c r="D144" s="33" t="n">
        <v>59.8</v>
      </c>
      <c r="E144" s="27" t="n"/>
      <c r="F144" s="34" t="n"/>
      <c r="G144" s="34" t="n"/>
      <c r="H144" s="20" t="n">
        <v>1</v>
      </c>
      <c r="I144" s="35">
        <f>60*D144/cruise_kt</f>
        <v/>
      </c>
      <c r="J144" s="35">
        <f>IF(B144="South Korea",D144/korea_charge_range_nm*korea_full_range_charge_min,0)</f>
        <v/>
      </c>
      <c r="K144" s="35">
        <f>IF(B144="South Korea",I144+korea_turn_min+korea_dwell_min+J144,I144+turn_min+dwell_min)</f>
        <v/>
      </c>
      <c r="L144" s="36">
        <f>IF(B144="South Korea",FLOOR(60*korea_service_hr/K144,1),MIN(15,FLOOR(60*service_hr/K144,1)))</f>
        <v/>
      </c>
      <c r="M144" s="36">
        <f>IF(ABS(MOD(ABS((365*mech_uptime*H144)),1)-0.5)&lt;1E-9,2*ROUND((365*mech_uptime*H144)/2,0),ROUND((365*mech_uptime*H144),0))</f>
        <v/>
      </c>
      <c r="N144" s="37">
        <f>mech_uptime</f>
        <v/>
      </c>
      <c r="O144" s="37">
        <f>IF(AND(B144="South Korea",scenario="MID"),korea_mid_revleg,revleg_sel)</f>
        <v/>
      </c>
      <c r="P144" s="36">
        <f>IF(ABS(MOD(ABS((L144*M144*O144)),1)-0.5)&lt;1E-9,2*ROUND((L144*M144*O144)/2,0),ROUND((L144*M144*O144),0))</f>
        <v/>
      </c>
      <c r="Q144" s="37">
        <f>IF(AND(B144="South Korea",scenario="MID"),korea_mid_load,load_sel)</f>
        <v/>
      </c>
      <c r="R144" s="38">
        <f>pax_cap*Q144</f>
        <v/>
      </c>
      <c r="S144" s="36">
        <f>R144*P144</f>
        <v/>
      </c>
      <c r="T144" s="39">
        <f>E144*discount</f>
        <v/>
      </c>
      <c r="U144" s="40">
        <f>T144*S144</f>
        <v/>
      </c>
      <c r="V144" s="40">
        <f>(battery/range_nm)*D144*P144*VLOOKUP(B144,country_opex,3,FALSE)</f>
        <v/>
      </c>
      <c r="W144" s="40">
        <f>VLOOKUP(B144,country_opex,2,FALSE)*crew_factor</f>
        <v/>
      </c>
      <c r="X144" s="40">
        <f>VLOOKUP(B144,country_opex,5,FALSE)</f>
        <v/>
      </c>
      <c r="Y144" s="40">
        <f>maint</f>
        <v/>
      </c>
      <c r="Z144" s="40">
        <f>VLOOKUP(B144,country_opex,7,FALSE)*ins_pct</f>
        <v/>
      </c>
      <c r="AA144" s="40">
        <f>charge_berth</f>
        <v/>
      </c>
      <c r="AB144" s="40">
        <f>V144+W144+X144+Y144+Z144+AA144</f>
        <v/>
      </c>
      <c r="AC144" s="40">
        <f>VLOOKUP(B144,country_opex,7,FALSE)/dep_years</f>
        <v/>
      </c>
      <c r="AD144" s="40">
        <f>U144-AB144</f>
        <v/>
      </c>
      <c r="AE144" s="37">
        <f>IF(U144=0,"",AD144/U144)</f>
        <v/>
      </c>
      <c r="AF144" s="38">
        <f>IF(AD144&lt;=0,"",VLOOKUP(B144,country_opex,7,FALSE)/AD144)</f>
        <v/>
      </c>
      <c r="AG144" s="35">
        <f>((D144*P144/diesel_nmpg)*diesel_co2pg-(battery/range_nm)*D144*P144*VLOOKUP(B144,country_opex,4,FALSE))/1000</f>
        <v/>
      </c>
      <c r="AH144" s="33" t="n"/>
      <c r="AI144" s="34" t="n"/>
      <c r="AJ144" s="34" t="n"/>
      <c r="AK144" s="41" t="n">
        <v>0.1</v>
      </c>
      <c r="AL144" s="36">
        <f>IF(AH144="","",AH144*AK144)</f>
        <v/>
      </c>
      <c r="AM144" s="36">
        <f>IF(OR(AH144="",S144=0),"",MIN(IF(AU144="",9.9E+99,AU144),FLOOR(AL144/S144,1)))</f>
        <v/>
      </c>
      <c r="AN144" s="40">
        <f>IF(AM144="","",AM144*IF(ABS(MOD(ABS((U144)),1)-0.5)&lt;1E-9,2*ROUND((U144)/2,0),ROUND((U144),0)))</f>
        <v/>
      </c>
      <c r="AO144" s="38">
        <f>IF(OR(AH144="",S144=0),"",MIN(IF(AU144="",9.9E+99,AU144),AL144/S144))</f>
        <v/>
      </c>
      <c r="AP144" s="40">
        <f>IF(AO144="","",AO144*IF(B144="South Korea",IF(ABS(MOD(ABS((U144)),1)-0.5)&lt;1E-9,2*ROUND((U144)/2,0),ROUND((U144),0)),U144))</f>
        <v/>
      </c>
      <c r="AQ144" s="42" t="n"/>
      <c r="AR144" s="34" t="inlineStr">
        <is>
          <t>Grounded</t>
        </is>
      </c>
      <c r="AS144" s="43" t="n"/>
      <c r="AT144" s="43" t="n"/>
      <c r="AU144" s="44" t="n"/>
      <c r="AV144" s="45">
        <f>IF(((T144*pax_cap*load_thin*IF(ABS(MOD(ABS((L144*M144*revleg_thin)),1)-0.5)&lt;1E-9,2*ROUND((L144*M144*revleg_thin)/2,0),ROUND((L144*M144*revleg_thin),0)))-(((battery/range_nm)*D144*IF(ABS(MOD(ABS((L144*M144*revleg_thin)),1)-0.5)&lt;1E-9,2*ROUND((L144*M144*revleg_thin)/2,0),ROUND((L144*M144*revleg_thin),0))*VLOOKUP(B144,country_opex,3,FALSE))+W144+X144+Y144+Z144+AA144))&lt;=0,"",VLOOKUP(B144,country_opex,7,FALSE)/((T144*pax_cap*load_thin*IF(ABS(MOD(ABS((L144*M144*revleg_thin)),1)-0.5)&lt;1E-9,2*ROUND((L144*M144*revleg_thin)/2,0),ROUND((L144*M144*revleg_thin),0)))-(((battery/range_nm)*D144*IF(ABS(MOD(ABS((L144*M144*revleg_thin)),1)-0.5)&lt;1E-9,2*ROUND((L144*M144*revleg_thin)/2,0),ROUND((L144*M144*revleg_thin),0))*VLOOKUP(B144,country_opex,3,FALSE))+W144+X144+Y144+Z144+AA144)))</f>
        <v/>
      </c>
      <c r="AW144" s="45">
        <f>IF(((T144*pax_cap*IF(B144="South Korea",korea_mid_load,load_mid)*IF(ABS(MOD(ABS((L144*M144*IF(B144="South Korea",korea_mid_revleg,revleg_mid))),1)-0.5)&lt;1E-9,2*ROUND((L144*M144*IF(B144="South Korea",korea_mid_revleg,revleg_mid))/2,0),ROUND((L144*M144*IF(B144="South Korea",korea_mid_revleg,revleg_mid)),0)))-(((battery/range_nm)*D144*IF(ABS(MOD(ABS((L144*M144*IF(B144="South Korea",korea_mid_revleg,revleg_mid))),1)-0.5)&lt;1E-9,2*ROUND((L144*M144*IF(B144="South Korea",korea_mid_revleg,revleg_mid))/2,0),ROUND((L144*M144*IF(B144="South Korea",korea_mid_revleg,revleg_mid)),0))*VLOOKUP(B144,country_opex,3,FALSE))+W144+X144+Y144+Z144+AA144))&lt;=0,"",VLOOKUP(B144,country_opex,7,FALSE)/((T144*pax_cap*IF(B144="South Korea",korea_mid_load,load_mid)*IF(ABS(MOD(ABS((L144*M144*IF(B144="South Korea",korea_mid_revleg,revleg_mid))),1)-0.5)&lt;1E-9,2*ROUND((L144*M144*IF(B144="South Korea",korea_mid_revleg,revleg_mid))/2,0),ROUND((L144*M144*IF(B144="South Korea",korea_mid_revleg,revleg_mid)),0)))-(((battery/range_nm)*D144*IF(ABS(MOD(ABS((L144*M144*IF(B144="South Korea",korea_mid_revleg,revleg_mid))),1)-0.5)&lt;1E-9,2*ROUND((L144*M144*IF(B144="South Korea",korea_mid_revleg,revleg_mid))/2,0),ROUND((L144*M144*IF(B144="South Korea",korea_mid_revleg,revleg_mid)),0))*VLOOKUP(B144,country_opex,3,FALSE))+W144+X144+Y144+Z144+AA144)))</f>
        <v/>
      </c>
      <c r="AX144" s="45">
        <f>IF(((T144*pax_cap*load_full*IF(ABS(MOD(ABS((L144*M144*revleg_full)),1)-0.5)&lt;1E-9,2*ROUND((L144*M144*revleg_full)/2,0),ROUND((L144*M144*revleg_full),0)))-(((battery/range_nm)*D144*IF(ABS(MOD(ABS((L144*M144*revleg_full)),1)-0.5)&lt;1E-9,2*ROUND((L144*M144*revleg_full)/2,0),ROUND((L144*M144*revleg_full),0))*VLOOKUP(B144,country_opex,3,FALSE))+W144+X144+Y144+Z144+AA144))&lt;=0,"",VLOOKUP(B144,country_opex,7,FALSE)/((T144*pax_cap*load_full*IF(ABS(MOD(ABS((L144*M144*revleg_full)),1)-0.5)&lt;1E-9,2*ROUND((L144*M144*revleg_full)/2,0),ROUND((L144*M144*revleg_full),0)))-(((battery/range_nm)*D144*IF(ABS(MOD(ABS((L144*M144*revleg_full)),1)-0.5)&lt;1E-9,2*ROUND((L144*M144*revleg_full)/2,0),ROUND((L144*M144*revleg_full),0))*VLOOKUP(B144,country_opex,3,FALSE))+W144+X144+Y144+Z144+AA144)))</f>
        <v/>
      </c>
      <c r="AY144" s="46" t="n"/>
      <c r="AZ144" s="46" t="n"/>
      <c r="BA144" s="34" t="inlineStr">
        <is>
          <t>rn-a5ac4f587aee</t>
        </is>
      </c>
    </row>
    <row r="145">
      <c r="A145" s="31" t="inlineStr">
        <is>
          <t>Yango Uae</t>
        </is>
      </c>
      <c r="B145" s="31" t="inlineStr">
        <is>
          <t>United Arab Emirates</t>
        </is>
      </c>
      <c r="C145" s="32" t="inlineStr">
        <is>
          <t>Dubai Harbour Marina → Marina Mall / Breakwater Marina</t>
        </is>
      </c>
      <c r="D145" s="33" t="n">
        <v>59.8</v>
      </c>
      <c r="E145" s="27" t="n">
        <v>110</v>
      </c>
      <c r="F145" s="34" t="inlineStr">
        <is>
          <t>T5</t>
        </is>
      </c>
      <c r="G145" s="34" t="inlineStr">
        <is>
          <t>low</t>
        </is>
      </c>
      <c r="H145" s="20" t="n">
        <v>1</v>
      </c>
      <c r="I145" s="35">
        <f>60*D145/cruise_kt</f>
        <v/>
      </c>
      <c r="J145" s="35">
        <f>IF(B145="South Korea",D145/korea_charge_range_nm*korea_full_range_charge_min,0)</f>
        <v/>
      </c>
      <c r="K145" s="35">
        <f>IF(B145="South Korea",I145+korea_turn_min+korea_dwell_min+J145,I145+turn_min+dwell_min)</f>
        <v/>
      </c>
      <c r="L145" s="36">
        <f>IF(B145="South Korea",FLOOR(60*korea_service_hr/K145,1),MIN(24,FLOOR(60*service_hr/K145,1)))</f>
        <v/>
      </c>
      <c r="M145" s="36">
        <f>IF(ABS(MOD(ABS((365*mech_uptime*H145)),1)-0.5)&lt;1E-9,2*ROUND((365*mech_uptime*H145)/2,0),ROUND((365*mech_uptime*H145),0))</f>
        <v/>
      </c>
      <c r="N145" s="37">
        <f>mech_uptime</f>
        <v/>
      </c>
      <c r="O145" s="37">
        <f>IF(AND(B145="South Korea",scenario="MID"),korea_mid_revleg,revleg_sel)</f>
        <v/>
      </c>
      <c r="P145" s="36">
        <f>IF(ABS(MOD(ABS((L145*M145*O145)),1)-0.5)&lt;1E-9,2*ROUND((L145*M145*O145)/2,0),ROUND((L145*M145*O145),0))</f>
        <v/>
      </c>
      <c r="Q145" s="37">
        <f>IF(AND(B145="South Korea",scenario="MID"),korea_mid_load,load_sel)</f>
        <v/>
      </c>
      <c r="R145" s="38">
        <f>pax_cap*Q145</f>
        <v/>
      </c>
      <c r="S145" s="36">
        <f>R145*P145</f>
        <v/>
      </c>
      <c r="T145" s="39">
        <f>E145*discount</f>
        <v/>
      </c>
      <c r="U145" s="40">
        <f>T145*S145</f>
        <v/>
      </c>
      <c r="V145" s="40">
        <f>(battery/range_nm)*D145*P145*VLOOKUP(B145,country_opex,3,FALSE)</f>
        <v/>
      </c>
      <c r="W145" s="40">
        <f>VLOOKUP(B145,country_opex,2,FALSE)*crew_factor</f>
        <v/>
      </c>
      <c r="X145" s="40">
        <f>VLOOKUP(B145,country_opex,5,FALSE)</f>
        <v/>
      </c>
      <c r="Y145" s="40">
        <f>maint</f>
        <v/>
      </c>
      <c r="Z145" s="40">
        <f>VLOOKUP(B145,country_opex,7,FALSE)*ins_pct</f>
        <v/>
      </c>
      <c r="AA145" s="40">
        <f>charge_berth</f>
        <v/>
      </c>
      <c r="AB145" s="40">
        <f>V145+W145+X145+Y145+Z145+AA145</f>
        <v/>
      </c>
      <c r="AC145" s="40">
        <f>VLOOKUP(B145,country_opex,7,FALSE)/dep_years</f>
        <v/>
      </c>
      <c r="AD145" s="40">
        <f>U145-AB145</f>
        <v/>
      </c>
      <c r="AE145" s="37">
        <f>IF(U145=0,"",AD145/U145)</f>
        <v/>
      </c>
      <c r="AF145" s="38">
        <f>IF(AD145&lt;=0,"",VLOOKUP(B145,country_opex,7,FALSE)/AD145)</f>
        <v/>
      </c>
      <c r="AG145" s="35">
        <f>((D145*P145/diesel_nmpg)*diesel_co2pg-(battery/range_nm)*D145*P145*VLOOKUP(B145,country_opex,4,FALSE))/1000</f>
        <v/>
      </c>
      <c r="AH145" s="33" t="n">
        <v>25000</v>
      </c>
      <c r="AI145" s="34" t="inlineStr">
        <is>
          <t>T2</t>
        </is>
      </c>
      <c r="AJ145" s="34" t="inlineStr">
        <is>
          <t>low</t>
        </is>
      </c>
      <c r="AK145" s="41" t="n">
        <v>0.1</v>
      </c>
      <c r="AL145" s="36">
        <f>IF(AH145="","",AH145*AK145)</f>
        <v/>
      </c>
      <c r="AM145" s="36">
        <f>IF(OR(AH145="",S145=0),"",MIN(IF(AU145="",9.9E+99,AU145),FLOOR(AL145/S145,1)))</f>
        <v/>
      </c>
      <c r="AN145" s="40">
        <f>IF(AM145="","",AM145*IF(ABS(MOD(ABS((U145)),1)-0.5)&lt;1E-9,2*ROUND((U145)/2,0),ROUND((U145),0)))</f>
        <v/>
      </c>
      <c r="AO145" s="38">
        <f>IF(OR(AH145="",S145=0),"",MIN(IF(AU145="",9.9E+99,AU145),AL145/S145))</f>
        <v/>
      </c>
      <c r="AP145" s="40">
        <f>IF(AO145="","",AO145*IF(B145="South Korea",IF(ABS(MOD(ABS((U145)),1)-0.5)&lt;1E-9,2*ROUND((U145)/2,0),ROUND((U145),0)),U145))</f>
        <v/>
      </c>
      <c r="AQ145" s="42" t="n"/>
      <c r="AR145" s="34" t="inlineStr">
        <is>
          <t>Grounded</t>
        </is>
      </c>
      <c r="AS145" s="43" t="n"/>
      <c r="AT145" s="43" t="n"/>
      <c r="AU145" s="44" t="n"/>
      <c r="AV145" s="45">
        <f>IF(((T145*pax_cap*load_thin*IF(ABS(MOD(ABS((L145*M145*revleg_thin)),1)-0.5)&lt;1E-9,2*ROUND((L145*M145*revleg_thin)/2,0),ROUND((L145*M145*revleg_thin),0)))-(((battery/range_nm)*D145*IF(ABS(MOD(ABS((L145*M145*revleg_thin)),1)-0.5)&lt;1E-9,2*ROUND((L145*M145*revleg_thin)/2,0),ROUND((L145*M145*revleg_thin),0))*VLOOKUP(B145,country_opex,3,FALSE))+W145+X145+Y145+Z145+AA145))&lt;=0,"",VLOOKUP(B145,country_opex,7,FALSE)/((T145*pax_cap*load_thin*IF(ABS(MOD(ABS((L145*M145*revleg_thin)),1)-0.5)&lt;1E-9,2*ROUND((L145*M145*revleg_thin)/2,0),ROUND((L145*M145*revleg_thin),0)))-(((battery/range_nm)*D145*IF(ABS(MOD(ABS((L145*M145*revleg_thin)),1)-0.5)&lt;1E-9,2*ROUND((L145*M145*revleg_thin)/2,0),ROUND((L145*M145*revleg_thin),0))*VLOOKUP(B145,country_opex,3,FALSE))+W145+X145+Y145+Z145+AA145)))</f>
        <v/>
      </c>
      <c r="AW145" s="45">
        <f>IF(((T145*pax_cap*IF(B145="South Korea",korea_mid_load,load_mid)*IF(ABS(MOD(ABS((L145*M145*IF(B145="South Korea",korea_mid_revleg,revleg_mid))),1)-0.5)&lt;1E-9,2*ROUND((L145*M145*IF(B145="South Korea",korea_mid_revleg,revleg_mid))/2,0),ROUND((L145*M145*IF(B145="South Korea",korea_mid_revleg,revleg_mid)),0)))-(((battery/range_nm)*D145*IF(ABS(MOD(ABS((L145*M145*IF(B145="South Korea",korea_mid_revleg,revleg_mid))),1)-0.5)&lt;1E-9,2*ROUND((L145*M145*IF(B145="South Korea",korea_mid_revleg,revleg_mid))/2,0),ROUND((L145*M145*IF(B145="South Korea",korea_mid_revleg,revleg_mid)),0))*VLOOKUP(B145,country_opex,3,FALSE))+W145+X145+Y145+Z145+AA145))&lt;=0,"",VLOOKUP(B145,country_opex,7,FALSE)/((T145*pax_cap*IF(B145="South Korea",korea_mid_load,load_mid)*IF(ABS(MOD(ABS((L145*M145*IF(B145="South Korea",korea_mid_revleg,revleg_mid))),1)-0.5)&lt;1E-9,2*ROUND((L145*M145*IF(B145="South Korea",korea_mid_revleg,revleg_mid))/2,0),ROUND((L145*M145*IF(B145="South Korea",korea_mid_revleg,revleg_mid)),0)))-(((battery/range_nm)*D145*IF(ABS(MOD(ABS((L145*M145*IF(B145="South Korea",korea_mid_revleg,revleg_mid))),1)-0.5)&lt;1E-9,2*ROUND((L145*M145*IF(B145="South Korea",korea_mid_revleg,revleg_mid))/2,0),ROUND((L145*M145*IF(B145="South Korea",korea_mid_revleg,revleg_mid)),0))*VLOOKUP(B145,country_opex,3,FALSE))+W145+X145+Y145+Z145+AA145)))</f>
        <v/>
      </c>
      <c r="AX145" s="45">
        <f>IF(((T145*pax_cap*load_full*IF(ABS(MOD(ABS((L145*M145*revleg_full)),1)-0.5)&lt;1E-9,2*ROUND((L145*M145*revleg_full)/2,0),ROUND((L145*M145*revleg_full),0)))-(((battery/range_nm)*D145*IF(ABS(MOD(ABS((L145*M145*revleg_full)),1)-0.5)&lt;1E-9,2*ROUND((L145*M145*revleg_full)/2,0),ROUND((L145*M145*revleg_full),0))*VLOOKUP(B145,country_opex,3,FALSE))+W145+X145+Y145+Z145+AA145))&lt;=0,"",VLOOKUP(B145,country_opex,7,FALSE)/((T145*pax_cap*load_full*IF(ABS(MOD(ABS((L145*M145*revleg_full)),1)-0.5)&lt;1E-9,2*ROUND((L145*M145*revleg_full)/2,0),ROUND((L145*M145*revleg_full),0)))-(((battery/range_nm)*D145*IF(ABS(MOD(ABS((L145*M145*revleg_full)),1)-0.5)&lt;1E-9,2*ROUND((L145*M145*revleg_full)/2,0),ROUND((L145*M145*revleg_full),0))*VLOOKUP(B145,country_opex,3,FALSE))+W145+X145+Y145+Z145+AA145)))</f>
        <v/>
      </c>
      <c r="AY145" s="46" t="inlineStr">
        <is>
          <t>No Dubai&lt;-&gt;AD ferry. Whole-yacht charter AED 4,500/hr (8-pax ~$95-150/seat); limo AED 250-350. T5/low - opportunity-to-create.</t>
        </is>
      </c>
      <c r="AZ145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45" s="34" t="inlineStr">
        <is>
          <t>gcn-4ae479b872-bolt</t>
        </is>
      </c>
    </row>
    <row r="146">
      <c r="A146" s="47" t="inlineStr">
        <is>
          <t>TOTAL / median</t>
        </is>
      </c>
      <c r="U146" s="48">
        <f>SUM(U4:U145)</f>
        <v/>
      </c>
      <c r="AD146" s="48">
        <f>SUM(AD4:AD145)</f>
        <v/>
      </c>
      <c r="AE146" s="49">
        <f>IF(U146=0,"",AD146/U146)</f>
        <v/>
      </c>
      <c r="AM146" s="50">
        <f>SUM(AM4:AM145)</f>
        <v/>
      </c>
      <c r="AN146" s="48">
        <f>SUM(AN4:AN145)</f>
        <v/>
      </c>
    </row>
    <row r="148">
      <c r="A148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49">
      <c r="A149" s="25" t="inlineStr">
        <is>
          <t>Market</t>
        </is>
      </c>
      <c r="B149" s="25" t="inlineStr">
        <is>
          <t>Fleet basis</t>
        </is>
      </c>
      <c r="C149" s="25" t="inlineStr">
        <is>
          <t>Raw vessels (sum)</t>
        </is>
      </c>
      <c r="D149" s="25" t="inlineStr">
        <is>
          <t>Fleet (rounded once)</t>
        </is>
      </c>
      <c r="E149" s="25" t="inlineStr">
        <is>
          <t>Market rev/yr (raw sum)</t>
        </is>
      </c>
    </row>
    <row r="150">
      <c r="A150" s="26" t="inlineStr">
        <is>
          <t>Yango Caspian Az</t>
        </is>
      </c>
      <c r="B150" s="14" t="inlineStr">
        <is>
          <t>aspirational</t>
        </is>
      </c>
      <c r="C150" s="14" t="inlineStr">
        <is>
          <t>—</t>
        </is>
      </c>
      <c r="D150" s="51">
        <f>SUMIFS(AM4:AM145,A4:A145,"Yango Caspian Az",AQ4:AQ145,"=",AR4:AR145,"Grounded")</f>
        <v/>
      </c>
      <c r="E150" s="52">
        <f>SUMIFS(AN4:AN145,A4:A145,"Yango Caspian Az",AQ4:AQ145,"=",AR4:AR145,"Grounded")</f>
        <v/>
      </c>
    </row>
    <row r="151">
      <c r="A151" s="26" t="inlineStr">
        <is>
          <t>Yango Cameroon</t>
        </is>
      </c>
      <c r="B151" s="14" t="inlineStr">
        <is>
          <t>aspirational</t>
        </is>
      </c>
      <c r="C151" s="14" t="inlineStr">
        <is>
          <t>—</t>
        </is>
      </c>
      <c r="D151" s="51">
        <f>SUMIFS(AM4:AM145,A4:A145,"Yango Cameroon",AQ4:AQ145,"=",AR4:AR145,"Grounded")</f>
        <v/>
      </c>
      <c r="E151" s="52">
        <f>SUMIFS(AN4:AN145,A4:A145,"Yango Cameroon",AQ4:AQ145,"=",AR4:AR145,"Grounded")</f>
        <v/>
      </c>
    </row>
    <row r="152">
      <c r="A152" s="26" t="inlineStr">
        <is>
          <t>Yango Colombia</t>
        </is>
      </c>
      <c r="B152" s="14" t="inlineStr">
        <is>
          <t>aspirational</t>
        </is>
      </c>
      <c r="C152" s="14" t="inlineStr">
        <is>
          <t>—</t>
        </is>
      </c>
      <c r="D152" s="51">
        <f>SUMIFS(AM4:AM145,A4:A145,"Yango Colombia",AQ4:AQ145,"=",AR4:AR145,"Grounded")</f>
        <v/>
      </c>
      <c r="E152" s="52">
        <f>SUMIFS(AN4:AN145,A4:A145,"Yango Colombia",AQ4:AQ145,"=",AR4:AR145,"Grounded")</f>
        <v/>
      </c>
    </row>
    <row r="153">
      <c r="A153" s="26" t="inlineStr">
        <is>
          <t>Yango Congo Brazzaville</t>
        </is>
      </c>
      <c r="B153" s="14" t="inlineStr">
        <is>
          <t>aspirational</t>
        </is>
      </c>
      <c r="C153" s="14" t="inlineStr">
        <is>
          <t>—</t>
        </is>
      </c>
      <c r="D153" s="51">
        <f>SUMIFS(AM4:AM145,A4:A145,"Yango Congo Brazzaville",AQ4:AQ145,"=",AR4:AR145,"Grounded")</f>
        <v/>
      </c>
      <c r="E153" s="52">
        <f>SUMIFS(AN4:AN145,A4:A145,"Yango Congo Brazzaville",AQ4:AQ145,"=",AR4:AR145,"Grounded")</f>
        <v/>
      </c>
    </row>
    <row r="154">
      <c r="A154" s="26" t="inlineStr">
        <is>
          <t>Yango Cote Divoire</t>
        </is>
      </c>
      <c r="B154" s="14" t="inlineStr">
        <is>
          <t>aspirational</t>
        </is>
      </c>
      <c r="C154" s="14" t="inlineStr">
        <is>
          <t>—</t>
        </is>
      </c>
      <c r="D154" s="51">
        <f>SUMIFS(AM4:AM145,A4:A145,"Yango Cote Divoire",AQ4:AQ145,"=",AR4:AR145,"Grounded")</f>
        <v/>
      </c>
      <c r="E154" s="52">
        <f>SUMIFS(AN4:AN145,A4:A145,"Yango Cote Divoire",AQ4:AQ145,"=",AR4:AR145,"Grounded")</f>
        <v/>
      </c>
    </row>
    <row r="155">
      <c r="A155" s="26" t="inlineStr">
        <is>
          <t>Yango Egypt</t>
        </is>
      </c>
      <c r="B155" s="14" t="inlineStr">
        <is>
          <t>grounded</t>
        </is>
      </c>
      <c r="C155" s="14" t="inlineStr">
        <is>
          <t>—</t>
        </is>
      </c>
      <c r="D155" s="51">
        <f>SUMIFS(AM4:AM145,A4:A145,"Yango Egypt",AQ4:AQ145,"=",AR4:AR145,"Grounded")</f>
        <v/>
      </c>
      <c r="E155" s="52">
        <f>SUMIFS(AN4:AN145,A4:A145,"Yango Egypt",AQ4:AQ145,"=",AR4:AR145,"Grounded")</f>
        <v/>
      </c>
    </row>
    <row r="156">
      <c r="A156" s="26" t="inlineStr">
        <is>
          <t>Yango Caspian Kz</t>
        </is>
      </c>
      <c r="B156" s="14" t="inlineStr">
        <is>
          <t>aspirational</t>
        </is>
      </c>
      <c r="C156" s="14" t="inlineStr">
        <is>
          <t>—</t>
        </is>
      </c>
      <c r="D156" s="51">
        <f>SUMIFS(AM4:AM145,A4:A145,"Yango Caspian Kz",AQ4:AQ145,"=",AR4:AR145,"Grounded")</f>
        <v/>
      </c>
      <c r="E156" s="52">
        <f>SUMIFS(AN4:AN145,A4:A145,"Yango Caspian Kz",AQ4:AQ145,"=",AR4:AR145,"Grounded")</f>
        <v/>
      </c>
    </row>
    <row r="157">
      <c r="A157" s="26" t="inlineStr">
        <is>
          <t>Yango Morocco</t>
        </is>
      </c>
      <c r="B157" s="14" t="inlineStr">
        <is>
          <t>aspirational</t>
        </is>
      </c>
      <c r="C157" s="14" t="inlineStr">
        <is>
          <t>—</t>
        </is>
      </c>
      <c r="D157" s="51">
        <f>SUMIFS(AM4:AM145,A4:A145,"Yango Morocco",AQ4:AQ145,"=",AR4:AR145,"Grounded")</f>
        <v/>
      </c>
      <c r="E157" s="52">
        <f>SUMIFS(AN4:AN145,A4:A145,"Yango Morocco",AQ4:AQ145,"=",AR4:AR145,"Grounded")</f>
        <v/>
      </c>
    </row>
    <row r="158">
      <c r="A158" s="26" t="inlineStr">
        <is>
          <t>Yango Mozambique</t>
        </is>
      </c>
      <c r="B158" s="14" t="inlineStr">
        <is>
          <t>aspirational</t>
        </is>
      </c>
      <c r="C158" s="14" t="inlineStr">
        <is>
          <t>—</t>
        </is>
      </c>
      <c r="D158" s="51">
        <f>SUMIFS(AM4:AM145,A4:A145,"Yango Mozambique",AQ4:AQ145,"=",AR4:AR145,"Grounded")</f>
        <v/>
      </c>
      <c r="E158" s="52">
        <f>SUMIFS(AN4:AN145,A4:A145,"Yango Mozambique",AQ4:AQ145,"=",AR4:AR145,"Grounded")</f>
        <v/>
      </c>
    </row>
    <row r="159">
      <c r="A159" s="26" t="inlineStr">
        <is>
          <t>Yango Namibia</t>
        </is>
      </c>
      <c r="B159" s="14" t="inlineStr">
        <is>
          <t>aspirational</t>
        </is>
      </c>
      <c r="C159" s="14" t="inlineStr">
        <is>
          <t>—</t>
        </is>
      </c>
      <c r="D159" s="51">
        <f>SUMIFS(AM4:AM145,A4:A145,"Yango Namibia",AQ4:AQ145,"=",AR4:AR145,"Grounded")</f>
        <v/>
      </c>
      <c r="E159" s="52">
        <f>SUMIFS(AN4:AN145,A4:A145,"Yango Namibia",AQ4:AQ145,"=",AR4:AR145,"Grounded")</f>
        <v/>
      </c>
    </row>
    <row r="160">
      <c r="A160" s="26" t="inlineStr">
        <is>
          <t>Yango Pakistan</t>
        </is>
      </c>
      <c r="B160" s="14" t="inlineStr">
        <is>
          <t>aspirational</t>
        </is>
      </c>
      <c r="C160" s="14" t="inlineStr">
        <is>
          <t>—</t>
        </is>
      </c>
      <c r="D160" s="51">
        <f>SUMIFS(AM4:AM145,A4:A145,"Yango Pakistan",AQ4:AQ145,"=",AR4:AR145,"Grounded")</f>
        <v/>
      </c>
      <c r="E160" s="52">
        <f>SUMIFS(AN4:AN145,A4:A145,"Yango Pakistan",AQ4:AQ145,"=",AR4:AR145,"Grounded")</f>
        <v/>
      </c>
    </row>
    <row r="161">
      <c r="A161" s="26" t="inlineStr">
        <is>
          <t>Yango Peru</t>
        </is>
      </c>
      <c r="B161" s="14" t="inlineStr">
        <is>
          <t>aspirational</t>
        </is>
      </c>
      <c r="C161" s="14" t="inlineStr">
        <is>
          <t>—</t>
        </is>
      </c>
      <c r="D161" s="51">
        <f>SUMIFS(AM4:AM145,A4:A145,"Yango Peru",AQ4:AQ145,"=",AR4:AR145,"Grounded")</f>
        <v/>
      </c>
      <c r="E161" s="52">
        <f>SUMIFS(AN4:AN145,A4:A145,"Yango Peru",AQ4:AQ145,"=",AR4:AR145,"Grounded")</f>
        <v/>
      </c>
    </row>
    <row r="162">
      <c r="A162" s="26" t="inlineStr">
        <is>
          <t>Yango Qatar</t>
        </is>
      </c>
      <c r="B162" s="14" t="inlineStr">
        <is>
          <t>grounded</t>
        </is>
      </c>
      <c r="C162" s="14" t="inlineStr">
        <is>
          <t>—</t>
        </is>
      </c>
      <c r="D162" s="51">
        <f>SUMIFS(AM4:AM145,A4:A145,"Yango Qatar",AQ4:AQ145,"=",AR4:AR145,"Grounded")</f>
        <v/>
      </c>
      <c r="E162" s="52">
        <f>SUMIFS(AN4:AN145,A4:A145,"Yango Qatar",AQ4:AQ145,"=",AR4:AR145,"Grounded")</f>
        <v/>
      </c>
    </row>
    <row r="163">
      <c r="A163" s="26" t="inlineStr">
        <is>
          <t>Yango Senegal</t>
        </is>
      </c>
      <c r="B163" s="14" t="inlineStr">
        <is>
          <t>aspirational</t>
        </is>
      </c>
      <c r="C163" s="14" t="inlineStr">
        <is>
          <t>—</t>
        </is>
      </c>
      <c r="D163" s="51">
        <f>SUMIFS(AM4:AM145,A4:A145,"Yango Senegal",AQ4:AQ145,"=",AR4:AR145,"Grounded")</f>
        <v/>
      </c>
      <c r="E163" s="52">
        <f>SUMIFS(AN4:AN145,A4:A145,"Yango Senegal",AQ4:AQ145,"=",AR4:AR145,"Grounded")</f>
        <v/>
      </c>
    </row>
    <row r="164">
      <c r="A164" s="26" t="inlineStr">
        <is>
          <t>Yango Tunisia</t>
        </is>
      </c>
      <c r="B164" s="14" t="inlineStr">
        <is>
          <t>aspirational</t>
        </is>
      </c>
      <c r="C164" s="14" t="inlineStr">
        <is>
          <t>—</t>
        </is>
      </c>
      <c r="D164" s="51">
        <f>SUMIFS(AM4:AM145,A4:A145,"Yango Tunisia",AQ4:AQ145,"=",AR4:AR145,"Grounded")</f>
        <v/>
      </c>
      <c r="E164" s="52">
        <f>SUMIFS(AN4:AN145,A4:A145,"Yango Tunisia",AQ4:AQ145,"=",AR4:AR145,"Grounded")</f>
        <v/>
      </c>
    </row>
    <row r="165">
      <c r="A165" s="26" t="inlineStr">
        <is>
          <t>Yango Uae</t>
        </is>
      </c>
      <c r="B165" s="14" t="inlineStr">
        <is>
          <t>grounded</t>
        </is>
      </c>
      <c r="C165" s="14" t="inlineStr">
        <is>
          <t>—</t>
        </is>
      </c>
      <c r="D165" s="51">
        <f>SUMIFS(AM4:AM145,A4:A145,"Yango Uae",AQ4:AQ145,"=",AR4:AR145,"Grounded")</f>
        <v/>
      </c>
      <c r="E165" s="52">
        <f>SUMIFS(AN4:AN145,A4:A145,"Yango Uae",AQ4:AQ145,"=",AR4:AR145,"Grounded")</f>
        <v/>
      </c>
    </row>
    <row r="166">
      <c r="A166" s="47" t="inlineStr">
        <is>
          <t>GROUNDED FLOOR (PUBLISHED)</t>
        </is>
      </c>
      <c r="D166" s="50">
        <f>SUM(D150:D165)</f>
        <v/>
      </c>
      <c r="E166" s="48">
        <f>SUM(E150:E165)</f>
        <v/>
      </c>
    </row>
    <row r="167">
      <c r="A167" s="21" t="inlineStr">
        <is>
          <t>ESTIMATED DEMAND (country-median cascade; held OUT of grounded floor)</t>
        </is>
      </c>
      <c r="D167" s="53">
        <f>SUMIF(AR4:AR145,"Estimated",AM4:AM145)</f>
        <v/>
      </c>
      <c r="E167" s="54">
        <f>SUMIF(AR4:AR145,"Estimated",AN4:AN145)</f>
        <v/>
      </c>
    </row>
    <row r="168">
      <c r="A168" s="21" t="inlineStr">
        <is>
          <t>ESTIMATED UPSIDE (LB-99 modal-shift / experience-upside tiers; held OUT of grounded floor)</t>
        </is>
      </c>
      <c r="D168" s="53">
        <f>SUMIF(AR4:AR145,"Upside tier",AM4:AM145)</f>
        <v/>
      </c>
      <c r="E168" s="54">
        <f>SUMIF(AR4:AR145,"Upside tier",AN4:AN145)</f>
        <v/>
      </c>
    </row>
    <row r="169">
      <c r="A169" s="21" t="inlineStr">
        <is>
          <t>FORWARD SAM (2030-dated; held OUT of grounded floor)</t>
        </is>
      </c>
      <c r="D169" s="53">
        <f>SUMIF(AR4:AR145,"Forward SAM",AM4:AM145)</f>
        <v/>
      </c>
      <c r="E169" s="54">
        <f>SUMIF(AR4:AR145,"Forward SAM",AN4:AN145)</f>
        <v/>
      </c>
    </row>
    <row r="171">
      <c r="A171" s="55" t="inlineStr">
        <is>
          <t>Held for Quanta-LR (&gt;70nm, roadmap H2 2026+):</t>
        </is>
      </c>
      <c r="C171" s="56" t="inlineStr">
        <is>
          <t>Abu Dhabi → Muscat (360.9nm)</t>
        </is>
      </c>
    </row>
    <row r="172">
      <c r="C172" s="56" t="inlineStr">
        <is>
          <t>Fujairah → Muscat (149.1nm)</t>
        </is>
      </c>
    </row>
    <row r="173">
      <c r="C173" s="56" t="inlineStr">
        <is>
          <t>Marina Mall / Breakwater Marina → Sir Bani Yas Cruise Port (93.1nm)</t>
        </is>
      </c>
    </row>
    <row r="174">
      <c r="C174" s="56" t="inlineStr">
        <is>
          <t>Kuryk (Port of Kuryk) → Baku (Alat — Baku International Sea Port, Azerbaijan) (215nm)</t>
        </is>
      </c>
    </row>
    <row r="175">
      <c r="C175" s="56" t="inlineStr">
        <is>
          <t>Aktau (Aktau Sea Port) → Baku (Alat, Azerbaijan) (230nm)</t>
        </is>
      </c>
    </row>
    <row r="176">
      <c r="C176" s="56" t="inlineStr">
        <is>
          <t>Baku (Alat — Baku International Sea Port) → Turkmenbashi (150nm)</t>
        </is>
      </c>
    </row>
    <row r="177">
      <c r="C177" s="56" t="inlineStr">
        <is>
          <t>Baku (Alat — Baku International Sea Port) → Aktau / Kuryk (Kazakhstan) (250nm)</t>
        </is>
      </c>
    </row>
    <row r="178">
      <c r="C178" s="56" t="inlineStr">
        <is>
          <t>Karachi (Keamari) → Gwadar (255nm)</t>
        </is>
      </c>
    </row>
    <row r="179">
      <c r="C179" s="56" t="inlineStr">
        <is>
          <t>Dakar → Saint-Louis (du Senegal) (90nm)</t>
        </is>
      </c>
    </row>
    <row r="180">
      <c r="C180" s="56" t="inlineStr">
        <is>
          <t>Dakar (Gare maritime / Port) → Ziguinchor (Port de Ziguinchor, Casamance) (200nm)</t>
        </is>
      </c>
    </row>
    <row r="181">
      <c r="C181" s="56" t="inlineStr">
        <is>
          <t>Nador (Beni Ensar) → Almeria (Spain) (92nm)</t>
        </is>
      </c>
    </row>
    <row r="182">
      <c r="C182" s="56" t="inlineStr">
        <is>
          <t>Tunis (La Goulette) → Palermo (Sicily, Italy) (170nm)</t>
        </is>
      </c>
    </row>
    <row r="183">
      <c r="C183" s="56" t="inlineStr">
        <is>
          <t>Doha (Lusail Marina) → Manama (Bahrain Financial Harbour) (94.5nm)</t>
        </is>
      </c>
    </row>
    <row r="184">
      <c r="C184" s="56" t="inlineStr">
        <is>
          <t>Doha (Lusail Marina) → Manama (Bahrain Financial Harbour) (94.5nm)</t>
        </is>
      </c>
    </row>
    <row r="185">
      <c r="C185" s="56" t="inlineStr">
        <is>
          <t>Lima (Costa Verde) → Paracas (El Chaco) (112.0nm)</t>
        </is>
      </c>
    </row>
    <row r="186">
      <c r="C186" s="56" t="inlineStr">
        <is>
          <t>Kribi → Douala (78.0nm)</t>
        </is>
      </c>
    </row>
  </sheetData>
  <mergeCells count="2">
    <mergeCell ref="A148:L148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economics'!$AR$4:$AR$145="Grounded"),'Corridor economics'!$AH$4:$AH$145,'Corridor economics'!$E$4:$E$145),0))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economics'!$AR$4:$AR$145="Grounded"),'Corridor economics'!$AH$4:$AH$145,'Corridor economics'!$E$4:$E$145),0)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2026-07-20T06:56:54Z</dcterms:created>
  <dcterms:modified xsi:type="dcterms:W3CDTF">2026-07-20T06:56:54Z</dcterms:modified>
</cp:coreProperties>
</file>