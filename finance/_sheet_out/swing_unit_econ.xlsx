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Economics holds" sheetId="4" state="visible" r:id="rId4"/>
    <sheet name="Corridor economics" sheetId="5" state="visible" r:id="rId5"/>
    <sheet name="Market sizing" sheetId="6" state="visible" r:id="rId6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korea_mid_load">'Assumptions'!$B$34</definedName>
    <definedName name="korea_mid_revleg">'Assumptions'!$B$35</definedName>
    <definedName name="korea_service_hr">'Assumptions'!$B$36</definedName>
    <definedName name="korea_turn_min">'Assumptions'!$B$37</definedName>
    <definedName name="korea_dwell_min">'Assumptions'!$B$38</definedName>
    <definedName name="korea_charge_range_nm">'Assumptions'!$B$39</definedName>
    <definedName name="korea_full_range_charge_min">'Assumptions'!$B$40</definedName>
    <definedName name="load_thin">'Assumptions'!$B$44</definedName>
    <definedName name="revleg_thin">'Assumptions'!$C$44</definedName>
    <definedName name="load_mid">'Assumptions'!$B$45</definedName>
    <definedName name="revleg_mid">'Assumptions'!$C$45</definedName>
    <definedName name="load_full">'Assumptions'!$B$46</definedName>
    <definedName name="revleg_full">'Assumptions'!$C$46</definedName>
    <definedName name="band_tbl">'Assumptions'!$A$44:$C$46</definedName>
    <definedName name="scenario">'Assumptions'!$B$48</definedName>
    <definedName name="load_sel">'Assumptions'!$B$49</definedName>
    <definedName name="revleg_sel">'Assumptions'!$B$50</definedName>
    <definedName name="country_opex">'Country opex'!$A$4:$G$4</definedName>
    <definedName name="som_floor_fleet">'Corridor economics'!$D$48</definedName>
    <definedName name="som_floor_rev">'Corridor economics'!$E$48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  <font>
      <b val="1"/>
      <i val="1"/>
      <sz val="9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FCE4D6"/>
      </patternFill>
    </fill>
    <fill>
      <patternFill patternType="solid">
        <fgColor rgb="002E5A8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2" borderId="0" pivotButton="0" quotePrefix="0" xfId="0"/>
    <xf numFmtId="0" fontId="4" fillId="7" borderId="0" pivotButton="0" quotePrefix="0" xfId="0"/>
    <xf numFmtId="0" fontId="5" fillId="7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5" borderId="0" pivotButton="0" quotePrefix="0" xfId="0"/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165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Swing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gross legs/day × operating days/yr × revenue-leg utilization × (pax capacity × seat occupancy) × Navier fare</t>
        </is>
      </c>
    </row>
    <row r="10">
      <c r="B10" s="5" t="inlineStr">
        <is>
          <t xml:space="preserve">    gross legs/day = FLOOR(service window min ÷ cycle time); South Korea cycle = one-way + 20 min turnaround + 10 min boarding + charge recovery</t>
        </is>
      </c>
    </row>
    <row r="11">
      <c r="B11" s="5" t="inlineStr">
        <is>
          <t xml:space="preserve">    South Korea charge recovery = distance_nm / 70 × 45 min — PLANNING PROXY requiring engineering validation; not a certified charge curve</t>
        </is>
      </c>
    </row>
    <row r="12">
      <c r="B12" s="5" t="inlineStr">
        <is>
          <t xml:space="preserve">    one-way time   = distance(nm) ÷ cruise speed(kt)</t>
        </is>
      </c>
    </row>
    <row r="13">
      <c r="B13" s="5" t="inlineStr">
        <is>
          <t xml:space="preserve">    operating days = 365 × mechanical uptime × weather factor</t>
        </is>
      </c>
    </row>
    <row r="14">
      <c r="B14" s="5" t="inlineStr">
        <is>
          <t xml:space="preserve">    Navier fare    = comparable premium transfer fare × discount (=1.0, market parity)</t>
        </is>
      </c>
    </row>
    <row r="15">
      <c r="B15" s="4" t="inlineStr">
        <is>
          <t>EBITDA  = REVENUE − OPEX</t>
        </is>
      </c>
    </row>
    <row r="16">
      <c r="B16" s="5" t="inlineStr">
        <is>
          <t xml:space="preserve">    OPEX = energy + crew + berth/port admin + maintenance + vessel insurance + fast-charge berth</t>
        </is>
      </c>
    </row>
    <row r="17">
      <c r="B17" s="4" t="inlineStr">
        <is>
          <t>PAYBACK = vessel CAPEX ÷ EBITDA</t>
        </is>
      </c>
    </row>
    <row r="18">
      <c r="B18" s="2" t="inlineStr"/>
    </row>
    <row r="19">
      <c r="B19" s="3" t="inlineStr">
        <is>
          <t>OPEX lines (per boat, per year — no double-counting)</t>
        </is>
      </c>
    </row>
    <row r="20">
      <c r="B20" s="2" t="inlineStr">
        <is>
          <t>Energy — variable propulsion cost: kWh on revenue sailings × local $/kWh (Country opex tab). Excludes utility demand charges.</t>
        </is>
      </c>
    </row>
    <row r="21">
      <c r="B21" s="2" t="inlineStr">
        <is>
          <t>Crew — fully-loaded captain + relief: local captain wage × crew FTE factor (Country opex + Assumptions).</t>
        </is>
      </c>
    </row>
    <row r="22">
      <c r="B22" s="2" t="inlineStr">
        <is>
          <t>Berth &amp; port admin — fixed annual berth, port fees, and local marine admin (Country opex tab). Excludes vessel H&amp;M+P&amp;I and fast-charge infrastructure.</t>
        </is>
      </c>
    </row>
    <row r="23">
      <c r="B23" s="2" t="inlineStr">
        <is>
          <t>Maintenance — vessel annual maintenance reserve (Assumptions tab).</t>
        </is>
      </c>
    </row>
    <row r="24">
      <c r="B24" s="2" t="inlineStr">
        <is>
          <t>Vessel insurance — commercial H&amp;M + P&amp;I as % of regional CAPEX (Assumptions % × Country opex CAPEX column).</t>
        </is>
      </c>
    </row>
    <row r="25">
      <c r="B25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6">
      <c r="B26" s="2" t="inlineStr"/>
    </row>
    <row r="27">
      <c r="B27" s="3" t="inlineStr">
        <is>
          <t>From demand pool to fleet &amp; market size</t>
        </is>
      </c>
    </row>
    <row r="28">
      <c r="B2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9">
      <c r="B29" s="2" t="inlineStr">
        <is>
          <t>Vessels supported = FLOOR(Navier rides/yr ÷ pax/yr per boat);  Market rev = vessels × rev/boat. The 'Market sizing' tab rolls these up into the SOM → SAM → TAM ladder.</t>
        </is>
      </c>
    </row>
    <row r="30">
      <c r="B30" s="2" t="inlineStr"/>
    </row>
    <row r="31">
      <c r="B31" s="3" t="inlineStr">
        <is>
          <t>The scenario toggle (what we flex)</t>
        </is>
      </c>
    </row>
    <row r="32">
      <c r="B32" s="2" t="inlineStr">
        <is>
          <t>'Corridor economics' has a SCENARIO cell = THIN / MID / FULL. It flexes seat occupancy and revenue-leg utilization as separate inputs. South Korea MID uses 65% for each, with gross legs/day schedule-derived and uncapped; thin/full occupancy bookends remain 45%/70%. Other countries retain their existing caps and bands. Payback THIN/MID/FULL columns always show all three at once.</t>
        </is>
      </c>
    </row>
    <row r="33">
      <c r="B33" s="2" t="inlineStr"/>
    </row>
    <row r="34">
      <c r="B34" s="3" t="inlineStr">
        <is>
          <t>Colour &amp; provenance legend</t>
        </is>
      </c>
    </row>
    <row r="35">
      <c r="B35" s="6" t="inlineStr">
        <is>
          <t xml:space="preserve">   Yellow = INPUTS you can change (fare, distance, demand, weather).</t>
        </is>
      </c>
    </row>
    <row r="36">
      <c r="B36" s="7" t="inlineStr">
        <is>
          <t xml:space="preserve">   Green  = COMPUTED by formula.</t>
        </is>
      </c>
    </row>
    <row r="37">
      <c r="B3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  <row r="38">
      <c r="B38" s="8" t="inlineStr">
        <is>
          <t xml:space="preserve">   Economics holds: 0 corridor(s) are explicitly excluded; see the Economics holds tab. Missing country costs never borrow Singapore or another market.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9" t="inlineStr">
        <is>
          <t>Assumptions — single source of truth (the engine references these named cells)</t>
        </is>
      </c>
    </row>
    <row r="3">
      <c r="A3" s="10" t="inlineStr">
        <is>
          <t>Vessel — N30 Pioneer II  (L1 global, commercial now)</t>
        </is>
      </c>
    </row>
    <row r="4">
      <c r="A4" s="11" t="inlineStr">
        <is>
          <t>Parameter</t>
        </is>
      </c>
      <c r="B4" s="11" t="inlineStr">
        <is>
          <t>Value</t>
        </is>
      </c>
      <c r="C4" s="11" t="inlineStr">
        <is>
          <t>Unit</t>
        </is>
      </c>
      <c r="D4" s="11" t="inlineStr">
        <is>
          <t>Tier</t>
        </is>
      </c>
      <c r="E4" s="11" t="inlineStr">
        <is>
          <t>Conf.</t>
        </is>
      </c>
      <c r="F4" s="11" t="inlineStr">
        <is>
          <t>Source / note</t>
        </is>
      </c>
    </row>
    <row r="5">
      <c r="A5" s="12" t="inlineStr">
        <is>
          <t>Passenger capacity</t>
        </is>
      </c>
      <c r="B5" s="13" t="n">
        <v>8</v>
      </c>
      <c r="C5" s="14" t="inlineStr">
        <is>
          <t>pax</t>
        </is>
      </c>
      <c r="D5" s="14" t="inlineStr">
        <is>
          <t>T1</t>
        </is>
      </c>
      <c r="E5" s="14" t="inlineStr">
        <is>
          <t>high</t>
        </is>
      </c>
      <c r="F5" s="15" t="inlineStr">
        <is>
          <t>Navier model: up to 8 pax where local rules allow (Jaideep set base case to 8, 2026-06-06)</t>
        </is>
      </c>
    </row>
    <row r="6">
      <c r="A6" s="12" t="inlineStr">
        <is>
          <t>Range</t>
        </is>
      </c>
      <c r="B6" s="13" t="n">
        <v>70</v>
      </c>
      <c r="C6" s="14" t="inlineStr">
        <is>
          <t>nm</t>
        </is>
      </c>
      <c r="D6" s="14" t="inlineStr">
        <is>
          <t>T1</t>
        </is>
      </c>
      <c r="E6" s="14" t="inlineStr">
        <is>
          <t>high</t>
        </is>
      </c>
      <c r="F6" s="15" t="inlineStr">
        <is>
          <t>Navier locked spec (KB)</t>
        </is>
      </c>
    </row>
    <row r="7">
      <c r="A7" s="12" t="inlineStr">
        <is>
          <t>Cruise speed</t>
        </is>
      </c>
      <c r="B7" s="13" t="n">
        <v>20</v>
      </c>
      <c r="C7" s="14" t="inlineStr">
        <is>
          <t>kt</t>
        </is>
      </c>
      <c r="D7" s="14" t="inlineStr">
        <is>
          <t>T1</t>
        </is>
      </c>
      <c r="E7" s="14" t="inlineStr">
        <is>
          <t>high</t>
        </is>
      </c>
      <c r="F7" s="15" t="inlineStr">
        <is>
          <t>Navier locked spec (cruise)</t>
        </is>
      </c>
    </row>
    <row r="8">
      <c r="A8" s="12" t="inlineStr">
        <is>
          <t>CAPEX (per vessel; US/EU base — ROW=$600K, see Country opex tab col G)</t>
        </is>
      </c>
      <c r="B8" s="16" t="n">
        <v>900000</v>
      </c>
      <c r="C8" s="14" t="inlineStr">
        <is>
          <t>USD</t>
        </is>
      </c>
      <c r="D8" s="14" t="inlineStr">
        <is>
          <t>T1</t>
        </is>
      </c>
      <c r="E8" s="14" t="inlineStr">
        <is>
          <t>high</t>
        </is>
      </c>
      <c r="F8" s="15" t="inlineStr">
        <is>
          <t>Navier price (LYFT ref model, ex tax/fees)</t>
        </is>
      </c>
    </row>
    <row r="9">
      <c r="A9" s="12" t="inlineStr">
        <is>
          <t>Battery</t>
        </is>
      </c>
      <c r="B9" s="13" t="n">
        <v>114</v>
      </c>
      <c r="C9" s="14" t="inlineStr">
        <is>
          <t>kWh</t>
        </is>
      </c>
      <c r="D9" s="14" t="inlineStr">
        <is>
          <t>T1</t>
        </is>
      </c>
      <c r="E9" s="14" t="inlineStr">
        <is>
          <t>high</t>
        </is>
      </c>
      <c r="F9" s="15" t="inlineStr">
        <is>
          <t>Navier data (LYFT ref model)</t>
        </is>
      </c>
    </row>
    <row r="10">
      <c r="A10" s="12" t="inlineStr">
        <is>
          <t>Annual maintenance</t>
        </is>
      </c>
      <c r="B10" s="16" t="n">
        <v>10000</v>
      </c>
      <c r="C10" s="14" t="inlineStr">
        <is>
          <t>USD/yr</t>
        </is>
      </c>
      <c r="D10" s="14" t="inlineStr">
        <is>
          <t>T1</t>
        </is>
      </c>
      <c r="E10" s="14" t="inlineStr">
        <is>
          <t>med</t>
        </is>
      </c>
      <c r="F10" s="15" t="inlineStr">
        <is>
          <t>Navier data (LYFT ref model)</t>
        </is>
      </c>
    </row>
    <row r="11">
      <c r="A11" s="12" t="inlineStr">
        <is>
          <t>Depreciation life</t>
        </is>
      </c>
      <c r="B11" s="13" t="n">
        <v>20</v>
      </c>
      <c r="C11" s="14" t="inlineStr">
        <is>
          <t>yr</t>
        </is>
      </c>
      <c r="D11" s="14" t="inlineStr">
        <is>
          <t>T2</t>
        </is>
      </c>
      <c r="E11" s="14" t="inlineStr">
        <is>
          <t>med</t>
        </is>
      </c>
      <c r="F11" s="15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2" t="inlineStr">
        <is>
          <t>Diesel comparable economy</t>
        </is>
      </c>
      <c r="B12" s="17" t="n">
        <v>1.5</v>
      </c>
      <c r="C12" s="14" t="inlineStr">
        <is>
          <t>nm/gal</t>
        </is>
      </c>
      <c r="D12" s="14" t="inlineStr">
        <is>
          <t>T3</t>
        </is>
      </c>
      <c r="E12" s="14" t="inlineStr">
        <is>
          <t>med</t>
        </is>
      </c>
      <c r="F12" s="15" t="inlineStr">
        <is>
          <t>Navier + open web (LYFT ref model)</t>
        </is>
      </c>
    </row>
    <row r="14">
      <c r="A14" s="10" t="inlineStr">
        <is>
          <t>Operating defaults  (L1 global; overridable per market)</t>
        </is>
      </c>
    </row>
    <row r="15">
      <c r="A15" s="11" t="inlineStr">
        <is>
          <t>Parameter</t>
        </is>
      </c>
      <c r="B15" s="11" t="inlineStr">
        <is>
          <t>Value</t>
        </is>
      </c>
      <c r="C15" s="11" t="inlineStr">
        <is>
          <t>Unit</t>
        </is>
      </c>
      <c r="D15" s="11" t="inlineStr">
        <is>
          <t>Tier</t>
        </is>
      </c>
      <c r="E15" s="11" t="inlineStr">
        <is>
          <t>Conf.</t>
        </is>
      </c>
      <c r="F15" s="11" t="inlineStr">
        <is>
          <t>Source / note</t>
        </is>
      </c>
    </row>
    <row r="16">
      <c r="A16" s="12" t="inlineStr">
        <is>
          <t>Service window</t>
        </is>
      </c>
      <c r="B16" s="13" t="n">
        <v>12</v>
      </c>
      <c r="C16" s="14" t="inlineStr">
        <is>
          <t>hr/day</t>
        </is>
      </c>
      <c r="D16" s="14" t="inlineStr">
        <is>
          <t>T5</t>
        </is>
      </c>
      <c r="E16" s="14" t="inlineStr">
        <is>
          <t>low</t>
        </is>
      </c>
      <c r="F16" s="15" t="inlineStr">
        <is>
          <t>Modeled single-asset commercial service window (one extended crew day, water-taxi norm). Conservative vs 24h.</t>
        </is>
      </c>
    </row>
    <row r="17">
      <c r="A17" s="12" t="inlineStr">
        <is>
          <t>Turnaround / charge per leg</t>
        </is>
      </c>
      <c r="B17" s="13" t="n">
        <v>20</v>
      </c>
      <c r="C17" s="14" t="inlineStr">
        <is>
          <t>min</t>
        </is>
      </c>
      <c r="D17" s="14" t="inlineStr">
        <is>
          <t>T1</t>
        </is>
      </c>
      <c r="E17" s="14" t="inlineStr">
        <is>
          <t>med</t>
        </is>
      </c>
      <c r="F17" s="15" t="inlineStr">
        <is>
          <t>Navier fast-charge (LYFT ref ~20-30min)</t>
        </is>
      </c>
    </row>
    <row r="18">
      <c r="A18" s="12" t="inlineStr">
        <is>
          <t>Boarding / scheduling dwell per leg</t>
        </is>
      </c>
      <c r="B18" s="13" t="n">
        <v>10</v>
      </c>
      <c r="C18" s="14" t="inlineStr">
        <is>
          <t>min</t>
        </is>
      </c>
      <c r="D18" s="14" t="inlineStr">
        <is>
          <t>T3</t>
        </is>
      </c>
      <c r="E18" s="14" t="inlineStr">
        <is>
          <t>med</t>
        </is>
      </c>
      <c r="F18" s="15" t="inlineStr">
        <is>
          <t>Premium board/deboard + scheduling slack added to each cycle (Jaideep 2026-06-19).</t>
        </is>
      </c>
    </row>
    <row r="19">
      <c r="A19" s="12" t="inlineStr">
        <is>
          <t>Max revenue sailings/day (cap)</t>
        </is>
      </c>
      <c r="B19" s="13" t="n">
        <v>15</v>
      </c>
      <c r="C19" s="14" t="inlineStr">
        <is>
          <t>legs/day</t>
        </is>
      </c>
      <c r="D19" s="14" t="inlineStr">
        <is>
          <t>T3</t>
        </is>
      </c>
      <c r="E19" s="14" t="inlineStr">
        <is>
          <t>med</t>
        </is>
      </c>
      <c r="F19" s="15" t="inlineStr">
        <is>
          <t>Cap on revenue sailings/day — 15 across thin/mid/full scenarios (Jaideep 2026-06-21).</t>
        </is>
      </c>
    </row>
    <row r="20">
      <c r="A20" s="12" t="inlineStr">
        <is>
          <t>Crew FTE factor (x captain wage)</t>
        </is>
      </c>
      <c r="B20" s="17" t="n">
        <v>1.8</v>
      </c>
      <c r="C20" s="14" t="inlineStr">
        <is>
          <t>x</t>
        </is>
      </c>
      <c r="D20" s="14" t="inlineStr">
        <is>
          <t>T3</t>
        </is>
      </c>
      <c r="E20" s="14" t="inlineStr">
        <is>
          <t>med</t>
        </is>
      </c>
      <c r="F20" s="15" t="inlineStr">
        <is>
          <t>A captain can't run 7 days/wk; 1.8 FTE covers relief/leave/second-shift year-round (Jaideep 2026-06-19). Scales off localized captain wage.</t>
        </is>
      </c>
    </row>
    <row r="21">
      <c r="A21" s="12" t="inlineStr">
        <is>
          <t>Mechanical uptime</t>
        </is>
      </c>
      <c r="B21" s="18" t="n">
        <v>0.75</v>
      </c>
      <c r="C21" s="14" t="inlineStr">
        <is>
          <t>frac</t>
        </is>
      </c>
      <c r="D21" s="14" t="inlineStr">
        <is>
          <t>T4</t>
        </is>
      </c>
      <c r="E21" s="14" t="inlineStr">
        <is>
          <t>med</t>
        </is>
      </c>
      <c r="F21" s="15" t="inlineStr">
        <is>
          <t>Blade luxury aviation ~75-80% reliability uptime</t>
        </is>
      </c>
    </row>
    <row r="22">
      <c r="A22" s="12" t="inlineStr">
        <is>
          <t>Navier capture rate</t>
        </is>
      </c>
      <c r="B22" s="18" t="n">
        <v>0.1</v>
      </c>
      <c r="C22" s="14" t="inlineStr">
        <is>
          <t>frac</t>
        </is>
      </c>
      <c r="D22" s="14" t="inlineStr"/>
      <c r="E22" s="14" t="inlineStr">
        <is>
          <t>med</t>
        </is>
      </c>
      <c r="F22" s="15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2" t="inlineStr">
        <is>
          <t>Captive capture rate (A′ corridors)</t>
        </is>
      </c>
      <c r="B23" s="18" t="n">
        <v>0.9</v>
      </c>
      <c r="C23" s="14" t="inlineStr">
        <is>
          <t>frac</t>
        </is>
      </c>
      <c r="D23" s="14" t="inlineStr"/>
      <c r="E23" s="14" t="inlineStr">
        <is>
          <t>med</t>
        </is>
      </c>
      <c r="F23" s="15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2" t="inlineStr">
        <is>
          <t>Discount factor (vs comparable fare)</t>
        </is>
      </c>
      <c r="B24" s="17" t="n">
        <v>1</v>
      </c>
      <c r="C24" s="14" t="inlineStr">
        <is>
          <t>frac</t>
        </is>
      </c>
      <c r="D24" s="14" t="inlineStr">
        <is>
          <t>T1</t>
        </is>
      </c>
      <c r="E24" s="14" t="inlineStr">
        <is>
          <t>high</t>
        </is>
      </c>
      <c r="F24" s="15" t="inlineStr">
        <is>
          <t>Market parity — better product, not cheaper (locked).</t>
        </is>
      </c>
    </row>
    <row r="25">
      <c r="A25" s="12" t="inlineStr">
        <is>
          <t>Diesel CO₂ per gallon</t>
        </is>
      </c>
      <c r="B25" s="17" t="n">
        <v>10.21</v>
      </c>
      <c r="C25" s="14" t="inlineStr">
        <is>
          <t>kg/gal</t>
        </is>
      </c>
      <c r="D25" s="14" t="inlineStr">
        <is>
          <t>T1</t>
        </is>
      </c>
      <c r="E25" s="14" t="inlineStr">
        <is>
          <t>high</t>
        </is>
      </c>
      <c r="F25" s="15" t="inlineStr">
        <is>
          <t>US EPA: 10.21 kg CO2 per gallon marine/diesel</t>
        </is>
      </c>
    </row>
    <row r="27">
      <c r="A27" s="10" t="inlineStr">
        <is>
          <t>OPEX defaults  (global vessel assumptions — country costs use exact-key rows only)</t>
        </is>
      </c>
    </row>
    <row r="28">
      <c r="A28" s="11" t="inlineStr">
        <is>
          <t>Parameter</t>
        </is>
      </c>
      <c r="B28" s="11" t="inlineStr">
        <is>
          <t>Value</t>
        </is>
      </c>
      <c r="C28" s="11" t="inlineStr">
        <is>
          <t>Unit</t>
        </is>
      </c>
      <c r="D28" s="11" t="inlineStr">
        <is>
          <t>Tier</t>
        </is>
      </c>
      <c r="E28" s="11" t="inlineStr">
        <is>
          <t>Conf.</t>
        </is>
      </c>
      <c r="F28" s="11" t="inlineStr">
        <is>
          <t>Source / note</t>
        </is>
      </c>
    </row>
    <row r="29">
      <c r="A29" s="12" t="inlineStr">
        <is>
          <t>Vessel insurance — H&amp;M + P&amp;I (% of CAPEX/yr)</t>
        </is>
      </c>
      <c r="B29" s="18" t="n">
        <v>0.025</v>
      </c>
      <c r="C29" s="14" t="inlineStr">
        <is>
          <t>frac</t>
        </is>
      </c>
      <c r="D29" s="14" t="inlineStr">
        <is>
          <t>T3</t>
        </is>
      </c>
      <c r="E29" s="14" t="inlineStr">
        <is>
          <t>med</t>
        </is>
      </c>
      <c r="F29" s="15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2" t="inlineStr">
        <is>
          <t>Fast-charge berth &amp; demand charges (global default)</t>
        </is>
      </c>
      <c r="B30" s="16" t="n">
        <v>18000</v>
      </c>
      <c r="C30" s="14" t="inlineStr">
        <is>
          <t>USD/yr</t>
        </is>
      </c>
      <c r="D30" s="14" t="inlineStr">
        <is>
          <t>T3</t>
        </is>
      </c>
      <c r="E30" s="14" t="inlineStr">
        <is>
          <t>med</t>
        </is>
      </c>
      <c r="F30" s="15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10" t="inlineStr">
        <is>
          <t>South Korea schedule / capacity override  (country == 'South Korea' only)</t>
        </is>
      </c>
    </row>
    <row r="33">
      <c r="A33" s="11" t="inlineStr">
        <is>
          <t>Parameter</t>
        </is>
      </c>
      <c r="B33" s="11" t="inlineStr">
        <is>
          <t>Value</t>
        </is>
      </c>
      <c r="C33" s="11" t="inlineStr">
        <is>
          <t>Unit</t>
        </is>
      </c>
      <c r="D33" s="11" t="inlineStr">
        <is>
          <t>Tier</t>
        </is>
      </c>
      <c r="E33" s="11" t="inlineStr">
        <is>
          <t>Conf.</t>
        </is>
      </c>
      <c r="F33" s="11" t="inlineStr">
        <is>
          <t>Source / note</t>
        </is>
      </c>
    </row>
    <row r="34">
      <c r="A34" s="12" t="inlineStr">
        <is>
          <t>South Korea MID seat occupancy</t>
        </is>
      </c>
      <c r="B34" s="18" t="n">
        <v>0.65</v>
      </c>
      <c r="C34" s="14" t="inlineStr">
        <is>
          <t>share of seats</t>
        </is>
      </c>
      <c r="D34" s="14" t="inlineStr">
        <is>
          <t>T5</t>
        </is>
      </c>
      <c r="E34" s="14" t="inlineStr">
        <is>
          <t>med</t>
        </is>
      </c>
      <c r="F34" s="15" t="inlineStr">
        <is>
          <t>South Korea economics revision approved 2026-07-11; retained audit scenario.</t>
        </is>
      </c>
    </row>
    <row r="35">
      <c r="A35" s="12" t="inlineStr">
        <is>
          <t>South Korea MID revenue-leg utilization</t>
        </is>
      </c>
      <c r="B35" s="18" t="n">
        <v>0.65</v>
      </c>
      <c r="C35" s="14" t="inlineStr">
        <is>
          <t>share of gross legs</t>
        </is>
      </c>
      <c r="D35" s="14" t="inlineStr">
        <is>
          <t>T5</t>
        </is>
      </c>
      <c r="E35" s="14" t="inlineStr">
        <is>
          <t>med</t>
        </is>
      </c>
      <c r="F35" s="15" t="inlineStr">
        <is>
          <t>South Korea economics revision approved 2026-07-11; retained audit scenario.</t>
        </is>
      </c>
    </row>
    <row r="36">
      <c r="A36" s="12" t="inlineStr">
        <is>
          <t>South Korea service window</t>
        </is>
      </c>
      <c r="B36" s="13" t="n">
        <v>12</v>
      </c>
      <c r="C36" s="14" t="inlineStr">
        <is>
          <t>hr/day</t>
        </is>
      </c>
      <c r="D36" s="14" t="inlineStr">
        <is>
          <t>T5</t>
        </is>
      </c>
      <c r="E36" s="14" t="inlineStr">
        <is>
          <t>med</t>
        </is>
      </c>
      <c r="F36" s="15" t="inlineStr">
        <is>
          <t>Retained South Korea schedule audit, 2026-07-11.</t>
        </is>
      </c>
    </row>
    <row r="37">
      <c r="A37" s="12" t="inlineStr">
        <is>
          <t>South Korea turnaround</t>
        </is>
      </c>
      <c r="B37" s="13" t="n">
        <v>20</v>
      </c>
      <c r="C37" s="14" t="inlineStr">
        <is>
          <t>min/gross leg</t>
        </is>
      </c>
      <c r="D37" s="14" t="inlineStr">
        <is>
          <t>T5</t>
        </is>
      </c>
      <c r="E37" s="14" t="inlineStr">
        <is>
          <t>med</t>
        </is>
      </c>
      <c r="F37" s="15" t="inlineStr">
        <is>
          <t>Retained South Korea schedule audit, 2026-07-11.</t>
        </is>
      </c>
    </row>
    <row r="38">
      <c r="A38" s="12" t="inlineStr">
        <is>
          <t>South Korea boarding dwell</t>
        </is>
      </c>
      <c r="B38" s="13" t="n">
        <v>10</v>
      </c>
      <c r="C38" s="14" t="inlineStr">
        <is>
          <t>min/gross leg</t>
        </is>
      </c>
      <c r="D38" s="14" t="inlineStr">
        <is>
          <t>T3</t>
        </is>
      </c>
      <c r="E38" s="14" t="inlineStr">
        <is>
          <t>med</t>
        </is>
      </c>
      <c r="F38" s="15" t="inlineStr">
        <is>
          <t>Retained existing boarding/scheduling dwell; South Korea schedule audit, 2026-07-11.</t>
        </is>
      </c>
    </row>
    <row r="39">
      <c r="A39" s="12" t="inlineStr">
        <is>
          <t>South Korea charge-planning range basis</t>
        </is>
      </c>
      <c r="B39" s="13" t="n">
        <v>70</v>
      </c>
      <c r="C39" s="14" t="inlineStr">
        <is>
          <t>nm</t>
        </is>
      </c>
      <c r="D39" s="14" t="inlineStr">
        <is>
          <t>T5</t>
        </is>
      </c>
      <c r="E39" s="14" t="inlineStr">
        <is>
          <t>low-med</t>
        </is>
      </c>
      <c r="F39" s="15" t="inlineStr">
        <is>
          <t>Retained South Korea audit proxy based on Navier published 70-nm range and 45-minute DC fast-charge figures. Planning proxy requiring engineering validation; not a certified charge curve.</t>
        </is>
      </c>
    </row>
    <row r="40">
      <c r="A40" s="12" t="inlineStr">
        <is>
          <t>South Korea full-range charge-planning time</t>
        </is>
      </c>
      <c r="B40" s="13" t="n">
        <v>45</v>
      </c>
      <c r="C40" s="14" t="inlineStr">
        <is>
          <t>min</t>
        </is>
      </c>
      <c r="D40" s="14" t="inlineStr">
        <is>
          <t>T5</t>
        </is>
      </c>
      <c r="E40" s="14" t="inlineStr">
        <is>
          <t>low-med</t>
        </is>
      </c>
      <c r="F40" s="15" t="inlineStr">
        <is>
          <t>PLANNING PROXY: charge recovery = distance_nm / 70 × 45. Requires engineering validation; not a certified charge curve.</t>
        </is>
      </c>
    </row>
    <row r="42">
      <c r="A42" s="10" t="inlineStr">
        <is>
          <t>Utilization scenarios  (seat occupancy + revenue-leg utilization)</t>
        </is>
      </c>
    </row>
    <row r="43">
      <c r="A43" s="11" t="inlineStr">
        <is>
          <t>Scenario</t>
        </is>
      </c>
      <c r="B43" s="11" t="inlineStr">
        <is>
          <t>Seat occupancy</t>
        </is>
      </c>
      <c r="C43" s="11" t="inlineStr">
        <is>
          <t>Revenue-leg utilization</t>
        </is>
      </c>
      <c r="D43" s="11" t="inlineStr"/>
      <c r="E43" s="11" t="inlineStr"/>
      <c r="F43" s="11" t="inlineStr">
        <is>
          <t>Note</t>
        </is>
      </c>
    </row>
    <row r="44">
      <c r="A44" s="19" t="inlineStr">
        <is>
          <t>THIN</t>
        </is>
      </c>
      <c r="B44" s="20" t="n">
        <v>0.45</v>
      </c>
      <c r="C44" s="20" t="n">
        <v>0.55</v>
      </c>
      <c r="F44" s="15" t="inlineStr">
        <is>
          <t>thin/one-way/seasonal corridor — conservative floor</t>
        </is>
      </c>
    </row>
    <row r="45">
      <c r="A45" s="19" t="inlineStr">
        <is>
          <t>MID</t>
        </is>
      </c>
      <c r="B45" s="20" t="n">
        <v>0.55</v>
      </c>
      <c r="C45" s="20" t="n">
        <v>0.65</v>
      </c>
      <c r="F45" s="15" t="inlineStr">
        <is>
          <t>HEADLINE — realistic busy two-way corridor</t>
        </is>
      </c>
    </row>
    <row r="46">
      <c r="A46" s="19" t="inlineStr">
        <is>
          <t>FULL</t>
        </is>
      </c>
      <c r="B46" s="20" t="n">
        <v>0.7</v>
      </c>
      <c r="C46" s="20" t="n">
        <v>0.75</v>
      </c>
      <c r="F46" s="15" t="inlineStr">
        <is>
          <t>mature/dense corridor — optimistic ceiling</t>
        </is>
      </c>
    </row>
    <row r="48">
      <c r="A48" s="21" t="inlineStr">
        <is>
          <t>SCENARIO (toggle me)</t>
        </is>
      </c>
      <c r="B48" s="22" t="inlineStr">
        <is>
          <t>MID</t>
        </is>
      </c>
      <c r="C48" s="23" t="inlineStr">
        <is>
          <t>← set THIN / MID / FULL</t>
        </is>
      </c>
    </row>
    <row r="49">
      <c r="A49" s="12" t="inlineStr">
        <is>
          <t>Selected global seat occupancy</t>
        </is>
      </c>
      <c r="B49" s="24">
        <f>VLOOKUP(scenario,'Assumptions'!$A$44:$C$46,2,FALSE)</f>
        <v/>
      </c>
    </row>
    <row r="50">
      <c r="A50" s="12" t="inlineStr">
        <is>
          <t>Selected global revenue-leg utilization</t>
        </is>
      </c>
      <c r="B50" s="24">
        <f>VLOOKUP(scenario,'Assumptions'!$A$44:$C$46,3,FALSE)</f>
        <v/>
      </c>
    </row>
  </sheetData>
  <mergeCells count="6">
    <mergeCell ref="A42:F42"/>
    <mergeCell ref="A14:F14"/>
    <mergeCell ref="A1:F1"/>
    <mergeCell ref="A32:F32"/>
    <mergeCell ref="A27:F27"/>
    <mergeCell ref="A3:F3"/>
  </mergeCells>
  <dataValidations count="1">
    <dataValidation sqref="B4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9" t="inlineStr">
        <is>
          <t>Country opex — localized inputs (crew, energy, berth admin, CAPEX)</t>
        </is>
      </c>
    </row>
    <row r="3">
      <c r="A3" s="25" t="inlineStr">
        <is>
          <t>Country</t>
        </is>
      </c>
      <c r="B3" s="25" t="inlineStr">
        <is>
          <t>Captain $/yr</t>
        </is>
      </c>
      <c r="C3" s="25" t="inlineStr">
        <is>
          <t>Energy $/kWh</t>
        </is>
      </c>
      <c r="D3" s="25" t="inlineStr">
        <is>
          <t>Grid CO₂ kg/kWh</t>
        </is>
      </c>
      <c r="E3" s="25" t="inlineStr">
        <is>
          <t>Berth &amp; port admin $/yr</t>
        </is>
      </c>
      <c r="F3" s="25" t="inlineStr">
        <is>
          <t>Cost index</t>
        </is>
      </c>
      <c r="G3" s="25" t="inlineStr">
        <is>
          <t>CAPEX $/vessel</t>
        </is>
      </c>
      <c r="H3" s="25" t="inlineStr">
        <is>
          <t>Source notes (crew | energy | berth admin)</t>
        </is>
      </c>
    </row>
    <row r="4">
      <c r="A4" s="26" t="inlineStr">
        <is>
          <t>South Korea</t>
        </is>
      </c>
      <c r="B4" s="27" t="n">
        <v>74973</v>
      </c>
      <c r="C4" s="28" t="n">
        <v>0.1214</v>
      </c>
      <c r="D4" s="20" t="n">
        <v>0.4173</v>
      </c>
      <c r="E4" s="27" t="n">
        <v>51000</v>
      </c>
      <c r="F4" s="20" t="n">
        <v>0.949</v>
      </c>
      <c r="G4" s="27" t="n">
        <v>600000</v>
      </c>
      <c r="H4" s="15" t="inlineStr">
        <is>
          <t>KOSWEC 2026 Korea Seafarer's Statistical Year Book coastal Leisure &amp; Ferry Boat: Master KRW3.890m/mo + OS deck rating KRW3.506m/mo; 12 months; 20.160716% itemized employer on-cost; World Bank 2025 FX KRW1,422.440833/USD. Formula and citations: handoff/finance/country-reference-audit-2026-07-10/COUNTRY-REFERENCE-EVIDENCE-LEDGER.json. | KEPCO Dec-2025 Electricity Statistics: 2025 general-service realized revenue / electricity sold = KRW172.6879/kWh; World Bank 2025 FX = USD0.1214025/kWh. National commercial class; site demand/tax treatment remains a deployment sensitivity. | Conservative planning ceiling from the official Korean designated-port tariff: KRW 135/GT per entry or departure × 49 GT × 15 one-way revenue sailings/day × 2 movements/sailing × 365 days, plus KRW 3,913/month coastal-vessel berth fee; World Bank 2025 FX KRW 1,422.440833/USD. Formula yields USD 50,956, rounded to USD 51,000. Replace with site tariffs, actual GT and actual calls before contracting.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20" customWidth="1" min="3" max="3"/>
    <col width="24" customWidth="1" min="4" max="4"/>
    <col width="86" customWidth="1" min="5" max="5"/>
  </cols>
  <sheetData>
    <row r="1">
      <c r="A1" s="9" t="inlineStr">
        <is>
          <t>Economics holds — excluded before model and sheet calculation</t>
        </is>
      </c>
    </row>
    <row r="3">
      <c r="A3" s="25" t="inlineStr">
        <is>
          <t>Market</t>
        </is>
      </c>
      <c r="B3" s="25" t="inlineStr">
        <is>
          <t>Corridor</t>
        </is>
      </c>
      <c r="C3" s="25" t="inlineStr">
        <is>
          <t>Route ID</t>
        </is>
      </c>
      <c r="D3" s="25" t="inlineStr">
        <is>
          <t>Country label</t>
        </is>
      </c>
      <c r="E3" s="25" t="inlineStr">
        <is>
          <t>Hold reason</t>
        </is>
      </c>
    </row>
    <row r="4">
      <c r="A4" s="29" t="inlineStr">
        <is>
          <t>None — all in-scope corridors have complete exact-key country references.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5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8" customWidth="1" min="14" max="14"/>
    <col width="11" customWidth="1" min="15" max="15"/>
    <col width="10" customWidth="1" min="16" max="16"/>
    <col width="9" customWidth="1" min="17" max="17"/>
    <col width="8" customWidth="1" min="18" max="18"/>
    <col width="9" customWidth="1" min="19" max="19"/>
    <col width="9" customWidth="1" min="20" max="20"/>
    <col width="11" customWidth="1" min="21" max="21"/>
    <col width="10" customWidth="1" min="22" max="22"/>
    <col width="10" customWidth="1" min="23" max="23"/>
    <col width="12" customWidth="1" min="24" max="24"/>
    <col width="9" customWidth="1" min="25" max="25"/>
    <col width="12" customWidth="1" min="26" max="26"/>
    <col width="12" customWidth="1" min="27" max="27"/>
    <col width="11" customWidth="1" min="28" max="28"/>
    <col width="10" customWidth="1" min="29" max="29"/>
    <col width="11" customWidth="1" min="30" max="30"/>
    <col width="8" customWidth="1" min="31" max="31"/>
    <col width="9" customWidth="1" min="32" max="32"/>
    <col width="9" customWidth="1" min="33" max="33"/>
    <col width="12" customWidth="1" min="34" max="34"/>
    <col width="7" customWidth="1" min="35" max="35"/>
    <col width="8" customWidth="1" min="36" max="36"/>
    <col width="8" customWidth="1" min="37" max="37"/>
    <col width="10" customWidth="1" min="38" max="38"/>
    <col width="9" customWidth="1" min="39" max="39"/>
    <col width="13" customWidth="1" min="40" max="40"/>
    <col width="9" customWidth="1" min="41" max="41"/>
    <col width="13" customWidth="1" min="42" max="42"/>
    <col width="26" customWidth="1" min="43" max="43"/>
    <col width="14" customWidth="1" min="44" max="44"/>
    <col width="16" customWidth="1" min="45" max="45"/>
    <col width="16" customWidth="1" min="46" max="46"/>
    <col width="9" customWidth="1" min="47" max="47"/>
    <col width="9" customWidth="1" min="48" max="48"/>
    <col width="9" customWidth="1" min="49" max="49"/>
    <col width="9" customWidth="1" min="50" max="50"/>
    <col width="50" customWidth="1" min="51" max="51"/>
    <col width="50" customWidth="1" min="52" max="52"/>
    <col width="16" customWidth="1" min="53" max="53"/>
  </cols>
  <sheetData>
    <row r="1">
      <c r="A1" s="9" t="inlineStr">
        <is>
          <t>Navier × Swing — Corridor economics (one boat, one year; MID = headline)</t>
        </is>
      </c>
      <c r="N1" s="30" t="inlineStr">
        <is>
          <t>SCENARIO:</t>
        </is>
      </c>
      <c r="O1" s="22">
        <f>scenario</f>
        <v/>
      </c>
      <c r="P1" s="23" t="inlineStr">
        <is>
          <t>(set on Assumptions tab)</t>
        </is>
      </c>
    </row>
    <row r="3" ht="42" customHeight="1">
      <c r="A3" s="25" t="inlineStr">
        <is>
          <t>Market</t>
        </is>
      </c>
      <c r="B3" s="25" t="inlineStr">
        <is>
          <t>Country</t>
        </is>
      </c>
      <c r="C3" s="25" t="inlineStr">
        <is>
          <t>Corridor</t>
        </is>
      </c>
      <c r="D3" s="25" t="inlineStr">
        <is>
          <t>Distance</t>
        </is>
      </c>
      <c r="E3" s="25" t="inlineStr">
        <is>
          <t>Premium fare $/pax</t>
        </is>
      </c>
      <c r="F3" s="25" t="inlineStr">
        <is>
          <t>Fare tier</t>
        </is>
      </c>
      <c r="G3" s="25" t="inlineStr">
        <is>
          <t>Fare conf.</t>
        </is>
      </c>
      <c r="H3" s="25" t="inlineStr">
        <is>
          <t>Weather factor</t>
        </is>
      </c>
      <c r="I3" s="25" t="inlineStr">
        <is>
          <t>One-way min</t>
        </is>
      </c>
      <c r="J3" s="25" t="inlineStr">
        <is>
          <t>Charge recovery min</t>
        </is>
      </c>
      <c r="K3" s="25" t="inlineStr">
        <is>
          <t>Cycle min</t>
        </is>
      </c>
      <c r="L3" s="25" t="inlineStr">
        <is>
          <t>Gross legs/day</t>
        </is>
      </c>
      <c r="M3" s="25" t="inlineStr">
        <is>
          <t>Op days/yr</t>
        </is>
      </c>
      <c r="N3" s="25" t="inlineStr">
        <is>
          <t>Mech uptime</t>
        </is>
      </c>
      <c r="O3" s="25" t="inlineStr">
        <is>
          <t>Revenue-leg utilization</t>
        </is>
      </c>
      <c r="P3" s="25" t="inlineStr">
        <is>
          <t>Revenue legs/yr</t>
        </is>
      </c>
      <c r="Q3" s="25" t="inlineStr">
        <is>
          <t>Seat occupancy</t>
        </is>
      </c>
      <c r="R3" s="25" t="inlineStr">
        <is>
          <t>Pax/trip</t>
        </is>
      </c>
      <c r="S3" s="25" t="inlineStr">
        <is>
          <t>Pax/yr</t>
        </is>
      </c>
      <c r="T3" s="25" t="inlineStr">
        <is>
          <t>Navier fare $</t>
        </is>
      </c>
      <c r="U3" s="25" t="inlineStr">
        <is>
          <t>Revenue/yr</t>
        </is>
      </c>
      <c r="V3" s="25" t="inlineStr">
        <is>
          <t>Energy/yr</t>
        </is>
      </c>
      <c r="W3" s="25" t="inlineStr">
        <is>
          <t>Crew/yr</t>
        </is>
      </c>
      <c r="X3" s="25" t="inlineStr">
        <is>
          <t>Berth &amp; port admin/yr</t>
        </is>
      </c>
      <c r="Y3" s="25" t="inlineStr">
        <is>
          <t>Maint/yr</t>
        </is>
      </c>
      <c r="Z3" s="25" t="inlineStr">
        <is>
          <t>Vessel insurance/yr</t>
        </is>
      </c>
      <c r="AA3" s="25" t="inlineStr">
        <is>
          <t>Fast-charge berth/yr</t>
        </is>
      </c>
      <c r="AB3" s="25" t="inlineStr">
        <is>
          <t>OPEX/yr</t>
        </is>
      </c>
      <c r="AC3" s="25" t="inlineStr">
        <is>
          <t>Deprec/yr</t>
        </is>
      </c>
      <c r="AD3" s="25" t="inlineStr">
        <is>
          <t>EBITDA/yr</t>
        </is>
      </c>
      <c r="AE3" s="25" t="inlineStr">
        <is>
          <t>Margin</t>
        </is>
      </c>
      <c r="AF3" s="25" t="inlineStr">
        <is>
          <t>Payback yr (sel)</t>
        </is>
      </c>
      <c r="AG3" s="25" t="inlineStr">
        <is>
          <t>CO₂ saved t/yr</t>
        </is>
      </c>
      <c r="AH3" s="25" t="inlineStr">
        <is>
          <t>Demand pool 1-way/yr</t>
        </is>
      </c>
      <c r="AI3" s="25" t="inlineStr">
        <is>
          <t>Demand tier</t>
        </is>
      </c>
      <c r="AJ3" s="25" t="inlineStr">
        <is>
          <t>Demand conf.</t>
        </is>
      </c>
      <c r="AK3" s="25" t="inlineStr">
        <is>
          <t>Capture %</t>
        </is>
      </c>
      <c r="AL3" s="25" t="inlineStr">
        <is>
          <t>Navier rides/yr</t>
        </is>
      </c>
      <c r="AM3" s="25" t="inlineStr">
        <is>
          <t>Vessels @capture</t>
        </is>
      </c>
      <c r="AN3" s="25" t="inlineStr">
        <is>
          <t>Market rev/yr</t>
        </is>
      </c>
      <c r="AO3" s="25" t="inlineStr">
        <is>
          <t>Vessels raw (unfloored)</t>
        </is>
      </c>
      <c r="AP3" s="25" t="inlineStr">
        <is>
          <t>Market rev/yr raw</t>
        </is>
      </c>
      <c r="AQ3" s="25" t="inlineStr">
        <is>
          <t>Subset of (excl. from market fleet)</t>
        </is>
      </c>
      <c r="AR3" s="25" t="inlineStr">
        <is>
          <t>Floor bucket (aggregate status)</t>
        </is>
      </c>
      <c r="AS3" s="25" t="inlineStr">
        <is>
          <t>Forward SAM (2030-dated; held OUT of grounded floor)</t>
        </is>
      </c>
      <c r="AT3" s="25" t="inlineStr">
        <is>
          <t>Upside tier (LB-99; held OUT of grounded floor)</t>
        </is>
      </c>
      <c r="AU3" s="25" t="inlineStr">
        <is>
          <t>Fleet ceiling (captive villas/25)</t>
        </is>
      </c>
      <c r="AV3" s="25" t="inlineStr">
        <is>
          <t>Payback THIN</t>
        </is>
      </c>
      <c r="AW3" s="25" t="inlineStr">
        <is>
          <t>Payback MID</t>
        </is>
      </c>
      <c r="AX3" s="25" t="inlineStr">
        <is>
          <t>Payback FULL</t>
        </is>
      </c>
      <c r="AY3" s="25" t="inlineStr">
        <is>
          <t>Fare source (provenance)</t>
        </is>
      </c>
      <c r="AZ3" s="25" t="inlineStr">
        <is>
          <t>Demand source (provenance)</t>
        </is>
      </c>
      <c r="BA3" s="25" t="inlineStr">
        <is>
          <t>Route ID</t>
        </is>
      </c>
    </row>
    <row r="4">
      <c r="A4" s="31" t="inlineStr">
        <is>
          <t>Korea Swing</t>
        </is>
      </c>
      <c r="B4" s="31" t="inlineStr">
        <is>
          <t>South Korea</t>
        </is>
      </c>
      <c r="C4" s="32" t="inlineStr">
        <is>
          <t>Oksu Pier → Apgujeong Pier</t>
        </is>
      </c>
      <c r="D4" s="33" t="n">
        <v>1.1</v>
      </c>
      <c r="E4" s="27" t="n">
        <v>18</v>
      </c>
      <c r="F4" s="34" t="inlineStr">
        <is>
          <t>T3</t>
        </is>
      </c>
      <c r="G4" s="34" t="inlineStr">
        <is>
          <t>low</t>
        </is>
      </c>
      <c r="H4" s="20" t="n">
        <v>1</v>
      </c>
      <c r="I4" s="35">
        <f>60*D4/cruise_kt</f>
        <v/>
      </c>
      <c r="J4" s="35">
        <f>IF(B4="South Korea",D4/korea_charge_range_nm*korea_full_range_charge_min,0)</f>
        <v/>
      </c>
      <c r="K4" s="35">
        <f>IF(B4="South Korea",I4+korea_turn_min+korea_dwell_min+J4,I4+turn_min+dwell_min)</f>
        <v/>
      </c>
      <c r="L4" s="36">
        <f>IF(B4="South Korea",FLOOR(60*korea_service_hr/K4,1),MIN(15,FLOOR(60*service_hr/K4,1)))</f>
        <v/>
      </c>
      <c r="M4" s="36">
        <f>IF(ABS(MOD(ABS((365*mech_uptime*H4)),1)-0.5)&lt;1E-9,2*ROUND((365*mech_uptime*H4)/2,0),ROUND((365*mech_uptime*H4),0))</f>
        <v/>
      </c>
      <c r="N4" s="37">
        <f>mech_uptime</f>
        <v/>
      </c>
      <c r="O4" s="37">
        <f>IF(AND(B4="South Korea",scenario="MID"),korea_mid_revleg,revleg_sel)</f>
        <v/>
      </c>
      <c r="P4" s="36">
        <f>IF(ABS(MOD(ABS((L4*M4*O4)),1)-0.5)&lt;1E-9,2*ROUND((L4*M4*O4)/2,0),ROUND((L4*M4*O4),0))</f>
        <v/>
      </c>
      <c r="Q4" s="37">
        <f>IF(AND(B4="South Korea",scenario="MID"),korea_mid_load,load_sel)</f>
        <v/>
      </c>
      <c r="R4" s="38">
        <f>pax_cap*Q4</f>
        <v/>
      </c>
      <c r="S4" s="36">
        <f>R4*P4</f>
        <v/>
      </c>
      <c r="T4" s="39">
        <f>E4*discount</f>
        <v/>
      </c>
      <c r="U4" s="40">
        <f>T4*S4</f>
        <v/>
      </c>
      <c r="V4" s="40">
        <f>(battery/range_nm)*D4*P4*VLOOKUP(B4,country_opex,3,FALSE)</f>
        <v/>
      </c>
      <c r="W4" s="40">
        <f>VLOOKUP(B4,country_opex,2,FALSE)*crew_factor</f>
        <v/>
      </c>
      <c r="X4" s="40">
        <f>VLOOKUP(B4,country_opex,5,FALSE)</f>
        <v/>
      </c>
      <c r="Y4" s="40">
        <f>maint</f>
        <v/>
      </c>
      <c r="Z4" s="40">
        <f>VLOOKUP(B4,country_opex,7,FALSE)*ins_pct</f>
        <v/>
      </c>
      <c r="AA4" s="40">
        <f>charge_berth</f>
        <v/>
      </c>
      <c r="AB4" s="40">
        <f>V4+W4+X4+Y4+Z4+AA4</f>
        <v/>
      </c>
      <c r="AC4" s="40">
        <f>VLOOKUP(B4,country_opex,7,FALSE)/dep_years</f>
        <v/>
      </c>
      <c r="AD4" s="40">
        <f>U4-AB4</f>
        <v/>
      </c>
      <c r="AE4" s="37">
        <f>IF(U4=0,"",AD4/U4)</f>
        <v/>
      </c>
      <c r="AF4" s="38">
        <f>IF(AD4&lt;=0,"",VLOOKUP(B4,country_opex,7,FALSE)/AD4)</f>
        <v/>
      </c>
      <c r="AG4" s="35">
        <f>((D4*P4/diesel_nmpg)*diesel_co2pg-(battery/range_nm)*D4*P4*VLOOKUP(B4,country_opex,4,FALSE))/1000</f>
        <v/>
      </c>
      <c r="AH4" s="33" t="n">
        <v>95455</v>
      </c>
      <c r="AI4" s="34" t="inlineStr">
        <is>
          <t>T1</t>
        </is>
      </c>
      <c r="AJ4" s="34" t="inlineStr">
        <is>
          <t>med</t>
        </is>
      </c>
      <c r="AK4" s="41" t="n">
        <v>0.1</v>
      </c>
      <c r="AL4" s="36">
        <f>IF(AH4="","",AH4*AK4)</f>
        <v/>
      </c>
      <c r="AM4" s="36">
        <f>IF(OR(AH4="",S4=0),"",MIN(IF(AU4="",9.9E+99,AU4),FLOOR(AL4/S4,1)))</f>
        <v/>
      </c>
      <c r="AN4" s="40">
        <f>IF(AM4="","",AM4*IF(ABS(MOD(ABS((U4)),1)-0.5)&lt;1E-9,2*ROUND((U4)/2,0),ROUND((U4),0)))</f>
        <v/>
      </c>
      <c r="AO4" s="38">
        <f>IF(OR(AH4="",S4=0),"",MIN(IF(AU4="",9.9E+99,AU4),AL4/S4))</f>
        <v/>
      </c>
      <c r="AP4" s="40">
        <f>IF(AO4="","",AO4*IF(B4="South Korea",IF(ABS(MOD(ABS((U4)),1)-0.5)&lt;1E-9,2*ROUND((U4)/2,0),ROUND((U4),0)),U4))</f>
        <v/>
      </c>
      <c r="AQ4" s="42" t="n"/>
      <c r="AR4" s="34" t="inlineStr">
        <is>
          <t>Grounded</t>
        </is>
      </c>
      <c r="AS4" s="43" t="n"/>
      <c r="AT4" s="43" t="n"/>
      <c r="AU4" s="44" t="n"/>
      <c r="AV4" s="45">
        <f>IF(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&lt;=0,"",VLOOKUP(B4,country_opex,7,FALSE)/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)</f>
        <v/>
      </c>
      <c r="AW4" s="45">
        <f>IF(((T4*pax_cap*IF(B4="South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Korea",korea_mid_revleg,revleg_mid)),0))*VLOOKUP(B4,country_opex,3,FALSE))+W4+X4+Y4+Z4+AA4))&lt;=0,"",VLOOKUP(B4,country_opex,7,FALSE)/((T4*pax_cap*IF(B4="South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Korea",korea_mid_revleg,revleg_mid)),0))*VLOOKUP(B4,country_opex,3,FALSE))+W4+X4+Y4+Z4+AA4)))</f>
        <v/>
      </c>
      <c r="AX4" s="45">
        <f>IF(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&lt;=0,"",VLOOKUP(B4,country_opex,7,FALSE)/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)</f>
        <v/>
      </c>
      <c r="AY4" s="46" t="inlineStr">
        <is>
          <t>[LB-255 PREMIUM RE-FARE: subsidized comparable $4.0 lifted to premium on-demand floor $18.0] band_default</t>
        </is>
      </c>
      <c r="AZ4" s="46" t="inlineStr">
        <is>
          <t>Seoul City Hangang Bus run-rate (~1.05M/yr; spec headline)</t>
        </is>
      </c>
      <c r="BA4" s="34" t="inlineStr">
        <is>
          <t>rn-7c451ce2752d</t>
        </is>
      </c>
    </row>
    <row r="5">
      <c r="A5" s="31" t="inlineStr">
        <is>
          <t>Korea Swing</t>
        </is>
      </c>
      <c r="B5" s="31" t="inlineStr">
        <is>
          <t>South Korea</t>
        </is>
      </c>
      <c r="C5" s="32" t="inlineStr">
        <is>
          <t>Ttukseom → Jamsil</t>
        </is>
      </c>
      <c r="D5" s="33" t="n">
        <v>1.2</v>
      </c>
      <c r="E5" s="27" t="n">
        <v>18</v>
      </c>
      <c r="F5" s="34" t="inlineStr">
        <is>
          <t>T3</t>
        </is>
      </c>
      <c r="G5" s="34" t="inlineStr">
        <is>
          <t>low</t>
        </is>
      </c>
      <c r="H5" s="20" t="n">
        <v>1</v>
      </c>
      <c r="I5" s="35">
        <f>60*D5/cruise_kt</f>
        <v/>
      </c>
      <c r="J5" s="35">
        <f>IF(B5="South Korea",D5/korea_charge_range_nm*korea_full_range_charge_min,0)</f>
        <v/>
      </c>
      <c r="K5" s="35">
        <f>IF(B5="South Korea",I5+korea_turn_min+korea_dwell_min+J5,I5+turn_min+dwell_min)</f>
        <v/>
      </c>
      <c r="L5" s="36">
        <f>IF(B5="South Korea",FLOOR(60*korea_service_hr/K5,1),MIN(15,FLOOR(60*service_hr/K5,1)))</f>
        <v/>
      </c>
      <c r="M5" s="36">
        <f>IF(ABS(MOD(ABS((365*mech_uptime*H5)),1)-0.5)&lt;1E-9,2*ROUND((365*mech_uptime*H5)/2,0),ROUND((365*mech_uptime*H5),0))</f>
        <v/>
      </c>
      <c r="N5" s="37">
        <f>mech_uptime</f>
        <v/>
      </c>
      <c r="O5" s="37">
        <f>IF(AND(B5="South Korea",scenario="MID"),korea_mid_revleg,revleg_sel)</f>
        <v/>
      </c>
      <c r="P5" s="36">
        <f>IF(ABS(MOD(ABS((L5*M5*O5)),1)-0.5)&lt;1E-9,2*ROUND((L5*M5*O5)/2,0),ROUND((L5*M5*O5),0))</f>
        <v/>
      </c>
      <c r="Q5" s="37">
        <f>IF(AND(B5="South Korea",scenario="MID"),korea_mid_load,load_sel)</f>
        <v/>
      </c>
      <c r="R5" s="38">
        <f>pax_cap*Q5</f>
        <v/>
      </c>
      <c r="S5" s="36">
        <f>R5*P5</f>
        <v/>
      </c>
      <c r="T5" s="39">
        <f>E5*discount</f>
        <v/>
      </c>
      <c r="U5" s="40">
        <f>T5*S5</f>
        <v/>
      </c>
      <c r="V5" s="40">
        <f>(battery/range_nm)*D5*P5*VLOOKUP(B5,country_opex,3,FALSE)</f>
        <v/>
      </c>
      <c r="W5" s="40">
        <f>VLOOKUP(B5,country_opex,2,FALSE)*crew_factor</f>
        <v/>
      </c>
      <c r="X5" s="40">
        <f>VLOOKUP(B5,country_opex,5,FALSE)</f>
        <v/>
      </c>
      <c r="Y5" s="40">
        <f>maint</f>
        <v/>
      </c>
      <c r="Z5" s="40">
        <f>VLOOKUP(B5,country_opex,7,FALSE)*ins_pct</f>
        <v/>
      </c>
      <c r="AA5" s="40">
        <f>charge_berth</f>
        <v/>
      </c>
      <c r="AB5" s="40">
        <f>V5+W5+X5+Y5+Z5+AA5</f>
        <v/>
      </c>
      <c r="AC5" s="40">
        <f>VLOOKUP(B5,country_opex,7,FALSE)/dep_years</f>
        <v/>
      </c>
      <c r="AD5" s="40">
        <f>U5-AB5</f>
        <v/>
      </c>
      <c r="AE5" s="37">
        <f>IF(U5=0,"",AD5/U5)</f>
        <v/>
      </c>
      <c r="AF5" s="38">
        <f>IF(AD5&lt;=0,"",VLOOKUP(B5,country_opex,7,FALSE)/AD5)</f>
        <v/>
      </c>
      <c r="AG5" s="35">
        <f>((D5*P5/diesel_nmpg)*diesel_co2pg-(battery/range_nm)*D5*P5*VLOOKUP(B5,country_opex,4,FALSE))/1000</f>
        <v/>
      </c>
      <c r="AH5" s="33" t="n">
        <v>95455</v>
      </c>
      <c r="AI5" s="34" t="inlineStr">
        <is>
          <t>T1</t>
        </is>
      </c>
      <c r="AJ5" s="34" t="inlineStr">
        <is>
          <t>med</t>
        </is>
      </c>
      <c r="AK5" s="41" t="n">
        <v>0.1</v>
      </c>
      <c r="AL5" s="36">
        <f>IF(AH5="","",AH5*AK5)</f>
        <v/>
      </c>
      <c r="AM5" s="36">
        <f>IF(OR(AH5="",S5=0),"",MIN(IF(AU5="",9.9E+99,AU5),FLOOR(AL5/S5,1)))</f>
        <v/>
      </c>
      <c r="AN5" s="40">
        <f>IF(AM5="","",AM5*IF(ABS(MOD(ABS((U5)),1)-0.5)&lt;1E-9,2*ROUND((U5)/2,0),ROUND((U5),0)))</f>
        <v/>
      </c>
      <c r="AO5" s="38">
        <f>IF(OR(AH5="",S5=0),"",MIN(IF(AU5="",9.9E+99,AU5),AL5/S5))</f>
        <v/>
      </c>
      <c r="AP5" s="40">
        <f>IF(AO5="","",AO5*IF(B5="South Korea",IF(ABS(MOD(ABS((U5)),1)-0.5)&lt;1E-9,2*ROUND((U5)/2,0),ROUND((U5),0)),U5))</f>
        <v/>
      </c>
      <c r="AQ5" s="42" t="n"/>
      <c r="AR5" s="34" t="inlineStr">
        <is>
          <t>Grounded</t>
        </is>
      </c>
      <c r="AS5" s="43" t="n"/>
      <c r="AT5" s="43" t="n"/>
      <c r="AU5" s="44" t="n"/>
      <c r="AV5" s="45">
        <f>IF(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&lt;=0,"",VLOOKUP(B5,country_opex,7,FALSE)/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)</f>
        <v/>
      </c>
      <c r="AW5" s="45">
        <f>IF(((T5*pax_cap*IF(B5="South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Korea",korea_mid_revleg,revleg_mid)),0))*VLOOKUP(B5,country_opex,3,FALSE))+W5+X5+Y5+Z5+AA5))&lt;=0,"",VLOOKUP(B5,country_opex,7,FALSE)/((T5*pax_cap*IF(B5="South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Korea",korea_mid_revleg,revleg_mid)),0))*VLOOKUP(B5,country_opex,3,FALSE))+W5+X5+Y5+Z5+AA5)))</f>
        <v/>
      </c>
      <c r="AX5" s="45">
        <f>IF(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&lt;=0,"",VLOOKUP(B5,country_opex,7,FALSE)/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)</f>
        <v/>
      </c>
      <c r="AY5" s="46" t="inlineStr">
        <is>
          <t>[LB-255 PREMIUM RE-FARE: subsidized comparable $4.0 lifted to premium on-demand floor $18.0] band_default</t>
        </is>
      </c>
      <c r="AZ5" s="46" t="inlineStr">
        <is>
          <t>Seoul City Hangang Bus run-rate (~1.05M/yr; spec headline)</t>
        </is>
      </c>
      <c r="BA5" s="34" t="inlineStr">
        <is>
          <t>rn-529e3834c165</t>
        </is>
      </c>
    </row>
    <row r="6">
      <c r="A6" s="31" t="inlineStr">
        <is>
          <t>Korea Swing</t>
        </is>
      </c>
      <c r="B6" s="31" t="inlineStr">
        <is>
          <t>South Korea</t>
        </is>
      </c>
      <c r="C6" s="32" t="inlineStr">
        <is>
          <t>Seongsan Port (Udo ferry gateway + Seongsan Ilchulbong tender) → Udo (Cow Island) — Cheonjin Port + Haunchi Port</t>
        </is>
      </c>
      <c r="D6" s="33" t="n">
        <v>1.33</v>
      </c>
      <c r="E6" s="27" t="n">
        <v>18</v>
      </c>
      <c r="F6" s="34" t="inlineStr">
        <is>
          <t>T2</t>
        </is>
      </c>
      <c r="G6" s="34" t="inlineStr">
        <is>
          <t>med</t>
        </is>
      </c>
      <c r="H6" s="20" t="n">
        <v>1</v>
      </c>
      <c r="I6" s="35">
        <f>60*D6/cruise_kt</f>
        <v/>
      </c>
      <c r="J6" s="35">
        <f>IF(B6="South Korea",D6/korea_charge_range_nm*korea_full_range_charge_min,0)</f>
        <v/>
      </c>
      <c r="K6" s="35">
        <f>IF(B6="South Korea",I6+korea_turn_min+korea_dwell_min+J6,I6+turn_min+dwell_min)</f>
        <v/>
      </c>
      <c r="L6" s="36">
        <f>IF(B6="South Korea",FLOOR(60*korea_service_hr/K6,1),MIN(15,FLOOR(60*service_hr/K6,1)))</f>
        <v/>
      </c>
      <c r="M6" s="36">
        <f>IF(ABS(MOD(ABS((365*mech_uptime*H6)),1)-0.5)&lt;1E-9,2*ROUND((365*mech_uptime*H6)/2,0),ROUND((365*mech_uptime*H6),0))</f>
        <v/>
      </c>
      <c r="N6" s="37">
        <f>mech_uptime</f>
        <v/>
      </c>
      <c r="O6" s="37">
        <f>IF(AND(B6="South Korea",scenario="MID"),korea_mid_revleg,revleg_sel)</f>
        <v/>
      </c>
      <c r="P6" s="36">
        <f>IF(ABS(MOD(ABS((L6*M6*O6)),1)-0.5)&lt;1E-9,2*ROUND((L6*M6*O6)/2,0),ROUND((L6*M6*O6),0))</f>
        <v/>
      </c>
      <c r="Q6" s="37">
        <f>IF(AND(B6="South Korea",scenario="MID"),korea_mid_load,load_sel)</f>
        <v/>
      </c>
      <c r="R6" s="38">
        <f>pax_cap*Q6</f>
        <v/>
      </c>
      <c r="S6" s="36">
        <f>R6*P6</f>
        <v/>
      </c>
      <c r="T6" s="39">
        <f>E6*discount</f>
        <v/>
      </c>
      <c r="U6" s="40">
        <f>T6*S6</f>
        <v/>
      </c>
      <c r="V6" s="40">
        <f>(battery/range_nm)*D6*P6*VLOOKUP(B6,country_opex,3,FALSE)</f>
        <v/>
      </c>
      <c r="W6" s="40">
        <f>VLOOKUP(B6,country_opex,2,FALSE)*crew_factor</f>
        <v/>
      </c>
      <c r="X6" s="40">
        <f>VLOOKUP(B6,country_opex,5,FALSE)</f>
        <v/>
      </c>
      <c r="Y6" s="40">
        <f>maint</f>
        <v/>
      </c>
      <c r="Z6" s="40">
        <f>VLOOKUP(B6,country_opex,7,FALSE)*ins_pct</f>
        <v/>
      </c>
      <c r="AA6" s="40">
        <f>charge_berth</f>
        <v/>
      </c>
      <c r="AB6" s="40">
        <f>V6+W6+X6+Y6+Z6+AA6</f>
        <v/>
      </c>
      <c r="AC6" s="40">
        <f>VLOOKUP(B6,country_opex,7,FALSE)/dep_years</f>
        <v/>
      </c>
      <c r="AD6" s="40">
        <f>U6-AB6</f>
        <v/>
      </c>
      <c r="AE6" s="37">
        <f>IF(U6=0,"",AD6/U6)</f>
        <v/>
      </c>
      <c r="AF6" s="38">
        <f>IF(AD6&lt;=0,"",VLOOKUP(B6,country_opex,7,FALSE)/AD6)</f>
        <v/>
      </c>
      <c r="AG6" s="35">
        <f>((D6*P6/diesel_nmpg)*diesel_co2pg-(battery/range_nm)*D6*P6*VLOOKUP(B6,country_opex,4,FALSE))/1000</f>
        <v/>
      </c>
      <c r="AH6" s="33" t="n">
        <v>2072330</v>
      </c>
      <c r="AI6" s="34" t="inlineStr">
        <is>
          <t>T2</t>
        </is>
      </c>
      <c r="AJ6" s="34" t="inlineStr">
        <is>
          <t>high</t>
        </is>
      </c>
      <c r="AK6" s="41" t="n">
        <v>0.1</v>
      </c>
      <c r="AL6" s="36">
        <f>IF(AH6="","",AH6*AK6)</f>
        <v/>
      </c>
      <c r="AM6" s="36">
        <f>IF(OR(AH6="",S6=0),"",MIN(IF(AU6="",9.9E+99,AU6),FLOOR(AL6/S6,1)))</f>
        <v/>
      </c>
      <c r="AN6" s="40">
        <f>IF(AM6="","",AM6*IF(ABS(MOD(ABS((U6)),1)-0.5)&lt;1E-9,2*ROUND((U6)/2,0),ROUND((U6),0)))</f>
        <v/>
      </c>
      <c r="AO6" s="38">
        <f>IF(OR(AH6="",S6=0),"",MIN(IF(AU6="",9.9E+99,AU6),AL6/S6))</f>
        <v/>
      </c>
      <c r="AP6" s="40">
        <f>IF(AO6="","",AO6*IF(B6="South Korea",IF(ABS(MOD(ABS((U6)),1)-0.5)&lt;1E-9,2*ROUND((U6)/2,0),ROUND((U6),0)),U6))</f>
        <v/>
      </c>
      <c r="AQ6" s="42" t="n"/>
      <c r="AR6" s="34" t="inlineStr">
        <is>
          <t>Grounded</t>
        </is>
      </c>
      <c r="AS6" s="43" t="n"/>
      <c r="AT6" s="43" t="n"/>
      <c r="AU6" s="44" t="n"/>
      <c r="AV6" s="45">
        <f>IF(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&lt;=0,"",VLOOKUP(B6,country_opex,7,FALSE)/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)</f>
        <v/>
      </c>
      <c r="AW6" s="45">
        <f>IF(((T6*pax_cap*IF(B6="South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Korea",korea_mid_revleg,revleg_mid)),0))*VLOOKUP(B6,country_opex,3,FALSE))+W6+X6+Y6+Z6+AA6))&lt;=0,"",VLOOKUP(B6,country_opex,7,FALSE)/((T6*pax_cap*IF(B6="South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Korea",korea_mid_revleg,revleg_mid)),0))*VLOOKUP(B6,country_opex,3,FALSE))+W6+X6+Y6+Z6+AA6)))</f>
        <v/>
      </c>
      <c r="AX6" s="45">
        <f>IF(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&lt;=0,"",VLOOKUP(B6,country_opex,7,FALSE)/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)</f>
        <v/>
      </c>
      <c r="AY6" s="46" t="inlineStr">
        <is>
          <t>[LB-255 PREMIUM RE-FARE: subsidized comparable $3.75 lifted to premium on-demand floor $18.0] KOREA-L3-SOURCING fare_usd 3.75</t>
        </is>
      </c>
      <c r="AZ6" s="46" t="inlineStr">
        <is>
          <t>JTO / KOREA-L3-SOURCING Seongsan-Jongdal↔Udo 3.188M pool</t>
        </is>
      </c>
      <c r="BA6" s="34" t="inlineStr">
        <is>
          <t>rn-64f4b4293a52</t>
        </is>
      </c>
    </row>
    <row r="7">
      <c r="A7" s="31" t="inlineStr">
        <is>
          <t>Korea Swing</t>
        </is>
      </c>
      <c r="B7" s="31" t="inlineStr">
        <is>
          <t>South Korea</t>
        </is>
      </c>
      <c r="C7" s="32" t="inlineStr">
        <is>
          <t>Apgujeong Pier → Seoul Forest Wharf</t>
        </is>
      </c>
      <c r="D7" s="33" t="n">
        <v>1.7</v>
      </c>
      <c r="E7" s="27" t="n">
        <v>18</v>
      </c>
      <c r="F7" s="34" t="inlineStr">
        <is>
          <t>T3</t>
        </is>
      </c>
      <c r="G7" s="34" t="inlineStr">
        <is>
          <t>low</t>
        </is>
      </c>
      <c r="H7" s="20" t="n">
        <v>1</v>
      </c>
      <c r="I7" s="35">
        <f>60*D7/cruise_kt</f>
        <v/>
      </c>
      <c r="J7" s="35">
        <f>IF(B7="South Korea",D7/korea_charge_range_nm*korea_full_range_charge_min,0)</f>
        <v/>
      </c>
      <c r="K7" s="35">
        <f>IF(B7="South Korea",I7+korea_turn_min+korea_dwell_min+J7,I7+turn_min+dwell_min)</f>
        <v/>
      </c>
      <c r="L7" s="36">
        <f>IF(B7="South Korea",FLOOR(60*korea_service_hr/K7,1),MIN(15,FLOOR(60*service_hr/K7,1)))</f>
        <v/>
      </c>
      <c r="M7" s="36">
        <f>IF(ABS(MOD(ABS((365*mech_uptime*H7)),1)-0.5)&lt;1E-9,2*ROUND((365*mech_uptime*H7)/2,0),ROUND((365*mech_uptime*H7),0))</f>
        <v/>
      </c>
      <c r="N7" s="37">
        <f>mech_uptime</f>
        <v/>
      </c>
      <c r="O7" s="37">
        <f>IF(AND(B7="South Korea",scenario="MID"),korea_mid_revleg,revleg_sel)</f>
        <v/>
      </c>
      <c r="P7" s="36">
        <f>IF(ABS(MOD(ABS((L7*M7*O7)),1)-0.5)&lt;1E-9,2*ROUND((L7*M7*O7)/2,0),ROUND((L7*M7*O7),0))</f>
        <v/>
      </c>
      <c r="Q7" s="37">
        <f>IF(AND(B7="South Korea",scenario="MID"),korea_mid_load,load_sel)</f>
        <v/>
      </c>
      <c r="R7" s="38">
        <f>pax_cap*Q7</f>
        <v/>
      </c>
      <c r="S7" s="36">
        <f>R7*P7</f>
        <v/>
      </c>
      <c r="T7" s="39">
        <f>E7*discount</f>
        <v/>
      </c>
      <c r="U7" s="40">
        <f>T7*S7</f>
        <v/>
      </c>
      <c r="V7" s="40">
        <f>(battery/range_nm)*D7*P7*VLOOKUP(B7,country_opex,3,FALSE)</f>
        <v/>
      </c>
      <c r="W7" s="40">
        <f>VLOOKUP(B7,country_opex,2,FALSE)*crew_factor</f>
        <v/>
      </c>
      <c r="X7" s="40">
        <f>VLOOKUP(B7,country_opex,5,FALSE)</f>
        <v/>
      </c>
      <c r="Y7" s="40">
        <f>maint</f>
        <v/>
      </c>
      <c r="Z7" s="40">
        <f>VLOOKUP(B7,country_opex,7,FALSE)*ins_pct</f>
        <v/>
      </c>
      <c r="AA7" s="40">
        <f>charge_berth</f>
        <v/>
      </c>
      <c r="AB7" s="40">
        <f>V7+W7+X7+Y7+Z7+AA7</f>
        <v/>
      </c>
      <c r="AC7" s="40">
        <f>VLOOKUP(B7,country_opex,7,FALSE)/dep_years</f>
        <v/>
      </c>
      <c r="AD7" s="40">
        <f>U7-AB7</f>
        <v/>
      </c>
      <c r="AE7" s="37">
        <f>IF(U7=0,"",AD7/U7)</f>
        <v/>
      </c>
      <c r="AF7" s="38">
        <f>IF(AD7&lt;=0,"",VLOOKUP(B7,country_opex,7,FALSE)/AD7)</f>
        <v/>
      </c>
      <c r="AG7" s="35">
        <f>((D7*P7/diesel_nmpg)*diesel_co2pg-(battery/range_nm)*D7*P7*VLOOKUP(B7,country_opex,4,FALSE))/1000</f>
        <v/>
      </c>
      <c r="AH7" s="33" t="n">
        <v>95455</v>
      </c>
      <c r="AI7" s="34" t="inlineStr">
        <is>
          <t>T1</t>
        </is>
      </c>
      <c r="AJ7" s="34" t="inlineStr">
        <is>
          <t>med</t>
        </is>
      </c>
      <c r="AK7" s="41" t="n">
        <v>0.1</v>
      </c>
      <c r="AL7" s="36">
        <f>IF(AH7="","",AH7*AK7)</f>
        <v/>
      </c>
      <c r="AM7" s="36">
        <f>IF(OR(AH7="",S7=0),"",MIN(IF(AU7="",9.9E+99,AU7),FLOOR(AL7/S7,1)))</f>
        <v/>
      </c>
      <c r="AN7" s="40">
        <f>IF(AM7="","",AM7*IF(ABS(MOD(ABS((U7)),1)-0.5)&lt;1E-9,2*ROUND((U7)/2,0),ROUND((U7),0)))</f>
        <v/>
      </c>
      <c r="AO7" s="38">
        <f>IF(OR(AH7="",S7=0),"",MIN(IF(AU7="",9.9E+99,AU7),AL7/S7))</f>
        <v/>
      </c>
      <c r="AP7" s="40">
        <f>IF(AO7="","",AO7*IF(B7="South Korea",IF(ABS(MOD(ABS((U7)),1)-0.5)&lt;1E-9,2*ROUND((U7)/2,0),ROUND((U7),0)),U7))</f>
        <v/>
      </c>
      <c r="AQ7" s="42" t="n"/>
      <c r="AR7" s="34" t="inlineStr">
        <is>
          <t>Grounded</t>
        </is>
      </c>
      <c r="AS7" s="43" t="n"/>
      <c r="AT7" s="43" t="n"/>
      <c r="AU7" s="44" t="n"/>
      <c r="AV7" s="45">
        <f>IF(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&lt;=0,"",VLOOKUP(B7,country_opex,7,FALSE)/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)</f>
        <v/>
      </c>
      <c r="AW7" s="45">
        <f>IF(((T7*pax_cap*IF(B7="South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Korea",korea_mid_revleg,revleg_mid)),0))*VLOOKUP(B7,country_opex,3,FALSE))+W7+X7+Y7+Z7+AA7))&lt;=0,"",VLOOKUP(B7,country_opex,7,FALSE)/((T7*pax_cap*IF(B7="South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Korea",korea_mid_revleg,revleg_mid)),0))*VLOOKUP(B7,country_opex,3,FALSE))+W7+X7+Y7+Z7+AA7)))</f>
        <v/>
      </c>
      <c r="AX7" s="45">
        <f>IF(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&lt;=0,"",VLOOKUP(B7,country_opex,7,FALSE)/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)</f>
        <v/>
      </c>
      <c r="AY7" s="46" t="inlineStr">
        <is>
          <t>[LB-255 PREMIUM RE-FARE: subsidized comparable $4.0 lifted to premium on-demand floor $18.0] band_default</t>
        </is>
      </c>
      <c r="AZ7" s="46" t="inlineStr">
        <is>
          <t>Seoul City Hangang Bus run-rate (~1.05M/yr; spec headline)</t>
        </is>
      </c>
      <c r="BA7" s="34" t="inlineStr">
        <is>
          <t>rn-b4b6294b39e2</t>
        </is>
      </c>
    </row>
    <row r="8">
      <c r="A8" s="31" t="inlineStr">
        <is>
          <t>Korea Swing</t>
        </is>
      </c>
      <c r="B8" s="31" t="inlineStr">
        <is>
          <t>South Korea</t>
        </is>
      </c>
      <c r="C8" s="32" t="inlineStr">
        <is>
          <t>Jongdal Port (Udo Ferry) → Udo (Cow Island) — Cheonjin Port + Haunchi Port</t>
        </is>
      </c>
      <c r="D8" s="33" t="n">
        <v>1.95</v>
      </c>
      <c r="E8" s="27" t="n">
        <v>18</v>
      </c>
      <c r="F8" s="34" t="inlineStr">
        <is>
          <t>T2</t>
        </is>
      </c>
      <c r="G8" s="34" t="inlineStr">
        <is>
          <t>med</t>
        </is>
      </c>
      <c r="H8" s="20" t="n">
        <v>1</v>
      </c>
      <c r="I8" s="35">
        <f>60*D8/cruise_kt</f>
        <v/>
      </c>
      <c r="J8" s="35">
        <f>IF(B8="South Korea",D8/korea_charge_range_nm*korea_full_range_charge_min,0)</f>
        <v/>
      </c>
      <c r="K8" s="35">
        <f>IF(B8="South Korea",I8+korea_turn_min+korea_dwell_min+J8,I8+turn_min+dwell_min)</f>
        <v/>
      </c>
      <c r="L8" s="36">
        <f>IF(B8="South Korea",FLOOR(60*korea_service_hr/K8,1),MIN(15,FLOOR(60*service_hr/K8,1)))</f>
        <v/>
      </c>
      <c r="M8" s="36">
        <f>IF(ABS(MOD(ABS((365*mech_uptime*H8)),1)-0.5)&lt;1E-9,2*ROUND((365*mech_uptime*H8)/2,0),ROUND((365*mech_uptime*H8),0))</f>
        <v/>
      </c>
      <c r="N8" s="37">
        <f>mech_uptime</f>
        <v/>
      </c>
      <c r="O8" s="37">
        <f>IF(AND(B8="South Korea",scenario="MID"),korea_mid_revleg,revleg_sel)</f>
        <v/>
      </c>
      <c r="P8" s="36">
        <f>IF(ABS(MOD(ABS((L8*M8*O8)),1)-0.5)&lt;1E-9,2*ROUND((L8*M8*O8)/2,0),ROUND((L8*M8*O8),0))</f>
        <v/>
      </c>
      <c r="Q8" s="37">
        <f>IF(AND(B8="South Korea",scenario="MID"),korea_mid_load,load_sel)</f>
        <v/>
      </c>
      <c r="R8" s="38">
        <f>pax_cap*Q8</f>
        <v/>
      </c>
      <c r="S8" s="36">
        <f>R8*P8</f>
        <v/>
      </c>
      <c r="T8" s="39">
        <f>E8*discount</f>
        <v/>
      </c>
      <c r="U8" s="40">
        <f>T8*S8</f>
        <v/>
      </c>
      <c r="V8" s="40">
        <f>(battery/range_nm)*D8*P8*VLOOKUP(B8,country_opex,3,FALSE)</f>
        <v/>
      </c>
      <c r="W8" s="40">
        <f>VLOOKUP(B8,country_opex,2,FALSE)*crew_factor</f>
        <v/>
      </c>
      <c r="X8" s="40">
        <f>VLOOKUP(B8,country_opex,5,FALSE)</f>
        <v/>
      </c>
      <c r="Y8" s="40">
        <f>maint</f>
        <v/>
      </c>
      <c r="Z8" s="40">
        <f>VLOOKUP(B8,country_opex,7,FALSE)*ins_pct</f>
        <v/>
      </c>
      <c r="AA8" s="40">
        <f>charge_berth</f>
        <v/>
      </c>
      <c r="AB8" s="40">
        <f>V8+W8+X8+Y8+Z8+AA8</f>
        <v/>
      </c>
      <c r="AC8" s="40">
        <f>VLOOKUP(B8,country_opex,7,FALSE)/dep_years</f>
        <v/>
      </c>
      <c r="AD8" s="40">
        <f>U8-AB8</f>
        <v/>
      </c>
      <c r="AE8" s="37">
        <f>IF(U8=0,"",AD8/U8)</f>
        <v/>
      </c>
      <c r="AF8" s="38">
        <f>IF(AD8&lt;=0,"",VLOOKUP(B8,country_opex,7,FALSE)/AD8)</f>
        <v/>
      </c>
      <c r="AG8" s="35">
        <f>((D8*P8/diesel_nmpg)*diesel_co2pg-(battery/range_nm)*D8*P8*VLOOKUP(B8,country_opex,4,FALSE))/1000</f>
        <v/>
      </c>
      <c r="AH8" s="33" t="n">
        <v>1115870</v>
      </c>
      <c r="AI8" s="34" t="inlineStr">
        <is>
          <t>T2</t>
        </is>
      </c>
      <c r="AJ8" s="34" t="inlineStr">
        <is>
          <t>high</t>
        </is>
      </c>
      <c r="AK8" s="41" t="n">
        <v>0.1</v>
      </c>
      <c r="AL8" s="36">
        <f>IF(AH8="","",AH8*AK8)</f>
        <v/>
      </c>
      <c r="AM8" s="36">
        <f>IF(OR(AH8="",S8=0),"",MIN(IF(AU8="",9.9E+99,AU8),FLOOR(AL8/S8,1)))</f>
        <v/>
      </c>
      <c r="AN8" s="40">
        <f>IF(AM8="","",AM8*IF(ABS(MOD(ABS((U8)),1)-0.5)&lt;1E-9,2*ROUND((U8)/2,0),ROUND((U8),0)))</f>
        <v/>
      </c>
      <c r="AO8" s="38">
        <f>IF(OR(AH8="",S8=0),"",MIN(IF(AU8="",9.9E+99,AU8),AL8/S8))</f>
        <v/>
      </c>
      <c r="AP8" s="40">
        <f>IF(AO8="","",AO8*IF(B8="South Korea",IF(ABS(MOD(ABS((U8)),1)-0.5)&lt;1E-9,2*ROUND((U8)/2,0),ROUND((U8),0)),U8))</f>
        <v/>
      </c>
      <c r="AQ8" s="42" t="n"/>
      <c r="AR8" s="34" t="inlineStr">
        <is>
          <t>Grounded</t>
        </is>
      </c>
      <c r="AS8" s="43" t="n"/>
      <c r="AT8" s="43" t="n"/>
      <c r="AU8" s="44" t="n"/>
      <c r="AV8" s="45">
        <f>IF(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&lt;=0,"",VLOOKUP(B8,country_opex,7,FALSE)/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)</f>
        <v/>
      </c>
      <c r="AW8" s="45">
        <f>IF(((T8*pax_cap*IF(B8="South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Korea",korea_mid_revleg,revleg_mid)),0))*VLOOKUP(B8,country_opex,3,FALSE))+W8+X8+Y8+Z8+AA8))&lt;=0,"",VLOOKUP(B8,country_opex,7,FALSE)/((T8*pax_cap*IF(B8="South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Korea",korea_mid_revleg,revleg_mid)),0))*VLOOKUP(B8,country_opex,3,FALSE))+W8+X8+Y8+Z8+AA8)))</f>
        <v/>
      </c>
      <c r="AX8" s="45">
        <f>IF(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&lt;=0,"",VLOOKUP(B8,country_opex,7,FALSE)/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)</f>
        <v/>
      </c>
      <c r="AY8" s="46" t="inlineStr">
        <is>
          <t>[LB-255 PREMIUM RE-FARE: subsidized comparable $3.75 lifted to premium on-demand floor $18.0] KOREA-L3-SOURCING fare_usd 3.75</t>
        </is>
      </c>
      <c r="AZ8" s="46" t="inlineStr">
        <is>
          <t>JTO / KOREA-L3-SOURCING Seongsan-Jongdal↔Udo 3.188M pool</t>
        </is>
      </c>
      <c r="BA8" s="34" t="inlineStr">
        <is>
          <t>rn-d128d9b4c5c8</t>
        </is>
      </c>
    </row>
    <row r="9">
      <c r="A9" s="31" t="inlineStr">
        <is>
          <t>Korea Swing</t>
        </is>
      </c>
      <c r="B9" s="31" t="inlineStr">
        <is>
          <t>South Korea</t>
        </is>
      </c>
      <c r="C9" s="32" t="inlineStr">
        <is>
          <t>Mangwon Pier → Yeouido</t>
        </is>
      </c>
      <c r="D9" s="33" t="n">
        <v>2.2</v>
      </c>
      <c r="E9" s="27" t="n">
        <v>18</v>
      </c>
      <c r="F9" s="34" t="inlineStr">
        <is>
          <t>T3</t>
        </is>
      </c>
      <c r="G9" s="34" t="inlineStr">
        <is>
          <t>low</t>
        </is>
      </c>
      <c r="H9" s="20" t="n">
        <v>1</v>
      </c>
      <c r="I9" s="35">
        <f>60*D9/cruise_kt</f>
        <v/>
      </c>
      <c r="J9" s="35">
        <f>IF(B9="South Korea",D9/korea_charge_range_nm*korea_full_range_charge_min,0)</f>
        <v/>
      </c>
      <c r="K9" s="35">
        <f>IF(B9="South Korea",I9+korea_turn_min+korea_dwell_min+J9,I9+turn_min+dwell_min)</f>
        <v/>
      </c>
      <c r="L9" s="36">
        <f>IF(B9="South Korea",FLOOR(60*korea_service_hr/K9,1),MIN(15,FLOOR(60*service_hr/K9,1)))</f>
        <v/>
      </c>
      <c r="M9" s="36">
        <f>IF(ABS(MOD(ABS((365*mech_uptime*H9)),1)-0.5)&lt;1E-9,2*ROUND((365*mech_uptime*H9)/2,0),ROUND((365*mech_uptime*H9),0))</f>
        <v/>
      </c>
      <c r="N9" s="37">
        <f>mech_uptime</f>
        <v/>
      </c>
      <c r="O9" s="37">
        <f>IF(AND(B9="South Korea",scenario="MID"),korea_mid_revleg,revleg_sel)</f>
        <v/>
      </c>
      <c r="P9" s="36">
        <f>IF(ABS(MOD(ABS((L9*M9*O9)),1)-0.5)&lt;1E-9,2*ROUND((L9*M9*O9)/2,0),ROUND((L9*M9*O9),0))</f>
        <v/>
      </c>
      <c r="Q9" s="37">
        <f>IF(AND(B9="South Korea",scenario="MID"),korea_mid_load,load_sel)</f>
        <v/>
      </c>
      <c r="R9" s="38">
        <f>pax_cap*Q9</f>
        <v/>
      </c>
      <c r="S9" s="36">
        <f>R9*P9</f>
        <v/>
      </c>
      <c r="T9" s="39">
        <f>E9*discount</f>
        <v/>
      </c>
      <c r="U9" s="40">
        <f>T9*S9</f>
        <v/>
      </c>
      <c r="V9" s="40">
        <f>(battery/range_nm)*D9*P9*VLOOKUP(B9,country_opex,3,FALSE)</f>
        <v/>
      </c>
      <c r="W9" s="40">
        <f>VLOOKUP(B9,country_opex,2,FALSE)*crew_factor</f>
        <v/>
      </c>
      <c r="X9" s="40">
        <f>VLOOKUP(B9,country_opex,5,FALSE)</f>
        <v/>
      </c>
      <c r="Y9" s="40">
        <f>maint</f>
        <v/>
      </c>
      <c r="Z9" s="40">
        <f>VLOOKUP(B9,country_opex,7,FALSE)*ins_pct</f>
        <v/>
      </c>
      <c r="AA9" s="40">
        <f>charge_berth</f>
        <v/>
      </c>
      <c r="AB9" s="40">
        <f>V9+W9+X9+Y9+Z9+AA9</f>
        <v/>
      </c>
      <c r="AC9" s="40">
        <f>VLOOKUP(B9,country_opex,7,FALSE)/dep_years</f>
        <v/>
      </c>
      <c r="AD9" s="40">
        <f>U9-AB9</f>
        <v/>
      </c>
      <c r="AE9" s="37">
        <f>IF(U9=0,"",AD9/U9)</f>
        <v/>
      </c>
      <c r="AF9" s="38">
        <f>IF(AD9&lt;=0,"",VLOOKUP(B9,country_opex,7,FALSE)/AD9)</f>
        <v/>
      </c>
      <c r="AG9" s="35">
        <f>((D9*P9/diesel_nmpg)*diesel_co2pg-(battery/range_nm)*D9*P9*VLOOKUP(B9,country_opex,4,FALSE))/1000</f>
        <v/>
      </c>
      <c r="AH9" s="33" t="n">
        <v>95455</v>
      </c>
      <c r="AI9" s="34" t="inlineStr">
        <is>
          <t>T1</t>
        </is>
      </c>
      <c r="AJ9" s="34" t="inlineStr">
        <is>
          <t>med</t>
        </is>
      </c>
      <c r="AK9" s="41" t="n">
        <v>0.1</v>
      </c>
      <c r="AL9" s="36">
        <f>IF(AH9="","",AH9*AK9)</f>
        <v/>
      </c>
      <c r="AM9" s="36">
        <f>IF(OR(AH9="",S9=0),"",MIN(IF(AU9="",9.9E+99,AU9),FLOOR(AL9/S9,1)))</f>
        <v/>
      </c>
      <c r="AN9" s="40">
        <f>IF(AM9="","",AM9*IF(ABS(MOD(ABS((U9)),1)-0.5)&lt;1E-9,2*ROUND((U9)/2,0),ROUND((U9),0)))</f>
        <v/>
      </c>
      <c r="AO9" s="38">
        <f>IF(OR(AH9="",S9=0),"",MIN(IF(AU9="",9.9E+99,AU9),AL9/S9))</f>
        <v/>
      </c>
      <c r="AP9" s="40">
        <f>IF(AO9="","",AO9*IF(B9="South Korea",IF(ABS(MOD(ABS((U9)),1)-0.5)&lt;1E-9,2*ROUND((U9)/2,0),ROUND((U9),0)),U9))</f>
        <v/>
      </c>
      <c r="AQ9" s="42" t="n"/>
      <c r="AR9" s="34" t="inlineStr">
        <is>
          <t>Grounded</t>
        </is>
      </c>
      <c r="AS9" s="43" t="n"/>
      <c r="AT9" s="43" t="n"/>
      <c r="AU9" s="44" t="n"/>
      <c r="AV9" s="45">
        <f>IF(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&lt;=0,"",VLOOKUP(B9,country_opex,7,FALSE)/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)</f>
        <v/>
      </c>
      <c r="AW9" s="45">
        <f>IF(((T9*pax_cap*IF(B9="South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Korea",korea_mid_revleg,revleg_mid)),0))*VLOOKUP(B9,country_opex,3,FALSE))+W9+X9+Y9+Z9+AA9))&lt;=0,"",VLOOKUP(B9,country_opex,7,FALSE)/((T9*pax_cap*IF(B9="South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Korea",korea_mid_revleg,revleg_mid)),0))*VLOOKUP(B9,country_opex,3,FALSE))+W9+X9+Y9+Z9+AA9)))</f>
        <v/>
      </c>
      <c r="AX9" s="45">
        <f>IF(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&lt;=0,"",VLOOKUP(B9,country_opex,7,FALSE)/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)</f>
        <v/>
      </c>
      <c r="AY9" s="46" t="inlineStr">
        <is>
          <t>[LB-255 PREMIUM RE-FARE: subsidized comparable $4.0 lifted to premium on-demand floor $18.0] band_default</t>
        </is>
      </c>
      <c r="AZ9" s="46" t="inlineStr">
        <is>
          <t>Seoul City Hangang Bus run-rate (~1.05M/yr; spec headline)</t>
        </is>
      </c>
      <c r="BA9" s="34" t="inlineStr">
        <is>
          <t>rn-0a711c22926a</t>
        </is>
      </c>
    </row>
    <row r="10">
      <c r="A10" s="31" t="inlineStr">
        <is>
          <t>Korea Swing</t>
        </is>
      </c>
      <c r="B10" s="31" t="inlineStr">
        <is>
          <t>South Korea</t>
        </is>
      </c>
      <c r="C10" s="32" t="inlineStr">
        <is>
          <t>Seoul Forest Wharf → Ttukseom</t>
        </is>
      </c>
      <c r="D10" s="33" t="n">
        <v>3</v>
      </c>
      <c r="E10" s="27" t="n">
        <v>18</v>
      </c>
      <c r="F10" s="34" t="inlineStr">
        <is>
          <t>T3</t>
        </is>
      </c>
      <c r="G10" s="34" t="inlineStr">
        <is>
          <t>low</t>
        </is>
      </c>
      <c r="H10" s="20" t="n">
        <v>1</v>
      </c>
      <c r="I10" s="35">
        <f>60*D10/cruise_kt</f>
        <v/>
      </c>
      <c r="J10" s="35">
        <f>IF(B10="South Korea",D10/korea_charge_range_nm*korea_full_range_charge_min,0)</f>
        <v/>
      </c>
      <c r="K10" s="35">
        <f>IF(B10="South Korea",I10+korea_turn_min+korea_dwell_min+J10,I10+turn_min+dwell_min)</f>
        <v/>
      </c>
      <c r="L10" s="36">
        <f>IF(B10="South Korea",FLOOR(60*korea_service_hr/K10,1),MIN(15,FLOOR(60*service_hr/K10,1)))</f>
        <v/>
      </c>
      <c r="M10" s="36">
        <f>IF(ABS(MOD(ABS((365*mech_uptime*H10)),1)-0.5)&lt;1E-9,2*ROUND((365*mech_uptime*H10)/2,0),ROUND((365*mech_uptime*H10),0))</f>
        <v/>
      </c>
      <c r="N10" s="37">
        <f>mech_uptime</f>
        <v/>
      </c>
      <c r="O10" s="37">
        <f>IF(AND(B10="South Korea",scenario="MID"),korea_mid_revleg,revleg_sel)</f>
        <v/>
      </c>
      <c r="P10" s="36">
        <f>IF(ABS(MOD(ABS((L10*M10*O10)),1)-0.5)&lt;1E-9,2*ROUND((L10*M10*O10)/2,0),ROUND((L10*M10*O10),0))</f>
        <v/>
      </c>
      <c r="Q10" s="37">
        <f>IF(AND(B10="South Korea",scenario="MID"),korea_mid_load,load_sel)</f>
        <v/>
      </c>
      <c r="R10" s="38">
        <f>pax_cap*Q10</f>
        <v/>
      </c>
      <c r="S10" s="36">
        <f>R10*P10</f>
        <v/>
      </c>
      <c r="T10" s="39">
        <f>E10*discount</f>
        <v/>
      </c>
      <c r="U10" s="40">
        <f>T10*S10</f>
        <v/>
      </c>
      <c r="V10" s="40">
        <f>(battery/range_nm)*D10*P10*VLOOKUP(B10,country_opex,3,FALSE)</f>
        <v/>
      </c>
      <c r="W10" s="40">
        <f>VLOOKUP(B10,country_opex,2,FALSE)*crew_factor</f>
        <v/>
      </c>
      <c r="X10" s="40">
        <f>VLOOKUP(B10,country_opex,5,FALSE)</f>
        <v/>
      </c>
      <c r="Y10" s="40">
        <f>maint</f>
        <v/>
      </c>
      <c r="Z10" s="40">
        <f>VLOOKUP(B10,country_opex,7,FALSE)*ins_pct</f>
        <v/>
      </c>
      <c r="AA10" s="40">
        <f>charge_berth</f>
        <v/>
      </c>
      <c r="AB10" s="40">
        <f>V10+W10+X10+Y10+Z10+AA10</f>
        <v/>
      </c>
      <c r="AC10" s="40">
        <f>VLOOKUP(B10,country_opex,7,FALSE)/dep_years</f>
        <v/>
      </c>
      <c r="AD10" s="40">
        <f>U10-AB10</f>
        <v/>
      </c>
      <c r="AE10" s="37">
        <f>IF(U10=0,"",AD10/U10)</f>
        <v/>
      </c>
      <c r="AF10" s="38">
        <f>IF(AD10&lt;=0,"",VLOOKUP(B10,country_opex,7,FALSE)/AD10)</f>
        <v/>
      </c>
      <c r="AG10" s="35">
        <f>((D10*P10/diesel_nmpg)*diesel_co2pg-(battery/range_nm)*D10*P10*VLOOKUP(B10,country_opex,4,FALSE))/1000</f>
        <v/>
      </c>
      <c r="AH10" s="33" t="n">
        <v>95455</v>
      </c>
      <c r="AI10" s="34" t="inlineStr">
        <is>
          <t>T1</t>
        </is>
      </c>
      <c r="AJ10" s="34" t="inlineStr">
        <is>
          <t>med</t>
        </is>
      </c>
      <c r="AK10" s="41" t="n">
        <v>0.1</v>
      </c>
      <c r="AL10" s="36">
        <f>IF(AH10="","",AH10*AK10)</f>
        <v/>
      </c>
      <c r="AM10" s="36">
        <f>IF(OR(AH10="",S10=0),"",MIN(IF(AU10="",9.9E+99,AU10),FLOOR(AL10/S10,1)))</f>
        <v/>
      </c>
      <c r="AN10" s="40">
        <f>IF(AM10="","",AM10*IF(ABS(MOD(ABS((U10)),1)-0.5)&lt;1E-9,2*ROUND((U10)/2,0),ROUND((U10),0)))</f>
        <v/>
      </c>
      <c r="AO10" s="38">
        <f>IF(OR(AH10="",S10=0),"",MIN(IF(AU10="",9.9E+99,AU10),AL10/S10))</f>
        <v/>
      </c>
      <c r="AP10" s="40">
        <f>IF(AO10="","",AO10*IF(B10="South Korea",IF(ABS(MOD(ABS((U10)),1)-0.5)&lt;1E-9,2*ROUND((U10)/2,0),ROUND((U10),0)),U10))</f>
        <v/>
      </c>
      <c r="AQ10" s="42" t="n"/>
      <c r="AR10" s="34" t="inlineStr">
        <is>
          <t>Grounded</t>
        </is>
      </c>
      <c r="AS10" s="43" t="n"/>
      <c r="AT10" s="43" t="n"/>
      <c r="AU10" s="44" t="n"/>
      <c r="AV10" s="45">
        <f>IF(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&lt;=0,"",VLOOKUP(B10,country_opex,7,FALSE)/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)</f>
        <v/>
      </c>
      <c r="AW10" s="45">
        <f>IF(((T10*pax_cap*IF(B10="South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Korea",korea_mid_revleg,revleg_mid)),0))*VLOOKUP(B10,country_opex,3,FALSE))+W10+X10+Y10+Z10+AA10))&lt;=0,"",VLOOKUP(B10,country_opex,7,FALSE)/((T10*pax_cap*IF(B10="South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Korea",korea_mid_revleg,revleg_mid)),0))*VLOOKUP(B10,country_opex,3,FALSE))+W10+X10+Y10+Z10+AA10)))</f>
        <v/>
      </c>
      <c r="AX10" s="45">
        <f>IF(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&lt;=0,"",VLOOKUP(B10,country_opex,7,FALSE)/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)</f>
        <v/>
      </c>
      <c r="AY10" s="46" t="inlineStr">
        <is>
          <t>[LB-255 PREMIUM RE-FARE: subsidized comparable $4.0 lifted to premium on-demand floor $18.0] band_default</t>
        </is>
      </c>
      <c r="AZ10" s="46" t="inlineStr">
        <is>
          <t>Seoul City Hangang Bus run-rate (~1.05M/yr; spec headline)</t>
        </is>
      </c>
      <c r="BA10" s="34" t="inlineStr">
        <is>
          <t>rn-bc4b1bfe4b23</t>
        </is>
      </c>
    </row>
    <row r="11">
      <c r="A11" s="31" t="inlineStr">
        <is>
          <t>Korea Swing</t>
        </is>
      </c>
      <c r="B11" s="31" t="inlineStr">
        <is>
          <t>South Korea</t>
        </is>
      </c>
      <c r="C11" s="32" t="inlineStr">
        <is>
          <t>Magok → Mangwon Pier</t>
        </is>
      </c>
      <c r="D11" s="33" t="n">
        <v>3.4</v>
      </c>
      <c r="E11" s="27" t="n">
        <v>18</v>
      </c>
      <c r="F11" s="34" t="inlineStr">
        <is>
          <t>T3</t>
        </is>
      </c>
      <c r="G11" s="34" t="inlineStr">
        <is>
          <t>low</t>
        </is>
      </c>
      <c r="H11" s="20" t="n">
        <v>1</v>
      </c>
      <c r="I11" s="35">
        <f>60*D11/cruise_kt</f>
        <v/>
      </c>
      <c r="J11" s="35">
        <f>IF(B11="South Korea",D11/korea_charge_range_nm*korea_full_range_charge_min,0)</f>
        <v/>
      </c>
      <c r="K11" s="35">
        <f>IF(B11="South Korea",I11+korea_turn_min+korea_dwell_min+J11,I11+turn_min+dwell_min)</f>
        <v/>
      </c>
      <c r="L11" s="36">
        <f>IF(B11="South Korea",FLOOR(60*korea_service_hr/K11,1),MIN(15,FLOOR(60*service_hr/K11,1)))</f>
        <v/>
      </c>
      <c r="M11" s="36">
        <f>IF(ABS(MOD(ABS((365*mech_uptime*H11)),1)-0.5)&lt;1E-9,2*ROUND((365*mech_uptime*H11)/2,0),ROUND((365*mech_uptime*H11),0))</f>
        <v/>
      </c>
      <c r="N11" s="37">
        <f>mech_uptime</f>
        <v/>
      </c>
      <c r="O11" s="37">
        <f>IF(AND(B11="South Korea",scenario="MID"),korea_mid_revleg,revleg_sel)</f>
        <v/>
      </c>
      <c r="P11" s="36">
        <f>IF(ABS(MOD(ABS((L11*M11*O11)),1)-0.5)&lt;1E-9,2*ROUND((L11*M11*O11)/2,0),ROUND((L11*M11*O11),0))</f>
        <v/>
      </c>
      <c r="Q11" s="37">
        <f>IF(AND(B11="South Korea",scenario="MID"),korea_mid_load,load_sel)</f>
        <v/>
      </c>
      <c r="R11" s="38">
        <f>pax_cap*Q11</f>
        <v/>
      </c>
      <c r="S11" s="36">
        <f>R11*P11</f>
        <v/>
      </c>
      <c r="T11" s="39">
        <f>E11*discount</f>
        <v/>
      </c>
      <c r="U11" s="40">
        <f>T11*S11</f>
        <v/>
      </c>
      <c r="V11" s="40">
        <f>(battery/range_nm)*D11*P11*VLOOKUP(B11,country_opex,3,FALSE)</f>
        <v/>
      </c>
      <c r="W11" s="40">
        <f>VLOOKUP(B11,country_opex,2,FALSE)*crew_factor</f>
        <v/>
      </c>
      <c r="X11" s="40">
        <f>VLOOKUP(B11,country_opex,5,FALSE)</f>
        <v/>
      </c>
      <c r="Y11" s="40">
        <f>maint</f>
        <v/>
      </c>
      <c r="Z11" s="40">
        <f>VLOOKUP(B11,country_opex,7,FALSE)*ins_pct</f>
        <v/>
      </c>
      <c r="AA11" s="40">
        <f>charge_berth</f>
        <v/>
      </c>
      <c r="AB11" s="40">
        <f>V11+W11+X11+Y11+Z11+AA11</f>
        <v/>
      </c>
      <c r="AC11" s="40">
        <f>VLOOKUP(B11,country_opex,7,FALSE)/dep_years</f>
        <v/>
      </c>
      <c r="AD11" s="40">
        <f>U11-AB11</f>
        <v/>
      </c>
      <c r="AE11" s="37">
        <f>IF(U11=0,"",AD11/U11)</f>
        <v/>
      </c>
      <c r="AF11" s="38">
        <f>IF(AD11&lt;=0,"",VLOOKUP(B11,country_opex,7,FALSE)/AD11)</f>
        <v/>
      </c>
      <c r="AG11" s="35">
        <f>((D11*P11/diesel_nmpg)*diesel_co2pg-(battery/range_nm)*D11*P11*VLOOKUP(B11,country_opex,4,FALSE))/1000</f>
        <v/>
      </c>
      <c r="AH11" s="33" t="n">
        <v>95455</v>
      </c>
      <c r="AI11" s="34" t="inlineStr">
        <is>
          <t>T1</t>
        </is>
      </c>
      <c r="AJ11" s="34" t="inlineStr">
        <is>
          <t>med</t>
        </is>
      </c>
      <c r="AK11" s="41" t="n">
        <v>0.1</v>
      </c>
      <c r="AL11" s="36">
        <f>IF(AH11="","",AH11*AK11)</f>
        <v/>
      </c>
      <c r="AM11" s="36">
        <f>IF(OR(AH11="",S11=0),"",MIN(IF(AU11="",9.9E+99,AU11),FLOOR(AL11/S11,1)))</f>
        <v/>
      </c>
      <c r="AN11" s="40">
        <f>IF(AM11="","",AM11*IF(ABS(MOD(ABS((U11)),1)-0.5)&lt;1E-9,2*ROUND((U11)/2,0),ROUND((U11),0)))</f>
        <v/>
      </c>
      <c r="AO11" s="38">
        <f>IF(OR(AH11="",S11=0),"",MIN(IF(AU11="",9.9E+99,AU11),AL11/S11))</f>
        <v/>
      </c>
      <c r="AP11" s="40">
        <f>IF(AO11="","",AO11*IF(B11="South Korea",IF(ABS(MOD(ABS((U11)),1)-0.5)&lt;1E-9,2*ROUND((U11)/2,0),ROUND((U11),0)),U11))</f>
        <v/>
      </c>
      <c r="AQ11" s="42" t="n"/>
      <c r="AR11" s="34" t="inlineStr">
        <is>
          <t>Grounded</t>
        </is>
      </c>
      <c r="AS11" s="43" t="n"/>
      <c r="AT11" s="43" t="n"/>
      <c r="AU11" s="44" t="n"/>
      <c r="AV11" s="45">
        <f>IF(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&lt;=0,"",VLOOKUP(B11,country_opex,7,FALSE)/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)</f>
        <v/>
      </c>
      <c r="AW11" s="45">
        <f>IF(((T11*pax_cap*IF(B11="South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Korea",korea_mid_revleg,revleg_mid)),0))*VLOOKUP(B11,country_opex,3,FALSE))+W11+X11+Y11+Z11+AA11))&lt;=0,"",VLOOKUP(B11,country_opex,7,FALSE)/((T11*pax_cap*IF(B11="South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Korea",korea_mid_revleg,revleg_mid)),0))*VLOOKUP(B11,country_opex,3,FALSE))+W11+X11+Y11+Z11+AA11)))</f>
        <v/>
      </c>
      <c r="AX11" s="45">
        <f>IF(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&lt;=0,"",VLOOKUP(B11,country_opex,7,FALSE)/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)</f>
        <v/>
      </c>
      <c r="AY11" s="46" t="inlineStr">
        <is>
          <t>[LB-255 PREMIUM RE-FARE: subsidized comparable $4.0 lifted to premium on-demand floor $18.0] band_default</t>
        </is>
      </c>
      <c r="AZ11" s="46" t="inlineStr">
        <is>
          <t>Seoul City Hangang Bus run-rate (~1.05M/yr; spec headline)</t>
        </is>
      </c>
      <c r="BA11" s="34" t="inlineStr">
        <is>
          <t>rn-dd8e26889f29</t>
        </is>
      </c>
    </row>
    <row r="12">
      <c r="A12" s="31" t="inlineStr">
        <is>
          <t>Korea Swing</t>
        </is>
      </c>
      <c r="B12" s="31" t="inlineStr">
        <is>
          <t>South Korea</t>
        </is>
      </c>
      <c r="C12" s="32" t="inlineStr">
        <is>
          <t>Busan → Busan/Geoje Cluster</t>
        </is>
      </c>
      <c r="D12" s="33" t="n">
        <v>3.5</v>
      </c>
      <c r="E12" s="27" t="n">
        <v>18</v>
      </c>
      <c r="F12" s="34" t="inlineStr">
        <is>
          <t>T3</t>
        </is>
      </c>
      <c r="G12" s="34" t="inlineStr">
        <is>
          <t>low</t>
        </is>
      </c>
      <c r="H12" s="20" t="n">
        <v>1</v>
      </c>
      <c r="I12" s="35">
        <f>60*D12/cruise_kt</f>
        <v/>
      </c>
      <c r="J12" s="35">
        <f>IF(B12="South Korea",D12/korea_charge_range_nm*korea_full_range_charge_min,0)</f>
        <v/>
      </c>
      <c r="K12" s="35">
        <f>IF(B12="South Korea",I12+korea_turn_min+korea_dwell_min+J12,I12+turn_min+dwell_min)</f>
        <v/>
      </c>
      <c r="L12" s="36">
        <f>IF(B12="South Korea",FLOOR(60*korea_service_hr/K12,1),MIN(15,FLOOR(60*service_hr/K12,1)))</f>
        <v/>
      </c>
      <c r="M12" s="36">
        <f>IF(ABS(MOD(ABS((365*mech_uptime*H12)),1)-0.5)&lt;1E-9,2*ROUND((365*mech_uptime*H12)/2,0),ROUND((365*mech_uptime*H12),0))</f>
        <v/>
      </c>
      <c r="N12" s="37">
        <f>mech_uptime</f>
        <v/>
      </c>
      <c r="O12" s="37">
        <f>IF(AND(B12="South Korea",scenario="MID"),korea_mid_revleg,revleg_sel)</f>
        <v/>
      </c>
      <c r="P12" s="36">
        <f>IF(ABS(MOD(ABS((L12*M12*O12)),1)-0.5)&lt;1E-9,2*ROUND((L12*M12*O12)/2,0),ROUND((L12*M12*O12),0))</f>
        <v/>
      </c>
      <c r="Q12" s="37">
        <f>IF(AND(B12="South Korea",scenario="MID"),korea_mid_load,load_sel)</f>
        <v/>
      </c>
      <c r="R12" s="38">
        <f>pax_cap*Q12</f>
        <v/>
      </c>
      <c r="S12" s="36">
        <f>R12*P12</f>
        <v/>
      </c>
      <c r="T12" s="39">
        <f>E12*discount</f>
        <v/>
      </c>
      <c r="U12" s="40">
        <f>T12*S12</f>
        <v/>
      </c>
      <c r="V12" s="40">
        <f>(battery/range_nm)*D12*P12*VLOOKUP(B12,country_opex,3,FALSE)</f>
        <v/>
      </c>
      <c r="W12" s="40">
        <f>VLOOKUP(B12,country_opex,2,FALSE)*crew_factor</f>
        <v/>
      </c>
      <c r="X12" s="40">
        <f>VLOOKUP(B12,country_opex,5,FALSE)</f>
        <v/>
      </c>
      <c r="Y12" s="40">
        <f>maint</f>
        <v/>
      </c>
      <c r="Z12" s="40">
        <f>VLOOKUP(B12,country_opex,7,FALSE)*ins_pct</f>
        <v/>
      </c>
      <c r="AA12" s="40">
        <f>charge_berth</f>
        <v/>
      </c>
      <c r="AB12" s="40">
        <f>V12+W12+X12+Y12+Z12+AA12</f>
        <v/>
      </c>
      <c r="AC12" s="40">
        <f>VLOOKUP(B12,country_opex,7,FALSE)/dep_years</f>
        <v/>
      </c>
      <c r="AD12" s="40">
        <f>U12-AB12</f>
        <v/>
      </c>
      <c r="AE12" s="37">
        <f>IF(U12=0,"",AD12/U12)</f>
        <v/>
      </c>
      <c r="AF12" s="38">
        <f>IF(AD12&lt;=0,"",VLOOKUP(B12,country_opex,7,FALSE)/AD12)</f>
        <v/>
      </c>
      <c r="AG12" s="35">
        <f>((D12*P12/diesel_nmpg)*diesel_co2pg-(battery/range_nm)*D12*P12*VLOOKUP(B12,country_opex,4,FALSE))/1000</f>
        <v/>
      </c>
      <c r="AH12" s="33" t="n">
        <v>200000</v>
      </c>
      <c r="AI12" s="34" t="inlineStr">
        <is>
          <t>T2</t>
        </is>
      </c>
      <c r="AJ12" s="34" t="inlineStr">
        <is>
          <t>med</t>
        </is>
      </c>
      <c r="AK12" s="41" t="n">
        <v>0.1</v>
      </c>
      <c r="AL12" s="36">
        <f>IF(AH12="","",AH12*AK12)</f>
        <v/>
      </c>
      <c r="AM12" s="36">
        <f>IF(OR(AH12="",S12=0),"",MIN(IF(AU12="",9.9E+99,AU12),FLOOR(AL12/S12,1)))</f>
        <v/>
      </c>
      <c r="AN12" s="40">
        <f>IF(AM12="","",AM12*IF(ABS(MOD(ABS((U12)),1)-0.5)&lt;1E-9,2*ROUND((U12)/2,0),ROUND((U12),0)))</f>
        <v/>
      </c>
      <c r="AO12" s="38">
        <f>IF(OR(AH12="",S12=0),"",MIN(IF(AU12="",9.9E+99,AU12),AL12/S12))</f>
        <v/>
      </c>
      <c r="AP12" s="40">
        <f>IF(AO12="","",AO12*IF(B12="South Korea",IF(ABS(MOD(ABS((U12)),1)-0.5)&lt;1E-9,2*ROUND((U12)/2,0),ROUND((U12),0)),U12))</f>
        <v/>
      </c>
      <c r="AQ12" s="42" t="n"/>
      <c r="AR12" s="34" t="inlineStr">
        <is>
          <t>Grounded</t>
        </is>
      </c>
      <c r="AS12" s="43" t="n"/>
      <c r="AT12" s="43" t="n"/>
      <c r="AU12" s="44" t="n"/>
      <c r="AV12" s="45">
        <f>IF(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&lt;=0,"",VLOOKUP(B12,country_opex,7,FALSE)/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)</f>
        <v/>
      </c>
      <c r="AW12" s="45">
        <f>IF(((T12*pax_cap*IF(B12="South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Korea",korea_mid_revleg,revleg_mid)),0))*VLOOKUP(B12,country_opex,3,FALSE))+W12+X12+Y12+Z12+AA12))&lt;=0,"",VLOOKUP(B12,country_opex,7,FALSE)/((T12*pax_cap*IF(B12="South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Korea",korea_mid_revleg,revleg_mid)),0))*VLOOKUP(B12,country_opex,3,FALSE))+W12+X12+Y12+Z12+AA12)))</f>
        <v/>
      </c>
      <c r="AX12" s="45">
        <f>IF(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&lt;=0,"",VLOOKUP(B12,country_opex,7,FALSE)/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)</f>
        <v/>
      </c>
      <c r="AY12" s="46" t="inlineStr">
        <is>
          <t>[LB-255 PREMIUM RE-FARE: subsidized comparable $4.0 lifted to premium on-demand floor $18.0] band_default</t>
        </is>
      </c>
      <c r="AZ12" s="46" t="inlineStr">
        <is>
          <t>Geoje Oedo cruise piers ~1M customers/yr (allocation pool)</t>
        </is>
      </c>
      <c r="BA12" s="34" t="inlineStr">
        <is>
          <t>rn-38d097ab8503</t>
        </is>
      </c>
    </row>
    <row r="13">
      <c r="A13" s="31" t="inlineStr">
        <is>
          <t>Korea Swing</t>
        </is>
      </c>
      <c r="B13" s="31" t="inlineStr">
        <is>
          <t>South Korea</t>
        </is>
      </c>
      <c r="C13" s="32" t="inlineStr">
        <is>
          <t>Seongsan Eup → Seopjikoji</t>
        </is>
      </c>
      <c r="D13" s="33" t="n">
        <v>3.6</v>
      </c>
      <c r="E13" s="27" t="n">
        <v>18</v>
      </c>
      <c r="F13" s="34" t="inlineStr">
        <is>
          <t>T3</t>
        </is>
      </c>
      <c r="G13" s="34" t="inlineStr">
        <is>
          <t>low</t>
        </is>
      </c>
      <c r="H13" s="20" t="n">
        <v>1</v>
      </c>
      <c r="I13" s="35">
        <f>60*D13/cruise_kt</f>
        <v/>
      </c>
      <c r="J13" s="35">
        <f>IF(B13="South Korea",D13/korea_charge_range_nm*korea_full_range_charge_min,0)</f>
        <v/>
      </c>
      <c r="K13" s="35">
        <f>IF(B13="South Korea",I13+korea_turn_min+korea_dwell_min+J13,I13+turn_min+dwell_min)</f>
        <v/>
      </c>
      <c r="L13" s="36">
        <f>IF(B13="South Korea",FLOOR(60*korea_service_hr/K13,1),MIN(15,FLOOR(60*service_hr/K13,1)))</f>
        <v/>
      </c>
      <c r="M13" s="36">
        <f>IF(ABS(MOD(ABS((365*mech_uptime*H13)),1)-0.5)&lt;1E-9,2*ROUND((365*mech_uptime*H13)/2,0),ROUND((365*mech_uptime*H13),0))</f>
        <v/>
      </c>
      <c r="N13" s="37">
        <f>mech_uptime</f>
        <v/>
      </c>
      <c r="O13" s="37">
        <f>IF(AND(B13="South Korea",scenario="MID"),korea_mid_revleg,revleg_sel)</f>
        <v/>
      </c>
      <c r="P13" s="36">
        <f>IF(ABS(MOD(ABS((L13*M13*O13)),1)-0.5)&lt;1E-9,2*ROUND((L13*M13*O13)/2,0),ROUND((L13*M13*O13),0))</f>
        <v/>
      </c>
      <c r="Q13" s="37">
        <f>IF(AND(B13="South Korea",scenario="MID"),korea_mid_load,load_sel)</f>
        <v/>
      </c>
      <c r="R13" s="38">
        <f>pax_cap*Q13</f>
        <v/>
      </c>
      <c r="S13" s="36">
        <f>R13*P13</f>
        <v/>
      </c>
      <c r="T13" s="39">
        <f>E13*discount</f>
        <v/>
      </c>
      <c r="U13" s="40">
        <f>T13*S13</f>
        <v/>
      </c>
      <c r="V13" s="40">
        <f>(battery/range_nm)*D13*P13*VLOOKUP(B13,country_opex,3,FALSE)</f>
        <v/>
      </c>
      <c r="W13" s="40">
        <f>VLOOKUP(B13,country_opex,2,FALSE)*crew_factor</f>
        <v/>
      </c>
      <c r="X13" s="40">
        <f>VLOOKUP(B13,country_opex,5,FALSE)</f>
        <v/>
      </c>
      <c r="Y13" s="40">
        <f>maint</f>
        <v/>
      </c>
      <c r="Z13" s="40">
        <f>VLOOKUP(B13,country_opex,7,FALSE)*ins_pct</f>
        <v/>
      </c>
      <c r="AA13" s="40">
        <f>charge_berth</f>
        <v/>
      </c>
      <c r="AB13" s="40">
        <f>V13+W13+X13+Y13+Z13+AA13</f>
        <v/>
      </c>
      <c r="AC13" s="40">
        <f>VLOOKUP(B13,country_opex,7,FALSE)/dep_years</f>
        <v/>
      </c>
      <c r="AD13" s="40">
        <f>U13-AB13</f>
        <v/>
      </c>
      <c r="AE13" s="37">
        <f>IF(U13=0,"",AD13/U13)</f>
        <v/>
      </c>
      <c r="AF13" s="38">
        <f>IF(AD13&lt;=0,"",VLOOKUP(B13,country_opex,7,FALSE)/AD13)</f>
        <v/>
      </c>
      <c r="AG13" s="35">
        <f>((D13*P13/diesel_nmpg)*diesel_co2pg-(battery/range_nm)*D13*P13*VLOOKUP(B13,country_opex,4,FALSE))/1000</f>
        <v/>
      </c>
      <c r="AH13" s="33" t="n">
        <v>29535</v>
      </c>
      <c r="AI13" s="34" t="inlineStr">
        <is>
          <t>T3</t>
        </is>
      </c>
      <c r="AJ13" s="34" t="inlineStr">
        <is>
          <t>low</t>
        </is>
      </c>
      <c r="AK13" s="41" t="n">
        <v>0.1</v>
      </c>
      <c r="AL13" s="36">
        <f>IF(AH13="","",AH13*AK13)</f>
        <v/>
      </c>
      <c r="AM13" s="36">
        <f>IF(OR(AH13="",S13=0),"",MIN(IF(AU13="",9.9E+99,AU13),FLOOR(AL13/S13,1)))</f>
        <v/>
      </c>
      <c r="AN13" s="40">
        <f>IF(AM13="","",AM13*IF(ABS(MOD(ABS((U13)),1)-0.5)&lt;1E-9,2*ROUND((U13)/2,0),ROUND((U13),0)))</f>
        <v/>
      </c>
      <c r="AO13" s="38">
        <f>IF(OR(AH13="",S13=0),"",MIN(IF(AU13="",9.9E+99,AU13),AL13/S13))</f>
        <v/>
      </c>
      <c r="AP13" s="40">
        <f>IF(AO13="","",AO13*IF(B13="South Korea",IF(ABS(MOD(ABS((U13)),1)-0.5)&lt;1E-9,2*ROUND((U13)/2,0),ROUND((U13),0)),U13))</f>
        <v/>
      </c>
      <c r="AQ13" s="42" t="n"/>
      <c r="AR13" s="34" t="inlineStr">
        <is>
          <t>Grounded</t>
        </is>
      </c>
      <c r="AS13" s="43" t="n"/>
      <c r="AT13" s="43" t="n"/>
      <c r="AU13" s="44" t="n"/>
      <c r="AV13" s="45">
        <f>IF(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&lt;=0,"",VLOOKUP(B13,country_opex,7,FALSE)/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)</f>
        <v/>
      </c>
      <c r="AW13" s="45">
        <f>IF(((T13*pax_cap*IF(B13="South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Korea",korea_mid_revleg,revleg_mid)),0))*VLOOKUP(B13,country_opex,3,FALSE))+W13+X13+Y13+Z13+AA13))&lt;=0,"",VLOOKUP(B13,country_opex,7,FALSE)/((T13*pax_cap*IF(B13="South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Korea",korea_mid_revleg,revleg_mid)),0))*VLOOKUP(B13,country_opex,3,FALSE))+W13+X13+Y13+Z13+AA13)))</f>
        <v/>
      </c>
      <c r="AX13" s="45">
        <f>IF(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&lt;=0,"",VLOOKUP(B13,country_opex,7,FALSE)/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)</f>
        <v/>
      </c>
      <c r="AY13" s="46" t="inlineStr">
        <is>
          <t>[LB-255 PREMIUM RE-FARE: subsidized comparable $4.0 lifted to premium on-demand floor $18.0] band_default</t>
        </is>
      </c>
      <c r="AZ13" s="46" t="inlineStr">
        <is>
          <t>greenfield_convention</t>
        </is>
      </c>
      <c r="BA13" s="34" t="inlineStr">
        <is>
          <t>rn-dd841301f944</t>
        </is>
      </c>
    </row>
    <row r="14">
      <c r="A14" s="31" t="inlineStr">
        <is>
          <t>Korea Swing</t>
        </is>
      </c>
      <c r="B14" s="31" t="inlineStr">
        <is>
          <t>South Korea</t>
        </is>
      </c>
      <c r="C14" s="32" t="inlineStr">
        <is>
          <t>Yeouido → Oksu Pier</t>
        </is>
      </c>
      <c r="D14" s="33" t="n">
        <v>4.4</v>
      </c>
      <c r="E14" s="27" t="n">
        <v>18</v>
      </c>
      <c r="F14" s="34" t="inlineStr">
        <is>
          <t>T3</t>
        </is>
      </c>
      <c r="G14" s="34" t="inlineStr">
        <is>
          <t>low</t>
        </is>
      </c>
      <c r="H14" s="20" t="n">
        <v>1</v>
      </c>
      <c r="I14" s="35">
        <f>60*D14/cruise_kt</f>
        <v/>
      </c>
      <c r="J14" s="35">
        <f>IF(B14="South Korea",D14/korea_charge_range_nm*korea_full_range_charge_min,0)</f>
        <v/>
      </c>
      <c r="K14" s="35">
        <f>IF(B14="South Korea",I14+korea_turn_min+korea_dwell_min+J14,I14+turn_min+dwell_min)</f>
        <v/>
      </c>
      <c r="L14" s="36">
        <f>IF(B14="South Korea",FLOOR(60*korea_service_hr/K14,1),MIN(15,FLOOR(60*service_hr/K14,1)))</f>
        <v/>
      </c>
      <c r="M14" s="36">
        <f>IF(ABS(MOD(ABS((365*mech_uptime*H14)),1)-0.5)&lt;1E-9,2*ROUND((365*mech_uptime*H14)/2,0),ROUND((365*mech_uptime*H14),0))</f>
        <v/>
      </c>
      <c r="N14" s="37">
        <f>mech_uptime</f>
        <v/>
      </c>
      <c r="O14" s="37">
        <f>IF(AND(B14="South Korea",scenario="MID"),korea_mid_revleg,revleg_sel)</f>
        <v/>
      </c>
      <c r="P14" s="36">
        <f>IF(ABS(MOD(ABS((L14*M14*O14)),1)-0.5)&lt;1E-9,2*ROUND((L14*M14*O14)/2,0),ROUND((L14*M14*O14),0))</f>
        <v/>
      </c>
      <c r="Q14" s="37">
        <f>IF(AND(B14="South Korea",scenario="MID"),korea_mid_load,load_sel)</f>
        <v/>
      </c>
      <c r="R14" s="38">
        <f>pax_cap*Q14</f>
        <v/>
      </c>
      <c r="S14" s="36">
        <f>R14*P14</f>
        <v/>
      </c>
      <c r="T14" s="39">
        <f>E14*discount</f>
        <v/>
      </c>
      <c r="U14" s="40">
        <f>T14*S14</f>
        <v/>
      </c>
      <c r="V14" s="40">
        <f>(battery/range_nm)*D14*P14*VLOOKUP(B14,country_opex,3,FALSE)</f>
        <v/>
      </c>
      <c r="W14" s="40">
        <f>VLOOKUP(B14,country_opex,2,FALSE)*crew_factor</f>
        <v/>
      </c>
      <c r="X14" s="40">
        <f>VLOOKUP(B14,country_opex,5,FALSE)</f>
        <v/>
      </c>
      <c r="Y14" s="40">
        <f>maint</f>
        <v/>
      </c>
      <c r="Z14" s="40">
        <f>VLOOKUP(B14,country_opex,7,FALSE)*ins_pct</f>
        <v/>
      </c>
      <c r="AA14" s="40">
        <f>charge_berth</f>
        <v/>
      </c>
      <c r="AB14" s="40">
        <f>V14+W14+X14+Y14+Z14+AA14</f>
        <v/>
      </c>
      <c r="AC14" s="40">
        <f>VLOOKUP(B14,country_opex,7,FALSE)/dep_years</f>
        <v/>
      </c>
      <c r="AD14" s="40">
        <f>U14-AB14</f>
        <v/>
      </c>
      <c r="AE14" s="37">
        <f>IF(U14=0,"",AD14/U14)</f>
        <v/>
      </c>
      <c r="AF14" s="38">
        <f>IF(AD14&lt;=0,"",VLOOKUP(B14,country_opex,7,FALSE)/AD14)</f>
        <v/>
      </c>
      <c r="AG14" s="35">
        <f>((D14*P14/diesel_nmpg)*diesel_co2pg-(battery/range_nm)*D14*P14*VLOOKUP(B14,country_opex,4,FALSE))/1000</f>
        <v/>
      </c>
      <c r="AH14" s="33" t="n">
        <v>95455</v>
      </c>
      <c r="AI14" s="34" t="inlineStr">
        <is>
          <t>T1</t>
        </is>
      </c>
      <c r="AJ14" s="34" t="inlineStr">
        <is>
          <t>med</t>
        </is>
      </c>
      <c r="AK14" s="41" t="n">
        <v>0.1</v>
      </c>
      <c r="AL14" s="36">
        <f>IF(AH14="","",AH14*AK14)</f>
        <v/>
      </c>
      <c r="AM14" s="36">
        <f>IF(OR(AH14="",S14=0),"",MIN(IF(AU14="",9.9E+99,AU14),FLOOR(AL14/S14,1)))</f>
        <v/>
      </c>
      <c r="AN14" s="40">
        <f>IF(AM14="","",AM14*IF(ABS(MOD(ABS((U14)),1)-0.5)&lt;1E-9,2*ROUND((U14)/2,0),ROUND((U14),0)))</f>
        <v/>
      </c>
      <c r="AO14" s="38">
        <f>IF(OR(AH14="",S14=0),"",MIN(IF(AU14="",9.9E+99,AU14),AL14/S14))</f>
        <v/>
      </c>
      <c r="AP14" s="40">
        <f>IF(AO14="","",AO14*IF(B14="South Korea",IF(ABS(MOD(ABS((U14)),1)-0.5)&lt;1E-9,2*ROUND((U14)/2,0),ROUND((U14),0)),U14))</f>
        <v/>
      </c>
      <c r="AQ14" s="42" t="n"/>
      <c r="AR14" s="34" t="inlineStr">
        <is>
          <t>Grounded</t>
        </is>
      </c>
      <c r="AS14" s="43" t="n"/>
      <c r="AT14" s="43" t="n"/>
      <c r="AU14" s="44" t="n"/>
      <c r="AV14" s="45">
        <f>IF(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&lt;=0,"",VLOOKUP(B14,country_opex,7,FALSE)/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)</f>
        <v/>
      </c>
      <c r="AW14" s="45">
        <f>IF(((T14*pax_cap*IF(B14="South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Korea",korea_mid_revleg,revleg_mid)),0))*VLOOKUP(B14,country_opex,3,FALSE))+W14+X14+Y14+Z14+AA14))&lt;=0,"",VLOOKUP(B14,country_opex,7,FALSE)/((T14*pax_cap*IF(B14="South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Korea",korea_mid_revleg,revleg_mid)),0))*VLOOKUP(B14,country_opex,3,FALSE))+W14+X14+Y14+Z14+AA14)))</f>
        <v/>
      </c>
      <c r="AX14" s="45">
        <f>IF(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&lt;=0,"",VLOOKUP(B14,country_opex,7,FALSE)/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)</f>
        <v/>
      </c>
      <c r="AY14" s="46" t="inlineStr">
        <is>
          <t>[LB-255 PREMIUM RE-FARE: subsidized comparable $4.0 lifted to premium on-demand floor $18.0] band_default</t>
        </is>
      </c>
      <c r="AZ14" s="46" t="inlineStr">
        <is>
          <t>Seoul City Hangang Bus run-rate (~1.05M/yr; spec headline)</t>
        </is>
      </c>
      <c r="BA14" s="34" t="inlineStr">
        <is>
          <t>rn-6e4ab1de83d4</t>
        </is>
      </c>
    </row>
    <row r="15">
      <c r="A15" s="31" t="inlineStr">
        <is>
          <t>Korea Swing</t>
        </is>
      </c>
      <c r="B15" s="31" t="inlineStr">
        <is>
          <t>South Korea</t>
        </is>
      </c>
      <c r="C15" s="32" t="inlineStr">
        <is>
          <t>Seopjikoji → Jeju</t>
        </is>
      </c>
      <c r="D15" s="33" t="n">
        <v>5.3</v>
      </c>
      <c r="E15" s="27" t="n">
        <v>8</v>
      </c>
      <c r="F15" s="34" t="inlineStr">
        <is>
          <t>T3</t>
        </is>
      </c>
      <c r="G15" s="34" t="inlineStr">
        <is>
          <t>low</t>
        </is>
      </c>
      <c r="H15" s="20" t="n">
        <v>1</v>
      </c>
      <c r="I15" s="35">
        <f>60*D15/cruise_kt</f>
        <v/>
      </c>
      <c r="J15" s="35">
        <f>IF(B15="South Korea",D15/korea_charge_range_nm*korea_full_range_charge_min,0)</f>
        <v/>
      </c>
      <c r="K15" s="35">
        <f>IF(B15="South Korea",I15+korea_turn_min+korea_dwell_min+J15,I15+turn_min+dwell_min)</f>
        <v/>
      </c>
      <c r="L15" s="36">
        <f>IF(B15="South Korea",FLOOR(60*korea_service_hr/K15,1),MIN(15,FLOOR(60*service_hr/K15,1)))</f>
        <v/>
      </c>
      <c r="M15" s="36">
        <f>IF(ABS(MOD(ABS((365*mech_uptime*H15)),1)-0.5)&lt;1E-9,2*ROUND((365*mech_uptime*H15)/2,0),ROUND((365*mech_uptime*H15),0))</f>
        <v/>
      </c>
      <c r="N15" s="37">
        <f>mech_uptime</f>
        <v/>
      </c>
      <c r="O15" s="37">
        <f>IF(AND(B15="South Korea",scenario="MID"),korea_mid_revleg,revleg_sel)</f>
        <v/>
      </c>
      <c r="P15" s="36">
        <f>IF(ABS(MOD(ABS((L15*M15*O15)),1)-0.5)&lt;1E-9,2*ROUND((L15*M15*O15)/2,0),ROUND((L15*M15*O15),0))</f>
        <v/>
      </c>
      <c r="Q15" s="37">
        <f>IF(AND(B15="South Korea",scenario="MID"),korea_mid_load,load_sel)</f>
        <v/>
      </c>
      <c r="R15" s="38">
        <f>pax_cap*Q15</f>
        <v/>
      </c>
      <c r="S15" s="36">
        <f>R15*P15</f>
        <v/>
      </c>
      <c r="T15" s="39">
        <f>E15*discount</f>
        <v/>
      </c>
      <c r="U15" s="40">
        <f>T15*S15</f>
        <v/>
      </c>
      <c r="V15" s="40">
        <f>(battery/range_nm)*D15*P15*VLOOKUP(B15,country_opex,3,FALSE)</f>
        <v/>
      </c>
      <c r="W15" s="40">
        <f>VLOOKUP(B15,country_opex,2,FALSE)*crew_factor</f>
        <v/>
      </c>
      <c r="X15" s="40">
        <f>VLOOKUP(B15,country_opex,5,FALSE)</f>
        <v/>
      </c>
      <c r="Y15" s="40">
        <f>maint</f>
        <v/>
      </c>
      <c r="Z15" s="40">
        <f>VLOOKUP(B15,country_opex,7,FALSE)*ins_pct</f>
        <v/>
      </c>
      <c r="AA15" s="40">
        <f>charge_berth</f>
        <v/>
      </c>
      <c r="AB15" s="40">
        <f>V15+W15+X15+Y15+Z15+AA15</f>
        <v/>
      </c>
      <c r="AC15" s="40">
        <f>VLOOKUP(B15,country_opex,7,FALSE)/dep_years</f>
        <v/>
      </c>
      <c r="AD15" s="40">
        <f>U15-AB15</f>
        <v/>
      </c>
      <c r="AE15" s="37">
        <f>IF(U15=0,"",AD15/U15)</f>
        <v/>
      </c>
      <c r="AF15" s="38">
        <f>IF(AD15&lt;=0,"",VLOOKUP(B15,country_opex,7,FALSE)/AD15)</f>
        <v/>
      </c>
      <c r="AG15" s="35">
        <f>((D15*P15/diesel_nmpg)*diesel_co2pg-(battery/range_nm)*D15*P15*VLOOKUP(B15,country_opex,4,FALSE))/1000</f>
        <v/>
      </c>
      <c r="AH15" s="33" t="n">
        <v>29535</v>
      </c>
      <c r="AI15" s="34" t="inlineStr">
        <is>
          <t>T3</t>
        </is>
      </c>
      <c r="AJ15" s="34" t="inlineStr">
        <is>
          <t>low</t>
        </is>
      </c>
      <c r="AK15" s="41" t="n">
        <v>0.1</v>
      </c>
      <c r="AL15" s="36">
        <f>IF(AH15="","",AH15*AK15)</f>
        <v/>
      </c>
      <c r="AM15" s="36">
        <f>IF(OR(AH15="",S15=0),"",MIN(IF(AU15="",9.9E+99,AU15),FLOOR(AL15/S15,1)))</f>
        <v/>
      </c>
      <c r="AN15" s="40">
        <f>IF(AM15="","",AM15*IF(ABS(MOD(ABS((U15)),1)-0.5)&lt;1E-9,2*ROUND((U15)/2,0),ROUND((U15),0)))</f>
        <v/>
      </c>
      <c r="AO15" s="38">
        <f>IF(OR(AH15="",S15=0),"",MIN(IF(AU15="",9.9E+99,AU15),AL15/S15))</f>
        <v/>
      </c>
      <c r="AP15" s="40">
        <f>IF(AO15="","",AO15*IF(B15="South Korea",IF(ABS(MOD(ABS((U15)),1)-0.5)&lt;1E-9,2*ROUND((U15)/2,0),ROUND((U15),0)),U15))</f>
        <v/>
      </c>
      <c r="AQ15" s="42" t="n"/>
      <c r="AR15" s="34" t="inlineStr">
        <is>
          <t>Grounded</t>
        </is>
      </c>
      <c r="AS15" s="43" t="n"/>
      <c r="AT15" s="43" t="n"/>
      <c r="AU15" s="44" t="n"/>
      <c r="AV15" s="45">
        <f>IF(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&lt;=0,"",VLOOKUP(B15,country_opex,7,FALSE)/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)</f>
        <v/>
      </c>
      <c r="AW15" s="45">
        <f>IF(((T15*pax_cap*IF(B15="South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Korea",korea_mid_revleg,revleg_mid)),0))*VLOOKUP(B15,country_opex,3,FALSE))+W15+X15+Y15+Z15+AA15))&lt;=0,"",VLOOKUP(B15,country_opex,7,FALSE)/((T15*pax_cap*IF(B15="South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Korea",korea_mid_revleg,revleg_mid)),0))*VLOOKUP(B15,country_opex,3,FALSE))+W15+X15+Y15+Z15+AA15)))</f>
        <v/>
      </c>
      <c r="AX15" s="45">
        <f>IF(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&lt;=0,"",VLOOKUP(B15,country_opex,7,FALSE)/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)</f>
        <v/>
      </c>
      <c r="AY15" s="46" t="inlineStr">
        <is>
          <t>band_default</t>
        </is>
      </c>
      <c r="AZ15" s="46" t="inlineStr">
        <is>
          <t>greenfield_convention</t>
        </is>
      </c>
      <c r="BA15" s="34" t="inlineStr">
        <is>
          <t>rn-2be3c3285c7a</t>
        </is>
      </c>
    </row>
    <row r="16">
      <c r="A16" s="31" t="inlineStr">
        <is>
          <t>Korea Swing</t>
        </is>
      </c>
      <c r="B16" s="31" t="inlineStr">
        <is>
          <t>South Korea</t>
        </is>
      </c>
      <c r="C16" s="32" t="inlineStr">
        <is>
          <t>Magok Pier → Yeouido Pier</t>
        </is>
      </c>
      <c r="D16" s="33" t="n">
        <v>5.4</v>
      </c>
      <c r="E16" s="27" t="n">
        <v>8</v>
      </c>
      <c r="F16" s="34" t="inlineStr">
        <is>
          <t>T3</t>
        </is>
      </c>
      <c r="G16" s="34" t="inlineStr">
        <is>
          <t>low</t>
        </is>
      </c>
      <c r="H16" s="20" t="n">
        <v>1</v>
      </c>
      <c r="I16" s="35">
        <f>60*D16/cruise_kt</f>
        <v/>
      </c>
      <c r="J16" s="35">
        <f>IF(B16="South Korea",D16/korea_charge_range_nm*korea_full_range_charge_min,0)</f>
        <v/>
      </c>
      <c r="K16" s="35">
        <f>IF(B16="South Korea",I16+korea_turn_min+korea_dwell_min+J16,I16+turn_min+dwell_min)</f>
        <v/>
      </c>
      <c r="L16" s="36">
        <f>IF(B16="South Korea",FLOOR(60*korea_service_hr/K16,1),MIN(15,FLOOR(60*service_hr/K16,1)))</f>
        <v/>
      </c>
      <c r="M16" s="36">
        <f>IF(ABS(MOD(ABS((365*mech_uptime*H16)),1)-0.5)&lt;1E-9,2*ROUND((365*mech_uptime*H16)/2,0),ROUND((365*mech_uptime*H16),0))</f>
        <v/>
      </c>
      <c r="N16" s="37">
        <f>mech_uptime</f>
        <v/>
      </c>
      <c r="O16" s="37">
        <f>IF(AND(B16="South Korea",scenario="MID"),korea_mid_revleg,revleg_sel)</f>
        <v/>
      </c>
      <c r="P16" s="36">
        <f>IF(ABS(MOD(ABS((L16*M16*O16)),1)-0.5)&lt;1E-9,2*ROUND((L16*M16*O16)/2,0),ROUND((L16*M16*O16),0))</f>
        <v/>
      </c>
      <c r="Q16" s="37">
        <f>IF(AND(B16="South Korea",scenario="MID"),korea_mid_load,load_sel)</f>
        <v/>
      </c>
      <c r="R16" s="38">
        <f>pax_cap*Q16</f>
        <v/>
      </c>
      <c r="S16" s="36">
        <f>R16*P16</f>
        <v/>
      </c>
      <c r="T16" s="39">
        <f>E16*discount</f>
        <v/>
      </c>
      <c r="U16" s="40">
        <f>T16*S16</f>
        <v/>
      </c>
      <c r="V16" s="40">
        <f>(battery/range_nm)*D16*P16*VLOOKUP(B16,country_opex,3,FALSE)</f>
        <v/>
      </c>
      <c r="W16" s="40">
        <f>VLOOKUP(B16,country_opex,2,FALSE)*crew_factor</f>
        <v/>
      </c>
      <c r="X16" s="40">
        <f>VLOOKUP(B16,country_opex,5,FALSE)</f>
        <v/>
      </c>
      <c r="Y16" s="40">
        <f>maint</f>
        <v/>
      </c>
      <c r="Z16" s="40">
        <f>VLOOKUP(B16,country_opex,7,FALSE)*ins_pct</f>
        <v/>
      </c>
      <c r="AA16" s="40">
        <f>charge_berth</f>
        <v/>
      </c>
      <c r="AB16" s="40">
        <f>V16+W16+X16+Y16+Z16+AA16</f>
        <v/>
      </c>
      <c r="AC16" s="40">
        <f>VLOOKUP(B16,country_opex,7,FALSE)/dep_years</f>
        <v/>
      </c>
      <c r="AD16" s="40">
        <f>U16-AB16</f>
        <v/>
      </c>
      <c r="AE16" s="37">
        <f>IF(U16=0,"",AD16/U16)</f>
        <v/>
      </c>
      <c r="AF16" s="38">
        <f>IF(AD16&lt;=0,"",VLOOKUP(B16,country_opex,7,FALSE)/AD16)</f>
        <v/>
      </c>
      <c r="AG16" s="35">
        <f>((D16*P16/diesel_nmpg)*diesel_co2pg-(battery/range_nm)*D16*P16*VLOOKUP(B16,country_opex,4,FALSE))/1000</f>
        <v/>
      </c>
      <c r="AH16" s="33" t="n">
        <v>95455</v>
      </c>
      <c r="AI16" s="34" t="inlineStr">
        <is>
          <t>T1</t>
        </is>
      </c>
      <c r="AJ16" s="34" t="inlineStr">
        <is>
          <t>med</t>
        </is>
      </c>
      <c r="AK16" s="41" t="n">
        <v>0.1</v>
      </c>
      <c r="AL16" s="36">
        <f>IF(AH16="","",AH16*AK16)</f>
        <v/>
      </c>
      <c r="AM16" s="36">
        <f>IF(OR(AH16="",S16=0),"",MIN(IF(AU16="",9.9E+99,AU16),FLOOR(AL16/S16,1)))</f>
        <v/>
      </c>
      <c r="AN16" s="40">
        <f>IF(AM16="","",AM16*IF(ABS(MOD(ABS((U16)),1)-0.5)&lt;1E-9,2*ROUND((U16)/2,0),ROUND((U16),0)))</f>
        <v/>
      </c>
      <c r="AO16" s="38">
        <f>IF(OR(AH16="",S16=0),"",MIN(IF(AU16="",9.9E+99,AU16),AL16/S16))</f>
        <v/>
      </c>
      <c r="AP16" s="40">
        <f>IF(AO16="","",AO16*IF(B16="South Korea",IF(ABS(MOD(ABS((U16)),1)-0.5)&lt;1E-9,2*ROUND((U16)/2,0),ROUND((U16),0)),U16))</f>
        <v/>
      </c>
      <c r="AQ16" s="42" t="n"/>
      <c r="AR16" s="34" t="inlineStr">
        <is>
          <t>Grounded</t>
        </is>
      </c>
      <c r="AS16" s="43" t="n"/>
      <c r="AT16" s="43" t="n"/>
      <c r="AU16" s="44" t="n"/>
      <c r="AV16" s="45">
        <f>IF(((T16*pax_cap*load_thin*IF(ABS(MOD(ABS((L16*M16*revleg_thin)),1)-0.5)&lt;1E-9,2*ROUND((L16*M16*revleg_thin)/2,0),ROUND((L16*M16*revleg_thin),0)))-(((battery/range_nm)*D16*IF(ABS(MOD(ABS((L16*M16*revleg_thin)),1)-0.5)&lt;1E-9,2*ROUND((L16*M16*revleg_thin)/2,0),ROUND((L16*M16*revleg_thin),0))*VLOOKUP(B16,country_opex,3,FALSE))+W16+X16+Y16+Z16+AA16))&lt;=0,"",VLOOKUP(B16,country_opex,7,FALSE)/((T16*pax_cap*load_thin*IF(ABS(MOD(ABS((L16*M16*revleg_thin)),1)-0.5)&lt;1E-9,2*ROUND((L16*M16*revleg_thin)/2,0),ROUND((L16*M16*revleg_thin),0)))-(((battery/range_nm)*D16*IF(ABS(MOD(ABS((L16*M16*revleg_thin)),1)-0.5)&lt;1E-9,2*ROUND((L16*M16*revleg_thin)/2,0),ROUND((L16*M16*revleg_thin),0))*VLOOKUP(B16,country_opex,3,FALSE))+W16+X16+Y16+Z16+AA16)))</f>
        <v/>
      </c>
      <c r="AW16" s="45">
        <f>IF(((T16*pax_cap*IF(B16="South Korea",korea_mid_load,load_mid)*IF(ABS(MOD(ABS((L16*M16*IF(B16="South Korea",korea_mid_revleg,revleg_mid))),1)-0.5)&lt;1E-9,2*ROUND((L16*M16*IF(B16="South Korea",korea_mid_revleg,revleg_mid))/2,0),ROUND((L16*M16*IF(B16="South Korea",korea_mid_revleg,revleg_mid)),0)))-(((battery/range_nm)*D16*IF(ABS(MOD(ABS((L16*M16*IF(B16="South Korea",korea_mid_revleg,revleg_mid))),1)-0.5)&lt;1E-9,2*ROUND((L16*M16*IF(B16="South Korea",korea_mid_revleg,revleg_mid))/2,0),ROUND((L16*M16*IF(B16="South Korea",korea_mid_revleg,revleg_mid)),0))*VLOOKUP(B16,country_opex,3,FALSE))+W16+X16+Y16+Z16+AA16))&lt;=0,"",VLOOKUP(B16,country_opex,7,FALSE)/((T16*pax_cap*IF(B16="South Korea",korea_mid_load,load_mid)*IF(ABS(MOD(ABS((L16*M16*IF(B16="South Korea",korea_mid_revleg,revleg_mid))),1)-0.5)&lt;1E-9,2*ROUND((L16*M16*IF(B16="South Korea",korea_mid_revleg,revleg_mid))/2,0),ROUND((L16*M16*IF(B16="South Korea",korea_mid_revleg,revleg_mid)),0)))-(((battery/range_nm)*D16*IF(ABS(MOD(ABS((L16*M16*IF(B16="South Korea",korea_mid_revleg,revleg_mid))),1)-0.5)&lt;1E-9,2*ROUND((L16*M16*IF(B16="South Korea",korea_mid_revleg,revleg_mid))/2,0),ROUND((L16*M16*IF(B16="South Korea",korea_mid_revleg,revleg_mid)),0))*VLOOKUP(B16,country_opex,3,FALSE))+W16+X16+Y16+Z16+AA16)))</f>
        <v/>
      </c>
      <c r="AX16" s="45">
        <f>IF(((T16*pax_cap*load_full*IF(ABS(MOD(ABS((L16*M16*revleg_full)),1)-0.5)&lt;1E-9,2*ROUND((L16*M16*revleg_full)/2,0),ROUND((L16*M16*revleg_full),0)))-(((battery/range_nm)*D16*IF(ABS(MOD(ABS((L16*M16*revleg_full)),1)-0.5)&lt;1E-9,2*ROUND((L16*M16*revleg_full)/2,0),ROUND((L16*M16*revleg_full),0))*VLOOKUP(B16,country_opex,3,FALSE))+W16+X16+Y16+Z16+AA16))&lt;=0,"",VLOOKUP(B16,country_opex,7,FALSE)/((T16*pax_cap*load_full*IF(ABS(MOD(ABS((L16*M16*revleg_full)),1)-0.5)&lt;1E-9,2*ROUND((L16*M16*revleg_full)/2,0),ROUND((L16*M16*revleg_full),0)))-(((battery/range_nm)*D16*IF(ABS(MOD(ABS((L16*M16*revleg_full)),1)-0.5)&lt;1E-9,2*ROUND((L16*M16*revleg_full)/2,0),ROUND((L16*M16*revleg_full),0))*VLOOKUP(B16,country_opex,3,FALSE))+W16+X16+Y16+Z16+AA16)))</f>
        <v/>
      </c>
      <c r="AY16" s="46" t="inlineStr">
        <is>
          <t>band_default</t>
        </is>
      </c>
      <c r="AZ16" s="46" t="inlineStr">
        <is>
          <t>Seoul City Hangang Bus run-rate (~1.05M/yr; spec headline)</t>
        </is>
      </c>
      <c r="BA16" s="34" t="inlineStr">
        <is>
          <t>rn-6d96e229ce7e</t>
        </is>
      </c>
    </row>
    <row r="17">
      <c r="A17" s="31" t="inlineStr">
        <is>
          <t>Korea Swing</t>
        </is>
      </c>
      <c r="B17" s="31" t="inlineStr">
        <is>
          <t>South Korea</t>
        </is>
      </c>
      <c r="C17" s="32" t="inlineStr">
        <is>
          <t>Incheon Coastal Passenger Terminal → Yeongjong Island Marina</t>
        </is>
      </c>
      <c r="D17" s="33" t="n">
        <v>6.6</v>
      </c>
      <c r="E17" s="27" t="n">
        <v>8</v>
      </c>
      <c r="F17" s="34" t="inlineStr">
        <is>
          <t>T3</t>
        </is>
      </c>
      <c r="G17" s="34" t="inlineStr">
        <is>
          <t>low</t>
        </is>
      </c>
      <c r="H17" s="20" t="n">
        <v>1</v>
      </c>
      <c r="I17" s="35">
        <f>60*D17/cruise_kt</f>
        <v/>
      </c>
      <c r="J17" s="35">
        <f>IF(B17="South Korea",D17/korea_charge_range_nm*korea_full_range_charge_min,0)</f>
        <v/>
      </c>
      <c r="K17" s="35">
        <f>IF(B17="South Korea",I17+korea_turn_min+korea_dwell_min+J17,I17+turn_min+dwell_min)</f>
        <v/>
      </c>
      <c r="L17" s="36">
        <f>IF(B17="South Korea",FLOOR(60*korea_service_hr/K17,1),MIN(15,FLOOR(60*service_hr/K17,1)))</f>
        <v/>
      </c>
      <c r="M17" s="36">
        <f>IF(ABS(MOD(ABS((365*mech_uptime*H17)),1)-0.5)&lt;1E-9,2*ROUND((365*mech_uptime*H17)/2,0),ROUND((365*mech_uptime*H17),0))</f>
        <v/>
      </c>
      <c r="N17" s="37">
        <f>mech_uptime</f>
        <v/>
      </c>
      <c r="O17" s="37">
        <f>IF(AND(B17="South Korea",scenario="MID"),korea_mid_revleg,revleg_sel)</f>
        <v/>
      </c>
      <c r="P17" s="36">
        <f>IF(ABS(MOD(ABS((L17*M17*O17)),1)-0.5)&lt;1E-9,2*ROUND((L17*M17*O17)/2,0),ROUND((L17*M17*O17),0))</f>
        <v/>
      </c>
      <c r="Q17" s="37">
        <f>IF(AND(B17="South Korea",scenario="MID"),korea_mid_load,load_sel)</f>
        <v/>
      </c>
      <c r="R17" s="38">
        <f>pax_cap*Q17</f>
        <v/>
      </c>
      <c r="S17" s="36">
        <f>R17*P17</f>
        <v/>
      </c>
      <c r="T17" s="39">
        <f>E17*discount</f>
        <v/>
      </c>
      <c r="U17" s="40">
        <f>T17*S17</f>
        <v/>
      </c>
      <c r="V17" s="40">
        <f>(battery/range_nm)*D17*P17*VLOOKUP(B17,country_opex,3,FALSE)</f>
        <v/>
      </c>
      <c r="W17" s="40">
        <f>VLOOKUP(B17,country_opex,2,FALSE)*crew_factor</f>
        <v/>
      </c>
      <c r="X17" s="40">
        <f>VLOOKUP(B17,country_opex,5,FALSE)</f>
        <v/>
      </c>
      <c r="Y17" s="40">
        <f>maint</f>
        <v/>
      </c>
      <c r="Z17" s="40">
        <f>VLOOKUP(B17,country_opex,7,FALSE)*ins_pct</f>
        <v/>
      </c>
      <c r="AA17" s="40">
        <f>charge_berth</f>
        <v/>
      </c>
      <c r="AB17" s="40">
        <f>V17+W17+X17+Y17+Z17+AA17</f>
        <v/>
      </c>
      <c r="AC17" s="40">
        <f>VLOOKUP(B17,country_opex,7,FALSE)/dep_years</f>
        <v/>
      </c>
      <c r="AD17" s="40">
        <f>U17-AB17</f>
        <v/>
      </c>
      <c r="AE17" s="37">
        <f>IF(U17=0,"",AD17/U17)</f>
        <v/>
      </c>
      <c r="AF17" s="38">
        <f>IF(AD17&lt;=0,"",VLOOKUP(B17,country_opex,7,FALSE)/AD17)</f>
        <v/>
      </c>
      <c r="AG17" s="35">
        <f>((D17*P17/diesel_nmpg)*diesel_co2pg-(battery/range_nm)*D17*P17*VLOOKUP(B17,country_opex,4,FALSE))/1000</f>
        <v/>
      </c>
      <c r="AH17" s="33" t="n">
        <v>120137</v>
      </c>
      <c r="AI17" s="34" t="inlineStr">
        <is>
          <t>T1</t>
        </is>
      </c>
      <c r="AJ17" s="34" t="inlineStr">
        <is>
          <t>high</t>
        </is>
      </c>
      <c r="AK17" s="41" t="n">
        <v>0.1</v>
      </c>
      <c r="AL17" s="36">
        <f>IF(AH17="","",AH17*AK17)</f>
        <v/>
      </c>
      <c r="AM17" s="36">
        <f>IF(OR(AH17="",S17=0),"",MIN(IF(AU17="",9.9E+99,AU17),FLOOR(AL17/S17,1)))</f>
        <v/>
      </c>
      <c r="AN17" s="40">
        <f>IF(AM17="","",AM17*IF(ABS(MOD(ABS((U17)),1)-0.5)&lt;1E-9,2*ROUND((U17)/2,0),ROUND((U17),0)))</f>
        <v/>
      </c>
      <c r="AO17" s="38">
        <f>IF(OR(AH17="",S17=0),"",MIN(IF(AU17="",9.9E+99,AU17),AL17/S17))</f>
        <v/>
      </c>
      <c r="AP17" s="40">
        <f>IF(AO17="","",AO17*IF(B17="South Korea",IF(ABS(MOD(ABS((U17)),1)-0.5)&lt;1E-9,2*ROUND((U17)/2,0),ROUND((U17),0)),U17))</f>
        <v/>
      </c>
      <c r="AQ17" s="42" t="n"/>
      <c r="AR17" s="34" t="inlineStr">
        <is>
          <t>Grounded</t>
        </is>
      </c>
      <c r="AS17" s="43" t="n"/>
      <c r="AT17" s="43" t="n"/>
      <c r="AU17" s="44" t="n"/>
      <c r="AV17" s="45">
        <f>IF(((T17*pax_cap*load_thin*IF(ABS(MOD(ABS((L17*M17*revleg_thin)),1)-0.5)&lt;1E-9,2*ROUND((L17*M17*revleg_thin)/2,0),ROUND((L17*M17*revleg_thin),0)))-(((battery/range_nm)*D17*IF(ABS(MOD(ABS((L17*M17*revleg_thin)),1)-0.5)&lt;1E-9,2*ROUND((L17*M17*revleg_thin)/2,0),ROUND((L17*M17*revleg_thin),0))*VLOOKUP(B17,country_opex,3,FALSE))+W17+X17+Y17+Z17+AA17))&lt;=0,"",VLOOKUP(B17,country_opex,7,FALSE)/((T17*pax_cap*load_thin*IF(ABS(MOD(ABS((L17*M17*revleg_thin)),1)-0.5)&lt;1E-9,2*ROUND((L17*M17*revleg_thin)/2,0),ROUND((L17*M17*revleg_thin),0)))-(((battery/range_nm)*D17*IF(ABS(MOD(ABS((L17*M17*revleg_thin)),1)-0.5)&lt;1E-9,2*ROUND((L17*M17*revleg_thin)/2,0),ROUND((L17*M17*revleg_thin),0))*VLOOKUP(B17,country_opex,3,FALSE))+W17+X17+Y17+Z17+AA17)))</f>
        <v/>
      </c>
      <c r="AW17" s="45">
        <f>IF(((T17*pax_cap*IF(B17="South Korea",korea_mid_load,load_mid)*IF(ABS(MOD(ABS((L17*M17*IF(B17="South Korea",korea_mid_revleg,revleg_mid))),1)-0.5)&lt;1E-9,2*ROUND((L17*M17*IF(B17="South Korea",korea_mid_revleg,revleg_mid))/2,0),ROUND((L17*M17*IF(B17="South Korea",korea_mid_revleg,revleg_mid)),0)))-(((battery/range_nm)*D17*IF(ABS(MOD(ABS((L17*M17*IF(B17="South Korea",korea_mid_revleg,revleg_mid))),1)-0.5)&lt;1E-9,2*ROUND((L17*M17*IF(B17="South Korea",korea_mid_revleg,revleg_mid))/2,0),ROUND((L17*M17*IF(B17="South Korea",korea_mid_revleg,revleg_mid)),0))*VLOOKUP(B17,country_opex,3,FALSE))+W17+X17+Y17+Z17+AA17))&lt;=0,"",VLOOKUP(B17,country_opex,7,FALSE)/((T17*pax_cap*IF(B17="South Korea",korea_mid_load,load_mid)*IF(ABS(MOD(ABS((L17*M17*IF(B17="South Korea",korea_mid_revleg,revleg_mid))),1)-0.5)&lt;1E-9,2*ROUND((L17*M17*IF(B17="South Korea",korea_mid_revleg,revleg_mid))/2,0),ROUND((L17*M17*IF(B17="South Korea",korea_mid_revleg,revleg_mid)),0)))-(((battery/range_nm)*D17*IF(ABS(MOD(ABS((L17*M17*IF(B17="South Korea",korea_mid_revleg,revleg_mid))),1)-0.5)&lt;1E-9,2*ROUND((L17*M17*IF(B17="South Korea",korea_mid_revleg,revleg_mid))/2,0),ROUND((L17*M17*IF(B17="South Korea",korea_mid_revleg,revleg_mid)),0))*VLOOKUP(B17,country_opex,3,FALSE))+W17+X17+Y17+Z17+AA17)))</f>
        <v/>
      </c>
      <c r="AX17" s="45">
        <f>IF(((T17*pax_cap*load_full*IF(ABS(MOD(ABS((L17*M17*revleg_full)),1)-0.5)&lt;1E-9,2*ROUND((L17*M17*revleg_full)/2,0),ROUND((L17*M17*revleg_full),0)))-(((battery/range_nm)*D17*IF(ABS(MOD(ABS((L17*M17*revleg_full)),1)-0.5)&lt;1E-9,2*ROUND((L17*M17*revleg_full)/2,0),ROUND((L17*M17*revleg_full),0))*VLOOKUP(B17,country_opex,3,FALSE))+W17+X17+Y17+Z17+AA17))&lt;=0,"",VLOOKUP(B17,country_opex,7,FALSE)/((T17*pax_cap*load_full*IF(ABS(MOD(ABS((L17*M17*revleg_full)),1)-0.5)&lt;1E-9,2*ROUND((L17*M17*revleg_full)/2,0),ROUND((L17*M17*revleg_full),0)))-(((battery/range_nm)*D17*IF(ABS(MOD(ABS((L17*M17*revleg_full)),1)-0.5)&lt;1E-9,2*ROUND((L17*M17*revleg_full)/2,0),ROUND((L17*M17*revleg_full),0))*VLOOKUP(B17,country_opex,3,FALSE))+W17+X17+Y17+Z17+AA17)))</f>
        <v/>
      </c>
      <c r="AY17" s="46" t="inlineStr">
        <is>
          <t>band_default</t>
        </is>
      </c>
      <c r="AZ17" s="46" t="inlineStr">
        <is>
          <t>https://www.icpa.or.kr/icferry/mobile/main.do?menuKey=779</t>
        </is>
      </c>
      <c r="BA17" s="34" t="inlineStr">
        <is>
          <t>rn-7e7e6da7abba</t>
        </is>
      </c>
    </row>
    <row r="18">
      <c r="A18" s="31" t="inlineStr">
        <is>
          <t>Korea Swing</t>
        </is>
      </c>
      <c r="B18" s="31" t="inlineStr">
        <is>
          <t>South Korea</t>
        </is>
      </c>
      <c r="C18" s="32" t="inlineStr">
        <is>
          <t>Jeju → Seogwipo Jungmun</t>
        </is>
      </c>
      <c r="D18" s="33" t="n">
        <v>7.1</v>
      </c>
      <c r="E18" s="27" t="n">
        <v>8</v>
      </c>
      <c r="F18" s="34" t="inlineStr">
        <is>
          <t>T3</t>
        </is>
      </c>
      <c r="G18" s="34" t="inlineStr">
        <is>
          <t>low</t>
        </is>
      </c>
      <c r="H18" s="20" t="n">
        <v>1</v>
      </c>
      <c r="I18" s="35">
        <f>60*D18/cruise_kt</f>
        <v/>
      </c>
      <c r="J18" s="35">
        <f>IF(B18="South Korea",D18/korea_charge_range_nm*korea_full_range_charge_min,0)</f>
        <v/>
      </c>
      <c r="K18" s="35">
        <f>IF(B18="South Korea",I18+korea_turn_min+korea_dwell_min+J18,I18+turn_min+dwell_min)</f>
        <v/>
      </c>
      <c r="L18" s="36">
        <f>IF(B18="South Korea",FLOOR(60*korea_service_hr/K18,1),MIN(15,FLOOR(60*service_hr/K18,1)))</f>
        <v/>
      </c>
      <c r="M18" s="36">
        <f>IF(ABS(MOD(ABS((365*mech_uptime*H18)),1)-0.5)&lt;1E-9,2*ROUND((365*mech_uptime*H18)/2,0),ROUND((365*mech_uptime*H18),0))</f>
        <v/>
      </c>
      <c r="N18" s="37">
        <f>mech_uptime</f>
        <v/>
      </c>
      <c r="O18" s="37">
        <f>IF(AND(B18="South Korea",scenario="MID"),korea_mid_revleg,revleg_sel)</f>
        <v/>
      </c>
      <c r="P18" s="36">
        <f>IF(ABS(MOD(ABS((L18*M18*O18)),1)-0.5)&lt;1E-9,2*ROUND((L18*M18*O18)/2,0),ROUND((L18*M18*O18),0))</f>
        <v/>
      </c>
      <c r="Q18" s="37">
        <f>IF(AND(B18="South Korea",scenario="MID"),korea_mid_load,load_sel)</f>
        <v/>
      </c>
      <c r="R18" s="38">
        <f>pax_cap*Q18</f>
        <v/>
      </c>
      <c r="S18" s="36">
        <f>R18*P18</f>
        <v/>
      </c>
      <c r="T18" s="39">
        <f>E18*discount</f>
        <v/>
      </c>
      <c r="U18" s="40">
        <f>T18*S18</f>
        <v/>
      </c>
      <c r="V18" s="40">
        <f>(battery/range_nm)*D18*P18*VLOOKUP(B18,country_opex,3,FALSE)</f>
        <v/>
      </c>
      <c r="W18" s="40">
        <f>VLOOKUP(B18,country_opex,2,FALSE)*crew_factor</f>
        <v/>
      </c>
      <c r="X18" s="40">
        <f>VLOOKUP(B18,country_opex,5,FALSE)</f>
        <v/>
      </c>
      <c r="Y18" s="40">
        <f>maint</f>
        <v/>
      </c>
      <c r="Z18" s="40">
        <f>VLOOKUP(B18,country_opex,7,FALSE)*ins_pct</f>
        <v/>
      </c>
      <c r="AA18" s="40">
        <f>charge_berth</f>
        <v/>
      </c>
      <c r="AB18" s="40">
        <f>V18+W18+X18+Y18+Z18+AA18</f>
        <v/>
      </c>
      <c r="AC18" s="40">
        <f>VLOOKUP(B18,country_opex,7,FALSE)/dep_years</f>
        <v/>
      </c>
      <c r="AD18" s="40">
        <f>U18-AB18</f>
        <v/>
      </c>
      <c r="AE18" s="37">
        <f>IF(U18=0,"",AD18/U18)</f>
        <v/>
      </c>
      <c r="AF18" s="38">
        <f>IF(AD18&lt;=0,"",VLOOKUP(B18,country_opex,7,FALSE)/AD18)</f>
        <v/>
      </c>
      <c r="AG18" s="35">
        <f>((D18*P18/diesel_nmpg)*diesel_co2pg-(battery/range_nm)*D18*P18*VLOOKUP(B18,country_opex,4,FALSE))/1000</f>
        <v/>
      </c>
      <c r="AH18" s="33" t="n">
        <v>29535</v>
      </c>
      <c r="AI18" s="34" t="inlineStr">
        <is>
          <t>T3</t>
        </is>
      </c>
      <c r="AJ18" s="34" t="inlineStr">
        <is>
          <t>low</t>
        </is>
      </c>
      <c r="AK18" s="41" t="n">
        <v>0.1</v>
      </c>
      <c r="AL18" s="36">
        <f>IF(AH18="","",AH18*AK18)</f>
        <v/>
      </c>
      <c r="AM18" s="36">
        <f>IF(OR(AH18="",S18=0),"",MIN(IF(AU18="",9.9E+99,AU18),FLOOR(AL18/S18,1)))</f>
        <v/>
      </c>
      <c r="AN18" s="40">
        <f>IF(AM18="","",AM18*IF(ABS(MOD(ABS((U18)),1)-0.5)&lt;1E-9,2*ROUND((U18)/2,0),ROUND((U18),0)))</f>
        <v/>
      </c>
      <c r="AO18" s="38">
        <f>IF(OR(AH18="",S18=0),"",MIN(IF(AU18="",9.9E+99,AU18),AL18/S18))</f>
        <v/>
      </c>
      <c r="AP18" s="40">
        <f>IF(AO18="","",AO18*IF(B18="South Korea",IF(ABS(MOD(ABS((U18)),1)-0.5)&lt;1E-9,2*ROUND((U18)/2,0),ROUND((U18),0)),U18))</f>
        <v/>
      </c>
      <c r="AQ18" s="42" t="n"/>
      <c r="AR18" s="34" t="inlineStr">
        <is>
          <t>Grounded</t>
        </is>
      </c>
      <c r="AS18" s="43" t="n"/>
      <c r="AT18" s="43" t="n"/>
      <c r="AU18" s="44" t="n"/>
      <c r="AV18" s="45">
        <f>IF(((T18*pax_cap*load_thin*IF(ABS(MOD(ABS((L18*M18*revleg_thin)),1)-0.5)&lt;1E-9,2*ROUND((L18*M18*revleg_thin)/2,0),ROUND((L18*M18*revleg_thin),0)))-(((battery/range_nm)*D18*IF(ABS(MOD(ABS((L18*M18*revleg_thin)),1)-0.5)&lt;1E-9,2*ROUND((L18*M18*revleg_thin)/2,0),ROUND((L18*M18*revleg_thin),0))*VLOOKUP(B18,country_opex,3,FALSE))+W18+X18+Y18+Z18+AA18))&lt;=0,"",VLOOKUP(B18,country_opex,7,FALSE)/((T18*pax_cap*load_thin*IF(ABS(MOD(ABS((L18*M18*revleg_thin)),1)-0.5)&lt;1E-9,2*ROUND((L18*M18*revleg_thin)/2,0),ROUND((L18*M18*revleg_thin),0)))-(((battery/range_nm)*D18*IF(ABS(MOD(ABS((L18*M18*revleg_thin)),1)-0.5)&lt;1E-9,2*ROUND((L18*M18*revleg_thin)/2,0),ROUND((L18*M18*revleg_thin),0))*VLOOKUP(B18,country_opex,3,FALSE))+W18+X18+Y18+Z18+AA18)))</f>
        <v/>
      </c>
      <c r="AW18" s="45">
        <f>IF(((T18*pax_cap*IF(B18="South Korea",korea_mid_load,load_mid)*IF(ABS(MOD(ABS((L18*M18*IF(B18="South Korea",korea_mid_revleg,revleg_mid))),1)-0.5)&lt;1E-9,2*ROUND((L18*M18*IF(B18="South Korea",korea_mid_revleg,revleg_mid))/2,0),ROUND((L18*M18*IF(B18="South Korea",korea_mid_revleg,revleg_mid)),0)))-(((battery/range_nm)*D18*IF(ABS(MOD(ABS((L18*M18*IF(B18="South Korea",korea_mid_revleg,revleg_mid))),1)-0.5)&lt;1E-9,2*ROUND((L18*M18*IF(B18="South Korea",korea_mid_revleg,revleg_mid))/2,0),ROUND((L18*M18*IF(B18="South Korea",korea_mid_revleg,revleg_mid)),0))*VLOOKUP(B18,country_opex,3,FALSE))+W18+X18+Y18+Z18+AA18))&lt;=0,"",VLOOKUP(B18,country_opex,7,FALSE)/((T18*pax_cap*IF(B18="South Korea",korea_mid_load,load_mid)*IF(ABS(MOD(ABS((L18*M18*IF(B18="South Korea",korea_mid_revleg,revleg_mid))),1)-0.5)&lt;1E-9,2*ROUND((L18*M18*IF(B18="South Korea",korea_mid_revleg,revleg_mid))/2,0),ROUND((L18*M18*IF(B18="South Korea",korea_mid_revleg,revleg_mid)),0)))-(((battery/range_nm)*D18*IF(ABS(MOD(ABS((L18*M18*IF(B18="South Korea",korea_mid_revleg,revleg_mid))),1)-0.5)&lt;1E-9,2*ROUND((L18*M18*IF(B18="South Korea",korea_mid_revleg,revleg_mid))/2,0),ROUND((L18*M18*IF(B18="South Korea",korea_mid_revleg,revleg_mid)),0))*VLOOKUP(B18,country_opex,3,FALSE))+W18+X18+Y18+Z18+AA18)))</f>
        <v/>
      </c>
      <c r="AX18" s="45">
        <f>IF(((T18*pax_cap*load_full*IF(ABS(MOD(ABS((L18*M18*revleg_full)),1)-0.5)&lt;1E-9,2*ROUND((L18*M18*revleg_full)/2,0),ROUND((L18*M18*revleg_full),0)))-(((battery/range_nm)*D18*IF(ABS(MOD(ABS((L18*M18*revleg_full)),1)-0.5)&lt;1E-9,2*ROUND((L18*M18*revleg_full)/2,0),ROUND((L18*M18*revleg_full),0))*VLOOKUP(B18,country_opex,3,FALSE))+W18+X18+Y18+Z18+AA18))&lt;=0,"",VLOOKUP(B18,country_opex,7,FALSE)/((T18*pax_cap*load_full*IF(ABS(MOD(ABS((L18*M18*revleg_full)),1)-0.5)&lt;1E-9,2*ROUND((L18*M18*revleg_full)/2,0),ROUND((L18*M18*revleg_full),0)))-(((battery/range_nm)*D18*IF(ABS(MOD(ABS((L18*M18*revleg_full)),1)-0.5)&lt;1E-9,2*ROUND((L18*M18*revleg_full)/2,0),ROUND((L18*M18*revleg_full),0))*VLOOKUP(B18,country_opex,3,FALSE))+W18+X18+Y18+Z18+AA18)))</f>
        <v/>
      </c>
      <c r="AY18" s="46" t="inlineStr">
        <is>
          <t>band_default</t>
        </is>
      </c>
      <c r="AZ18" s="46" t="inlineStr">
        <is>
          <t>greenfield_convention</t>
        </is>
      </c>
      <c r="BA18" s="34" t="inlineStr">
        <is>
          <t>rn-ed5d6c0609fe</t>
        </is>
      </c>
    </row>
    <row r="19">
      <c r="A19" s="31" t="inlineStr">
        <is>
          <t>Korea Swing</t>
        </is>
      </c>
      <c r="B19" s="31" t="inlineStr">
        <is>
          <t>South Korea</t>
        </is>
      </c>
      <c r="C19" s="32" t="inlineStr">
        <is>
          <t>Jamsil Pier → Yeouido Pier</t>
        </is>
      </c>
      <c r="D19" s="33" t="n">
        <v>7.5</v>
      </c>
      <c r="E19" s="27" t="n">
        <v>8</v>
      </c>
      <c r="F19" s="34" t="inlineStr">
        <is>
          <t>T3</t>
        </is>
      </c>
      <c r="G19" s="34" t="inlineStr">
        <is>
          <t>low</t>
        </is>
      </c>
      <c r="H19" s="20" t="n">
        <v>1</v>
      </c>
      <c r="I19" s="35">
        <f>60*D19/cruise_kt</f>
        <v/>
      </c>
      <c r="J19" s="35">
        <f>IF(B19="South Korea",D19/korea_charge_range_nm*korea_full_range_charge_min,0)</f>
        <v/>
      </c>
      <c r="K19" s="35">
        <f>IF(B19="South Korea",I19+korea_turn_min+korea_dwell_min+J19,I19+turn_min+dwell_min)</f>
        <v/>
      </c>
      <c r="L19" s="36">
        <f>IF(B19="South Korea",FLOOR(60*korea_service_hr/K19,1),MIN(15,FLOOR(60*service_hr/K19,1)))</f>
        <v/>
      </c>
      <c r="M19" s="36">
        <f>IF(ABS(MOD(ABS((365*mech_uptime*H19)),1)-0.5)&lt;1E-9,2*ROUND((365*mech_uptime*H19)/2,0),ROUND((365*mech_uptime*H19),0))</f>
        <v/>
      </c>
      <c r="N19" s="37">
        <f>mech_uptime</f>
        <v/>
      </c>
      <c r="O19" s="37">
        <f>IF(AND(B19="South Korea",scenario="MID"),korea_mid_revleg,revleg_sel)</f>
        <v/>
      </c>
      <c r="P19" s="36">
        <f>IF(ABS(MOD(ABS((L19*M19*O19)),1)-0.5)&lt;1E-9,2*ROUND((L19*M19*O19)/2,0),ROUND((L19*M19*O19),0))</f>
        <v/>
      </c>
      <c r="Q19" s="37">
        <f>IF(AND(B19="South Korea",scenario="MID"),korea_mid_load,load_sel)</f>
        <v/>
      </c>
      <c r="R19" s="38">
        <f>pax_cap*Q19</f>
        <v/>
      </c>
      <c r="S19" s="36">
        <f>R19*P19</f>
        <v/>
      </c>
      <c r="T19" s="39">
        <f>E19*discount</f>
        <v/>
      </c>
      <c r="U19" s="40">
        <f>T19*S19</f>
        <v/>
      </c>
      <c r="V19" s="40">
        <f>(battery/range_nm)*D19*P19*VLOOKUP(B19,country_opex,3,FALSE)</f>
        <v/>
      </c>
      <c r="W19" s="40">
        <f>VLOOKUP(B19,country_opex,2,FALSE)*crew_factor</f>
        <v/>
      </c>
      <c r="X19" s="40">
        <f>VLOOKUP(B19,country_opex,5,FALSE)</f>
        <v/>
      </c>
      <c r="Y19" s="40">
        <f>maint</f>
        <v/>
      </c>
      <c r="Z19" s="40">
        <f>VLOOKUP(B19,country_opex,7,FALSE)*ins_pct</f>
        <v/>
      </c>
      <c r="AA19" s="40">
        <f>charge_berth</f>
        <v/>
      </c>
      <c r="AB19" s="40">
        <f>V19+W19+X19+Y19+Z19+AA19</f>
        <v/>
      </c>
      <c r="AC19" s="40">
        <f>VLOOKUP(B19,country_opex,7,FALSE)/dep_years</f>
        <v/>
      </c>
      <c r="AD19" s="40">
        <f>U19-AB19</f>
        <v/>
      </c>
      <c r="AE19" s="37">
        <f>IF(U19=0,"",AD19/U19)</f>
        <v/>
      </c>
      <c r="AF19" s="38">
        <f>IF(AD19&lt;=0,"",VLOOKUP(B19,country_opex,7,FALSE)/AD19)</f>
        <v/>
      </c>
      <c r="AG19" s="35">
        <f>((D19*P19/diesel_nmpg)*diesel_co2pg-(battery/range_nm)*D19*P19*VLOOKUP(B19,country_opex,4,FALSE))/1000</f>
        <v/>
      </c>
      <c r="AH19" s="33" t="n">
        <v>95455</v>
      </c>
      <c r="AI19" s="34" t="inlineStr">
        <is>
          <t>T1</t>
        </is>
      </c>
      <c r="AJ19" s="34" t="inlineStr">
        <is>
          <t>med</t>
        </is>
      </c>
      <c r="AK19" s="41" t="n">
        <v>0.1</v>
      </c>
      <c r="AL19" s="36">
        <f>IF(AH19="","",AH19*AK19)</f>
        <v/>
      </c>
      <c r="AM19" s="36">
        <f>IF(OR(AH19="",S19=0),"",MIN(IF(AU19="",9.9E+99,AU19),FLOOR(AL19/S19,1)))</f>
        <v/>
      </c>
      <c r="AN19" s="40">
        <f>IF(AM19="","",AM19*IF(ABS(MOD(ABS((U19)),1)-0.5)&lt;1E-9,2*ROUND((U19)/2,0),ROUND((U19),0)))</f>
        <v/>
      </c>
      <c r="AO19" s="38">
        <f>IF(OR(AH19="",S19=0),"",MIN(IF(AU19="",9.9E+99,AU19),AL19/S19))</f>
        <v/>
      </c>
      <c r="AP19" s="40">
        <f>IF(AO19="","",AO19*IF(B19="South Korea",IF(ABS(MOD(ABS((U19)),1)-0.5)&lt;1E-9,2*ROUND((U19)/2,0),ROUND((U19),0)),U19))</f>
        <v/>
      </c>
      <c r="AQ19" s="42" t="n"/>
      <c r="AR19" s="34" t="inlineStr">
        <is>
          <t>Grounded</t>
        </is>
      </c>
      <c r="AS19" s="43" t="n"/>
      <c r="AT19" s="43" t="n"/>
      <c r="AU19" s="44" t="n"/>
      <c r="AV19" s="45">
        <f>IF(((T19*pax_cap*load_thin*IF(ABS(MOD(ABS((L19*M19*revleg_thin)),1)-0.5)&lt;1E-9,2*ROUND((L19*M19*revleg_thin)/2,0),ROUND((L19*M19*revleg_thin),0)))-(((battery/range_nm)*D19*IF(ABS(MOD(ABS((L19*M19*revleg_thin)),1)-0.5)&lt;1E-9,2*ROUND((L19*M19*revleg_thin)/2,0),ROUND((L19*M19*revleg_thin),0))*VLOOKUP(B19,country_opex,3,FALSE))+W19+X19+Y19+Z19+AA19))&lt;=0,"",VLOOKUP(B19,country_opex,7,FALSE)/((T19*pax_cap*load_thin*IF(ABS(MOD(ABS((L19*M19*revleg_thin)),1)-0.5)&lt;1E-9,2*ROUND((L19*M19*revleg_thin)/2,0),ROUND((L19*M19*revleg_thin),0)))-(((battery/range_nm)*D19*IF(ABS(MOD(ABS((L19*M19*revleg_thin)),1)-0.5)&lt;1E-9,2*ROUND((L19*M19*revleg_thin)/2,0),ROUND((L19*M19*revleg_thin),0))*VLOOKUP(B19,country_opex,3,FALSE))+W19+X19+Y19+Z19+AA19)))</f>
        <v/>
      </c>
      <c r="AW19" s="45">
        <f>IF(((T19*pax_cap*IF(B19="South Korea",korea_mid_load,load_mid)*IF(ABS(MOD(ABS((L19*M19*IF(B19="South Korea",korea_mid_revleg,revleg_mid))),1)-0.5)&lt;1E-9,2*ROUND((L19*M19*IF(B19="South Korea",korea_mid_revleg,revleg_mid))/2,0),ROUND((L19*M19*IF(B19="South Korea",korea_mid_revleg,revleg_mid)),0)))-(((battery/range_nm)*D19*IF(ABS(MOD(ABS((L19*M19*IF(B19="South Korea",korea_mid_revleg,revleg_mid))),1)-0.5)&lt;1E-9,2*ROUND((L19*M19*IF(B19="South Korea",korea_mid_revleg,revleg_mid))/2,0),ROUND((L19*M19*IF(B19="South Korea",korea_mid_revleg,revleg_mid)),0))*VLOOKUP(B19,country_opex,3,FALSE))+W19+X19+Y19+Z19+AA19))&lt;=0,"",VLOOKUP(B19,country_opex,7,FALSE)/((T19*pax_cap*IF(B19="South Korea",korea_mid_load,load_mid)*IF(ABS(MOD(ABS((L19*M19*IF(B19="South Korea",korea_mid_revleg,revleg_mid))),1)-0.5)&lt;1E-9,2*ROUND((L19*M19*IF(B19="South Korea",korea_mid_revleg,revleg_mid))/2,0),ROUND((L19*M19*IF(B19="South Korea",korea_mid_revleg,revleg_mid)),0)))-(((battery/range_nm)*D19*IF(ABS(MOD(ABS((L19*M19*IF(B19="South Korea",korea_mid_revleg,revleg_mid))),1)-0.5)&lt;1E-9,2*ROUND((L19*M19*IF(B19="South Korea",korea_mid_revleg,revleg_mid))/2,0),ROUND((L19*M19*IF(B19="South Korea",korea_mid_revleg,revleg_mid)),0))*VLOOKUP(B19,country_opex,3,FALSE))+W19+X19+Y19+Z19+AA19)))</f>
        <v/>
      </c>
      <c r="AX19" s="45">
        <f>IF(((T19*pax_cap*load_full*IF(ABS(MOD(ABS((L19*M19*revleg_full)),1)-0.5)&lt;1E-9,2*ROUND((L19*M19*revleg_full)/2,0),ROUND((L19*M19*revleg_full),0)))-(((battery/range_nm)*D19*IF(ABS(MOD(ABS((L19*M19*revleg_full)),1)-0.5)&lt;1E-9,2*ROUND((L19*M19*revleg_full)/2,0),ROUND((L19*M19*revleg_full),0))*VLOOKUP(B19,country_opex,3,FALSE))+W19+X19+Y19+Z19+AA19))&lt;=0,"",VLOOKUP(B19,country_opex,7,FALSE)/((T19*pax_cap*load_full*IF(ABS(MOD(ABS((L19*M19*revleg_full)),1)-0.5)&lt;1E-9,2*ROUND((L19*M19*revleg_full)/2,0),ROUND((L19*M19*revleg_full),0)))-(((battery/range_nm)*D19*IF(ABS(MOD(ABS((L19*M19*revleg_full)),1)-0.5)&lt;1E-9,2*ROUND((L19*M19*revleg_full)/2,0),ROUND((L19*M19*revleg_full),0))*VLOOKUP(B19,country_opex,3,FALSE))+W19+X19+Y19+Z19+AA19)))</f>
        <v/>
      </c>
      <c r="AY19" s="46" t="inlineStr">
        <is>
          <t>band_default</t>
        </is>
      </c>
      <c r="AZ19" s="46" t="inlineStr">
        <is>
          <t>Seoul City Hangang Bus run-rate (~1.05M/yr; spec headline)</t>
        </is>
      </c>
      <c r="BA19" s="34" t="inlineStr">
        <is>
          <t>rn-047fe5d8e686</t>
        </is>
      </c>
    </row>
    <row r="20">
      <c r="A20" s="31" t="inlineStr">
        <is>
          <t>Korea Swing</t>
        </is>
      </c>
      <c r="B20" s="31" t="inlineStr">
        <is>
          <t>South Korea</t>
        </is>
      </c>
      <c r="C20" s="32" t="inlineStr">
        <is>
          <t>Yeouido Pier → Ttukseom Pier</t>
        </is>
      </c>
      <c r="D20" s="33" t="n">
        <v>8.300000000000001</v>
      </c>
      <c r="E20" s="27" t="n">
        <v>8</v>
      </c>
      <c r="F20" s="34" t="inlineStr">
        <is>
          <t>T3</t>
        </is>
      </c>
      <c r="G20" s="34" t="inlineStr">
        <is>
          <t>low</t>
        </is>
      </c>
      <c r="H20" s="20" t="n">
        <v>1</v>
      </c>
      <c r="I20" s="35">
        <f>60*D20/cruise_kt</f>
        <v/>
      </c>
      <c r="J20" s="35">
        <f>IF(B20="South Korea",D20/korea_charge_range_nm*korea_full_range_charge_min,0)</f>
        <v/>
      </c>
      <c r="K20" s="35">
        <f>IF(B20="South Korea",I20+korea_turn_min+korea_dwell_min+J20,I20+turn_min+dwell_min)</f>
        <v/>
      </c>
      <c r="L20" s="36">
        <f>IF(B20="South Korea",FLOOR(60*korea_service_hr/K20,1),MIN(15,FLOOR(60*service_hr/K20,1)))</f>
        <v/>
      </c>
      <c r="M20" s="36">
        <f>IF(ABS(MOD(ABS((365*mech_uptime*H20)),1)-0.5)&lt;1E-9,2*ROUND((365*mech_uptime*H20)/2,0),ROUND((365*mech_uptime*H20),0))</f>
        <v/>
      </c>
      <c r="N20" s="37">
        <f>mech_uptime</f>
        <v/>
      </c>
      <c r="O20" s="37">
        <f>IF(AND(B20="South Korea",scenario="MID"),korea_mid_revleg,revleg_sel)</f>
        <v/>
      </c>
      <c r="P20" s="36">
        <f>IF(ABS(MOD(ABS((L20*M20*O20)),1)-0.5)&lt;1E-9,2*ROUND((L20*M20*O20)/2,0),ROUND((L20*M20*O20),0))</f>
        <v/>
      </c>
      <c r="Q20" s="37">
        <f>IF(AND(B20="South Korea",scenario="MID"),korea_mid_load,load_sel)</f>
        <v/>
      </c>
      <c r="R20" s="38">
        <f>pax_cap*Q20</f>
        <v/>
      </c>
      <c r="S20" s="36">
        <f>R20*P20</f>
        <v/>
      </c>
      <c r="T20" s="39">
        <f>E20*discount</f>
        <v/>
      </c>
      <c r="U20" s="40">
        <f>T20*S20</f>
        <v/>
      </c>
      <c r="V20" s="40">
        <f>(battery/range_nm)*D20*P20*VLOOKUP(B20,country_opex,3,FALSE)</f>
        <v/>
      </c>
      <c r="W20" s="40">
        <f>VLOOKUP(B20,country_opex,2,FALSE)*crew_factor</f>
        <v/>
      </c>
      <c r="X20" s="40">
        <f>VLOOKUP(B20,country_opex,5,FALSE)</f>
        <v/>
      </c>
      <c r="Y20" s="40">
        <f>maint</f>
        <v/>
      </c>
      <c r="Z20" s="40">
        <f>VLOOKUP(B20,country_opex,7,FALSE)*ins_pct</f>
        <v/>
      </c>
      <c r="AA20" s="40">
        <f>charge_berth</f>
        <v/>
      </c>
      <c r="AB20" s="40">
        <f>V20+W20+X20+Y20+Z20+AA20</f>
        <v/>
      </c>
      <c r="AC20" s="40">
        <f>VLOOKUP(B20,country_opex,7,FALSE)/dep_years</f>
        <v/>
      </c>
      <c r="AD20" s="40">
        <f>U20-AB20</f>
        <v/>
      </c>
      <c r="AE20" s="37">
        <f>IF(U20=0,"",AD20/U20)</f>
        <v/>
      </c>
      <c r="AF20" s="38">
        <f>IF(AD20&lt;=0,"",VLOOKUP(B20,country_opex,7,FALSE)/AD20)</f>
        <v/>
      </c>
      <c r="AG20" s="35">
        <f>((D20*P20/diesel_nmpg)*diesel_co2pg-(battery/range_nm)*D20*P20*VLOOKUP(B20,country_opex,4,FALSE))/1000</f>
        <v/>
      </c>
      <c r="AH20" s="33" t="n">
        <v>95455</v>
      </c>
      <c r="AI20" s="34" t="inlineStr">
        <is>
          <t>T1</t>
        </is>
      </c>
      <c r="AJ20" s="34" t="inlineStr">
        <is>
          <t>med</t>
        </is>
      </c>
      <c r="AK20" s="41" t="n">
        <v>0.1</v>
      </c>
      <c r="AL20" s="36">
        <f>IF(AH20="","",AH20*AK20)</f>
        <v/>
      </c>
      <c r="AM20" s="36">
        <f>IF(OR(AH20="",S20=0),"",MIN(IF(AU20="",9.9E+99,AU20),FLOOR(AL20/S20,1)))</f>
        <v/>
      </c>
      <c r="AN20" s="40">
        <f>IF(AM20="","",AM20*IF(ABS(MOD(ABS((U20)),1)-0.5)&lt;1E-9,2*ROUND((U20)/2,0),ROUND((U20),0)))</f>
        <v/>
      </c>
      <c r="AO20" s="38">
        <f>IF(OR(AH20="",S20=0),"",MIN(IF(AU20="",9.9E+99,AU20),AL20/S20))</f>
        <v/>
      </c>
      <c r="AP20" s="40">
        <f>IF(AO20="","",AO20*IF(B20="South Korea",IF(ABS(MOD(ABS((U20)),1)-0.5)&lt;1E-9,2*ROUND((U20)/2,0),ROUND((U20),0)),U20))</f>
        <v/>
      </c>
      <c r="AQ20" s="42" t="n"/>
      <c r="AR20" s="34" t="inlineStr">
        <is>
          <t>Grounded</t>
        </is>
      </c>
      <c r="AS20" s="43" t="n"/>
      <c r="AT20" s="43" t="n"/>
      <c r="AU20" s="44" t="n"/>
      <c r="AV20" s="45">
        <f>IF(((T20*pax_cap*load_thin*IF(ABS(MOD(ABS((L20*M20*revleg_thin)),1)-0.5)&lt;1E-9,2*ROUND((L20*M20*revleg_thin)/2,0),ROUND((L20*M20*revleg_thin),0)))-(((battery/range_nm)*D20*IF(ABS(MOD(ABS((L20*M20*revleg_thin)),1)-0.5)&lt;1E-9,2*ROUND((L20*M20*revleg_thin)/2,0),ROUND((L20*M20*revleg_thin),0))*VLOOKUP(B20,country_opex,3,FALSE))+W20+X20+Y20+Z20+AA20))&lt;=0,"",VLOOKUP(B20,country_opex,7,FALSE)/((T20*pax_cap*load_thin*IF(ABS(MOD(ABS((L20*M20*revleg_thin)),1)-0.5)&lt;1E-9,2*ROUND((L20*M20*revleg_thin)/2,0),ROUND((L20*M20*revleg_thin),0)))-(((battery/range_nm)*D20*IF(ABS(MOD(ABS((L20*M20*revleg_thin)),1)-0.5)&lt;1E-9,2*ROUND((L20*M20*revleg_thin)/2,0),ROUND((L20*M20*revleg_thin),0))*VLOOKUP(B20,country_opex,3,FALSE))+W20+X20+Y20+Z20+AA20)))</f>
        <v/>
      </c>
      <c r="AW20" s="45">
        <f>IF(((T20*pax_cap*IF(B20="South Korea",korea_mid_load,load_mid)*IF(ABS(MOD(ABS((L20*M20*IF(B20="South Korea",korea_mid_revleg,revleg_mid))),1)-0.5)&lt;1E-9,2*ROUND((L20*M20*IF(B20="South Korea",korea_mid_revleg,revleg_mid))/2,0),ROUND((L20*M20*IF(B20="South Korea",korea_mid_revleg,revleg_mid)),0)))-(((battery/range_nm)*D20*IF(ABS(MOD(ABS((L20*M20*IF(B20="South Korea",korea_mid_revleg,revleg_mid))),1)-0.5)&lt;1E-9,2*ROUND((L20*M20*IF(B20="South Korea",korea_mid_revleg,revleg_mid))/2,0),ROUND((L20*M20*IF(B20="South Korea",korea_mid_revleg,revleg_mid)),0))*VLOOKUP(B20,country_opex,3,FALSE))+W20+X20+Y20+Z20+AA20))&lt;=0,"",VLOOKUP(B20,country_opex,7,FALSE)/((T20*pax_cap*IF(B20="South Korea",korea_mid_load,load_mid)*IF(ABS(MOD(ABS((L20*M20*IF(B20="South Korea",korea_mid_revleg,revleg_mid))),1)-0.5)&lt;1E-9,2*ROUND((L20*M20*IF(B20="South Korea",korea_mid_revleg,revleg_mid))/2,0),ROUND((L20*M20*IF(B20="South Korea",korea_mid_revleg,revleg_mid)),0)))-(((battery/range_nm)*D20*IF(ABS(MOD(ABS((L20*M20*IF(B20="South Korea",korea_mid_revleg,revleg_mid))),1)-0.5)&lt;1E-9,2*ROUND((L20*M20*IF(B20="South Korea",korea_mid_revleg,revleg_mid))/2,0),ROUND((L20*M20*IF(B20="South Korea",korea_mid_revleg,revleg_mid)),0))*VLOOKUP(B20,country_opex,3,FALSE))+W20+X20+Y20+Z20+AA20)))</f>
        <v/>
      </c>
      <c r="AX20" s="45">
        <f>IF(((T20*pax_cap*load_full*IF(ABS(MOD(ABS((L20*M20*revleg_full)),1)-0.5)&lt;1E-9,2*ROUND((L20*M20*revleg_full)/2,0),ROUND((L20*M20*revleg_full),0)))-(((battery/range_nm)*D20*IF(ABS(MOD(ABS((L20*M20*revleg_full)),1)-0.5)&lt;1E-9,2*ROUND((L20*M20*revleg_full)/2,0),ROUND((L20*M20*revleg_full),0))*VLOOKUP(B20,country_opex,3,FALSE))+W20+X20+Y20+Z20+AA20))&lt;=0,"",VLOOKUP(B20,country_opex,7,FALSE)/((T20*pax_cap*load_full*IF(ABS(MOD(ABS((L20*M20*revleg_full)),1)-0.5)&lt;1E-9,2*ROUND((L20*M20*revleg_full)/2,0),ROUND((L20*M20*revleg_full),0)))-(((battery/range_nm)*D20*IF(ABS(MOD(ABS((L20*M20*revleg_full)),1)-0.5)&lt;1E-9,2*ROUND((L20*M20*revleg_full)/2,0),ROUND((L20*M20*revleg_full),0))*VLOOKUP(B20,country_opex,3,FALSE))+W20+X20+Y20+Z20+AA20)))</f>
        <v/>
      </c>
      <c r="AY20" s="46" t="inlineStr">
        <is>
          <t>band_default</t>
        </is>
      </c>
      <c r="AZ20" s="46" t="inlineStr">
        <is>
          <t>Seoul City Hangang Bus run-rate (~1.05M/yr; spec headline)</t>
        </is>
      </c>
      <c r="BA20" s="34" t="inlineStr">
        <is>
          <t>rn-ce55c292989a</t>
        </is>
      </c>
    </row>
    <row r="21">
      <c r="A21" s="31" t="inlineStr">
        <is>
          <t>Korea Swing</t>
        </is>
      </c>
      <c r="B21" s="31" t="inlineStr">
        <is>
          <t>South Korea</t>
        </is>
      </c>
      <c r="C21" s="32" t="inlineStr">
        <is>
          <t>Muuido Island Ferry Berth → Yeongjong Island Marina</t>
        </is>
      </c>
      <c r="D21" s="33" t="n">
        <v>9.1</v>
      </c>
      <c r="E21" s="27" t="n">
        <v>8</v>
      </c>
      <c r="F21" s="34" t="inlineStr">
        <is>
          <t>T3</t>
        </is>
      </c>
      <c r="G21" s="34" t="inlineStr">
        <is>
          <t>low</t>
        </is>
      </c>
      <c r="H21" s="20" t="n">
        <v>1</v>
      </c>
      <c r="I21" s="35">
        <f>60*D21/cruise_kt</f>
        <v/>
      </c>
      <c r="J21" s="35">
        <f>IF(B21="South Korea",D21/korea_charge_range_nm*korea_full_range_charge_min,0)</f>
        <v/>
      </c>
      <c r="K21" s="35">
        <f>IF(B21="South Korea",I21+korea_turn_min+korea_dwell_min+J21,I21+turn_min+dwell_min)</f>
        <v/>
      </c>
      <c r="L21" s="36">
        <f>IF(B21="South Korea",FLOOR(60*korea_service_hr/K21,1),MIN(15,FLOOR(60*service_hr/K21,1)))</f>
        <v/>
      </c>
      <c r="M21" s="36">
        <f>IF(ABS(MOD(ABS((365*mech_uptime*H21)),1)-0.5)&lt;1E-9,2*ROUND((365*mech_uptime*H21)/2,0),ROUND((365*mech_uptime*H21),0))</f>
        <v/>
      </c>
      <c r="N21" s="37">
        <f>mech_uptime</f>
        <v/>
      </c>
      <c r="O21" s="37">
        <f>IF(AND(B21="South Korea",scenario="MID"),korea_mid_revleg,revleg_sel)</f>
        <v/>
      </c>
      <c r="P21" s="36">
        <f>IF(ABS(MOD(ABS((L21*M21*O21)),1)-0.5)&lt;1E-9,2*ROUND((L21*M21*O21)/2,0),ROUND((L21*M21*O21),0))</f>
        <v/>
      </c>
      <c r="Q21" s="37">
        <f>IF(AND(B21="South Korea",scenario="MID"),korea_mid_load,load_sel)</f>
        <v/>
      </c>
      <c r="R21" s="38">
        <f>pax_cap*Q21</f>
        <v/>
      </c>
      <c r="S21" s="36">
        <f>R21*P21</f>
        <v/>
      </c>
      <c r="T21" s="39">
        <f>E21*discount</f>
        <v/>
      </c>
      <c r="U21" s="40">
        <f>T21*S21</f>
        <v/>
      </c>
      <c r="V21" s="40">
        <f>(battery/range_nm)*D21*P21*VLOOKUP(B21,country_opex,3,FALSE)</f>
        <v/>
      </c>
      <c r="W21" s="40">
        <f>VLOOKUP(B21,country_opex,2,FALSE)*crew_factor</f>
        <v/>
      </c>
      <c r="X21" s="40">
        <f>VLOOKUP(B21,country_opex,5,FALSE)</f>
        <v/>
      </c>
      <c r="Y21" s="40">
        <f>maint</f>
        <v/>
      </c>
      <c r="Z21" s="40">
        <f>VLOOKUP(B21,country_opex,7,FALSE)*ins_pct</f>
        <v/>
      </c>
      <c r="AA21" s="40">
        <f>charge_berth</f>
        <v/>
      </c>
      <c r="AB21" s="40">
        <f>V21+W21+X21+Y21+Z21+AA21</f>
        <v/>
      </c>
      <c r="AC21" s="40">
        <f>VLOOKUP(B21,country_opex,7,FALSE)/dep_years</f>
        <v/>
      </c>
      <c r="AD21" s="40">
        <f>U21-AB21</f>
        <v/>
      </c>
      <c r="AE21" s="37">
        <f>IF(U21=0,"",AD21/U21)</f>
        <v/>
      </c>
      <c r="AF21" s="38">
        <f>IF(AD21&lt;=0,"",VLOOKUP(B21,country_opex,7,FALSE)/AD21)</f>
        <v/>
      </c>
      <c r="AG21" s="35">
        <f>((D21*P21/diesel_nmpg)*diesel_co2pg-(battery/range_nm)*D21*P21*VLOOKUP(B21,country_opex,4,FALSE))/1000</f>
        <v/>
      </c>
      <c r="AH21" s="33" t="n">
        <v>120137</v>
      </c>
      <c r="AI21" s="34" t="inlineStr">
        <is>
          <t>T1</t>
        </is>
      </c>
      <c r="AJ21" s="34" t="inlineStr">
        <is>
          <t>high</t>
        </is>
      </c>
      <c r="AK21" s="41" t="n">
        <v>0.1</v>
      </c>
      <c r="AL21" s="36">
        <f>IF(AH21="","",AH21*AK21)</f>
        <v/>
      </c>
      <c r="AM21" s="36">
        <f>IF(OR(AH21="",S21=0),"",MIN(IF(AU21="",9.9E+99,AU21),FLOOR(AL21/S21,1)))</f>
        <v/>
      </c>
      <c r="AN21" s="40">
        <f>IF(AM21="","",AM21*IF(ABS(MOD(ABS((U21)),1)-0.5)&lt;1E-9,2*ROUND((U21)/2,0),ROUND((U21),0)))</f>
        <v/>
      </c>
      <c r="AO21" s="38">
        <f>IF(OR(AH21="",S21=0),"",MIN(IF(AU21="",9.9E+99,AU21),AL21/S21))</f>
        <v/>
      </c>
      <c r="AP21" s="40">
        <f>IF(AO21="","",AO21*IF(B21="South Korea",IF(ABS(MOD(ABS((U21)),1)-0.5)&lt;1E-9,2*ROUND((U21)/2,0),ROUND((U21),0)),U21))</f>
        <v/>
      </c>
      <c r="AQ21" s="42" t="n"/>
      <c r="AR21" s="34" t="inlineStr">
        <is>
          <t>Grounded</t>
        </is>
      </c>
      <c r="AS21" s="43" t="n"/>
      <c r="AT21" s="43" t="n"/>
      <c r="AU21" s="44" t="n"/>
      <c r="AV21" s="45">
        <f>IF(((T21*pax_cap*load_thin*IF(ABS(MOD(ABS((L21*M21*revleg_thin)),1)-0.5)&lt;1E-9,2*ROUND((L21*M21*revleg_thin)/2,0),ROUND((L21*M21*revleg_thin),0)))-(((battery/range_nm)*D21*IF(ABS(MOD(ABS((L21*M21*revleg_thin)),1)-0.5)&lt;1E-9,2*ROUND((L21*M21*revleg_thin)/2,0),ROUND((L21*M21*revleg_thin),0))*VLOOKUP(B21,country_opex,3,FALSE))+W21+X21+Y21+Z21+AA21))&lt;=0,"",VLOOKUP(B21,country_opex,7,FALSE)/((T21*pax_cap*load_thin*IF(ABS(MOD(ABS((L21*M21*revleg_thin)),1)-0.5)&lt;1E-9,2*ROUND((L21*M21*revleg_thin)/2,0),ROUND((L21*M21*revleg_thin),0)))-(((battery/range_nm)*D21*IF(ABS(MOD(ABS((L21*M21*revleg_thin)),1)-0.5)&lt;1E-9,2*ROUND((L21*M21*revleg_thin)/2,0),ROUND((L21*M21*revleg_thin),0))*VLOOKUP(B21,country_opex,3,FALSE))+W21+X21+Y21+Z21+AA21)))</f>
        <v/>
      </c>
      <c r="AW21" s="45">
        <f>IF(((T21*pax_cap*IF(B21="South Korea",korea_mid_load,load_mid)*IF(ABS(MOD(ABS((L21*M21*IF(B21="South Korea",korea_mid_revleg,revleg_mid))),1)-0.5)&lt;1E-9,2*ROUND((L21*M21*IF(B21="South Korea",korea_mid_revleg,revleg_mid))/2,0),ROUND((L21*M21*IF(B21="South Korea",korea_mid_revleg,revleg_mid)),0)))-(((battery/range_nm)*D21*IF(ABS(MOD(ABS((L21*M21*IF(B21="South Korea",korea_mid_revleg,revleg_mid))),1)-0.5)&lt;1E-9,2*ROUND((L21*M21*IF(B21="South Korea",korea_mid_revleg,revleg_mid))/2,0),ROUND((L21*M21*IF(B21="South Korea",korea_mid_revleg,revleg_mid)),0))*VLOOKUP(B21,country_opex,3,FALSE))+W21+X21+Y21+Z21+AA21))&lt;=0,"",VLOOKUP(B21,country_opex,7,FALSE)/((T21*pax_cap*IF(B21="South Korea",korea_mid_load,load_mid)*IF(ABS(MOD(ABS((L21*M21*IF(B21="South Korea",korea_mid_revleg,revleg_mid))),1)-0.5)&lt;1E-9,2*ROUND((L21*M21*IF(B21="South Korea",korea_mid_revleg,revleg_mid))/2,0),ROUND((L21*M21*IF(B21="South Korea",korea_mid_revleg,revleg_mid)),0)))-(((battery/range_nm)*D21*IF(ABS(MOD(ABS((L21*M21*IF(B21="South Korea",korea_mid_revleg,revleg_mid))),1)-0.5)&lt;1E-9,2*ROUND((L21*M21*IF(B21="South Korea",korea_mid_revleg,revleg_mid))/2,0),ROUND((L21*M21*IF(B21="South Korea",korea_mid_revleg,revleg_mid)),0))*VLOOKUP(B21,country_opex,3,FALSE))+W21+X21+Y21+Z21+AA21)))</f>
        <v/>
      </c>
      <c r="AX21" s="45">
        <f>IF(((T21*pax_cap*load_full*IF(ABS(MOD(ABS((L21*M21*revleg_full)),1)-0.5)&lt;1E-9,2*ROUND((L21*M21*revleg_full)/2,0),ROUND((L21*M21*revleg_full),0)))-(((battery/range_nm)*D21*IF(ABS(MOD(ABS((L21*M21*revleg_full)),1)-0.5)&lt;1E-9,2*ROUND((L21*M21*revleg_full)/2,0),ROUND((L21*M21*revleg_full),0))*VLOOKUP(B21,country_opex,3,FALSE))+W21+X21+Y21+Z21+AA21))&lt;=0,"",VLOOKUP(B21,country_opex,7,FALSE)/((T21*pax_cap*load_full*IF(ABS(MOD(ABS((L21*M21*revleg_full)),1)-0.5)&lt;1E-9,2*ROUND((L21*M21*revleg_full)/2,0),ROUND((L21*M21*revleg_full),0)))-(((battery/range_nm)*D21*IF(ABS(MOD(ABS((L21*M21*revleg_full)),1)-0.5)&lt;1E-9,2*ROUND((L21*M21*revleg_full)/2,0),ROUND((L21*M21*revleg_full),0))*VLOOKUP(B21,country_opex,3,FALSE))+W21+X21+Y21+Z21+AA21)))</f>
        <v/>
      </c>
      <c r="AY21" s="46" t="inlineStr">
        <is>
          <t>band_default</t>
        </is>
      </c>
      <c r="AZ21" s="46" t="inlineStr">
        <is>
          <t>https://www.icpa.or.kr/icferry/mobile/main.do?menuKey=779</t>
        </is>
      </c>
      <c r="BA21" s="34" t="inlineStr">
        <is>
          <t>rn-5689dc99e479</t>
        </is>
      </c>
    </row>
    <row r="22">
      <c r="A22" s="31" t="inlineStr">
        <is>
          <t>Korea Swing</t>
        </is>
      </c>
      <c r="B22" s="31" t="inlineStr">
        <is>
          <t>South Korea</t>
        </is>
      </c>
      <c r="C22" s="32" t="inlineStr">
        <is>
          <t>Jeju Yacht Club / Aewol Marina pipeline → Jeju Ferry Passenger Terminal</t>
        </is>
      </c>
      <c r="D22" s="33" t="n">
        <v>10.6</v>
      </c>
      <c r="E22" s="27" t="n">
        <v>8</v>
      </c>
      <c r="F22" s="34" t="inlineStr">
        <is>
          <t>T3</t>
        </is>
      </c>
      <c r="G22" s="34" t="inlineStr">
        <is>
          <t>low</t>
        </is>
      </c>
      <c r="H22" s="20" t="n">
        <v>1</v>
      </c>
      <c r="I22" s="35">
        <f>60*D22/cruise_kt</f>
        <v/>
      </c>
      <c r="J22" s="35">
        <f>IF(B22="South Korea",D22/korea_charge_range_nm*korea_full_range_charge_min,0)</f>
        <v/>
      </c>
      <c r="K22" s="35">
        <f>IF(B22="South Korea",I22+korea_turn_min+korea_dwell_min+J22,I22+turn_min+dwell_min)</f>
        <v/>
      </c>
      <c r="L22" s="36">
        <f>IF(B22="South Korea",FLOOR(60*korea_service_hr/K22,1),MIN(15,FLOOR(60*service_hr/K22,1)))</f>
        <v/>
      </c>
      <c r="M22" s="36">
        <f>IF(ABS(MOD(ABS((365*mech_uptime*H22)),1)-0.5)&lt;1E-9,2*ROUND((365*mech_uptime*H22)/2,0),ROUND((365*mech_uptime*H22),0))</f>
        <v/>
      </c>
      <c r="N22" s="37">
        <f>mech_uptime</f>
        <v/>
      </c>
      <c r="O22" s="37">
        <f>IF(AND(B22="South Korea",scenario="MID"),korea_mid_revleg,revleg_sel)</f>
        <v/>
      </c>
      <c r="P22" s="36">
        <f>IF(ABS(MOD(ABS((L22*M22*O22)),1)-0.5)&lt;1E-9,2*ROUND((L22*M22*O22)/2,0),ROUND((L22*M22*O22),0))</f>
        <v/>
      </c>
      <c r="Q22" s="37">
        <f>IF(AND(B22="South Korea",scenario="MID"),korea_mid_load,load_sel)</f>
        <v/>
      </c>
      <c r="R22" s="38">
        <f>pax_cap*Q22</f>
        <v/>
      </c>
      <c r="S22" s="36">
        <f>R22*P22</f>
        <v/>
      </c>
      <c r="T22" s="39">
        <f>E22*discount</f>
        <v/>
      </c>
      <c r="U22" s="40">
        <f>T22*S22</f>
        <v/>
      </c>
      <c r="V22" s="40">
        <f>(battery/range_nm)*D22*P22*VLOOKUP(B22,country_opex,3,FALSE)</f>
        <v/>
      </c>
      <c r="W22" s="40">
        <f>VLOOKUP(B22,country_opex,2,FALSE)*crew_factor</f>
        <v/>
      </c>
      <c r="X22" s="40">
        <f>VLOOKUP(B22,country_opex,5,FALSE)</f>
        <v/>
      </c>
      <c r="Y22" s="40">
        <f>maint</f>
        <v/>
      </c>
      <c r="Z22" s="40">
        <f>VLOOKUP(B22,country_opex,7,FALSE)*ins_pct</f>
        <v/>
      </c>
      <c r="AA22" s="40">
        <f>charge_berth</f>
        <v/>
      </c>
      <c r="AB22" s="40">
        <f>V22+W22+X22+Y22+Z22+AA22</f>
        <v/>
      </c>
      <c r="AC22" s="40">
        <f>VLOOKUP(B22,country_opex,7,FALSE)/dep_years</f>
        <v/>
      </c>
      <c r="AD22" s="40">
        <f>U22-AB22</f>
        <v/>
      </c>
      <c r="AE22" s="37">
        <f>IF(U22=0,"",AD22/U22)</f>
        <v/>
      </c>
      <c r="AF22" s="38">
        <f>IF(AD22&lt;=0,"",VLOOKUP(B22,country_opex,7,FALSE)/AD22)</f>
        <v/>
      </c>
      <c r="AG22" s="35">
        <f>((D22*P22/diesel_nmpg)*diesel_co2pg-(battery/range_nm)*D22*P22*VLOOKUP(B22,country_opex,4,FALSE))/1000</f>
        <v/>
      </c>
      <c r="AH22" s="33" t="n">
        <v>29535</v>
      </c>
      <c r="AI22" s="34" t="inlineStr">
        <is>
          <t>T3</t>
        </is>
      </c>
      <c r="AJ22" s="34" t="inlineStr">
        <is>
          <t>low</t>
        </is>
      </c>
      <c r="AK22" s="41" t="n">
        <v>0.1</v>
      </c>
      <c r="AL22" s="36">
        <f>IF(AH22="","",AH22*AK22)</f>
        <v/>
      </c>
      <c r="AM22" s="36">
        <f>IF(OR(AH22="",S22=0),"",MIN(IF(AU22="",9.9E+99,AU22),FLOOR(AL22/S22,1)))</f>
        <v/>
      </c>
      <c r="AN22" s="40">
        <f>IF(AM22="","",AM22*IF(ABS(MOD(ABS((U22)),1)-0.5)&lt;1E-9,2*ROUND((U22)/2,0),ROUND((U22),0)))</f>
        <v/>
      </c>
      <c r="AO22" s="38">
        <f>IF(OR(AH22="",S22=0),"",MIN(IF(AU22="",9.9E+99,AU22),AL22/S22))</f>
        <v/>
      </c>
      <c r="AP22" s="40">
        <f>IF(AO22="","",AO22*IF(B22="South Korea",IF(ABS(MOD(ABS((U22)),1)-0.5)&lt;1E-9,2*ROUND((U22)/2,0),ROUND((U22),0)),U22))</f>
        <v/>
      </c>
      <c r="AQ22" s="42" t="n"/>
      <c r="AR22" s="34" t="inlineStr">
        <is>
          <t>Grounded</t>
        </is>
      </c>
      <c r="AS22" s="43" t="n"/>
      <c r="AT22" s="43" t="n"/>
      <c r="AU22" s="44" t="n"/>
      <c r="AV22" s="45">
        <f>IF(((T22*pax_cap*load_thin*IF(ABS(MOD(ABS((L22*M22*revleg_thin)),1)-0.5)&lt;1E-9,2*ROUND((L22*M22*revleg_thin)/2,0),ROUND((L22*M22*revleg_thin),0)))-(((battery/range_nm)*D22*IF(ABS(MOD(ABS((L22*M22*revleg_thin)),1)-0.5)&lt;1E-9,2*ROUND((L22*M22*revleg_thin)/2,0),ROUND((L22*M22*revleg_thin),0))*VLOOKUP(B22,country_opex,3,FALSE))+W22+X22+Y22+Z22+AA22))&lt;=0,"",VLOOKUP(B22,country_opex,7,FALSE)/((T22*pax_cap*load_thin*IF(ABS(MOD(ABS((L22*M22*revleg_thin)),1)-0.5)&lt;1E-9,2*ROUND((L22*M22*revleg_thin)/2,0),ROUND((L22*M22*revleg_thin),0)))-(((battery/range_nm)*D22*IF(ABS(MOD(ABS((L22*M22*revleg_thin)),1)-0.5)&lt;1E-9,2*ROUND((L22*M22*revleg_thin)/2,0),ROUND((L22*M22*revleg_thin),0))*VLOOKUP(B22,country_opex,3,FALSE))+W22+X22+Y22+Z22+AA22)))</f>
        <v/>
      </c>
      <c r="AW22" s="45">
        <f>IF(((T22*pax_cap*IF(B22="South Korea",korea_mid_load,load_mid)*IF(ABS(MOD(ABS((L22*M22*IF(B22="South Korea",korea_mid_revleg,revleg_mid))),1)-0.5)&lt;1E-9,2*ROUND((L22*M22*IF(B22="South Korea",korea_mid_revleg,revleg_mid))/2,0),ROUND((L22*M22*IF(B22="South Korea",korea_mid_revleg,revleg_mid)),0)))-(((battery/range_nm)*D22*IF(ABS(MOD(ABS((L22*M22*IF(B22="South Korea",korea_mid_revleg,revleg_mid))),1)-0.5)&lt;1E-9,2*ROUND((L22*M22*IF(B22="South Korea",korea_mid_revleg,revleg_mid))/2,0),ROUND((L22*M22*IF(B22="South Korea",korea_mid_revleg,revleg_mid)),0))*VLOOKUP(B22,country_opex,3,FALSE))+W22+X22+Y22+Z22+AA22))&lt;=0,"",VLOOKUP(B22,country_opex,7,FALSE)/((T22*pax_cap*IF(B22="South Korea",korea_mid_load,load_mid)*IF(ABS(MOD(ABS((L22*M22*IF(B22="South Korea",korea_mid_revleg,revleg_mid))),1)-0.5)&lt;1E-9,2*ROUND((L22*M22*IF(B22="South Korea",korea_mid_revleg,revleg_mid))/2,0),ROUND((L22*M22*IF(B22="South Korea",korea_mid_revleg,revleg_mid)),0)))-(((battery/range_nm)*D22*IF(ABS(MOD(ABS((L22*M22*IF(B22="South Korea",korea_mid_revleg,revleg_mid))),1)-0.5)&lt;1E-9,2*ROUND((L22*M22*IF(B22="South Korea",korea_mid_revleg,revleg_mid))/2,0),ROUND((L22*M22*IF(B22="South Korea",korea_mid_revleg,revleg_mid)),0))*VLOOKUP(B22,country_opex,3,FALSE))+W22+X22+Y22+Z22+AA22)))</f>
        <v/>
      </c>
      <c r="AX22" s="45">
        <f>IF(((T22*pax_cap*load_full*IF(ABS(MOD(ABS((L22*M22*revleg_full)),1)-0.5)&lt;1E-9,2*ROUND((L22*M22*revleg_full)/2,0),ROUND((L22*M22*revleg_full),0)))-(((battery/range_nm)*D22*IF(ABS(MOD(ABS((L22*M22*revleg_full)),1)-0.5)&lt;1E-9,2*ROUND((L22*M22*revleg_full)/2,0),ROUND((L22*M22*revleg_full),0))*VLOOKUP(B22,country_opex,3,FALSE))+W22+X22+Y22+Z22+AA22))&lt;=0,"",VLOOKUP(B22,country_opex,7,FALSE)/((T22*pax_cap*load_full*IF(ABS(MOD(ABS((L22*M22*revleg_full)),1)-0.5)&lt;1E-9,2*ROUND((L22*M22*revleg_full)/2,0),ROUND((L22*M22*revleg_full),0)))-(((battery/range_nm)*D22*IF(ABS(MOD(ABS((L22*M22*revleg_full)),1)-0.5)&lt;1E-9,2*ROUND((L22*M22*revleg_full)/2,0),ROUND((L22*M22*revleg_full),0))*VLOOKUP(B22,country_opex,3,FALSE))+W22+X22+Y22+Z22+AA22)))</f>
        <v/>
      </c>
      <c r="AY22" s="46" t="inlineStr">
        <is>
          <t>band_default</t>
        </is>
      </c>
      <c r="AZ22" s="46" t="inlineStr">
        <is>
          <t>greenfield_convention</t>
        </is>
      </c>
      <c r="BA22" s="34" t="inlineStr">
        <is>
          <t>rn-8a05c6dc9a81</t>
        </is>
      </c>
    </row>
    <row r="23">
      <c r="A23" s="31" t="inlineStr">
        <is>
          <t>Korea Swing</t>
        </is>
      </c>
      <c r="B23" s="31" t="inlineStr">
        <is>
          <t>South Korea</t>
        </is>
      </c>
      <c r="C23" s="32" t="inlineStr">
        <is>
          <t>Incheon Coastal Passenger Terminal → Muuido Island Ferry Berth</t>
        </is>
      </c>
      <c r="D23" s="33" t="n">
        <v>11.7</v>
      </c>
      <c r="E23" s="27" t="n">
        <v>8</v>
      </c>
      <c r="F23" s="34" t="inlineStr">
        <is>
          <t>T3</t>
        </is>
      </c>
      <c r="G23" s="34" t="inlineStr">
        <is>
          <t>low</t>
        </is>
      </c>
      <c r="H23" s="20" t="n">
        <v>1</v>
      </c>
      <c r="I23" s="35">
        <f>60*D23/cruise_kt</f>
        <v/>
      </c>
      <c r="J23" s="35">
        <f>IF(B23="South Korea",D23/korea_charge_range_nm*korea_full_range_charge_min,0)</f>
        <v/>
      </c>
      <c r="K23" s="35">
        <f>IF(B23="South Korea",I23+korea_turn_min+korea_dwell_min+J23,I23+turn_min+dwell_min)</f>
        <v/>
      </c>
      <c r="L23" s="36">
        <f>IF(B23="South Korea",FLOOR(60*korea_service_hr/K23,1),MIN(15,FLOOR(60*service_hr/K23,1)))</f>
        <v/>
      </c>
      <c r="M23" s="36">
        <f>IF(ABS(MOD(ABS((365*mech_uptime*H23)),1)-0.5)&lt;1E-9,2*ROUND((365*mech_uptime*H23)/2,0),ROUND((365*mech_uptime*H23),0))</f>
        <v/>
      </c>
      <c r="N23" s="37">
        <f>mech_uptime</f>
        <v/>
      </c>
      <c r="O23" s="37">
        <f>IF(AND(B23="South Korea",scenario="MID"),korea_mid_revleg,revleg_sel)</f>
        <v/>
      </c>
      <c r="P23" s="36">
        <f>IF(ABS(MOD(ABS((L23*M23*O23)),1)-0.5)&lt;1E-9,2*ROUND((L23*M23*O23)/2,0),ROUND((L23*M23*O23),0))</f>
        <v/>
      </c>
      <c r="Q23" s="37">
        <f>IF(AND(B23="South Korea",scenario="MID"),korea_mid_load,load_sel)</f>
        <v/>
      </c>
      <c r="R23" s="38">
        <f>pax_cap*Q23</f>
        <v/>
      </c>
      <c r="S23" s="36">
        <f>R23*P23</f>
        <v/>
      </c>
      <c r="T23" s="39">
        <f>E23*discount</f>
        <v/>
      </c>
      <c r="U23" s="40">
        <f>T23*S23</f>
        <v/>
      </c>
      <c r="V23" s="40">
        <f>(battery/range_nm)*D23*P23*VLOOKUP(B23,country_opex,3,FALSE)</f>
        <v/>
      </c>
      <c r="W23" s="40">
        <f>VLOOKUP(B23,country_opex,2,FALSE)*crew_factor</f>
        <v/>
      </c>
      <c r="X23" s="40">
        <f>VLOOKUP(B23,country_opex,5,FALSE)</f>
        <v/>
      </c>
      <c r="Y23" s="40">
        <f>maint</f>
        <v/>
      </c>
      <c r="Z23" s="40">
        <f>VLOOKUP(B23,country_opex,7,FALSE)*ins_pct</f>
        <v/>
      </c>
      <c r="AA23" s="40">
        <f>charge_berth</f>
        <v/>
      </c>
      <c r="AB23" s="40">
        <f>V23+W23+X23+Y23+Z23+AA23</f>
        <v/>
      </c>
      <c r="AC23" s="40">
        <f>VLOOKUP(B23,country_opex,7,FALSE)/dep_years</f>
        <v/>
      </c>
      <c r="AD23" s="40">
        <f>U23-AB23</f>
        <v/>
      </c>
      <c r="AE23" s="37">
        <f>IF(U23=0,"",AD23/U23)</f>
        <v/>
      </c>
      <c r="AF23" s="38">
        <f>IF(AD23&lt;=0,"",VLOOKUP(B23,country_opex,7,FALSE)/AD23)</f>
        <v/>
      </c>
      <c r="AG23" s="35">
        <f>((D23*P23/diesel_nmpg)*diesel_co2pg-(battery/range_nm)*D23*P23*VLOOKUP(B23,country_opex,4,FALSE))/1000</f>
        <v/>
      </c>
      <c r="AH23" s="33" t="n">
        <v>120137</v>
      </c>
      <c r="AI23" s="34" t="inlineStr">
        <is>
          <t>T1</t>
        </is>
      </c>
      <c r="AJ23" s="34" t="inlineStr">
        <is>
          <t>high</t>
        </is>
      </c>
      <c r="AK23" s="41" t="n">
        <v>0.1</v>
      </c>
      <c r="AL23" s="36">
        <f>IF(AH23="","",AH23*AK23)</f>
        <v/>
      </c>
      <c r="AM23" s="36">
        <f>IF(OR(AH23="",S23=0),"",MIN(IF(AU23="",9.9E+99,AU23),FLOOR(AL23/S23,1)))</f>
        <v/>
      </c>
      <c r="AN23" s="40">
        <f>IF(AM23="","",AM23*IF(ABS(MOD(ABS((U23)),1)-0.5)&lt;1E-9,2*ROUND((U23)/2,0),ROUND((U23),0)))</f>
        <v/>
      </c>
      <c r="AO23" s="38">
        <f>IF(OR(AH23="",S23=0),"",MIN(IF(AU23="",9.9E+99,AU23),AL23/S23))</f>
        <v/>
      </c>
      <c r="AP23" s="40">
        <f>IF(AO23="","",AO23*IF(B23="South Korea",IF(ABS(MOD(ABS((U23)),1)-0.5)&lt;1E-9,2*ROUND((U23)/2,0),ROUND((U23),0)),U23))</f>
        <v/>
      </c>
      <c r="AQ23" s="42" t="n"/>
      <c r="AR23" s="34" t="inlineStr">
        <is>
          <t>Grounded</t>
        </is>
      </c>
      <c r="AS23" s="43" t="n"/>
      <c r="AT23" s="43" t="n"/>
      <c r="AU23" s="44" t="n"/>
      <c r="AV23" s="45">
        <f>IF(((T23*pax_cap*load_thin*IF(ABS(MOD(ABS((L23*M23*revleg_thin)),1)-0.5)&lt;1E-9,2*ROUND((L23*M23*revleg_thin)/2,0),ROUND((L23*M23*revleg_thin),0)))-(((battery/range_nm)*D23*IF(ABS(MOD(ABS((L23*M23*revleg_thin)),1)-0.5)&lt;1E-9,2*ROUND((L23*M23*revleg_thin)/2,0),ROUND((L23*M23*revleg_thin),0))*VLOOKUP(B23,country_opex,3,FALSE))+W23+X23+Y23+Z23+AA23))&lt;=0,"",VLOOKUP(B23,country_opex,7,FALSE)/((T23*pax_cap*load_thin*IF(ABS(MOD(ABS((L23*M23*revleg_thin)),1)-0.5)&lt;1E-9,2*ROUND((L23*M23*revleg_thin)/2,0),ROUND((L23*M23*revleg_thin),0)))-(((battery/range_nm)*D23*IF(ABS(MOD(ABS((L23*M23*revleg_thin)),1)-0.5)&lt;1E-9,2*ROUND((L23*M23*revleg_thin)/2,0),ROUND((L23*M23*revleg_thin),0))*VLOOKUP(B23,country_opex,3,FALSE))+W23+X23+Y23+Z23+AA23)))</f>
        <v/>
      </c>
      <c r="AW23" s="45">
        <f>IF(((T23*pax_cap*IF(B23="South Korea",korea_mid_load,load_mid)*IF(ABS(MOD(ABS((L23*M23*IF(B23="South Korea",korea_mid_revleg,revleg_mid))),1)-0.5)&lt;1E-9,2*ROUND((L23*M23*IF(B23="South Korea",korea_mid_revleg,revleg_mid))/2,0),ROUND((L23*M23*IF(B23="South Korea",korea_mid_revleg,revleg_mid)),0)))-(((battery/range_nm)*D23*IF(ABS(MOD(ABS((L23*M23*IF(B23="South Korea",korea_mid_revleg,revleg_mid))),1)-0.5)&lt;1E-9,2*ROUND((L23*M23*IF(B23="South Korea",korea_mid_revleg,revleg_mid))/2,0),ROUND((L23*M23*IF(B23="South Korea",korea_mid_revleg,revleg_mid)),0))*VLOOKUP(B23,country_opex,3,FALSE))+W23+X23+Y23+Z23+AA23))&lt;=0,"",VLOOKUP(B23,country_opex,7,FALSE)/((T23*pax_cap*IF(B23="South Korea",korea_mid_load,load_mid)*IF(ABS(MOD(ABS((L23*M23*IF(B23="South Korea",korea_mid_revleg,revleg_mid))),1)-0.5)&lt;1E-9,2*ROUND((L23*M23*IF(B23="South Korea",korea_mid_revleg,revleg_mid))/2,0),ROUND((L23*M23*IF(B23="South Korea",korea_mid_revleg,revleg_mid)),0)))-(((battery/range_nm)*D23*IF(ABS(MOD(ABS((L23*M23*IF(B23="South Korea",korea_mid_revleg,revleg_mid))),1)-0.5)&lt;1E-9,2*ROUND((L23*M23*IF(B23="South Korea",korea_mid_revleg,revleg_mid))/2,0),ROUND((L23*M23*IF(B23="South Korea",korea_mid_revleg,revleg_mid)),0))*VLOOKUP(B23,country_opex,3,FALSE))+W23+X23+Y23+Z23+AA23)))</f>
        <v/>
      </c>
      <c r="AX23" s="45">
        <f>IF(((T23*pax_cap*load_full*IF(ABS(MOD(ABS((L23*M23*revleg_full)),1)-0.5)&lt;1E-9,2*ROUND((L23*M23*revleg_full)/2,0),ROUND((L23*M23*revleg_full),0)))-(((battery/range_nm)*D23*IF(ABS(MOD(ABS((L23*M23*revleg_full)),1)-0.5)&lt;1E-9,2*ROUND((L23*M23*revleg_full)/2,0),ROUND((L23*M23*revleg_full),0))*VLOOKUP(B23,country_opex,3,FALSE))+W23+X23+Y23+Z23+AA23))&lt;=0,"",VLOOKUP(B23,country_opex,7,FALSE)/((T23*pax_cap*load_full*IF(ABS(MOD(ABS((L23*M23*revleg_full)),1)-0.5)&lt;1E-9,2*ROUND((L23*M23*revleg_full)/2,0),ROUND((L23*M23*revleg_full),0)))-(((battery/range_nm)*D23*IF(ABS(MOD(ABS((L23*M23*revleg_full)),1)-0.5)&lt;1E-9,2*ROUND((L23*M23*revleg_full)/2,0),ROUND((L23*M23*revleg_full),0))*VLOOKUP(B23,country_opex,3,FALSE))+W23+X23+Y23+Z23+AA23)))</f>
        <v/>
      </c>
      <c r="AY23" s="46" t="inlineStr">
        <is>
          <t>band_default</t>
        </is>
      </c>
      <c r="AZ23" s="46" t="inlineStr">
        <is>
          <t>https://www.icpa.or.kr/icferry/mobile/main.do?menuKey=779</t>
        </is>
      </c>
      <c r="BA23" s="34" t="inlineStr">
        <is>
          <t>rn-66dce8d7e72d</t>
        </is>
      </c>
    </row>
    <row r="24">
      <c r="A24" s="31" t="inlineStr">
        <is>
          <t>Korea Swing</t>
        </is>
      </c>
      <c r="B24" s="31" t="inlineStr">
        <is>
          <t>South Korea</t>
        </is>
      </c>
      <c r="C24" s="32" t="inlineStr">
        <is>
          <t>Saryangdo Island ferry pier → Yokjido Island ferry pier</t>
        </is>
      </c>
      <c r="D24" s="33" t="n">
        <v>12.6</v>
      </c>
      <c r="E24" s="27" t="n">
        <v>8</v>
      </c>
      <c r="F24" s="34" t="inlineStr">
        <is>
          <t>T3</t>
        </is>
      </c>
      <c r="G24" s="34" t="inlineStr">
        <is>
          <t>low</t>
        </is>
      </c>
      <c r="H24" s="20" t="n">
        <v>1</v>
      </c>
      <c r="I24" s="35">
        <f>60*D24/cruise_kt</f>
        <v/>
      </c>
      <c r="J24" s="35">
        <f>IF(B24="South Korea",D24/korea_charge_range_nm*korea_full_range_charge_min,0)</f>
        <v/>
      </c>
      <c r="K24" s="35">
        <f>IF(B24="South Korea",I24+korea_turn_min+korea_dwell_min+J24,I24+turn_min+dwell_min)</f>
        <v/>
      </c>
      <c r="L24" s="36">
        <f>IF(B24="South Korea",FLOOR(60*korea_service_hr/K24,1),MIN(15,FLOOR(60*service_hr/K24,1)))</f>
        <v/>
      </c>
      <c r="M24" s="36">
        <f>IF(ABS(MOD(ABS((365*mech_uptime*H24)),1)-0.5)&lt;1E-9,2*ROUND((365*mech_uptime*H24)/2,0),ROUND((365*mech_uptime*H24),0))</f>
        <v/>
      </c>
      <c r="N24" s="37">
        <f>mech_uptime</f>
        <v/>
      </c>
      <c r="O24" s="37">
        <f>IF(AND(B24="South Korea",scenario="MID"),korea_mid_revleg,revleg_sel)</f>
        <v/>
      </c>
      <c r="P24" s="36">
        <f>IF(ABS(MOD(ABS((L24*M24*O24)),1)-0.5)&lt;1E-9,2*ROUND((L24*M24*O24)/2,0),ROUND((L24*M24*O24),0))</f>
        <v/>
      </c>
      <c r="Q24" s="37">
        <f>IF(AND(B24="South Korea",scenario="MID"),korea_mid_load,load_sel)</f>
        <v/>
      </c>
      <c r="R24" s="38">
        <f>pax_cap*Q24</f>
        <v/>
      </c>
      <c r="S24" s="36">
        <f>R24*P24</f>
        <v/>
      </c>
      <c r="T24" s="39">
        <f>E24*discount</f>
        <v/>
      </c>
      <c r="U24" s="40">
        <f>T24*S24</f>
        <v/>
      </c>
      <c r="V24" s="40">
        <f>(battery/range_nm)*D24*P24*VLOOKUP(B24,country_opex,3,FALSE)</f>
        <v/>
      </c>
      <c r="W24" s="40">
        <f>VLOOKUP(B24,country_opex,2,FALSE)*crew_factor</f>
        <v/>
      </c>
      <c r="X24" s="40">
        <f>VLOOKUP(B24,country_opex,5,FALSE)</f>
        <v/>
      </c>
      <c r="Y24" s="40">
        <f>maint</f>
        <v/>
      </c>
      <c r="Z24" s="40">
        <f>VLOOKUP(B24,country_opex,7,FALSE)*ins_pct</f>
        <v/>
      </c>
      <c r="AA24" s="40">
        <f>charge_berth</f>
        <v/>
      </c>
      <c r="AB24" s="40">
        <f>V24+W24+X24+Y24+Z24+AA24</f>
        <v/>
      </c>
      <c r="AC24" s="40">
        <f>VLOOKUP(B24,country_opex,7,FALSE)/dep_years</f>
        <v/>
      </c>
      <c r="AD24" s="40">
        <f>U24-AB24</f>
        <v/>
      </c>
      <c r="AE24" s="37">
        <f>IF(U24=0,"",AD24/U24)</f>
        <v/>
      </c>
      <c r="AF24" s="38">
        <f>IF(AD24&lt;=0,"",VLOOKUP(B24,country_opex,7,FALSE)/AD24)</f>
        <v/>
      </c>
      <c r="AG24" s="35">
        <f>((D24*P24/diesel_nmpg)*diesel_co2pg-(battery/range_nm)*D24*P24*VLOOKUP(B24,country_opex,4,FALSE))/1000</f>
        <v/>
      </c>
      <c r="AH24" s="33" t="n">
        <v>134248</v>
      </c>
      <c r="AI24" s="34" t="inlineStr">
        <is>
          <t>T1</t>
        </is>
      </c>
      <c r="AJ24" s="34" t="inlineStr">
        <is>
          <t>high</t>
        </is>
      </c>
      <c r="AK24" s="41" t="n">
        <v>0.1</v>
      </c>
      <c r="AL24" s="36">
        <f>IF(AH24="","",AH24*AK24)</f>
        <v/>
      </c>
      <c r="AM24" s="36">
        <f>IF(OR(AH24="",S24=0),"",MIN(IF(AU24="",9.9E+99,AU24),FLOOR(AL24/S24,1)))</f>
        <v/>
      </c>
      <c r="AN24" s="40">
        <f>IF(AM24="","",AM24*IF(ABS(MOD(ABS((U24)),1)-0.5)&lt;1E-9,2*ROUND((U24)/2,0),ROUND((U24),0)))</f>
        <v/>
      </c>
      <c r="AO24" s="38">
        <f>IF(OR(AH24="",S24=0),"",MIN(IF(AU24="",9.9E+99,AU24),AL24/S24))</f>
        <v/>
      </c>
      <c r="AP24" s="40">
        <f>IF(AO24="","",AO24*IF(B24="South Korea",IF(ABS(MOD(ABS((U24)),1)-0.5)&lt;1E-9,2*ROUND((U24)/2,0),ROUND((U24),0)),U24))</f>
        <v/>
      </c>
      <c r="AQ24" s="42" t="n"/>
      <c r="AR24" s="34" t="inlineStr">
        <is>
          <t>Grounded</t>
        </is>
      </c>
      <c r="AS24" s="43" t="n"/>
      <c r="AT24" s="43" t="n"/>
      <c r="AU24" s="44" t="n"/>
      <c r="AV24" s="45">
        <f>IF(((T24*pax_cap*load_thin*IF(ABS(MOD(ABS((L24*M24*revleg_thin)),1)-0.5)&lt;1E-9,2*ROUND((L24*M24*revleg_thin)/2,0),ROUND((L24*M24*revleg_thin),0)))-(((battery/range_nm)*D24*IF(ABS(MOD(ABS((L24*M24*revleg_thin)),1)-0.5)&lt;1E-9,2*ROUND((L24*M24*revleg_thin)/2,0),ROUND((L24*M24*revleg_thin),0))*VLOOKUP(B24,country_opex,3,FALSE))+W24+X24+Y24+Z24+AA24))&lt;=0,"",VLOOKUP(B24,country_opex,7,FALSE)/((T24*pax_cap*load_thin*IF(ABS(MOD(ABS((L24*M24*revleg_thin)),1)-0.5)&lt;1E-9,2*ROUND((L24*M24*revleg_thin)/2,0),ROUND((L24*M24*revleg_thin),0)))-(((battery/range_nm)*D24*IF(ABS(MOD(ABS((L24*M24*revleg_thin)),1)-0.5)&lt;1E-9,2*ROUND((L24*M24*revleg_thin)/2,0),ROUND((L24*M24*revleg_thin),0))*VLOOKUP(B24,country_opex,3,FALSE))+W24+X24+Y24+Z24+AA24)))</f>
        <v/>
      </c>
      <c r="AW24" s="45">
        <f>IF(((T24*pax_cap*IF(B24="South Korea",korea_mid_load,load_mid)*IF(ABS(MOD(ABS((L24*M24*IF(B24="South Korea",korea_mid_revleg,revleg_mid))),1)-0.5)&lt;1E-9,2*ROUND((L24*M24*IF(B24="South Korea",korea_mid_revleg,revleg_mid))/2,0),ROUND((L24*M24*IF(B24="South Korea",korea_mid_revleg,revleg_mid)),0)))-(((battery/range_nm)*D24*IF(ABS(MOD(ABS((L24*M24*IF(B24="South Korea",korea_mid_revleg,revleg_mid))),1)-0.5)&lt;1E-9,2*ROUND((L24*M24*IF(B24="South Korea",korea_mid_revleg,revleg_mid))/2,0),ROUND((L24*M24*IF(B24="South Korea",korea_mid_revleg,revleg_mid)),0))*VLOOKUP(B24,country_opex,3,FALSE))+W24+X24+Y24+Z24+AA24))&lt;=0,"",VLOOKUP(B24,country_opex,7,FALSE)/((T24*pax_cap*IF(B24="South Korea",korea_mid_load,load_mid)*IF(ABS(MOD(ABS((L24*M24*IF(B24="South Korea",korea_mid_revleg,revleg_mid))),1)-0.5)&lt;1E-9,2*ROUND((L24*M24*IF(B24="South Korea",korea_mid_revleg,revleg_mid))/2,0),ROUND((L24*M24*IF(B24="South Korea",korea_mid_revleg,revleg_mid)),0)))-(((battery/range_nm)*D24*IF(ABS(MOD(ABS((L24*M24*IF(B24="South Korea",korea_mid_revleg,revleg_mid))),1)-0.5)&lt;1E-9,2*ROUND((L24*M24*IF(B24="South Korea",korea_mid_revleg,revleg_mid))/2,0),ROUND((L24*M24*IF(B24="South Korea",korea_mid_revleg,revleg_mid)),0))*VLOOKUP(B24,country_opex,3,FALSE))+W24+X24+Y24+Z24+AA24)))</f>
        <v/>
      </c>
      <c r="AX24" s="45">
        <f>IF(((T24*pax_cap*load_full*IF(ABS(MOD(ABS((L24*M24*revleg_full)),1)-0.5)&lt;1E-9,2*ROUND((L24*M24*revleg_full)/2,0),ROUND((L24*M24*revleg_full),0)))-(((battery/range_nm)*D24*IF(ABS(MOD(ABS((L24*M24*revleg_full)),1)-0.5)&lt;1E-9,2*ROUND((L24*M24*revleg_full)/2,0),ROUND((L24*M24*revleg_full),0))*VLOOKUP(B24,country_opex,3,FALSE))+W24+X24+Y24+Z24+AA24))&lt;=0,"",VLOOKUP(B24,country_opex,7,FALSE)/((T24*pax_cap*load_full*IF(ABS(MOD(ABS((L24*M24*revleg_full)),1)-0.5)&lt;1E-9,2*ROUND((L24*M24*revleg_full)/2,0),ROUND((L24*M24*revleg_full),0)))-(((battery/range_nm)*D24*IF(ABS(MOD(ABS((L24*M24*revleg_full)),1)-0.5)&lt;1E-9,2*ROUND((L24*M24*revleg_full)/2,0),ROUND((L24*M24*revleg_full),0))*VLOOKUP(B24,country_opex,3,FALSE))+W24+X24+Y24+Z24+AA24)))</f>
        <v/>
      </c>
      <c r="AY24" s="46" t="inlineStr">
        <is>
          <t>band_default</t>
        </is>
      </c>
      <c r="AZ24" s="46" t="inlineStr">
        <is>
          <t>KOMSA Tongyeong district coastal 2025</t>
        </is>
      </c>
      <c r="BA24" s="34" t="inlineStr">
        <is>
          <t>rn-c33493f0f593</t>
        </is>
      </c>
    </row>
    <row r="25">
      <c r="A25" s="31" t="inlineStr">
        <is>
          <t>Korea Swing</t>
        </is>
      </c>
      <c r="B25" s="31" t="inlineStr">
        <is>
          <t>South Korea</t>
        </is>
      </c>
      <c r="C25" s="32" t="inlineStr">
        <is>
          <t>Magok Pier → Jamsil Pier</t>
        </is>
      </c>
      <c r="D25" s="33" t="n">
        <v>12.6</v>
      </c>
      <c r="E25" s="27" t="n">
        <v>8</v>
      </c>
      <c r="F25" s="34" t="inlineStr">
        <is>
          <t>T3</t>
        </is>
      </c>
      <c r="G25" s="34" t="inlineStr">
        <is>
          <t>low</t>
        </is>
      </c>
      <c r="H25" s="20" t="n">
        <v>1</v>
      </c>
      <c r="I25" s="35">
        <f>60*D25/cruise_kt</f>
        <v/>
      </c>
      <c r="J25" s="35">
        <f>IF(B25="South Korea",D25/korea_charge_range_nm*korea_full_range_charge_min,0)</f>
        <v/>
      </c>
      <c r="K25" s="35">
        <f>IF(B25="South Korea",I25+korea_turn_min+korea_dwell_min+J25,I25+turn_min+dwell_min)</f>
        <v/>
      </c>
      <c r="L25" s="36">
        <f>IF(B25="South Korea",FLOOR(60*korea_service_hr/K25,1),MIN(15,FLOOR(60*service_hr/K25,1)))</f>
        <v/>
      </c>
      <c r="M25" s="36">
        <f>IF(ABS(MOD(ABS((365*mech_uptime*H25)),1)-0.5)&lt;1E-9,2*ROUND((365*mech_uptime*H25)/2,0),ROUND((365*mech_uptime*H25),0))</f>
        <v/>
      </c>
      <c r="N25" s="37">
        <f>mech_uptime</f>
        <v/>
      </c>
      <c r="O25" s="37">
        <f>IF(AND(B25="South Korea",scenario="MID"),korea_mid_revleg,revleg_sel)</f>
        <v/>
      </c>
      <c r="P25" s="36">
        <f>IF(ABS(MOD(ABS((L25*M25*O25)),1)-0.5)&lt;1E-9,2*ROUND((L25*M25*O25)/2,0),ROUND((L25*M25*O25),0))</f>
        <v/>
      </c>
      <c r="Q25" s="37">
        <f>IF(AND(B25="South Korea",scenario="MID"),korea_mid_load,load_sel)</f>
        <v/>
      </c>
      <c r="R25" s="38">
        <f>pax_cap*Q25</f>
        <v/>
      </c>
      <c r="S25" s="36">
        <f>R25*P25</f>
        <v/>
      </c>
      <c r="T25" s="39">
        <f>E25*discount</f>
        <v/>
      </c>
      <c r="U25" s="40">
        <f>T25*S25</f>
        <v/>
      </c>
      <c r="V25" s="40">
        <f>(battery/range_nm)*D25*P25*VLOOKUP(B25,country_opex,3,FALSE)</f>
        <v/>
      </c>
      <c r="W25" s="40">
        <f>VLOOKUP(B25,country_opex,2,FALSE)*crew_factor</f>
        <v/>
      </c>
      <c r="X25" s="40">
        <f>VLOOKUP(B25,country_opex,5,FALSE)</f>
        <v/>
      </c>
      <c r="Y25" s="40">
        <f>maint</f>
        <v/>
      </c>
      <c r="Z25" s="40">
        <f>VLOOKUP(B25,country_opex,7,FALSE)*ins_pct</f>
        <v/>
      </c>
      <c r="AA25" s="40">
        <f>charge_berth</f>
        <v/>
      </c>
      <c r="AB25" s="40">
        <f>V25+W25+X25+Y25+Z25+AA25</f>
        <v/>
      </c>
      <c r="AC25" s="40">
        <f>VLOOKUP(B25,country_opex,7,FALSE)/dep_years</f>
        <v/>
      </c>
      <c r="AD25" s="40">
        <f>U25-AB25</f>
        <v/>
      </c>
      <c r="AE25" s="37">
        <f>IF(U25=0,"",AD25/U25)</f>
        <v/>
      </c>
      <c r="AF25" s="38">
        <f>IF(AD25&lt;=0,"",VLOOKUP(B25,country_opex,7,FALSE)/AD25)</f>
        <v/>
      </c>
      <c r="AG25" s="35">
        <f>((D25*P25/diesel_nmpg)*diesel_co2pg-(battery/range_nm)*D25*P25*VLOOKUP(B25,country_opex,4,FALSE))/1000</f>
        <v/>
      </c>
      <c r="AH25" s="33" t="n">
        <v>95455</v>
      </c>
      <c r="AI25" s="34" t="inlineStr">
        <is>
          <t>T1</t>
        </is>
      </c>
      <c r="AJ25" s="34" t="inlineStr">
        <is>
          <t>med</t>
        </is>
      </c>
      <c r="AK25" s="41" t="n">
        <v>0.1</v>
      </c>
      <c r="AL25" s="36">
        <f>IF(AH25="","",AH25*AK25)</f>
        <v/>
      </c>
      <c r="AM25" s="36">
        <f>IF(OR(AH25="",S25=0),"",MIN(IF(AU25="",9.9E+99,AU25),FLOOR(AL25/S25,1)))</f>
        <v/>
      </c>
      <c r="AN25" s="40">
        <f>IF(AM25="","",AM25*IF(ABS(MOD(ABS((U25)),1)-0.5)&lt;1E-9,2*ROUND((U25)/2,0),ROUND((U25),0)))</f>
        <v/>
      </c>
      <c r="AO25" s="38">
        <f>IF(OR(AH25="",S25=0),"",MIN(IF(AU25="",9.9E+99,AU25),AL25/S25))</f>
        <v/>
      </c>
      <c r="AP25" s="40">
        <f>IF(AO25="","",AO25*IF(B25="South Korea",IF(ABS(MOD(ABS((U25)),1)-0.5)&lt;1E-9,2*ROUND((U25)/2,0),ROUND((U25),0)),U25))</f>
        <v/>
      </c>
      <c r="AQ25" s="42" t="n"/>
      <c r="AR25" s="34" t="inlineStr">
        <is>
          <t>Grounded</t>
        </is>
      </c>
      <c r="AS25" s="43" t="n"/>
      <c r="AT25" s="43" t="n"/>
      <c r="AU25" s="44" t="n"/>
      <c r="AV25" s="45">
        <f>IF(((T25*pax_cap*load_thin*IF(ABS(MOD(ABS((L25*M25*revleg_thin)),1)-0.5)&lt;1E-9,2*ROUND((L25*M25*revleg_thin)/2,0),ROUND((L25*M25*revleg_thin),0)))-(((battery/range_nm)*D25*IF(ABS(MOD(ABS((L25*M25*revleg_thin)),1)-0.5)&lt;1E-9,2*ROUND((L25*M25*revleg_thin)/2,0),ROUND((L25*M25*revleg_thin),0))*VLOOKUP(B25,country_opex,3,FALSE))+W25+X25+Y25+Z25+AA25))&lt;=0,"",VLOOKUP(B25,country_opex,7,FALSE)/((T25*pax_cap*load_thin*IF(ABS(MOD(ABS((L25*M25*revleg_thin)),1)-0.5)&lt;1E-9,2*ROUND((L25*M25*revleg_thin)/2,0),ROUND((L25*M25*revleg_thin),0)))-(((battery/range_nm)*D25*IF(ABS(MOD(ABS((L25*M25*revleg_thin)),1)-0.5)&lt;1E-9,2*ROUND((L25*M25*revleg_thin)/2,0),ROUND((L25*M25*revleg_thin),0))*VLOOKUP(B25,country_opex,3,FALSE))+W25+X25+Y25+Z25+AA25)))</f>
        <v/>
      </c>
      <c r="AW25" s="45">
        <f>IF(((T25*pax_cap*IF(B25="South Korea",korea_mid_load,load_mid)*IF(ABS(MOD(ABS((L25*M25*IF(B25="South Korea",korea_mid_revleg,revleg_mid))),1)-0.5)&lt;1E-9,2*ROUND((L25*M25*IF(B25="South Korea",korea_mid_revleg,revleg_mid))/2,0),ROUND((L25*M25*IF(B25="South Korea",korea_mid_revleg,revleg_mid)),0)))-(((battery/range_nm)*D25*IF(ABS(MOD(ABS((L25*M25*IF(B25="South Korea",korea_mid_revleg,revleg_mid))),1)-0.5)&lt;1E-9,2*ROUND((L25*M25*IF(B25="South Korea",korea_mid_revleg,revleg_mid))/2,0),ROUND((L25*M25*IF(B25="South Korea",korea_mid_revleg,revleg_mid)),0))*VLOOKUP(B25,country_opex,3,FALSE))+W25+X25+Y25+Z25+AA25))&lt;=0,"",VLOOKUP(B25,country_opex,7,FALSE)/((T25*pax_cap*IF(B25="South Korea",korea_mid_load,load_mid)*IF(ABS(MOD(ABS((L25*M25*IF(B25="South Korea",korea_mid_revleg,revleg_mid))),1)-0.5)&lt;1E-9,2*ROUND((L25*M25*IF(B25="South Korea",korea_mid_revleg,revleg_mid))/2,0),ROUND((L25*M25*IF(B25="South Korea",korea_mid_revleg,revleg_mid)),0)))-(((battery/range_nm)*D25*IF(ABS(MOD(ABS((L25*M25*IF(B25="South Korea",korea_mid_revleg,revleg_mid))),1)-0.5)&lt;1E-9,2*ROUND((L25*M25*IF(B25="South Korea",korea_mid_revleg,revleg_mid))/2,0),ROUND((L25*M25*IF(B25="South Korea",korea_mid_revleg,revleg_mid)),0))*VLOOKUP(B25,country_opex,3,FALSE))+W25+X25+Y25+Z25+AA25)))</f>
        <v/>
      </c>
      <c r="AX25" s="45">
        <f>IF(((T25*pax_cap*load_full*IF(ABS(MOD(ABS((L25*M25*revleg_full)),1)-0.5)&lt;1E-9,2*ROUND((L25*M25*revleg_full)/2,0),ROUND((L25*M25*revleg_full),0)))-(((battery/range_nm)*D25*IF(ABS(MOD(ABS((L25*M25*revleg_full)),1)-0.5)&lt;1E-9,2*ROUND((L25*M25*revleg_full)/2,0),ROUND((L25*M25*revleg_full),0))*VLOOKUP(B25,country_opex,3,FALSE))+W25+X25+Y25+Z25+AA25))&lt;=0,"",VLOOKUP(B25,country_opex,7,FALSE)/((T25*pax_cap*load_full*IF(ABS(MOD(ABS((L25*M25*revleg_full)),1)-0.5)&lt;1E-9,2*ROUND((L25*M25*revleg_full)/2,0),ROUND((L25*M25*revleg_full),0)))-(((battery/range_nm)*D25*IF(ABS(MOD(ABS((L25*M25*revleg_full)),1)-0.5)&lt;1E-9,2*ROUND((L25*M25*revleg_full)/2,0),ROUND((L25*M25*revleg_full),0))*VLOOKUP(B25,country_opex,3,FALSE))+W25+X25+Y25+Z25+AA25)))</f>
        <v/>
      </c>
      <c r="AY25" s="46" t="inlineStr">
        <is>
          <t>band_default</t>
        </is>
      </c>
      <c r="AZ25" s="46" t="inlineStr">
        <is>
          <t>Seoul City Hangang Bus run-rate (~1.05M/yr; spec headline)</t>
        </is>
      </c>
      <c r="BA25" s="34" t="inlineStr">
        <is>
          <t>rn-451fa6544ccd</t>
        </is>
      </c>
    </row>
    <row r="26">
      <c r="A26" s="31" t="inlineStr">
        <is>
          <t>Korea Swing</t>
        </is>
      </c>
      <c r="B26" s="31" t="inlineStr">
        <is>
          <t>South Korea</t>
        </is>
      </c>
      <c r="C26" s="32" t="inlineStr">
        <is>
          <t>Gimpo Ara Marina → Incheon Coastal Passenger Terminal</t>
        </is>
      </c>
      <c r="D26" s="33" t="n">
        <v>12.9</v>
      </c>
      <c r="E26" s="27" t="n">
        <v>8</v>
      </c>
      <c r="F26" s="34" t="inlineStr">
        <is>
          <t>T3</t>
        </is>
      </c>
      <c r="G26" s="34" t="inlineStr">
        <is>
          <t>low</t>
        </is>
      </c>
      <c r="H26" s="20" t="n">
        <v>1</v>
      </c>
      <c r="I26" s="35">
        <f>60*D26/cruise_kt</f>
        <v/>
      </c>
      <c r="J26" s="35">
        <f>IF(B26="South Korea",D26/korea_charge_range_nm*korea_full_range_charge_min,0)</f>
        <v/>
      </c>
      <c r="K26" s="35">
        <f>IF(B26="South Korea",I26+korea_turn_min+korea_dwell_min+J26,I26+turn_min+dwell_min)</f>
        <v/>
      </c>
      <c r="L26" s="36">
        <f>IF(B26="South Korea",FLOOR(60*korea_service_hr/K26,1),MIN(15,FLOOR(60*service_hr/K26,1)))</f>
        <v/>
      </c>
      <c r="M26" s="36">
        <f>IF(ABS(MOD(ABS((365*mech_uptime*H26)),1)-0.5)&lt;1E-9,2*ROUND((365*mech_uptime*H26)/2,0),ROUND((365*mech_uptime*H26),0))</f>
        <v/>
      </c>
      <c r="N26" s="37">
        <f>mech_uptime</f>
        <v/>
      </c>
      <c r="O26" s="37">
        <f>IF(AND(B26="South Korea",scenario="MID"),korea_mid_revleg,revleg_sel)</f>
        <v/>
      </c>
      <c r="P26" s="36">
        <f>IF(ABS(MOD(ABS((L26*M26*O26)),1)-0.5)&lt;1E-9,2*ROUND((L26*M26*O26)/2,0),ROUND((L26*M26*O26),0))</f>
        <v/>
      </c>
      <c r="Q26" s="37">
        <f>IF(AND(B26="South Korea",scenario="MID"),korea_mid_load,load_sel)</f>
        <v/>
      </c>
      <c r="R26" s="38">
        <f>pax_cap*Q26</f>
        <v/>
      </c>
      <c r="S26" s="36">
        <f>R26*P26</f>
        <v/>
      </c>
      <c r="T26" s="39">
        <f>E26*discount</f>
        <v/>
      </c>
      <c r="U26" s="40">
        <f>T26*S26</f>
        <v/>
      </c>
      <c r="V26" s="40">
        <f>(battery/range_nm)*D26*P26*VLOOKUP(B26,country_opex,3,FALSE)</f>
        <v/>
      </c>
      <c r="W26" s="40">
        <f>VLOOKUP(B26,country_opex,2,FALSE)*crew_factor</f>
        <v/>
      </c>
      <c r="X26" s="40">
        <f>VLOOKUP(B26,country_opex,5,FALSE)</f>
        <v/>
      </c>
      <c r="Y26" s="40">
        <f>maint</f>
        <v/>
      </c>
      <c r="Z26" s="40">
        <f>VLOOKUP(B26,country_opex,7,FALSE)*ins_pct</f>
        <v/>
      </c>
      <c r="AA26" s="40">
        <f>charge_berth</f>
        <v/>
      </c>
      <c r="AB26" s="40">
        <f>V26+W26+X26+Y26+Z26+AA26</f>
        <v/>
      </c>
      <c r="AC26" s="40">
        <f>VLOOKUP(B26,country_opex,7,FALSE)/dep_years</f>
        <v/>
      </c>
      <c r="AD26" s="40">
        <f>U26-AB26</f>
        <v/>
      </c>
      <c r="AE26" s="37">
        <f>IF(U26=0,"",AD26/U26)</f>
        <v/>
      </c>
      <c r="AF26" s="38">
        <f>IF(AD26&lt;=0,"",VLOOKUP(B26,country_opex,7,FALSE)/AD26)</f>
        <v/>
      </c>
      <c r="AG26" s="35">
        <f>((D26*P26/diesel_nmpg)*diesel_co2pg-(battery/range_nm)*D26*P26*VLOOKUP(B26,country_opex,4,FALSE))/1000</f>
        <v/>
      </c>
      <c r="AH26" s="33" t="n">
        <v>120137</v>
      </c>
      <c r="AI26" s="34" t="inlineStr">
        <is>
          <t>T1</t>
        </is>
      </c>
      <c r="AJ26" s="34" t="inlineStr">
        <is>
          <t>high</t>
        </is>
      </c>
      <c r="AK26" s="41" t="n">
        <v>0.1</v>
      </c>
      <c r="AL26" s="36">
        <f>IF(AH26="","",AH26*AK26)</f>
        <v/>
      </c>
      <c r="AM26" s="36">
        <f>IF(OR(AH26="",S26=0),"",MIN(IF(AU26="",9.9E+99,AU26),FLOOR(AL26/S26,1)))</f>
        <v/>
      </c>
      <c r="AN26" s="40">
        <f>IF(AM26="","",AM26*IF(ABS(MOD(ABS((U26)),1)-0.5)&lt;1E-9,2*ROUND((U26)/2,0),ROUND((U26),0)))</f>
        <v/>
      </c>
      <c r="AO26" s="38">
        <f>IF(OR(AH26="",S26=0),"",MIN(IF(AU26="",9.9E+99,AU26),AL26/S26))</f>
        <v/>
      </c>
      <c r="AP26" s="40">
        <f>IF(AO26="","",AO26*IF(B26="South Korea",IF(ABS(MOD(ABS((U26)),1)-0.5)&lt;1E-9,2*ROUND((U26)/2,0),ROUND((U26),0)),U26))</f>
        <v/>
      </c>
      <c r="AQ26" s="42" t="n"/>
      <c r="AR26" s="34" t="inlineStr">
        <is>
          <t>Grounded</t>
        </is>
      </c>
      <c r="AS26" s="43" t="n"/>
      <c r="AT26" s="43" t="n"/>
      <c r="AU26" s="44" t="n"/>
      <c r="AV26" s="45">
        <f>IF(((T26*pax_cap*load_thin*IF(ABS(MOD(ABS((L26*M26*revleg_thin)),1)-0.5)&lt;1E-9,2*ROUND((L26*M26*revleg_thin)/2,0),ROUND((L26*M26*revleg_thin),0)))-(((battery/range_nm)*D26*IF(ABS(MOD(ABS((L26*M26*revleg_thin)),1)-0.5)&lt;1E-9,2*ROUND((L26*M26*revleg_thin)/2,0),ROUND((L26*M26*revleg_thin),0))*VLOOKUP(B26,country_opex,3,FALSE))+W26+X26+Y26+Z26+AA26))&lt;=0,"",VLOOKUP(B26,country_opex,7,FALSE)/((T26*pax_cap*load_thin*IF(ABS(MOD(ABS((L26*M26*revleg_thin)),1)-0.5)&lt;1E-9,2*ROUND((L26*M26*revleg_thin)/2,0),ROUND((L26*M26*revleg_thin),0)))-(((battery/range_nm)*D26*IF(ABS(MOD(ABS((L26*M26*revleg_thin)),1)-0.5)&lt;1E-9,2*ROUND((L26*M26*revleg_thin)/2,0),ROUND((L26*M26*revleg_thin),0))*VLOOKUP(B26,country_opex,3,FALSE))+W26+X26+Y26+Z26+AA26)))</f>
        <v/>
      </c>
      <c r="AW26" s="45">
        <f>IF(((T26*pax_cap*IF(B26="South Korea",korea_mid_load,load_mid)*IF(ABS(MOD(ABS((L26*M26*IF(B26="South Korea",korea_mid_revleg,revleg_mid))),1)-0.5)&lt;1E-9,2*ROUND((L26*M26*IF(B26="South Korea",korea_mid_revleg,revleg_mid))/2,0),ROUND((L26*M26*IF(B26="South Korea",korea_mid_revleg,revleg_mid)),0)))-(((battery/range_nm)*D26*IF(ABS(MOD(ABS((L26*M26*IF(B26="South Korea",korea_mid_revleg,revleg_mid))),1)-0.5)&lt;1E-9,2*ROUND((L26*M26*IF(B26="South Korea",korea_mid_revleg,revleg_mid))/2,0),ROUND((L26*M26*IF(B26="South Korea",korea_mid_revleg,revleg_mid)),0))*VLOOKUP(B26,country_opex,3,FALSE))+W26+X26+Y26+Z26+AA26))&lt;=0,"",VLOOKUP(B26,country_opex,7,FALSE)/((T26*pax_cap*IF(B26="South Korea",korea_mid_load,load_mid)*IF(ABS(MOD(ABS((L26*M26*IF(B26="South Korea",korea_mid_revleg,revleg_mid))),1)-0.5)&lt;1E-9,2*ROUND((L26*M26*IF(B26="South Korea",korea_mid_revleg,revleg_mid))/2,0),ROUND((L26*M26*IF(B26="South Korea",korea_mid_revleg,revleg_mid)),0)))-(((battery/range_nm)*D26*IF(ABS(MOD(ABS((L26*M26*IF(B26="South Korea",korea_mid_revleg,revleg_mid))),1)-0.5)&lt;1E-9,2*ROUND((L26*M26*IF(B26="South Korea",korea_mid_revleg,revleg_mid))/2,0),ROUND((L26*M26*IF(B26="South Korea",korea_mid_revleg,revleg_mid)),0))*VLOOKUP(B26,country_opex,3,FALSE))+W26+X26+Y26+Z26+AA26)))</f>
        <v/>
      </c>
      <c r="AX26" s="45">
        <f>IF(((T26*pax_cap*load_full*IF(ABS(MOD(ABS((L26*M26*revleg_full)),1)-0.5)&lt;1E-9,2*ROUND((L26*M26*revleg_full)/2,0),ROUND((L26*M26*revleg_full),0)))-(((battery/range_nm)*D26*IF(ABS(MOD(ABS((L26*M26*revleg_full)),1)-0.5)&lt;1E-9,2*ROUND((L26*M26*revleg_full)/2,0),ROUND((L26*M26*revleg_full),0))*VLOOKUP(B26,country_opex,3,FALSE))+W26+X26+Y26+Z26+AA26))&lt;=0,"",VLOOKUP(B26,country_opex,7,FALSE)/((T26*pax_cap*load_full*IF(ABS(MOD(ABS((L26*M26*revleg_full)),1)-0.5)&lt;1E-9,2*ROUND((L26*M26*revleg_full)/2,0),ROUND((L26*M26*revleg_full),0)))-(((battery/range_nm)*D26*IF(ABS(MOD(ABS((L26*M26*revleg_full)),1)-0.5)&lt;1E-9,2*ROUND((L26*M26*revleg_full)/2,0),ROUND((L26*M26*revleg_full),0))*VLOOKUP(B26,country_opex,3,FALSE))+W26+X26+Y26+Z26+AA26)))</f>
        <v/>
      </c>
      <c r="AY26" s="46" t="inlineStr">
        <is>
          <t>band_default</t>
        </is>
      </c>
      <c r="AZ26" s="46" t="inlineStr">
        <is>
          <t>https://www.icpa.or.kr/icferry/mobile/main.do?menuKey=779</t>
        </is>
      </c>
      <c r="BA26" s="34" t="inlineStr">
        <is>
          <t>rn-ff2684a4219c</t>
        </is>
      </c>
    </row>
    <row r="27">
      <c r="A27" s="31" t="inlineStr">
        <is>
          <t>Korea Swing</t>
        </is>
      </c>
      <c r="B27" s="31" t="inlineStr">
        <is>
          <t>South Korea</t>
        </is>
      </c>
      <c r="C27" s="32" t="inlineStr">
        <is>
          <t>Geumodo Yeocheon Ferry Terminal → Yeosu Passenger Ferry Terminal</t>
        </is>
      </c>
      <c r="D27" s="33" t="n">
        <v>14.1</v>
      </c>
      <c r="E27" s="27" t="n">
        <v>8</v>
      </c>
      <c r="F27" s="34" t="inlineStr">
        <is>
          <t>T3</t>
        </is>
      </c>
      <c r="G27" s="34" t="inlineStr">
        <is>
          <t>low</t>
        </is>
      </c>
      <c r="H27" s="20" t="n">
        <v>1</v>
      </c>
      <c r="I27" s="35">
        <f>60*D27/cruise_kt</f>
        <v/>
      </c>
      <c r="J27" s="35">
        <f>IF(B27="South Korea",D27/korea_charge_range_nm*korea_full_range_charge_min,0)</f>
        <v/>
      </c>
      <c r="K27" s="35">
        <f>IF(B27="South Korea",I27+korea_turn_min+korea_dwell_min+J27,I27+turn_min+dwell_min)</f>
        <v/>
      </c>
      <c r="L27" s="36">
        <f>IF(B27="South Korea",FLOOR(60*korea_service_hr/K27,1),MIN(15,FLOOR(60*service_hr/K27,1)))</f>
        <v/>
      </c>
      <c r="M27" s="36">
        <f>IF(ABS(MOD(ABS((365*mech_uptime*H27)),1)-0.5)&lt;1E-9,2*ROUND((365*mech_uptime*H27)/2,0),ROUND((365*mech_uptime*H27),0))</f>
        <v/>
      </c>
      <c r="N27" s="37">
        <f>mech_uptime</f>
        <v/>
      </c>
      <c r="O27" s="37">
        <f>IF(AND(B27="South Korea",scenario="MID"),korea_mid_revleg,revleg_sel)</f>
        <v/>
      </c>
      <c r="P27" s="36">
        <f>IF(ABS(MOD(ABS((L27*M27*O27)),1)-0.5)&lt;1E-9,2*ROUND((L27*M27*O27)/2,0),ROUND((L27*M27*O27),0))</f>
        <v/>
      </c>
      <c r="Q27" s="37">
        <f>IF(AND(B27="South Korea",scenario="MID"),korea_mid_load,load_sel)</f>
        <v/>
      </c>
      <c r="R27" s="38">
        <f>pax_cap*Q27</f>
        <v/>
      </c>
      <c r="S27" s="36">
        <f>R27*P27</f>
        <v/>
      </c>
      <c r="T27" s="39">
        <f>E27*discount</f>
        <v/>
      </c>
      <c r="U27" s="40">
        <f>T27*S27</f>
        <v/>
      </c>
      <c r="V27" s="40">
        <f>(battery/range_nm)*D27*P27*VLOOKUP(B27,country_opex,3,FALSE)</f>
        <v/>
      </c>
      <c r="W27" s="40">
        <f>VLOOKUP(B27,country_opex,2,FALSE)*crew_factor</f>
        <v/>
      </c>
      <c r="X27" s="40">
        <f>VLOOKUP(B27,country_opex,5,FALSE)</f>
        <v/>
      </c>
      <c r="Y27" s="40">
        <f>maint</f>
        <v/>
      </c>
      <c r="Z27" s="40">
        <f>VLOOKUP(B27,country_opex,7,FALSE)*ins_pct</f>
        <v/>
      </c>
      <c r="AA27" s="40">
        <f>charge_berth</f>
        <v/>
      </c>
      <c r="AB27" s="40">
        <f>V27+W27+X27+Y27+Z27+AA27</f>
        <v/>
      </c>
      <c r="AC27" s="40">
        <f>VLOOKUP(B27,country_opex,7,FALSE)/dep_years</f>
        <v/>
      </c>
      <c r="AD27" s="40">
        <f>U27-AB27</f>
        <v/>
      </c>
      <c r="AE27" s="37">
        <f>IF(U27=0,"",AD27/U27)</f>
        <v/>
      </c>
      <c r="AF27" s="38">
        <f>IF(AD27&lt;=0,"",VLOOKUP(B27,country_opex,7,FALSE)/AD27)</f>
        <v/>
      </c>
      <c r="AG27" s="35">
        <f>((D27*P27/diesel_nmpg)*diesel_co2pg-(battery/range_nm)*D27*P27*VLOOKUP(B27,country_opex,4,FALSE))/1000</f>
        <v/>
      </c>
      <c r="AH27" s="33" t="n">
        <v>134248</v>
      </c>
      <c r="AI27" s="34" t="inlineStr">
        <is>
          <t>T1</t>
        </is>
      </c>
      <c r="AJ27" s="34" t="inlineStr">
        <is>
          <t>high</t>
        </is>
      </c>
      <c r="AK27" s="41" t="n">
        <v>0.1</v>
      </c>
      <c r="AL27" s="36">
        <f>IF(AH27="","",AH27*AK27)</f>
        <v/>
      </c>
      <c r="AM27" s="36">
        <f>IF(OR(AH27="",S27=0),"",MIN(IF(AU27="",9.9E+99,AU27),FLOOR(AL27/S27,1)))</f>
        <v/>
      </c>
      <c r="AN27" s="40">
        <f>IF(AM27="","",AM27*IF(ABS(MOD(ABS((U27)),1)-0.5)&lt;1E-9,2*ROUND((U27)/2,0),ROUND((U27),0)))</f>
        <v/>
      </c>
      <c r="AO27" s="38">
        <f>IF(OR(AH27="",S27=0),"",MIN(IF(AU27="",9.9E+99,AU27),AL27/S27))</f>
        <v/>
      </c>
      <c r="AP27" s="40">
        <f>IF(AO27="","",AO27*IF(B27="South Korea",IF(ABS(MOD(ABS((U27)),1)-0.5)&lt;1E-9,2*ROUND((U27)/2,0),ROUND((U27),0)),U27))</f>
        <v/>
      </c>
      <c r="AQ27" s="42" t="n"/>
      <c r="AR27" s="34" t="inlineStr">
        <is>
          <t>Grounded</t>
        </is>
      </c>
      <c r="AS27" s="43" t="n"/>
      <c r="AT27" s="43" t="n"/>
      <c r="AU27" s="44" t="n"/>
      <c r="AV27" s="45">
        <f>IF(((T27*pax_cap*load_thin*IF(ABS(MOD(ABS((L27*M27*revleg_thin)),1)-0.5)&lt;1E-9,2*ROUND((L27*M27*revleg_thin)/2,0),ROUND((L27*M27*revleg_thin),0)))-(((battery/range_nm)*D27*IF(ABS(MOD(ABS((L27*M27*revleg_thin)),1)-0.5)&lt;1E-9,2*ROUND((L27*M27*revleg_thin)/2,0),ROUND((L27*M27*revleg_thin),0))*VLOOKUP(B27,country_opex,3,FALSE))+W27+X27+Y27+Z27+AA27))&lt;=0,"",VLOOKUP(B27,country_opex,7,FALSE)/((T27*pax_cap*load_thin*IF(ABS(MOD(ABS((L27*M27*revleg_thin)),1)-0.5)&lt;1E-9,2*ROUND((L27*M27*revleg_thin)/2,0),ROUND((L27*M27*revleg_thin),0)))-(((battery/range_nm)*D27*IF(ABS(MOD(ABS((L27*M27*revleg_thin)),1)-0.5)&lt;1E-9,2*ROUND((L27*M27*revleg_thin)/2,0),ROUND((L27*M27*revleg_thin),0))*VLOOKUP(B27,country_opex,3,FALSE))+W27+X27+Y27+Z27+AA27)))</f>
        <v/>
      </c>
      <c r="AW27" s="45">
        <f>IF(((T27*pax_cap*IF(B27="South Korea",korea_mid_load,load_mid)*IF(ABS(MOD(ABS((L27*M27*IF(B27="South Korea",korea_mid_revleg,revleg_mid))),1)-0.5)&lt;1E-9,2*ROUND((L27*M27*IF(B27="South Korea",korea_mid_revleg,revleg_mid))/2,0),ROUND((L27*M27*IF(B27="South Korea",korea_mid_revleg,revleg_mid)),0)))-(((battery/range_nm)*D27*IF(ABS(MOD(ABS((L27*M27*IF(B27="South Korea",korea_mid_revleg,revleg_mid))),1)-0.5)&lt;1E-9,2*ROUND((L27*M27*IF(B27="South Korea",korea_mid_revleg,revleg_mid))/2,0),ROUND((L27*M27*IF(B27="South Korea",korea_mid_revleg,revleg_mid)),0))*VLOOKUP(B27,country_opex,3,FALSE))+W27+X27+Y27+Z27+AA27))&lt;=0,"",VLOOKUP(B27,country_opex,7,FALSE)/((T27*pax_cap*IF(B27="South Korea",korea_mid_load,load_mid)*IF(ABS(MOD(ABS((L27*M27*IF(B27="South Korea",korea_mid_revleg,revleg_mid))),1)-0.5)&lt;1E-9,2*ROUND((L27*M27*IF(B27="South Korea",korea_mid_revleg,revleg_mid))/2,0),ROUND((L27*M27*IF(B27="South Korea",korea_mid_revleg,revleg_mid)),0)))-(((battery/range_nm)*D27*IF(ABS(MOD(ABS((L27*M27*IF(B27="South Korea",korea_mid_revleg,revleg_mid))),1)-0.5)&lt;1E-9,2*ROUND((L27*M27*IF(B27="South Korea",korea_mid_revleg,revleg_mid))/2,0),ROUND((L27*M27*IF(B27="South Korea",korea_mid_revleg,revleg_mid)),0))*VLOOKUP(B27,country_opex,3,FALSE))+W27+X27+Y27+Z27+AA27)))</f>
        <v/>
      </c>
      <c r="AX27" s="45">
        <f>IF(((T27*pax_cap*load_full*IF(ABS(MOD(ABS((L27*M27*revleg_full)),1)-0.5)&lt;1E-9,2*ROUND((L27*M27*revleg_full)/2,0),ROUND((L27*M27*revleg_full),0)))-(((battery/range_nm)*D27*IF(ABS(MOD(ABS((L27*M27*revleg_full)),1)-0.5)&lt;1E-9,2*ROUND((L27*M27*revleg_full)/2,0),ROUND((L27*M27*revleg_full),0))*VLOOKUP(B27,country_opex,3,FALSE))+W27+X27+Y27+Z27+AA27))&lt;=0,"",VLOOKUP(B27,country_opex,7,FALSE)/((T27*pax_cap*load_full*IF(ABS(MOD(ABS((L27*M27*revleg_full)),1)-0.5)&lt;1E-9,2*ROUND((L27*M27*revleg_full)/2,0),ROUND((L27*M27*revleg_full),0)))-(((battery/range_nm)*D27*IF(ABS(MOD(ABS((L27*M27*revleg_full)),1)-0.5)&lt;1E-9,2*ROUND((L27*M27*revleg_full)/2,0),ROUND((L27*M27*revleg_full),0))*VLOOKUP(B27,country_opex,3,FALSE))+W27+X27+Y27+Z27+AA27)))</f>
        <v/>
      </c>
      <c r="AY27" s="46" t="inlineStr">
        <is>
          <t>band_default</t>
        </is>
      </c>
      <c r="AZ27" s="46" t="inlineStr">
        <is>
          <t>KOMSA Tongyeong district coastal 2025</t>
        </is>
      </c>
      <c r="BA27" s="34" t="inlineStr">
        <is>
          <t>rn-2a7a816ff5a9</t>
        </is>
      </c>
    </row>
    <row r="28">
      <c r="A28" s="31" t="inlineStr">
        <is>
          <t>Korea Swing</t>
        </is>
      </c>
      <c r="B28" s="31" t="inlineStr">
        <is>
          <t>South Korea</t>
        </is>
      </c>
      <c r="C28" s="32" t="inlineStr">
        <is>
          <t>Tongyeong Passenger Ferry Terminal → Yokjido Ferry Terminal</t>
        </is>
      </c>
      <c r="D28" s="33" t="n">
        <v>14.7</v>
      </c>
      <c r="E28" s="27" t="n">
        <v>8.859999999999999</v>
      </c>
      <c r="F28" s="34" t="inlineStr">
        <is>
          <t>T1</t>
        </is>
      </c>
      <c r="G28" s="34" t="inlineStr">
        <is>
          <t>high</t>
        </is>
      </c>
      <c r="H28" s="20" t="n">
        <v>1</v>
      </c>
      <c r="I28" s="35">
        <f>60*D28/cruise_kt</f>
        <v/>
      </c>
      <c r="J28" s="35">
        <f>IF(B28="South Korea",D28/korea_charge_range_nm*korea_full_range_charge_min,0)</f>
        <v/>
      </c>
      <c r="K28" s="35">
        <f>IF(B28="South Korea",I28+korea_turn_min+korea_dwell_min+J28,I28+turn_min+dwell_min)</f>
        <v/>
      </c>
      <c r="L28" s="36">
        <f>IF(B28="South Korea",FLOOR(60*korea_service_hr/K28,1),MIN(15,FLOOR(60*service_hr/K28,1)))</f>
        <v/>
      </c>
      <c r="M28" s="36">
        <f>IF(ABS(MOD(ABS((365*mech_uptime*H28)),1)-0.5)&lt;1E-9,2*ROUND((365*mech_uptime*H28)/2,0),ROUND((365*mech_uptime*H28),0))</f>
        <v/>
      </c>
      <c r="N28" s="37">
        <f>mech_uptime</f>
        <v/>
      </c>
      <c r="O28" s="37">
        <f>IF(AND(B28="South Korea",scenario="MID"),korea_mid_revleg,revleg_sel)</f>
        <v/>
      </c>
      <c r="P28" s="36">
        <f>IF(ABS(MOD(ABS((L28*M28*O28)),1)-0.5)&lt;1E-9,2*ROUND((L28*M28*O28)/2,0),ROUND((L28*M28*O28),0))</f>
        <v/>
      </c>
      <c r="Q28" s="37">
        <f>IF(AND(B28="South Korea",scenario="MID"),korea_mid_load,load_sel)</f>
        <v/>
      </c>
      <c r="R28" s="38">
        <f>pax_cap*Q28</f>
        <v/>
      </c>
      <c r="S28" s="36">
        <f>R28*P28</f>
        <v/>
      </c>
      <c r="T28" s="39">
        <f>E28*discount</f>
        <v/>
      </c>
      <c r="U28" s="40">
        <f>T28*S28</f>
        <v/>
      </c>
      <c r="V28" s="40">
        <f>(battery/range_nm)*D28*P28*VLOOKUP(B28,country_opex,3,FALSE)</f>
        <v/>
      </c>
      <c r="W28" s="40">
        <f>VLOOKUP(B28,country_opex,2,FALSE)*crew_factor</f>
        <v/>
      </c>
      <c r="X28" s="40">
        <f>VLOOKUP(B28,country_opex,5,FALSE)</f>
        <v/>
      </c>
      <c r="Y28" s="40">
        <f>maint</f>
        <v/>
      </c>
      <c r="Z28" s="40">
        <f>VLOOKUP(B28,country_opex,7,FALSE)*ins_pct</f>
        <v/>
      </c>
      <c r="AA28" s="40">
        <f>charge_berth</f>
        <v/>
      </c>
      <c r="AB28" s="40">
        <f>V28+W28+X28+Y28+Z28+AA28</f>
        <v/>
      </c>
      <c r="AC28" s="40">
        <f>VLOOKUP(B28,country_opex,7,FALSE)/dep_years</f>
        <v/>
      </c>
      <c r="AD28" s="40">
        <f>U28-AB28</f>
        <v/>
      </c>
      <c r="AE28" s="37">
        <f>IF(U28=0,"",AD28/U28)</f>
        <v/>
      </c>
      <c r="AF28" s="38">
        <f>IF(AD28&lt;=0,"",VLOOKUP(B28,country_opex,7,FALSE)/AD28)</f>
        <v/>
      </c>
      <c r="AG28" s="35">
        <f>((D28*P28/diesel_nmpg)*diesel_co2pg-(battery/range_nm)*D28*P28*VLOOKUP(B28,country_opex,4,FALSE))/1000</f>
        <v/>
      </c>
      <c r="AH28" s="33" t="n">
        <v>134248</v>
      </c>
      <c r="AI28" s="34" t="inlineStr">
        <is>
          <t>T1</t>
        </is>
      </c>
      <c r="AJ28" s="34" t="inlineStr">
        <is>
          <t>high</t>
        </is>
      </c>
      <c r="AK28" s="41" t="n">
        <v>0.1</v>
      </c>
      <c r="AL28" s="36">
        <f>IF(AH28="","",AH28*AK28)</f>
        <v/>
      </c>
      <c r="AM28" s="36">
        <f>IF(OR(AH28="",S28=0),"",MIN(IF(AU28="",9.9E+99,AU28),FLOOR(AL28/S28,1)))</f>
        <v/>
      </c>
      <c r="AN28" s="40">
        <f>IF(AM28="","",AM28*IF(ABS(MOD(ABS((U28)),1)-0.5)&lt;1E-9,2*ROUND((U28)/2,0),ROUND((U28),0)))</f>
        <v/>
      </c>
      <c r="AO28" s="38">
        <f>IF(OR(AH28="",S28=0),"",MIN(IF(AU28="",9.9E+99,AU28),AL28/S28))</f>
        <v/>
      </c>
      <c r="AP28" s="40">
        <f>IF(AO28="","",AO28*IF(B28="South Korea",IF(ABS(MOD(ABS((U28)),1)-0.5)&lt;1E-9,2*ROUND((U28)/2,0),ROUND((U28),0)),U28))</f>
        <v/>
      </c>
      <c r="AQ28" s="42" t="n"/>
      <c r="AR28" s="34" t="inlineStr">
        <is>
          <t>Grounded</t>
        </is>
      </c>
      <c r="AS28" s="43" t="n"/>
      <c r="AT28" s="43" t="n"/>
      <c r="AU28" s="44" t="n"/>
      <c r="AV28" s="45">
        <f>IF(((T28*pax_cap*load_thin*IF(ABS(MOD(ABS((L28*M28*revleg_thin)),1)-0.5)&lt;1E-9,2*ROUND((L28*M28*revleg_thin)/2,0),ROUND((L28*M28*revleg_thin),0)))-(((battery/range_nm)*D28*IF(ABS(MOD(ABS((L28*M28*revleg_thin)),1)-0.5)&lt;1E-9,2*ROUND((L28*M28*revleg_thin)/2,0),ROUND((L28*M28*revleg_thin),0))*VLOOKUP(B28,country_opex,3,FALSE))+W28+X28+Y28+Z28+AA28))&lt;=0,"",VLOOKUP(B28,country_opex,7,FALSE)/((T28*pax_cap*load_thin*IF(ABS(MOD(ABS((L28*M28*revleg_thin)),1)-0.5)&lt;1E-9,2*ROUND((L28*M28*revleg_thin)/2,0),ROUND((L28*M28*revleg_thin),0)))-(((battery/range_nm)*D28*IF(ABS(MOD(ABS((L28*M28*revleg_thin)),1)-0.5)&lt;1E-9,2*ROUND((L28*M28*revleg_thin)/2,0),ROUND((L28*M28*revleg_thin),0))*VLOOKUP(B28,country_opex,3,FALSE))+W28+X28+Y28+Z28+AA28)))</f>
        <v/>
      </c>
      <c r="AW28" s="45">
        <f>IF(((T28*pax_cap*IF(B28="South Korea",korea_mid_load,load_mid)*IF(ABS(MOD(ABS((L28*M28*IF(B28="South Korea",korea_mid_revleg,revleg_mid))),1)-0.5)&lt;1E-9,2*ROUND((L28*M28*IF(B28="South Korea",korea_mid_revleg,revleg_mid))/2,0),ROUND((L28*M28*IF(B28="South Korea",korea_mid_revleg,revleg_mid)),0)))-(((battery/range_nm)*D28*IF(ABS(MOD(ABS((L28*M28*IF(B28="South Korea",korea_mid_revleg,revleg_mid))),1)-0.5)&lt;1E-9,2*ROUND((L28*M28*IF(B28="South Korea",korea_mid_revleg,revleg_mid))/2,0),ROUND((L28*M28*IF(B28="South Korea",korea_mid_revleg,revleg_mid)),0))*VLOOKUP(B28,country_opex,3,FALSE))+W28+X28+Y28+Z28+AA28))&lt;=0,"",VLOOKUP(B28,country_opex,7,FALSE)/((T28*pax_cap*IF(B28="South Korea",korea_mid_load,load_mid)*IF(ABS(MOD(ABS((L28*M28*IF(B28="South Korea",korea_mid_revleg,revleg_mid))),1)-0.5)&lt;1E-9,2*ROUND((L28*M28*IF(B28="South Korea",korea_mid_revleg,revleg_mid))/2,0),ROUND((L28*M28*IF(B28="South Korea",korea_mid_revleg,revleg_mid)),0)))-(((battery/range_nm)*D28*IF(ABS(MOD(ABS((L28*M28*IF(B28="South Korea",korea_mid_revleg,revleg_mid))),1)-0.5)&lt;1E-9,2*ROUND((L28*M28*IF(B28="South Korea",korea_mid_revleg,revleg_mid))/2,0),ROUND((L28*M28*IF(B28="South Korea",korea_mid_revleg,revleg_mid)),0))*VLOOKUP(B28,country_opex,3,FALSE))+W28+X28+Y28+Z28+AA28)))</f>
        <v/>
      </c>
      <c r="AX28" s="45">
        <f>IF(((T28*pax_cap*load_full*IF(ABS(MOD(ABS((L28*M28*revleg_full)),1)-0.5)&lt;1E-9,2*ROUND((L28*M28*revleg_full)/2,0),ROUND((L28*M28*revleg_full),0)))-(((battery/range_nm)*D28*IF(ABS(MOD(ABS((L28*M28*revleg_full)),1)-0.5)&lt;1E-9,2*ROUND((L28*M28*revleg_full)/2,0),ROUND((L28*M28*revleg_full),0))*VLOOKUP(B28,country_opex,3,FALSE))+W28+X28+Y28+Z28+AA28))&lt;=0,"",VLOOKUP(B28,country_opex,7,FALSE)/((T28*pax_cap*load_full*IF(ABS(MOD(ABS((L28*M28*revleg_full)),1)-0.5)&lt;1E-9,2*ROUND((L28*M28*revleg_full)/2,0),ROUND((L28*M28*revleg_full),0)))-(((battery/range_nm)*D28*IF(ABS(MOD(ABS((L28*M28*revleg_full)),1)-0.5)&lt;1E-9,2*ROUND((L28*M28*revleg_full)/2,0),ROUND((L28*M28*revleg_full),0))*VLOOKUP(B28,country_opex,3,FALSE))+W28+X28+Y28+Z28+AA28)))</f>
        <v/>
      </c>
      <c r="AY28" s="46" t="inlineStr">
        <is>
          <t>KOREA-L3-SOURCING</t>
        </is>
      </c>
      <c r="AZ28" s="46" t="inlineStr">
        <is>
          <t>KOMSA Tongyeong district coastal 2025</t>
        </is>
      </c>
      <c r="BA28" s="34" t="inlineStr">
        <is>
          <t>rn-f4f4e680146e</t>
        </is>
      </c>
    </row>
    <row r="29">
      <c r="A29" s="31" t="inlineStr">
        <is>
          <t>Korea Swing</t>
        </is>
      </c>
      <c r="B29" s="31" t="inlineStr">
        <is>
          <t>South Korea</t>
        </is>
      </c>
      <c r="C29" s="32" t="inlineStr">
        <is>
          <t>Yokjido Island ferry pier → Tongyeong Ferry Terminal</t>
        </is>
      </c>
      <c r="D29" s="33" t="n">
        <v>14.8</v>
      </c>
      <c r="E29" s="27" t="n">
        <v>6.14</v>
      </c>
      <c r="F29" s="34" t="inlineStr">
        <is>
          <t>T1</t>
        </is>
      </c>
      <c r="G29" s="34" t="inlineStr">
        <is>
          <t>high</t>
        </is>
      </c>
      <c r="H29" s="20" t="n">
        <v>1</v>
      </c>
      <c r="I29" s="35">
        <f>60*D29/cruise_kt</f>
        <v/>
      </c>
      <c r="J29" s="35">
        <f>IF(B29="South Korea",D29/korea_charge_range_nm*korea_full_range_charge_min,0)</f>
        <v/>
      </c>
      <c r="K29" s="35">
        <f>IF(B29="South Korea",I29+korea_turn_min+korea_dwell_min+J29,I29+turn_min+dwell_min)</f>
        <v/>
      </c>
      <c r="L29" s="36">
        <f>IF(B29="South Korea",FLOOR(60*korea_service_hr/K29,1),MIN(15,FLOOR(60*service_hr/K29,1)))</f>
        <v/>
      </c>
      <c r="M29" s="36">
        <f>IF(ABS(MOD(ABS((365*mech_uptime*H29)),1)-0.5)&lt;1E-9,2*ROUND((365*mech_uptime*H29)/2,0),ROUND((365*mech_uptime*H29),0))</f>
        <v/>
      </c>
      <c r="N29" s="37">
        <f>mech_uptime</f>
        <v/>
      </c>
      <c r="O29" s="37">
        <f>IF(AND(B29="South Korea",scenario="MID"),korea_mid_revleg,revleg_sel)</f>
        <v/>
      </c>
      <c r="P29" s="36">
        <f>IF(ABS(MOD(ABS((L29*M29*O29)),1)-0.5)&lt;1E-9,2*ROUND((L29*M29*O29)/2,0),ROUND((L29*M29*O29),0))</f>
        <v/>
      </c>
      <c r="Q29" s="37">
        <f>IF(AND(B29="South Korea",scenario="MID"),korea_mid_load,load_sel)</f>
        <v/>
      </c>
      <c r="R29" s="38">
        <f>pax_cap*Q29</f>
        <v/>
      </c>
      <c r="S29" s="36">
        <f>R29*P29</f>
        <v/>
      </c>
      <c r="T29" s="39">
        <f>E29*discount</f>
        <v/>
      </c>
      <c r="U29" s="40">
        <f>T29*S29</f>
        <v/>
      </c>
      <c r="V29" s="40">
        <f>(battery/range_nm)*D29*P29*VLOOKUP(B29,country_opex,3,FALSE)</f>
        <v/>
      </c>
      <c r="W29" s="40">
        <f>VLOOKUP(B29,country_opex,2,FALSE)*crew_factor</f>
        <v/>
      </c>
      <c r="X29" s="40">
        <f>VLOOKUP(B29,country_opex,5,FALSE)</f>
        <v/>
      </c>
      <c r="Y29" s="40">
        <f>maint</f>
        <v/>
      </c>
      <c r="Z29" s="40">
        <f>VLOOKUP(B29,country_opex,7,FALSE)*ins_pct</f>
        <v/>
      </c>
      <c r="AA29" s="40">
        <f>charge_berth</f>
        <v/>
      </c>
      <c r="AB29" s="40">
        <f>V29+W29+X29+Y29+Z29+AA29</f>
        <v/>
      </c>
      <c r="AC29" s="40">
        <f>VLOOKUP(B29,country_opex,7,FALSE)/dep_years</f>
        <v/>
      </c>
      <c r="AD29" s="40">
        <f>U29-AB29</f>
        <v/>
      </c>
      <c r="AE29" s="37">
        <f>IF(U29=0,"",AD29/U29)</f>
        <v/>
      </c>
      <c r="AF29" s="38">
        <f>IF(AD29&lt;=0,"",VLOOKUP(B29,country_opex,7,FALSE)/AD29)</f>
        <v/>
      </c>
      <c r="AG29" s="35">
        <f>((D29*P29/diesel_nmpg)*diesel_co2pg-(battery/range_nm)*D29*P29*VLOOKUP(B29,country_opex,4,FALSE))/1000</f>
        <v/>
      </c>
      <c r="AH29" s="33" t="n">
        <v>134248</v>
      </c>
      <c r="AI29" s="34" t="inlineStr">
        <is>
          <t>T1</t>
        </is>
      </c>
      <c r="AJ29" s="34" t="inlineStr">
        <is>
          <t>high</t>
        </is>
      </c>
      <c r="AK29" s="41" t="n">
        <v>0.1</v>
      </c>
      <c r="AL29" s="36">
        <f>IF(AH29="","",AH29*AK29)</f>
        <v/>
      </c>
      <c r="AM29" s="36">
        <f>IF(OR(AH29="",S29=0),"",MIN(IF(AU29="",9.9E+99,AU29),FLOOR(AL29/S29,1)))</f>
        <v/>
      </c>
      <c r="AN29" s="40">
        <f>IF(AM29="","",AM29*IF(ABS(MOD(ABS((U29)),1)-0.5)&lt;1E-9,2*ROUND((U29)/2,0),ROUND((U29),0)))</f>
        <v/>
      </c>
      <c r="AO29" s="38">
        <f>IF(OR(AH29="",S29=0),"",MIN(IF(AU29="",9.9E+99,AU29),AL29/S29))</f>
        <v/>
      </c>
      <c r="AP29" s="40">
        <f>IF(AO29="","",AO29*IF(B29="South Korea",IF(ABS(MOD(ABS((U29)),1)-0.5)&lt;1E-9,2*ROUND((U29)/2,0),ROUND((U29),0)),U29))</f>
        <v/>
      </c>
      <c r="AQ29" s="42" t="n"/>
      <c r="AR29" s="34" t="inlineStr">
        <is>
          <t>Grounded</t>
        </is>
      </c>
      <c r="AS29" s="43" t="n"/>
      <c r="AT29" s="43" t="n"/>
      <c r="AU29" s="44" t="n"/>
      <c r="AV29" s="45">
        <f>IF(((T29*pax_cap*load_thin*IF(ABS(MOD(ABS((L29*M29*revleg_thin)),1)-0.5)&lt;1E-9,2*ROUND((L29*M29*revleg_thin)/2,0),ROUND((L29*M29*revleg_thin),0)))-(((battery/range_nm)*D29*IF(ABS(MOD(ABS((L29*M29*revleg_thin)),1)-0.5)&lt;1E-9,2*ROUND((L29*M29*revleg_thin)/2,0),ROUND((L29*M29*revleg_thin),0))*VLOOKUP(B29,country_opex,3,FALSE))+W29+X29+Y29+Z29+AA29))&lt;=0,"",VLOOKUP(B29,country_opex,7,FALSE)/((T29*pax_cap*load_thin*IF(ABS(MOD(ABS((L29*M29*revleg_thin)),1)-0.5)&lt;1E-9,2*ROUND((L29*M29*revleg_thin)/2,0),ROUND((L29*M29*revleg_thin),0)))-(((battery/range_nm)*D29*IF(ABS(MOD(ABS((L29*M29*revleg_thin)),1)-0.5)&lt;1E-9,2*ROUND((L29*M29*revleg_thin)/2,0),ROUND((L29*M29*revleg_thin),0))*VLOOKUP(B29,country_opex,3,FALSE))+W29+X29+Y29+Z29+AA29)))</f>
        <v/>
      </c>
      <c r="AW29" s="45">
        <f>IF(((T29*pax_cap*IF(B29="South Korea",korea_mid_load,load_mid)*IF(ABS(MOD(ABS((L29*M29*IF(B29="South Korea",korea_mid_revleg,revleg_mid))),1)-0.5)&lt;1E-9,2*ROUND((L29*M29*IF(B29="South Korea",korea_mid_revleg,revleg_mid))/2,0),ROUND((L29*M29*IF(B29="South Korea",korea_mid_revleg,revleg_mid)),0)))-(((battery/range_nm)*D29*IF(ABS(MOD(ABS((L29*M29*IF(B29="South Korea",korea_mid_revleg,revleg_mid))),1)-0.5)&lt;1E-9,2*ROUND((L29*M29*IF(B29="South Korea",korea_mid_revleg,revleg_mid))/2,0),ROUND((L29*M29*IF(B29="South Korea",korea_mid_revleg,revleg_mid)),0))*VLOOKUP(B29,country_opex,3,FALSE))+W29+X29+Y29+Z29+AA29))&lt;=0,"",VLOOKUP(B29,country_opex,7,FALSE)/((T29*pax_cap*IF(B29="South Korea",korea_mid_load,load_mid)*IF(ABS(MOD(ABS((L29*M29*IF(B29="South Korea",korea_mid_revleg,revleg_mid))),1)-0.5)&lt;1E-9,2*ROUND((L29*M29*IF(B29="South Korea",korea_mid_revleg,revleg_mid))/2,0),ROUND((L29*M29*IF(B29="South Korea",korea_mid_revleg,revleg_mid)),0)))-(((battery/range_nm)*D29*IF(ABS(MOD(ABS((L29*M29*IF(B29="South Korea",korea_mid_revleg,revleg_mid))),1)-0.5)&lt;1E-9,2*ROUND((L29*M29*IF(B29="South Korea",korea_mid_revleg,revleg_mid))/2,0),ROUND((L29*M29*IF(B29="South Korea",korea_mid_revleg,revleg_mid)),0))*VLOOKUP(B29,country_opex,3,FALSE))+W29+X29+Y29+Z29+AA29)))</f>
        <v/>
      </c>
      <c r="AX29" s="45">
        <f>IF(((T29*pax_cap*load_full*IF(ABS(MOD(ABS((L29*M29*revleg_full)),1)-0.5)&lt;1E-9,2*ROUND((L29*M29*revleg_full)/2,0),ROUND((L29*M29*revleg_full),0)))-(((battery/range_nm)*D29*IF(ABS(MOD(ABS((L29*M29*revleg_full)),1)-0.5)&lt;1E-9,2*ROUND((L29*M29*revleg_full)/2,0),ROUND((L29*M29*revleg_full),0))*VLOOKUP(B29,country_opex,3,FALSE))+W29+X29+Y29+Z29+AA29))&lt;=0,"",VLOOKUP(B29,country_opex,7,FALSE)/((T29*pax_cap*load_full*IF(ABS(MOD(ABS((L29*M29*revleg_full)),1)-0.5)&lt;1E-9,2*ROUND((L29*M29*revleg_full)/2,0),ROUND((L29*M29*revleg_full),0)))-(((battery/range_nm)*D29*IF(ABS(MOD(ABS((L29*M29*revleg_full)),1)-0.5)&lt;1E-9,2*ROUND((L29*M29*revleg_full)/2,0),ROUND((L29*M29*revleg_full),0))*VLOOKUP(B29,country_opex,3,FALSE))+W29+X29+Y29+Z29+AA29)))</f>
        <v/>
      </c>
      <c r="AY29" s="46" t="inlineStr">
        <is>
          <t>KOREA-L3-SOURCING</t>
        </is>
      </c>
      <c r="AZ29" s="46" t="inlineStr">
        <is>
          <t>KOMSA Tongyeong district coastal 2025</t>
        </is>
      </c>
      <c r="BA29" s="34" t="inlineStr">
        <is>
          <t>rn-eab1a8d9b140</t>
        </is>
      </c>
    </row>
    <row r="30">
      <c r="A30" s="31" t="inlineStr">
        <is>
          <t>Korea Swing</t>
        </is>
      </c>
      <c r="B30" s="31" t="inlineStr">
        <is>
          <t>South Korea</t>
        </is>
      </c>
      <c r="C30" s="32" t="inlineStr">
        <is>
          <t>Jeju Ferry Passenger Terminal → Hallim Port (Biyangdo ferry gateway)</t>
        </is>
      </c>
      <c r="D30" s="33" t="n">
        <v>15.4</v>
      </c>
      <c r="E30" s="27" t="n">
        <v>8</v>
      </c>
      <c r="F30" s="34" t="inlineStr">
        <is>
          <t>T3</t>
        </is>
      </c>
      <c r="G30" s="34" t="inlineStr">
        <is>
          <t>low</t>
        </is>
      </c>
      <c r="H30" s="20" t="n">
        <v>1</v>
      </c>
      <c r="I30" s="35">
        <f>60*D30/cruise_kt</f>
        <v/>
      </c>
      <c r="J30" s="35">
        <f>IF(B30="South Korea",D30/korea_charge_range_nm*korea_full_range_charge_min,0)</f>
        <v/>
      </c>
      <c r="K30" s="35">
        <f>IF(B30="South Korea",I30+korea_turn_min+korea_dwell_min+J30,I30+turn_min+dwell_min)</f>
        <v/>
      </c>
      <c r="L30" s="36">
        <f>IF(B30="South Korea",FLOOR(60*korea_service_hr/K30,1),MIN(15,FLOOR(60*service_hr/K30,1)))</f>
        <v/>
      </c>
      <c r="M30" s="36">
        <f>IF(ABS(MOD(ABS((365*mech_uptime*H30)),1)-0.5)&lt;1E-9,2*ROUND((365*mech_uptime*H30)/2,0),ROUND((365*mech_uptime*H30),0))</f>
        <v/>
      </c>
      <c r="N30" s="37">
        <f>mech_uptime</f>
        <v/>
      </c>
      <c r="O30" s="37">
        <f>IF(AND(B30="South Korea",scenario="MID"),korea_mid_revleg,revleg_sel)</f>
        <v/>
      </c>
      <c r="P30" s="36">
        <f>IF(ABS(MOD(ABS((L30*M30*O30)),1)-0.5)&lt;1E-9,2*ROUND((L30*M30*O30)/2,0),ROUND((L30*M30*O30),0))</f>
        <v/>
      </c>
      <c r="Q30" s="37">
        <f>IF(AND(B30="South Korea",scenario="MID"),korea_mid_load,load_sel)</f>
        <v/>
      </c>
      <c r="R30" s="38">
        <f>pax_cap*Q30</f>
        <v/>
      </c>
      <c r="S30" s="36">
        <f>R30*P30</f>
        <v/>
      </c>
      <c r="T30" s="39">
        <f>E30*discount</f>
        <v/>
      </c>
      <c r="U30" s="40">
        <f>T30*S30</f>
        <v/>
      </c>
      <c r="V30" s="40">
        <f>(battery/range_nm)*D30*P30*VLOOKUP(B30,country_opex,3,FALSE)</f>
        <v/>
      </c>
      <c r="W30" s="40">
        <f>VLOOKUP(B30,country_opex,2,FALSE)*crew_factor</f>
        <v/>
      </c>
      <c r="X30" s="40">
        <f>VLOOKUP(B30,country_opex,5,FALSE)</f>
        <v/>
      </c>
      <c r="Y30" s="40">
        <f>maint</f>
        <v/>
      </c>
      <c r="Z30" s="40">
        <f>VLOOKUP(B30,country_opex,7,FALSE)*ins_pct</f>
        <v/>
      </c>
      <c r="AA30" s="40">
        <f>charge_berth</f>
        <v/>
      </c>
      <c r="AB30" s="40">
        <f>V30+W30+X30+Y30+Z30+AA30</f>
        <v/>
      </c>
      <c r="AC30" s="40">
        <f>VLOOKUP(B30,country_opex,7,FALSE)/dep_years</f>
        <v/>
      </c>
      <c r="AD30" s="40">
        <f>U30-AB30</f>
        <v/>
      </c>
      <c r="AE30" s="37">
        <f>IF(U30=0,"",AD30/U30)</f>
        <v/>
      </c>
      <c r="AF30" s="38">
        <f>IF(AD30&lt;=0,"",VLOOKUP(B30,country_opex,7,FALSE)/AD30)</f>
        <v/>
      </c>
      <c r="AG30" s="35">
        <f>((D30*P30/diesel_nmpg)*diesel_co2pg-(battery/range_nm)*D30*P30*VLOOKUP(B30,country_opex,4,FALSE))/1000</f>
        <v/>
      </c>
      <c r="AH30" s="33" t="n">
        <v>29535</v>
      </c>
      <c r="AI30" s="34" t="inlineStr">
        <is>
          <t>T3</t>
        </is>
      </c>
      <c r="AJ30" s="34" t="inlineStr">
        <is>
          <t>low</t>
        </is>
      </c>
      <c r="AK30" s="41" t="n">
        <v>0.1</v>
      </c>
      <c r="AL30" s="36">
        <f>IF(AH30="","",AH30*AK30)</f>
        <v/>
      </c>
      <c r="AM30" s="36">
        <f>IF(OR(AH30="",S30=0),"",MIN(IF(AU30="",9.9E+99,AU30),FLOOR(AL30/S30,1)))</f>
        <v/>
      </c>
      <c r="AN30" s="40">
        <f>IF(AM30="","",AM30*IF(ABS(MOD(ABS((U30)),1)-0.5)&lt;1E-9,2*ROUND((U30)/2,0),ROUND((U30),0)))</f>
        <v/>
      </c>
      <c r="AO30" s="38">
        <f>IF(OR(AH30="",S30=0),"",MIN(IF(AU30="",9.9E+99,AU30),AL30/S30))</f>
        <v/>
      </c>
      <c r="AP30" s="40">
        <f>IF(AO30="","",AO30*IF(B30="South Korea",IF(ABS(MOD(ABS((U30)),1)-0.5)&lt;1E-9,2*ROUND((U30)/2,0),ROUND((U30),0)),U30))</f>
        <v/>
      </c>
      <c r="AQ30" s="42" t="n"/>
      <c r="AR30" s="34" t="inlineStr">
        <is>
          <t>Grounded</t>
        </is>
      </c>
      <c r="AS30" s="43" t="n"/>
      <c r="AT30" s="43" t="n"/>
      <c r="AU30" s="44" t="n"/>
      <c r="AV30" s="45">
        <f>IF(((T30*pax_cap*load_thin*IF(ABS(MOD(ABS((L30*M30*revleg_thin)),1)-0.5)&lt;1E-9,2*ROUND((L30*M30*revleg_thin)/2,0),ROUND((L30*M30*revleg_thin),0)))-(((battery/range_nm)*D30*IF(ABS(MOD(ABS((L30*M30*revleg_thin)),1)-0.5)&lt;1E-9,2*ROUND((L30*M30*revleg_thin)/2,0),ROUND((L30*M30*revleg_thin),0))*VLOOKUP(B30,country_opex,3,FALSE))+W30+X30+Y30+Z30+AA30))&lt;=0,"",VLOOKUP(B30,country_opex,7,FALSE)/((T30*pax_cap*load_thin*IF(ABS(MOD(ABS((L30*M30*revleg_thin)),1)-0.5)&lt;1E-9,2*ROUND((L30*M30*revleg_thin)/2,0),ROUND((L30*M30*revleg_thin),0)))-(((battery/range_nm)*D30*IF(ABS(MOD(ABS((L30*M30*revleg_thin)),1)-0.5)&lt;1E-9,2*ROUND((L30*M30*revleg_thin)/2,0),ROUND((L30*M30*revleg_thin),0))*VLOOKUP(B30,country_opex,3,FALSE))+W30+X30+Y30+Z30+AA30)))</f>
        <v/>
      </c>
      <c r="AW30" s="45">
        <f>IF(((T30*pax_cap*IF(B30="South Korea",korea_mid_load,load_mid)*IF(ABS(MOD(ABS((L30*M30*IF(B30="South Korea",korea_mid_revleg,revleg_mid))),1)-0.5)&lt;1E-9,2*ROUND((L30*M30*IF(B30="South Korea",korea_mid_revleg,revleg_mid))/2,0),ROUND((L30*M30*IF(B30="South Korea",korea_mid_revleg,revleg_mid)),0)))-(((battery/range_nm)*D30*IF(ABS(MOD(ABS((L30*M30*IF(B30="South Korea",korea_mid_revleg,revleg_mid))),1)-0.5)&lt;1E-9,2*ROUND((L30*M30*IF(B30="South Korea",korea_mid_revleg,revleg_mid))/2,0),ROUND((L30*M30*IF(B30="South Korea",korea_mid_revleg,revleg_mid)),0))*VLOOKUP(B30,country_opex,3,FALSE))+W30+X30+Y30+Z30+AA30))&lt;=0,"",VLOOKUP(B30,country_opex,7,FALSE)/((T30*pax_cap*IF(B30="South Korea",korea_mid_load,load_mid)*IF(ABS(MOD(ABS((L30*M30*IF(B30="South Korea",korea_mid_revleg,revleg_mid))),1)-0.5)&lt;1E-9,2*ROUND((L30*M30*IF(B30="South Korea",korea_mid_revleg,revleg_mid))/2,0),ROUND((L30*M30*IF(B30="South Korea",korea_mid_revleg,revleg_mid)),0)))-(((battery/range_nm)*D30*IF(ABS(MOD(ABS((L30*M30*IF(B30="South Korea",korea_mid_revleg,revleg_mid))),1)-0.5)&lt;1E-9,2*ROUND((L30*M30*IF(B30="South Korea",korea_mid_revleg,revleg_mid))/2,0),ROUND((L30*M30*IF(B30="South Korea",korea_mid_revleg,revleg_mid)),0))*VLOOKUP(B30,country_opex,3,FALSE))+W30+X30+Y30+Z30+AA30)))</f>
        <v/>
      </c>
      <c r="AX30" s="45">
        <f>IF(((T30*pax_cap*load_full*IF(ABS(MOD(ABS((L30*M30*revleg_full)),1)-0.5)&lt;1E-9,2*ROUND((L30*M30*revleg_full)/2,0),ROUND((L30*M30*revleg_full),0)))-(((battery/range_nm)*D30*IF(ABS(MOD(ABS((L30*M30*revleg_full)),1)-0.5)&lt;1E-9,2*ROUND((L30*M30*revleg_full)/2,0),ROUND((L30*M30*revleg_full),0))*VLOOKUP(B30,country_opex,3,FALSE))+W30+X30+Y30+Z30+AA30))&lt;=0,"",VLOOKUP(B30,country_opex,7,FALSE)/((T30*pax_cap*load_full*IF(ABS(MOD(ABS((L30*M30*revleg_full)),1)-0.5)&lt;1E-9,2*ROUND((L30*M30*revleg_full)/2,0),ROUND((L30*M30*revleg_full),0)))-(((battery/range_nm)*D30*IF(ABS(MOD(ABS((L30*M30*revleg_full)),1)-0.5)&lt;1E-9,2*ROUND((L30*M30*revleg_full)/2,0),ROUND((L30*M30*revleg_full),0))*VLOOKUP(B30,country_opex,3,FALSE))+W30+X30+Y30+Z30+AA30)))</f>
        <v/>
      </c>
      <c r="AY30" s="46" t="inlineStr">
        <is>
          <t>band_default</t>
        </is>
      </c>
      <c r="AZ30" s="46" t="inlineStr">
        <is>
          <t>greenfield_convention</t>
        </is>
      </c>
      <c r="BA30" s="34" t="inlineStr">
        <is>
          <t>rn-c35e6140fd66</t>
        </is>
      </c>
    </row>
    <row r="31">
      <c r="A31" s="31" t="inlineStr">
        <is>
          <t>Korea Swing</t>
        </is>
      </c>
      <c r="B31" s="31" t="inlineStr">
        <is>
          <t>South Korea</t>
        </is>
      </c>
      <c r="C31" s="32" t="inlineStr">
        <is>
          <t>Jeju → Seongsan Eup</t>
        </is>
      </c>
      <c r="D31" s="33" t="n">
        <v>16.2</v>
      </c>
      <c r="E31" s="27" t="n">
        <v>8</v>
      </c>
      <c r="F31" s="34" t="inlineStr">
        <is>
          <t>T3</t>
        </is>
      </c>
      <c r="G31" s="34" t="inlineStr">
        <is>
          <t>low</t>
        </is>
      </c>
      <c r="H31" s="20" t="n">
        <v>1</v>
      </c>
      <c r="I31" s="35">
        <f>60*D31/cruise_kt</f>
        <v/>
      </c>
      <c r="J31" s="35">
        <f>IF(B31="South Korea",D31/korea_charge_range_nm*korea_full_range_charge_min,0)</f>
        <v/>
      </c>
      <c r="K31" s="35">
        <f>IF(B31="South Korea",I31+korea_turn_min+korea_dwell_min+J31,I31+turn_min+dwell_min)</f>
        <v/>
      </c>
      <c r="L31" s="36">
        <f>IF(B31="South Korea",FLOOR(60*korea_service_hr/K31,1),MIN(15,FLOOR(60*service_hr/K31,1)))</f>
        <v/>
      </c>
      <c r="M31" s="36">
        <f>IF(ABS(MOD(ABS((365*mech_uptime*H31)),1)-0.5)&lt;1E-9,2*ROUND((365*mech_uptime*H31)/2,0),ROUND((365*mech_uptime*H31),0))</f>
        <v/>
      </c>
      <c r="N31" s="37">
        <f>mech_uptime</f>
        <v/>
      </c>
      <c r="O31" s="37">
        <f>IF(AND(B31="South Korea",scenario="MID"),korea_mid_revleg,revleg_sel)</f>
        <v/>
      </c>
      <c r="P31" s="36">
        <f>IF(ABS(MOD(ABS((L31*M31*O31)),1)-0.5)&lt;1E-9,2*ROUND((L31*M31*O31)/2,0),ROUND((L31*M31*O31),0))</f>
        <v/>
      </c>
      <c r="Q31" s="37">
        <f>IF(AND(B31="South Korea",scenario="MID"),korea_mid_load,load_sel)</f>
        <v/>
      </c>
      <c r="R31" s="38">
        <f>pax_cap*Q31</f>
        <v/>
      </c>
      <c r="S31" s="36">
        <f>R31*P31</f>
        <v/>
      </c>
      <c r="T31" s="39">
        <f>E31*discount</f>
        <v/>
      </c>
      <c r="U31" s="40">
        <f>T31*S31</f>
        <v/>
      </c>
      <c r="V31" s="40">
        <f>(battery/range_nm)*D31*P31*VLOOKUP(B31,country_opex,3,FALSE)</f>
        <v/>
      </c>
      <c r="W31" s="40">
        <f>VLOOKUP(B31,country_opex,2,FALSE)*crew_factor</f>
        <v/>
      </c>
      <c r="X31" s="40">
        <f>VLOOKUP(B31,country_opex,5,FALSE)</f>
        <v/>
      </c>
      <c r="Y31" s="40">
        <f>maint</f>
        <v/>
      </c>
      <c r="Z31" s="40">
        <f>VLOOKUP(B31,country_opex,7,FALSE)*ins_pct</f>
        <v/>
      </c>
      <c r="AA31" s="40">
        <f>charge_berth</f>
        <v/>
      </c>
      <c r="AB31" s="40">
        <f>V31+W31+X31+Y31+Z31+AA31</f>
        <v/>
      </c>
      <c r="AC31" s="40">
        <f>VLOOKUP(B31,country_opex,7,FALSE)/dep_years</f>
        <v/>
      </c>
      <c r="AD31" s="40">
        <f>U31-AB31</f>
        <v/>
      </c>
      <c r="AE31" s="37">
        <f>IF(U31=0,"",AD31/U31)</f>
        <v/>
      </c>
      <c r="AF31" s="38">
        <f>IF(AD31&lt;=0,"",VLOOKUP(B31,country_opex,7,FALSE)/AD31)</f>
        <v/>
      </c>
      <c r="AG31" s="35">
        <f>((D31*P31/diesel_nmpg)*diesel_co2pg-(battery/range_nm)*D31*P31*VLOOKUP(B31,country_opex,4,FALSE))/1000</f>
        <v/>
      </c>
      <c r="AH31" s="33" t="n">
        <v>29535</v>
      </c>
      <c r="AI31" s="34" t="inlineStr">
        <is>
          <t>T3</t>
        </is>
      </c>
      <c r="AJ31" s="34" t="inlineStr">
        <is>
          <t>low</t>
        </is>
      </c>
      <c r="AK31" s="41" t="n">
        <v>0.1</v>
      </c>
      <c r="AL31" s="36">
        <f>IF(AH31="","",AH31*AK31)</f>
        <v/>
      </c>
      <c r="AM31" s="36">
        <f>IF(OR(AH31="",S31=0),"",MIN(IF(AU31="",9.9E+99,AU31),FLOOR(AL31/S31,1)))</f>
        <v/>
      </c>
      <c r="AN31" s="40">
        <f>IF(AM31="","",AM31*IF(ABS(MOD(ABS((U31)),1)-0.5)&lt;1E-9,2*ROUND((U31)/2,0),ROUND((U31),0)))</f>
        <v/>
      </c>
      <c r="AO31" s="38">
        <f>IF(OR(AH31="",S31=0),"",MIN(IF(AU31="",9.9E+99,AU31),AL31/S31))</f>
        <v/>
      </c>
      <c r="AP31" s="40">
        <f>IF(AO31="","",AO31*IF(B31="South Korea",IF(ABS(MOD(ABS((U31)),1)-0.5)&lt;1E-9,2*ROUND((U31)/2,0),ROUND((U31),0)),U31))</f>
        <v/>
      </c>
      <c r="AQ31" s="42" t="n"/>
      <c r="AR31" s="34" t="inlineStr">
        <is>
          <t>Grounded</t>
        </is>
      </c>
      <c r="AS31" s="43" t="n"/>
      <c r="AT31" s="43" t="n"/>
      <c r="AU31" s="44" t="n"/>
      <c r="AV31" s="45">
        <f>IF(((T31*pax_cap*load_thin*IF(ABS(MOD(ABS((L31*M31*revleg_thin)),1)-0.5)&lt;1E-9,2*ROUND((L31*M31*revleg_thin)/2,0),ROUND((L31*M31*revleg_thin),0)))-(((battery/range_nm)*D31*IF(ABS(MOD(ABS((L31*M31*revleg_thin)),1)-0.5)&lt;1E-9,2*ROUND((L31*M31*revleg_thin)/2,0),ROUND((L31*M31*revleg_thin),0))*VLOOKUP(B31,country_opex,3,FALSE))+W31+X31+Y31+Z31+AA31))&lt;=0,"",VLOOKUP(B31,country_opex,7,FALSE)/((T31*pax_cap*load_thin*IF(ABS(MOD(ABS((L31*M31*revleg_thin)),1)-0.5)&lt;1E-9,2*ROUND((L31*M31*revleg_thin)/2,0),ROUND((L31*M31*revleg_thin),0)))-(((battery/range_nm)*D31*IF(ABS(MOD(ABS((L31*M31*revleg_thin)),1)-0.5)&lt;1E-9,2*ROUND((L31*M31*revleg_thin)/2,0),ROUND((L31*M31*revleg_thin),0))*VLOOKUP(B31,country_opex,3,FALSE))+W31+X31+Y31+Z31+AA31)))</f>
        <v/>
      </c>
      <c r="AW31" s="45">
        <f>IF(((T31*pax_cap*IF(B31="South Korea",korea_mid_load,load_mid)*IF(ABS(MOD(ABS((L31*M31*IF(B31="South Korea",korea_mid_revleg,revleg_mid))),1)-0.5)&lt;1E-9,2*ROUND((L31*M31*IF(B31="South Korea",korea_mid_revleg,revleg_mid))/2,0),ROUND((L31*M31*IF(B31="South Korea",korea_mid_revleg,revleg_mid)),0)))-(((battery/range_nm)*D31*IF(ABS(MOD(ABS((L31*M31*IF(B31="South Korea",korea_mid_revleg,revleg_mid))),1)-0.5)&lt;1E-9,2*ROUND((L31*M31*IF(B31="South Korea",korea_mid_revleg,revleg_mid))/2,0),ROUND((L31*M31*IF(B31="South Korea",korea_mid_revleg,revleg_mid)),0))*VLOOKUP(B31,country_opex,3,FALSE))+W31+X31+Y31+Z31+AA31))&lt;=0,"",VLOOKUP(B31,country_opex,7,FALSE)/((T31*pax_cap*IF(B31="South Korea",korea_mid_load,load_mid)*IF(ABS(MOD(ABS((L31*M31*IF(B31="South Korea",korea_mid_revleg,revleg_mid))),1)-0.5)&lt;1E-9,2*ROUND((L31*M31*IF(B31="South Korea",korea_mid_revleg,revleg_mid))/2,0),ROUND((L31*M31*IF(B31="South Korea",korea_mid_revleg,revleg_mid)),0)))-(((battery/range_nm)*D31*IF(ABS(MOD(ABS((L31*M31*IF(B31="South Korea",korea_mid_revleg,revleg_mid))),1)-0.5)&lt;1E-9,2*ROUND((L31*M31*IF(B31="South Korea",korea_mid_revleg,revleg_mid))/2,0),ROUND((L31*M31*IF(B31="South Korea",korea_mid_revleg,revleg_mid)),0))*VLOOKUP(B31,country_opex,3,FALSE))+W31+X31+Y31+Z31+AA31)))</f>
        <v/>
      </c>
      <c r="AX31" s="45">
        <f>IF(((T31*pax_cap*load_full*IF(ABS(MOD(ABS((L31*M31*revleg_full)),1)-0.5)&lt;1E-9,2*ROUND((L31*M31*revleg_full)/2,0),ROUND((L31*M31*revleg_full),0)))-(((battery/range_nm)*D31*IF(ABS(MOD(ABS((L31*M31*revleg_full)),1)-0.5)&lt;1E-9,2*ROUND((L31*M31*revleg_full)/2,0),ROUND((L31*M31*revleg_full),0))*VLOOKUP(B31,country_opex,3,FALSE))+W31+X31+Y31+Z31+AA31))&lt;=0,"",VLOOKUP(B31,country_opex,7,FALSE)/((T31*pax_cap*load_full*IF(ABS(MOD(ABS((L31*M31*revleg_full)),1)-0.5)&lt;1E-9,2*ROUND((L31*M31*revleg_full)/2,0),ROUND((L31*M31*revleg_full),0)))-(((battery/range_nm)*D31*IF(ABS(MOD(ABS((L31*M31*revleg_full)),1)-0.5)&lt;1E-9,2*ROUND((L31*M31*revleg_full)/2,0),ROUND((L31*M31*revleg_full),0))*VLOOKUP(B31,country_opex,3,FALSE))+W31+X31+Y31+Z31+AA31)))</f>
        <v/>
      </c>
      <c r="AY31" s="46" t="inlineStr">
        <is>
          <t>band_default</t>
        </is>
      </c>
      <c r="AZ31" s="46" t="inlineStr">
        <is>
          <t>greenfield_convention</t>
        </is>
      </c>
      <c r="BA31" s="34" t="inlineStr">
        <is>
          <t>rn-2c32d38bb153</t>
        </is>
      </c>
    </row>
    <row r="32">
      <c r="A32" s="31" t="inlineStr">
        <is>
          <t>Korea Swing</t>
        </is>
      </c>
      <c r="B32" s="31" t="inlineStr">
        <is>
          <t>South Korea</t>
        </is>
      </c>
      <c r="C32" s="32" t="inlineStr">
        <is>
          <t>Yeosu Passenger Ferry Terminal → Samcheonpo Ferry Terminal</t>
        </is>
      </c>
      <c r="D32" s="33" t="n">
        <v>19.1</v>
      </c>
      <c r="E32" s="27" t="n">
        <v>8</v>
      </c>
      <c r="F32" s="34" t="inlineStr">
        <is>
          <t>T3</t>
        </is>
      </c>
      <c r="G32" s="34" t="inlineStr">
        <is>
          <t>low</t>
        </is>
      </c>
      <c r="H32" s="20" t="n">
        <v>1</v>
      </c>
      <c r="I32" s="35">
        <f>60*D32/cruise_kt</f>
        <v/>
      </c>
      <c r="J32" s="35">
        <f>IF(B32="South Korea",D32/korea_charge_range_nm*korea_full_range_charge_min,0)</f>
        <v/>
      </c>
      <c r="K32" s="35">
        <f>IF(B32="South Korea",I32+korea_turn_min+korea_dwell_min+J32,I32+turn_min+dwell_min)</f>
        <v/>
      </c>
      <c r="L32" s="36">
        <f>IF(B32="South Korea",FLOOR(60*korea_service_hr/K32,1),MIN(15,FLOOR(60*service_hr/K32,1)))</f>
        <v/>
      </c>
      <c r="M32" s="36">
        <f>IF(ABS(MOD(ABS((365*mech_uptime*H32)),1)-0.5)&lt;1E-9,2*ROUND((365*mech_uptime*H32)/2,0),ROUND((365*mech_uptime*H32),0))</f>
        <v/>
      </c>
      <c r="N32" s="37">
        <f>mech_uptime</f>
        <v/>
      </c>
      <c r="O32" s="37">
        <f>IF(AND(B32="South Korea",scenario="MID"),korea_mid_revleg,revleg_sel)</f>
        <v/>
      </c>
      <c r="P32" s="36">
        <f>IF(ABS(MOD(ABS((L32*M32*O32)),1)-0.5)&lt;1E-9,2*ROUND((L32*M32*O32)/2,0),ROUND((L32*M32*O32),0))</f>
        <v/>
      </c>
      <c r="Q32" s="37">
        <f>IF(AND(B32="South Korea",scenario="MID"),korea_mid_load,load_sel)</f>
        <v/>
      </c>
      <c r="R32" s="38">
        <f>pax_cap*Q32</f>
        <v/>
      </c>
      <c r="S32" s="36">
        <f>R32*P32</f>
        <v/>
      </c>
      <c r="T32" s="39">
        <f>E32*discount</f>
        <v/>
      </c>
      <c r="U32" s="40">
        <f>T32*S32</f>
        <v/>
      </c>
      <c r="V32" s="40">
        <f>(battery/range_nm)*D32*P32*VLOOKUP(B32,country_opex,3,FALSE)</f>
        <v/>
      </c>
      <c r="W32" s="40">
        <f>VLOOKUP(B32,country_opex,2,FALSE)*crew_factor</f>
        <v/>
      </c>
      <c r="X32" s="40">
        <f>VLOOKUP(B32,country_opex,5,FALSE)</f>
        <v/>
      </c>
      <c r="Y32" s="40">
        <f>maint</f>
        <v/>
      </c>
      <c r="Z32" s="40">
        <f>VLOOKUP(B32,country_opex,7,FALSE)*ins_pct</f>
        <v/>
      </c>
      <c r="AA32" s="40">
        <f>charge_berth</f>
        <v/>
      </c>
      <c r="AB32" s="40">
        <f>V32+W32+X32+Y32+Z32+AA32</f>
        <v/>
      </c>
      <c r="AC32" s="40">
        <f>VLOOKUP(B32,country_opex,7,FALSE)/dep_years</f>
        <v/>
      </c>
      <c r="AD32" s="40">
        <f>U32-AB32</f>
        <v/>
      </c>
      <c r="AE32" s="37">
        <f>IF(U32=0,"",AD32/U32)</f>
        <v/>
      </c>
      <c r="AF32" s="38">
        <f>IF(AD32&lt;=0,"",VLOOKUP(B32,country_opex,7,FALSE)/AD32)</f>
        <v/>
      </c>
      <c r="AG32" s="35">
        <f>((D32*P32/diesel_nmpg)*diesel_co2pg-(battery/range_nm)*D32*P32*VLOOKUP(B32,country_opex,4,FALSE))/1000</f>
        <v/>
      </c>
      <c r="AH32" s="33" t="n">
        <v>134248</v>
      </c>
      <c r="AI32" s="34" t="inlineStr">
        <is>
          <t>T1</t>
        </is>
      </c>
      <c r="AJ32" s="34" t="inlineStr">
        <is>
          <t>high</t>
        </is>
      </c>
      <c r="AK32" s="41" t="n">
        <v>0.1</v>
      </c>
      <c r="AL32" s="36">
        <f>IF(AH32="","",AH32*AK32)</f>
        <v/>
      </c>
      <c r="AM32" s="36">
        <f>IF(OR(AH32="",S32=0),"",MIN(IF(AU32="",9.9E+99,AU32),FLOOR(AL32/S32,1)))</f>
        <v/>
      </c>
      <c r="AN32" s="40">
        <f>IF(AM32="","",AM32*IF(ABS(MOD(ABS((U32)),1)-0.5)&lt;1E-9,2*ROUND((U32)/2,0),ROUND((U32),0)))</f>
        <v/>
      </c>
      <c r="AO32" s="38">
        <f>IF(OR(AH32="",S32=0),"",MIN(IF(AU32="",9.9E+99,AU32),AL32/S32))</f>
        <v/>
      </c>
      <c r="AP32" s="40">
        <f>IF(AO32="","",AO32*IF(B32="South Korea",IF(ABS(MOD(ABS((U32)),1)-0.5)&lt;1E-9,2*ROUND((U32)/2,0),ROUND((U32),0)),U32))</f>
        <v/>
      </c>
      <c r="AQ32" s="42" t="n"/>
      <c r="AR32" s="34" t="inlineStr">
        <is>
          <t>Grounded</t>
        </is>
      </c>
      <c r="AS32" s="43" t="n"/>
      <c r="AT32" s="43" t="n"/>
      <c r="AU32" s="44" t="n"/>
      <c r="AV32" s="45">
        <f>IF(((T32*pax_cap*load_thin*IF(ABS(MOD(ABS((L32*M32*revleg_thin)),1)-0.5)&lt;1E-9,2*ROUND((L32*M32*revleg_thin)/2,0),ROUND((L32*M32*revleg_thin),0)))-(((battery/range_nm)*D32*IF(ABS(MOD(ABS((L32*M32*revleg_thin)),1)-0.5)&lt;1E-9,2*ROUND((L32*M32*revleg_thin)/2,0),ROUND((L32*M32*revleg_thin),0))*VLOOKUP(B32,country_opex,3,FALSE))+W32+X32+Y32+Z32+AA32))&lt;=0,"",VLOOKUP(B32,country_opex,7,FALSE)/((T32*pax_cap*load_thin*IF(ABS(MOD(ABS((L32*M32*revleg_thin)),1)-0.5)&lt;1E-9,2*ROUND((L32*M32*revleg_thin)/2,0),ROUND((L32*M32*revleg_thin),0)))-(((battery/range_nm)*D32*IF(ABS(MOD(ABS((L32*M32*revleg_thin)),1)-0.5)&lt;1E-9,2*ROUND((L32*M32*revleg_thin)/2,0),ROUND((L32*M32*revleg_thin),0))*VLOOKUP(B32,country_opex,3,FALSE))+W32+X32+Y32+Z32+AA32)))</f>
        <v/>
      </c>
      <c r="AW32" s="45">
        <f>IF(((T32*pax_cap*IF(B32="South Korea",korea_mid_load,load_mid)*IF(ABS(MOD(ABS((L32*M32*IF(B32="South Korea",korea_mid_revleg,revleg_mid))),1)-0.5)&lt;1E-9,2*ROUND((L32*M32*IF(B32="South Korea",korea_mid_revleg,revleg_mid))/2,0),ROUND((L32*M32*IF(B32="South Korea",korea_mid_revleg,revleg_mid)),0)))-(((battery/range_nm)*D32*IF(ABS(MOD(ABS((L32*M32*IF(B32="South Korea",korea_mid_revleg,revleg_mid))),1)-0.5)&lt;1E-9,2*ROUND((L32*M32*IF(B32="South Korea",korea_mid_revleg,revleg_mid))/2,0),ROUND((L32*M32*IF(B32="South Korea",korea_mid_revleg,revleg_mid)),0))*VLOOKUP(B32,country_opex,3,FALSE))+W32+X32+Y32+Z32+AA32))&lt;=0,"",VLOOKUP(B32,country_opex,7,FALSE)/((T32*pax_cap*IF(B32="South Korea",korea_mid_load,load_mid)*IF(ABS(MOD(ABS((L32*M32*IF(B32="South Korea",korea_mid_revleg,revleg_mid))),1)-0.5)&lt;1E-9,2*ROUND((L32*M32*IF(B32="South Korea",korea_mid_revleg,revleg_mid))/2,0),ROUND((L32*M32*IF(B32="South Korea",korea_mid_revleg,revleg_mid)),0)))-(((battery/range_nm)*D32*IF(ABS(MOD(ABS((L32*M32*IF(B32="South Korea",korea_mid_revleg,revleg_mid))),1)-0.5)&lt;1E-9,2*ROUND((L32*M32*IF(B32="South Korea",korea_mid_revleg,revleg_mid))/2,0),ROUND((L32*M32*IF(B32="South Korea",korea_mid_revleg,revleg_mid)),0))*VLOOKUP(B32,country_opex,3,FALSE))+W32+X32+Y32+Z32+AA32)))</f>
        <v/>
      </c>
      <c r="AX32" s="45">
        <f>IF(((T32*pax_cap*load_full*IF(ABS(MOD(ABS((L32*M32*revleg_full)),1)-0.5)&lt;1E-9,2*ROUND((L32*M32*revleg_full)/2,0),ROUND((L32*M32*revleg_full),0)))-(((battery/range_nm)*D32*IF(ABS(MOD(ABS((L32*M32*revleg_full)),1)-0.5)&lt;1E-9,2*ROUND((L32*M32*revleg_full)/2,0),ROUND((L32*M32*revleg_full),0))*VLOOKUP(B32,country_opex,3,FALSE))+W32+X32+Y32+Z32+AA32))&lt;=0,"",VLOOKUP(B32,country_opex,7,FALSE)/((T32*pax_cap*load_full*IF(ABS(MOD(ABS((L32*M32*revleg_full)),1)-0.5)&lt;1E-9,2*ROUND((L32*M32*revleg_full)/2,0),ROUND((L32*M32*revleg_full),0)))-(((battery/range_nm)*D32*IF(ABS(MOD(ABS((L32*M32*revleg_full)),1)-0.5)&lt;1E-9,2*ROUND((L32*M32*revleg_full)/2,0),ROUND((L32*M32*revleg_full),0))*VLOOKUP(B32,country_opex,3,FALSE))+W32+X32+Y32+Z32+AA32)))</f>
        <v/>
      </c>
      <c r="AY32" s="46" t="inlineStr">
        <is>
          <t>band_default</t>
        </is>
      </c>
      <c r="AZ32" s="46" t="inlineStr">
        <is>
          <t>KOMSA Tongyeong district coastal 2025</t>
        </is>
      </c>
      <c r="BA32" s="34" t="inlineStr">
        <is>
          <t>rn-972f52f72589</t>
        </is>
      </c>
    </row>
    <row r="33">
      <c r="A33" s="31" t="inlineStr">
        <is>
          <t>Korea Swing</t>
        </is>
      </c>
      <c r="B33" s="31" t="inlineStr">
        <is>
          <t>South Korea</t>
        </is>
      </c>
      <c r="C33" s="32" t="inlineStr">
        <is>
          <t>Jongdal Port (Udo Ferry) → Jeju Ferry Passenger Terminal</t>
        </is>
      </c>
      <c r="D33" s="33" t="n">
        <v>22.1</v>
      </c>
      <c r="E33" s="27" t="n">
        <v>8</v>
      </c>
      <c r="F33" s="34" t="inlineStr">
        <is>
          <t>T3</t>
        </is>
      </c>
      <c r="G33" s="34" t="inlineStr">
        <is>
          <t>low</t>
        </is>
      </c>
      <c r="H33" s="20" t="n">
        <v>1</v>
      </c>
      <c r="I33" s="35">
        <f>60*D33/cruise_kt</f>
        <v/>
      </c>
      <c r="J33" s="35">
        <f>IF(B33="South Korea",D33/korea_charge_range_nm*korea_full_range_charge_min,0)</f>
        <v/>
      </c>
      <c r="K33" s="35">
        <f>IF(B33="South Korea",I33+korea_turn_min+korea_dwell_min+J33,I33+turn_min+dwell_min)</f>
        <v/>
      </c>
      <c r="L33" s="36">
        <f>IF(B33="South Korea",FLOOR(60*korea_service_hr/K33,1),MIN(15,FLOOR(60*service_hr/K33,1)))</f>
        <v/>
      </c>
      <c r="M33" s="36">
        <f>IF(ABS(MOD(ABS((365*mech_uptime*H33)),1)-0.5)&lt;1E-9,2*ROUND((365*mech_uptime*H33)/2,0),ROUND((365*mech_uptime*H33),0))</f>
        <v/>
      </c>
      <c r="N33" s="37">
        <f>mech_uptime</f>
        <v/>
      </c>
      <c r="O33" s="37">
        <f>IF(AND(B33="South Korea",scenario="MID"),korea_mid_revleg,revleg_sel)</f>
        <v/>
      </c>
      <c r="P33" s="36">
        <f>IF(ABS(MOD(ABS((L33*M33*O33)),1)-0.5)&lt;1E-9,2*ROUND((L33*M33*O33)/2,0),ROUND((L33*M33*O33),0))</f>
        <v/>
      </c>
      <c r="Q33" s="37">
        <f>IF(AND(B33="South Korea",scenario="MID"),korea_mid_load,load_sel)</f>
        <v/>
      </c>
      <c r="R33" s="38">
        <f>pax_cap*Q33</f>
        <v/>
      </c>
      <c r="S33" s="36">
        <f>R33*P33</f>
        <v/>
      </c>
      <c r="T33" s="39">
        <f>E33*discount</f>
        <v/>
      </c>
      <c r="U33" s="40">
        <f>T33*S33</f>
        <v/>
      </c>
      <c r="V33" s="40">
        <f>(battery/range_nm)*D33*P33*VLOOKUP(B33,country_opex,3,FALSE)</f>
        <v/>
      </c>
      <c r="W33" s="40">
        <f>VLOOKUP(B33,country_opex,2,FALSE)*crew_factor</f>
        <v/>
      </c>
      <c r="X33" s="40">
        <f>VLOOKUP(B33,country_opex,5,FALSE)</f>
        <v/>
      </c>
      <c r="Y33" s="40">
        <f>maint</f>
        <v/>
      </c>
      <c r="Z33" s="40">
        <f>VLOOKUP(B33,country_opex,7,FALSE)*ins_pct</f>
        <v/>
      </c>
      <c r="AA33" s="40">
        <f>charge_berth</f>
        <v/>
      </c>
      <c r="AB33" s="40">
        <f>V33+W33+X33+Y33+Z33+AA33</f>
        <v/>
      </c>
      <c r="AC33" s="40">
        <f>VLOOKUP(B33,country_opex,7,FALSE)/dep_years</f>
        <v/>
      </c>
      <c r="AD33" s="40">
        <f>U33-AB33</f>
        <v/>
      </c>
      <c r="AE33" s="37">
        <f>IF(U33=0,"",AD33/U33)</f>
        <v/>
      </c>
      <c r="AF33" s="38">
        <f>IF(AD33&lt;=0,"",VLOOKUP(B33,country_opex,7,FALSE)/AD33)</f>
        <v/>
      </c>
      <c r="AG33" s="35">
        <f>((D33*P33/diesel_nmpg)*diesel_co2pg-(battery/range_nm)*D33*P33*VLOOKUP(B33,country_opex,4,FALSE))/1000</f>
        <v/>
      </c>
      <c r="AH33" s="33" t="n">
        <v>29535</v>
      </c>
      <c r="AI33" s="34" t="inlineStr">
        <is>
          <t>T3</t>
        </is>
      </c>
      <c r="AJ33" s="34" t="inlineStr">
        <is>
          <t>low</t>
        </is>
      </c>
      <c r="AK33" s="41" t="n">
        <v>0.1</v>
      </c>
      <c r="AL33" s="36">
        <f>IF(AH33="","",AH33*AK33)</f>
        <v/>
      </c>
      <c r="AM33" s="36">
        <f>IF(OR(AH33="",S33=0),"",MIN(IF(AU33="",9.9E+99,AU33),FLOOR(AL33/S33,1)))</f>
        <v/>
      </c>
      <c r="AN33" s="40">
        <f>IF(AM33="","",AM33*IF(ABS(MOD(ABS((U33)),1)-0.5)&lt;1E-9,2*ROUND((U33)/2,0),ROUND((U33),0)))</f>
        <v/>
      </c>
      <c r="AO33" s="38">
        <f>IF(OR(AH33="",S33=0),"",MIN(IF(AU33="",9.9E+99,AU33),AL33/S33))</f>
        <v/>
      </c>
      <c r="AP33" s="40">
        <f>IF(AO33="","",AO33*IF(B33="South Korea",IF(ABS(MOD(ABS((U33)),1)-0.5)&lt;1E-9,2*ROUND((U33)/2,0),ROUND((U33),0)),U33))</f>
        <v/>
      </c>
      <c r="AQ33" s="42" t="n"/>
      <c r="AR33" s="34" t="inlineStr">
        <is>
          <t>Grounded</t>
        </is>
      </c>
      <c r="AS33" s="43" t="n"/>
      <c r="AT33" s="43" t="n"/>
      <c r="AU33" s="44" t="n"/>
      <c r="AV33" s="45">
        <f>IF(((T33*pax_cap*load_thin*IF(ABS(MOD(ABS((L33*M33*revleg_thin)),1)-0.5)&lt;1E-9,2*ROUND((L33*M33*revleg_thin)/2,0),ROUND((L33*M33*revleg_thin),0)))-(((battery/range_nm)*D33*IF(ABS(MOD(ABS((L33*M33*revleg_thin)),1)-0.5)&lt;1E-9,2*ROUND((L33*M33*revleg_thin)/2,0),ROUND((L33*M33*revleg_thin),0))*VLOOKUP(B33,country_opex,3,FALSE))+W33+X33+Y33+Z33+AA33))&lt;=0,"",VLOOKUP(B33,country_opex,7,FALSE)/((T33*pax_cap*load_thin*IF(ABS(MOD(ABS((L33*M33*revleg_thin)),1)-0.5)&lt;1E-9,2*ROUND((L33*M33*revleg_thin)/2,0),ROUND((L33*M33*revleg_thin),0)))-(((battery/range_nm)*D33*IF(ABS(MOD(ABS((L33*M33*revleg_thin)),1)-0.5)&lt;1E-9,2*ROUND((L33*M33*revleg_thin)/2,0),ROUND((L33*M33*revleg_thin),0))*VLOOKUP(B33,country_opex,3,FALSE))+W33+X33+Y33+Z33+AA33)))</f>
        <v/>
      </c>
      <c r="AW33" s="45">
        <f>IF(((T33*pax_cap*IF(B33="South Korea",korea_mid_load,load_mid)*IF(ABS(MOD(ABS((L33*M33*IF(B33="South Korea",korea_mid_revleg,revleg_mid))),1)-0.5)&lt;1E-9,2*ROUND((L33*M33*IF(B33="South Korea",korea_mid_revleg,revleg_mid))/2,0),ROUND((L33*M33*IF(B33="South Korea",korea_mid_revleg,revleg_mid)),0)))-(((battery/range_nm)*D33*IF(ABS(MOD(ABS((L33*M33*IF(B33="South Korea",korea_mid_revleg,revleg_mid))),1)-0.5)&lt;1E-9,2*ROUND((L33*M33*IF(B33="South Korea",korea_mid_revleg,revleg_mid))/2,0),ROUND((L33*M33*IF(B33="South Korea",korea_mid_revleg,revleg_mid)),0))*VLOOKUP(B33,country_opex,3,FALSE))+W33+X33+Y33+Z33+AA33))&lt;=0,"",VLOOKUP(B33,country_opex,7,FALSE)/((T33*pax_cap*IF(B33="South Korea",korea_mid_load,load_mid)*IF(ABS(MOD(ABS((L33*M33*IF(B33="South Korea",korea_mid_revleg,revleg_mid))),1)-0.5)&lt;1E-9,2*ROUND((L33*M33*IF(B33="South Korea",korea_mid_revleg,revleg_mid))/2,0),ROUND((L33*M33*IF(B33="South Korea",korea_mid_revleg,revleg_mid)),0)))-(((battery/range_nm)*D33*IF(ABS(MOD(ABS((L33*M33*IF(B33="South Korea",korea_mid_revleg,revleg_mid))),1)-0.5)&lt;1E-9,2*ROUND((L33*M33*IF(B33="South Korea",korea_mid_revleg,revleg_mid))/2,0),ROUND((L33*M33*IF(B33="South Korea",korea_mid_revleg,revleg_mid)),0))*VLOOKUP(B33,country_opex,3,FALSE))+W33+X33+Y33+Z33+AA33)))</f>
        <v/>
      </c>
      <c r="AX33" s="45">
        <f>IF(((T33*pax_cap*load_full*IF(ABS(MOD(ABS((L33*M33*revleg_full)),1)-0.5)&lt;1E-9,2*ROUND((L33*M33*revleg_full)/2,0),ROUND((L33*M33*revleg_full),0)))-(((battery/range_nm)*D33*IF(ABS(MOD(ABS((L33*M33*revleg_full)),1)-0.5)&lt;1E-9,2*ROUND((L33*M33*revleg_full)/2,0),ROUND((L33*M33*revleg_full),0))*VLOOKUP(B33,country_opex,3,FALSE))+W33+X33+Y33+Z33+AA33))&lt;=0,"",VLOOKUP(B33,country_opex,7,FALSE)/((T33*pax_cap*load_full*IF(ABS(MOD(ABS((L33*M33*revleg_full)),1)-0.5)&lt;1E-9,2*ROUND((L33*M33*revleg_full)/2,0),ROUND((L33*M33*revleg_full),0)))-(((battery/range_nm)*D33*IF(ABS(MOD(ABS((L33*M33*revleg_full)),1)-0.5)&lt;1E-9,2*ROUND((L33*M33*revleg_full)/2,0),ROUND((L33*M33*revleg_full),0))*VLOOKUP(B33,country_opex,3,FALSE))+W33+X33+Y33+Z33+AA33)))</f>
        <v/>
      </c>
      <c r="AY33" s="46" t="inlineStr">
        <is>
          <t>band_default</t>
        </is>
      </c>
      <c r="AZ33" s="46" t="inlineStr">
        <is>
          <t>greenfield_convention</t>
        </is>
      </c>
      <c r="BA33" s="34" t="inlineStr">
        <is>
          <t>rn-50bd5ea42fec</t>
        </is>
      </c>
    </row>
    <row r="34">
      <c r="A34" s="31" t="inlineStr">
        <is>
          <t>Korea Swing</t>
        </is>
      </c>
      <c r="B34" s="31" t="inlineStr">
        <is>
          <t>South Korea</t>
        </is>
      </c>
      <c r="C34" s="32" t="inlineStr">
        <is>
          <t>Jeju Ferry Passenger Terminal → Seongsan Port (Udo ferry gateway + Seongsan Ilchulbong tender)</t>
        </is>
      </c>
      <c r="D34" s="33" t="n">
        <v>22.3</v>
      </c>
      <c r="E34" s="27" t="n">
        <v>8</v>
      </c>
      <c r="F34" s="34" t="inlineStr">
        <is>
          <t>T3</t>
        </is>
      </c>
      <c r="G34" s="34" t="inlineStr">
        <is>
          <t>low</t>
        </is>
      </c>
      <c r="H34" s="20" t="n">
        <v>1</v>
      </c>
      <c r="I34" s="35">
        <f>60*D34/cruise_kt</f>
        <v/>
      </c>
      <c r="J34" s="35">
        <f>IF(B34="South Korea",D34/korea_charge_range_nm*korea_full_range_charge_min,0)</f>
        <v/>
      </c>
      <c r="K34" s="35">
        <f>IF(B34="South Korea",I34+korea_turn_min+korea_dwell_min+J34,I34+turn_min+dwell_min)</f>
        <v/>
      </c>
      <c r="L34" s="36">
        <f>IF(B34="South Korea",FLOOR(60*korea_service_hr/K34,1),MIN(15,FLOOR(60*service_hr/K34,1)))</f>
        <v/>
      </c>
      <c r="M34" s="36">
        <f>IF(ABS(MOD(ABS((365*mech_uptime*H34)),1)-0.5)&lt;1E-9,2*ROUND((365*mech_uptime*H34)/2,0),ROUND((365*mech_uptime*H34),0))</f>
        <v/>
      </c>
      <c r="N34" s="37">
        <f>mech_uptime</f>
        <v/>
      </c>
      <c r="O34" s="37">
        <f>IF(AND(B34="South Korea",scenario="MID"),korea_mid_revleg,revleg_sel)</f>
        <v/>
      </c>
      <c r="P34" s="36">
        <f>IF(ABS(MOD(ABS((L34*M34*O34)),1)-0.5)&lt;1E-9,2*ROUND((L34*M34*O34)/2,0),ROUND((L34*M34*O34),0))</f>
        <v/>
      </c>
      <c r="Q34" s="37">
        <f>IF(AND(B34="South Korea",scenario="MID"),korea_mid_load,load_sel)</f>
        <v/>
      </c>
      <c r="R34" s="38">
        <f>pax_cap*Q34</f>
        <v/>
      </c>
      <c r="S34" s="36">
        <f>R34*P34</f>
        <v/>
      </c>
      <c r="T34" s="39">
        <f>E34*discount</f>
        <v/>
      </c>
      <c r="U34" s="40">
        <f>T34*S34</f>
        <v/>
      </c>
      <c r="V34" s="40">
        <f>(battery/range_nm)*D34*P34*VLOOKUP(B34,country_opex,3,FALSE)</f>
        <v/>
      </c>
      <c r="W34" s="40">
        <f>VLOOKUP(B34,country_opex,2,FALSE)*crew_factor</f>
        <v/>
      </c>
      <c r="X34" s="40">
        <f>VLOOKUP(B34,country_opex,5,FALSE)</f>
        <v/>
      </c>
      <c r="Y34" s="40">
        <f>maint</f>
        <v/>
      </c>
      <c r="Z34" s="40">
        <f>VLOOKUP(B34,country_opex,7,FALSE)*ins_pct</f>
        <v/>
      </c>
      <c r="AA34" s="40">
        <f>charge_berth</f>
        <v/>
      </c>
      <c r="AB34" s="40">
        <f>V34+W34+X34+Y34+Z34+AA34</f>
        <v/>
      </c>
      <c r="AC34" s="40">
        <f>VLOOKUP(B34,country_opex,7,FALSE)/dep_years</f>
        <v/>
      </c>
      <c r="AD34" s="40">
        <f>U34-AB34</f>
        <v/>
      </c>
      <c r="AE34" s="37">
        <f>IF(U34=0,"",AD34/U34)</f>
        <v/>
      </c>
      <c r="AF34" s="38">
        <f>IF(AD34&lt;=0,"",VLOOKUP(B34,country_opex,7,FALSE)/AD34)</f>
        <v/>
      </c>
      <c r="AG34" s="35">
        <f>((D34*P34/diesel_nmpg)*diesel_co2pg-(battery/range_nm)*D34*P34*VLOOKUP(B34,country_opex,4,FALSE))/1000</f>
        <v/>
      </c>
      <c r="AH34" s="33" t="n">
        <v>29535</v>
      </c>
      <c r="AI34" s="34" t="inlineStr">
        <is>
          <t>T3</t>
        </is>
      </c>
      <c r="AJ34" s="34" t="inlineStr">
        <is>
          <t>low</t>
        </is>
      </c>
      <c r="AK34" s="41" t="n">
        <v>0.1</v>
      </c>
      <c r="AL34" s="36">
        <f>IF(AH34="","",AH34*AK34)</f>
        <v/>
      </c>
      <c r="AM34" s="36">
        <f>IF(OR(AH34="",S34=0),"",MIN(IF(AU34="",9.9E+99,AU34),FLOOR(AL34/S34,1)))</f>
        <v/>
      </c>
      <c r="AN34" s="40">
        <f>IF(AM34="","",AM34*IF(ABS(MOD(ABS((U34)),1)-0.5)&lt;1E-9,2*ROUND((U34)/2,0),ROUND((U34),0)))</f>
        <v/>
      </c>
      <c r="AO34" s="38">
        <f>IF(OR(AH34="",S34=0),"",MIN(IF(AU34="",9.9E+99,AU34),AL34/S34))</f>
        <v/>
      </c>
      <c r="AP34" s="40">
        <f>IF(AO34="","",AO34*IF(B34="South Korea",IF(ABS(MOD(ABS((U34)),1)-0.5)&lt;1E-9,2*ROUND((U34)/2,0),ROUND((U34),0)),U34))</f>
        <v/>
      </c>
      <c r="AQ34" s="42" t="n"/>
      <c r="AR34" s="34" t="inlineStr">
        <is>
          <t>Grounded</t>
        </is>
      </c>
      <c r="AS34" s="43" t="n"/>
      <c r="AT34" s="43" t="n"/>
      <c r="AU34" s="44" t="n"/>
      <c r="AV34" s="45">
        <f>IF(((T34*pax_cap*load_thin*IF(ABS(MOD(ABS((L34*M34*revleg_thin)),1)-0.5)&lt;1E-9,2*ROUND((L34*M34*revleg_thin)/2,0),ROUND((L34*M34*revleg_thin),0)))-(((battery/range_nm)*D34*IF(ABS(MOD(ABS((L34*M34*revleg_thin)),1)-0.5)&lt;1E-9,2*ROUND((L34*M34*revleg_thin)/2,0),ROUND((L34*M34*revleg_thin),0))*VLOOKUP(B34,country_opex,3,FALSE))+W34+X34+Y34+Z34+AA34))&lt;=0,"",VLOOKUP(B34,country_opex,7,FALSE)/((T34*pax_cap*load_thin*IF(ABS(MOD(ABS((L34*M34*revleg_thin)),1)-0.5)&lt;1E-9,2*ROUND((L34*M34*revleg_thin)/2,0),ROUND((L34*M34*revleg_thin),0)))-(((battery/range_nm)*D34*IF(ABS(MOD(ABS((L34*M34*revleg_thin)),1)-0.5)&lt;1E-9,2*ROUND((L34*M34*revleg_thin)/2,0),ROUND((L34*M34*revleg_thin),0))*VLOOKUP(B34,country_opex,3,FALSE))+W34+X34+Y34+Z34+AA34)))</f>
        <v/>
      </c>
      <c r="AW34" s="45">
        <f>IF(((T34*pax_cap*IF(B34="South Korea",korea_mid_load,load_mid)*IF(ABS(MOD(ABS((L34*M34*IF(B34="South Korea",korea_mid_revleg,revleg_mid))),1)-0.5)&lt;1E-9,2*ROUND((L34*M34*IF(B34="South Korea",korea_mid_revleg,revleg_mid))/2,0),ROUND((L34*M34*IF(B34="South Korea",korea_mid_revleg,revleg_mid)),0)))-(((battery/range_nm)*D34*IF(ABS(MOD(ABS((L34*M34*IF(B34="South Korea",korea_mid_revleg,revleg_mid))),1)-0.5)&lt;1E-9,2*ROUND((L34*M34*IF(B34="South Korea",korea_mid_revleg,revleg_mid))/2,0),ROUND((L34*M34*IF(B34="South Korea",korea_mid_revleg,revleg_mid)),0))*VLOOKUP(B34,country_opex,3,FALSE))+W34+X34+Y34+Z34+AA34))&lt;=0,"",VLOOKUP(B34,country_opex,7,FALSE)/((T34*pax_cap*IF(B34="South Korea",korea_mid_load,load_mid)*IF(ABS(MOD(ABS((L34*M34*IF(B34="South Korea",korea_mid_revleg,revleg_mid))),1)-0.5)&lt;1E-9,2*ROUND((L34*M34*IF(B34="South Korea",korea_mid_revleg,revleg_mid))/2,0),ROUND((L34*M34*IF(B34="South Korea",korea_mid_revleg,revleg_mid)),0)))-(((battery/range_nm)*D34*IF(ABS(MOD(ABS((L34*M34*IF(B34="South Korea",korea_mid_revleg,revleg_mid))),1)-0.5)&lt;1E-9,2*ROUND((L34*M34*IF(B34="South Korea",korea_mid_revleg,revleg_mid))/2,0),ROUND((L34*M34*IF(B34="South Korea",korea_mid_revleg,revleg_mid)),0))*VLOOKUP(B34,country_opex,3,FALSE))+W34+X34+Y34+Z34+AA34)))</f>
        <v/>
      </c>
      <c r="AX34" s="45">
        <f>IF(((T34*pax_cap*load_full*IF(ABS(MOD(ABS((L34*M34*revleg_full)),1)-0.5)&lt;1E-9,2*ROUND((L34*M34*revleg_full)/2,0),ROUND((L34*M34*revleg_full),0)))-(((battery/range_nm)*D34*IF(ABS(MOD(ABS((L34*M34*revleg_full)),1)-0.5)&lt;1E-9,2*ROUND((L34*M34*revleg_full)/2,0),ROUND((L34*M34*revleg_full),0))*VLOOKUP(B34,country_opex,3,FALSE))+W34+X34+Y34+Z34+AA34))&lt;=0,"",VLOOKUP(B34,country_opex,7,FALSE)/((T34*pax_cap*load_full*IF(ABS(MOD(ABS((L34*M34*revleg_full)),1)-0.5)&lt;1E-9,2*ROUND((L34*M34*revleg_full)/2,0),ROUND((L34*M34*revleg_full),0)))-(((battery/range_nm)*D34*IF(ABS(MOD(ABS((L34*M34*revleg_full)),1)-0.5)&lt;1E-9,2*ROUND((L34*M34*revleg_full)/2,0),ROUND((L34*M34*revleg_full),0))*VLOOKUP(B34,country_opex,3,FALSE))+W34+X34+Y34+Z34+AA34)))</f>
        <v/>
      </c>
      <c r="AY34" s="46" t="inlineStr">
        <is>
          <t>band_default</t>
        </is>
      </c>
      <c r="AZ34" s="46" t="inlineStr">
        <is>
          <t>greenfield_convention</t>
        </is>
      </c>
      <c r="BA34" s="34" t="inlineStr">
        <is>
          <t>rn-7288c917e055</t>
        </is>
      </c>
    </row>
    <row r="35">
      <c r="A35" s="31" t="inlineStr">
        <is>
          <t>Korea Swing</t>
        </is>
      </c>
      <c r="B35" s="31" t="inlineStr">
        <is>
          <t>South Korea</t>
        </is>
      </c>
      <c r="C35" s="32" t="inlineStr">
        <is>
          <t>Geumodo Yeocheon Ferry Terminal → Yokjido Ferry Terminal</t>
        </is>
      </c>
      <c r="D35" s="33" t="n">
        <v>25.9</v>
      </c>
      <c r="E35" s="27" t="n">
        <v>8</v>
      </c>
      <c r="F35" s="34" t="inlineStr">
        <is>
          <t>T3</t>
        </is>
      </c>
      <c r="G35" s="34" t="inlineStr">
        <is>
          <t>low</t>
        </is>
      </c>
      <c r="H35" s="20" t="n">
        <v>1</v>
      </c>
      <c r="I35" s="35">
        <f>60*D35/cruise_kt</f>
        <v/>
      </c>
      <c r="J35" s="35">
        <f>IF(B35="South Korea",D35/korea_charge_range_nm*korea_full_range_charge_min,0)</f>
        <v/>
      </c>
      <c r="K35" s="35">
        <f>IF(B35="South Korea",I35+korea_turn_min+korea_dwell_min+J35,I35+turn_min+dwell_min)</f>
        <v/>
      </c>
      <c r="L35" s="36">
        <f>IF(B35="South Korea",FLOOR(60*korea_service_hr/K35,1),MIN(15,FLOOR(60*service_hr/K35,1)))</f>
        <v/>
      </c>
      <c r="M35" s="36">
        <f>IF(ABS(MOD(ABS((365*mech_uptime*H35)),1)-0.5)&lt;1E-9,2*ROUND((365*mech_uptime*H35)/2,0),ROUND((365*mech_uptime*H35),0))</f>
        <v/>
      </c>
      <c r="N35" s="37">
        <f>mech_uptime</f>
        <v/>
      </c>
      <c r="O35" s="37">
        <f>IF(AND(B35="South Korea",scenario="MID"),korea_mid_revleg,revleg_sel)</f>
        <v/>
      </c>
      <c r="P35" s="36">
        <f>IF(ABS(MOD(ABS((L35*M35*O35)),1)-0.5)&lt;1E-9,2*ROUND((L35*M35*O35)/2,0),ROUND((L35*M35*O35),0))</f>
        <v/>
      </c>
      <c r="Q35" s="37">
        <f>IF(AND(B35="South Korea",scenario="MID"),korea_mid_load,load_sel)</f>
        <v/>
      </c>
      <c r="R35" s="38">
        <f>pax_cap*Q35</f>
        <v/>
      </c>
      <c r="S35" s="36">
        <f>R35*P35</f>
        <v/>
      </c>
      <c r="T35" s="39">
        <f>E35*discount</f>
        <v/>
      </c>
      <c r="U35" s="40">
        <f>T35*S35</f>
        <v/>
      </c>
      <c r="V35" s="40">
        <f>(battery/range_nm)*D35*P35*VLOOKUP(B35,country_opex,3,FALSE)</f>
        <v/>
      </c>
      <c r="W35" s="40">
        <f>VLOOKUP(B35,country_opex,2,FALSE)*crew_factor</f>
        <v/>
      </c>
      <c r="X35" s="40">
        <f>VLOOKUP(B35,country_opex,5,FALSE)</f>
        <v/>
      </c>
      <c r="Y35" s="40">
        <f>maint</f>
        <v/>
      </c>
      <c r="Z35" s="40">
        <f>VLOOKUP(B35,country_opex,7,FALSE)*ins_pct</f>
        <v/>
      </c>
      <c r="AA35" s="40">
        <f>charge_berth</f>
        <v/>
      </c>
      <c r="AB35" s="40">
        <f>V35+W35+X35+Y35+Z35+AA35</f>
        <v/>
      </c>
      <c r="AC35" s="40">
        <f>VLOOKUP(B35,country_opex,7,FALSE)/dep_years</f>
        <v/>
      </c>
      <c r="AD35" s="40">
        <f>U35-AB35</f>
        <v/>
      </c>
      <c r="AE35" s="37">
        <f>IF(U35=0,"",AD35/U35)</f>
        <v/>
      </c>
      <c r="AF35" s="38">
        <f>IF(AD35&lt;=0,"",VLOOKUP(B35,country_opex,7,FALSE)/AD35)</f>
        <v/>
      </c>
      <c r="AG35" s="35">
        <f>((D35*P35/diesel_nmpg)*diesel_co2pg-(battery/range_nm)*D35*P35*VLOOKUP(B35,country_opex,4,FALSE))/1000</f>
        <v/>
      </c>
      <c r="AH35" s="33" t="n">
        <v>134248</v>
      </c>
      <c r="AI35" s="34" t="inlineStr">
        <is>
          <t>T1</t>
        </is>
      </c>
      <c r="AJ35" s="34" t="inlineStr">
        <is>
          <t>high</t>
        </is>
      </c>
      <c r="AK35" s="41" t="n">
        <v>0.1</v>
      </c>
      <c r="AL35" s="36">
        <f>IF(AH35="","",AH35*AK35)</f>
        <v/>
      </c>
      <c r="AM35" s="36">
        <f>IF(OR(AH35="",S35=0),"",MIN(IF(AU35="",9.9E+99,AU35),FLOOR(AL35/S35,1)))</f>
        <v/>
      </c>
      <c r="AN35" s="40">
        <f>IF(AM35="","",AM35*IF(ABS(MOD(ABS((U35)),1)-0.5)&lt;1E-9,2*ROUND((U35)/2,0),ROUND((U35),0)))</f>
        <v/>
      </c>
      <c r="AO35" s="38">
        <f>IF(OR(AH35="",S35=0),"",MIN(IF(AU35="",9.9E+99,AU35),AL35/S35))</f>
        <v/>
      </c>
      <c r="AP35" s="40">
        <f>IF(AO35="","",AO35*IF(B35="South Korea",IF(ABS(MOD(ABS((U35)),1)-0.5)&lt;1E-9,2*ROUND((U35)/2,0),ROUND((U35),0)),U35))</f>
        <v/>
      </c>
      <c r="AQ35" s="42" t="n"/>
      <c r="AR35" s="34" t="inlineStr">
        <is>
          <t>Grounded</t>
        </is>
      </c>
      <c r="AS35" s="43" t="n"/>
      <c r="AT35" s="43" t="n"/>
      <c r="AU35" s="44" t="n"/>
      <c r="AV35" s="45">
        <f>IF(((T35*pax_cap*load_thin*IF(ABS(MOD(ABS((L35*M35*revleg_thin)),1)-0.5)&lt;1E-9,2*ROUND((L35*M35*revleg_thin)/2,0),ROUND((L35*M35*revleg_thin),0)))-(((battery/range_nm)*D35*IF(ABS(MOD(ABS((L35*M35*revleg_thin)),1)-0.5)&lt;1E-9,2*ROUND((L35*M35*revleg_thin)/2,0),ROUND((L35*M35*revleg_thin),0))*VLOOKUP(B35,country_opex,3,FALSE))+W35+X35+Y35+Z35+AA35))&lt;=0,"",VLOOKUP(B35,country_opex,7,FALSE)/((T35*pax_cap*load_thin*IF(ABS(MOD(ABS((L35*M35*revleg_thin)),1)-0.5)&lt;1E-9,2*ROUND((L35*M35*revleg_thin)/2,0),ROUND((L35*M35*revleg_thin),0)))-(((battery/range_nm)*D35*IF(ABS(MOD(ABS((L35*M35*revleg_thin)),1)-0.5)&lt;1E-9,2*ROUND((L35*M35*revleg_thin)/2,0),ROUND((L35*M35*revleg_thin),0))*VLOOKUP(B35,country_opex,3,FALSE))+W35+X35+Y35+Z35+AA35)))</f>
        <v/>
      </c>
      <c r="AW35" s="45">
        <f>IF(((T35*pax_cap*IF(B35="South Korea",korea_mid_load,load_mid)*IF(ABS(MOD(ABS((L35*M35*IF(B35="South Korea",korea_mid_revleg,revleg_mid))),1)-0.5)&lt;1E-9,2*ROUND((L35*M35*IF(B35="South Korea",korea_mid_revleg,revleg_mid))/2,0),ROUND((L35*M35*IF(B35="South Korea",korea_mid_revleg,revleg_mid)),0)))-(((battery/range_nm)*D35*IF(ABS(MOD(ABS((L35*M35*IF(B35="South Korea",korea_mid_revleg,revleg_mid))),1)-0.5)&lt;1E-9,2*ROUND((L35*M35*IF(B35="South Korea",korea_mid_revleg,revleg_mid))/2,0),ROUND((L35*M35*IF(B35="South Korea",korea_mid_revleg,revleg_mid)),0))*VLOOKUP(B35,country_opex,3,FALSE))+W35+X35+Y35+Z35+AA35))&lt;=0,"",VLOOKUP(B35,country_opex,7,FALSE)/((T35*pax_cap*IF(B35="South Korea",korea_mid_load,load_mid)*IF(ABS(MOD(ABS((L35*M35*IF(B35="South Korea",korea_mid_revleg,revleg_mid))),1)-0.5)&lt;1E-9,2*ROUND((L35*M35*IF(B35="South Korea",korea_mid_revleg,revleg_mid))/2,0),ROUND((L35*M35*IF(B35="South Korea",korea_mid_revleg,revleg_mid)),0)))-(((battery/range_nm)*D35*IF(ABS(MOD(ABS((L35*M35*IF(B35="South Korea",korea_mid_revleg,revleg_mid))),1)-0.5)&lt;1E-9,2*ROUND((L35*M35*IF(B35="South Korea",korea_mid_revleg,revleg_mid))/2,0),ROUND((L35*M35*IF(B35="South Korea",korea_mid_revleg,revleg_mid)),0))*VLOOKUP(B35,country_opex,3,FALSE))+W35+X35+Y35+Z35+AA35)))</f>
        <v/>
      </c>
      <c r="AX35" s="45">
        <f>IF(((T35*pax_cap*load_full*IF(ABS(MOD(ABS((L35*M35*revleg_full)),1)-0.5)&lt;1E-9,2*ROUND((L35*M35*revleg_full)/2,0),ROUND((L35*M35*revleg_full),0)))-(((battery/range_nm)*D35*IF(ABS(MOD(ABS((L35*M35*revleg_full)),1)-0.5)&lt;1E-9,2*ROUND((L35*M35*revleg_full)/2,0),ROUND((L35*M35*revleg_full),0))*VLOOKUP(B35,country_opex,3,FALSE))+W35+X35+Y35+Z35+AA35))&lt;=0,"",VLOOKUP(B35,country_opex,7,FALSE)/((T35*pax_cap*load_full*IF(ABS(MOD(ABS((L35*M35*revleg_full)),1)-0.5)&lt;1E-9,2*ROUND((L35*M35*revleg_full)/2,0),ROUND((L35*M35*revleg_full),0)))-(((battery/range_nm)*D35*IF(ABS(MOD(ABS((L35*M35*revleg_full)),1)-0.5)&lt;1E-9,2*ROUND((L35*M35*revleg_full)/2,0),ROUND((L35*M35*revleg_full),0))*VLOOKUP(B35,country_opex,3,FALSE))+W35+X35+Y35+Z35+AA35)))</f>
        <v/>
      </c>
      <c r="AY35" s="46" t="inlineStr">
        <is>
          <t>band_default</t>
        </is>
      </c>
      <c r="AZ35" s="46" t="inlineStr">
        <is>
          <t>KOMSA Tongyeong district coastal 2025</t>
        </is>
      </c>
      <c r="BA35" s="34" t="inlineStr">
        <is>
          <t>rn-4f591a53d3b3</t>
        </is>
      </c>
    </row>
    <row r="36">
      <c r="A36" s="31" t="inlineStr">
        <is>
          <t>Korea Swing</t>
        </is>
      </c>
      <c r="B36" s="31" t="inlineStr">
        <is>
          <t>South Korea</t>
        </is>
      </c>
      <c r="C36" s="32" t="inlineStr">
        <is>
          <t>Yeosu Passenger Ferry Terminal → Yokjido Ferry Terminal</t>
        </is>
      </c>
      <c r="D36" s="33" t="n">
        <v>26.4</v>
      </c>
      <c r="E36" s="27" t="n">
        <v>8</v>
      </c>
      <c r="F36" s="34" t="inlineStr">
        <is>
          <t>T3</t>
        </is>
      </c>
      <c r="G36" s="34" t="inlineStr">
        <is>
          <t>low</t>
        </is>
      </c>
      <c r="H36" s="20" t="n">
        <v>1</v>
      </c>
      <c r="I36" s="35">
        <f>60*D36/cruise_kt</f>
        <v/>
      </c>
      <c r="J36" s="35">
        <f>IF(B36="South Korea",D36/korea_charge_range_nm*korea_full_range_charge_min,0)</f>
        <v/>
      </c>
      <c r="K36" s="35">
        <f>IF(B36="South Korea",I36+korea_turn_min+korea_dwell_min+J36,I36+turn_min+dwell_min)</f>
        <v/>
      </c>
      <c r="L36" s="36">
        <f>IF(B36="South Korea",FLOOR(60*korea_service_hr/K36,1),MIN(15,FLOOR(60*service_hr/K36,1)))</f>
        <v/>
      </c>
      <c r="M36" s="36">
        <f>IF(ABS(MOD(ABS((365*mech_uptime*H36)),1)-0.5)&lt;1E-9,2*ROUND((365*mech_uptime*H36)/2,0),ROUND((365*mech_uptime*H36),0))</f>
        <v/>
      </c>
      <c r="N36" s="37">
        <f>mech_uptime</f>
        <v/>
      </c>
      <c r="O36" s="37">
        <f>IF(AND(B36="South Korea",scenario="MID"),korea_mid_revleg,revleg_sel)</f>
        <v/>
      </c>
      <c r="P36" s="36">
        <f>IF(ABS(MOD(ABS((L36*M36*O36)),1)-0.5)&lt;1E-9,2*ROUND((L36*M36*O36)/2,0),ROUND((L36*M36*O36),0))</f>
        <v/>
      </c>
      <c r="Q36" s="37">
        <f>IF(AND(B36="South Korea",scenario="MID"),korea_mid_load,load_sel)</f>
        <v/>
      </c>
      <c r="R36" s="38">
        <f>pax_cap*Q36</f>
        <v/>
      </c>
      <c r="S36" s="36">
        <f>R36*P36</f>
        <v/>
      </c>
      <c r="T36" s="39">
        <f>E36*discount</f>
        <v/>
      </c>
      <c r="U36" s="40">
        <f>T36*S36</f>
        <v/>
      </c>
      <c r="V36" s="40">
        <f>(battery/range_nm)*D36*P36*VLOOKUP(B36,country_opex,3,FALSE)</f>
        <v/>
      </c>
      <c r="W36" s="40">
        <f>VLOOKUP(B36,country_opex,2,FALSE)*crew_factor</f>
        <v/>
      </c>
      <c r="X36" s="40">
        <f>VLOOKUP(B36,country_opex,5,FALSE)</f>
        <v/>
      </c>
      <c r="Y36" s="40">
        <f>maint</f>
        <v/>
      </c>
      <c r="Z36" s="40">
        <f>VLOOKUP(B36,country_opex,7,FALSE)*ins_pct</f>
        <v/>
      </c>
      <c r="AA36" s="40">
        <f>charge_berth</f>
        <v/>
      </c>
      <c r="AB36" s="40">
        <f>V36+W36+X36+Y36+Z36+AA36</f>
        <v/>
      </c>
      <c r="AC36" s="40">
        <f>VLOOKUP(B36,country_opex,7,FALSE)/dep_years</f>
        <v/>
      </c>
      <c r="AD36" s="40">
        <f>U36-AB36</f>
        <v/>
      </c>
      <c r="AE36" s="37">
        <f>IF(U36=0,"",AD36/U36)</f>
        <v/>
      </c>
      <c r="AF36" s="38">
        <f>IF(AD36&lt;=0,"",VLOOKUP(B36,country_opex,7,FALSE)/AD36)</f>
        <v/>
      </c>
      <c r="AG36" s="35">
        <f>((D36*P36/diesel_nmpg)*diesel_co2pg-(battery/range_nm)*D36*P36*VLOOKUP(B36,country_opex,4,FALSE))/1000</f>
        <v/>
      </c>
      <c r="AH36" s="33" t="n">
        <v>134248</v>
      </c>
      <c r="AI36" s="34" t="inlineStr">
        <is>
          <t>T1</t>
        </is>
      </c>
      <c r="AJ36" s="34" t="inlineStr">
        <is>
          <t>high</t>
        </is>
      </c>
      <c r="AK36" s="41" t="n">
        <v>0.1</v>
      </c>
      <c r="AL36" s="36">
        <f>IF(AH36="","",AH36*AK36)</f>
        <v/>
      </c>
      <c r="AM36" s="36">
        <f>IF(OR(AH36="",S36=0),"",MIN(IF(AU36="",9.9E+99,AU36),FLOOR(AL36/S36,1)))</f>
        <v/>
      </c>
      <c r="AN36" s="40">
        <f>IF(AM36="","",AM36*IF(ABS(MOD(ABS((U36)),1)-0.5)&lt;1E-9,2*ROUND((U36)/2,0),ROUND((U36),0)))</f>
        <v/>
      </c>
      <c r="AO36" s="38">
        <f>IF(OR(AH36="",S36=0),"",MIN(IF(AU36="",9.9E+99,AU36),AL36/S36))</f>
        <v/>
      </c>
      <c r="AP36" s="40">
        <f>IF(AO36="","",AO36*IF(B36="South Korea",IF(ABS(MOD(ABS((U36)),1)-0.5)&lt;1E-9,2*ROUND((U36)/2,0),ROUND((U36),0)),U36))</f>
        <v/>
      </c>
      <c r="AQ36" s="42" t="n"/>
      <c r="AR36" s="34" t="inlineStr">
        <is>
          <t>Grounded</t>
        </is>
      </c>
      <c r="AS36" s="43" t="n"/>
      <c r="AT36" s="43" t="n"/>
      <c r="AU36" s="44" t="n"/>
      <c r="AV36" s="45">
        <f>IF(((T36*pax_cap*load_thin*IF(ABS(MOD(ABS((L36*M36*revleg_thin)),1)-0.5)&lt;1E-9,2*ROUND((L36*M36*revleg_thin)/2,0),ROUND((L36*M36*revleg_thin),0)))-(((battery/range_nm)*D36*IF(ABS(MOD(ABS((L36*M36*revleg_thin)),1)-0.5)&lt;1E-9,2*ROUND((L36*M36*revleg_thin)/2,0),ROUND((L36*M36*revleg_thin),0))*VLOOKUP(B36,country_opex,3,FALSE))+W36+X36+Y36+Z36+AA36))&lt;=0,"",VLOOKUP(B36,country_opex,7,FALSE)/((T36*pax_cap*load_thin*IF(ABS(MOD(ABS((L36*M36*revleg_thin)),1)-0.5)&lt;1E-9,2*ROUND((L36*M36*revleg_thin)/2,0),ROUND((L36*M36*revleg_thin),0)))-(((battery/range_nm)*D36*IF(ABS(MOD(ABS((L36*M36*revleg_thin)),1)-0.5)&lt;1E-9,2*ROUND((L36*M36*revleg_thin)/2,0),ROUND((L36*M36*revleg_thin),0))*VLOOKUP(B36,country_opex,3,FALSE))+W36+X36+Y36+Z36+AA36)))</f>
        <v/>
      </c>
      <c r="AW36" s="45">
        <f>IF(((T36*pax_cap*IF(B36="South Korea",korea_mid_load,load_mid)*IF(ABS(MOD(ABS((L36*M36*IF(B36="South Korea",korea_mid_revleg,revleg_mid))),1)-0.5)&lt;1E-9,2*ROUND((L36*M36*IF(B36="South Korea",korea_mid_revleg,revleg_mid))/2,0),ROUND((L36*M36*IF(B36="South Korea",korea_mid_revleg,revleg_mid)),0)))-(((battery/range_nm)*D36*IF(ABS(MOD(ABS((L36*M36*IF(B36="South Korea",korea_mid_revleg,revleg_mid))),1)-0.5)&lt;1E-9,2*ROUND((L36*M36*IF(B36="South Korea",korea_mid_revleg,revleg_mid))/2,0),ROUND((L36*M36*IF(B36="South Korea",korea_mid_revleg,revleg_mid)),0))*VLOOKUP(B36,country_opex,3,FALSE))+W36+X36+Y36+Z36+AA36))&lt;=0,"",VLOOKUP(B36,country_opex,7,FALSE)/((T36*pax_cap*IF(B36="South Korea",korea_mid_load,load_mid)*IF(ABS(MOD(ABS((L36*M36*IF(B36="South Korea",korea_mid_revleg,revleg_mid))),1)-0.5)&lt;1E-9,2*ROUND((L36*M36*IF(B36="South Korea",korea_mid_revleg,revleg_mid))/2,0),ROUND((L36*M36*IF(B36="South Korea",korea_mid_revleg,revleg_mid)),0)))-(((battery/range_nm)*D36*IF(ABS(MOD(ABS((L36*M36*IF(B36="South Korea",korea_mid_revleg,revleg_mid))),1)-0.5)&lt;1E-9,2*ROUND((L36*M36*IF(B36="South Korea",korea_mid_revleg,revleg_mid))/2,0),ROUND((L36*M36*IF(B36="South Korea",korea_mid_revleg,revleg_mid)),0))*VLOOKUP(B36,country_opex,3,FALSE))+W36+X36+Y36+Z36+AA36)))</f>
        <v/>
      </c>
      <c r="AX36" s="45">
        <f>IF(((T36*pax_cap*load_full*IF(ABS(MOD(ABS((L36*M36*revleg_full)),1)-0.5)&lt;1E-9,2*ROUND((L36*M36*revleg_full)/2,0),ROUND((L36*M36*revleg_full),0)))-(((battery/range_nm)*D36*IF(ABS(MOD(ABS((L36*M36*revleg_full)),1)-0.5)&lt;1E-9,2*ROUND((L36*M36*revleg_full)/2,0),ROUND((L36*M36*revleg_full),0))*VLOOKUP(B36,country_opex,3,FALSE))+W36+X36+Y36+Z36+AA36))&lt;=0,"",VLOOKUP(B36,country_opex,7,FALSE)/((T36*pax_cap*load_full*IF(ABS(MOD(ABS((L36*M36*revleg_full)),1)-0.5)&lt;1E-9,2*ROUND((L36*M36*revleg_full)/2,0),ROUND((L36*M36*revleg_full),0)))-(((battery/range_nm)*D36*IF(ABS(MOD(ABS((L36*M36*revleg_full)),1)-0.5)&lt;1E-9,2*ROUND((L36*M36*revleg_full)/2,0),ROUND((L36*M36*revleg_full),0))*VLOOKUP(B36,country_opex,3,FALSE))+W36+X36+Y36+Z36+AA36)))</f>
        <v/>
      </c>
      <c r="AY36" s="46" t="inlineStr">
        <is>
          <t>band_default</t>
        </is>
      </c>
      <c r="AZ36" s="46" t="inlineStr">
        <is>
          <t>KOMSA Tongyeong district coastal 2025</t>
        </is>
      </c>
      <c r="BA36" s="34" t="inlineStr">
        <is>
          <t>rn-716172aedee7</t>
        </is>
      </c>
    </row>
    <row r="37">
      <c r="A37" s="31" t="inlineStr">
        <is>
          <t>Korea Swing</t>
        </is>
      </c>
      <c r="B37" s="31" t="inlineStr">
        <is>
          <t>South Korea</t>
        </is>
      </c>
      <c r="C37" s="32" t="inlineStr">
        <is>
          <t>Samdeok Yokji Ferry Terminal → Yeosu Passenger Ferry Terminal</t>
        </is>
      </c>
      <c r="D37" s="33" t="n">
        <v>31.7</v>
      </c>
      <c r="E37" s="27" t="n">
        <v>22</v>
      </c>
      <c r="F37" s="34" t="inlineStr">
        <is>
          <t>T3</t>
        </is>
      </c>
      <c r="G37" s="34" t="inlineStr">
        <is>
          <t>low</t>
        </is>
      </c>
      <c r="H37" s="20" t="n">
        <v>1</v>
      </c>
      <c r="I37" s="35">
        <f>60*D37/cruise_kt</f>
        <v/>
      </c>
      <c r="J37" s="35">
        <f>IF(B37="South Korea",D37/korea_charge_range_nm*korea_full_range_charge_min,0)</f>
        <v/>
      </c>
      <c r="K37" s="35">
        <f>IF(B37="South Korea",I37+korea_turn_min+korea_dwell_min+J37,I37+turn_min+dwell_min)</f>
        <v/>
      </c>
      <c r="L37" s="36">
        <f>IF(B37="South Korea",FLOOR(60*korea_service_hr/K37,1),MIN(15,FLOOR(60*service_hr/K37,1)))</f>
        <v/>
      </c>
      <c r="M37" s="36">
        <f>IF(ABS(MOD(ABS((365*mech_uptime*H37)),1)-0.5)&lt;1E-9,2*ROUND((365*mech_uptime*H37)/2,0),ROUND((365*mech_uptime*H37),0))</f>
        <v/>
      </c>
      <c r="N37" s="37">
        <f>mech_uptime</f>
        <v/>
      </c>
      <c r="O37" s="37">
        <f>IF(AND(B37="South Korea",scenario="MID"),korea_mid_revleg,revleg_sel)</f>
        <v/>
      </c>
      <c r="P37" s="36">
        <f>IF(ABS(MOD(ABS((L37*M37*O37)),1)-0.5)&lt;1E-9,2*ROUND((L37*M37*O37)/2,0),ROUND((L37*M37*O37),0))</f>
        <v/>
      </c>
      <c r="Q37" s="37">
        <f>IF(AND(B37="South Korea",scenario="MID"),korea_mid_load,load_sel)</f>
        <v/>
      </c>
      <c r="R37" s="38">
        <f>pax_cap*Q37</f>
        <v/>
      </c>
      <c r="S37" s="36">
        <f>R37*P37</f>
        <v/>
      </c>
      <c r="T37" s="39">
        <f>E37*discount</f>
        <v/>
      </c>
      <c r="U37" s="40">
        <f>T37*S37</f>
        <v/>
      </c>
      <c r="V37" s="40">
        <f>(battery/range_nm)*D37*P37*VLOOKUP(B37,country_opex,3,FALSE)</f>
        <v/>
      </c>
      <c r="W37" s="40">
        <f>VLOOKUP(B37,country_opex,2,FALSE)*crew_factor</f>
        <v/>
      </c>
      <c r="X37" s="40">
        <f>VLOOKUP(B37,country_opex,5,FALSE)</f>
        <v/>
      </c>
      <c r="Y37" s="40">
        <f>maint</f>
        <v/>
      </c>
      <c r="Z37" s="40">
        <f>VLOOKUP(B37,country_opex,7,FALSE)*ins_pct</f>
        <v/>
      </c>
      <c r="AA37" s="40">
        <f>charge_berth</f>
        <v/>
      </c>
      <c r="AB37" s="40">
        <f>V37+W37+X37+Y37+Z37+AA37</f>
        <v/>
      </c>
      <c r="AC37" s="40">
        <f>VLOOKUP(B37,country_opex,7,FALSE)/dep_years</f>
        <v/>
      </c>
      <c r="AD37" s="40">
        <f>U37-AB37</f>
        <v/>
      </c>
      <c r="AE37" s="37">
        <f>IF(U37=0,"",AD37/U37)</f>
        <v/>
      </c>
      <c r="AF37" s="38">
        <f>IF(AD37&lt;=0,"",VLOOKUP(B37,country_opex,7,FALSE)/AD37)</f>
        <v/>
      </c>
      <c r="AG37" s="35">
        <f>((D37*P37/diesel_nmpg)*diesel_co2pg-(battery/range_nm)*D37*P37*VLOOKUP(B37,country_opex,4,FALSE))/1000</f>
        <v/>
      </c>
      <c r="AH37" s="33" t="n">
        <v>134248</v>
      </c>
      <c r="AI37" s="34" t="inlineStr">
        <is>
          <t>T1</t>
        </is>
      </c>
      <c r="AJ37" s="34" t="inlineStr">
        <is>
          <t>high</t>
        </is>
      </c>
      <c r="AK37" s="41" t="n">
        <v>0.1</v>
      </c>
      <c r="AL37" s="36">
        <f>IF(AH37="","",AH37*AK37)</f>
        <v/>
      </c>
      <c r="AM37" s="36">
        <f>IF(OR(AH37="",S37=0),"",MIN(IF(AU37="",9.9E+99,AU37),FLOOR(AL37/S37,1)))</f>
        <v/>
      </c>
      <c r="AN37" s="40">
        <f>IF(AM37="","",AM37*IF(ABS(MOD(ABS((U37)),1)-0.5)&lt;1E-9,2*ROUND((U37)/2,0),ROUND((U37),0)))</f>
        <v/>
      </c>
      <c r="AO37" s="38">
        <f>IF(OR(AH37="",S37=0),"",MIN(IF(AU37="",9.9E+99,AU37),AL37/S37))</f>
        <v/>
      </c>
      <c r="AP37" s="40">
        <f>IF(AO37="","",AO37*IF(B37="South Korea",IF(ABS(MOD(ABS((U37)),1)-0.5)&lt;1E-9,2*ROUND((U37)/2,0),ROUND((U37),0)),U37))</f>
        <v/>
      </c>
      <c r="AQ37" s="42" t="n"/>
      <c r="AR37" s="34" t="inlineStr">
        <is>
          <t>Grounded</t>
        </is>
      </c>
      <c r="AS37" s="43" t="n"/>
      <c r="AT37" s="43" t="n"/>
      <c r="AU37" s="44" t="n"/>
      <c r="AV37" s="45">
        <f>IF(((T37*pax_cap*load_thin*IF(ABS(MOD(ABS((L37*M37*revleg_thin)),1)-0.5)&lt;1E-9,2*ROUND((L37*M37*revleg_thin)/2,0),ROUND((L37*M37*revleg_thin),0)))-(((battery/range_nm)*D37*IF(ABS(MOD(ABS((L37*M37*revleg_thin)),1)-0.5)&lt;1E-9,2*ROUND((L37*M37*revleg_thin)/2,0),ROUND((L37*M37*revleg_thin),0))*VLOOKUP(B37,country_opex,3,FALSE))+W37+X37+Y37+Z37+AA37))&lt;=0,"",VLOOKUP(B37,country_opex,7,FALSE)/((T37*pax_cap*load_thin*IF(ABS(MOD(ABS((L37*M37*revleg_thin)),1)-0.5)&lt;1E-9,2*ROUND((L37*M37*revleg_thin)/2,0),ROUND((L37*M37*revleg_thin),0)))-(((battery/range_nm)*D37*IF(ABS(MOD(ABS((L37*M37*revleg_thin)),1)-0.5)&lt;1E-9,2*ROUND((L37*M37*revleg_thin)/2,0),ROUND((L37*M37*revleg_thin),0))*VLOOKUP(B37,country_opex,3,FALSE))+W37+X37+Y37+Z37+AA37)))</f>
        <v/>
      </c>
      <c r="AW37" s="45">
        <f>IF(((T37*pax_cap*IF(B37="South Korea",korea_mid_load,load_mid)*IF(ABS(MOD(ABS((L37*M37*IF(B37="South Korea",korea_mid_revleg,revleg_mid))),1)-0.5)&lt;1E-9,2*ROUND((L37*M37*IF(B37="South Korea",korea_mid_revleg,revleg_mid))/2,0),ROUND((L37*M37*IF(B37="South Korea",korea_mid_revleg,revleg_mid)),0)))-(((battery/range_nm)*D37*IF(ABS(MOD(ABS((L37*M37*IF(B37="South Korea",korea_mid_revleg,revleg_mid))),1)-0.5)&lt;1E-9,2*ROUND((L37*M37*IF(B37="South Korea",korea_mid_revleg,revleg_mid))/2,0),ROUND((L37*M37*IF(B37="South Korea",korea_mid_revleg,revleg_mid)),0))*VLOOKUP(B37,country_opex,3,FALSE))+W37+X37+Y37+Z37+AA37))&lt;=0,"",VLOOKUP(B37,country_opex,7,FALSE)/((T37*pax_cap*IF(B37="South Korea",korea_mid_load,load_mid)*IF(ABS(MOD(ABS((L37*M37*IF(B37="South Korea",korea_mid_revleg,revleg_mid))),1)-0.5)&lt;1E-9,2*ROUND((L37*M37*IF(B37="South Korea",korea_mid_revleg,revleg_mid))/2,0),ROUND((L37*M37*IF(B37="South Korea",korea_mid_revleg,revleg_mid)),0)))-(((battery/range_nm)*D37*IF(ABS(MOD(ABS((L37*M37*IF(B37="South Korea",korea_mid_revleg,revleg_mid))),1)-0.5)&lt;1E-9,2*ROUND((L37*M37*IF(B37="South Korea",korea_mid_revleg,revleg_mid))/2,0),ROUND((L37*M37*IF(B37="South Korea",korea_mid_revleg,revleg_mid)),0))*VLOOKUP(B37,country_opex,3,FALSE))+W37+X37+Y37+Z37+AA37)))</f>
        <v/>
      </c>
      <c r="AX37" s="45">
        <f>IF(((T37*pax_cap*load_full*IF(ABS(MOD(ABS((L37*M37*revleg_full)),1)-0.5)&lt;1E-9,2*ROUND((L37*M37*revleg_full)/2,0),ROUND((L37*M37*revleg_full),0)))-(((battery/range_nm)*D37*IF(ABS(MOD(ABS((L37*M37*revleg_full)),1)-0.5)&lt;1E-9,2*ROUND((L37*M37*revleg_full)/2,0),ROUND((L37*M37*revleg_full),0))*VLOOKUP(B37,country_opex,3,FALSE))+W37+X37+Y37+Z37+AA37))&lt;=0,"",VLOOKUP(B37,country_opex,7,FALSE)/((T37*pax_cap*load_full*IF(ABS(MOD(ABS((L37*M37*revleg_full)),1)-0.5)&lt;1E-9,2*ROUND((L37*M37*revleg_full)/2,0),ROUND((L37*M37*revleg_full),0)))-(((battery/range_nm)*D37*IF(ABS(MOD(ABS((L37*M37*revleg_full)),1)-0.5)&lt;1E-9,2*ROUND((L37*M37*revleg_full)/2,0),ROUND((L37*M37*revleg_full),0))*VLOOKUP(B37,country_opex,3,FALSE))+W37+X37+Y37+Z37+AA37)))</f>
        <v/>
      </c>
      <c r="AY37" s="46" t="inlineStr">
        <is>
          <t>band_default</t>
        </is>
      </c>
      <c r="AZ37" s="46" t="inlineStr">
        <is>
          <t>KOMSA Tongyeong district coastal 2025</t>
        </is>
      </c>
      <c r="BA37" s="34" t="inlineStr">
        <is>
          <t>rn-79388bf546a1</t>
        </is>
      </c>
    </row>
    <row r="38">
      <c r="A38" s="31" t="inlineStr">
        <is>
          <t>Korea Swing</t>
        </is>
      </c>
      <c r="B38" s="31" t="inlineStr">
        <is>
          <t>South Korea</t>
        </is>
      </c>
      <c r="C38" s="32" t="inlineStr">
        <is>
          <t>Tongyeong Passenger Ferry Terminal → Yeosu Passenger Ferry Terminal</t>
        </is>
      </c>
      <c r="D38" s="33" t="n">
        <v>33.6</v>
      </c>
      <c r="E38" s="27" t="n">
        <v>22</v>
      </c>
      <c r="F38" s="34" t="inlineStr">
        <is>
          <t>T3</t>
        </is>
      </c>
      <c r="G38" s="34" t="inlineStr">
        <is>
          <t>low</t>
        </is>
      </c>
      <c r="H38" s="20" t="n">
        <v>1</v>
      </c>
      <c r="I38" s="35">
        <f>60*D38/cruise_kt</f>
        <v/>
      </c>
      <c r="J38" s="35">
        <f>IF(B38="South Korea",D38/korea_charge_range_nm*korea_full_range_charge_min,0)</f>
        <v/>
      </c>
      <c r="K38" s="35">
        <f>IF(B38="South Korea",I38+korea_turn_min+korea_dwell_min+J38,I38+turn_min+dwell_min)</f>
        <v/>
      </c>
      <c r="L38" s="36">
        <f>IF(B38="South Korea",FLOOR(60*korea_service_hr/K38,1),MIN(15,FLOOR(60*service_hr/K38,1)))</f>
        <v/>
      </c>
      <c r="M38" s="36">
        <f>IF(ABS(MOD(ABS((365*mech_uptime*H38)),1)-0.5)&lt;1E-9,2*ROUND((365*mech_uptime*H38)/2,0),ROUND((365*mech_uptime*H38),0))</f>
        <v/>
      </c>
      <c r="N38" s="37">
        <f>mech_uptime</f>
        <v/>
      </c>
      <c r="O38" s="37">
        <f>IF(AND(B38="South Korea",scenario="MID"),korea_mid_revleg,revleg_sel)</f>
        <v/>
      </c>
      <c r="P38" s="36">
        <f>IF(ABS(MOD(ABS((L38*M38*O38)),1)-0.5)&lt;1E-9,2*ROUND((L38*M38*O38)/2,0),ROUND((L38*M38*O38),0))</f>
        <v/>
      </c>
      <c r="Q38" s="37">
        <f>IF(AND(B38="South Korea",scenario="MID"),korea_mid_load,load_sel)</f>
        <v/>
      </c>
      <c r="R38" s="38">
        <f>pax_cap*Q38</f>
        <v/>
      </c>
      <c r="S38" s="36">
        <f>R38*P38</f>
        <v/>
      </c>
      <c r="T38" s="39">
        <f>E38*discount</f>
        <v/>
      </c>
      <c r="U38" s="40">
        <f>T38*S38</f>
        <v/>
      </c>
      <c r="V38" s="40">
        <f>(battery/range_nm)*D38*P38*VLOOKUP(B38,country_opex,3,FALSE)</f>
        <v/>
      </c>
      <c r="W38" s="40">
        <f>VLOOKUP(B38,country_opex,2,FALSE)*crew_factor</f>
        <v/>
      </c>
      <c r="X38" s="40">
        <f>VLOOKUP(B38,country_opex,5,FALSE)</f>
        <v/>
      </c>
      <c r="Y38" s="40">
        <f>maint</f>
        <v/>
      </c>
      <c r="Z38" s="40">
        <f>VLOOKUP(B38,country_opex,7,FALSE)*ins_pct</f>
        <v/>
      </c>
      <c r="AA38" s="40">
        <f>charge_berth</f>
        <v/>
      </c>
      <c r="AB38" s="40">
        <f>V38+W38+X38+Y38+Z38+AA38</f>
        <v/>
      </c>
      <c r="AC38" s="40">
        <f>VLOOKUP(B38,country_opex,7,FALSE)/dep_years</f>
        <v/>
      </c>
      <c r="AD38" s="40">
        <f>U38-AB38</f>
        <v/>
      </c>
      <c r="AE38" s="37">
        <f>IF(U38=0,"",AD38/U38)</f>
        <v/>
      </c>
      <c r="AF38" s="38">
        <f>IF(AD38&lt;=0,"",VLOOKUP(B38,country_opex,7,FALSE)/AD38)</f>
        <v/>
      </c>
      <c r="AG38" s="35">
        <f>((D38*P38/diesel_nmpg)*diesel_co2pg-(battery/range_nm)*D38*P38*VLOOKUP(B38,country_opex,4,FALSE))/1000</f>
        <v/>
      </c>
      <c r="AH38" s="33" t="n">
        <v>134248</v>
      </c>
      <c r="AI38" s="34" t="inlineStr">
        <is>
          <t>T1</t>
        </is>
      </c>
      <c r="AJ38" s="34" t="inlineStr">
        <is>
          <t>high</t>
        </is>
      </c>
      <c r="AK38" s="41" t="n">
        <v>0.1</v>
      </c>
      <c r="AL38" s="36">
        <f>IF(AH38="","",AH38*AK38)</f>
        <v/>
      </c>
      <c r="AM38" s="36">
        <f>IF(OR(AH38="",S38=0),"",MIN(IF(AU38="",9.9E+99,AU38),FLOOR(AL38/S38,1)))</f>
        <v/>
      </c>
      <c r="AN38" s="40">
        <f>IF(AM38="","",AM38*IF(ABS(MOD(ABS((U38)),1)-0.5)&lt;1E-9,2*ROUND((U38)/2,0),ROUND((U38),0)))</f>
        <v/>
      </c>
      <c r="AO38" s="38">
        <f>IF(OR(AH38="",S38=0),"",MIN(IF(AU38="",9.9E+99,AU38),AL38/S38))</f>
        <v/>
      </c>
      <c r="AP38" s="40">
        <f>IF(AO38="","",AO38*IF(B38="South Korea",IF(ABS(MOD(ABS((U38)),1)-0.5)&lt;1E-9,2*ROUND((U38)/2,0),ROUND((U38),0)),U38))</f>
        <v/>
      </c>
      <c r="AQ38" s="42" t="n"/>
      <c r="AR38" s="34" t="inlineStr">
        <is>
          <t>Grounded</t>
        </is>
      </c>
      <c r="AS38" s="43" t="n"/>
      <c r="AT38" s="43" t="n"/>
      <c r="AU38" s="44" t="n"/>
      <c r="AV38" s="45">
        <f>IF(((T38*pax_cap*load_thin*IF(ABS(MOD(ABS((L38*M38*revleg_thin)),1)-0.5)&lt;1E-9,2*ROUND((L38*M38*revleg_thin)/2,0),ROUND((L38*M38*revleg_thin),0)))-(((battery/range_nm)*D38*IF(ABS(MOD(ABS((L38*M38*revleg_thin)),1)-0.5)&lt;1E-9,2*ROUND((L38*M38*revleg_thin)/2,0),ROUND((L38*M38*revleg_thin),0))*VLOOKUP(B38,country_opex,3,FALSE))+W38+X38+Y38+Z38+AA38))&lt;=0,"",VLOOKUP(B38,country_opex,7,FALSE)/((T38*pax_cap*load_thin*IF(ABS(MOD(ABS((L38*M38*revleg_thin)),1)-0.5)&lt;1E-9,2*ROUND((L38*M38*revleg_thin)/2,0),ROUND((L38*M38*revleg_thin),0)))-(((battery/range_nm)*D38*IF(ABS(MOD(ABS((L38*M38*revleg_thin)),1)-0.5)&lt;1E-9,2*ROUND((L38*M38*revleg_thin)/2,0),ROUND((L38*M38*revleg_thin),0))*VLOOKUP(B38,country_opex,3,FALSE))+W38+X38+Y38+Z38+AA38)))</f>
        <v/>
      </c>
      <c r="AW38" s="45">
        <f>IF(((T38*pax_cap*IF(B38="South Korea",korea_mid_load,load_mid)*IF(ABS(MOD(ABS((L38*M38*IF(B38="South Korea",korea_mid_revleg,revleg_mid))),1)-0.5)&lt;1E-9,2*ROUND((L38*M38*IF(B38="South Korea",korea_mid_revleg,revleg_mid))/2,0),ROUND((L38*M38*IF(B38="South Korea",korea_mid_revleg,revleg_mid)),0)))-(((battery/range_nm)*D38*IF(ABS(MOD(ABS((L38*M38*IF(B38="South Korea",korea_mid_revleg,revleg_mid))),1)-0.5)&lt;1E-9,2*ROUND((L38*M38*IF(B38="South Korea",korea_mid_revleg,revleg_mid))/2,0),ROUND((L38*M38*IF(B38="South Korea",korea_mid_revleg,revleg_mid)),0))*VLOOKUP(B38,country_opex,3,FALSE))+W38+X38+Y38+Z38+AA38))&lt;=0,"",VLOOKUP(B38,country_opex,7,FALSE)/((T38*pax_cap*IF(B38="South Korea",korea_mid_load,load_mid)*IF(ABS(MOD(ABS((L38*M38*IF(B38="South Korea",korea_mid_revleg,revleg_mid))),1)-0.5)&lt;1E-9,2*ROUND((L38*M38*IF(B38="South Korea",korea_mid_revleg,revleg_mid))/2,0),ROUND((L38*M38*IF(B38="South Korea",korea_mid_revleg,revleg_mid)),0)))-(((battery/range_nm)*D38*IF(ABS(MOD(ABS((L38*M38*IF(B38="South Korea",korea_mid_revleg,revleg_mid))),1)-0.5)&lt;1E-9,2*ROUND((L38*M38*IF(B38="South Korea",korea_mid_revleg,revleg_mid))/2,0),ROUND((L38*M38*IF(B38="South Korea",korea_mid_revleg,revleg_mid)),0))*VLOOKUP(B38,country_opex,3,FALSE))+W38+X38+Y38+Z38+AA38)))</f>
        <v/>
      </c>
      <c r="AX38" s="45">
        <f>IF(((T38*pax_cap*load_full*IF(ABS(MOD(ABS((L38*M38*revleg_full)),1)-0.5)&lt;1E-9,2*ROUND((L38*M38*revleg_full)/2,0),ROUND((L38*M38*revleg_full),0)))-(((battery/range_nm)*D38*IF(ABS(MOD(ABS((L38*M38*revleg_full)),1)-0.5)&lt;1E-9,2*ROUND((L38*M38*revleg_full)/2,0),ROUND((L38*M38*revleg_full),0))*VLOOKUP(B38,country_opex,3,FALSE))+W38+X38+Y38+Z38+AA38))&lt;=0,"",VLOOKUP(B38,country_opex,7,FALSE)/((T38*pax_cap*load_full*IF(ABS(MOD(ABS((L38*M38*revleg_full)),1)-0.5)&lt;1E-9,2*ROUND((L38*M38*revleg_full)/2,0),ROUND((L38*M38*revleg_full),0)))-(((battery/range_nm)*D38*IF(ABS(MOD(ABS((L38*M38*revleg_full)),1)-0.5)&lt;1E-9,2*ROUND((L38*M38*revleg_full)/2,0),ROUND((L38*M38*revleg_full),0))*VLOOKUP(B38,country_opex,3,FALSE))+W38+X38+Y38+Z38+AA38)))</f>
        <v/>
      </c>
      <c r="AY38" s="46" t="inlineStr">
        <is>
          <t>band_default</t>
        </is>
      </c>
      <c r="AZ38" s="46" t="inlineStr">
        <is>
          <t>KOMSA Tongyeong district coastal 2025</t>
        </is>
      </c>
      <c r="BA38" s="34" t="inlineStr">
        <is>
          <t>rn-b93989547df9</t>
        </is>
      </c>
    </row>
    <row r="39">
      <c r="A39" s="31" t="inlineStr">
        <is>
          <t>Korea Swing</t>
        </is>
      </c>
      <c r="B39" s="31" t="inlineStr">
        <is>
          <t>South Korea</t>
        </is>
      </c>
      <c r="C39" s="32" t="inlineStr">
        <is>
          <t>Yeosu Passenger Ferry Terminal → Gaochi Passenger Ferry Terminal</t>
        </is>
      </c>
      <c r="D39" s="33" t="n">
        <v>34.8</v>
      </c>
      <c r="E39" s="27" t="n">
        <v>22</v>
      </c>
      <c r="F39" s="34" t="inlineStr">
        <is>
          <t>T3</t>
        </is>
      </c>
      <c r="G39" s="34" t="inlineStr">
        <is>
          <t>low</t>
        </is>
      </c>
      <c r="H39" s="20" t="n">
        <v>1</v>
      </c>
      <c r="I39" s="35">
        <f>60*D39/cruise_kt</f>
        <v/>
      </c>
      <c r="J39" s="35">
        <f>IF(B39="South Korea",D39/korea_charge_range_nm*korea_full_range_charge_min,0)</f>
        <v/>
      </c>
      <c r="K39" s="35">
        <f>IF(B39="South Korea",I39+korea_turn_min+korea_dwell_min+J39,I39+turn_min+dwell_min)</f>
        <v/>
      </c>
      <c r="L39" s="36">
        <f>IF(B39="South Korea",FLOOR(60*korea_service_hr/K39,1),MIN(15,FLOOR(60*service_hr/K39,1)))</f>
        <v/>
      </c>
      <c r="M39" s="36">
        <f>IF(ABS(MOD(ABS((365*mech_uptime*H39)),1)-0.5)&lt;1E-9,2*ROUND((365*mech_uptime*H39)/2,0),ROUND((365*mech_uptime*H39),0))</f>
        <v/>
      </c>
      <c r="N39" s="37">
        <f>mech_uptime</f>
        <v/>
      </c>
      <c r="O39" s="37">
        <f>IF(AND(B39="South Korea",scenario="MID"),korea_mid_revleg,revleg_sel)</f>
        <v/>
      </c>
      <c r="P39" s="36">
        <f>IF(ABS(MOD(ABS((L39*M39*O39)),1)-0.5)&lt;1E-9,2*ROUND((L39*M39*O39)/2,0),ROUND((L39*M39*O39),0))</f>
        <v/>
      </c>
      <c r="Q39" s="37">
        <f>IF(AND(B39="South Korea",scenario="MID"),korea_mid_load,load_sel)</f>
        <v/>
      </c>
      <c r="R39" s="38">
        <f>pax_cap*Q39</f>
        <v/>
      </c>
      <c r="S39" s="36">
        <f>R39*P39</f>
        <v/>
      </c>
      <c r="T39" s="39">
        <f>E39*discount</f>
        <v/>
      </c>
      <c r="U39" s="40">
        <f>T39*S39</f>
        <v/>
      </c>
      <c r="V39" s="40">
        <f>(battery/range_nm)*D39*P39*VLOOKUP(B39,country_opex,3,FALSE)</f>
        <v/>
      </c>
      <c r="W39" s="40">
        <f>VLOOKUP(B39,country_opex,2,FALSE)*crew_factor</f>
        <v/>
      </c>
      <c r="X39" s="40">
        <f>VLOOKUP(B39,country_opex,5,FALSE)</f>
        <v/>
      </c>
      <c r="Y39" s="40">
        <f>maint</f>
        <v/>
      </c>
      <c r="Z39" s="40">
        <f>VLOOKUP(B39,country_opex,7,FALSE)*ins_pct</f>
        <v/>
      </c>
      <c r="AA39" s="40">
        <f>charge_berth</f>
        <v/>
      </c>
      <c r="AB39" s="40">
        <f>V39+W39+X39+Y39+Z39+AA39</f>
        <v/>
      </c>
      <c r="AC39" s="40">
        <f>VLOOKUP(B39,country_opex,7,FALSE)/dep_years</f>
        <v/>
      </c>
      <c r="AD39" s="40">
        <f>U39-AB39</f>
        <v/>
      </c>
      <c r="AE39" s="37">
        <f>IF(U39=0,"",AD39/U39)</f>
        <v/>
      </c>
      <c r="AF39" s="38">
        <f>IF(AD39&lt;=0,"",VLOOKUP(B39,country_opex,7,FALSE)/AD39)</f>
        <v/>
      </c>
      <c r="AG39" s="35">
        <f>((D39*P39/diesel_nmpg)*diesel_co2pg-(battery/range_nm)*D39*P39*VLOOKUP(B39,country_opex,4,FALSE))/1000</f>
        <v/>
      </c>
      <c r="AH39" s="33" t="n">
        <v>134248</v>
      </c>
      <c r="AI39" s="34" t="inlineStr">
        <is>
          <t>T1</t>
        </is>
      </c>
      <c r="AJ39" s="34" t="inlineStr">
        <is>
          <t>high</t>
        </is>
      </c>
      <c r="AK39" s="41" t="n">
        <v>0.1</v>
      </c>
      <c r="AL39" s="36">
        <f>IF(AH39="","",AH39*AK39)</f>
        <v/>
      </c>
      <c r="AM39" s="36">
        <f>IF(OR(AH39="",S39=0),"",MIN(IF(AU39="",9.9E+99,AU39),FLOOR(AL39/S39,1)))</f>
        <v/>
      </c>
      <c r="AN39" s="40">
        <f>IF(AM39="","",AM39*IF(ABS(MOD(ABS((U39)),1)-0.5)&lt;1E-9,2*ROUND((U39)/2,0),ROUND((U39),0)))</f>
        <v/>
      </c>
      <c r="AO39" s="38">
        <f>IF(OR(AH39="",S39=0),"",MIN(IF(AU39="",9.9E+99,AU39),AL39/S39))</f>
        <v/>
      </c>
      <c r="AP39" s="40">
        <f>IF(AO39="","",AO39*IF(B39="South Korea",IF(ABS(MOD(ABS((U39)),1)-0.5)&lt;1E-9,2*ROUND((U39)/2,0),ROUND((U39),0)),U39))</f>
        <v/>
      </c>
      <c r="AQ39" s="42" t="n"/>
      <c r="AR39" s="34" t="inlineStr">
        <is>
          <t>Grounded</t>
        </is>
      </c>
      <c r="AS39" s="43" t="n"/>
      <c r="AT39" s="43" t="n"/>
      <c r="AU39" s="44" t="n"/>
      <c r="AV39" s="45">
        <f>IF(((T39*pax_cap*load_thin*IF(ABS(MOD(ABS((L39*M39*revleg_thin)),1)-0.5)&lt;1E-9,2*ROUND((L39*M39*revleg_thin)/2,0),ROUND((L39*M39*revleg_thin),0)))-(((battery/range_nm)*D39*IF(ABS(MOD(ABS((L39*M39*revleg_thin)),1)-0.5)&lt;1E-9,2*ROUND((L39*M39*revleg_thin)/2,0),ROUND((L39*M39*revleg_thin),0))*VLOOKUP(B39,country_opex,3,FALSE))+W39+X39+Y39+Z39+AA39))&lt;=0,"",VLOOKUP(B39,country_opex,7,FALSE)/((T39*pax_cap*load_thin*IF(ABS(MOD(ABS((L39*M39*revleg_thin)),1)-0.5)&lt;1E-9,2*ROUND((L39*M39*revleg_thin)/2,0),ROUND((L39*M39*revleg_thin),0)))-(((battery/range_nm)*D39*IF(ABS(MOD(ABS((L39*M39*revleg_thin)),1)-0.5)&lt;1E-9,2*ROUND((L39*M39*revleg_thin)/2,0),ROUND((L39*M39*revleg_thin),0))*VLOOKUP(B39,country_opex,3,FALSE))+W39+X39+Y39+Z39+AA39)))</f>
        <v/>
      </c>
      <c r="AW39" s="45">
        <f>IF(((T39*pax_cap*IF(B39="South Korea",korea_mid_load,load_mid)*IF(ABS(MOD(ABS((L39*M39*IF(B39="South Korea",korea_mid_revleg,revleg_mid))),1)-0.5)&lt;1E-9,2*ROUND((L39*M39*IF(B39="South Korea",korea_mid_revleg,revleg_mid))/2,0),ROUND((L39*M39*IF(B39="South Korea",korea_mid_revleg,revleg_mid)),0)))-(((battery/range_nm)*D39*IF(ABS(MOD(ABS((L39*M39*IF(B39="South Korea",korea_mid_revleg,revleg_mid))),1)-0.5)&lt;1E-9,2*ROUND((L39*M39*IF(B39="South Korea",korea_mid_revleg,revleg_mid))/2,0),ROUND((L39*M39*IF(B39="South Korea",korea_mid_revleg,revleg_mid)),0))*VLOOKUP(B39,country_opex,3,FALSE))+W39+X39+Y39+Z39+AA39))&lt;=0,"",VLOOKUP(B39,country_opex,7,FALSE)/((T39*pax_cap*IF(B39="South Korea",korea_mid_load,load_mid)*IF(ABS(MOD(ABS((L39*M39*IF(B39="South Korea",korea_mid_revleg,revleg_mid))),1)-0.5)&lt;1E-9,2*ROUND((L39*M39*IF(B39="South Korea",korea_mid_revleg,revleg_mid))/2,0),ROUND((L39*M39*IF(B39="South Korea",korea_mid_revleg,revleg_mid)),0)))-(((battery/range_nm)*D39*IF(ABS(MOD(ABS((L39*M39*IF(B39="South Korea",korea_mid_revleg,revleg_mid))),1)-0.5)&lt;1E-9,2*ROUND((L39*M39*IF(B39="South Korea",korea_mid_revleg,revleg_mid))/2,0),ROUND((L39*M39*IF(B39="South Korea",korea_mid_revleg,revleg_mid)),0))*VLOOKUP(B39,country_opex,3,FALSE))+W39+X39+Y39+Z39+AA39)))</f>
        <v/>
      </c>
      <c r="AX39" s="45">
        <f>IF(((T39*pax_cap*load_full*IF(ABS(MOD(ABS((L39*M39*revleg_full)),1)-0.5)&lt;1E-9,2*ROUND((L39*M39*revleg_full)/2,0),ROUND((L39*M39*revleg_full),0)))-(((battery/range_nm)*D39*IF(ABS(MOD(ABS((L39*M39*revleg_full)),1)-0.5)&lt;1E-9,2*ROUND((L39*M39*revleg_full)/2,0),ROUND((L39*M39*revleg_full),0))*VLOOKUP(B39,country_opex,3,FALSE))+W39+X39+Y39+Z39+AA39))&lt;=0,"",VLOOKUP(B39,country_opex,7,FALSE)/((T39*pax_cap*load_full*IF(ABS(MOD(ABS((L39*M39*revleg_full)),1)-0.5)&lt;1E-9,2*ROUND((L39*M39*revleg_full)/2,0),ROUND((L39*M39*revleg_full),0)))-(((battery/range_nm)*D39*IF(ABS(MOD(ABS((L39*M39*revleg_full)),1)-0.5)&lt;1E-9,2*ROUND((L39*M39*revleg_full)/2,0),ROUND((L39*M39*revleg_full),0))*VLOOKUP(B39,country_opex,3,FALSE))+W39+X39+Y39+Z39+AA39)))</f>
        <v/>
      </c>
      <c r="AY39" s="46" t="inlineStr">
        <is>
          <t>band_default</t>
        </is>
      </c>
      <c r="AZ39" s="46" t="inlineStr">
        <is>
          <t>KOMSA Tongyeong district coastal 2025</t>
        </is>
      </c>
      <c r="BA39" s="34" t="inlineStr">
        <is>
          <t>rn-649a78c56f95</t>
        </is>
      </c>
    </row>
    <row r="40">
      <c r="A40" s="31" t="inlineStr">
        <is>
          <t>Korea Swing</t>
        </is>
      </c>
      <c r="B40" s="31" t="inlineStr">
        <is>
          <t>South Korea</t>
        </is>
      </c>
      <c r="C40" s="32" t="inlineStr">
        <is>
          <t>Tongyeong Passenger Ferry Terminal → Geumodo Yeocheon Ferry Terminal</t>
        </is>
      </c>
      <c r="D40" s="33" t="n">
        <v>37.3</v>
      </c>
      <c r="E40" s="27" t="n">
        <v>22</v>
      </c>
      <c r="F40" s="34" t="inlineStr">
        <is>
          <t>T3</t>
        </is>
      </c>
      <c r="G40" s="34" t="inlineStr">
        <is>
          <t>low</t>
        </is>
      </c>
      <c r="H40" s="20" t="n">
        <v>1</v>
      </c>
      <c r="I40" s="35">
        <f>60*D40/cruise_kt</f>
        <v/>
      </c>
      <c r="J40" s="35">
        <f>IF(B40="South Korea",D40/korea_charge_range_nm*korea_full_range_charge_min,0)</f>
        <v/>
      </c>
      <c r="K40" s="35">
        <f>IF(B40="South Korea",I40+korea_turn_min+korea_dwell_min+J40,I40+turn_min+dwell_min)</f>
        <v/>
      </c>
      <c r="L40" s="36">
        <f>IF(B40="South Korea",FLOOR(60*korea_service_hr/K40,1),MIN(15,FLOOR(60*service_hr/K40,1)))</f>
        <v/>
      </c>
      <c r="M40" s="36">
        <f>IF(ABS(MOD(ABS((365*mech_uptime*H40)),1)-0.5)&lt;1E-9,2*ROUND((365*mech_uptime*H40)/2,0),ROUND((365*mech_uptime*H40),0))</f>
        <v/>
      </c>
      <c r="N40" s="37">
        <f>mech_uptime</f>
        <v/>
      </c>
      <c r="O40" s="37">
        <f>IF(AND(B40="South Korea",scenario="MID"),korea_mid_revleg,revleg_sel)</f>
        <v/>
      </c>
      <c r="P40" s="36">
        <f>IF(ABS(MOD(ABS((L40*M40*O40)),1)-0.5)&lt;1E-9,2*ROUND((L40*M40*O40)/2,0),ROUND((L40*M40*O40),0))</f>
        <v/>
      </c>
      <c r="Q40" s="37">
        <f>IF(AND(B40="South Korea",scenario="MID"),korea_mid_load,load_sel)</f>
        <v/>
      </c>
      <c r="R40" s="38">
        <f>pax_cap*Q40</f>
        <v/>
      </c>
      <c r="S40" s="36">
        <f>R40*P40</f>
        <v/>
      </c>
      <c r="T40" s="39">
        <f>E40*discount</f>
        <v/>
      </c>
      <c r="U40" s="40">
        <f>T40*S40</f>
        <v/>
      </c>
      <c r="V40" s="40">
        <f>(battery/range_nm)*D40*P40*VLOOKUP(B40,country_opex,3,FALSE)</f>
        <v/>
      </c>
      <c r="W40" s="40">
        <f>VLOOKUP(B40,country_opex,2,FALSE)*crew_factor</f>
        <v/>
      </c>
      <c r="X40" s="40">
        <f>VLOOKUP(B40,country_opex,5,FALSE)</f>
        <v/>
      </c>
      <c r="Y40" s="40">
        <f>maint</f>
        <v/>
      </c>
      <c r="Z40" s="40">
        <f>VLOOKUP(B40,country_opex,7,FALSE)*ins_pct</f>
        <v/>
      </c>
      <c r="AA40" s="40">
        <f>charge_berth</f>
        <v/>
      </c>
      <c r="AB40" s="40">
        <f>V40+W40+X40+Y40+Z40+AA40</f>
        <v/>
      </c>
      <c r="AC40" s="40">
        <f>VLOOKUP(B40,country_opex,7,FALSE)/dep_years</f>
        <v/>
      </c>
      <c r="AD40" s="40">
        <f>U40-AB40</f>
        <v/>
      </c>
      <c r="AE40" s="37">
        <f>IF(U40=0,"",AD40/U40)</f>
        <v/>
      </c>
      <c r="AF40" s="38">
        <f>IF(AD40&lt;=0,"",VLOOKUP(B40,country_opex,7,FALSE)/AD40)</f>
        <v/>
      </c>
      <c r="AG40" s="35">
        <f>((D40*P40/diesel_nmpg)*diesel_co2pg-(battery/range_nm)*D40*P40*VLOOKUP(B40,country_opex,4,FALSE))/1000</f>
        <v/>
      </c>
      <c r="AH40" s="33" t="n">
        <v>134248</v>
      </c>
      <c r="AI40" s="34" t="inlineStr">
        <is>
          <t>T1</t>
        </is>
      </c>
      <c r="AJ40" s="34" t="inlineStr">
        <is>
          <t>high</t>
        </is>
      </c>
      <c r="AK40" s="41" t="n">
        <v>0.1</v>
      </c>
      <c r="AL40" s="36">
        <f>IF(AH40="","",AH40*AK40)</f>
        <v/>
      </c>
      <c r="AM40" s="36">
        <f>IF(OR(AH40="",S40=0),"",MIN(IF(AU40="",9.9E+99,AU40),FLOOR(AL40/S40,1)))</f>
        <v/>
      </c>
      <c r="AN40" s="40">
        <f>IF(AM40="","",AM40*IF(ABS(MOD(ABS((U40)),1)-0.5)&lt;1E-9,2*ROUND((U40)/2,0),ROUND((U40),0)))</f>
        <v/>
      </c>
      <c r="AO40" s="38">
        <f>IF(OR(AH40="",S40=0),"",MIN(IF(AU40="",9.9E+99,AU40),AL40/S40))</f>
        <v/>
      </c>
      <c r="AP40" s="40">
        <f>IF(AO40="","",AO40*IF(B40="South Korea",IF(ABS(MOD(ABS((U40)),1)-0.5)&lt;1E-9,2*ROUND((U40)/2,0),ROUND((U40),0)),U40))</f>
        <v/>
      </c>
      <c r="AQ40" s="42" t="n"/>
      <c r="AR40" s="34" t="inlineStr">
        <is>
          <t>Grounded</t>
        </is>
      </c>
      <c r="AS40" s="43" t="n"/>
      <c r="AT40" s="43" t="n"/>
      <c r="AU40" s="44" t="n"/>
      <c r="AV40" s="45">
        <f>IF(((T40*pax_cap*load_thin*IF(ABS(MOD(ABS((L40*M40*revleg_thin)),1)-0.5)&lt;1E-9,2*ROUND((L40*M40*revleg_thin)/2,0),ROUND((L40*M40*revleg_thin),0)))-(((battery/range_nm)*D40*IF(ABS(MOD(ABS((L40*M40*revleg_thin)),1)-0.5)&lt;1E-9,2*ROUND((L40*M40*revleg_thin)/2,0),ROUND((L40*M40*revleg_thin),0))*VLOOKUP(B40,country_opex,3,FALSE))+W40+X40+Y40+Z40+AA40))&lt;=0,"",VLOOKUP(B40,country_opex,7,FALSE)/((T40*pax_cap*load_thin*IF(ABS(MOD(ABS((L40*M40*revleg_thin)),1)-0.5)&lt;1E-9,2*ROUND((L40*M40*revleg_thin)/2,0),ROUND((L40*M40*revleg_thin),0)))-(((battery/range_nm)*D40*IF(ABS(MOD(ABS((L40*M40*revleg_thin)),1)-0.5)&lt;1E-9,2*ROUND((L40*M40*revleg_thin)/2,0),ROUND((L40*M40*revleg_thin),0))*VLOOKUP(B40,country_opex,3,FALSE))+W40+X40+Y40+Z40+AA40)))</f>
        <v/>
      </c>
      <c r="AW40" s="45">
        <f>IF(((T40*pax_cap*IF(B40="South Korea",korea_mid_load,load_mid)*IF(ABS(MOD(ABS((L40*M40*IF(B40="South Korea",korea_mid_revleg,revleg_mid))),1)-0.5)&lt;1E-9,2*ROUND((L40*M40*IF(B40="South Korea",korea_mid_revleg,revleg_mid))/2,0),ROUND((L40*M40*IF(B40="South Korea",korea_mid_revleg,revleg_mid)),0)))-(((battery/range_nm)*D40*IF(ABS(MOD(ABS((L40*M40*IF(B40="South Korea",korea_mid_revleg,revleg_mid))),1)-0.5)&lt;1E-9,2*ROUND((L40*M40*IF(B40="South Korea",korea_mid_revleg,revleg_mid))/2,0),ROUND((L40*M40*IF(B40="South Korea",korea_mid_revleg,revleg_mid)),0))*VLOOKUP(B40,country_opex,3,FALSE))+W40+X40+Y40+Z40+AA40))&lt;=0,"",VLOOKUP(B40,country_opex,7,FALSE)/((T40*pax_cap*IF(B40="South Korea",korea_mid_load,load_mid)*IF(ABS(MOD(ABS((L40*M40*IF(B40="South Korea",korea_mid_revleg,revleg_mid))),1)-0.5)&lt;1E-9,2*ROUND((L40*M40*IF(B40="South Korea",korea_mid_revleg,revleg_mid))/2,0),ROUND((L40*M40*IF(B40="South Korea",korea_mid_revleg,revleg_mid)),0)))-(((battery/range_nm)*D40*IF(ABS(MOD(ABS((L40*M40*IF(B40="South Korea",korea_mid_revleg,revleg_mid))),1)-0.5)&lt;1E-9,2*ROUND((L40*M40*IF(B40="South Korea",korea_mid_revleg,revleg_mid))/2,0),ROUND((L40*M40*IF(B40="South Korea",korea_mid_revleg,revleg_mid)),0))*VLOOKUP(B40,country_opex,3,FALSE))+W40+X40+Y40+Z40+AA40)))</f>
        <v/>
      </c>
      <c r="AX40" s="45">
        <f>IF(((T40*pax_cap*load_full*IF(ABS(MOD(ABS((L40*M40*revleg_full)),1)-0.5)&lt;1E-9,2*ROUND((L40*M40*revleg_full)/2,0),ROUND((L40*M40*revleg_full),0)))-(((battery/range_nm)*D40*IF(ABS(MOD(ABS((L40*M40*revleg_full)),1)-0.5)&lt;1E-9,2*ROUND((L40*M40*revleg_full)/2,0),ROUND((L40*M40*revleg_full),0))*VLOOKUP(B40,country_opex,3,FALSE))+W40+X40+Y40+Z40+AA40))&lt;=0,"",VLOOKUP(B40,country_opex,7,FALSE)/((T40*pax_cap*load_full*IF(ABS(MOD(ABS((L40*M40*revleg_full)),1)-0.5)&lt;1E-9,2*ROUND((L40*M40*revleg_full)/2,0),ROUND((L40*M40*revleg_full),0)))-(((battery/range_nm)*D40*IF(ABS(MOD(ABS((L40*M40*revleg_full)),1)-0.5)&lt;1E-9,2*ROUND((L40*M40*revleg_full)/2,0),ROUND((L40*M40*revleg_full),0))*VLOOKUP(B40,country_opex,3,FALSE))+W40+X40+Y40+Z40+AA40)))</f>
        <v/>
      </c>
      <c r="AY40" s="46" t="inlineStr">
        <is>
          <t>band_default</t>
        </is>
      </c>
      <c r="AZ40" s="46" t="inlineStr">
        <is>
          <t>KOMSA Tongyeong district coastal 2025</t>
        </is>
      </c>
      <c r="BA40" s="34" t="inlineStr">
        <is>
          <t>rn-ba28d38bee02</t>
        </is>
      </c>
    </row>
    <row r="41">
      <c r="A41" s="31" t="inlineStr">
        <is>
          <t>Korea Swing</t>
        </is>
      </c>
      <c r="B41" s="31" t="inlineStr">
        <is>
          <t>South Korea</t>
        </is>
      </c>
      <c r="C41" s="32" t="inlineStr">
        <is>
          <t>Busan Coastal Ferry Terminal (Yeonan Yeogaek — Jeju line) → Yokjido Island ferry pier</t>
        </is>
      </c>
      <c r="D41" s="33" t="n">
        <v>49</v>
      </c>
      <c r="E41" s="27" t="n">
        <v>6.14</v>
      </c>
      <c r="F41" s="34" t="inlineStr">
        <is>
          <t>T1</t>
        </is>
      </c>
      <c r="G41" s="34" t="inlineStr">
        <is>
          <t>high</t>
        </is>
      </c>
      <c r="H41" s="20" t="n">
        <v>1</v>
      </c>
      <c r="I41" s="35">
        <f>60*D41/cruise_kt</f>
        <v/>
      </c>
      <c r="J41" s="35">
        <f>IF(B41="South Korea",D41/korea_charge_range_nm*korea_full_range_charge_min,0)</f>
        <v/>
      </c>
      <c r="K41" s="35">
        <f>IF(B41="South Korea",I41+korea_turn_min+korea_dwell_min+J41,I41+turn_min+dwell_min)</f>
        <v/>
      </c>
      <c r="L41" s="36">
        <f>IF(B41="South Korea",FLOOR(60*korea_service_hr/K41,1),MIN(15,FLOOR(60*service_hr/K41,1)))</f>
        <v/>
      </c>
      <c r="M41" s="36">
        <f>IF(ABS(MOD(ABS((365*mech_uptime*H41)),1)-0.5)&lt;1E-9,2*ROUND((365*mech_uptime*H41)/2,0),ROUND((365*mech_uptime*H41),0))</f>
        <v/>
      </c>
      <c r="N41" s="37">
        <f>mech_uptime</f>
        <v/>
      </c>
      <c r="O41" s="37">
        <f>IF(AND(B41="South Korea",scenario="MID"),korea_mid_revleg,revleg_sel)</f>
        <v/>
      </c>
      <c r="P41" s="36">
        <f>IF(ABS(MOD(ABS((L41*M41*O41)),1)-0.5)&lt;1E-9,2*ROUND((L41*M41*O41)/2,0),ROUND((L41*M41*O41),0))</f>
        <v/>
      </c>
      <c r="Q41" s="37">
        <f>IF(AND(B41="South Korea",scenario="MID"),korea_mid_load,load_sel)</f>
        <v/>
      </c>
      <c r="R41" s="38">
        <f>pax_cap*Q41</f>
        <v/>
      </c>
      <c r="S41" s="36">
        <f>R41*P41</f>
        <v/>
      </c>
      <c r="T41" s="39">
        <f>E41*discount</f>
        <v/>
      </c>
      <c r="U41" s="40">
        <f>T41*S41</f>
        <v/>
      </c>
      <c r="V41" s="40">
        <f>(battery/range_nm)*D41*P41*VLOOKUP(B41,country_opex,3,FALSE)</f>
        <v/>
      </c>
      <c r="W41" s="40">
        <f>VLOOKUP(B41,country_opex,2,FALSE)*crew_factor</f>
        <v/>
      </c>
      <c r="X41" s="40">
        <f>VLOOKUP(B41,country_opex,5,FALSE)</f>
        <v/>
      </c>
      <c r="Y41" s="40">
        <f>maint</f>
        <v/>
      </c>
      <c r="Z41" s="40">
        <f>VLOOKUP(B41,country_opex,7,FALSE)*ins_pct</f>
        <v/>
      </c>
      <c r="AA41" s="40">
        <f>charge_berth</f>
        <v/>
      </c>
      <c r="AB41" s="40">
        <f>V41+W41+X41+Y41+Z41+AA41</f>
        <v/>
      </c>
      <c r="AC41" s="40">
        <f>VLOOKUP(B41,country_opex,7,FALSE)/dep_years</f>
        <v/>
      </c>
      <c r="AD41" s="40">
        <f>U41-AB41</f>
        <v/>
      </c>
      <c r="AE41" s="37">
        <f>IF(U41=0,"",AD41/U41)</f>
        <v/>
      </c>
      <c r="AF41" s="38">
        <f>IF(AD41&lt;=0,"",VLOOKUP(B41,country_opex,7,FALSE)/AD41)</f>
        <v/>
      </c>
      <c r="AG41" s="35">
        <f>((D41*P41/diesel_nmpg)*diesel_co2pg-(battery/range_nm)*D41*P41*VLOOKUP(B41,country_opex,4,FALSE))/1000</f>
        <v/>
      </c>
      <c r="AH41" s="33" t="n">
        <v>134248</v>
      </c>
      <c r="AI41" s="34" t="inlineStr">
        <is>
          <t>T1</t>
        </is>
      </c>
      <c r="AJ41" s="34" t="inlineStr">
        <is>
          <t>high</t>
        </is>
      </c>
      <c r="AK41" s="41" t="n">
        <v>0.1</v>
      </c>
      <c r="AL41" s="36">
        <f>IF(AH41="","",AH41*AK41)</f>
        <v/>
      </c>
      <c r="AM41" s="36">
        <f>IF(OR(AH41="",S41=0),"",MIN(IF(AU41="",9.9E+99,AU41),FLOOR(AL41/S41,1)))</f>
        <v/>
      </c>
      <c r="AN41" s="40">
        <f>IF(AM41="","",AM41*IF(ABS(MOD(ABS((U41)),1)-0.5)&lt;1E-9,2*ROUND((U41)/2,0),ROUND((U41),0)))</f>
        <v/>
      </c>
      <c r="AO41" s="38">
        <f>IF(OR(AH41="",S41=0),"",MIN(IF(AU41="",9.9E+99,AU41),AL41/S41))</f>
        <v/>
      </c>
      <c r="AP41" s="40">
        <f>IF(AO41="","",AO41*IF(B41="South Korea",IF(ABS(MOD(ABS((U41)),1)-0.5)&lt;1E-9,2*ROUND((U41)/2,0),ROUND((U41),0)),U41))</f>
        <v/>
      </c>
      <c r="AQ41" s="42" t="n"/>
      <c r="AR41" s="34" t="inlineStr">
        <is>
          <t>Grounded</t>
        </is>
      </c>
      <c r="AS41" s="43" t="n"/>
      <c r="AT41" s="43" t="n"/>
      <c r="AU41" s="44" t="n"/>
      <c r="AV41" s="45">
        <f>IF(((T41*pax_cap*load_thin*IF(ABS(MOD(ABS((L41*M41*revleg_thin)),1)-0.5)&lt;1E-9,2*ROUND((L41*M41*revleg_thin)/2,0),ROUND((L41*M41*revleg_thin),0)))-(((battery/range_nm)*D41*IF(ABS(MOD(ABS((L41*M41*revleg_thin)),1)-0.5)&lt;1E-9,2*ROUND((L41*M41*revleg_thin)/2,0),ROUND((L41*M41*revleg_thin),0))*VLOOKUP(B41,country_opex,3,FALSE))+W41+X41+Y41+Z41+AA41))&lt;=0,"",VLOOKUP(B41,country_opex,7,FALSE)/((T41*pax_cap*load_thin*IF(ABS(MOD(ABS((L41*M41*revleg_thin)),1)-0.5)&lt;1E-9,2*ROUND((L41*M41*revleg_thin)/2,0),ROUND((L41*M41*revleg_thin),0)))-(((battery/range_nm)*D41*IF(ABS(MOD(ABS((L41*M41*revleg_thin)),1)-0.5)&lt;1E-9,2*ROUND((L41*M41*revleg_thin)/2,0),ROUND((L41*M41*revleg_thin),0))*VLOOKUP(B41,country_opex,3,FALSE))+W41+X41+Y41+Z41+AA41)))</f>
        <v/>
      </c>
      <c r="AW41" s="45">
        <f>IF(((T41*pax_cap*IF(B41="South Korea",korea_mid_load,load_mid)*IF(ABS(MOD(ABS((L41*M41*IF(B41="South Korea",korea_mid_revleg,revleg_mid))),1)-0.5)&lt;1E-9,2*ROUND((L41*M41*IF(B41="South Korea",korea_mid_revleg,revleg_mid))/2,0),ROUND((L41*M41*IF(B41="South Korea",korea_mid_revleg,revleg_mid)),0)))-(((battery/range_nm)*D41*IF(ABS(MOD(ABS((L41*M41*IF(B41="South Korea",korea_mid_revleg,revleg_mid))),1)-0.5)&lt;1E-9,2*ROUND((L41*M41*IF(B41="South Korea",korea_mid_revleg,revleg_mid))/2,0),ROUND((L41*M41*IF(B41="South Korea",korea_mid_revleg,revleg_mid)),0))*VLOOKUP(B41,country_opex,3,FALSE))+W41+X41+Y41+Z41+AA41))&lt;=0,"",VLOOKUP(B41,country_opex,7,FALSE)/((T41*pax_cap*IF(B41="South Korea",korea_mid_load,load_mid)*IF(ABS(MOD(ABS((L41*M41*IF(B41="South Korea",korea_mid_revleg,revleg_mid))),1)-0.5)&lt;1E-9,2*ROUND((L41*M41*IF(B41="South Korea",korea_mid_revleg,revleg_mid))/2,0),ROUND((L41*M41*IF(B41="South Korea",korea_mid_revleg,revleg_mid)),0)))-(((battery/range_nm)*D41*IF(ABS(MOD(ABS((L41*M41*IF(B41="South Korea",korea_mid_revleg,revleg_mid))),1)-0.5)&lt;1E-9,2*ROUND((L41*M41*IF(B41="South Korea",korea_mid_revleg,revleg_mid))/2,0),ROUND((L41*M41*IF(B41="South Korea",korea_mid_revleg,revleg_mid)),0))*VLOOKUP(B41,country_opex,3,FALSE))+W41+X41+Y41+Z41+AA41)))</f>
        <v/>
      </c>
      <c r="AX41" s="45">
        <f>IF(((T41*pax_cap*load_full*IF(ABS(MOD(ABS((L41*M41*revleg_full)),1)-0.5)&lt;1E-9,2*ROUND((L41*M41*revleg_full)/2,0),ROUND((L41*M41*revleg_full),0)))-(((battery/range_nm)*D41*IF(ABS(MOD(ABS((L41*M41*revleg_full)),1)-0.5)&lt;1E-9,2*ROUND((L41*M41*revleg_full)/2,0),ROUND((L41*M41*revleg_full),0))*VLOOKUP(B41,country_opex,3,FALSE))+W41+X41+Y41+Z41+AA41))&lt;=0,"",VLOOKUP(B41,country_opex,7,FALSE)/((T41*pax_cap*load_full*IF(ABS(MOD(ABS((L41*M41*revleg_full)),1)-0.5)&lt;1E-9,2*ROUND((L41*M41*revleg_full)/2,0),ROUND((L41*M41*revleg_full),0)))-(((battery/range_nm)*D41*IF(ABS(MOD(ABS((L41*M41*revleg_full)),1)-0.5)&lt;1E-9,2*ROUND((L41*M41*revleg_full)/2,0),ROUND((L41*M41*revleg_full),0))*VLOOKUP(B41,country_opex,3,FALSE))+W41+X41+Y41+Z41+AA41)))</f>
        <v/>
      </c>
      <c r="AY41" s="46" t="inlineStr">
        <is>
          <t>KOREA-L3-SOURCING</t>
        </is>
      </c>
      <c r="AZ41" s="46" t="inlineStr">
        <is>
          <t>KOMSA Tongyeong district coastal 2025</t>
        </is>
      </c>
      <c r="BA41" s="34" t="inlineStr">
        <is>
          <t>rn-0bf2689ed1c9</t>
        </is>
      </c>
    </row>
    <row r="42">
      <c r="A42" s="31" t="inlineStr">
        <is>
          <t>Korea Swing</t>
        </is>
      </c>
      <c r="B42" s="31" t="inlineStr">
        <is>
          <t>South Korea</t>
        </is>
      </c>
      <c r="C42" s="32" t="inlineStr">
        <is>
          <t>Busan Coastal Ferry Terminal (Yeonan Yeogaek — Jeju line) → Saryangdo Island ferry pier</t>
        </is>
      </c>
      <c r="D42" s="33" t="n">
        <v>54.8</v>
      </c>
      <c r="E42" s="27" t="n">
        <v>18</v>
      </c>
      <c r="F42" s="34" t="inlineStr">
        <is>
          <t>T1</t>
        </is>
      </c>
      <c r="G42" s="34" t="inlineStr">
        <is>
          <t>high</t>
        </is>
      </c>
      <c r="H42" s="20" t="n">
        <v>1</v>
      </c>
      <c r="I42" s="35">
        <f>60*D42/cruise_kt</f>
        <v/>
      </c>
      <c r="J42" s="35">
        <f>IF(B42="South Korea",D42/korea_charge_range_nm*korea_full_range_charge_min,0)</f>
        <v/>
      </c>
      <c r="K42" s="35">
        <f>IF(B42="South Korea",I42+korea_turn_min+korea_dwell_min+J42,I42+turn_min+dwell_min)</f>
        <v/>
      </c>
      <c r="L42" s="36">
        <f>IF(B42="South Korea",FLOOR(60*korea_service_hr/K42,1),MIN(15,FLOOR(60*service_hr/K42,1)))</f>
        <v/>
      </c>
      <c r="M42" s="36">
        <f>IF(ABS(MOD(ABS((365*mech_uptime*H42)),1)-0.5)&lt;1E-9,2*ROUND((365*mech_uptime*H42)/2,0),ROUND((365*mech_uptime*H42),0))</f>
        <v/>
      </c>
      <c r="N42" s="37">
        <f>mech_uptime</f>
        <v/>
      </c>
      <c r="O42" s="37">
        <f>IF(AND(B42="South Korea",scenario="MID"),korea_mid_revleg,revleg_sel)</f>
        <v/>
      </c>
      <c r="P42" s="36">
        <f>IF(ABS(MOD(ABS((L42*M42*O42)),1)-0.5)&lt;1E-9,2*ROUND((L42*M42*O42)/2,0),ROUND((L42*M42*O42),0))</f>
        <v/>
      </c>
      <c r="Q42" s="37">
        <f>IF(AND(B42="South Korea",scenario="MID"),korea_mid_load,load_sel)</f>
        <v/>
      </c>
      <c r="R42" s="38">
        <f>pax_cap*Q42</f>
        <v/>
      </c>
      <c r="S42" s="36">
        <f>R42*P42</f>
        <v/>
      </c>
      <c r="T42" s="39">
        <f>E42*discount</f>
        <v/>
      </c>
      <c r="U42" s="40">
        <f>T42*S42</f>
        <v/>
      </c>
      <c r="V42" s="40">
        <f>(battery/range_nm)*D42*P42*VLOOKUP(B42,country_opex,3,FALSE)</f>
        <v/>
      </c>
      <c r="W42" s="40">
        <f>VLOOKUP(B42,country_opex,2,FALSE)*crew_factor</f>
        <v/>
      </c>
      <c r="X42" s="40">
        <f>VLOOKUP(B42,country_opex,5,FALSE)</f>
        <v/>
      </c>
      <c r="Y42" s="40">
        <f>maint</f>
        <v/>
      </c>
      <c r="Z42" s="40">
        <f>VLOOKUP(B42,country_opex,7,FALSE)*ins_pct</f>
        <v/>
      </c>
      <c r="AA42" s="40">
        <f>charge_berth</f>
        <v/>
      </c>
      <c r="AB42" s="40">
        <f>V42+W42+X42+Y42+Z42+AA42</f>
        <v/>
      </c>
      <c r="AC42" s="40">
        <f>VLOOKUP(B42,country_opex,7,FALSE)/dep_years</f>
        <v/>
      </c>
      <c r="AD42" s="40">
        <f>U42-AB42</f>
        <v/>
      </c>
      <c r="AE42" s="37">
        <f>IF(U42=0,"",AD42/U42)</f>
        <v/>
      </c>
      <c r="AF42" s="38">
        <f>IF(AD42&lt;=0,"",VLOOKUP(B42,country_opex,7,FALSE)/AD42)</f>
        <v/>
      </c>
      <c r="AG42" s="35">
        <f>((D42*P42/diesel_nmpg)*diesel_co2pg-(battery/range_nm)*D42*P42*VLOOKUP(B42,country_opex,4,FALSE))/1000</f>
        <v/>
      </c>
      <c r="AH42" s="33" t="n">
        <v>134248</v>
      </c>
      <c r="AI42" s="34" t="inlineStr">
        <is>
          <t>T1</t>
        </is>
      </c>
      <c r="AJ42" s="34" t="inlineStr">
        <is>
          <t>high</t>
        </is>
      </c>
      <c r="AK42" s="41" t="n">
        <v>0.1</v>
      </c>
      <c r="AL42" s="36">
        <f>IF(AH42="","",AH42*AK42)</f>
        <v/>
      </c>
      <c r="AM42" s="36">
        <f>IF(OR(AH42="",S42=0),"",MIN(IF(AU42="",9.9E+99,AU42),FLOOR(AL42/S42,1)))</f>
        <v/>
      </c>
      <c r="AN42" s="40">
        <f>IF(AM42="","",AM42*IF(ABS(MOD(ABS((U42)),1)-0.5)&lt;1E-9,2*ROUND((U42)/2,0),ROUND((U42),0)))</f>
        <v/>
      </c>
      <c r="AO42" s="38">
        <f>IF(OR(AH42="",S42=0),"",MIN(IF(AU42="",9.9E+99,AU42),AL42/S42))</f>
        <v/>
      </c>
      <c r="AP42" s="40">
        <f>IF(AO42="","",AO42*IF(B42="South Korea",IF(ABS(MOD(ABS((U42)),1)-0.5)&lt;1E-9,2*ROUND((U42)/2,0),ROUND((U42),0)),U42))</f>
        <v/>
      </c>
      <c r="AQ42" s="42" t="n"/>
      <c r="AR42" s="34" t="inlineStr">
        <is>
          <t>Grounded</t>
        </is>
      </c>
      <c r="AS42" s="43" t="n"/>
      <c r="AT42" s="43" t="n"/>
      <c r="AU42" s="44" t="n"/>
      <c r="AV42" s="45">
        <f>IF(((T42*pax_cap*load_thin*IF(ABS(MOD(ABS((L42*M42*revleg_thin)),1)-0.5)&lt;1E-9,2*ROUND((L42*M42*revleg_thin)/2,0),ROUND((L42*M42*revleg_thin),0)))-(((battery/range_nm)*D42*IF(ABS(MOD(ABS((L42*M42*revleg_thin)),1)-0.5)&lt;1E-9,2*ROUND((L42*M42*revleg_thin)/2,0),ROUND((L42*M42*revleg_thin),0))*VLOOKUP(B42,country_opex,3,FALSE))+W42+X42+Y42+Z42+AA42))&lt;=0,"",VLOOKUP(B42,country_opex,7,FALSE)/((T42*pax_cap*load_thin*IF(ABS(MOD(ABS((L42*M42*revleg_thin)),1)-0.5)&lt;1E-9,2*ROUND((L42*M42*revleg_thin)/2,0),ROUND((L42*M42*revleg_thin),0)))-(((battery/range_nm)*D42*IF(ABS(MOD(ABS((L42*M42*revleg_thin)),1)-0.5)&lt;1E-9,2*ROUND((L42*M42*revleg_thin)/2,0),ROUND((L42*M42*revleg_thin),0))*VLOOKUP(B42,country_opex,3,FALSE))+W42+X42+Y42+Z42+AA42)))</f>
        <v/>
      </c>
      <c r="AW42" s="45">
        <f>IF(((T42*pax_cap*IF(B42="South Korea",korea_mid_load,load_mid)*IF(ABS(MOD(ABS((L42*M42*IF(B42="South Korea",korea_mid_revleg,revleg_mid))),1)-0.5)&lt;1E-9,2*ROUND((L42*M42*IF(B42="South Korea",korea_mid_revleg,revleg_mid))/2,0),ROUND((L42*M42*IF(B42="South Korea",korea_mid_revleg,revleg_mid)),0)))-(((battery/range_nm)*D42*IF(ABS(MOD(ABS((L42*M42*IF(B42="South Korea",korea_mid_revleg,revleg_mid))),1)-0.5)&lt;1E-9,2*ROUND((L42*M42*IF(B42="South Korea",korea_mid_revleg,revleg_mid))/2,0),ROUND((L42*M42*IF(B42="South Korea",korea_mid_revleg,revleg_mid)),0))*VLOOKUP(B42,country_opex,3,FALSE))+W42+X42+Y42+Z42+AA42))&lt;=0,"",VLOOKUP(B42,country_opex,7,FALSE)/((T42*pax_cap*IF(B42="South Korea",korea_mid_load,load_mid)*IF(ABS(MOD(ABS((L42*M42*IF(B42="South Korea",korea_mid_revleg,revleg_mid))),1)-0.5)&lt;1E-9,2*ROUND((L42*M42*IF(B42="South Korea",korea_mid_revleg,revleg_mid))/2,0),ROUND((L42*M42*IF(B42="South Korea",korea_mid_revleg,revleg_mid)),0)))-(((battery/range_nm)*D42*IF(ABS(MOD(ABS((L42*M42*IF(B42="South Korea",korea_mid_revleg,revleg_mid))),1)-0.5)&lt;1E-9,2*ROUND((L42*M42*IF(B42="South Korea",korea_mid_revleg,revleg_mid))/2,0),ROUND((L42*M42*IF(B42="South Korea",korea_mid_revleg,revleg_mid)),0))*VLOOKUP(B42,country_opex,3,FALSE))+W42+X42+Y42+Z42+AA42)))</f>
        <v/>
      </c>
      <c r="AX42" s="45">
        <f>IF(((T42*pax_cap*load_full*IF(ABS(MOD(ABS((L42*M42*revleg_full)),1)-0.5)&lt;1E-9,2*ROUND((L42*M42*revleg_full)/2,0),ROUND((L42*M42*revleg_full),0)))-(((battery/range_nm)*D42*IF(ABS(MOD(ABS((L42*M42*revleg_full)),1)-0.5)&lt;1E-9,2*ROUND((L42*M42*revleg_full)/2,0),ROUND((L42*M42*revleg_full),0))*VLOOKUP(B42,country_opex,3,FALSE))+W42+X42+Y42+Z42+AA42))&lt;=0,"",VLOOKUP(B42,country_opex,7,FALSE)/((T42*pax_cap*load_full*IF(ABS(MOD(ABS((L42*M42*revleg_full)),1)-0.5)&lt;1E-9,2*ROUND((L42*M42*revleg_full)/2,0),ROUND((L42*M42*revleg_full),0)))-(((battery/range_nm)*D42*IF(ABS(MOD(ABS((L42*M42*revleg_full)),1)-0.5)&lt;1E-9,2*ROUND((L42*M42*revleg_full)/2,0),ROUND((L42*M42*revleg_full),0))*VLOOKUP(B42,country_opex,3,FALSE))+W42+X42+Y42+Z42+AA42)))</f>
        <v/>
      </c>
      <c r="AY42" s="46" t="inlineStr">
        <is>
          <t>[LB-255 PREMIUM RE-FARE: subsidized comparable $5.57 lifted to premium on-demand floor $18.0] KOREA-L3-SOURCING</t>
        </is>
      </c>
      <c r="AZ42" s="46" t="inlineStr">
        <is>
          <t>KOMSA Tongyeong district coastal 2025</t>
        </is>
      </c>
      <c r="BA42" s="34" t="inlineStr">
        <is>
          <t>rn-fd62bdd18267</t>
        </is>
      </c>
    </row>
    <row r="43">
      <c r="A43" s="47" t="inlineStr">
        <is>
          <t>TOTAL / median</t>
        </is>
      </c>
      <c r="U43" s="48">
        <f>SUM(U4:U42)</f>
        <v/>
      </c>
      <c r="AD43" s="48">
        <f>SUM(AD4:AD42)</f>
        <v/>
      </c>
      <c r="AE43" s="49">
        <f>IF(U43=0,"",AD43/U43)</f>
        <v/>
      </c>
      <c r="AM43" s="50">
        <f>SUM(AM4:AM42)</f>
        <v/>
      </c>
      <c r="AN43" s="48">
        <f>SUM(AN4:AN42)</f>
        <v/>
      </c>
    </row>
    <row r="45">
      <c r="A45" s="9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46">
      <c r="A46" s="25" t="inlineStr">
        <is>
          <t>Market</t>
        </is>
      </c>
      <c r="B46" s="25" t="inlineStr">
        <is>
          <t>Fleet basis</t>
        </is>
      </c>
      <c r="C46" s="25" t="inlineStr">
        <is>
          <t>Raw vessels (sum)</t>
        </is>
      </c>
      <c r="D46" s="25" t="inlineStr">
        <is>
          <t>Fleet (rounded once)</t>
        </is>
      </c>
      <c r="E46" s="25" t="inlineStr">
        <is>
          <t>Market rev/yr (raw sum)</t>
        </is>
      </c>
    </row>
    <row r="47">
      <c r="A47" s="26" t="inlineStr">
        <is>
          <t>Korea Swing</t>
        </is>
      </c>
      <c r="B47" s="14" t="inlineStr">
        <is>
          <t>network_sum / ceil</t>
        </is>
      </c>
      <c r="C47" s="24">
        <f>SUMIFS(AO4:AO42,A4:A42,"Korea Swing",AQ4:AQ42,"=",AR4:AR42,"Grounded")</f>
        <v/>
      </c>
      <c r="D47" s="51">
        <f>IF(C47=0,0,CEILING(C47,1))</f>
        <v/>
      </c>
      <c r="E47" s="52">
        <f>SUMIFS(AP4:AP42,A4:A42,"Korea Swing",AQ4:AQ42,"=",AR4:AR42,"Grounded")</f>
        <v/>
      </c>
    </row>
    <row r="48">
      <c r="A48" s="47" t="inlineStr">
        <is>
          <t>GROUNDED FLOOR (PUBLISHED)</t>
        </is>
      </c>
      <c r="D48" s="50">
        <f>SUM(D47:D47)</f>
        <v/>
      </c>
      <c r="E48" s="48">
        <f>SUM(E47:E47)</f>
        <v/>
      </c>
    </row>
    <row r="50">
      <c r="A50" s="53" t="inlineStr">
        <is>
          <t>Held for Quanta-LR (&gt;70nm, roadmap H2 2026+):</t>
        </is>
      </c>
      <c r="C50" s="54" t="inlineStr">
        <is>
          <t>Busan / Geoje → Fukuoka (Hakata) (109.8nm)</t>
        </is>
      </c>
    </row>
    <row r="51">
      <c r="C51" s="54" t="inlineStr">
        <is>
          <t>Busan / Geoje → Jeju (157.2nm)</t>
        </is>
      </c>
    </row>
  </sheetData>
  <mergeCells count="2">
    <mergeCell ref="A45:L45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9" t="inlineStr">
        <is>
          <t>Market sizing — how the grounded floor builds into SOM → SAM → TAM</t>
        </is>
      </c>
    </row>
    <row r="3">
      <c r="A3" s="10" t="inlineStr">
        <is>
          <t>Growth multipliers (bands: low / MID / high)</t>
        </is>
      </c>
    </row>
    <row r="4">
      <c r="A4" s="11" t="inlineStr">
        <is>
          <t>Multiplier</t>
        </is>
      </c>
      <c r="B4" s="11" t="inlineStr">
        <is>
          <t>Low</t>
        </is>
      </c>
      <c r="C4" s="11" t="inlineStr">
        <is>
          <t>MID</t>
        </is>
      </c>
      <c r="D4" s="11" t="inlineStr">
        <is>
          <t>High</t>
        </is>
      </c>
      <c r="E4" s="11" t="inlineStr">
        <is>
          <t>What it means</t>
        </is>
      </c>
    </row>
    <row r="5">
      <c r="A5" s="26" t="inlineStr">
        <is>
          <t>Induced demand (k)</t>
        </is>
      </c>
      <c r="B5" s="20" t="n">
        <v>1.3</v>
      </c>
      <c r="C5" s="20" t="n">
        <v>1.8</v>
      </c>
      <c r="D5" s="20" t="n">
        <v>2.5</v>
      </c>
      <c r="E5" s="15" t="inlineStr">
        <is>
          <t>Faster/quieter product grows the crossing market beyond today's trips.</t>
        </is>
      </c>
    </row>
    <row r="6">
      <c r="A6" s="26" t="inlineStr">
        <is>
          <t>Mature capture rate (c)</t>
        </is>
      </c>
      <c r="B6" s="41" t="n">
        <v>0.15</v>
      </c>
      <c r="C6" s="41" t="n">
        <v>0.25</v>
      </c>
      <c r="D6" s="41" t="n">
        <v>0.4</v>
      </c>
      <c r="E6" s="15" t="inlineStr">
        <is>
          <t>Navier's corridor share once it is the established premium default (vs 10% floor).</t>
        </is>
      </c>
    </row>
    <row r="7">
      <c r="A7" s="26" t="inlineStr">
        <is>
          <t>Journey GMV multiple (m)</t>
        </is>
      </c>
      <c r="B7" s="20" t="n">
        <v>2</v>
      </c>
      <c r="C7" s="20" t="n">
        <v>3</v>
      </c>
      <c r="D7" s="20" t="n">
        <v>4</v>
      </c>
      <c r="E7" s="15" t="inlineStr">
        <is>
          <t>Whole island-journey wallet (transport+food+stay+experiences) as a multiple of the boat fare.</t>
        </is>
      </c>
    </row>
    <row r="8">
      <c r="A8" s="26" t="inlineStr">
        <is>
          <t>Greenfield network factor (g)</t>
        </is>
      </c>
      <c r="B8" s="20" t="n">
        <v>3.44</v>
      </c>
      <c r="C8" s="20" t="n">
        <v>4.9</v>
      </c>
      <c r="D8" s="20" t="n">
        <v>6.36</v>
      </c>
      <c r="E8" s="15" t="inlineStr">
        <is>
          <t>Width lever: addressable network vs the sourced subset (ID-based census).</t>
        </is>
      </c>
    </row>
    <row r="9">
      <c r="A9" s="26" t="inlineStr">
        <is>
          <t>Platform take rate</t>
        </is>
      </c>
      <c r="C9" s="41" t="n">
        <v>0.18</v>
      </c>
      <c r="E9" s="15" t="inlineStr">
        <is>
          <t>Super-app blended commission on journey GMV (derived line only).</t>
        </is>
      </c>
    </row>
    <row r="11">
      <c r="A11" s="26" t="inlineStr">
        <is>
          <t>SOM capture rate (floor)</t>
        </is>
      </c>
      <c r="C11" s="55">
        <f>som_floor_rev/(ROUND(SUMPRODUCT(--('Corridor economics'!$AR$4:$AR$42="Grounded"),'Corridor economics'!$AH$4:$AH$42,'Corridor economics'!$E$4:$E$42),0))</f>
        <v/>
      </c>
      <c r="E11" s="15" t="inlineStr">
        <is>
          <t>New-entrant ~10% share of today's pool (= the published floor).</t>
        </is>
      </c>
    </row>
    <row r="13">
      <c r="A13" s="10" t="inlineStr">
        <is>
          <t>The ladder (live off the corridor floor)</t>
        </is>
      </c>
    </row>
    <row r="14">
      <c r="A14" s="11" t="inlineStr">
        <is>
          <t>Rung</t>
        </is>
      </c>
      <c r="B14" s="11" t="inlineStr">
        <is>
          <t>Low</t>
        </is>
      </c>
      <c r="C14" s="11" t="inlineStr">
        <is>
          <t>MID</t>
        </is>
      </c>
      <c r="D14" s="11" t="inlineStr">
        <is>
          <t>High</t>
        </is>
      </c>
      <c r="E14" s="11" t="inlineStr">
        <is>
          <t>Definition</t>
        </is>
      </c>
    </row>
    <row r="15">
      <c r="A15" s="26" t="inlineStr">
        <is>
          <t>SOM floor — Navier transport rev/yr (PUBLISHED)</t>
        </is>
      </c>
      <c r="C15" s="52">
        <f>som_floor_rev</f>
        <v/>
      </c>
      <c r="E15" s="15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6" t="inlineStr">
        <is>
          <t>M_today — model comparable-fare transport pool on sourced corridors</t>
        </is>
      </c>
      <c r="C16" s="52">
        <f>ROUND(SUMPRODUCT(--('Corridor economics'!$AR$4:$AR$42="Grounded"),'Corridor economics'!$AH$4:$AH$42,'Corridor economics'!$E$4:$E$42),0)</f>
        <v/>
      </c>
      <c r="E16" s="15" t="inlineStr">
        <is>
          <t>Direct sum of sourced one-way demand × the disclosed model comparable fare on grounded corridors; includes any labelled premium re-fare applied above and is independent of display-rounded capture.</t>
        </is>
      </c>
    </row>
    <row r="18">
      <c r="A18" s="26" t="inlineStr">
        <is>
          <t>SOM full network (~10% capture, today, +greenfield)</t>
        </is>
      </c>
      <c r="B18" s="52">
        <f>$C$16*$C$11*$B$8</f>
        <v/>
      </c>
      <c r="C18" s="52">
        <f>$C$16*$C$11*$C$8</f>
        <v/>
      </c>
      <c r="D18" s="52">
        <f>$C$16*$C$11*$D$8</f>
        <v/>
      </c>
      <c r="E18" s="15" t="inlineStr">
        <is>
          <t>Floor posture (~10% captive capture, today's demand) extended across the whole mapped network.</t>
        </is>
      </c>
    </row>
    <row r="19">
      <c r="A19" s="26" t="inlineStr">
        <is>
          <t>SAM — sourced corridors only (depth, no greenfield)</t>
        </is>
      </c>
      <c r="B19" s="52">
        <f>$C$16*$B$5*$B$6</f>
        <v/>
      </c>
      <c r="C19" s="52">
        <f>$C$16*$C$5*$C$6</f>
        <v/>
      </c>
      <c r="D19" s="52">
        <f>$C$16*$D$5*$D$6</f>
        <v/>
      </c>
      <c r="E19" s="15" t="inlineStr">
        <is>
          <t>Matured network on the sourced corridors alone: induced demand × mature capture.</t>
        </is>
      </c>
    </row>
    <row r="20">
      <c r="A20" s="26" t="inlineStr">
        <is>
          <t>SAM — Navier transport rev @ full network (HEADLINE)</t>
        </is>
      </c>
      <c r="B20" s="52">
        <f>$C$16*$B$5*$B$6*$B$8</f>
        <v/>
      </c>
      <c r="C20" s="52">
        <f>$C$16*$C$5*$C$6*$C$8</f>
        <v/>
      </c>
      <c r="D20" s="52">
        <f>$C$16*$D$5*$D$6*$D$8</f>
        <v/>
      </c>
      <c r="E20" s="15" t="inlineStr">
        <is>
          <t>Matured across the full addressable network: induced × mature capture × greenfield width.</t>
        </is>
      </c>
    </row>
    <row r="21">
      <c r="A21" s="26" t="inlineStr">
        <is>
          <t>Marine mobility TAM — induced marine-transfer market (LB-110)</t>
        </is>
      </c>
      <c r="B21" s="52">
        <f>$C$16*$B$5*$B$8</f>
        <v/>
      </c>
      <c r="C21" s="52">
        <f>$C$16*$C$5*$C$8</f>
        <v/>
      </c>
      <c r="D21" s="52">
        <f>$C$16*$D$5*$D$8</f>
        <v/>
      </c>
      <c r="E21" s="15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6" t="inlineStr">
        <is>
          <t>Journey GMV — induced crossing × multiple (was TAM journey GMV)</t>
        </is>
      </c>
      <c r="B22" s="52">
        <f>$C$16*$B$5*$B$7*$B$8</f>
        <v/>
      </c>
      <c r="C22" s="52">
        <f>$C$16*$C$5*$C$7*$C$8</f>
        <v/>
      </c>
      <c r="D22" s="52">
        <f>$C$16*$D$5*$D$7*$D$8</f>
        <v/>
      </c>
      <c r="E22" s="15" t="inlineStr">
        <is>
          <t>Whole-journey spend (transport+food+stay+experiences) across the induced crossing market on the full network. Marine TAM × journey GMV multiple.</t>
        </is>
      </c>
    </row>
    <row r="23">
      <c r="A23" s="26" t="inlineStr">
        <is>
          <t>Journey GMV routed through Navier network</t>
        </is>
      </c>
      <c r="B23" s="52">
        <f>$C$16*$B$5*$B$6*$B$7*$B$8</f>
        <v/>
      </c>
      <c r="C23" s="52">
        <f>$C$16*$C$5*$C$6*$C$7*$C$8</f>
        <v/>
      </c>
      <c r="D23" s="52">
        <f>$C$16*$D$5*$D$6*$D$7*$D$8</f>
        <v/>
      </c>
      <c r="E23" s="15" t="inlineStr">
        <is>
          <t>Journey GMV on Navier-carried trips only.</t>
        </is>
      </c>
    </row>
    <row r="24">
      <c r="A24" s="26" t="inlineStr">
        <is>
          <t>Partner platform revenue on Navier (LB-113 — on-Navier subset, not 18% of full Journey GMV)</t>
        </is>
      </c>
      <c r="B24" s="52">
        <f>$C$16*$B$5*$B$6*$B$7*$B$8*$C$9</f>
        <v/>
      </c>
      <c r="C24" s="52">
        <f>$C$16*$C$5*$C$6*$C$7*$C$8*$C$9</f>
        <v/>
      </c>
      <c r="D24" s="52">
        <f>$C$16*$D$5*$D$6*$D$7*$D$8*$C$9</f>
        <v/>
      </c>
      <c r="E24" s="15" t="inlineStr">
        <is>
          <t>The super-app's own commission — the number a platform partner cares about.</t>
        </is>
      </c>
    </row>
    <row r="26">
      <c r="A26" s="56" t="inlineStr">
        <is>
          <t>Note</t>
        </is>
      </c>
      <c r="B26" s="57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2026-07-20T06:57:00Z</dcterms:created>
  <dcterms:modified xsi:type="dcterms:W3CDTF">2026-07-20T06:57:01Z</dcterms:modified>
</cp:coreProperties>
</file>