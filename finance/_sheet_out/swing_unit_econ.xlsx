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opex'!$A$4:$G$4</definedName>
    <definedName name="som_floor_fleet">'Corridor economics'!$D$18</definedName>
    <definedName name="som_floor_rev">'Corridor economics'!$E$18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Swing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Singapore</t>
        </is>
      </c>
      <c r="B4" s="26" t="n">
        <v>48000</v>
      </c>
      <c r="C4" s="27" t="n">
        <v>0.21</v>
      </c>
      <c r="D4" s="19" t="n">
        <v>0.4</v>
      </c>
      <c r="E4" s="26" t="n">
        <v>20000</v>
      </c>
      <c r="F4" s="19" t="n">
        <v>1</v>
      </c>
      <c r="G4" s="26" t="n">
        <v>600000</v>
      </c>
      <c r="H4" s="14" t="inlineStr">
        <is>
          <t>Modeled SG marine crew ~SGD 4-5k/mo blended | SG regulated tariff 28.1c SGD = $0.21 | SG high-cost berth modeled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1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Swing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Swing Korea</t>
        </is>
      </c>
      <c r="B4" s="29" t="inlineStr">
        <is>
          <t>Singapore</t>
        </is>
      </c>
      <c r="C4" s="30" t="inlineStr">
        <is>
          <t>Hide-water-body NE-monsoon + W-Pacific typhoon-recurve DUAL operational overlay → Busan / Geoje / Hallyeo, Korea</t>
        </is>
      </c>
      <c r="D4" s="31" t="n">
        <v>2.3</v>
      </c>
      <c r="E4" s="26" t="n">
        <v>16.44</v>
      </c>
      <c r="F4" s="32" t="inlineStr">
        <is>
          <t>T3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20070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economics_by_route_id.json</t>
        </is>
      </c>
      <c r="AY4" s="44" t="inlineStr">
        <is>
          <t>economics_by_route_id.json</t>
        </is>
      </c>
    </row>
    <row r="5">
      <c r="A5" s="29" t="inlineStr">
        <is>
          <t>Swing Korea</t>
        </is>
      </c>
      <c r="B5" s="29" t="inlineStr">
        <is>
          <t>Singapore</t>
        </is>
      </c>
      <c r="C5" s="30" t="inlineStr">
        <is>
          <t>Busan → Busan/Geoje Cluster</t>
        </is>
      </c>
      <c r="D5" s="31" t="n">
        <v>3.5</v>
      </c>
      <c r="E5" s="26" t="n">
        <v>19.8</v>
      </c>
      <c r="F5" s="32" t="inlineStr">
        <is>
          <t>T3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21150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economics_by_route_id.json</t>
        </is>
      </c>
      <c r="AY5" s="44" t="inlineStr">
        <is>
          <t>economics_by_route_id.json</t>
        </is>
      </c>
    </row>
    <row r="6">
      <c r="A6" s="29" t="inlineStr">
        <is>
          <t>Swing Korea</t>
        </is>
      </c>
      <c r="B6" s="29" t="inlineStr">
        <is>
          <t>Singapore</t>
        </is>
      </c>
      <c r="C6" s="30" t="inlineStr">
        <is>
          <t>Seongsan Eup → Seopjikoji</t>
        </is>
      </c>
      <c r="D6" s="31" t="n">
        <v>3.6</v>
      </c>
      <c r="E6" s="26" t="n">
        <v>20.08</v>
      </c>
      <c r="F6" s="32" t="inlineStr">
        <is>
          <t>T3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21240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economics_by_route_id.json</t>
        </is>
      </c>
      <c r="AY6" s="44" t="inlineStr">
        <is>
          <t>economics_by_route_id.json</t>
        </is>
      </c>
    </row>
    <row r="7">
      <c r="A7" s="29" t="inlineStr">
        <is>
          <t>Swing Korea</t>
        </is>
      </c>
      <c r="B7" s="29" t="inlineStr">
        <is>
          <t>Singapore</t>
        </is>
      </c>
      <c r="C7" s="30" t="inlineStr">
        <is>
          <t>Yeosu Ferry Terminal → Yeosu / Tongyeong</t>
        </is>
      </c>
      <c r="D7" s="31" t="n">
        <v>4.8</v>
      </c>
      <c r="E7" s="26" t="n">
        <v>23.44</v>
      </c>
      <c r="F7" s="32" t="inlineStr">
        <is>
          <t>T3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22320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economics_by_route_id.json</t>
        </is>
      </c>
      <c r="AY7" s="44" t="inlineStr">
        <is>
          <t>economics_by_route_id.json</t>
        </is>
      </c>
    </row>
    <row r="8">
      <c r="A8" s="29" t="inlineStr">
        <is>
          <t>Swing Korea</t>
        </is>
      </c>
      <c r="B8" s="29" t="inlineStr">
        <is>
          <t>Singapore</t>
        </is>
      </c>
      <c r="C8" s="30" t="inlineStr">
        <is>
          <t>Yeosu Ferry Terminal → Yeosu / Tongyeong</t>
        </is>
      </c>
      <c r="D8" s="31" t="n">
        <v>6</v>
      </c>
      <c r="E8" s="26" t="n">
        <v>26.8</v>
      </c>
      <c r="F8" s="32" t="inlineStr">
        <is>
          <t>T3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23400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economics_by_route_id.json</t>
        </is>
      </c>
      <c r="AY8" s="44" t="inlineStr">
        <is>
          <t>economics_by_route_id.json</t>
        </is>
      </c>
    </row>
    <row r="9">
      <c r="A9" s="29" t="inlineStr">
        <is>
          <t>Swing Korea</t>
        </is>
      </c>
      <c r="B9" s="29" t="inlineStr">
        <is>
          <t>Singapore</t>
        </is>
      </c>
      <c r="C9" s="30" t="inlineStr">
        <is>
          <t>Yeosu Ferry Terminal → Yeosu / Tongyeong</t>
        </is>
      </c>
      <c r="D9" s="31" t="n">
        <v>6.3</v>
      </c>
      <c r="E9" s="26" t="n">
        <v>27.64</v>
      </c>
      <c r="F9" s="32" t="inlineStr">
        <is>
          <t>T3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23670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economics_by_route_id.json</t>
        </is>
      </c>
      <c r="AY9" s="44" t="inlineStr">
        <is>
          <t>economics_by_route_id.json</t>
        </is>
      </c>
    </row>
    <row r="10">
      <c r="A10" s="29" t="inlineStr">
        <is>
          <t>Swing Korea</t>
        </is>
      </c>
      <c r="B10" s="29" t="inlineStr">
        <is>
          <t>Singapore</t>
        </is>
      </c>
      <c r="C10" s="30" t="inlineStr">
        <is>
          <t>Jeju → Seogwipo Jungmun</t>
        </is>
      </c>
      <c r="D10" s="31" t="n">
        <v>7.1</v>
      </c>
      <c r="E10" s="26" t="n">
        <v>29.88</v>
      </c>
      <c r="F10" s="32" t="inlineStr">
        <is>
          <t>T3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24390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economics_by_route_id.json</t>
        </is>
      </c>
      <c r="AY10" s="44" t="inlineStr">
        <is>
          <t>economics_by_route_id.json</t>
        </is>
      </c>
    </row>
    <row r="11">
      <c r="A11" s="29" t="inlineStr">
        <is>
          <t>Swing Korea</t>
        </is>
      </c>
      <c r="B11" s="29" t="inlineStr">
        <is>
          <t>Singapore</t>
        </is>
      </c>
      <c r="C11" s="30" t="inlineStr">
        <is>
          <t>Jeju → Seogwipo Jungmun</t>
        </is>
      </c>
      <c r="D11" s="31" t="n">
        <v>10.4</v>
      </c>
      <c r="E11" s="26" t="n">
        <v>39.12</v>
      </c>
      <c r="F11" s="32" t="inlineStr">
        <is>
          <t>T3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27360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economics_by_route_id.json</t>
        </is>
      </c>
      <c r="AY11" s="44" t="inlineStr">
        <is>
          <t>economics_by_route_id.json</t>
        </is>
      </c>
    </row>
    <row r="12">
      <c r="A12" s="29" t="inlineStr">
        <is>
          <t>Swing Korea</t>
        </is>
      </c>
      <c r="B12" s="29" t="inlineStr">
        <is>
          <t>Singapore</t>
        </is>
      </c>
      <c r="C12" s="30" t="inlineStr">
        <is>
          <t>Incheon → Muuido / Yeongjong</t>
        </is>
      </c>
      <c r="D12" s="31" t="n">
        <v>11.9</v>
      </c>
      <c r="E12" s="26" t="n">
        <v>43.32</v>
      </c>
      <c r="F12" s="32" t="inlineStr">
        <is>
          <t>T3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28710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economics_by_route_id.json</t>
        </is>
      </c>
      <c r="AY12" s="44" t="inlineStr">
        <is>
          <t>economics_by_route_id.json</t>
        </is>
      </c>
    </row>
    <row r="13">
      <c r="A13" s="45" t="inlineStr">
        <is>
          <t>TOTAL / median</t>
        </is>
      </c>
      <c r="T13" s="46">
        <f>SUM(T4:T12)</f>
        <v/>
      </c>
      <c r="AC13" s="46">
        <f>SUM(AC4:AC12)</f>
        <v/>
      </c>
      <c r="AD13" s="47">
        <f>IF(T13=0,"",AC13/T13)</f>
        <v/>
      </c>
      <c r="AL13" s="48">
        <f>SUM(AL4:AL12)</f>
        <v/>
      </c>
      <c r="AM13" s="46">
        <f>SUM(AM4:AM12)</f>
        <v/>
      </c>
    </row>
    <row r="15">
      <c r="A15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6">
      <c r="A16" s="24" t="inlineStr">
        <is>
          <t>Market</t>
        </is>
      </c>
      <c r="B16" s="24" t="inlineStr">
        <is>
          <t>Fleet basis</t>
        </is>
      </c>
      <c r="C16" s="24" t="inlineStr">
        <is>
          <t>Raw vessels (sum)</t>
        </is>
      </c>
      <c r="D16" s="24" t="inlineStr">
        <is>
          <t>Fleet (rounded once)</t>
        </is>
      </c>
      <c r="E16" s="24" t="inlineStr">
        <is>
          <t>Market rev/yr (raw sum)</t>
        </is>
      </c>
    </row>
    <row r="17">
      <c r="A17" s="25" t="inlineStr">
        <is>
          <t>Swing Korea</t>
        </is>
      </c>
      <c r="B17" s="13" t="inlineStr">
        <is>
          <t>network_sum / ceil</t>
        </is>
      </c>
      <c r="C17" s="23">
        <f>SUMIFS(AN4:AN12,A4:A12,"Swing Korea",AP4:AP12,"=",AQ4:AQ12,"Grounded")</f>
        <v/>
      </c>
      <c r="D17" s="49">
        <f>IF(C17=0,0,CEILING(C17,1))</f>
        <v/>
      </c>
      <c r="E17" s="50">
        <f>SUMIFS(AO4:AO12,A4:A12,"Swing Korea",AP4:AP12,"=",AQ4:AQ12,"Grounded")</f>
        <v/>
      </c>
    </row>
    <row r="18">
      <c r="A18" s="45" t="inlineStr">
        <is>
          <t>GROUNDED FLOOR (PUBLISHED)</t>
        </is>
      </c>
      <c r="D18" s="48">
        <f>SUM(D17:D17)</f>
        <v/>
      </c>
      <c r="E18" s="46">
        <f>SUM(E17:E17)</f>
        <v/>
      </c>
    </row>
    <row r="20">
      <c r="A20" s="51" t="inlineStr">
        <is>
          <t>Held for Quanta-LR (&gt;70nm, roadmap H2 2026+):</t>
        </is>
      </c>
      <c r="C20" s="52" t="inlineStr">
        <is>
          <t>Busan / Geoje → Jeju (157.2nm)</t>
        </is>
      </c>
    </row>
    <row r="21">
      <c r="C21" s="52" t="inlineStr">
        <is>
          <t>Busan / Geoje → Fukuoka (Hakata) (109.8nm)</t>
        </is>
      </c>
    </row>
  </sheetData>
  <mergeCells count="2">
    <mergeCell ref="A15:L15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2026-07-09T02:13:49Z</dcterms:created>
  <dcterms:modified xsi:type="dcterms:W3CDTF">2026-07-09T02:13:49Z</dcterms:modified>
</cp:coreProperties>
</file>