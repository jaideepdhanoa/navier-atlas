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ins_pct">'Assumptions'!$B$21</definedName>
    <definedName name="charge_berth">'Assumptions'!$B$22</definedName>
    <definedName name="mech_uptime">'Assumptions'!$B$23</definedName>
    <definedName name="capture">'Assumptions'!$B$24</definedName>
    <definedName name="capture_captive">'Assumptions'!$B$25</definedName>
    <definedName name="discount">'Assumptions'!$B$26</definedName>
    <definedName name="diesel_co2pg">'Assumptions'!$B$27</definedName>
    <definedName name="load_thin">'Assumptions'!$B$31</definedName>
    <definedName name="revleg_thin">'Assumptions'!$C$31</definedName>
    <definedName name="load_mid">'Assumptions'!$B$32</definedName>
    <definedName name="revleg_mid">'Assumptions'!$C$32</definedName>
    <definedName name="load_full">'Assumptions'!$B$33</definedName>
    <definedName name="revleg_full">'Assumptions'!$C$33</definedName>
    <definedName name="band_tbl">'Assumptions'!$A$31:$C$33</definedName>
    <definedName name="scenario">'Assumptions'!$B$35</definedName>
    <definedName name="load_sel">'Assumptions'!$B$36</definedName>
    <definedName name="revleg_sel">'Assumptions'!$B$37</definedName>
    <definedName name="country_opex">'Country opex'!$A$4:$G$4</definedName>
    <definedName name="som_floor_fleet">'Corridor economics'!$D$113</definedName>
    <definedName name="som_floor_rev">'Corridor economics'!$E$113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Reliance-Industries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   (energy + captain + marina/overhead + maintenance)</t>
        </is>
      </c>
    </row>
    <row r="15">
      <c r="B15" s="4" t="inlineStr">
        <is>
          <t>PAYBACK = vessel CAPEX ÷ EBITDA</t>
        </is>
      </c>
    </row>
    <row r="16">
      <c r="B16" s="2" t="inlineStr"/>
    </row>
    <row r="17">
      <c r="B17" s="3" t="inlineStr">
        <is>
          <t>From demand pool to fleet &amp; market size</t>
        </is>
      </c>
    </row>
    <row r="18">
      <c r="B1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19">
      <c r="B19" s="2" t="inlineStr">
        <is>
          <t>Vessels supported = FLOOR(Navier rides/yr ÷ pax/yr per boat);  Market rev = vessels × rev/boat. The 'Market sizing' tab rolls these up into the SOM → SAM → TAM ladder.</t>
        </is>
      </c>
    </row>
    <row r="20">
      <c r="B20" s="2" t="inlineStr"/>
    </row>
    <row r="21">
      <c r="B21" s="3" t="inlineStr">
        <is>
          <t>The scenario toggle (what we flex)</t>
        </is>
      </c>
    </row>
    <row r="22">
      <c r="B22" s="2" t="inlineStr">
        <is>
          <t>'Corridor economics' has a SCENARIO cell = THIN / MID / FULL. It flexes two levers: load factor (how full the boat is) and revenue-leg factor (how many legs earn full fare). MID is the headline. Change that one cell and the whole model recomputes. The right-hand Payback THIN/MID/FULL columns always show all three at once.</t>
        </is>
      </c>
    </row>
    <row r="23">
      <c r="B23" s="2" t="inlineStr"/>
    </row>
    <row r="24">
      <c r="B24" s="3" t="inlineStr">
        <is>
          <t>Colour &amp; provenance legend</t>
        </is>
      </c>
    </row>
    <row r="25">
      <c r="B25" s="6" t="inlineStr">
        <is>
          <t xml:space="preserve">   Yellow = INPUTS you can change (fare, distance, demand, weather).</t>
        </is>
      </c>
    </row>
    <row r="26">
      <c r="B26" s="7" t="inlineStr">
        <is>
          <t xml:space="preserve">   Green  = COMPUTED by formula.</t>
        </is>
      </c>
    </row>
    <row r="27">
      <c r="B2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10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~1 sailing/70min in a 12h window; a believable on-demand premium duty cycle, not capacity-max (Jaideep 2026-06-19).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Insurance (% of capex/yr)</t>
        </is>
      </c>
      <c r="B21" s="17" t="n">
        <v>0.025</v>
      </c>
      <c r="C21" s="13" t="inlineStr">
        <is>
          <t>frac</t>
        </is>
      </c>
      <c r="D21" s="13" t="inlineStr">
        <is>
          <t>T3</t>
        </is>
      </c>
      <c r="E21" s="13" t="inlineStr">
        <is>
          <t>med</t>
        </is>
      </c>
      <c r="F21" s="14" t="inlineStr">
        <is>
          <t>H&amp;M + P&amp;I for a commercial passenger vessel ~2.5%/yr of capex; scales with regional capex overrides (Jaideep 2026-06-19).</t>
        </is>
      </c>
    </row>
    <row r="22">
      <c r="A22" s="11" t="inlineStr">
        <is>
          <t>Charging &amp; berth (additional to marina+energy)</t>
        </is>
      </c>
      <c r="B22" s="15" t="n">
        <v>18000</v>
      </c>
      <c r="C22" s="13" t="inlineStr">
        <is>
          <t>USD/yr</t>
        </is>
      </c>
      <c r="D22" s="13" t="inlineStr">
        <is>
          <t>T3</t>
        </is>
      </c>
      <c r="E22" s="13" t="inlineStr">
        <is>
          <t>med</t>
        </is>
      </c>
      <c r="F22" s="14" t="inlineStr">
        <is>
          <t>Dedicated fast-charge berth + demand charges, ADDITIONAL to marina overhead and energy (Jaideep 2026-06-19). L3-overridable.</t>
        </is>
      </c>
    </row>
    <row r="23">
      <c r="A23" s="11" t="inlineStr">
        <is>
          <t>Mechanical uptime</t>
        </is>
      </c>
      <c r="B23" s="17" t="n">
        <v>0.75</v>
      </c>
      <c r="C23" s="13" t="inlineStr">
        <is>
          <t>frac</t>
        </is>
      </c>
      <c r="D23" s="13" t="inlineStr">
        <is>
          <t>T4</t>
        </is>
      </c>
      <c r="E23" s="13" t="inlineStr">
        <is>
          <t>med</t>
        </is>
      </c>
      <c r="F23" s="14" t="inlineStr">
        <is>
          <t>Blade luxury aviation ~75-80% reliability uptime</t>
        </is>
      </c>
    </row>
    <row r="24">
      <c r="A24" s="11" t="inlineStr">
        <is>
          <t>Navier capture rate</t>
        </is>
      </c>
      <c r="B24" s="17" t="n">
        <v>0.1</v>
      </c>
      <c r="C24" s="13" t="inlineStr">
        <is>
          <t>frac</t>
        </is>
      </c>
      <c r="D24" s="13" t="inlineStr"/>
      <c r="E24" s="13" t="inlineStr">
        <is>
          <t>med</t>
        </is>
      </c>
      <c r="F24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5">
      <c r="A25" s="11" t="inlineStr">
        <is>
          <t>Captive capture rate (A′ corridors)</t>
        </is>
      </c>
      <c r="B25" s="17" t="n">
        <v>0.9</v>
      </c>
      <c r="C25" s="13" t="inlineStr">
        <is>
          <t>frac</t>
        </is>
      </c>
      <c r="D25" s="13" t="inlineStr"/>
      <c r="E25" s="13" t="inlineStr">
        <is>
          <t>med</t>
        </is>
      </c>
      <c r="F25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6">
      <c r="A26" s="11" t="inlineStr">
        <is>
          <t>Discount factor (vs comparable fare)</t>
        </is>
      </c>
      <c r="B26" s="16" t="n">
        <v>1</v>
      </c>
      <c r="C26" s="13" t="inlineStr">
        <is>
          <t>frac</t>
        </is>
      </c>
      <c r="D26" s="13" t="inlineStr">
        <is>
          <t>T1</t>
        </is>
      </c>
      <c r="E26" s="13" t="inlineStr">
        <is>
          <t>high</t>
        </is>
      </c>
      <c r="F26" s="14" t="inlineStr">
        <is>
          <t>Market parity — better product, not cheaper (locked).</t>
        </is>
      </c>
    </row>
    <row r="27">
      <c r="A27" s="11" t="inlineStr">
        <is>
          <t>Diesel CO₂ per gallon</t>
        </is>
      </c>
      <c r="B27" s="16" t="n">
        <v>10.21</v>
      </c>
      <c r="C27" s="13" t="inlineStr">
        <is>
          <t>kg/gal</t>
        </is>
      </c>
      <c r="D27" s="13" t="inlineStr">
        <is>
          <t>T1</t>
        </is>
      </c>
      <c r="E27" s="13" t="inlineStr">
        <is>
          <t>high</t>
        </is>
      </c>
      <c r="F27" s="14" t="inlineStr">
        <is>
          <t>US EPA: 10.21 kg CO2 per gallon marine/diesel</t>
        </is>
      </c>
    </row>
    <row r="29">
      <c r="A29" s="9" t="inlineStr">
        <is>
          <t>Utilization scenarios  (the two levers we flex)</t>
        </is>
      </c>
    </row>
    <row r="30">
      <c r="A30" s="10" t="inlineStr">
        <is>
          <t>Scenario</t>
        </is>
      </c>
      <c r="B30" s="10" t="inlineStr">
        <is>
          <t>Load factor</t>
        </is>
      </c>
      <c r="C30" s="10" t="inlineStr">
        <is>
          <t>Rev-leg factor</t>
        </is>
      </c>
      <c r="D30" s="10" t="inlineStr"/>
      <c r="E30" s="10" t="inlineStr"/>
      <c r="F30" s="10" t="inlineStr">
        <is>
          <t>Note</t>
        </is>
      </c>
    </row>
    <row r="31">
      <c r="A31" s="18" t="inlineStr">
        <is>
          <t>THIN</t>
        </is>
      </c>
      <c r="B31" s="19" t="n">
        <v>0.45</v>
      </c>
      <c r="C31" s="19" t="n">
        <v>0.45</v>
      </c>
      <c r="F31" s="14" t="inlineStr">
        <is>
          <t>thin/one-way/seasonal corridor — conservative floor</t>
        </is>
      </c>
    </row>
    <row r="32">
      <c r="A32" s="18" t="inlineStr">
        <is>
          <t>MID</t>
        </is>
      </c>
      <c r="B32" s="19" t="n">
        <v>0.55</v>
      </c>
      <c r="C32" s="19" t="n">
        <v>0.55</v>
      </c>
      <c r="F32" s="14" t="inlineStr">
        <is>
          <t>HEADLINE — realistic busy two-way corridor</t>
        </is>
      </c>
    </row>
    <row r="33">
      <c r="A33" s="18" t="inlineStr">
        <is>
          <t>FULL</t>
        </is>
      </c>
      <c r="B33" s="19" t="n">
        <v>0.7</v>
      </c>
      <c r="C33" s="19" t="n">
        <v>0.75</v>
      </c>
      <c r="F33" s="14" t="inlineStr">
        <is>
          <t>mature/dense corridor — optimistic ceiling</t>
        </is>
      </c>
    </row>
    <row r="35">
      <c r="A35" s="20" t="inlineStr">
        <is>
          <t>SCENARIO (toggle me)</t>
        </is>
      </c>
      <c r="B35" s="21" t="inlineStr">
        <is>
          <t>MID</t>
        </is>
      </c>
      <c r="C35" s="22" t="inlineStr">
        <is>
          <t>← set THIN / MID / FULL</t>
        </is>
      </c>
    </row>
    <row r="36">
      <c r="A36" s="11" t="inlineStr">
        <is>
          <t>Selected load factor</t>
        </is>
      </c>
      <c r="B36" s="23">
        <f>VLOOKUP(scenario,'Assumptions'!$A$31:$C$33,2,FALSE)</f>
        <v/>
      </c>
    </row>
    <row r="37">
      <c r="A37" s="11" t="inlineStr">
        <is>
          <t>Selected rev-leg factor</t>
        </is>
      </c>
      <c r="B37" s="23">
        <f>VLOOKUP(scenario,'Assumptions'!$A$31:$C$33,3,FALSE)</f>
        <v/>
      </c>
    </row>
  </sheetData>
  <mergeCells count="4">
    <mergeCell ref="A3:F3"/>
    <mergeCell ref="A14:F14"/>
    <mergeCell ref="A1:F1"/>
    <mergeCell ref="A29:F29"/>
  </mergeCells>
  <dataValidations count="1">
    <dataValidation sqref="B35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L3 localized layer (VLOOKUP target for the engine)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Marina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(captain | energy | marina)</t>
        </is>
      </c>
    </row>
    <row r="4">
      <c r="A4" s="25" t="inlineStr">
        <is>
          <t>India</t>
        </is>
      </c>
      <c r="B4" s="26" t="n">
        <v>19000</v>
      </c>
      <c r="C4" s="27" t="n">
        <v>0.08500000000000001</v>
      </c>
      <c r="D4" s="19" t="n">
        <v>0.727</v>
      </c>
      <c r="E4" s="26" t="n">
        <v>10000</v>
      </c>
      <c r="F4" s="19" t="n">
        <v>0.5</v>
      </c>
      <c r="G4" s="26" t="n">
        <v>600000</v>
      </c>
      <c r="H4" s="14" t="inlineStr">
        <is>
          <t>ERI Economic Research Institute ship-captain salary page for India (last updated 2026-06-20): average ship captain pay INR 1,588,602/yr, range INR 1,102,490-1,934,917. Converted at ~INR85/USD gives ~$18.7k average; model rounds to $19k/yr for India coastal passenger-vessel captain baseline. Deckhand/terminal staff are handled outside this country reference where applicable; source is salary-survey/commercial, not official wage order. | India Climate and Energy Dashboard (NITI/official-source aggregator) FY25: average cost of supply ₹7.10/kWh and average revenue ₹7.04/kWh; commercial billing-rate range shown ₹4.06-₹14.72/kWh, industrial range ₹3.43-₹13.69/kWh. Converted at ~INR85/USD: all-India average ~$0.083/kWh; use $0.085/kWh as blended commercial/marina charging baseline. | Modeled berth/insurance/admin/vessel-year. J.M. Baxi marina overview states Kochi International Marina is India’s first/only fully fledged international-standard marina, 36 berths expanding to 50, with fuel/water/electricity/sewage/maintenance; India still lacks widespread world-class marina supply and many boats use existing port berths. Use low-confidence $10k/yr, comparable to Indonesia/Philippines/Vietnam bands and below Thailand/Malaysia until market-specific marina quotes are captured.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Reliance-Industries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Marina/yr</t>
        </is>
      </c>
      <c r="X3" s="24" t="inlineStr">
        <is>
          <t>Maint/yr</t>
        </is>
      </c>
      <c r="Y3" s="24" t="inlineStr">
        <is>
          <t>Insurance/yr</t>
        </is>
      </c>
      <c r="Z3" s="24" t="inlineStr">
        <is>
          <t>Charge+berth/yr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9" t="inlineStr">
        <is>
          <t>India Andaman Rapido</t>
        </is>
      </c>
      <c r="B4" s="29" t="inlineStr">
        <is>
          <t>India</t>
        </is>
      </c>
      <c r="C4" s="30" t="inlineStr">
        <is>
          <t>Middle Strait Jetty → Oralkatcha Jetty</t>
        </is>
      </c>
      <c r="D4" s="31" t="n">
        <v>0.7</v>
      </c>
      <c r="E4" s="26" t="n">
        <v>22</v>
      </c>
      <c r="F4" s="32" t="inlineStr">
        <is>
          <t>T3</t>
        </is>
      </c>
      <c r="G4" s="32" t="inlineStr">
        <is>
          <t>med-low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MIN(10,FLOOR(60*service_hr/J4,1))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5000</v>
      </c>
      <c r="AH4" s="32" t="inlineStr">
        <is>
          <t>T3</t>
        </is>
      </c>
      <c r="AI4" s="32" t="inlineStr">
        <is>
          <t>med-low</t>
        </is>
      </c>
      <c r="AJ4" s="39" t="n">
        <v>0.1</v>
      </c>
      <c r="AK4" s="34">
        <f>IF(AG4="","",AG4*AJ4)</f>
        <v/>
      </c>
      <c r="AL4" s="34">
        <f>IF(OR(AG4="",R4=0),"",MIN(IF(AS4="",9.9E+99,AS4),FLOOR(AK4/R4,1)))</f>
        <v/>
      </c>
      <c r="AM4" s="38">
        <f>IF(AL4="","",AL4*T4)</f>
        <v/>
      </c>
      <c r="AN4" s="36">
        <f>IF(OR(AG4="",R4=0),"",MIN(IF(AS4="",9.9E+99,AS4),AK4/R4))</f>
        <v/>
      </c>
      <c r="AO4" s="38">
        <f>IF(AN4="","",AN4*T4)</f>
        <v/>
      </c>
      <c r="AP4" s="40" t="n"/>
      <c r="AQ4" s="41" t="n"/>
      <c r="AR4" s="41" t="n"/>
      <c r="AS4" s="42" t="n"/>
      <c r="AT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U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V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W4" s="44" t="inlineStr">
        <is>
          <t>handoff/INDIA-ECONOMICS-SIDECAR-V0-2026-06-20.json (andaman)</t>
        </is>
      </c>
      <c r="AX4" s="44" t="inlineStr">
        <is>
          <t>handoff/INDIA-ECONOMICS-SIDECAR-V0-2026-06-20.json (andaman)</t>
        </is>
      </c>
    </row>
    <row r="5">
      <c r="A5" s="29" t="inlineStr">
        <is>
          <t>India Andaman Rapido</t>
        </is>
      </c>
      <c r="B5" s="29" t="inlineStr">
        <is>
          <t>India</t>
        </is>
      </c>
      <c r="C5" s="30" t="inlineStr">
        <is>
          <t>Junglighat Jetty → Port Blair</t>
        </is>
      </c>
      <c r="D5" s="31" t="n">
        <v>0.8</v>
      </c>
      <c r="E5" s="26" t="n">
        <v>22</v>
      </c>
      <c r="F5" s="32" t="inlineStr">
        <is>
          <t>T3</t>
        </is>
      </c>
      <c r="G5" s="32" t="inlineStr">
        <is>
          <t>med-low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MIN(10,FLOOR(60*service_hr/J5,1))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5000</v>
      </c>
      <c r="AH5" s="32" t="inlineStr">
        <is>
          <t>T3</t>
        </is>
      </c>
      <c r="AI5" s="32" t="inlineStr">
        <is>
          <t>med-low</t>
        </is>
      </c>
      <c r="AJ5" s="39" t="n">
        <v>0.1</v>
      </c>
      <c r="AK5" s="34">
        <f>IF(AG5="","",AG5*AJ5)</f>
        <v/>
      </c>
      <c r="AL5" s="34">
        <f>IF(OR(AG5="",R5=0),"",MIN(IF(AS5="",9.9E+99,AS5),FLOOR(AK5/R5,1)))</f>
        <v/>
      </c>
      <c r="AM5" s="38">
        <f>IF(AL5="","",AL5*T5)</f>
        <v/>
      </c>
      <c r="AN5" s="36">
        <f>IF(OR(AG5="",R5=0),"",MIN(IF(AS5="",9.9E+99,AS5),AK5/R5))</f>
        <v/>
      </c>
      <c r="AO5" s="38">
        <f>IF(AN5="","",AN5*T5)</f>
        <v/>
      </c>
      <c r="AP5" s="40" t="n"/>
      <c r="AQ5" s="41" t="n"/>
      <c r="AR5" s="41" t="n"/>
      <c r="AS5" s="42" t="n"/>
      <c r="AT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U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V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W5" s="44" t="inlineStr">
        <is>
          <t>handoff/INDIA-ECONOMICS-SIDECAR-V0-2026-06-20.json (andaman)</t>
        </is>
      </c>
      <c r="AX5" s="44" t="inlineStr">
        <is>
          <t>handoff/INDIA-ECONOMICS-SIDECAR-V0-2026-06-20.json (andaman)</t>
        </is>
      </c>
    </row>
    <row r="6">
      <c r="A6" s="29" t="inlineStr">
        <is>
          <t>India Kolkata Rapido</t>
        </is>
      </c>
      <c r="B6" s="29" t="inlineStr">
        <is>
          <t>India</t>
        </is>
      </c>
      <c r="C6" s="30" t="inlineStr">
        <is>
          <t>Howrah Ferry Ghat → Fairlie Place Ferry</t>
        </is>
      </c>
      <c r="D6" s="31" t="n">
        <v>0.8</v>
      </c>
      <c r="E6" s="26" t="n">
        <v>18</v>
      </c>
      <c r="F6" s="32" t="n"/>
      <c r="G6" s="32" t="n"/>
      <c r="H6" s="19" t="n">
        <v>1</v>
      </c>
      <c r="I6" s="33">
        <f>60*D6/cruise_kt</f>
        <v/>
      </c>
      <c r="J6" s="33">
        <f>I6+turn_min+dwell_min</f>
        <v/>
      </c>
      <c r="K6" s="34">
        <f>MIN(10,FLOOR(60*service_hr/J6,1))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1600000</v>
      </c>
      <c r="AH6" s="32" t="n"/>
      <c r="AI6" s="32" t="n"/>
      <c r="AJ6" s="39" t="n">
        <v>0.1</v>
      </c>
      <c r="AK6" s="34">
        <f>IF(AG6="","",AG6*AJ6)</f>
        <v/>
      </c>
      <c r="AL6" s="34">
        <f>IF(OR(AG6="",R6=0),"",MIN(IF(AS6="",9.9E+99,AS6),FLOOR(AK6/R6,1)))</f>
        <v/>
      </c>
      <c r="AM6" s="38">
        <f>IF(AL6="","",AL6*T6)</f>
        <v/>
      </c>
      <c r="AN6" s="36">
        <f>IF(OR(AG6="",R6=0),"",MIN(IF(AS6="",9.9E+99,AS6),AK6/R6))</f>
        <v/>
      </c>
      <c r="AO6" s="38">
        <f>IF(AN6="","",AN6*T6)</f>
        <v/>
      </c>
      <c r="AP6" s="40" t="n"/>
      <c r="AQ6" s="41" t="n"/>
      <c r="AR6" s="41" t="n"/>
      <c r="AS6" s="42" t="n"/>
      <c r="AT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U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V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W6" s="44" t="inlineStr">
        <is>
          <t xml:space="preserve">[LB-255 PREMIUM RE-FARE: subsidized comparable $2.5 lifted to premium on-demand floor $18.0] </t>
        </is>
      </c>
      <c r="AX6" s="44" t="n"/>
    </row>
    <row r="7">
      <c r="A7" s="29" t="inlineStr">
        <is>
          <t>India Andaman Rapido</t>
        </is>
      </c>
      <c r="B7" s="29" t="inlineStr">
        <is>
          <t>India</t>
        </is>
      </c>
      <c r="C7" s="30" t="inlineStr">
        <is>
          <t>Marina Park → Aberdeen Jetty</t>
        </is>
      </c>
      <c r="D7" s="31" t="n">
        <v>0.9</v>
      </c>
      <c r="E7" s="26" t="n">
        <v>22</v>
      </c>
      <c r="F7" s="32" t="inlineStr">
        <is>
          <t>T3</t>
        </is>
      </c>
      <c r="G7" s="32" t="inlineStr">
        <is>
          <t>med-low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MIN(10,FLOOR(60*service_hr/J7,1))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5000</v>
      </c>
      <c r="AH7" s="32" t="inlineStr">
        <is>
          <t>T3</t>
        </is>
      </c>
      <c r="AI7" s="32" t="inlineStr">
        <is>
          <t>med-low</t>
        </is>
      </c>
      <c r="AJ7" s="39" t="n">
        <v>0.1</v>
      </c>
      <c r="AK7" s="34">
        <f>IF(AG7="","",AG7*AJ7)</f>
        <v/>
      </c>
      <c r="AL7" s="34">
        <f>IF(OR(AG7="",R7=0),"",MIN(IF(AS7="",9.9E+99,AS7),FLOOR(AK7/R7,1)))</f>
        <v/>
      </c>
      <c r="AM7" s="38">
        <f>IF(AL7="","",AL7*T7)</f>
        <v/>
      </c>
      <c r="AN7" s="36">
        <f>IF(OR(AG7="",R7=0),"",MIN(IF(AS7="",9.9E+99,AS7),AK7/R7))</f>
        <v/>
      </c>
      <c r="AO7" s="38">
        <f>IF(AN7="","",AN7*T7)</f>
        <v/>
      </c>
      <c r="AP7" s="40" t="n"/>
      <c r="AQ7" s="41" t="n"/>
      <c r="AR7" s="41" t="n"/>
      <c r="AS7" s="42" t="n"/>
      <c r="AT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U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V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W7" s="44" t="inlineStr">
        <is>
          <t>handoff/INDIA-ECONOMICS-SIDECAR-V0-2026-06-20.json (andaman)</t>
        </is>
      </c>
      <c r="AX7" s="44" t="inlineStr">
        <is>
          <t>handoff/INDIA-ECONOMICS-SIDECAR-V0-2026-06-20.json (andaman)</t>
        </is>
      </c>
    </row>
    <row r="8">
      <c r="A8" s="29" t="inlineStr">
        <is>
          <t>India Andaman Rapido</t>
        </is>
      </c>
      <c r="B8" s="29" t="inlineStr">
        <is>
          <t>India</t>
        </is>
      </c>
      <c r="C8" s="30" t="inlineStr">
        <is>
          <t>Marina View Point → Aberdeen Jetty</t>
        </is>
      </c>
      <c r="D8" s="31" t="n">
        <v>0.9</v>
      </c>
      <c r="E8" s="26" t="n">
        <v>22</v>
      </c>
      <c r="F8" s="32" t="inlineStr">
        <is>
          <t>T3</t>
        </is>
      </c>
      <c r="G8" s="32" t="inlineStr">
        <is>
          <t>med-low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MIN(10,FLOOR(60*service_hr/J8,1))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5000</v>
      </c>
      <c r="AH8" s="32" t="inlineStr">
        <is>
          <t>T3</t>
        </is>
      </c>
      <c r="AI8" s="32" t="inlineStr">
        <is>
          <t>med-low</t>
        </is>
      </c>
      <c r="AJ8" s="39" t="n">
        <v>0.1</v>
      </c>
      <c r="AK8" s="34">
        <f>IF(AG8="","",AG8*AJ8)</f>
        <v/>
      </c>
      <c r="AL8" s="34">
        <f>IF(OR(AG8="",R8=0),"",MIN(IF(AS8="",9.9E+99,AS8),FLOOR(AK8/R8,1)))</f>
        <v/>
      </c>
      <c r="AM8" s="38">
        <f>IF(AL8="","",AL8*T8)</f>
        <v/>
      </c>
      <c r="AN8" s="36">
        <f>IF(OR(AG8="",R8=0),"",MIN(IF(AS8="",9.9E+99,AS8),AK8/R8))</f>
        <v/>
      </c>
      <c r="AO8" s="38">
        <f>IF(AN8="","",AN8*T8)</f>
        <v/>
      </c>
      <c r="AP8" s="40" t="n"/>
      <c r="AQ8" s="41" t="n"/>
      <c r="AR8" s="41" t="n"/>
      <c r="AS8" s="42" t="n"/>
      <c r="AT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U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V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W8" s="44" t="inlineStr">
        <is>
          <t>handoff/INDIA-ECONOMICS-SIDECAR-V0-2026-06-20.json (andaman)</t>
        </is>
      </c>
      <c r="AX8" s="44" t="inlineStr">
        <is>
          <t>handoff/INDIA-ECONOMICS-SIDECAR-V0-2026-06-20.json (andaman)</t>
        </is>
      </c>
    </row>
    <row r="9">
      <c r="A9" s="29" t="inlineStr">
        <is>
          <t>India Kolkata Rapido</t>
        </is>
      </c>
      <c r="B9" s="29" t="inlineStr">
        <is>
          <t>India</t>
        </is>
      </c>
      <c r="C9" s="30" t="inlineStr">
        <is>
          <t>Howrah Ferry Ghat → Millennium Park Jetty</t>
        </is>
      </c>
      <c r="D9" s="31" t="n">
        <v>0.9</v>
      </c>
      <c r="E9" s="26" t="n">
        <v>18</v>
      </c>
      <c r="F9" s="32" t="n"/>
      <c r="G9" s="32" t="n"/>
      <c r="H9" s="19" t="n">
        <v>1</v>
      </c>
      <c r="I9" s="33">
        <f>60*D9/cruise_kt</f>
        <v/>
      </c>
      <c r="J9" s="33">
        <f>I9+turn_min+dwell_min</f>
        <v/>
      </c>
      <c r="K9" s="34">
        <f>MIN(10,FLOOR(60*service_hr/J9,1))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1600000</v>
      </c>
      <c r="AH9" s="32" t="n"/>
      <c r="AI9" s="32" t="n"/>
      <c r="AJ9" s="39" t="n">
        <v>0.1</v>
      </c>
      <c r="AK9" s="34">
        <f>IF(AG9="","",AG9*AJ9)</f>
        <v/>
      </c>
      <c r="AL9" s="34">
        <f>IF(OR(AG9="",R9=0),"",MIN(IF(AS9="",9.9E+99,AS9),FLOOR(AK9/R9,1)))</f>
        <v/>
      </c>
      <c r="AM9" s="38">
        <f>IF(AL9="","",AL9*T9)</f>
        <v/>
      </c>
      <c r="AN9" s="36">
        <f>IF(OR(AG9="",R9=0),"",MIN(IF(AS9="",9.9E+99,AS9),AK9/R9))</f>
        <v/>
      </c>
      <c r="AO9" s="38">
        <f>IF(AN9="","",AN9*T9)</f>
        <v/>
      </c>
      <c r="AP9" s="40" t="n"/>
      <c r="AQ9" s="41" t="n"/>
      <c r="AR9" s="41" t="n"/>
      <c r="AS9" s="42" t="n"/>
      <c r="AT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U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V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W9" s="44" t="inlineStr">
        <is>
          <t xml:space="preserve">[LB-255 PREMIUM RE-FARE: subsidized comparable $2.5 lifted to premium on-demand floor $18.0] </t>
        </is>
      </c>
      <c r="AX9" s="44" t="n"/>
    </row>
    <row r="10">
      <c r="A10" s="29" t="inlineStr">
        <is>
          <t>India Andaman Rapido</t>
        </is>
      </c>
      <c r="B10" s="29" t="inlineStr">
        <is>
          <t>India</t>
        </is>
      </c>
      <c r="C10" s="30" t="inlineStr">
        <is>
          <t>APARUPA SANDS MARINA → Office Of Assistant Engineer Civil, Andaman Lakshdweep Harbour Work Havelock</t>
        </is>
      </c>
      <c r="D10" s="31" t="n">
        <v>1.2</v>
      </c>
      <c r="E10" s="26" t="n">
        <v>22</v>
      </c>
      <c r="F10" s="32" t="inlineStr">
        <is>
          <t>T3</t>
        </is>
      </c>
      <c r="G10" s="32" t="inlineStr">
        <is>
          <t>med-low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MIN(10,FLOOR(60*service_hr/J10,1))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5000</v>
      </c>
      <c r="AH10" s="32" t="inlineStr">
        <is>
          <t>T3</t>
        </is>
      </c>
      <c r="AI10" s="32" t="inlineStr">
        <is>
          <t>med-low</t>
        </is>
      </c>
      <c r="AJ10" s="39" t="n">
        <v>0.1</v>
      </c>
      <c r="AK10" s="34">
        <f>IF(AG10="","",AG10*AJ10)</f>
        <v/>
      </c>
      <c r="AL10" s="34">
        <f>IF(OR(AG10="",R10=0),"",MIN(IF(AS10="",9.9E+99,AS10),FLOOR(AK10/R10,1)))</f>
        <v/>
      </c>
      <c r="AM10" s="38">
        <f>IF(AL10="","",AL10*T10)</f>
        <v/>
      </c>
      <c r="AN10" s="36">
        <f>IF(OR(AG10="",R10=0),"",MIN(IF(AS10="",9.9E+99,AS10),AK10/R10))</f>
        <v/>
      </c>
      <c r="AO10" s="38">
        <f>IF(AN10="","",AN10*T10)</f>
        <v/>
      </c>
      <c r="AP10" s="40" t="n"/>
      <c r="AQ10" s="41" t="n"/>
      <c r="AR10" s="41" t="n"/>
      <c r="AS10" s="42" t="n"/>
      <c r="AT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U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V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W10" s="44" t="inlineStr">
        <is>
          <t>handoff/INDIA-ECONOMICS-SIDECAR-V0-2026-06-20.json (andaman)</t>
        </is>
      </c>
      <c r="AX10" s="44" t="inlineStr">
        <is>
          <t>handoff/INDIA-ECONOMICS-SIDECAR-V0-2026-06-20.json (andaman)</t>
        </is>
      </c>
    </row>
    <row r="11">
      <c r="A11" s="29" t="inlineStr">
        <is>
          <t>India Kolkata Rapido</t>
        </is>
      </c>
      <c r="B11" s="29" t="inlineStr">
        <is>
          <t>India</t>
        </is>
      </c>
      <c r="C11" s="30" t="inlineStr">
        <is>
          <t>Dakshineswar Ferry Ghat → Belur Math Ferry Ghat</t>
        </is>
      </c>
      <c r="D11" s="31" t="n">
        <v>1.3</v>
      </c>
      <c r="E11" s="26" t="n">
        <v>18</v>
      </c>
      <c r="F11" s="32" t="n"/>
      <c r="G11" s="32" t="n"/>
      <c r="H11" s="19" t="n">
        <v>1</v>
      </c>
      <c r="I11" s="33">
        <f>60*D11/cruise_kt</f>
        <v/>
      </c>
      <c r="J11" s="33">
        <f>I11+turn_min+dwell_min</f>
        <v/>
      </c>
      <c r="K11" s="34">
        <f>MIN(10,FLOOR(60*service_hr/J11,1))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1600000</v>
      </c>
      <c r="AH11" s="32" t="n"/>
      <c r="AI11" s="32" t="n"/>
      <c r="AJ11" s="39" t="n">
        <v>0.1</v>
      </c>
      <c r="AK11" s="34">
        <f>IF(AG11="","",AG11*AJ11)</f>
        <v/>
      </c>
      <c r="AL11" s="34">
        <f>IF(OR(AG11="",R11=0),"",MIN(IF(AS11="",9.9E+99,AS11),FLOOR(AK11/R11,1)))</f>
        <v/>
      </c>
      <c r="AM11" s="38">
        <f>IF(AL11="","",AL11*T11)</f>
        <v/>
      </c>
      <c r="AN11" s="36">
        <f>IF(OR(AG11="",R11=0),"",MIN(IF(AS11="",9.9E+99,AS11),AK11/R11))</f>
        <v/>
      </c>
      <c r="AO11" s="38">
        <f>IF(AN11="","",AN11*T11)</f>
        <v/>
      </c>
      <c r="AP11" s="40" t="n"/>
      <c r="AQ11" s="41" t="n"/>
      <c r="AR11" s="41" t="n"/>
      <c r="AS11" s="42" t="n"/>
      <c r="AT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U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V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W11" s="44" t="inlineStr">
        <is>
          <t xml:space="preserve">[LB-255 PREMIUM RE-FARE: subsidized comparable $2.5 lifted to premium on-demand floor $18.0] </t>
        </is>
      </c>
      <c r="AX11" s="44" t="n"/>
    </row>
    <row r="12">
      <c r="A12" s="29" t="inlineStr">
        <is>
          <t>India Andaman Rapido</t>
        </is>
      </c>
      <c r="B12" s="29" t="inlineStr">
        <is>
          <t>India</t>
        </is>
      </c>
      <c r="C12" s="30" t="inlineStr">
        <is>
          <t>Marina Park → Marina View Point</t>
        </is>
      </c>
      <c r="D12" s="31" t="n">
        <v>1.4</v>
      </c>
      <c r="E12" s="26" t="n">
        <v>22</v>
      </c>
      <c r="F12" s="32" t="inlineStr">
        <is>
          <t>T3</t>
        </is>
      </c>
      <c r="G12" s="32" t="inlineStr">
        <is>
          <t>med-low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MIN(10,FLOOR(60*service_hr/J12,1))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5000</v>
      </c>
      <c r="AH12" s="32" t="inlineStr">
        <is>
          <t>T3</t>
        </is>
      </c>
      <c r="AI12" s="32" t="inlineStr">
        <is>
          <t>med-low</t>
        </is>
      </c>
      <c r="AJ12" s="39" t="n">
        <v>0.1</v>
      </c>
      <c r="AK12" s="34">
        <f>IF(AG12="","",AG12*AJ12)</f>
        <v/>
      </c>
      <c r="AL12" s="34">
        <f>IF(OR(AG12="",R12=0),"",MIN(IF(AS12="",9.9E+99,AS12),FLOOR(AK12/R12,1)))</f>
        <v/>
      </c>
      <c r="AM12" s="38">
        <f>IF(AL12="","",AL12*T12)</f>
        <v/>
      </c>
      <c r="AN12" s="36">
        <f>IF(OR(AG12="",R12=0),"",MIN(IF(AS12="",9.9E+99,AS12),AK12/R12))</f>
        <v/>
      </c>
      <c r="AO12" s="38">
        <f>IF(AN12="","",AN12*T12)</f>
        <v/>
      </c>
      <c r="AP12" s="40" t="n"/>
      <c r="AQ12" s="41" t="n"/>
      <c r="AR12" s="41" t="n"/>
      <c r="AS12" s="42" t="n"/>
      <c r="AT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U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V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W12" s="44" t="inlineStr">
        <is>
          <t>handoff/INDIA-ECONOMICS-SIDECAR-V0-2026-06-20.json (andaman)</t>
        </is>
      </c>
      <c r="AX12" s="44" t="inlineStr">
        <is>
          <t>handoff/INDIA-ECONOMICS-SIDECAR-V0-2026-06-20.json (andaman)</t>
        </is>
      </c>
    </row>
    <row r="13">
      <c r="A13" s="29" t="inlineStr">
        <is>
          <t>India Andaman Rapido</t>
        </is>
      </c>
      <c r="B13" s="29" t="inlineStr">
        <is>
          <t>India</t>
        </is>
      </c>
      <c r="C13" s="30" t="inlineStr">
        <is>
          <t>Game Fishing In Andaman | Bite Me Charter | Best Sport fishing in Andaman Islands → Port Blair</t>
        </is>
      </c>
      <c r="D13" s="31" t="n">
        <v>1.5</v>
      </c>
      <c r="E13" s="26" t="n">
        <v>22</v>
      </c>
      <c r="F13" s="32" t="inlineStr">
        <is>
          <t>T3</t>
        </is>
      </c>
      <c r="G13" s="32" t="inlineStr">
        <is>
          <t>med-low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MIN(10,FLOOR(60*service_hr/J13,1))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5000</v>
      </c>
      <c r="AH13" s="32" t="inlineStr">
        <is>
          <t>T3</t>
        </is>
      </c>
      <c r="AI13" s="32" t="inlineStr">
        <is>
          <t>med-low</t>
        </is>
      </c>
      <c r="AJ13" s="39" t="n">
        <v>0.1</v>
      </c>
      <c r="AK13" s="34">
        <f>IF(AG13="","",AG13*AJ13)</f>
        <v/>
      </c>
      <c r="AL13" s="34">
        <f>IF(OR(AG13="",R13=0),"",MIN(IF(AS13="",9.9E+99,AS13),FLOOR(AK13/R13,1)))</f>
        <v/>
      </c>
      <c r="AM13" s="38">
        <f>IF(AL13="","",AL13*T13)</f>
        <v/>
      </c>
      <c r="AN13" s="36">
        <f>IF(OR(AG13="",R13=0),"",MIN(IF(AS13="",9.9E+99,AS13),AK13/R13))</f>
        <v/>
      </c>
      <c r="AO13" s="38">
        <f>IF(AN13="","",AN13*T13)</f>
        <v/>
      </c>
      <c r="AP13" s="40" t="n"/>
      <c r="AQ13" s="41" t="n"/>
      <c r="AR13" s="41" t="n"/>
      <c r="AS13" s="42" t="n"/>
      <c r="AT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U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V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W13" s="44" t="inlineStr">
        <is>
          <t>handoff/INDIA-ECONOMICS-SIDECAR-V0-2026-06-20.json (andaman)</t>
        </is>
      </c>
      <c r="AX13" s="44" t="inlineStr">
        <is>
          <t>handoff/INDIA-ECONOMICS-SIDECAR-V0-2026-06-20.json (andaman)</t>
        </is>
      </c>
    </row>
    <row r="14">
      <c r="A14" s="29" t="inlineStr">
        <is>
          <t>India Kolkata Rapido</t>
        </is>
      </c>
      <c r="B14" s="29" t="inlineStr">
        <is>
          <t>India</t>
        </is>
      </c>
      <c r="C14" s="30" t="inlineStr">
        <is>
          <t>Fairlie Place Ferry → Bagbazar Ghat</t>
        </is>
      </c>
      <c r="D14" s="31" t="n">
        <v>1.7</v>
      </c>
      <c r="E14" s="26" t="n">
        <v>18</v>
      </c>
      <c r="F14" s="32" t="n"/>
      <c r="G14" s="32" t="n"/>
      <c r="H14" s="19" t="n">
        <v>1</v>
      </c>
      <c r="I14" s="33">
        <f>60*D14/cruise_kt</f>
        <v/>
      </c>
      <c r="J14" s="33">
        <f>I14+turn_min+dwell_min</f>
        <v/>
      </c>
      <c r="K14" s="34">
        <f>MIN(10,FLOOR(60*service_hr/J14,1))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1600000</v>
      </c>
      <c r="AH14" s="32" t="n"/>
      <c r="AI14" s="32" t="n"/>
      <c r="AJ14" s="39" t="n">
        <v>0.1</v>
      </c>
      <c r="AK14" s="34">
        <f>IF(AG14="","",AG14*AJ14)</f>
        <v/>
      </c>
      <c r="AL14" s="34">
        <f>IF(OR(AG14="",R14=0),"",MIN(IF(AS14="",9.9E+99,AS14),FLOOR(AK14/R14,1)))</f>
        <v/>
      </c>
      <c r="AM14" s="38">
        <f>IF(AL14="","",AL14*T14)</f>
        <v/>
      </c>
      <c r="AN14" s="36">
        <f>IF(OR(AG14="",R14=0),"",MIN(IF(AS14="",9.9E+99,AS14),AK14/R14))</f>
        <v/>
      </c>
      <c r="AO14" s="38">
        <f>IF(AN14="","",AN14*T14)</f>
        <v/>
      </c>
      <c r="AP14" s="40" t="n"/>
      <c r="AQ14" s="41" t="n"/>
      <c r="AR14" s="41" t="n"/>
      <c r="AS14" s="42" t="n"/>
      <c r="AT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U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V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W14" s="44" t="inlineStr">
        <is>
          <t xml:space="preserve">[LB-255 PREMIUM RE-FARE: subsidized comparable $2.5 lifted to premium on-demand floor $18.0] </t>
        </is>
      </c>
      <c r="AX14" s="44" t="n"/>
    </row>
    <row r="15">
      <c r="A15" s="29" t="inlineStr">
        <is>
          <t>India Andaman Rapido</t>
        </is>
      </c>
      <c r="B15" s="29" t="inlineStr">
        <is>
          <t>India</t>
        </is>
      </c>
      <c r="C15" s="30" t="inlineStr">
        <is>
          <t>Fisheries Jetty → BookMyBoat Andaman Ferry Booking</t>
        </is>
      </c>
      <c r="D15" s="31" t="n">
        <v>1.8</v>
      </c>
      <c r="E15" s="26" t="n">
        <v>22</v>
      </c>
      <c r="F15" s="32" t="inlineStr">
        <is>
          <t>T3</t>
        </is>
      </c>
      <c r="G15" s="32" t="inlineStr">
        <is>
          <t>med-low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MIN(10,FLOOR(60*service_hr/J15,1))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5000</v>
      </c>
      <c r="AH15" s="32" t="inlineStr">
        <is>
          <t>T3</t>
        </is>
      </c>
      <c r="AI15" s="32" t="inlineStr">
        <is>
          <t>med-low</t>
        </is>
      </c>
      <c r="AJ15" s="39" t="n">
        <v>0.1</v>
      </c>
      <c r="AK15" s="34">
        <f>IF(AG15="","",AG15*AJ15)</f>
        <v/>
      </c>
      <c r="AL15" s="34">
        <f>IF(OR(AG15="",R15=0),"",MIN(IF(AS15="",9.9E+99,AS15),FLOOR(AK15/R15,1)))</f>
        <v/>
      </c>
      <c r="AM15" s="38">
        <f>IF(AL15="","",AL15*T15)</f>
        <v/>
      </c>
      <c r="AN15" s="36">
        <f>IF(OR(AG15="",R15=0),"",MIN(IF(AS15="",9.9E+99,AS15),AK15/R15))</f>
        <v/>
      </c>
      <c r="AO15" s="38">
        <f>IF(AN15="","",AN15*T15)</f>
        <v/>
      </c>
      <c r="AP15" s="40" t="n"/>
      <c r="AQ15" s="41" t="n"/>
      <c r="AR15" s="41" t="n"/>
      <c r="AS15" s="42" t="n"/>
      <c r="AT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U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V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W15" s="44" t="inlineStr">
        <is>
          <t>handoff/INDIA-ECONOMICS-SIDECAR-V0-2026-06-20.json (andaman)</t>
        </is>
      </c>
      <c r="AX15" s="44" t="inlineStr">
        <is>
          <t>handoff/INDIA-ECONOMICS-SIDECAR-V0-2026-06-20.json (andaman)</t>
        </is>
      </c>
    </row>
    <row r="16">
      <c r="A16" s="29" t="inlineStr">
        <is>
          <t>India Andaman Rapido</t>
        </is>
      </c>
      <c r="B16" s="29" t="inlineStr">
        <is>
          <t>India</t>
        </is>
      </c>
      <c r="C16" s="30" t="inlineStr">
        <is>
          <t>Fisheries Jetty → Gamefishing Asia</t>
        </is>
      </c>
      <c r="D16" s="31" t="n">
        <v>2</v>
      </c>
      <c r="E16" s="26" t="n">
        <v>22</v>
      </c>
      <c r="F16" s="32" t="inlineStr">
        <is>
          <t>T3</t>
        </is>
      </c>
      <c r="G16" s="32" t="inlineStr">
        <is>
          <t>med-low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MIN(10,FLOOR(60*service_hr/J16,1))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5000</v>
      </c>
      <c r="AH16" s="32" t="inlineStr">
        <is>
          <t>T3</t>
        </is>
      </c>
      <c r="AI16" s="32" t="inlineStr">
        <is>
          <t>med-low</t>
        </is>
      </c>
      <c r="AJ16" s="39" t="n">
        <v>0.1</v>
      </c>
      <c r="AK16" s="34">
        <f>IF(AG16="","",AG16*AJ16)</f>
        <v/>
      </c>
      <c r="AL16" s="34">
        <f>IF(OR(AG16="",R16=0),"",MIN(IF(AS16="",9.9E+99,AS16),FLOOR(AK16/R16,1)))</f>
        <v/>
      </c>
      <c r="AM16" s="38">
        <f>IF(AL16="","",AL16*T16)</f>
        <v/>
      </c>
      <c r="AN16" s="36">
        <f>IF(OR(AG16="",R16=0),"",MIN(IF(AS16="",9.9E+99,AS16),AK16/R16))</f>
        <v/>
      </c>
      <c r="AO16" s="38">
        <f>IF(AN16="","",AN16*T16)</f>
        <v/>
      </c>
      <c r="AP16" s="40" t="n"/>
      <c r="AQ16" s="41" t="n"/>
      <c r="AR16" s="41" t="n"/>
      <c r="AS16" s="42" t="n"/>
      <c r="AT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U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V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W16" s="44" t="inlineStr">
        <is>
          <t>handoff/INDIA-ECONOMICS-SIDECAR-V0-2026-06-20.json (andaman)</t>
        </is>
      </c>
      <c r="AX16" s="44" t="inlineStr">
        <is>
          <t>handoff/INDIA-ECONOMICS-SIDECAR-V0-2026-06-20.json (andaman)</t>
        </is>
      </c>
    </row>
    <row r="17">
      <c r="A17" s="29" t="inlineStr">
        <is>
          <t>India Andaman Rapido</t>
        </is>
      </c>
      <c r="B17" s="29" t="inlineStr">
        <is>
          <t>India</t>
        </is>
      </c>
      <c r="C17" s="30" t="inlineStr">
        <is>
          <t>Panighat Ferry Jetty → Chatham Harbour</t>
        </is>
      </c>
      <c r="D17" s="31" t="n">
        <v>2</v>
      </c>
      <c r="E17" s="26" t="n">
        <v>22</v>
      </c>
      <c r="F17" s="32" t="inlineStr">
        <is>
          <t>T3</t>
        </is>
      </c>
      <c r="G17" s="32" t="inlineStr">
        <is>
          <t>med-low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MIN(10,FLOOR(60*service_hr/J17,1))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>
        <v>5000</v>
      </c>
      <c r="AH17" s="32" t="inlineStr">
        <is>
          <t>T3</t>
        </is>
      </c>
      <c r="AI17" s="32" t="inlineStr">
        <is>
          <t>med-low</t>
        </is>
      </c>
      <c r="AJ17" s="39" t="n">
        <v>0.1</v>
      </c>
      <c r="AK17" s="34">
        <f>IF(AG17="","",AG17*AJ17)</f>
        <v/>
      </c>
      <c r="AL17" s="34">
        <f>IF(OR(AG17="",R17=0),"",MIN(IF(AS17="",9.9E+99,AS17),FLOOR(AK17/R17,1)))</f>
        <v/>
      </c>
      <c r="AM17" s="38">
        <f>IF(AL17="","",AL17*T17)</f>
        <v/>
      </c>
      <c r="AN17" s="36">
        <f>IF(OR(AG17="",R17=0),"",MIN(IF(AS17="",9.9E+99,AS17),AK17/R17))</f>
        <v/>
      </c>
      <c r="AO17" s="38">
        <f>IF(AN17="","",AN17*T17)</f>
        <v/>
      </c>
      <c r="AP17" s="40" t="n"/>
      <c r="AQ17" s="41" t="n"/>
      <c r="AR17" s="41" t="n"/>
      <c r="AS17" s="42" t="n"/>
      <c r="AT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U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V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W17" s="44" t="inlineStr">
        <is>
          <t>handoff/INDIA-ECONOMICS-SIDECAR-V0-2026-06-20.json (andaman)</t>
        </is>
      </c>
      <c r="AX17" s="44" t="inlineStr">
        <is>
          <t>handoff/INDIA-ECONOMICS-SIDECAR-V0-2026-06-20.json (andaman)</t>
        </is>
      </c>
    </row>
    <row r="18">
      <c r="A18" s="29" t="inlineStr">
        <is>
          <t>India Andaman Rapido</t>
        </is>
      </c>
      <c r="B18" s="29" t="inlineStr">
        <is>
          <t>India</t>
        </is>
      </c>
      <c r="C18" s="30" t="inlineStr">
        <is>
          <t>Game Fishing In Andaman | Bite Me Charter | Best Sport fishing in Andaman Islands → Junglighat Jetty</t>
        </is>
      </c>
      <c r="D18" s="31" t="n">
        <v>2.1</v>
      </c>
      <c r="E18" s="26" t="n">
        <v>22</v>
      </c>
      <c r="F18" s="32" t="inlineStr">
        <is>
          <t>T3</t>
        </is>
      </c>
      <c r="G18" s="32" t="inlineStr">
        <is>
          <t>med-low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MIN(10,FLOOR(60*service_hr/J18,1))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>
        <v>5000</v>
      </c>
      <c r="AH18" s="32" t="inlineStr">
        <is>
          <t>T3</t>
        </is>
      </c>
      <c r="AI18" s="32" t="inlineStr">
        <is>
          <t>med-low</t>
        </is>
      </c>
      <c r="AJ18" s="39" t="n">
        <v>0.1</v>
      </c>
      <c r="AK18" s="34">
        <f>IF(AG18="","",AG18*AJ18)</f>
        <v/>
      </c>
      <c r="AL18" s="34">
        <f>IF(OR(AG18="",R18=0),"",MIN(IF(AS18="",9.9E+99,AS18),FLOOR(AK18/R18,1)))</f>
        <v/>
      </c>
      <c r="AM18" s="38">
        <f>IF(AL18="","",AL18*T18)</f>
        <v/>
      </c>
      <c r="AN18" s="36">
        <f>IF(OR(AG18="",R18=0),"",MIN(IF(AS18="",9.9E+99,AS18),AK18/R18))</f>
        <v/>
      </c>
      <c r="AO18" s="38">
        <f>IF(AN18="","",AN18*T18)</f>
        <v/>
      </c>
      <c r="AP18" s="40" t="n"/>
      <c r="AQ18" s="41" t="n"/>
      <c r="AR18" s="41" t="n"/>
      <c r="AS18" s="42" t="n"/>
      <c r="AT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U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V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W18" s="44" t="inlineStr">
        <is>
          <t>handoff/INDIA-ECONOMICS-SIDECAR-V0-2026-06-20.json (andaman)</t>
        </is>
      </c>
      <c r="AX18" s="44" t="inlineStr">
        <is>
          <t>handoff/INDIA-ECONOMICS-SIDECAR-V0-2026-06-20.json (andaman)</t>
        </is>
      </c>
    </row>
    <row r="19">
      <c r="A19" s="29" t="inlineStr">
        <is>
          <t>India Andaman Rapido</t>
        </is>
      </c>
      <c r="B19" s="29" t="inlineStr">
        <is>
          <t>India</t>
        </is>
      </c>
      <c r="C19" s="30" t="inlineStr">
        <is>
          <t>Andaman → Game Fishing In Andaman | Bite Me Charter | Best Sport fishing in Andaman Islands</t>
        </is>
      </c>
      <c r="D19" s="31" t="n">
        <v>2.1</v>
      </c>
      <c r="E19" s="26" t="n">
        <v>22</v>
      </c>
      <c r="F19" s="32" t="inlineStr">
        <is>
          <t>T3</t>
        </is>
      </c>
      <c r="G19" s="32" t="inlineStr">
        <is>
          <t>med-low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MIN(10,FLOOR(60*service_hr/J19,1))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5000</v>
      </c>
      <c r="AH19" s="32" t="inlineStr">
        <is>
          <t>T3</t>
        </is>
      </c>
      <c r="AI19" s="32" t="inlineStr">
        <is>
          <t>med-low</t>
        </is>
      </c>
      <c r="AJ19" s="39" t="n">
        <v>0.1</v>
      </c>
      <c r="AK19" s="34">
        <f>IF(AG19="","",AG19*AJ19)</f>
        <v/>
      </c>
      <c r="AL19" s="34">
        <f>IF(OR(AG19="",R19=0),"",MIN(IF(AS19="",9.9E+99,AS19),FLOOR(AK19/R19,1)))</f>
        <v/>
      </c>
      <c r="AM19" s="38">
        <f>IF(AL19="","",AL19*T19)</f>
        <v/>
      </c>
      <c r="AN19" s="36">
        <f>IF(OR(AG19="",R19=0),"",MIN(IF(AS19="",9.9E+99,AS19),AK19/R19))</f>
        <v/>
      </c>
      <c r="AO19" s="38">
        <f>IF(AN19="","",AN19*T19)</f>
        <v/>
      </c>
      <c r="AP19" s="40" t="n"/>
      <c r="AQ19" s="41" t="n"/>
      <c r="AR19" s="41" t="n"/>
      <c r="AS19" s="42" t="n"/>
      <c r="AT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U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V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W19" s="44" t="inlineStr">
        <is>
          <t>handoff/INDIA-ECONOMICS-SIDECAR-V0-2026-06-20.json (andaman)</t>
        </is>
      </c>
      <c r="AX19" s="44" t="inlineStr">
        <is>
          <t>handoff/INDIA-ECONOMICS-SIDECAR-V0-2026-06-20.json (andaman)</t>
        </is>
      </c>
    </row>
    <row r="20">
      <c r="A20" s="29" t="inlineStr">
        <is>
          <t>India Goa Rapido</t>
        </is>
      </c>
      <c r="B20" s="29" t="inlineStr">
        <is>
          <t>India</t>
        </is>
      </c>
      <c r="C20" s="30" t="inlineStr">
        <is>
          <t>Panaji Jetty → Goa</t>
        </is>
      </c>
      <c r="D20" s="31" t="n">
        <v>2.1</v>
      </c>
      <c r="E20" s="26" t="n">
        <v>8</v>
      </c>
      <c r="F20" s="32" t="inlineStr">
        <is>
          <t>T3</t>
        </is>
      </c>
      <c r="G20" s="32" t="inlineStr">
        <is>
          <t>med-low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MIN(10,FLOOR(60*service_hr/J20,1))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>
        <v>11250</v>
      </c>
      <c r="AH20" s="32" t="inlineStr">
        <is>
          <t>T3</t>
        </is>
      </c>
      <c r="AI20" s="32" t="inlineStr">
        <is>
          <t>med-low</t>
        </is>
      </c>
      <c r="AJ20" s="39" t="n">
        <v>0.1</v>
      </c>
      <c r="AK20" s="34">
        <f>IF(AG20="","",AG20*AJ20)</f>
        <v/>
      </c>
      <c r="AL20" s="34">
        <f>IF(OR(AG20="",R20=0),"",MIN(IF(AS20="",9.9E+99,AS20),FLOOR(AK20/R20,1)))</f>
        <v/>
      </c>
      <c r="AM20" s="38">
        <f>IF(AL20="","",AL20*T20)</f>
        <v/>
      </c>
      <c r="AN20" s="36">
        <f>IF(OR(AG20="",R20=0),"",MIN(IF(AS20="",9.9E+99,AS20),AK20/R20))</f>
        <v/>
      </c>
      <c r="AO20" s="38">
        <f>IF(AN20="","",AN20*T20)</f>
        <v/>
      </c>
      <c r="AP20" s="40" t="n"/>
      <c r="AQ20" s="41" t="n"/>
      <c r="AR20" s="41" t="n"/>
      <c r="AS20" s="42" t="n"/>
      <c r="AT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U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V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W20" s="44" t="inlineStr">
        <is>
          <t>handoff/INDIA-ECONOMICS-SIDECAR-V0-2026-06-20.json (goa)</t>
        </is>
      </c>
      <c r="AX20" s="44" t="inlineStr">
        <is>
          <t>handoff/INDIA-ECONOMICS-SIDECAR-V0-2026-06-20.json (goa)</t>
        </is>
      </c>
    </row>
    <row r="21">
      <c r="A21" s="29" t="inlineStr">
        <is>
          <t>India Kerala Rapido</t>
        </is>
      </c>
      <c r="B21" s="29" t="inlineStr">
        <is>
          <t>India</t>
        </is>
      </c>
      <c r="C21" s="30" t="inlineStr">
        <is>
          <t>Marina One, Kochi → Harbour Roof Garden</t>
        </is>
      </c>
      <c r="D21" s="31" t="n">
        <v>2.1</v>
      </c>
      <c r="E21" s="26" t="n">
        <v>18</v>
      </c>
      <c r="F21" s="32" t="inlineStr">
        <is>
          <t>T3</t>
        </is>
      </c>
      <c r="G21" s="32" t="inlineStr">
        <is>
          <t>med-low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MIN(10,FLOOR(60*service_hr/J21,1))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>
        <v>29166</v>
      </c>
      <c r="AH21" s="32" t="inlineStr">
        <is>
          <t>T3</t>
        </is>
      </c>
      <c r="AI21" s="32" t="inlineStr">
        <is>
          <t>med-low</t>
        </is>
      </c>
      <c r="AJ21" s="39" t="n">
        <v>0.1</v>
      </c>
      <c r="AK21" s="34">
        <f>IF(AG21="","",AG21*AJ21)</f>
        <v/>
      </c>
      <c r="AL21" s="34">
        <f>IF(OR(AG21="",R21=0),"",MIN(IF(AS21="",9.9E+99,AS21),FLOOR(AK21/R21,1)))</f>
        <v/>
      </c>
      <c r="AM21" s="38">
        <f>IF(AL21="","",AL21*T21)</f>
        <v/>
      </c>
      <c r="AN21" s="36">
        <f>IF(OR(AG21="",R21=0),"",MIN(IF(AS21="",9.9E+99,AS21),AK21/R21))</f>
        <v/>
      </c>
      <c r="AO21" s="38">
        <f>IF(AN21="","",AN21*T21)</f>
        <v/>
      </c>
      <c r="AP21" s="40" t="n"/>
      <c r="AQ21" s="41" t="n"/>
      <c r="AR21" s="41" t="n"/>
      <c r="AS21" s="42" t="n"/>
      <c r="AT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U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V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W21" s="44" t="inlineStr">
        <is>
          <t>[LB-255 PREMIUM RE-FARE: subsidized comparable $3.5 lifted to premium on-demand floor $18.0] handoff/INDIA-ECONOMICS-SIDECAR-V0-2026-06-20.json (kerala)</t>
        </is>
      </c>
      <c r="AX21" s="44" t="inlineStr">
        <is>
          <t>handoff/INDIA-ECONOMICS-SIDECAR-V0-2026-06-20.json (kerala)</t>
        </is>
      </c>
    </row>
    <row r="22">
      <c r="A22" s="29" t="inlineStr">
        <is>
          <t>India Kerala Rapido</t>
        </is>
      </c>
      <c r="B22" s="29" t="inlineStr">
        <is>
          <t>India</t>
        </is>
      </c>
      <c r="C22" s="30" t="inlineStr">
        <is>
          <t>Water Wolf Speed Boat - Boating Kadamakudy → Ferry Terminal</t>
        </is>
      </c>
      <c r="D22" s="31" t="n">
        <v>2.1</v>
      </c>
      <c r="E22" s="26" t="n">
        <v>18</v>
      </c>
      <c r="F22" s="32" t="inlineStr">
        <is>
          <t>T3</t>
        </is>
      </c>
      <c r="G22" s="32" t="inlineStr">
        <is>
          <t>med-low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MIN(10,FLOOR(60*service_hr/J22,1))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>
        <v>29166</v>
      </c>
      <c r="AH22" s="32" t="inlineStr">
        <is>
          <t>T3</t>
        </is>
      </c>
      <c r="AI22" s="32" t="inlineStr">
        <is>
          <t>med-low</t>
        </is>
      </c>
      <c r="AJ22" s="39" t="n">
        <v>0.1</v>
      </c>
      <c r="AK22" s="34">
        <f>IF(AG22="","",AG22*AJ22)</f>
        <v/>
      </c>
      <c r="AL22" s="34">
        <f>IF(OR(AG22="",R22=0),"",MIN(IF(AS22="",9.9E+99,AS22),FLOOR(AK22/R22,1)))</f>
        <v/>
      </c>
      <c r="AM22" s="38">
        <f>IF(AL22="","",AL22*T22)</f>
        <v/>
      </c>
      <c r="AN22" s="36">
        <f>IF(OR(AG22="",R22=0),"",MIN(IF(AS22="",9.9E+99,AS22),AK22/R22))</f>
        <v/>
      </c>
      <c r="AO22" s="38">
        <f>IF(AN22="","",AN22*T22)</f>
        <v/>
      </c>
      <c r="AP22" s="40" t="n"/>
      <c r="AQ22" s="41" t="n"/>
      <c r="AR22" s="41" t="n"/>
      <c r="AS22" s="42" t="n"/>
      <c r="AT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U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V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W22" s="44" t="inlineStr">
        <is>
          <t>[LB-255 PREMIUM RE-FARE: subsidized comparable $3.5 lifted to premium on-demand floor $18.0] handoff/INDIA-ECONOMICS-SIDECAR-V0-2026-06-20.json (kerala)</t>
        </is>
      </c>
      <c r="AX22" s="44" t="inlineStr">
        <is>
          <t>handoff/INDIA-ECONOMICS-SIDECAR-V0-2026-06-20.json (kerala)</t>
        </is>
      </c>
    </row>
    <row r="23">
      <c r="A23" s="29" t="inlineStr">
        <is>
          <t>India Kerala Rapido</t>
        </is>
      </c>
      <c r="B23" s="29" t="inlineStr">
        <is>
          <t>India</t>
        </is>
      </c>
      <c r="C23" s="30" t="inlineStr">
        <is>
          <t>Willingdon Island → Kerala Backwaters &amp; Kochi</t>
        </is>
      </c>
      <c r="D23" s="31" t="n">
        <v>2.1</v>
      </c>
      <c r="E23" s="26" t="n">
        <v>18</v>
      </c>
      <c r="F23" s="32" t="inlineStr">
        <is>
          <t>T3</t>
        </is>
      </c>
      <c r="G23" s="32" t="inlineStr">
        <is>
          <t>med-low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MIN(10,FLOOR(60*service_hr/J23,1))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>
        <v>29166</v>
      </c>
      <c r="AH23" s="32" t="inlineStr">
        <is>
          <t>T3</t>
        </is>
      </c>
      <c r="AI23" s="32" t="inlineStr">
        <is>
          <t>med-low</t>
        </is>
      </c>
      <c r="AJ23" s="39" t="n">
        <v>0.1</v>
      </c>
      <c r="AK23" s="34">
        <f>IF(AG23="","",AG23*AJ23)</f>
        <v/>
      </c>
      <c r="AL23" s="34">
        <f>IF(OR(AG23="",R23=0),"",MIN(IF(AS23="",9.9E+99,AS23),FLOOR(AK23/R23,1)))</f>
        <v/>
      </c>
      <c r="AM23" s="38">
        <f>IF(AL23="","",AL23*T23)</f>
        <v/>
      </c>
      <c r="AN23" s="36">
        <f>IF(OR(AG23="",R23=0),"",MIN(IF(AS23="",9.9E+99,AS23),AK23/R23))</f>
        <v/>
      </c>
      <c r="AO23" s="38">
        <f>IF(AN23="","",AN23*T23)</f>
        <v/>
      </c>
      <c r="AP23" s="40" t="n"/>
      <c r="AQ23" s="41" t="n"/>
      <c r="AR23" s="41" t="n"/>
      <c r="AS23" s="42" t="n"/>
      <c r="AT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U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V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W23" s="44" t="inlineStr">
        <is>
          <t>[LB-255 PREMIUM RE-FARE: subsidized comparable $3.5 lifted to premium on-demand floor $18.0] handoff/INDIA-ECONOMICS-SIDECAR-V0-2026-06-20.json (kerala)</t>
        </is>
      </c>
      <c r="AX23" s="44" t="inlineStr">
        <is>
          <t>handoff/INDIA-ECONOMICS-SIDECAR-V0-2026-06-20.json (kerala)</t>
        </is>
      </c>
    </row>
    <row r="24">
      <c r="A24" s="29" t="inlineStr">
        <is>
          <t>India Kerala Rapido</t>
        </is>
      </c>
      <c r="B24" s="29" t="inlineStr">
        <is>
          <t>India</t>
        </is>
      </c>
      <c r="C24" s="30" t="inlineStr">
        <is>
          <t>Kochi International Marina KTDC → Martins Harbour</t>
        </is>
      </c>
      <c r="D24" s="31" t="n">
        <v>2.1</v>
      </c>
      <c r="E24" s="26" t="n">
        <v>18</v>
      </c>
      <c r="F24" s="32" t="inlineStr">
        <is>
          <t>T3</t>
        </is>
      </c>
      <c r="G24" s="32" t="inlineStr">
        <is>
          <t>med-low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MIN(10,FLOOR(60*service_hr/J24,1))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>
        <v>29166</v>
      </c>
      <c r="AH24" s="32" t="inlineStr">
        <is>
          <t>T3</t>
        </is>
      </c>
      <c r="AI24" s="32" t="inlineStr">
        <is>
          <t>med-low</t>
        </is>
      </c>
      <c r="AJ24" s="39" t="n">
        <v>0.1</v>
      </c>
      <c r="AK24" s="34">
        <f>IF(AG24="","",AG24*AJ24)</f>
        <v/>
      </c>
      <c r="AL24" s="34">
        <f>IF(OR(AG24="",R24=0),"",MIN(IF(AS24="",9.9E+99,AS24),FLOOR(AK24/R24,1)))</f>
        <v/>
      </c>
      <c r="AM24" s="38">
        <f>IF(AL24="","",AL24*T24)</f>
        <v/>
      </c>
      <c r="AN24" s="36">
        <f>IF(OR(AG24="",R24=0),"",MIN(IF(AS24="",9.9E+99,AS24),AK24/R24))</f>
        <v/>
      </c>
      <c r="AO24" s="38">
        <f>IF(AN24="","",AN24*T24)</f>
        <v/>
      </c>
      <c r="AP24" s="40" t="n"/>
      <c r="AQ24" s="41" t="n"/>
      <c r="AR24" s="41" t="n"/>
      <c r="AS24" s="42" t="n"/>
      <c r="AT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U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V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W24" s="44" t="inlineStr">
        <is>
          <t>[LB-255 PREMIUM RE-FARE: subsidized comparable $3.5 lifted to premium on-demand floor $18.0] handoff/INDIA-ECONOMICS-SIDECAR-V0-2026-06-20.json (kerala)</t>
        </is>
      </c>
      <c r="AX24" s="44" t="inlineStr">
        <is>
          <t>handoff/INDIA-ECONOMICS-SIDECAR-V0-2026-06-20.json (kerala)</t>
        </is>
      </c>
    </row>
    <row r="25">
      <c r="A25" s="29" t="inlineStr">
        <is>
          <t>India Mumbai Rapido</t>
        </is>
      </c>
      <c r="B25" s="29" t="inlineStr">
        <is>
          <t>India</t>
        </is>
      </c>
      <c r="C25" s="30" t="inlineStr">
        <is>
          <t>Gateway of India → Mumbai Harbour</t>
        </is>
      </c>
      <c r="D25" s="31" t="n">
        <v>2.1</v>
      </c>
      <c r="E25" s="26" t="n">
        <v>18</v>
      </c>
      <c r="F25" s="32" t="inlineStr">
        <is>
          <t>T3</t>
        </is>
      </c>
      <c r="G25" s="32" t="inlineStr">
        <is>
          <t>med-low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MIN(10,FLOOR(60*service_hr/J25,1))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>
        <v>5000</v>
      </c>
      <c r="AH25" s="32" t="inlineStr">
        <is>
          <t>T3</t>
        </is>
      </c>
      <c r="AI25" s="32" t="inlineStr">
        <is>
          <t>med-low</t>
        </is>
      </c>
      <c r="AJ25" s="39" t="n">
        <v>0.1</v>
      </c>
      <c r="AK25" s="34">
        <f>IF(AG25="","",AG25*AJ25)</f>
        <v/>
      </c>
      <c r="AL25" s="34">
        <f>IF(OR(AG25="",R25=0),"",MIN(IF(AS25="",9.9E+99,AS25),FLOOR(AK25/R25,1)))</f>
        <v/>
      </c>
      <c r="AM25" s="38">
        <f>IF(AL25="","",AL25*T25)</f>
        <v/>
      </c>
      <c r="AN25" s="36">
        <f>IF(OR(AG25="",R25=0),"",MIN(IF(AS25="",9.9E+99,AS25),AK25/R25))</f>
        <v/>
      </c>
      <c r="AO25" s="38">
        <f>IF(AN25="","",AN25*T25)</f>
        <v/>
      </c>
      <c r="AP25" s="40" t="n"/>
      <c r="AQ25" s="41" t="n"/>
      <c r="AR25" s="41" t="n"/>
      <c r="AS25" s="42" t="n"/>
      <c r="AT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U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V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W25" s="44" t="inlineStr">
        <is>
          <t>[LB-255 PREMIUM RE-FARE: subsidized comparable $5.5 lifted to premium on-demand floor $18.0] handoff/INDIA-ECONOMICS-SIDECAR-V0-2026-06-20.json (mumbai)</t>
        </is>
      </c>
      <c r="AX25" s="44" t="inlineStr">
        <is>
          <t>handoff/INDIA-ECONOMICS-SIDECAR-V0-2026-06-20.json (mumbai)</t>
        </is>
      </c>
    </row>
    <row r="26">
      <c r="A26" s="29" t="inlineStr">
        <is>
          <t>India Andaman Rapido</t>
        </is>
      </c>
      <c r="B26" s="29" t="inlineStr">
        <is>
          <t>India</t>
        </is>
      </c>
      <c r="C26" s="30" t="inlineStr">
        <is>
          <t>Andaman → Marina Park</t>
        </is>
      </c>
      <c r="D26" s="31" t="n">
        <v>2.2</v>
      </c>
      <c r="E26" s="26" t="n">
        <v>22</v>
      </c>
      <c r="F26" s="32" t="inlineStr">
        <is>
          <t>T3</t>
        </is>
      </c>
      <c r="G26" s="32" t="inlineStr">
        <is>
          <t>med-low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MIN(10,FLOOR(60*service_hr/J26,1))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>
        <v>5000</v>
      </c>
      <c r="AH26" s="32" t="inlineStr">
        <is>
          <t>T3</t>
        </is>
      </c>
      <c r="AI26" s="32" t="inlineStr">
        <is>
          <t>med-low</t>
        </is>
      </c>
      <c r="AJ26" s="39" t="n">
        <v>0.1</v>
      </c>
      <c r="AK26" s="34">
        <f>IF(AG26="","",AG26*AJ26)</f>
        <v/>
      </c>
      <c r="AL26" s="34">
        <f>IF(OR(AG26="",R26=0),"",MIN(IF(AS26="",9.9E+99,AS26),FLOOR(AK26/R26,1)))</f>
        <v/>
      </c>
      <c r="AM26" s="38">
        <f>IF(AL26="","",AL26*T26)</f>
        <v/>
      </c>
      <c r="AN26" s="36">
        <f>IF(OR(AG26="",R26=0),"",MIN(IF(AS26="",9.9E+99,AS26),AK26/R26))</f>
        <v/>
      </c>
      <c r="AO26" s="38">
        <f>IF(AN26="","",AN26*T26)</f>
        <v/>
      </c>
      <c r="AP26" s="40" t="n"/>
      <c r="AQ26" s="41" t="n"/>
      <c r="AR26" s="41" t="n"/>
      <c r="AS26" s="42" t="n"/>
      <c r="AT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U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V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W26" s="44" t="inlineStr">
        <is>
          <t>handoff/INDIA-ECONOMICS-SIDECAR-V0-2026-06-20.json (andaman)</t>
        </is>
      </c>
      <c r="AX26" s="44" t="inlineStr">
        <is>
          <t>handoff/INDIA-ECONOMICS-SIDECAR-V0-2026-06-20.json (andaman)</t>
        </is>
      </c>
    </row>
    <row r="27">
      <c r="A27" s="29" t="inlineStr">
        <is>
          <t>India Andaman Rapido</t>
        </is>
      </c>
      <c r="B27" s="29" t="inlineStr">
        <is>
          <t>India</t>
        </is>
      </c>
      <c r="C27" s="30" t="inlineStr">
        <is>
          <t>Panighat Ferry Jetty → Chatham Jetty</t>
        </is>
      </c>
      <c r="D27" s="31" t="n">
        <v>2.2</v>
      </c>
      <c r="E27" s="26" t="n">
        <v>22</v>
      </c>
      <c r="F27" s="32" t="inlineStr">
        <is>
          <t>T3</t>
        </is>
      </c>
      <c r="G27" s="32" t="inlineStr">
        <is>
          <t>med-low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MIN(10,FLOOR(60*service_hr/J27,1))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>
        <v>5000</v>
      </c>
      <c r="AH27" s="32" t="inlineStr">
        <is>
          <t>T3</t>
        </is>
      </c>
      <c r="AI27" s="32" t="inlineStr">
        <is>
          <t>med-low</t>
        </is>
      </c>
      <c r="AJ27" s="39" t="n">
        <v>0.1</v>
      </c>
      <c r="AK27" s="34">
        <f>IF(AG27="","",AG27*AJ27)</f>
        <v/>
      </c>
      <c r="AL27" s="34">
        <f>IF(OR(AG27="",R27=0),"",MIN(IF(AS27="",9.9E+99,AS27),FLOOR(AK27/R27,1)))</f>
        <v/>
      </c>
      <c r="AM27" s="38">
        <f>IF(AL27="","",AL27*T27)</f>
        <v/>
      </c>
      <c r="AN27" s="36">
        <f>IF(OR(AG27="",R27=0),"",MIN(IF(AS27="",9.9E+99,AS27),AK27/R27))</f>
        <v/>
      </c>
      <c r="AO27" s="38">
        <f>IF(AN27="","",AN27*T27)</f>
        <v/>
      </c>
      <c r="AP27" s="40" t="n"/>
      <c r="AQ27" s="41" t="n"/>
      <c r="AR27" s="41" t="n"/>
      <c r="AS27" s="42" t="n"/>
      <c r="AT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U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V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W27" s="44" t="inlineStr">
        <is>
          <t>handoff/INDIA-ECONOMICS-SIDECAR-V0-2026-06-20.json (andaman)</t>
        </is>
      </c>
      <c r="AX27" s="44" t="inlineStr">
        <is>
          <t>handoff/INDIA-ECONOMICS-SIDECAR-V0-2026-06-20.json (andaman)</t>
        </is>
      </c>
    </row>
    <row r="28">
      <c r="A28" s="29" t="inlineStr">
        <is>
          <t>India Kerala Rapido</t>
        </is>
      </c>
      <c r="B28" s="29" t="inlineStr">
        <is>
          <t>India</t>
        </is>
      </c>
      <c r="C28" s="30" t="inlineStr">
        <is>
          <t>Willingdon Island → Kerala Backwaters &amp; Kochi</t>
        </is>
      </c>
      <c r="D28" s="31" t="n">
        <v>2.2</v>
      </c>
      <c r="E28" s="26" t="n">
        <v>18</v>
      </c>
      <c r="F28" s="32" t="inlineStr">
        <is>
          <t>T3</t>
        </is>
      </c>
      <c r="G28" s="32" t="inlineStr">
        <is>
          <t>med-low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MIN(10,FLOOR(60*service_hr/J28,1))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>
        <v>29166</v>
      </c>
      <c r="AH28" s="32" t="inlineStr">
        <is>
          <t>T3</t>
        </is>
      </c>
      <c r="AI28" s="32" t="inlineStr">
        <is>
          <t>med-low</t>
        </is>
      </c>
      <c r="AJ28" s="39" t="n">
        <v>0.1</v>
      </c>
      <c r="AK28" s="34">
        <f>IF(AG28="","",AG28*AJ28)</f>
        <v/>
      </c>
      <c r="AL28" s="34">
        <f>IF(OR(AG28="",R28=0),"",MIN(IF(AS28="",9.9E+99,AS28),FLOOR(AK28/R28,1)))</f>
        <v/>
      </c>
      <c r="AM28" s="38">
        <f>IF(AL28="","",AL28*T28)</f>
        <v/>
      </c>
      <c r="AN28" s="36">
        <f>IF(OR(AG28="",R28=0),"",MIN(IF(AS28="",9.9E+99,AS28),AK28/R28))</f>
        <v/>
      </c>
      <c r="AO28" s="38">
        <f>IF(AN28="","",AN28*T28)</f>
        <v/>
      </c>
      <c r="AP28" s="40" t="n"/>
      <c r="AQ28" s="41" t="n"/>
      <c r="AR28" s="41" t="n"/>
      <c r="AS28" s="42" t="n"/>
      <c r="AT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U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V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W28" s="44" t="inlineStr">
        <is>
          <t>[LB-255 PREMIUM RE-FARE: subsidized comparable $3.5 lifted to premium on-demand floor $18.0] handoff/INDIA-ECONOMICS-SIDECAR-V0-2026-06-20.json (kerala)</t>
        </is>
      </c>
      <c r="AX28" s="44" t="inlineStr">
        <is>
          <t>handoff/INDIA-ECONOMICS-SIDECAR-V0-2026-06-20.json (kerala)</t>
        </is>
      </c>
    </row>
    <row r="29">
      <c r="A29" s="29" t="inlineStr">
        <is>
          <t>India Andaman Rapido</t>
        </is>
      </c>
      <c r="B29" s="29" t="inlineStr">
        <is>
          <t>India</t>
        </is>
      </c>
      <c r="C29" s="30" t="inlineStr">
        <is>
          <t>Chatham Jetty → Chatham Harbour</t>
        </is>
      </c>
      <c r="D29" s="31" t="n">
        <v>2.4</v>
      </c>
      <c r="E29" s="26" t="n">
        <v>22</v>
      </c>
      <c r="F29" s="32" t="inlineStr">
        <is>
          <t>T3</t>
        </is>
      </c>
      <c r="G29" s="32" t="inlineStr">
        <is>
          <t>med-low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MIN(10,FLOOR(60*service_hr/J29,1))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>
        <v>5000</v>
      </c>
      <c r="AH29" s="32" t="inlineStr">
        <is>
          <t>T3</t>
        </is>
      </c>
      <c r="AI29" s="32" t="inlineStr">
        <is>
          <t>med-low</t>
        </is>
      </c>
      <c r="AJ29" s="39" t="n">
        <v>0.1</v>
      </c>
      <c r="AK29" s="34">
        <f>IF(AG29="","",AG29*AJ29)</f>
        <v/>
      </c>
      <c r="AL29" s="34">
        <f>IF(OR(AG29="",R29=0),"",MIN(IF(AS29="",9.9E+99,AS29),FLOOR(AK29/R29,1)))</f>
        <v/>
      </c>
      <c r="AM29" s="38">
        <f>IF(AL29="","",AL29*T29)</f>
        <v/>
      </c>
      <c r="AN29" s="36">
        <f>IF(OR(AG29="",R29=0),"",MIN(IF(AS29="",9.9E+99,AS29),AK29/R29))</f>
        <v/>
      </c>
      <c r="AO29" s="38">
        <f>IF(AN29="","",AN29*T29)</f>
        <v/>
      </c>
      <c r="AP29" s="40" t="n"/>
      <c r="AQ29" s="41" t="n"/>
      <c r="AR29" s="41" t="n"/>
      <c r="AS29" s="42" t="n"/>
      <c r="AT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U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V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W29" s="44" t="inlineStr">
        <is>
          <t>handoff/INDIA-ECONOMICS-SIDECAR-V0-2026-06-20.json (andaman)</t>
        </is>
      </c>
      <c r="AX29" s="44" t="inlineStr">
        <is>
          <t>handoff/INDIA-ECONOMICS-SIDECAR-V0-2026-06-20.json (andaman)</t>
        </is>
      </c>
    </row>
    <row r="30">
      <c r="A30" s="29" t="inlineStr">
        <is>
          <t>India Andaman Rapido</t>
        </is>
      </c>
      <c r="B30" s="29" t="inlineStr">
        <is>
          <t>India</t>
        </is>
      </c>
      <c r="C30" s="30" t="inlineStr">
        <is>
          <t>Andaman → Fisheries Jetty</t>
        </is>
      </c>
      <c r="D30" s="31" t="n">
        <v>2.4</v>
      </c>
      <c r="E30" s="26" t="n">
        <v>22</v>
      </c>
      <c r="F30" s="32" t="inlineStr">
        <is>
          <t>T3</t>
        </is>
      </c>
      <c r="G30" s="32" t="inlineStr">
        <is>
          <t>med-low</t>
        </is>
      </c>
      <c r="H30" s="19" t="n">
        <v>1</v>
      </c>
      <c r="I30" s="33">
        <f>60*D30/cruise_kt</f>
        <v/>
      </c>
      <c r="J30" s="33">
        <f>I30+turn_min+dwell_min</f>
        <v/>
      </c>
      <c r="K30" s="34">
        <f>MIN(10,FLOOR(60*service_hr/J30,1))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>
        <v>5000</v>
      </c>
      <c r="AH30" s="32" t="inlineStr">
        <is>
          <t>T3</t>
        </is>
      </c>
      <c r="AI30" s="32" t="inlineStr">
        <is>
          <t>med-low</t>
        </is>
      </c>
      <c r="AJ30" s="39" t="n">
        <v>0.1</v>
      </c>
      <c r="AK30" s="34">
        <f>IF(AG30="","",AG30*AJ30)</f>
        <v/>
      </c>
      <c r="AL30" s="34">
        <f>IF(OR(AG30="",R30=0),"",MIN(IF(AS30="",9.9E+99,AS30),FLOOR(AK30/R30,1)))</f>
        <v/>
      </c>
      <c r="AM30" s="38">
        <f>IF(AL30="","",AL30*T30)</f>
        <v/>
      </c>
      <c r="AN30" s="36">
        <f>IF(OR(AG30="",R30=0),"",MIN(IF(AS30="",9.9E+99,AS30),AK30/R30))</f>
        <v/>
      </c>
      <c r="AO30" s="38">
        <f>IF(AN30="","",AN30*T30)</f>
        <v/>
      </c>
      <c r="AP30" s="40" t="n"/>
      <c r="AQ30" s="41" t="n"/>
      <c r="AR30" s="41" t="n"/>
      <c r="AS30" s="42" t="n"/>
      <c r="AT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U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V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W30" s="44" t="inlineStr">
        <is>
          <t>handoff/INDIA-ECONOMICS-SIDECAR-V0-2026-06-20.json (andaman)</t>
        </is>
      </c>
      <c r="AX30" s="44" t="inlineStr">
        <is>
          <t>handoff/INDIA-ECONOMICS-SIDECAR-V0-2026-06-20.json (andaman)</t>
        </is>
      </c>
    </row>
    <row r="31">
      <c r="A31" s="29" t="inlineStr">
        <is>
          <t>India Goa Rapido</t>
        </is>
      </c>
      <c r="B31" s="29" t="inlineStr">
        <is>
          <t>India</t>
        </is>
      </c>
      <c r="C31" s="30" t="inlineStr">
        <is>
          <t>Chorao Ferry Terminal → Piedade Ferry Terminal</t>
        </is>
      </c>
      <c r="D31" s="31" t="n">
        <v>2.4</v>
      </c>
      <c r="E31" s="26" t="n">
        <v>8</v>
      </c>
      <c r="F31" s="32" t="inlineStr">
        <is>
          <t>T3</t>
        </is>
      </c>
      <c r="G31" s="32" t="inlineStr">
        <is>
          <t>med-low</t>
        </is>
      </c>
      <c r="H31" s="19" t="n">
        <v>1</v>
      </c>
      <c r="I31" s="33">
        <f>60*D31/cruise_kt</f>
        <v/>
      </c>
      <c r="J31" s="33">
        <f>I31+turn_min+dwell_min</f>
        <v/>
      </c>
      <c r="K31" s="34">
        <f>MIN(10,FLOOR(60*service_hr/J31,1))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>
        <v>11250</v>
      </c>
      <c r="AH31" s="32" t="inlineStr">
        <is>
          <t>T3</t>
        </is>
      </c>
      <c r="AI31" s="32" t="inlineStr">
        <is>
          <t>med-low</t>
        </is>
      </c>
      <c r="AJ31" s="39" t="n">
        <v>0.1</v>
      </c>
      <c r="AK31" s="34">
        <f>IF(AG31="","",AG31*AJ31)</f>
        <v/>
      </c>
      <c r="AL31" s="34">
        <f>IF(OR(AG31="",R31=0),"",MIN(IF(AS31="",9.9E+99,AS31),FLOOR(AK31/R31,1)))</f>
        <v/>
      </c>
      <c r="AM31" s="38">
        <f>IF(AL31="","",AL31*T31)</f>
        <v/>
      </c>
      <c r="AN31" s="36">
        <f>IF(OR(AG31="",R31=0),"",MIN(IF(AS31="",9.9E+99,AS31),AK31/R31))</f>
        <v/>
      </c>
      <c r="AO31" s="38">
        <f>IF(AN31="","",AN31*T31)</f>
        <v/>
      </c>
      <c r="AP31" s="40" t="n"/>
      <c r="AQ31" s="41" t="n"/>
      <c r="AR31" s="41" t="n"/>
      <c r="AS31" s="42" t="n"/>
      <c r="AT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U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V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W31" s="44" t="inlineStr">
        <is>
          <t>handoff/INDIA-ECONOMICS-SIDECAR-V0-2026-06-20.json (goa)</t>
        </is>
      </c>
      <c r="AX31" s="44" t="inlineStr">
        <is>
          <t>handoff/INDIA-ECONOMICS-SIDECAR-V0-2026-06-20.json (goa)</t>
        </is>
      </c>
    </row>
    <row r="32">
      <c r="A32" s="29" t="inlineStr">
        <is>
          <t>India Andaman Rapido</t>
        </is>
      </c>
      <c r="B32" s="29" t="inlineStr">
        <is>
          <t>India</t>
        </is>
      </c>
      <c r="C32" s="30" t="inlineStr">
        <is>
          <t>Haddo Jetty → Chatham Harbour</t>
        </is>
      </c>
      <c r="D32" s="31" t="n">
        <v>2.5</v>
      </c>
      <c r="E32" s="26" t="n">
        <v>22</v>
      </c>
      <c r="F32" s="32" t="inlineStr">
        <is>
          <t>T3</t>
        </is>
      </c>
      <c r="G32" s="32" t="inlineStr">
        <is>
          <t>med-low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MIN(10,FLOOR(60*service_hr/J32,1))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>
        <v>5000</v>
      </c>
      <c r="AH32" s="32" t="inlineStr">
        <is>
          <t>T3</t>
        </is>
      </c>
      <c r="AI32" s="32" t="inlineStr">
        <is>
          <t>med-low</t>
        </is>
      </c>
      <c r="AJ32" s="39" t="n">
        <v>0.1</v>
      </c>
      <c r="AK32" s="34">
        <f>IF(AG32="","",AG32*AJ32)</f>
        <v/>
      </c>
      <c r="AL32" s="34">
        <f>IF(OR(AG32="",R32=0),"",MIN(IF(AS32="",9.9E+99,AS32),FLOOR(AK32/R32,1)))</f>
        <v/>
      </c>
      <c r="AM32" s="38">
        <f>IF(AL32="","",AL32*T32)</f>
        <v/>
      </c>
      <c r="AN32" s="36">
        <f>IF(OR(AG32="",R32=0),"",MIN(IF(AS32="",9.9E+99,AS32),AK32/R32))</f>
        <v/>
      </c>
      <c r="AO32" s="38">
        <f>IF(AN32="","",AN32*T32)</f>
        <v/>
      </c>
      <c r="AP32" s="40" t="n"/>
      <c r="AQ32" s="41" t="n"/>
      <c r="AR32" s="41" t="n"/>
      <c r="AS32" s="42" t="n"/>
      <c r="AT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U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V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W32" s="44" t="inlineStr">
        <is>
          <t>handoff/INDIA-ECONOMICS-SIDECAR-V0-2026-06-20.json (andaman)</t>
        </is>
      </c>
      <c r="AX32" s="44" t="inlineStr">
        <is>
          <t>handoff/INDIA-ECONOMICS-SIDECAR-V0-2026-06-20.json (andaman)</t>
        </is>
      </c>
    </row>
    <row r="33">
      <c r="A33" s="29" t="inlineStr">
        <is>
          <t>India Andaman Rapido</t>
        </is>
      </c>
      <c r="B33" s="29" t="inlineStr">
        <is>
          <t>India</t>
        </is>
      </c>
      <c r="C33" s="30" t="inlineStr">
        <is>
          <t>Gamefishing Asia → Haddo Jetty</t>
        </is>
      </c>
      <c r="D33" s="31" t="n">
        <v>2.5</v>
      </c>
      <c r="E33" s="26" t="n">
        <v>22</v>
      </c>
      <c r="F33" s="32" t="inlineStr">
        <is>
          <t>T3</t>
        </is>
      </c>
      <c r="G33" s="32" t="inlineStr">
        <is>
          <t>med-low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MIN(10,FLOOR(60*service_hr/J33,1))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>
        <v>5000</v>
      </c>
      <c r="AH33" s="32" t="inlineStr">
        <is>
          <t>T3</t>
        </is>
      </c>
      <c r="AI33" s="32" t="inlineStr">
        <is>
          <t>med-low</t>
        </is>
      </c>
      <c r="AJ33" s="39" t="n">
        <v>0.1</v>
      </c>
      <c r="AK33" s="34">
        <f>IF(AG33="","",AG33*AJ33)</f>
        <v/>
      </c>
      <c r="AL33" s="34">
        <f>IF(OR(AG33="",R33=0),"",MIN(IF(AS33="",9.9E+99,AS33),FLOOR(AK33/R33,1)))</f>
        <v/>
      </c>
      <c r="AM33" s="38">
        <f>IF(AL33="","",AL33*T33)</f>
        <v/>
      </c>
      <c r="AN33" s="36">
        <f>IF(OR(AG33="",R33=0),"",MIN(IF(AS33="",9.9E+99,AS33),AK33/R33))</f>
        <v/>
      </c>
      <c r="AO33" s="38">
        <f>IF(AN33="","",AN33*T33)</f>
        <v/>
      </c>
      <c r="AP33" s="40" t="n"/>
      <c r="AQ33" s="41" t="n"/>
      <c r="AR33" s="41" t="n"/>
      <c r="AS33" s="42" t="n"/>
      <c r="AT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U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V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W33" s="44" t="inlineStr">
        <is>
          <t>handoff/INDIA-ECONOMICS-SIDECAR-V0-2026-06-20.json (andaman)</t>
        </is>
      </c>
      <c r="AX33" s="44" t="inlineStr">
        <is>
          <t>handoff/INDIA-ECONOMICS-SIDECAR-V0-2026-06-20.json (andaman)</t>
        </is>
      </c>
    </row>
    <row r="34">
      <c r="A34" s="29" t="inlineStr">
        <is>
          <t>India Mumbai Rapido</t>
        </is>
      </c>
      <c r="B34" s="29" t="inlineStr">
        <is>
          <t>India</t>
        </is>
      </c>
      <c r="C34" s="30" t="inlineStr">
        <is>
          <t>Bhaucha Dhakka → Cordelia Cruises</t>
        </is>
      </c>
      <c r="D34" s="31" t="n">
        <v>2.5</v>
      </c>
      <c r="E34" s="26" t="n">
        <v>18</v>
      </c>
      <c r="F34" s="32" t="inlineStr">
        <is>
          <t>T3</t>
        </is>
      </c>
      <c r="G34" s="32" t="inlineStr">
        <is>
          <t>med-low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MIN(10,FLOOR(60*service_hr/J34,1))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>
        <v>5000</v>
      </c>
      <c r="AH34" s="32" t="inlineStr">
        <is>
          <t>T3</t>
        </is>
      </c>
      <c r="AI34" s="32" t="inlineStr">
        <is>
          <t>med-low</t>
        </is>
      </c>
      <c r="AJ34" s="39" t="n">
        <v>0.1</v>
      </c>
      <c r="AK34" s="34">
        <f>IF(AG34="","",AG34*AJ34)</f>
        <v/>
      </c>
      <c r="AL34" s="34">
        <f>IF(OR(AG34="",R34=0),"",MIN(IF(AS34="",9.9E+99,AS34),FLOOR(AK34/R34,1)))</f>
        <v/>
      </c>
      <c r="AM34" s="38">
        <f>IF(AL34="","",AL34*T34)</f>
        <v/>
      </c>
      <c r="AN34" s="36">
        <f>IF(OR(AG34="",R34=0),"",MIN(IF(AS34="",9.9E+99,AS34),AK34/R34))</f>
        <v/>
      </c>
      <c r="AO34" s="38">
        <f>IF(AN34="","",AN34*T34)</f>
        <v/>
      </c>
      <c r="AP34" s="40" t="n"/>
      <c r="AQ34" s="41" t="n"/>
      <c r="AR34" s="41" t="n"/>
      <c r="AS34" s="42" t="n"/>
      <c r="AT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U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V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W34" s="44" t="inlineStr">
        <is>
          <t>[LB-255 PREMIUM RE-FARE: subsidized comparable $5.5 lifted to premium on-demand floor $18.0] handoff/INDIA-ECONOMICS-SIDECAR-V0-2026-06-20.json (mumbai)</t>
        </is>
      </c>
      <c r="AX34" s="44" t="inlineStr">
        <is>
          <t>handoff/INDIA-ECONOMICS-SIDECAR-V0-2026-06-20.json (mumbai)</t>
        </is>
      </c>
    </row>
    <row r="35">
      <c r="A35" s="29" t="inlineStr">
        <is>
          <t>India Mumbai Rapido</t>
        </is>
      </c>
      <c r="B35" s="29" t="inlineStr">
        <is>
          <t>India</t>
        </is>
      </c>
      <c r="C35" s="30" t="inlineStr">
        <is>
          <t>Bhaucha Dhakka Ferry Boat Service → Cordelia Cruises</t>
        </is>
      </c>
      <c r="D35" s="31" t="n">
        <v>2.5</v>
      </c>
      <c r="E35" s="26" t="n">
        <v>18</v>
      </c>
      <c r="F35" s="32" t="inlineStr">
        <is>
          <t>T3</t>
        </is>
      </c>
      <c r="G35" s="32" t="inlineStr">
        <is>
          <t>med-low</t>
        </is>
      </c>
      <c r="H35" s="19" t="n">
        <v>1</v>
      </c>
      <c r="I35" s="33">
        <f>60*D35/cruise_kt</f>
        <v/>
      </c>
      <c r="J35" s="33">
        <f>I35+turn_min+dwell_min</f>
        <v/>
      </c>
      <c r="K35" s="34">
        <f>MIN(10,FLOOR(60*service_hr/J35,1))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>
        <v>5000</v>
      </c>
      <c r="AH35" s="32" t="inlineStr">
        <is>
          <t>T3</t>
        </is>
      </c>
      <c r="AI35" s="32" t="inlineStr">
        <is>
          <t>med-low</t>
        </is>
      </c>
      <c r="AJ35" s="39" t="n">
        <v>0.1</v>
      </c>
      <c r="AK35" s="34">
        <f>IF(AG35="","",AG35*AJ35)</f>
        <v/>
      </c>
      <c r="AL35" s="34">
        <f>IF(OR(AG35="",R35=0),"",MIN(IF(AS35="",9.9E+99,AS35),FLOOR(AK35/R35,1)))</f>
        <v/>
      </c>
      <c r="AM35" s="38">
        <f>IF(AL35="","",AL35*T35)</f>
        <v/>
      </c>
      <c r="AN35" s="36">
        <f>IF(OR(AG35="",R35=0),"",MIN(IF(AS35="",9.9E+99,AS35),AK35/R35))</f>
        <v/>
      </c>
      <c r="AO35" s="38">
        <f>IF(AN35="","",AN35*T35)</f>
        <v/>
      </c>
      <c r="AP35" s="40" t="n"/>
      <c r="AQ35" s="41" t="n"/>
      <c r="AR35" s="41" t="n"/>
      <c r="AS35" s="42" t="n"/>
      <c r="AT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U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V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W35" s="44" t="inlineStr">
        <is>
          <t>[LB-255 PREMIUM RE-FARE: subsidized comparable $5.5 lifted to premium on-demand floor $18.0] handoff/INDIA-ECONOMICS-SIDECAR-V0-2026-06-20.json (mumbai)</t>
        </is>
      </c>
      <c r="AX35" s="44" t="inlineStr">
        <is>
          <t>handoff/INDIA-ECONOMICS-SIDECAR-V0-2026-06-20.json (mumbai)</t>
        </is>
      </c>
    </row>
    <row r="36">
      <c r="A36" s="29" t="inlineStr">
        <is>
          <t>India Andaman Rapido</t>
        </is>
      </c>
      <c r="B36" s="29" t="inlineStr">
        <is>
          <t>India</t>
        </is>
      </c>
      <c r="C36" s="30" t="inlineStr">
        <is>
          <t>Haddo Jetty → Chatham Jetty</t>
        </is>
      </c>
      <c r="D36" s="31" t="n">
        <v>2.6</v>
      </c>
      <c r="E36" s="26" t="n">
        <v>22</v>
      </c>
      <c r="F36" s="32" t="inlineStr">
        <is>
          <t>T3</t>
        </is>
      </c>
      <c r="G36" s="32" t="inlineStr">
        <is>
          <t>med-low</t>
        </is>
      </c>
      <c r="H36" s="19" t="n">
        <v>1</v>
      </c>
      <c r="I36" s="33">
        <f>60*D36/cruise_kt</f>
        <v/>
      </c>
      <c r="J36" s="33">
        <f>I36+turn_min+dwell_min</f>
        <v/>
      </c>
      <c r="K36" s="34">
        <f>MIN(10,FLOOR(60*service_hr/J36,1))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>
        <v>5000</v>
      </c>
      <c r="AH36" s="32" t="inlineStr">
        <is>
          <t>T3</t>
        </is>
      </c>
      <c r="AI36" s="32" t="inlineStr">
        <is>
          <t>med-low</t>
        </is>
      </c>
      <c r="AJ36" s="39" t="n">
        <v>0.1</v>
      </c>
      <c r="AK36" s="34">
        <f>IF(AG36="","",AG36*AJ36)</f>
        <v/>
      </c>
      <c r="AL36" s="34">
        <f>IF(OR(AG36="",R36=0),"",MIN(IF(AS36="",9.9E+99,AS36),FLOOR(AK36/R36,1)))</f>
        <v/>
      </c>
      <c r="AM36" s="38">
        <f>IF(AL36="","",AL36*T36)</f>
        <v/>
      </c>
      <c r="AN36" s="36">
        <f>IF(OR(AG36="",R36=0),"",MIN(IF(AS36="",9.9E+99,AS36),AK36/R36))</f>
        <v/>
      </c>
      <c r="AO36" s="38">
        <f>IF(AN36="","",AN36*T36)</f>
        <v/>
      </c>
      <c r="AP36" s="40" t="n"/>
      <c r="AQ36" s="41" t="n"/>
      <c r="AR36" s="41" t="n"/>
      <c r="AS36" s="42" t="n"/>
      <c r="AT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U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V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W36" s="44" t="inlineStr">
        <is>
          <t>handoff/INDIA-ECONOMICS-SIDECAR-V0-2026-06-20.json (andaman)</t>
        </is>
      </c>
      <c r="AX36" s="44" t="inlineStr">
        <is>
          <t>handoff/INDIA-ECONOMICS-SIDECAR-V0-2026-06-20.json (andaman)</t>
        </is>
      </c>
    </row>
    <row r="37">
      <c r="A37" s="29" t="inlineStr">
        <is>
          <t>India Goa Rapido</t>
        </is>
      </c>
      <c r="B37" s="29" t="inlineStr">
        <is>
          <t>India</t>
        </is>
      </c>
      <c r="C37" s="30" t="inlineStr">
        <is>
          <t>Panaji Jetty → Goa</t>
        </is>
      </c>
      <c r="D37" s="31" t="n">
        <v>2.6</v>
      </c>
      <c r="E37" s="26" t="n">
        <v>8</v>
      </c>
      <c r="F37" s="32" t="inlineStr">
        <is>
          <t>T3</t>
        </is>
      </c>
      <c r="G37" s="32" t="inlineStr">
        <is>
          <t>med-low</t>
        </is>
      </c>
      <c r="H37" s="19" t="n">
        <v>1</v>
      </c>
      <c r="I37" s="33">
        <f>60*D37/cruise_kt</f>
        <v/>
      </c>
      <c r="J37" s="33">
        <f>I37+turn_min+dwell_min</f>
        <v/>
      </c>
      <c r="K37" s="34">
        <f>MIN(10,FLOOR(60*service_hr/J37,1))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>
        <v>11250</v>
      </c>
      <c r="AH37" s="32" t="inlineStr">
        <is>
          <t>T3</t>
        </is>
      </c>
      <c r="AI37" s="32" t="inlineStr">
        <is>
          <t>med-low</t>
        </is>
      </c>
      <c r="AJ37" s="39" t="n">
        <v>0.1</v>
      </c>
      <c r="AK37" s="34">
        <f>IF(AG37="","",AG37*AJ37)</f>
        <v/>
      </c>
      <c r="AL37" s="34">
        <f>IF(OR(AG37="",R37=0),"",MIN(IF(AS37="",9.9E+99,AS37),FLOOR(AK37/R37,1)))</f>
        <v/>
      </c>
      <c r="AM37" s="38">
        <f>IF(AL37="","",AL37*T37)</f>
        <v/>
      </c>
      <c r="AN37" s="36">
        <f>IF(OR(AG37="",R37=0),"",MIN(IF(AS37="",9.9E+99,AS37),AK37/R37))</f>
        <v/>
      </c>
      <c r="AO37" s="38">
        <f>IF(AN37="","",AN37*T37)</f>
        <v/>
      </c>
      <c r="AP37" s="40" t="n"/>
      <c r="AQ37" s="41" t="n"/>
      <c r="AR37" s="41" t="n"/>
      <c r="AS37" s="42" t="n"/>
      <c r="AT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U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V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W37" s="44" t="inlineStr">
        <is>
          <t>handoff/INDIA-ECONOMICS-SIDECAR-V0-2026-06-20.json (goa)</t>
        </is>
      </c>
      <c r="AX37" s="44" t="inlineStr">
        <is>
          <t>handoff/INDIA-ECONOMICS-SIDECAR-V0-2026-06-20.json (goa)</t>
        </is>
      </c>
    </row>
    <row r="38">
      <c r="A38" s="29" t="inlineStr">
        <is>
          <t>India Kerala Rapido</t>
        </is>
      </c>
      <c r="B38" s="29" t="inlineStr">
        <is>
          <t>India</t>
        </is>
      </c>
      <c r="C38" s="30" t="inlineStr">
        <is>
          <t>Palette MG Road Ernakulam formerly Harbour View Residency → BLUEMARINE Backwaters</t>
        </is>
      </c>
      <c r="D38" s="31" t="n">
        <v>2.6</v>
      </c>
      <c r="E38" s="26" t="n">
        <v>18</v>
      </c>
      <c r="F38" s="32" t="inlineStr">
        <is>
          <t>T3</t>
        </is>
      </c>
      <c r="G38" s="32" t="inlineStr">
        <is>
          <t>med-low</t>
        </is>
      </c>
      <c r="H38" s="19" t="n">
        <v>1</v>
      </c>
      <c r="I38" s="33">
        <f>60*D38/cruise_kt</f>
        <v/>
      </c>
      <c r="J38" s="33">
        <f>I38+turn_min+dwell_min</f>
        <v/>
      </c>
      <c r="K38" s="34">
        <f>MIN(10,FLOOR(60*service_hr/J38,1))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>
        <v>29166</v>
      </c>
      <c r="AH38" s="32" t="inlineStr">
        <is>
          <t>T3</t>
        </is>
      </c>
      <c r="AI38" s="32" t="inlineStr">
        <is>
          <t>med-low</t>
        </is>
      </c>
      <c r="AJ38" s="39" t="n">
        <v>0.1</v>
      </c>
      <c r="AK38" s="34">
        <f>IF(AG38="","",AG38*AJ38)</f>
        <v/>
      </c>
      <c r="AL38" s="34">
        <f>IF(OR(AG38="",R38=0),"",MIN(IF(AS38="",9.9E+99,AS38),FLOOR(AK38/R38,1)))</f>
        <v/>
      </c>
      <c r="AM38" s="38">
        <f>IF(AL38="","",AL38*T38)</f>
        <v/>
      </c>
      <c r="AN38" s="36">
        <f>IF(OR(AG38="",R38=0),"",MIN(IF(AS38="",9.9E+99,AS38),AK38/R38))</f>
        <v/>
      </c>
      <c r="AO38" s="38">
        <f>IF(AN38="","",AN38*T38)</f>
        <v/>
      </c>
      <c r="AP38" s="40" t="n"/>
      <c r="AQ38" s="41" t="n"/>
      <c r="AR38" s="41" t="n"/>
      <c r="AS38" s="42" t="n"/>
      <c r="AT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U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V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W38" s="44" t="inlineStr">
        <is>
          <t>[LB-255 PREMIUM RE-FARE: subsidized comparable $3.5 lifted to premium on-demand floor $18.0] handoff/INDIA-ECONOMICS-SIDECAR-V0-2026-06-20.json (kerala)</t>
        </is>
      </c>
      <c r="AX38" s="44" t="inlineStr">
        <is>
          <t>handoff/INDIA-ECONOMICS-SIDECAR-V0-2026-06-20.json (kerala)</t>
        </is>
      </c>
    </row>
    <row r="39">
      <c r="A39" s="29" t="inlineStr">
        <is>
          <t>India Mumbai Rapido</t>
        </is>
      </c>
      <c r="B39" s="29" t="inlineStr">
        <is>
          <t>India</t>
        </is>
      </c>
      <c r="C39" s="30" t="inlineStr">
        <is>
          <t>Bombay Harbour → Mora</t>
        </is>
      </c>
      <c r="D39" s="31" t="n">
        <v>2.6</v>
      </c>
      <c r="E39" s="26" t="n">
        <v>18</v>
      </c>
      <c r="F39" s="32" t="inlineStr">
        <is>
          <t>T3</t>
        </is>
      </c>
      <c r="G39" s="32" t="inlineStr">
        <is>
          <t>med-low</t>
        </is>
      </c>
      <c r="H39" s="19" t="n">
        <v>1</v>
      </c>
      <c r="I39" s="33">
        <f>60*D39/cruise_kt</f>
        <v/>
      </c>
      <c r="J39" s="33">
        <f>I39+turn_min+dwell_min</f>
        <v/>
      </c>
      <c r="K39" s="34">
        <f>MIN(10,FLOOR(60*service_hr/J39,1))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>
        <v>5000</v>
      </c>
      <c r="AH39" s="32" t="inlineStr">
        <is>
          <t>T3</t>
        </is>
      </c>
      <c r="AI39" s="32" t="inlineStr">
        <is>
          <t>med-low</t>
        </is>
      </c>
      <c r="AJ39" s="39" t="n">
        <v>0.1</v>
      </c>
      <c r="AK39" s="34">
        <f>IF(AG39="","",AG39*AJ39)</f>
        <v/>
      </c>
      <c r="AL39" s="34">
        <f>IF(OR(AG39="",R39=0),"",MIN(IF(AS39="",9.9E+99,AS39),FLOOR(AK39/R39,1)))</f>
        <v/>
      </c>
      <c r="AM39" s="38">
        <f>IF(AL39="","",AL39*T39)</f>
        <v/>
      </c>
      <c r="AN39" s="36">
        <f>IF(OR(AG39="",R39=0),"",MIN(IF(AS39="",9.9E+99,AS39),AK39/R39))</f>
        <v/>
      </c>
      <c r="AO39" s="38">
        <f>IF(AN39="","",AN39*T39)</f>
        <v/>
      </c>
      <c r="AP39" s="40" t="n"/>
      <c r="AQ39" s="41" t="n"/>
      <c r="AR39" s="41" t="n"/>
      <c r="AS39" s="42" t="n"/>
      <c r="AT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U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V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W39" s="44" t="inlineStr">
        <is>
          <t>[LB-255 PREMIUM RE-FARE: subsidized comparable $5.5 lifted to premium on-demand floor $18.0] handoff/INDIA-ECONOMICS-SIDECAR-V0-2026-06-20.json (mumbai)</t>
        </is>
      </c>
      <c r="AX39" s="44" t="inlineStr">
        <is>
          <t>handoff/INDIA-ECONOMICS-SIDECAR-V0-2026-06-20.json (mumbai)</t>
        </is>
      </c>
    </row>
    <row r="40">
      <c r="A40" s="29" t="inlineStr">
        <is>
          <t>India Mumbai Rapido</t>
        </is>
      </c>
      <c r="B40" s="29" t="inlineStr">
        <is>
          <t>India</t>
        </is>
      </c>
      <c r="C40" s="30" t="inlineStr">
        <is>
          <t>Battle Harbour Design Studio → Cordelia Cruises</t>
        </is>
      </c>
      <c r="D40" s="31" t="n">
        <v>2.6</v>
      </c>
      <c r="E40" s="26" t="n">
        <v>18</v>
      </c>
      <c r="F40" s="32" t="inlineStr">
        <is>
          <t>T3</t>
        </is>
      </c>
      <c r="G40" s="32" t="inlineStr">
        <is>
          <t>med-low</t>
        </is>
      </c>
      <c r="H40" s="19" t="n">
        <v>1</v>
      </c>
      <c r="I40" s="33">
        <f>60*D40/cruise_kt</f>
        <v/>
      </c>
      <c r="J40" s="33">
        <f>I40+turn_min+dwell_min</f>
        <v/>
      </c>
      <c r="K40" s="34">
        <f>MIN(10,FLOOR(60*service_hr/J40,1))</f>
        <v/>
      </c>
      <c r="L40" s="34">
        <f>ROUND(365*mech_uptime*H40,0)</f>
        <v/>
      </c>
      <c r="M40" s="35">
        <f>mech_uptime</f>
        <v/>
      </c>
      <c r="N40" s="35">
        <f>revleg_sel</f>
        <v/>
      </c>
      <c r="O40" s="34">
        <f>ROUND(K40*L40*revleg_sel,0)</f>
        <v/>
      </c>
      <c r="P40" s="36">
        <f>load_sel</f>
        <v/>
      </c>
      <c r="Q40" s="36">
        <f>pax_cap*P40</f>
        <v/>
      </c>
      <c r="R40" s="34">
        <f>Q40*O40</f>
        <v/>
      </c>
      <c r="S40" s="37">
        <f>E40*discount</f>
        <v/>
      </c>
      <c r="T40" s="38">
        <f>S40*R40</f>
        <v/>
      </c>
      <c r="U40" s="38">
        <f>(battery/range_nm)*D40*O40*VLOOKUP(B40,country_opex,3,FALSE)</f>
        <v/>
      </c>
      <c r="V40" s="38">
        <f>VLOOKUP(B40,country_opex,2,FALSE)*crew_factor</f>
        <v/>
      </c>
      <c r="W40" s="38">
        <f>VLOOKUP(B40,country_opex,5,FALSE)</f>
        <v/>
      </c>
      <c r="X40" s="38">
        <f>maint</f>
        <v/>
      </c>
      <c r="Y40" s="38">
        <f>VLOOKUP(B40,country_opex,7,FALSE)*ins_pct</f>
        <v/>
      </c>
      <c r="Z40" s="38">
        <f>charge_berth</f>
        <v/>
      </c>
      <c r="AA40" s="38">
        <f>U40+V40+W40+X40+Y40+Z40</f>
        <v/>
      </c>
      <c r="AB40" s="38">
        <f>VLOOKUP(B40,country_opex,7,FALSE)/dep_years</f>
        <v/>
      </c>
      <c r="AC40" s="38">
        <f>T40-AA40</f>
        <v/>
      </c>
      <c r="AD40" s="35">
        <f>IF(T40=0,"",AC40/T40)</f>
        <v/>
      </c>
      <c r="AE40" s="36">
        <f>IF(AC40&lt;=0,"",VLOOKUP(B40,country_opex,7,FALSE)/AC40)</f>
        <v/>
      </c>
      <c r="AF40" s="33">
        <f>((D40*O40/diesel_nmpg)*diesel_co2pg-(battery/range_nm)*D40*O40*VLOOKUP(B40,country_opex,4,FALSE))/1000</f>
        <v/>
      </c>
      <c r="AG40" s="31" t="n">
        <v>5000</v>
      </c>
      <c r="AH40" s="32" t="inlineStr">
        <is>
          <t>T3</t>
        </is>
      </c>
      <c r="AI40" s="32" t="inlineStr">
        <is>
          <t>med-low</t>
        </is>
      </c>
      <c r="AJ40" s="39" t="n">
        <v>0.1</v>
      </c>
      <c r="AK40" s="34">
        <f>IF(AG40="","",AG40*AJ40)</f>
        <v/>
      </c>
      <c r="AL40" s="34">
        <f>IF(OR(AG40="",R40=0),"",MIN(IF(AS40="",9.9E+99,AS40),FLOOR(AK40/R40,1)))</f>
        <v/>
      </c>
      <c r="AM40" s="38">
        <f>IF(AL40="","",AL40*T40)</f>
        <v/>
      </c>
      <c r="AN40" s="36">
        <f>IF(OR(AG40="",R40=0),"",MIN(IF(AS40="",9.9E+99,AS40),AK40/R40))</f>
        <v/>
      </c>
      <c r="AO40" s="38">
        <f>IF(AN40="","",AN40*T40)</f>
        <v/>
      </c>
      <c r="AP40" s="40" t="n"/>
      <c r="AQ40" s="41" t="n"/>
      <c r="AR40" s="41" t="n"/>
      <c r="AS40" s="42" t="n"/>
      <c r="AT40" s="43">
        <f>IF(((S40*pax_cap*load_thin*ROUND(K40*L40*revleg_thin,0))-(((battery/range_nm)*D40*ROUND(K40*L40*revleg_thin,0)*VLOOKUP(B40,country_opex,3,FALSE))+V40+W40+X40+Y40+Z40))&lt;=0,"",VLOOKUP(B40,country_opex,7,FALSE)/((S40*pax_cap*load_thin*ROUND(K40*L40*revleg_thin,0))-(((battery/range_nm)*D40*ROUND(K40*L40*revleg_thin,0)*VLOOKUP(B40,country_opex,3,FALSE))+V40+W40+X40+Y40+Z40)))</f>
        <v/>
      </c>
      <c r="AU40" s="43">
        <f>IF(((S40*pax_cap*load_mid*ROUND(K40*L40*revleg_mid,0))-(((battery/range_nm)*D40*ROUND(K40*L40*revleg_mid,0)*VLOOKUP(B40,country_opex,3,FALSE))+V40+W40+X40+Y40+Z40))&lt;=0,"",VLOOKUP(B40,country_opex,7,FALSE)/((S40*pax_cap*load_mid*ROUND(K40*L40*revleg_mid,0))-(((battery/range_nm)*D40*ROUND(K40*L40*revleg_mid,0)*VLOOKUP(B40,country_opex,3,FALSE))+V40+W40+X40+Y40+Z40)))</f>
        <v/>
      </c>
      <c r="AV40" s="43">
        <f>IF(((S40*pax_cap*load_full*ROUND(K40*L40*revleg_full,0))-(((battery/range_nm)*D40*ROUND(K40*L40*revleg_full,0)*VLOOKUP(B40,country_opex,3,FALSE))+V40+W40+X40+Y40+Z40))&lt;=0,"",VLOOKUP(B40,country_opex,7,FALSE)/((S40*pax_cap*load_full*ROUND(K40*L40*revleg_full,0))-(((battery/range_nm)*D40*ROUND(K40*L40*revleg_full,0)*VLOOKUP(B40,country_opex,3,FALSE))+V40+W40+X40+Y40+Z40)))</f>
        <v/>
      </c>
      <c r="AW40" s="44" t="inlineStr">
        <is>
          <t>[LB-255 PREMIUM RE-FARE: subsidized comparable $5.5 lifted to premium on-demand floor $18.0] handoff/INDIA-ECONOMICS-SIDECAR-V0-2026-06-20.json (mumbai)</t>
        </is>
      </c>
      <c r="AX40" s="44" t="inlineStr">
        <is>
          <t>handoff/INDIA-ECONOMICS-SIDECAR-V0-2026-06-20.json (mumbai)</t>
        </is>
      </c>
    </row>
    <row r="41">
      <c r="A41" s="29" t="inlineStr">
        <is>
          <t>India Andaman Rapido</t>
        </is>
      </c>
      <c r="B41" s="29" t="inlineStr">
        <is>
          <t>India</t>
        </is>
      </c>
      <c r="C41" s="30" t="inlineStr">
        <is>
          <t>Gamefishing Asia → Chatham Jetty</t>
        </is>
      </c>
      <c r="D41" s="31" t="n">
        <v>2.7</v>
      </c>
      <c r="E41" s="26" t="n">
        <v>22</v>
      </c>
      <c r="F41" s="32" t="inlineStr">
        <is>
          <t>T3</t>
        </is>
      </c>
      <c r="G41" s="32" t="inlineStr">
        <is>
          <t>med-low</t>
        </is>
      </c>
      <c r="H41" s="19" t="n">
        <v>1</v>
      </c>
      <c r="I41" s="33">
        <f>60*D41/cruise_kt</f>
        <v/>
      </c>
      <c r="J41" s="33">
        <f>I41+turn_min+dwell_min</f>
        <v/>
      </c>
      <c r="K41" s="34">
        <f>MIN(10,FLOOR(60*service_hr/J41,1))</f>
        <v/>
      </c>
      <c r="L41" s="34">
        <f>ROUND(365*mech_uptime*H41,0)</f>
        <v/>
      </c>
      <c r="M41" s="35">
        <f>mech_uptime</f>
        <v/>
      </c>
      <c r="N41" s="35">
        <f>revleg_sel</f>
        <v/>
      </c>
      <c r="O41" s="34">
        <f>ROUND(K41*L41*revleg_sel,0)</f>
        <v/>
      </c>
      <c r="P41" s="36">
        <f>load_sel</f>
        <v/>
      </c>
      <c r="Q41" s="36">
        <f>pax_cap*P41</f>
        <v/>
      </c>
      <c r="R41" s="34">
        <f>Q41*O41</f>
        <v/>
      </c>
      <c r="S41" s="37">
        <f>E41*discount</f>
        <v/>
      </c>
      <c r="T41" s="38">
        <f>S41*R41</f>
        <v/>
      </c>
      <c r="U41" s="38">
        <f>(battery/range_nm)*D41*O41*VLOOKUP(B41,country_opex,3,FALSE)</f>
        <v/>
      </c>
      <c r="V41" s="38">
        <f>VLOOKUP(B41,country_opex,2,FALSE)*crew_factor</f>
        <v/>
      </c>
      <c r="W41" s="38">
        <f>VLOOKUP(B41,country_opex,5,FALSE)</f>
        <v/>
      </c>
      <c r="X41" s="38">
        <f>maint</f>
        <v/>
      </c>
      <c r="Y41" s="38">
        <f>VLOOKUP(B41,country_opex,7,FALSE)*ins_pct</f>
        <v/>
      </c>
      <c r="Z41" s="38">
        <f>charge_berth</f>
        <v/>
      </c>
      <c r="AA41" s="38">
        <f>U41+V41+W41+X41+Y41+Z41</f>
        <v/>
      </c>
      <c r="AB41" s="38">
        <f>VLOOKUP(B41,country_opex,7,FALSE)/dep_years</f>
        <v/>
      </c>
      <c r="AC41" s="38">
        <f>T41-AA41</f>
        <v/>
      </c>
      <c r="AD41" s="35">
        <f>IF(T41=0,"",AC41/T41)</f>
        <v/>
      </c>
      <c r="AE41" s="36">
        <f>IF(AC41&lt;=0,"",VLOOKUP(B41,country_opex,7,FALSE)/AC41)</f>
        <v/>
      </c>
      <c r="AF41" s="33">
        <f>((D41*O41/diesel_nmpg)*diesel_co2pg-(battery/range_nm)*D41*O41*VLOOKUP(B41,country_opex,4,FALSE))/1000</f>
        <v/>
      </c>
      <c r="AG41" s="31" t="n">
        <v>5000</v>
      </c>
      <c r="AH41" s="32" t="inlineStr">
        <is>
          <t>T3</t>
        </is>
      </c>
      <c r="AI41" s="32" t="inlineStr">
        <is>
          <t>med-low</t>
        </is>
      </c>
      <c r="AJ41" s="39" t="n">
        <v>0.1</v>
      </c>
      <c r="AK41" s="34">
        <f>IF(AG41="","",AG41*AJ41)</f>
        <v/>
      </c>
      <c r="AL41" s="34">
        <f>IF(OR(AG41="",R41=0),"",MIN(IF(AS41="",9.9E+99,AS41),FLOOR(AK41/R41,1)))</f>
        <v/>
      </c>
      <c r="AM41" s="38">
        <f>IF(AL41="","",AL41*T41)</f>
        <v/>
      </c>
      <c r="AN41" s="36">
        <f>IF(OR(AG41="",R41=0),"",MIN(IF(AS41="",9.9E+99,AS41),AK41/R41))</f>
        <v/>
      </c>
      <c r="AO41" s="38">
        <f>IF(AN41="","",AN41*T41)</f>
        <v/>
      </c>
      <c r="AP41" s="40" t="n"/>
      <c r="AQ41" s="41" t="n"/>
      <c r="AR41" s="41" t="n"/>
      <c r="AS41" s="42" t="n"/>
      <c r="AT41" s="43">
        <f>IF(((S41*pax_cap*load_thin*ROUND(K41*L41*revleg_thin,0))-(((battery/range_nm)*D41*ROUND(K41*L41*revleg_thin,0)*VLOOKUP(B41,country_opex,3,FALSE))+V41+W41+X41+Y41+Z41))&lt;=0,"",VLOOKUP(B41,country_opex,7,FALSE)/((S41*pax_cap*load_thin*ROUND(K41*L41*revleg_thin,0))-(((battery/range_nm)*D41*ROUND(K41*L41*revleg_thin,0)*VLOOKUP(B41,country_opex,3,FALSE))+V41+W41+X41+Y41+Z41)))</f>
        <v/>
      </c>
      <c r="AU41" s="43">
        <f>IF(((S41*pax_cap*load_mid*ROUND(K41*L41*revleg_mid,0))-(((battery/range_nm)*D41*ROUND(K41*L41*revleg_mid,0)*VLOOKUP(B41,country_opex,3,FALSE))+V41+W41+X41+Y41+Z41))&lt;=0,"",VLOOKUP(B41,country_opex,7,FALSE)/((S41*pax_cap*load_mid*ROUND(K41*L41*revleg_mid,0))-(((battery/range_nm)*D41*ROUND(K41*L41*revleg_mid,0)*VLOOKUP(B41,country_opex,3,FALSE))+V41+W41+X41+Y41+Z41)))</f>
        <v/>
      </c>
      <c r="AV41" s="43">
        <f>IF(((S41*pax_cap*load_full*ROUND(K41*L41*revleg_full,0))-(((battery/range_nm)*D41*ROUND(K41*L41*revleg_full,0)*VLOOKUP(B41,country_opex,3,FALSE))+V41+W41+X41+Y41+Z41))&lt;=0,"",VLOOKUP(B41,country_opex,7,FALSE)/((S41*pax_cap*load_full*ROUND(K41*L41*revleg_full,0))-(((battery/range_nm)*D41*ROUND(K41*L41*revleg_full,0)*VLOOKUP(B41,country_opex,3,FALSE))+V41+W41+X41+Y41+Z41)))</f>
        <v/>
      </c>
      <c r="AW41" s="44" t="inlineStr">
        <is>
          <t>handoff/INDIA-ECONOMICS-SIDECAR-V0-2026-06-20.json (andaman)</t>
        </is>
      </c>
      <c r="AX41" s="44" t="inlineStr">
        <is>
          <t>handoff/INDIA-ECONOMICS-SIDECAR-V0-2026-06-20.json (andaman)</t>
        </is>
      </c>
    </row>
    <row r="42">
      <c r="A42" s="29" t="inlineStr">
        <is>
          <t>India Goa Rapido</t>
        </is>
      </c>
      <c r="B42" s="29" t="inlineStr">
        <is>
          <t>India</t>
        </is>
      </c>
      <c r="C42" s="30" t="inlineStr">
        <is>
          <t>Chorao Ferry Terminal → Pomburpa Ferry Terminal</t>
        </is>
      </c>
      <c r="D42" s="31" t="n">
        <v>2.7</v>
      </c>
      <c r="E42" s="26" t="n">
        <v>8</v>
      </c>
      <c r="F42" s="32" t="inlineStr">
        <is>
          <t>T3</t>
        </is>
      </c>
      <c r="G42" s="32" t="inlineStr">
        <is>
          <t>med-low</t>
        </is>
      </c>
      <c r="H42" s="19" t="n">
        <v>1</v>
      </c>
      <c r="I42" s="33">
        <f>60*D42/cruise_kt</f>
        <v/>
      </c>
      <c r="J42" s="33">
        <f>I42+turn_min+dwell_min</f>
        <v/>
      </c>
      <c r="K42" s="34">
        <f>MIN(10,FLOOR(60*service_hr/J42,1))</f>
        <v/>
      </c>
      <c r="L42" s="34">
        <f>ROUND(365*mech_uptime*H42,0)</f>
        <v/>
      </c>
      <c r="M42" s="35">
        <f>mech_uptime</f>
        <v/>
      </c>
      <c r="N42" s="35">
        <f>revleg_sel</f>
        <v/>
      </c>
      <c r="O42" s="34">
        <f>ROUND(K42*L42*revleg_sel,0)</f>
        <v/>
      </c>
      <c r="P42" s="36">
        <f>load_sel</f>
        <v/>
      </c>
      <c r="Q42" s="36">
        <f>pax_cap*P42</f>
        <v/>
      </c>
      <c r="R42" s="34">
        <f>Q42*O42</f>
        <v/>
      </c>
      <c r="S42" s="37">
        <f>E42*discount</f>
        <v/>
      </c>
      <c r="T42" s="38">
        <f>S42*R42</f>
        <v/>
      </c>
      <c r="U42" s="38">
        <f>(battery/range_nm)*D42*O42*VLOOKUP(B42,country_opex,3,FALSE)</f>
        <v/>
      </c>
      <c r="V42" s="38">
        <f>VLOOKUP(B42,country_opex,2,FALSE)*crew_factor</f>
        <v/>
      </c>
      <c r="W42" s="38">
        <f>VLOOKUP(B42,country_opex,5,FALSE)</f>
        <v/>
      </c>
      <c r="X42" s="38">
        <f>maint</f>
        <v/>
      </c>
      <c r="Y42" s="38">
        <f>VLOOKUP(B42,country_opex,7,FALSE)*ins_pct</f>
        <v/>
      </c>
      <c r="Z42" s="38">
        <f>charge_berth</f>
        <v/>
      </c>
      <c r="AA42" s="38">
        <f>U42+V42+W42+X42+Y42+Z42</f>
        <v/>
      </c>
      <c r="AB42" s="38">
        <f>VLOOKUP(B42,country_opex,7,FALSE)/dep_years</f>
        <v/>
      </c>
      <c r="AC42" s="38">
        <f>T42-AA42</f>
        <v/>
      </c>
      <c r="AD42" s="35">
        <f>IF(T42=0,"",AC42/T42)</f>
        <v/>
      </c>
      <c r="AE42" s="36">
        <f>IF(AC42&lt;=0,"",VLOOKUP(B42,country_opex,7,FALSE)/AC42)</f>
        <v/>
      </c>
      <c r="AF42" s="33">
        <f>((D42*O42/diesel_nmpg)*diesel_co2pg-(battery/range_nm)*D42*O42*VLOOKUP(B42,country_opex,4,FALSE))/1000</f>
        <v/>
      </c>
      <c r="AG42" s="31" t="n">
        <v>11250</v>
      </c>
      <c r="AH42" s="32" t="inlineStr">
        <is>
          <t>T3</t>
        </is>
      </c>
      <c r="AI42" s="32" t="inlineStr">
        <is>
          <t>med-low</t>
        </is>
      </c>
      <c r="AJ42" s="39" t="n">
        <v>0.1</v>
      </c>
      <c r="AK42" s="34">
        <f>IF(AG42="","",AG42*AJ42)</f>
        <v/>
      </c>
      <c r="AL42" s="34">
        <f>IF(OR(AG42="",R42=0),"",MIN(IF(AS42="",9.9E+99,AS42),FLOOR(AK42/R42,1)))</f>
        <v/>
      </c>
      <c r="AM42" s="38">
        <f>IF(AL42="","",AL42*T42)</f>
        <v/>
      </c>
      <c r="AN42" s="36">
        <f>IF(OR(AG42="",R42=0),"",MIN(IF(AS42="",9.9E+99,AS42),AK42/R42))</f>
        <v/>
      </c>
      <c r="AO42" s="38">
        <f>IF(AN42="","",AN42*T42)</f>
        <v/>
      </c>
      <c r="AP42" s="40" t="n"/>
      <c r="AQ42" s="41" t="n"/>
      <c r="AR42" s="41" t="n"/>
      <c r="AS42" s="42" t="n"/>
      <c r="AT42" s="43">
        <f>IF(((S42*pax_cap*load_thin*ROUND(K42*L42*revleg_thin,0))-(((battery/range_nm)*D42*ROUND(K42*L42*revleg_thin,0)*VLOOKUP(B42,country_opex,3,FALSE))+V42+W42+X42+Y42+Z42))&lt;=0,"",VLOOKUP(B42,country_opex,7,FALSE)/((S42*pax_cap*load_thin*ROUND(K42*L42*revleg_thin,0))-(((battery/range_nm)*D42*ROUND(K42*L42*revleg_thin,0)*VLOOKUP(B42,country_opex,3,FALSE))+V42+W42+X42+Y42+Z42)))</f>
        <v/>
      </c>
      <c r="AU42" s="43">
        <f>IF(((S42*pax_cap*load_mid*ROUND(K42*L42*revleg_mid,0))-(((battery/range_nm)*D42*ROUND(K42*L42*revleg_mid,0)*VLOOKUP(B42,country_opex,3,FALSE))+V42+W42+X42+Y42+Z42))&lt;=0,"",VLOOKUP(B42,country_opex,7,FALSE)/((S42*pax_cap*load_mid*ROUND(K42*L42*revleg_mid,0))-(((battery/range_nm)*D42*ROUND(K42*L42*revleg_mid,0)*VLOOKUP(B42,country_opex,3,FALSE))+V42+W42+X42+Y42+Z42)))</f>
        <v/>
      </c>
      <c r="AV42" s="43">
        <f>IF(((S42*pax_cap*load_full*ROUND(K42*L42*revleg_full,0))-(((battery/range_nm)*D42*ROUND(K42*L42*revleg_full,0)*VLOOKUP(B42,country_opex,3,FALSE))+V42+W42+X42+Y42+Z42))&lt;=0,"",VLOOKUP(B42,country_opex,7,FALSE)/((S42*pax_cap*load_full*ROUND(K42*L42*revleg_full,0))-(((battery/range_nm)*D42*ROUND(K42*L42*revleg_full,0)*VLOOKUP(B42,country_opex,3,FALSE))+V42+W42+X42+Y42+Z42)))</f>
        <v/>
      </c>
      <c r="AW42" s="44" t="inlineStr">
        <is>
          <t>handoff/INDIA-ECONOMICS-SIDECAR-V0-2026-06-20.json (goa)</t>
        </is>
      </c>
      <c r="AX42" s="44" t="inlineStr">
        <is>
          <t>handoff/INDIA-ECONOMICS-SIDECAR-V0-2026-06-20.json (goa)</t>
        </is>
      </c>
    </row>
    <row r="43">
      <c r="A43" s="29" t="inlineStr">
        <is>
          <t>India Goa Rapido</t>
        </is>
      </c>
      <c r="B43" s="29" t="inlineStr">
        <is>
          <t>India</t>
        </is>
      </c>
      <c r="C43" s="30" t="inlineStr">
        <is>
          <t>Goveia Marina → Camurlim Ferry Terminal</t>
        </is>
      </c>
      <c r="D43" s="31" t="n">
        <v>2.7</v>
      </c>
      <c r="E43" s="26" t="n">
        <v>8</v>
      </c>
      <c r="F43" s="32" t="inlineStr">
        <is>
          <t>T3</t>
        </is>
      </c>
      <c r="G43" s="32" t="inlineStr">
        <is>
          <t>med-low</t>
        </is>
      </c>
      <c r="H43" s="19" t="n">
        <v>1</v>
      </c>
      <c r="I43" s="33">
        <f>60*D43/cruise_kt</f>
        <v/>
      </c>
      <c r="J43" s="33">
        <f>I43+turn_min+dwell_min</f>
        <v/>
      </c>
      <c r="K43" s="34">
        <f>MIN(10,FLOOR(60*service_hr/J43,1))</f>
        <v/>
      </c>
      <c r="L43" s="34">
        <f>ROUND(365*mech_uptime*H43,0)</f>
        <v/>
      </c>
      <c r="M43" s="35">
        <f>mech_uptime</f>
        <v/>
      </c>
      <c r="N43" s="35">
        <f>revleg_sel</f>
        <v/>
      </c>
      <c r="O43" s="34">
        <f>ROUND(K43*L43*revleg_sel,0)</f>
        <v/>
      </c>
      <c r="P43" s="36">
        <f>load_sel</f>
        <v/>
      </c>
      <c r="Q43" s="36">
        <f>pax_cap*P43</f>
        <v/>
      </c>
      <c r="R43" s="34">
        <f>Q43*O43</f>
        <v/>
      </c>
      <c r="S43" s="37">
        <f>E43*discount</f>
        <v/>
      </c>
      <c r="T43" s="38">
        <f>S43*R43</f>
        <v/>
      </c>
      <c r="U43" s="38">
        <f>(battery/range_nm)*D43*O43*VLOOKUP(B43,country_opex,3,FALSE)</f>
        <v/>
      </c>
      <c r="V43" s="38">
        <f>VLOOKUP(B43,country_opex,2,FALSE)*crew_factor</f>
        <v/>
      </c>
      <c r="W43" s="38">
        <f>VLOOKUP(B43,country_opex,5,FALSE)</f>
        <v/>
      </c>
      <c r="X43" s="38">
        <f>maint</f>
        <v/>
      </c>
      <c r="Y43" s="38">
        <f>VLOOKUP(B43,country_opex,7,FALSE)*ins_pct</f>
        <v/>
      </c>
      <c r="Z43" s="38">
        <f>charge_berth</f>
        <v/>
      </c>
      <c r="AA43" s="38">
        <f>U43+V43+W43+X43+Y43+Z43</f>
        <v/>
      </c>
      <c r="AB43" s="38">
        <f>VLOOKUP(B43,country_opex,7,FALSE)/dep_years</f>
        <v/>
      </c>
      <c r="AC43" s="38">
        <f>T43-AA43</f>
        <v/>
      </c>
      <c r="AD43" s="35">
        <f>IF(T43=0,"",AC43/T43)</f>
        <v/>
      </c>
      <c r="AE43" s="36">
        <f>IF(AC43&lt;=0,"",VLOOKUP(B43,country_opex,7,FALSE)/AC43)</f>
        <v/>
      </c>
      <c r="AF43" s="33">
        <f>((D43*O43/diesel_nmpg)*diesel_co2pg-(battery/range_nm)*D43*O43*VLOOKUP(B43,country_opex,4,FALSE))/1000</f>
        <v/>
      </c>
      <c r="AG43" s="31" t="n">
        <v>11250</v>
      </c>
      <c r="AH43" s="32" t="inlineStr">
        <is>
          <t>T3</t>
        </is>
      </c>
      <c r="AI43" s="32" t="inlineStr">
        <is>
          <t>med-low</t>
        </is>
      </c>
      <c r="AJ43" s="39" t="n">
        <v>0.1</v>
      </c>
      <c r="AK43" s="34">
        <f>IF(AG43="","",AG43*AJ43)</f>
        <v/>
      </c>
      <c r="AL43" s="34">
        <f>IF(OR(AG43="",R43=0),"",MIN(IF(AS43="",9.9E+99,AS43),FLOOR(AK43/R43,1)))</f>
        <v/>
      </c>
      <c r="AM43" s="38">
        <f>IF(AL43="","",AL43*T43)</f>
        <v/>
      </c>
      <c r="AN43" s="36">
        <f>IF(OR(AG43="",R43=0),"",MIN(IF(AS43="",9.9E+99,AS43),AK43/R43))</f>
        <v/>
      </c>
      <c r="AO43" s="38">
        <f>IF(AN43="","",AN43*T43)</f>
        <v/>
      </c>
      <c r="AP43" s="40" t="n"/>
      <c r="AQ43" s="41" t="n"/>
      <c r="AR43" s="41" t="n"/>
      <c r="AS43" s="42" t="n"/>
      <c r="AT43" s="43">
        <f>IF(((S43*pax_cap*load_thin*ROUND(K43*L43*revleg_thin,0))-(((battery/range_nm)*D43*ROUND(K43*L43*revleg_thin,0)*VLOOKUP(B43,country_opex,3,FALSE))+V43+W43+X43+Y43+Z43))&lt;=0,"",VLOOKUP(B43,country_opex,7,FALSE)/((S43*pax_cap*load_thin*ROUND(K43*L43*revleg_thin,0))-(((battery/range_nm)*D43*ROUND(K43*L43*revleg_thin,0)*VLOOKUP(B43,country_opex,3,FALSE))+V43+W43+X43+Y43+Z43)))</f>
        <v/>
      </c>
      <c r="AU43" s="43">
        <f>IF(((S43*pax_cap*load_mid*ROUND(K43*L43*revleg_mid,0))-(((battery/range_nm)*D43*ROUND(K43*L43*revleg_mid,0)*VLOOKUP(B43,country_opex,3,FALSE))+V43+W43+X43+Y43+Z43))&lt;=0,"",VLOOKUP(B43,country_opex,7,FALSE)/((S43*pax_cap*load_mid*ROUND(K43*L43*revleg_mid,0))-(((battery/range_nm)*D43*ROUND(K43*L43*revleg_mid,0)*VLOOKUP(B43,country_opex,3,FALSE))+V43+W43+X43+Y43+Z43)))</f>
        <v/>
      </c>
      <c r="AV43" s="43">
        <f>IF(((S43*pax_cap*load_full*ROUND(K43*L43*revleg_full,0))-(((battery/range_nm)*D43*ROUND(K43*L43*revleg_full,0)*VLOOKUP(B43,country_opex,3,FALSE))+V43+W43+X43+Y43+Z43))&lt;=0,"",VLOOKUP(B43,country_opex,7,FALSE)/((S43*pax_cap*load_full*ROUND(K43*L43*revleg_full,0))-(((battery/range_nm)*D43*ROUND(K43*L43*revleg_full,0)*VLOOKUP(B43,country_opex,3,FALSE))+V43+W43+X43+Y43+Z43)))</f>
        <v/>
      </c>
      <c r="AW43" s="44" t="inlineStr">
        <is>
          <t>handoff/INDIA-ECONOMICS-SIDECAR-V0-2026-06-20.json (goa)</t>
        </is>
      </c>
      <c r="AX43" s="44" t="inlineStr">
        <is>
          <t>handoff/INDIA-ECONOMICS-SIDECAR-V0-2026-06-20.json (goa)</t>
        </is>
      </c>
    </row>
    <row r="44">
      <c r="A44" s="29" t="inlineStr">
        <is>
          <t>India Kerala Rapido</t>
        </is>
      </c>
      <c r="B44" s="29" t="inlineStr">
        <is>
          <t>India</t>
        </is>
      </c>
      <c r="C44" s="30" t="inlineStr">
        <is>
          <t>BLUEMARINE Backwaters → Sailing Club House</t>
        </is>
      </c>
      <c r="D44" s="31" t="n">
        <v>2.7</v>
      </c>
      <c r="E44" s="26" t="n">
        <v>18</v>
      </c>
      <c r="F44" s="32" t="inlineStr">
        <is>
          <t>T3</t>
        </is>
      </c>
      <c r="G44" s="32" t="inlineStr">
        <is>
          <t>med-low</t>
        </is>
      </c>
      <c r="H44" s="19" t="n">
        <v>1</v>
      </c>
      <c r="I44" s="33">
        <f>60*D44/cruise_kt</f>
        <v/>
      </c>
      <c r="J44" s="33">
        <f>I44+turn_min+dwell_min</f>
        <v/>
      </c>
      <c r="K44" s="34">
        <f>MIN(10,FLOOR(60*service_hr/J44,1))</f>
        <v/>
      </c>
      <c r="L44" s="34">
        <f>ROUND(365*mech_uptime*H44,0)</f>
        <v/>
      </c>
      <c r="M44" s="35">
        <f>mech_uptime</f>
        <v/>
      </c>
      <c r="N44" s="35">
        <f>revleg_sel</f>
        <v/>
      </c>
      <c r="O44" s="34">
        <f>ROUND(K44*L44*revleg_sel,0)</f>
        <v/>
      </c>
      <c r="P44" s="36">
        <f>load_sel</f>
        <v/>
      </c>
      <c r="Q44" s="36">
        <f>pax_cap*P44</f>
        <v/>
      </c>
      <c r="R44" s="34">
        <f>Q44*O44</f>
        <v/>
      </c>
      <c r="S44" s="37">
        <f>E44*discount</f>
        <v/>
      </c>
      <c r="T44" s="38">
        <f>S44*R44</f>
        <v/>
      </c>
      <c r="U44" s="38">
        <f>(battery/range_nm)*D44*O44*VLOOKUP(B44,country_opex,3,FALSE)</f>
        <v/>
      </c>
      <c r="V44" s="38">
        <f>VLOOKUP(B44,country_opex,2,FALSE)*crew_factor</f>
        <v/>
      </c>
      <c r="W44" s="38">
        <f>VLOOKUP(B44,country_opex,5,FALSE)</f>
        <v/>
      </c>
      <c r="X44" s="38">
        <f>maint</f>
        <v/>
      </c>
      <c r="Y44" s="38">
        <f>VLOOKUP(B44,country_opex,7,FALSE)*ins_pct</f>
        <v/>
      </c>
      <c r="Z44" s="38">
        <f>charge_berth</f>
        <v/>
      </c>
      <c r="AA44" s="38">
        <f>U44+V44+W44+X44+Y44+Z44</f>
        <v/>
      </c>
      <c r="AB44" s="38">
        <f>VLOOKUP(B44,country_opex,7,FALSE)/dep_years</f>
        <v/>
      </c>
      <c r="AC44" s="38">
        <f>T44-AA44</f>
        <v/>
      </c>
      <c r="AD44" s="35">
        <f>IF(T44=0,"",AC44/T44)</f>
        <v/>
      </c>
      <c r="AE44" s="36">
        <f>IF(AC44&lt;=0,"",VLOOKUP(B44,country_opex,7,FALSE)/AC44)</f>
        <v/>
      </c>
      <c r="AF44" s="33">
        <f>((D44*O44/diesel_nmpg)*diesel_co2pg-(battery/range_nm)*D44*O44*VLOOKUP(B44,country_opex,4,FALSE))/1000</f>
        <v/>
      </c>
      <c r="AG44" s="31" t="n">
        <v>29166</v>
      </c>
      <c r="AH44" s="32" t="inlineStr">
        <is>
          <t>T3</t>
        </is>
      </c>
      <c r="AI44" s="32" t="inlineStr">
        <is>
          <t>med-low</t>
        </is>
      </c>
      <c r="AJ44" s="39" t="n">
        <v>0.1</v>
      </c>
      <c r="AK44" s="34">
        <f>IF(AG44="","",AG44*AJ44)</f>
        <v/>
      </c>
      <c r="AL44" s="34">
        <f>IF(OR(AG44="",R44=0),"",MIN(IF(AS44="",9.9E+99,AS44),FLOOR(AK44/R44,1)))</f>
        <v/>
      </c>
      <c r="AM44" s="38">
        <f>IF(AL44="","",AL44*T44)</f>
        <v/>
      </c>
      <c r="AN44" s="36">
        <f>IF(OR(AG44="",R44=0),"",MIN(IF(AS44="",9.9E+99,AS44),AK44/R44))</f>
        <v/>
      </c>
      <c r="AO44" s="38">
        <f>IF(AN44="","",AN44*T44)</f>
        <v/>
      </c>
      <c r="AP44" s="40" t="n"/>
      <c r="AQ44" s="41" t="n"/>
      <c r="AR44" s="41" t="n"/>
      <c r="AS44" s="42" t="n"/>
      <c r="AT44" s="43">
        <f>IF(((S44*pax_cap*load_thin*ROUND(K44*L44*revleg_thin,0))-(((battery/range_nm)*D44*ROUND(K44*L44*revleg_thin,0)*VLOOKUP(B44,country_opex,3,FALSE))+V44+W44+X44+Y44+Z44))&lt;=0,"",VLOOKUP(B44,country_opex,7,FALSE)/((S44*pax_cap*load_thin*ROUND(K44*L44*revleg_thin,0))-(((battery/range_nm)*D44*ROUND(K44*L44*revleg_thin,0)*VLOOKUP(B44,country_opex,3,FALSE))+V44+W44+X44+Y44+Z44)))</f>
        <v/>
      </c>
      <c r="AU44" s="43">
        <f>IF(((S44*pax_cap*load_mid*ROUND(K44*L44*revleg_mid,0))-(((battery/range_nm)*D44*ROUND(K44*L44*revleg_mid,0)*VLOOKUP(B44,country_opex,3,FALSE))+V44+W44+X44+Y44+Z44))&lt;=0,"",VLOOKUP(B44,country_opex,7,FALSE)/((S44*pax_cap*load_mid*ROUND(K44*L44*revleg_mid,0))-(((battery/range_nm)*D44*ROUND(K44*L44*revleg_mid,0)*VLOOKUP(B44,country_opex,3,FALSE))+V44+W44+X44+Y44+Z44)))</f>
        <v/>
      </c>
      <c r="AV44" s="43">
        <f>IF(((S44*pax_cap*load_full*ROUND(K44*L44*revleg_full,0))-(((battery/range_nm)*D44*ROUND(K44*L44*revleg_full,0)*VLOOKUP(B44,country_opex,3,FALSE))+V44+W44+X44+Y44+Z44))&lt;=0,"",VLOOKUP(B44,country_opex,7,FALSE)/((S44*pax_cap*load_full*ROUND(K44*L44*revleg_full,0))-(((battery/range_nm)*D44*ROUND(K44*L44*revleg_full,0)*VLOOKUP(B44,country_opex,3,FALSE))+V44+W44+X44+Y44+Z44)))</f>
        <v/>
      </c>
      <c r="AW44" s="44" t="inlineStr">
        <is>
          <t>[LB-255 PREMIUM RE-FARE: subsidized comparable $3.5 lifted to premium on-demand floor $18.0] handoff/INDIA-ECONOMICS-SIDECAR-V0-2026-06-20.json (kerala)</t>
        </is>
      </c>
      <c r="AX44" s="44" t="inlineStr">
        <is>
          <t>handoff/INDIA-ECONOMICS-SIDECAR-V0-2026-06-20.json (kerala)</t>
        </is>
      </c>
    </row>
    <row r="45">
      <c r="A45" s="29" t="inlineStr">
        <is>
          <t>India Mumbai Rapido</t>
        </is>
      </c>
      <c r="B45" s="29" t="inlineStr">
        <is>
          <t>India</t>
        </is>
      </c>
      <c r="C45" s="30" t="inlineStr">
        <is>
          <t>Bhaucha Dhakka Ferry Boat Service → Bombay Harbour</t>
        </is>
      </c>
      <c r="D45" s="31" t="n">
        <v>2.7</v>
      </c>
      <c r="E45" s="26" t="n">
        <v>18</v>
      </c>
      <c r="F45" s="32" t="inlineStr">
        <is>
          <t>T3</t>
        </is>
      </c>
      <c r="G45" s="32" t="inlineStr">
        <is>
          <t>med-low</t>
        </is>
      </c>
      <c r="H45" s="19" t="n">
        <v>1</v>
      </c>
      <c r="I45" s="33">
        <f>60*D45/cruise_kt</f>
        <v/>
      </c>
      <c r="J45" s="33">
        <f>I45+turn_min+dwell_min</f>
        <v/>
      </c>
      <c r="K45" s="34">
        <f>MIN(10,FLOOR(60*service_hr/J45,1))</f>
        <v/>
      </c>
      <c r="L45" s="34">
        <f>ROUND(365*mech_uptime*H45,0)</f>
        <v/>
      </c>
      <c r="M45" s="35">
        <f>mech_uptime</f>
        <v/>
      </c>
      <c r="N45" s="35">
        <f>revleg_sel</f>
        <v/>
      </c>
      <c r="O45" s="34">
        <f>ROUND(K45*L45*revleg_sel,0)</f>
        <v/>
      </c>
      <c r="P45" s="36">
        <f>load_sel</f>
        <v/>
      </c>
      <c r="Q45" s="36">
        <f>pax_cap*P45</f>
        <v/>
      </c>
      <c r="R45" s="34">
        <f>Q45*O45</f>
        <v/>
      </c>
      <c r="S45" s="37">
        <f>E45*discount</f>
        <v/>
      </c>
      <c r="T45" s="38">
        <f>S45*R45</f>
        <v/>
      </c>
      <c r="U45" s="38">
        <f>(battery/range_nm)*D45*O45*VLOOKUP(B45,country_opex,3,FALSE)</f>
        <v/>
      </c>
      <c r="V45" s="38">
        <f>VLOOKUP(B45,country_opex,2,FALSE)*crew_factor</f>
        <v/>
      </c>
      <c r="W45" s="38">
        <f>VLOOKUP(B45,country_opex,5,FALSE)</f>
        <v/>
      </c>
      <c r="X45" s="38">
        <f>maint</f>
        <v/>
      </c>
      <c r="Y45" s="38">
        <f>VLOOKUP(B45,country_opex,7,FALSE)*ins_pct</f>
        <v/>
      </c>
      <c r="Z45" s="38">
        <f>charge_berth</f>
        <v/>
      </c>
      <c r="AA45" s="38">
        <f>U45+V45+W45+X45+Y45+Z45</f>
        <v/>
      </c>
      <c r="AB45" s="38">
        <f>VLOOKUP(B45,country_opex,7,FALSE)/dep_years</f>
        <v/>
      </c>
      <c r="AC45" s="38">
        <f>T45-AA45</f>
        <v/>
      </c>
      <c r="AD45" s="35">
        <f>IF(T45=0,"",AC45/T45)</f>
        <v/>
      </c>
      <c r="AE45" s="36">
        <f>IF(AC45&lt;=0,"",VLOOKUP(B45,country_opex,7,FALSE)/AC45)</f>
        <v/>
      </c>
      <c r="AF45" s="33">
        <f>((D45*O45/diesel_nmpg)*diesel_co2pg-(battery/range_nm)*D45*O45*VLOOKUP(B45,country_opex,4,FALSE))/1000</f>
        <v/>
      </c>
      <c r="AG45" s="31" t="n">
        <v>5000</v>
      </c>
      <c r="AH45" s="32" t="inlineStr">
        <is>
          <t>T3</t>
        </is>
      </c>
      <c r="AI45" s="32" t="inlineStr">
        <is>
          <t>med-low</t>
        </is>
      </c>
      <c r="AJ45" s="39" t="n">
        <v>0.1</v>
      </c>
      <c r="AK45" s="34">
        <f>IF(AG45="","",AG45*AJ45)</f>
        <v/>
      </c>
      <c r="AL45" s="34">
        <f>IF(OR(AG45="",R45=0),"",MIN(IF(AS45="",9.9E+99,AS45),FLOOR(AK45/R45,1)))</f>
        <v/>
      </c>
      <c r="AM45" s="38">
        <f>IF(AL45="","",AL45*T45)</f>
        <v/>
      </c>
      <c r="AN45" s="36">
        <f>IF(OR(AG45="",R45=0),"",MIN(IF(AS45="",9.9E+99,AS45),AK45/R45))</f>
        <v/>
      </c>
      <c r="AO45" s="38">
        <f>IF(AN45="","",AN45*T45)</f>
        <v/>
      </c>
      <c r="AP45" s="40" t="n"/>
      <c r="AQ45" s="41" t="n"/>
      <c r="AR45" s="41" t="n"/>
      <c r="AS45" s="42" t="n"/>
      <c r="AT45" s="43">
        <f>IF(((S45*pax_cap*load_thin*ROUND(K45*L45*revleg_thin,0))-(((battery/range_nm)*D45*ROUND(K45*L45*revleg_thin,0)*VLOOKUP(B45,country_opex,3,FALSE))+V45+W45+X45+Y45+Z45))&lt;=0,"",VLOOKUP(B45,country_opex,7,FALSE)/((S45*pax_cap*load_thin*ROUND(K45*L45*revleg_thin,0))-(((battery/range_nm)*D45*ROUND(K45*L45*revleg_thin,0)*VLOOKUP(B45,country_opex,3,FALSE))+V45+W45+X45+Y45+Z45)))</f>
        <v/>
      </c>
      <c r="AU45" s="43">
        <f>IF(((S45*pax_cap*load_mid*ROUND(K45*L45*revleg_mid,0))-(((battery/range_nm)*D45*ROUND(K45*L45*revleg_mid,0)*VLOOKUP(B45,country_opex,3,FALSE))+V45+W45+X45+Y45+Z45))&lt;=0,"",VLOOKUP(B45,country_opex,7,FALSE)/((S45*pax_cap*load_mid*ROUND(K45*L45*revleg_mid,0))-(((battery/range_nm)*D45*ROUND(K45*L45*revleg_mid,0)*VLOOKUP(B45,country_opex,3,FALSE))+V45+W45+X45+Y45+Z45)))</f>
        <v/>
      </c>
      <c r="AV45" s="43">
        <f>IF(((S45*pax_cap*load_full*ROUND(K45*L45*revleg_full,0))-(((battery/range_nm)*D45*ROUND(K45*L45*revleg_full,0)*VLOOKUP(B45,country_opex,3,FALSE))+V45+W45+X45+Y45+Z45))&lt;=0,"",VLOOKUP(B45,country_opex,7,FALSE)/((S45*pax_cap*load_full*ROUND(K45*L45*revleg_full,0))-(((battery/range_nm)*D45*ROUND(K45*L45*revleg_full,0)*VLOOKUP(B45,country_opex,3,FALSE))+V45+W45+X45+Y45+Z45)))</f>
        <v/>
      </c>
      <c r="AW45" s="44" t="inlineStr">
        <is>
          <t>[LB-255 PREMIUM RE-FARE: subsidized comparable $5.5 lifted to premium on-demand floor $18.0] handoff/INDIA-ECONOMICS-SIDECAR-V0-2026-06-20.json (mumbai)</t>
        </is>
      </c>
      <c r="AX45" s="44" t="inlineStr">
        <is>
          <t>handoff/INDIA-ECONOMICS-SIDECAR-V0-2026-06-20.json (mumbai)</t>
        </is>
      </c>
    </row>
    <row r="46">
      <c r="A46" s="29" t="inlineStr">
        <is>
          <t>India Andaman Rapido</t>
        </is>
      </c>
      <c r="B46" s="29" t="inlineStr">
        <is>
          <t>India</t>
        </is>
      </c>
      <c r="C46" s="30" t="inlineStr">
        <is>
          <t>Andaman → Andaman &amp; Nicobar Islands</t>
        </is>
      </c>
      <c r="D46" s="31" t="n">
        <v>2.8</v>
      </c>
      <c r="E46" s="26" t="n">
        <v>22</v>
      </c>
      <c r="F46" s="32" t="inlineStr">
        <is>
          <t>T3</t>
        </is>
      </c>
      <c r="G46" s="32" t="inlineStr">
        <is>
          <t>med-low</t>
        </is>
      </c>
      <c r="H46" s="19" t="n">
        <v>1</v>
      </c>
      <c r="I46" s="33">
        <f>60*D46/cruise_kt</f>
        <v/>
      </c>
      <c r="J46" s="33">
        <f>I46+turn_min+dwell_min</f>
        <v/>
      </c>
      <c r="K46" s="34">
        <f>MIN(10,FLOOR(60*service_hr/J46,1))</f>
        <v/>
      </c>
      <c r="L46" s="34">
        <f>ROUND(365*mech_uptime*H46,0)</f>
        <v/>
      </c>
      <c r="M46" s="35">
        <f>mech_uptime</f>
        <v/>
      </c>
      <c r="N46" s="35">
        <f>revleg_sel</f>
        <v/>
      </c>
      <c r="O46" s="34">
        <f>ROUND(K46*L46*revleg_sel,0)</f>
        <v/>
      </c>
      <c r="P46" s="36">
        <f>load_sel</f>
        <v/>
      </c>
      <c r="Q46" s="36">
        <f>pax_cap*P46</f>
        <v/>
      </c>
      <c r="R46" s="34">
        <f>Q46*O46</f>
        <v/>
      </c>
      <c r="S46" s="37">
        <f>E46*discount</f>
        <v/>
      </c>
      <c r="T46" s="38">
        <f>S46*R46</f>
        <v/>
      </c>
      <c r="U46" s="38">
        <f>(battery/range_nm)*D46*O46*VLOOKUP(B46,country_opex,3,FALSE)</f>
        <v/>
      </c>
      <c r="V46" s="38">
        <f>VLOOKUP(B46,country_opex,2,FALSE)*crew_factor</f>
        <v/>
      </c>
      <c r="W46" s="38">
        <f>VLOOKUP(B46,country_opex,5,FALSE)</f>
        <v/>
      </c>
      <c r="X46" s="38">
        <f>maint</f>
        <v/>
      </c>
      <c r="Y46" s="38">
        <f>VLOOKUP(B46,country_opex,7,FALSE)*ins_pct</f>
        <v/>
      </c>
      <c r="Z46" s="38">
        <f>charge_berth</f>
        <v/>
      </c>
      <c r="AA46" s="38">
        <f>U46+V46+W46+X46+Y46+Z46</f>
        <v/>
      </c>
      <c r="AB46" s="38">
        <f>VLOOKUP(B46,country_opex,7,FALSE)/dep_years</f>
        <v/>
      </c>
      <c r="AC46" s="38">
        <f>T46-AA46</f>
        <v/>
      </c>
      <c r="AD46" s="35">
        <f>IF(T46=0,"",AC46/T46)</f>
        <v/>
      </c>
      <c r="AE46" s="36">
        <f>IF(AC46&lt;=0,"",VLOOKUP(B46,country_opex,7,FALSE)/AC46)</f>
        <v/>
      </c>
      <c r="AF46" s="33">
        <f>((D46*O46/diesel_nmpg)*diesel_co2pg-(battery/range_nm)*D46*O46*VLOOKUP(B46,country_opex,4,FALSE))/1000</f>
        <v/>
      </c>
      <c r="AG46" s="31" t="n">
        <v>5000</v>
      </c>
      <c r="AH46" s="32" t="inlineStr">
        <is>
          <t>T3</t>
        </is>
      </c>
      <c r="AI46" s="32" t="inlineStr">
        <is>
          <t>med-low</t>
        </is>
      </c>
      <c r="AJ46" s="39" t="n">
        <v>0.1</v>
      </c>
      <c r="AK46" s="34">
        <f>IF(AG46="","",AG46*AJ46)</f>
        <v/>
      </c>
      <c r="AL46" s="34">
        <f>IF(OR(AG46="",R46=0),"",MIN(IF(AS46="",9.9E+99,AS46),FLOOR(AK46/R46,1)))</f>
        <v/>
      </c>
      <c r="AM46" s="38">
        <f>IF(AL46="","",AL46*T46)</f>
        <v/>
      </c>
      <c r="AN46" s="36">
        <f>IF(OR(AG46="",R46=0),"",MIN(IF(AS46="",9.9E+99,AS46),AK46/R46))</f>
        <v/>
      </c>
      <c r="AO46" s="38">
        <f>IF(AN46="","",AN46*T46)</f>
        <v/>
      </c>
      <c r="AP46" s="40" t="n"/>
      <c r="AQ46" s="41" t="n"/>
      <c r="AR46" s="41" t="n"/>
      <c r="AS46" s="42" t="n"/>
      <c r="AT46" s="43">
        <f>IF(((S46*pax_cap*load_thin*ROUND(K46*L46*revleg_thin,0))-(((battery/range_nm)*D46*ROUND(K46*L46*revleg_thin,0)*VLOOKUP(B46,country_opex,3,FALSE))+V46+W46+X46+Y46+Z46))&lt;=0,"",VLOOKUP(B46,country_opex,7,FALSE)/((S46*pax_cap*load_thin*ROUND(K46*L46*revleg_thin,0))-(((battery/range_nm)*D46*ROUND(K46*L46*revleg_thin,0)*VLOOKUP(B46,country_opex,3,FALSE))+V46+W46+X46+Y46+Z46)))</f>
        <v/>
      </c>
      <c r="AU46" s="43">
        <f>IF(((S46*pax_cap*load_mid*ROUND(K46*L46*revleg_mid,0))-(((battery/range_nm)*D46*ROUND(K46*L46*revleg_mid,0)*VLOOKUP(B46,country_opex,3,FALSE))+V46+W46+X46+Y46+Z46))&lt;=0,"",VLOOKUP(B46,country_opex,7,FALSE)/((S46*pax_cap*load_mid*ROUND(K46*L46*revleg_mid,0))-(((battery/range_nm)*D46*ROUND(K46*L46*revleg_mid,0)*VLOOKUP(B46,country_opex,3,FALSE))+V46+W46+X46+Y46+Z46)))</f>
        <v/>
      </c>
      <c r="AV46" s="43">
        <f>IF(((S46*pax_cap*load_full*ROUND(K46*L46*revleg_full,0))-(((battery/range_nm)*D46*ROUND(K46*L46*revleg_full,0)*VLOOKUP(B46,country_opex,3,FALSE))+V46+W46+X46+Y46+Z46))&lt;=0,"",VLOOKUP(B46,country_opex,7,FALSE)/((S46*pax_cap*load_full*ROUND(K46*L46*revleg_full,0))-(((battery/range_nm)*D46*ROUND(K46*L46*revleg_full,0)*VLOOKUP(B46,country_opex,3,FALSE))+V46+W46+X46+Y46+Z46)))</f>
        <v/>
      </c>
      <c r="AW46" s="44" t="inlineStr">
        <is>
          <t>handoff/INDIA-ECONOMICS-SIDECAR-V0-2026-06-20.json (andaman)</t>
        </is>
      </c>
      <c r="AX46" s="44" t="inlineStr">
        <is>
          <t>handoff/INDIA-ECONOMICS-SIDECAR-V0-2026-06-20.json (andaman)</t>
        </is>
      </c>
    </row>
    <row r="47">
      <c r="A47" s="29" t="inlineStr">
        <is>
          <t>India Andaman Rapido</t>
        </is>
      </c>
      <c r="B47" s="29" t="inlineStr">
        <is>
          <t>India</t>
        </is>
      </c>
      <c r="C47" s="30" t="inlineStr">
        <is>
          <t>Andaman → BookMyBoat Andaman Ferry Booking</t>
        </is>
      </c>
      <c r="D47" s="31" t="n">
        <v>2.8</v>
      </c>
      <c r="E47" s="26" t="n">
        <v>22</v>
      </c>
      <c r="F47" s="32" t="inlineStr">
        <is>
          <t>T3</t>
        </is>
      </c>
      <c r="G47" s="32" t="inlineStr">
        <is>
          <t>med-low</t>
        </is>
      </c>
      <c r="H47" s="19" t="n">
        <v>1</v>
      </c>
      <c r="I47" s="33">
        <f>60*D47/cruise_kt</f>
        <v/>
      </c>
      <c r="J47" s="33">
        <f>I47+turn_min+dwell_min</f>
        <v/>
      </c>
      <c r="K47" s="34">
        <f>MIN(10,FLOOR(60*service_hr/J47,1))</f>
        <v/>
      </c>
      <c r="L47" s="34">
        <f>ROUND(365*mech_uptime*H47,0)</f>
        <v/>
      </c>
      <c r="M47" s="35">
        <f>mech_uptime</f>
        <v/>
      </c>
      <c r="N47" s="35">
        <f>revleg_sel</f>
        <v/>
      </c>
      <c r="O47" s="34">
        <f>ROUND(K47*L47*revleg_sel,0)</f>
        <v/>
      </c>
      <c r="P47" s="36">
        <f>load_sel</f>
        <v/>
      </c>
      <c r="Q47" s="36">
        <f>pax_cap*P47</f>
        <v/>
      </c>
      <c r="R47" s="34">
        <f>Q47*O47</f>
        <v/>
      </c>
      <c r="S47" s="37">
        <f>E47*discount</f>
        <v/>
      </c>
      <c r="T47" s="38">
        <f>S47*R47</f>
        <v/>
      </c>
      <c r="U47" s="38">
        <f>(battery/range_nm)*D47*O47*VLOOKUP(B47,country_opex,3,FALSE)</f>
        <v/>
      </c>
      <c r="V47" s="38">
        <f>VLOOKUP(B47,country_opex,2,FALSE)*crew_factor</f>
        <v/>
      </c>
      <c r="W47" s="38">
        <f>VLOOKUP(B47,country_opex,5,FALSE)</f>
        <v/>
      </c>
      <c r="X47" s="38">
        <f>maint</f>
        <v/>
      </c>
      <c r="Y47" s="38">
        <f>VLOOKUP(B47,country_opex,7,FALSE)*ins_pct</f>
        <v/>
      </c>
      <c r="Z47" s="38">
        <f>charge_berth</f>
        <v/>
      </c>
      <c r="AA47" s="38">
        <f>U47+V47+W47+X47+Y47+Z47</f>
        <v/>
      </c>
      <c r="AB47" s="38">
        <f>VLOOKUP(B47,country_opex,7,FALSE)/dep_years</f>
        <v/>
      </c>
      <c r="AC47" s="38">
        <f>T47-AA47</f>
        <v/>
      </c>
      <c r="AD47" s="35">
        <f>IF(T47=0,"",AC47/T47)</f>
        <v/>
      </c>
      <c r="AE47" s="36">
        <f>IF(AC47&lt;=0,"",VLOOKUP(B47,country_opex,7,FALSE)/AC47)</f>
        <v/>
      </c>
      <c r="AF47" s="33">
        <f>((D47*O47/diesel_nmpg)*diesel_co2pg-(battery/range_nm)*D47*O47*VLOOKUP(B47,country_opex,4,FALSE))/1000</f>
        <v/>
      </c>
      <c r="AG47" s="31" t="n">
        <v>5000</v>
      </c>
      <c r="AH47" s="32" t="inlineStr">
        <is>
          <t>T3</t>
        </is>
      </c>
      <c r="AI47" s="32" t="inlineStr">
        <is>
          <t>med-low</t>
        </is>
      </c>
      <c r="AJ47" s="39" t="n">
        <v>0.1</v>
      </c>
      <c r="AK47" s="34">
        <f>IF(AG47="","",AG47*AJ47)</f>
        <v/>
      </c>
      <c r="AL47" s="34">
        <f>IF(OR(AG47="",R47=0),"",MIN(IF(AS47="",9.9E+99,AS47),FLOOR(AK47/R47,1)))</f>
        <v/>
      </c>
      <c r="AM47" s="38">
        <f>IF(AL47="","",AL47*T47)</f>
        <v/>
      </c>
      <c r="AN47" s="36">
        <f>IF(OR(AG47="",R47=0),"",MIN(IF(AS47="",9.9E+99,AS47),AK47/R47))</f>
        <v/>
      </c>
      <c r="AO47" s="38">
        <f>IF(AN47="","",AN47*T47)</f>
        <v/>
      </c>
      <c r="AP47" s="40" t="n"/>
      <c r="AQ47" s="41" t="n"/>
      <c r="AR47" s="41" t="n"/>
      <c r="AS47" s="42" t="n"/>
      <c r="AT47" s="43">
        <f>IF(((S47*pax_cap*load_thin*ROUND(K47*L47*revleg_thin,0))-(((battery/range_nm)*D47*ROUND(K47*L47*revleg_thin,0)*VLOOKUP(B47,country_opex,3,FALSE))+V47+W47+X47+Y47+Z47))&lt;=0,"",VLOOKUP(B47,country_opex,7,FALSE)/((S47*pax_cap*load_thin*ROUND(K47*L47*revleg_thin,0))-(((battery/range_nm)*D47*ROUND(K47*L47*revleg_thin,0)*VLOOKUP(B47,country_opex,3,FALSE))+V47+W47+X47+Y47+Z47)))</f>
        <v/>
      </c>
      <c r="AU47" s="43">
        <f>IF(((S47*pax_cap*load_mid*ROUND(K47*L47*revleg_mid,0))-(((battery/range_nm)*D47*ROUND(K47*L47*revleg_mid,0)*VLOOKUP(B47,country_opex,3,FALSE))+V47+W47+X47+Y47+Z47))&lt;=0,"",VLOOKUP(B47,country_opex,7,FALSE)/((S47*pax_cap*load_mid*ROUND(K47*L47*revleg_mid,0))-(((battery/range_nm)*D47*ROUND(K47*L47*revleg_mid,0)*VLOOKUP(B47,country_opex,3,FALSE))+V47+W47+X47+Y47+Z47)))</f>
        <v/>
      </c>
      <c r="AV47" s="43">
        <f>IF(((S47*pax_cap*load_full*ROUND(K47*L47*revleg_full,0))-(((battery/range_nm)*D47*ROUND(K47*L47*revleg_full,0)*VLOOKUP(B47,country_opex,3,FALSE))+V47+W47+X47+Y47+Z47))&lt;=0,"",VLOOKUP(B47,country_opex,7,FALSE)/((S47*pax_cap*load_full*ROUND(K47*L47*revleg_full,0))-(((battery/range_nm)*D47*ROUND(K47*L47*revleg_full,0)*VLOOKUP(B47,country_opex,3,FALSE))+V47+W47+X47+Y47+Z47)))</f>
        <v/>
      </c>
      <c r="AW47" s="44" t="inlineStr">
        <is>
          <t>handoff/INDIA-ECONOMICS-SIDECAR-V0-2026-06-20.json (andaman)</t>
        </is>
      </c>
      <c r="AX47" s="44" t="inlineStr">
        <is>
          <t>handoff/INDIA-ECONOMICS-SIDECAR-V0-2026-06-20.json (andaman)</t>
        </is>
      </c>
    </row>
    <row r="48">
      <c r="A48" s="29" t="inlineStr">
        <is>
          <t>India Andaman Rapido</t>
        </is>
      </c>
      <c r="B48" s="29" t="inlineStr">
        <is>
          <t>India</t>
        </is>
      </c>
      <c r="C48" s="30" t="inlineStr">
        <is>
          <t>Port Blair → BookMyBoat Andaman Ferry Booking</t>
        </is>
      </c>
      <c r="D48" s="31" t="n">
        <v>2.8</v>
      </c>
      <c r="E48" s="26" t="n">
        <v>22</v>
      </c>
      <c r="F48" s="32" t="inlineStr">
        <is>
          <t>T3</t>
        </is>
      </c>
      <c r="G48" s="32" t="inlineStr">
        <is>
          <t>med-low</t>
        </is>
      </c>
      <c r="H48" s="19" t="n">
        <v>1</v>
      </c>
      <c r="I48" s="33">
        <f>60*D48/cruise_kt</f>
        <v/>
      </c>
      <c r="J48" s="33">
        <f>I48+turn_min+dwell_min</f>
        <v/>
      </c>
      <c r="K48" s="34">
        <f>MIN(10,FLOOR(60*service_hr/J48,1))</f>
        <v/>
      </c>
      <c r="L48" s="34">
        <f>ROUND(365*mech_uptime*H48,0)</f>
        <v/>
      </c>
      <c r="M48" s="35">
        <f>mech_uptime</f>
        <v/>
      </c>
      <c r="N48" s="35">
        <f>revleg_sel</f>
        <v/>
      </c>
      <c r="O48" s="34">
        <f>ROUND(K48*L48*revleg_sel,0)</f>
        <v/>
      </c>
      <c r="P48" s="36">
        <f>load_sel</f>
        <v/>
      </c>
      <c r="Q48" s="36">
        <f>pax_cap*P48</f>
        <v/>
      </c>
      <c r="R48" s="34">
        <f>Q48*O48</f>
        <v/>
      </c>
      <c r="S48" s="37">
        <f>E48*discount</f>
        <v/>
      </c>
      <c r="T48" s="38">
        <f>S48*R48</f>
        <v/>
      </c>
      <c r="U48" s="38">
        <f>(battery/range_nm)*D48*O48*VLOOKUP(B48,country_opex,3,FALSE)</f>
        <v/>
      </c>
      <c r="V48" s="38">
        <f>VLOOKUP(B48,country_opex,2,FALSE)*crew_factor</f>
        <v/>
      </c>
      <c r="W48" s="38">
        <f>VLOOKUP(B48,country_opex,5,FALSE)</f>
        <v/>
      </c>
      <c r="X48" s="38">
        <f>maint</f>
        <v/>
      </c>
      <c r="Y48" s="38">
        <f>VLOOKUP(B48,country_opex,7,FALSE)*ins_pct</f>
        <v/>
      </c>
      <c r="Z48" s="38">
        <f>charge_berth</f>
        <v/>
      </c>
      <c r="AA48" s="38">
        <f>U48+V48+W48+X48+Y48+Z48</f>
        <v/>
      </c>
      <c r="AB48" s="38">
        <f>VLOOKUP(B48,country_opex,7,FALSE)/dep_years</f>
        <v/>
      </c>
      <c r="AC48" s="38">
        <f>T48-AA48</f>
        <v/>
      </c>
      <c r="AD48" s="35">
        <f>IF(T48=0,"",AC48/T48)</f>
        <v/>
      </c>
      <c r="AE48" s="36">
        <f>IF(AC48&lt;=0,"",VLOOKUP(B48,country_opex,7,FALSE)/AC48)</f>
        <v/>
      </c>
      <c r="AF48" s="33">
        <f>((D48*O48/diesel_nmpg)*diesel_co2pg-(battery/range_nm)*D48*O48*VLOOKUP(B48,country_opex,4,FALSE))/1000</f>
        <v/>
      </c>
      <c r="AG48" s="31" t="n">
        <v>5000</v>
      </c>
      <c r="AH48" s="32" t="inlineStr">
        <is>
          <t>T3</t>
        </is>
      </c>
      <c r="AI48" s="32" t="inlineStr">
        <is>
          <t>med-low</t>
        </is>
      </c>
      <c r="AJ48" s="39" t="n">
        <v>0.1</v>
      </c>
      <c r="AK48" s="34">
        <f>IF(AG48="","",AG48*AJ48)</f>
        <v/>
      </c>
      <c r="AL48" s="34">
        <f>IF(OR(AG48="",R48=0),"",MIN(IF(AS48="",9.9E+99,AS48),FLOOR(AK48/R48,1)))</f>
        <v/>
      </c>
      <c r="AM48" s="38">
        <f>IF(AL48="","",AL48*T48)</f>
        <v/>
      </c>
      <c r="AN48" s="36">
        <f>IF(OR(AG48="",R48=0),"",MIN(IF(AS48="",9.9E+99,AS48),AK48/R48))</f>
        <v/>
      </c>
      <c r="AO48" s="38">
        <f>IF(AN48="","",AN48*T48)</f>
        <v/>
      </c>
      <c r="AP48" s="40" t="n"/>
      <c r="AQ48" s="41" t="n"/>
      <c r="AR48" s="41" t="n"/>
      <c r="AS48" s="42" t="n"/>
      <c r="AT48" s="43">
        <f>IF(((S48*pax_cap*load_thin*ROUND(K48*L48*revleg_thin,0))-(((battery/range_nm)*D48*ROUND(K48*L48*revleg_thin,0)*VLOOKUP(B48,country_opex,3,FALSE))+V48+W48+X48+Y48+Z48))&lt;=0,"",VLOOKUP(B48,country_opex,7,FALSE)/((S48*pax_cap*load_thin*ROUND(K48*L48*revleg_thin,0))-(((battery/range_nm)*D48*ROUND(K48*L48*revleg_thin,0)*VLOOKUP(B48,country_opex,3,FALSE))+V48+W48+X48+Y48+Z48)))</f>
        <v/>
      </c>
      <c r="AU48" s="43">
        <f>IF(((S48*pax_cap*load_mid*ROUND(K48*L48*revleg_mid,0))-(((battery/range_nm)*D48*ROUND(K48*L48*revleg_mid,0)*VLOOKUP(B48,country_opex,3,FALSE))+V48+W48+X48+Y48+Z48))&lt;=0,"",VLOOKUP(B48,country_opex,7,FALSE)/((S48*pax_cap*load_mid*ROUND(K48*L48*revleg_mid,0))-(((battery/range_nm)*D48*ROUND(K48*L48*revleg_mid,0)*VLOOKUP(B48,country_opex,3,FALSE))+V48+W48+X48+Y48+Z48)))</f>
        <v/>
      </c>
      <c r="AV48" s="43">
        <f>IF(((S48*pax_cap*load_full*ROUND(K48*L48*revleg_full,0))-(((battery/range_nm)*D48*ROUND(K48*L48*revleg_full,0)*VLOOKUP(B48,country_opex,3,FALSE))+V48+W48+X48+Y48+Z48))&lt;=0,"",VLOOKUP(B48,country_opex,7,FALSE)/((S48*pax_cap*load_full*ROUND(K48*L48*revleg_full,0))-(((battery/range_nm)*D48*ROUND(K48*L48*revleg_full,0)*VLOOKUP(B48,country_opex,3,FALSE))+V48+W48+X48+Y48+Z48)))</f>
        <v/>
      </c>
      <c r="AW48" s="44" t="inlineStr">
        <is>
          <t>handoff/INDIA-ECONOMICS-SIDECAR-V0-2026-06-20.json (andaman)</t>
        </is>
      </c>
      <c r="AX48" s="44" t="inlineStr">
        <is>
          <t>handoff/INDIA-ECONOMICS-SIDECAR-V0-2026-06-20.json (andaman)</t>
        </is>
      </c>
    </row>
    <row r="49">
      <c r="A49" s="29" t="inlineStr">
        <is>
          <t>India Andaman Rapido</t>
        </is>
      </c>
      <c r="B49" s="29" t="inlineStr">
        <is>
          <t>India</t>
        </is>
      </c>
      <c r="C49" s="30" t="inlineStr">
        <is>
          <t>Junglighat Jetty → BookMyBoat Andaman Ferry Booking</t>
        </is>
      </c>
      <c r="D49" s="31" t="n">
        <v>2.8</v>
      </c>
      <c r="E49" s="26" t="n">
        <v>22</v>
      </c>
      <c r="F49" s="32" t="inlineStr">
        <is>
          <t>T3</t>
        </is>
      </c>
      <c r="G49" s="32" t="inlineStr">
        <is>
          <t>med-low</t>
        </is>
      </c>
      <c r="H49" s="19" t="n">
        <v>1</v>
      </c>
      <c r="I49" s="33">
        <f>60*D49/cruise_kt</f>
        <v/>
      </c>
      <c r="J49" s="33">
        <f>I49+turn_min+dwell_min</f>
        <v/>
      </c>
      <c r="K49" s="34">
        <f>MIN(10,FLOOR(60*service_hr/J49,1))</f>
        <v/>
      </c>
      <c r="L49" s="34">
        <f>ROUND(365*mech_uptime*H49,0)</f>
        <v/>
      </c>
      <c r="M49" s="35">
        <f>mech_uptime</f>
        <v/>
      </c>
      <c r="N49" s="35">
        <f>revleg_sel</f>
        <v/>
      </c>
      <c r="O49" s="34">
        <f>ROUND(K49*L49*revleg_sel,0)</f>
        <v/>
      </c>
      <c r="P49" s="36">
        <f>load_sel</f>
        <v/>
      </c>
      <c r="Q49" s="36">
        <f>pax_cap*P49</f>
        <v/>
      </c>
      <c r="R49" s="34">
        <f>Q49*O49</f>
        <v/>
      </c>
      <c r="S49" s="37">
        <f>E49*discount</f>
        <v/>
      </c>
      <c r="T49" s="38">
        <f>S49*R49</f>
        <v/>
      </c>
      <c r="U49" s="38">
        <f>(battery/range_nm)*D49*O49*VLOOKUP(B49,country_opex,3,FALSE)</f>
        <v/>
      </c>
      <c r="V49" s="38">
        <f>VLOOKUP(B49,country_opex,2,FALSE)*crew_factor</f>
        <v/>
      </c>
      <c r="W49" s="38">
        <f>VLOOKUP(B49,country_opex,5,FALSE)</f>
        <v/>
      </c>
      <c r="X49" s="38">
        <f>maint</f>
        <v/>
      </c>
      <c r="Y49" s="38">
        <f>VLOOKUP(B49,country_opex,7,FALSE)*ins_pct</f>
        <v/>
      </c>
      <c r="Z49" s="38">
        <f>charge_berth</f>
        <v/>
      </c>
      <c r="AA49" s="38">
        <f>U49+V49+W49+X49+Y49+Z49</f>
        <v/>
      </c>
      <c r="AB49" s="38">
        <f>VLOOKUP(B49,country_opex,7,FALSE)/dep_years</f>
        <v/>
      </c>
      <c r="AC49" s="38">
        <f>T49-AA49</f>
        <v/>
      </c>
      <c r="AD49" s="35">
        <f>IF(T49=0,"",AC49/T49)</f>
        <v/>
      </c>
      <c r="AE49" s="36">
        <f>IF(AC49&lt;=0,"",VLOOKUP(B49,country_opex,7,FALSE)/AC49)</f>
        <v/>
      </c>
      <c r="AF49" s="33">
        <f>((D49*O49/diesel_nmpg)*diesel_co2pg-(battery/range_nm)*D49*O49*VLOOKUP(B49,country_opex,4,FALSE))/1000</f>
        <v/>
      </c>
      <c r="AG49" s="31" t="n">
        <v>5000</v>
      </c>
      <c r="AH49" s="32" t="inlineStr">
        <is>
          <t>T3</t>
        </is>
      </c>
      <c r="AI49" s="32" t="inlineStr">
        <is>
          <t>med-low</t>
        </is>
      </c>
      <c r="AJ49" s="39" t="n">
        <v>0.1</v>
      </c>
      <c r="AK49" s="34">
        <f>IF(AG49="","",AG49*AJ49)</f>
        <v/>
      </c>
      <c r="AL49" s="34">
        <f>IF(OR(AG49="",R49=0),"",MIN(IF(AS49="",9.9E+99,AS49),FLOOR(AK49/R49,1)))</f>
        <v/>
      </c>
      <c r="AM49" s="38">
        <f>IF(AL49="","",AL49*T49)</f>
        <v/>
      </c>
      <c r="AN49" s="36">
        <f>IF(OR(AG49="",R49=0),"",MIN(IF(AS49="",9.9E+99,AS49),AK49/R49))</f>
        <v/>
      </c>
      <c r="AO49" s="38">
        <f>IF(AN49="","",AN49*T49)</f>
        <v/>
      </c>
      <c r="AP49" s="40" t="n"/>
      <c r="AQ49" s="41" t="n"/>
      <c r="AR49" s="41" t="n"/>
      <c r="AS49" s="42" t="n"/>
      <c r="AT49" s="43">
        <f>IF(((S49*pax_cap*load_thin*ROUND(K49*L49*revleg_thin,0))-(((battery/range_nm)*D49*ROUND(K49*L49*revleg_thin,0)*VLOOKUP(B49,country_opex,3,FALSE))+V49+W49+X49+Y49+Z49))&lt;=0,"",VLOOKUP(B49,country_opex,7,FALSE)/((S49*pax_cap*load_thin*ROUND(K49*L49*revleg_thin,0))-(((battery/range_nm)*D49*ROUND(K49*L49*revleg_thin,0)*VLOOKUP(B49,country_opex,3,FALSE))+V49+W49+X49+Y49+Z49)))</f>
        <v/>
      </c>
      <c r="AU49" s="43">
        <f>IF(((S49*pax_cap*load_mid*ROUND(K49*L49*revleg_mid,0))-(((battery/range_nm)*D49*ROUND(K49*L49*revleg_mid,0)*VLOOKUP(B49,country_opex,3,FALSE))+V49+W49+X49+Y49+Z49))&lt;=0,"",VLOOKUP(B49,country_opex,7,FALSE)/((S49*pax_cap*load_mid*ROUND(K49*L49*revleg_mid,0))-(((battery/range_nm)*D49*ROUND(K49*L49*revleg_mid,0)*VLOOKUP(B49,country_opex,3,FALSE))+V49+W49+X49+Y49+Z49)))</f>
        <v/>
      </c>
      <c r="AV49" s="43">
        <f>IF(((S49*pax_cap*load_full*ROUND(K49*L49*revleg_full,0))-(((battery/range_nm)*D49*ROUND(K49*L49*revleg_full,0)*VLOOKUP(B49,country_opex,3,FALSE))+V49+W49+X49+Y49+Z49))&lt;=0,"",VLOOKUP(B49,country_opex,7,FALSE)/((S49*pax_cap*load_full*ROUND(K49*L49*revleg_full,0))-(((battery/range_nm)*D49*ROUND(K49*L49*revleg_full,0)*VLOOKUP(B49,country_opex,3,FALSE))+V49+W49+X49+Y49+Z49)))</f>
        <v/>
      </c>
      <c r="AW49" s="44" t="inlineStr">
        <is>
          <t>handoff/INDIA-ECONOMICS-SIDECAR-V0-2026-06-20.json (andaman)</t>
        </is>
      </c>
      <c r="AX49" s="44" t="inlineStr">
        <is>
          <t>handoff/INDIA-ECONOMICS-SIDECAR-V0-2026-06-20.json (andaman)</t>
        </is>
      </c>
    </row>
    <row r="50">
      <c r="A50" s="29" t="inlineStr">
        <is>
          <t>India Goa Rapido</t>
        </is>
      </c>
      <c r="B50" s="29" t="inlineStr">
        <is>
          <t>India</t>
        </is>
      </c>
      <c r="C50" s="30" t="inlineStr">
        <is>
          <t>Goveia Marina → Tuem Ferry Terminal</t>
        </is>
      </c>
      <c r="D50" s="31" t="n">
        <v>2.8</v>
      </c>
      <c r="E50" s="26" t="n">
        <v>8</v>
      </c>
      <c r="F50" s="32" t="inlineStr">
        <is>
          <t>T3</t>
        </is>
      </c>
      <c r="G50" s="32" t="inlineStr">
        <is>
          <t>med-low</t>
        </is>
      </c>
      <c r="H50" s="19" t="n">
        <v>1</v>
      </c>
      <c r="I50" s="33">
        <f>60*D50/cruise_kt</f>
        <v/>
      </c>
      <c r="J50" s="33">
        <f>I50+turn_min+dwell_min</f>
        <v/>
      </c>
      <c r="K50" s="34">
        <f>MIN(10,FLOOR(60*service_hr/J50,1))</f>
        <v/>
      </c>
      <c r="L50" s="34">
        <f>ROUND(365*mech_uptime*H50,0)</f>
        <v/>
      </c>
      <c r="M50" s="35">
        <f>mech_uptime</f>
        <v/>
      </c>
      <c r="N50" s="35">
        <f>revleg_sel</f>
        <v/>
      </c>
      <c r="O50" s="34">
        <f>ROUND(K50*L50*revleg_sel,0)</f>
        <v/>
      </c>
      <c r="P50" s="36">
        <f>load_sel</f>
        <v/>
      </c>
      <c r="Q50" s="36">
        <f>pax_cap*P50</f>
        <v/>
      </c>
      <c r="R50" s="34">
        <f>Q50*O50</f>
        <v/>
      </c>
      <c r="S50" s="37">
        <f>E50*discount</f>
        <v/>
      </c>
      <c r="T50" s="38">
        <f>S50*R50</f>
        <v/>
      </c>
      <c r="U50" s="38">
        <f>(battery/range_nm)*D50*O50*VLOOKUP(B50,country_opex,3,FALSE)</f>
        <v/>
      </c>
      <c r="V50" s="38">
        <f>VLOOKUP(B50,country_opex,2,FALSE)*crew_factor</f>
        <v/>
      </c>
      <c r="W50" s="38">
        <f>VLOOKUP(B50,country_opex,5,FALSE)</f>
        <v/>
      </c>
      <c r="X50" s="38">
        <f>maint</f>
        <v/>
      </c>
      <c r="Y50" s="38">
        <f>VLOOKUP(B50,country_opex,7,FALSE)*ins_pct</f>
        <v/>
      </c>
      <c r="Z50" s="38">
        <f>charge_berth</f>
        <v/>
      </c>
      <c r="AA50" s="38">
        <f>U50+V50+W50+X50+Y50+Z50</f>
        <v/>
      </c>
      <c r="AB50" s="38">
        <f>VLOOKUP(B50,country_opex,7,FALSE)/dep_years</f>
        <v/>
      </c>
      <c r="AC50" s="38">
        <f>T50-AA50</f>
        <v/>
      </c>
      <c r="AD50" s="35">
        <f>IF(T50=0,"",AC50/T50)</f>
        <v/>
      </c>
      <c r="AE50" s="36">
        <f>IF(AC50&lt;=0,"",VLOOKUP(B50,country_opex,7,FALSE)/AC50)</f>
        <v/>
      </c>
      <c r="AF50" s="33">
        <f>((D50*O50/diesel_nmpg)*diesel_co2pg-(battery/range_nm)*D50*O50*VLOOKUP(B50,country_opex,4,FALSE))/1000</f>
        <v/>
      </c>
      <c r="AG50" s="31" t="n">
        <v>11250</v>
      </c>
      <c r="AH50" s="32" t="inlineStr">
        <is>
          <t>T3</t>
        </is>
      </c>
      <c r="AI50" s="32" t="inlineStr">
        <is>
          <t>med-low</t>
        </is>
      </c>
      <c r="AJ50" s="39" t="n">
        <v>0.1</v>
      </c>
      <c r="AK50" s="34">
        <f>IF(AG50="","",AG50*AJ50)</f>
        <v/>
      </c>
      <c r="AL50" s="34">
        <f>IF(OR(AG50="",R50=0),"",MIN(IF(AS50="",9.9E+99,AS50),FLOOR(AK50/R50,1)))</f>
        <v/>
      </c>
      <c r="AM50" s="38">
        <f>IF(AL50="","",AL50*T50)</f>
        <v/>
      </c>
      <c r="AN50" s="36">
        <f>IF(OR(AG50="",R50=0),"",MIN(IF(AS50="",9.9E+99,AS50),AK50/R50))</f>
        <v/>
      </c>
      <c r="AO50" s="38">
        <f>IF(AN50="","",AN50*T50)</f>
        <v/>
      </c>
      <c r="AP50" s="40" t="n"/>
      <c r="AQ50" s="41" t="n"/>
      <c r="AR50" s="41" t="n"/>
      <c r="AS50" s="42" t="n"/>
      <c r="AT50" s="43">
        <f>IF(((S50*pax_cap*load_thin*ROUND(K50*L50*revleg_thin,0))-(((battery/range_nm)*D50*ROUND(K50*L50*revleg_thin,0)*VLOOKUP(B50,country_opex,3,FALSE))+V50+W50+X50+Y50+Z50))&lt;=0,"",VLOOKUP(B50,country_opex,7,FALSE)/((S50*pax_cap*load_thin*ROUND(K50*L50*revleg_thin,0))-(((battery/range_nm)*D50*ROUND(K50*L50*revleg_thin,0)*VLOOKUP(B50,country_opex,3,FALSE))+V50+W50+X50+Y50+Z50)))</f>
        <v/>
      </c>
      <c r="AU50" s="43">
        <f>IF(((S50*pax_cap*load_mid*ROUND(K50*L50*revleg_mid,0))-(((battery/range_nm)*D50*ROUND(K50*L50*revleg_mid,0)*VLOOKUP(B50,country_opex,3,FALSE))+V50+W50+X50+Y50+Z50))&lt;=0,"",VLOOKUP(B50,country_opex,7,FALSE)/((S50*pax_cap*load_mid*ROUND(K50*L50*revleg_mid,0))-(((battery/range_nm)*D50*ROUND(K50*L50*revleg_mid,0)*VLOOKUP(B50,country_opex,3,FALSE))+V50+W50+X50+Y50+Z50)))</f>
        <v/>
      </c>
      <c r="AV50" s="43">
        <f>IF(((S50*pax_cap*load_full*ROUND(K50*L50*revleg_full,0))-(((battery/range_nm)*D50*ROUND(K50*L50*revleg_full,0)*VLOOKUP(B50,country_opex,3,FALSE))+V50+W50+X50+Y50+Z50))&lt;=0,"",VLOOKUP(B50,country_opex,7,FALSE)/((S50*pax_cap*load_full*ROUND(K50*L50*revleg_full,0))-(((battery/range_nm)*D50*ROUND(K50*L50*revleg_full,0)*VLOOKUP(B50,country_opex,3,FALSE))+V50+W50+X50+Y50+Z50)))</f>
        <v/>
      </c>
      <c r="AW50" s="44" t="inlineStr">
        <is>
          <t>handoff/INDIA-ECONOMICS-SIDECAR-V0-2026-06-20.json (goa)</t>
        </is>
      </c>
      <c r="AX50" s="44" t="inlineStr">
        <is>
          <t>handoff/INDIA-ECONOMICS-SIDECAR-V0-2026-06-20.json (goa)</t>
        </is>
      </c>
    </row>
    <row r="51">
      <c r="A51" s="29" t="inlineStr">
        <is>
          <t>India Goa Rapido</t>
        </is>
      </c>
      <c r="B51" s="29" t="inlineStr">
        <is>
          <t>India</t>
        </is>
      </c>
      <c r="C51" s="30" t="inlineStr">
        <is>
          <t>Ribandar Ferry → Piedade Ferry Terminal</t>
        </is>
      </c>
      <c r="D51" s="31" t="n">
        <v>2.8</v>
      </c>
      <c r="E51" s="26" t="n">
        <v>8</v>
      </c>
      <c r="F51" s="32" t="inlineStr">
        <is>
          <t>T3</t>
        </is>
      </c>
      <c r="G51" s="32" t="inlineStr">
        <is>
          <t>med-low</t>
        </is>
      </c>
      <c r="H51" s="19" t="n">
        <v>1</v>
      </c>
      <c r="I51" s="33">
        <f>60*D51/cruise_kt</f>
        <v/>
      </c>
      <c r="J51" s="33">
        <f>I51+turn_min+dwell_min</f>
        <v/>
      </c>
      <c r="K51" s="34">
        <f>MIN(10,FLOOR(60*service_hr/J51,1))</f>
        <v/>
      </c>
      <c r="L51" s="34">
        <f>ROUND(365*mech_uptime*H51,0)</f>
        <v/>
      </c>
      <c r="M51" s="35">
        <f>mech_uptime</f>
        <v/>
      </c>
      <c r="N51" s="35">
        <f>revleg_sel</f>
        <v/>
      </c>
      <c r="O51" s="34">
        <f>ROUND(K51*L51*revleg_sel,0)</f>
        <v/>
      </c>
      <c r="P51" s="36">
        <f>load_sel</f>
        <v/>
      </c>
      <c r="Q51" s="36">
        <f>pax_cap*P51</f>
        <v/>
      </c>
      <c r="R51" s="34">
        <f>Q51*O51</f>
        <v/>
      </c>
      <c r="S51" s="37">
        <f>E51*discount</f>
        <v/>
      </c>
      <c r="T51" s="38">
        <f>S51*R51</f>
        <v/>
      </c>
      <c r="U51" s="38">
        <f>(battery/range_nm)*D51*O51*VLOOKUP(B51,country_opex,3,FALSE)</f>
        <v/>
      </c>
      <c r="V51" s="38">
        <f>VLOOKUP(B51,country_opex,2,FALSE)*crew_factor</f>
        <v/>
      </c>
      <c r="W51" s="38">
        <f>VLOOKUP(B51,country_opex,5,FALSE)</f>
        <v/>
      </c>
      <c r="X51" s="38">
        <f>maint</f>
        <v/>
      </c>
      <c r="Y51" s="38">
        <f>VLOOKUP(B51,country_opex,7,FALSE)*ins_pct</f>
        <v/>
      </c>
      <c r="Z51" s="38">
        <f>charge_berth</f>
        <v/>
      </c>
      <c r="AA51" s="38">
        <f>U51+V51+W51+X51+Y51+Z51</f>
        <v/>
      </c>
      <c r="AB51" s="38">
        <f>VLOOKUP(B51,country_opex,7,FALSE)/dep_years</f>
        <v/>
      </c>
      <c r="AC51" s="38">
        <f>T51-AA51</f>
        <v/>
      </c>
      <c r="AD51" s="35">
        <f>IF(T51=0,"",AC51/T51)</f>
        <v/>
      </c>
      <c r="AE51" s="36">
        <f>IF(AC51&lt;=0,"",VLOOKUP(B51,country_opex,7,FALSE)/AC51)</f>
        <v/>
      </c>
      <c r="AF51" s="33">
        <f>((D51*O51/diesel_nmpg)*diesel_co2pg-(battery/range_nm)*D51*O51*VLOOKUP(B51,country_opex,4,FALSE))/1000</f>
        <v/>
      </c>
      <c r="AG51" s="31" t="n">
        <v>11250</v>
      </c>
      <c r="AH51" s="32" t="inlineStr">
        <is>
          <t>T3</t>
        </is>
      </c>
      <c r="AI51" s="32" t="inlineStr">
        <is>
          <t>med-low</t>
        </is>
      </c>
      <c r="AJ51" s="39" t="n">
        <v>0.1</v>
      </c>
      <c r="AK51" s="34">
        <f>IF(AG51="","",AG51*AJ51)</f>
        <v/>
      </c>
      <c r="AL51" s="34">
        <f>IF(OR(AG51="",R51=0),"",MIN(IF(AS51="",9.9E+99,AS51),FLOOR(AK51/R51,1)))</f>
        <v/>
      </c>
      <c r="AM51" s="38">
        <f>IF(AL51="","",AL51*T51)</f>
        <v/>
      </c>
      <c r="AN51" s="36">
        <f>IF(OR(AG51="",R51=0),"",MIN(IF(AS51="",9.9E+99,AS51),AK51/R51))</f>
        <v/>
      </c>
      <c r="AO51" s="38">
        <f>IF(AN51="","",AN51*T51)</f>
        <v/>
      </c>
      <c r="AP51" s="40" t="n"/>
      <c r="AQ51" s="41" t="n"/>
      <c r="AR51" s="41" t="n"/>
      <c r="AS51" s="42" t="n"/>
      <c r="AT51" s="43">
        <f>IF(((S51*pax_cap*load_thin*ROUND(K51*L51*revleg_thin,0))-(((battery/range_nm)*D51*ROUND(K51*L51*revleg_thin,0)*VLOOKUP(B51,country_opex,3,FALSE))+V51+W51+X51+Y51+Z51))&lt;=0,"",VLOOKUP(B51,country_opex,7,FALSE)/((S51*pax_cap*load_thin*ROUND(K51*L51*revleg_thin,0))-(((battery/range_nm)*D51*ROUND(K51*L51*revleg_thin,0)*VLOOKUP(B51,country_opex,3,FALSE))+V51+W51+X51+Y51+Z51)))</f>
        <v/>
      </c>
      <c r="AU51" s="43">
        <f>IF(((S51*pax_cap*load_mid*ROUND(K51*L51*revleg_mid,0))-(((battery/range_nm)*D51*ROUND(K51*L51*revleg_mid,0)*VLOOKUP(B51,country_opex,3,FALSE))+V51+W51+X51+Y51+Z51))&lt;=0,"",VLOOKUP(B51,country_opex,7,FALSE)/((S51*pax_cap*load_mid*ROUND(K51*L51*revleg_mid,0))-(((battery/range_nm)*D51*ROUND(K51*L51*revleg_mid,0)*VLOOKUP(B51,country_opex,3,FALSE))+V51+W51+X51+Y51+Z51)))</f>
        <v/>
      </c>
      <c r="AV51" s="43">
        <f>IF(((S51*pax_cap*load_full*ROUND(K51*L51*revleg_full,0))-(((battery/range_nm)*D51*ROUND(K51*L51*revleg_full,0)*VLOOKUP(B51,country_opex,3,FALSE))+V51+W51+X51+Y51+Z51))&lt;=0,"",VLOOKUP(B51,country_opex,7,FALSE)/((S51*pax_cap*load_full*ROUND(K51*L51*revleg_full,0))-(((battery/range_nm)*D51*ROUND(K51*L51*revleg_full,0)*VLOOKUP(B51,country_opex,3,FALSE))+V51+W51+X51+Y51+Z51)))</f>
        <v/>
      </c>
      <c r="AW51" s="44" t="inlineStr">
        <is>
          <t>handoff/INDIA-ECONOMICS-SIDECAR-V0-2026-06-20.json (goa)</t>
        </is>
      </c>
      <c r="AX51" s="44" t="inlineStr">
        <is>
          <t>handoff/INDIA-ECONOMICS-SIDECAR-V0-2026-06-20.json (goa)</t>
        </is>
      </c>
    </row>
    <row r="52">
      <c r="A52" s="29" t="inlineStr">
        <is>
          <t>India Kerala Rapido</t>
        </is>
      </c>
      <c r="B52" s="29" t="inlineStr">
        <is>
          <t>India</t>
        </is>
      </c>
      <c r="C52" s="30" t="inlineStr">
        <is>
          <t>Keltron Ferry → Sailing Club House</t>
        </is>
      </c>
      <c r="D52" s="31" t="n">
        <v>2.8</v>
      </c>
      <c r="E52" s="26" t="n">
        <v>18</v>
      </c>
      <c r="F52" s="32" t="inlineStr">
        <is>
          <t>T3</t>
        </is>
      </c>
      <c r="G52" s="32" t="inlineStr">
        <is>
          <t>med-low</t>
        </is>
      </c>
      <c r="H52" s="19" t="n">
        <v>1</v>
      </c>
      <c r="I52" s="33">
        <f>60*D52/cruise_kt</f>
        <v/>
      </c>
      <c r="J52" s="33">
        <f>I52+turn_min+dwell_min</f>
        <v/>
      </c>
      <c r="K52" s="34">
        <f>MIN(10,FLOOR(60*service_hr/J52,1))</f>
        <v/>
      </c>
      <c r="L52" s="34">
        <f>ROUND(365*mech_uptime*H52,0)</f>
        <v/>
      </c>
      <c r="M52" s="35">
        <f>mech_uptime</f>
        <v/>
      </c>
      <c r="N52" s="35">
        <f>revleg_sel</f>
        <v/>
      </c>
      <c r="O52" s="34">
        <f>ROUND(K52*L52*revleg_sel,0)</f>
        <v/>
      </c>
      <c r="P52" s="36">
        <f>load_sel</f>
        <v/>
      </c>
      <c r="Q52" s="36">
        <f>pax_cap*P52</f>
        <v/>
      </c>
      <c r="R52" s="34">
        <f>Q52*O52</f>
        <v/>
      </c>
      <c r="S52" s="37">
        <f>E52*discount</f>
        <v/>
      </c>
      <c r="T52" s="38">
        <f>S52*R52</f>
        <v/>
      </c>
      <c r="U52" s="38">
        <f>(battery/range_nm)*D52*O52*VLOOKUP(B52,country_opex,3,FALSE)</f>
        <v/>
      </c>
      <c r="V52" s="38">
        <f>VLOOKUP(B52,country_opex,2,FALSE)*crew_factor</f>
        <v/>
      </c>
      <c r="W52" s="38">
        <f>VLOOKUP(B52,country_opex,5,FALSE)</f>
        <v/>
      </c>
      <c r="X52" s="38">
        <f>maint</f>
        <v/>
      </c>
      <c r="Y52" s="38">
        <f>VLOOKUP(B52,country_opex,7,FALSE)*ins_pct</f>
        <v/>
      </c>
      <c r="Z52" s="38">
        <f>charge_berth</f>
        <v/>
      </c>
      <c r="AA52" s="38">
        <f>U52+V52+W52+X52+Y52+Z52</f>
        <v/>
      </c>
      <c r="AB52" s="38">
        <f>VLOOKUP(B52,country_opex,7,FALSE)/dep_years</f>
        <v/>
      </c>
      <c r="AC52" s="38">
        <f>T52-AA52</f>
        <v/>
      </c>
      <c r="AD52" s="35">
        <f>IF(T52=0,"",AC52/T52)</f>
        <v/>
      </c>
      <c r="AE52" s="36">
        <f>IF(AC52&lt;=0,"",VLOOKUP(B52,country_opex,7,FALSE)/AC52)</f>
        <v/>
      </c>
      <c r="AF52" s="33">
        <f>((D52*O52/diesel_nmpg)*diesel_co2pg-(battery/range_nm)*D52*O52*VLOOKUP(B52,country_opex,4,FALSE))/1000</f>
        <v/>
      </c>
      <c r="AG52" s="31" t="n">
        <v>29166</v>
      </c>
      <c r="AH52" s="32" t="inlineStr">
        <is>
          <t>T3</t>
        </is>
      </c>
      <c r="AI52" s="32" t="inlineStr">
        <is>
          <t>med-low</t>
        </is>
      </c>
      <c r="AJ52" s="39" t="n">
        <v>0.1</v>
      </c>
      <c r="AK52" s="34">
        <f>IF(AG52="","",AG52*AJ52)</f>
        <v/>
      </c>
      <c r="AL52" s="34">
        <f>IF(OR(AG52="",R52=0),"",MIN(IF(AS52="",9.9E+99,AS52),FLOOR(AK52/R52,1)))</f>
        <v/>
      </c>
      <c r="AM52" s="38">
        <f>IF(AL52="","",AL52*T52)</f>
        <v/>
      </c>
      <c r="AN52" s="36">
        <f>IF(OR(AG52="",R52=0),"",MIN(IF(AS52="",9.9E+99,AS52),AK52/R52))</f>
        <v/>
      </c>
      <c r="AO52" s="38">
        <f>IF(AN52="","",AN52*T52)</f>
        <v/>
      </c>
      <c r="AP52" s="40" t="n"/>
      <c r="AQ52" s="41" t="n"/>
      <c r="AR52" s="41" t="n"/>
      <c r="AS52" s="42" t="n"/>
      <c r="AT52" s="43">
        <f>IF(((S52*pax_cap*load_thin*ROUND(K52*L52*revleg_thin,0))-(((battery/range_nm)*D52*ROUND(K52*L52*revleg_thin,0)*VLOOKUP(B52,country_opex,3,FALSE))+V52+W52+X52+Y52+Z52))&lt;=0,"",VLOOKUP(B52,country_opex,7,FALSE)/((S52*pax_cap*load_thin*ROUND(K52*L52*revleg_thin,0))-(((battery/range_nm)*D52*ROUND(K52*L52*revleg_thin,0)*VLOOKUP(B52,country_opex,3,FALSE))+V52+W52+X52+Y52+Z52)))</f>
        <v/>
      </c>
      <c r="AU52" s="43">
        <f>IF(((S52*pax_cap*load_mid*ROUND(K52*L52*revleg_mid,0))-(((battery/range_nm)*D52*ROUND(K52*L52*revleg_mid,0)*VLOOKUP(B52,country_opex,3,FALSE))+V52+W52+X52+Y52+Z52))&lt;=0,"",VLOOKUP(B52,country_opex,7,FALSE)/((S52*pax_cap*load_mid*ROUND(K52*L52*revleg_mid,0))-(((battery/range_nm)*D52*ROUND(K52*L52*revleg_mid,0)*VLOOKUP(B52,country_opex,3,FALSE))+V52+W52+X52+Y52+Z52)))</f>
        <v/>
      </c>
      <c r="AV52" s="43">
        <f>IF(((S52*pax_cap*load_full*ROUND(K52*L52*revleg_full,0))-(((battery/range_nm)*D52*ROUND(K52*L52*revleg_full,0)*VLOOKUP(B52,country_opex,3,FALSE))+V52+W52+X52+Y52+Z52))&lt;=0,"",VLOOKUP(B52,country_opex,7,FALSE)/((S52*pax_cap*load_full*ROUND(K52*L52*revleg_full,0))-(((battery/range_nm)*D52*ROUND(K52*L52*revleg_full,0)*VLOOKUP(B52,country_opex,3,FALSE))+V52+W52+X52+Y52+Z52)))</f>
        <v/>
      </c>
      <c r="AW52" s="44" t="inlineStr">
        <is>
          <t>[LB-255 PREMIUM RE-FARE: subsidized comparable $3.5 lifted to premium on-demand floor $18.0] handoff/INDIA-ECONOMICS-SIDECAR-V0-2026-06-20.json (kerala)</t>
        </is>
      </c>
      <c r="AX52" s="44" t="inlineStr">
        <is>
          <t>handoff/INDIA-ECONOMICS-SIDECAR-V0-2026-06-20.json (kerala)</t>
        </is>
      </c>
    </row>
    <row r="53">
      <c r="A53" s="29" t="inlineStr">
        <is>
          <t>India Mumbai Rapido</t>
        </is>
      </c>
      <c r="B53" s="29" t="inlineStr">
        <is>
          <t>India</t>
        </is>
      </c>
      <c r="C53" s="30" t="inlineStr">
        <is>
          <t>Bhaucha Dhakka → Bombay Harbour</t>
        </is>
      </c>
      <c r="D53" s="31" t="n">
        <v>2.8</v>
      </c>
      <c r="E53" s="26" t="n">
        <v>18</v>
      </c>
      <c r="F53" s="32" t="inlineStr">
        <is>
          <t>T3</t>
        </is>
      </c>
      <c r="G53" s="32" t="inlineStr">
        <is>
          <t>med-low</t>
        </is>
      </c>
      <c r="H53" s="19" t="n">
        <v>1</v>
      </c>
      <c r="I53" s="33">
        <f>60*D53/cruise_kt</f>
        <v/>
      </c>
      <c r="J53" s="33">
        <f>I53+turn_min+dwell_min</f>
        <v/>
      </c>
      <c r="K53" s="34">
        <f>MIN(10,FLOOR(60*service_hr/J53,1))</f>
        <v/>
      </c>
      <c r="L53" s="34">
        <f>ROUND(365*mech_uptime*H53,0)</f>
        <v/>
      </c>
      <c r="M53" s="35">
        <f>mech_uptime</f>
        <v/>
      </c>
      <c r="N53" s="35">
        <f>revleg_sel</f>
        <v/>
      </c>
      <c r="O53" s="34">
        <f>ROUND(K53*L53*revleg_sel,0)</f>
        <v/>
      </c>
      <c r="P53" s="36">
        <f>load_sel</f>
        <v/>
      </c>
      <c r="Q53" s="36">
        <f>pax_cap*P53</f>
        <v/>
      </c>
      <c r="R53" s="34">
        <f>Q53*O53</f>
        <v/>
      </c>
      <c r="S53" s="37">
        <f>E53*discount</f>
        <v/>
      </c>
      <c r="T53" s="38">
        <f>S53*R53</f>
        <v/>
      </c>
      <c r="U53" s="38">
        <f>(battery/range_nm)*D53*O53*VLOOKUP(B53,country_opex,3,FALSE)</f>
        <v/>
      </c>
      <c r="V53" s="38">
        <f>VLOOKUP(B53,country_opex,2,FALSE)*crew_factor</f>
        <v/>
      </c>
      <c r="W53" s="38">
        <f>VLOOKUP(B53,country_opex,5,FALSE)</f>
        <v/>
      </c>
      <c r="X53" s="38">
        <f>maint</f>
        <v/>
      </c>
      <c r="Y53" s="38">
        <f>VLOOKUP(B53,country_opex,7,FALSE)*ins_pct</f>
        <v/>
      </c>
      <c r="Z53" s="38">
        <f>charge_berth</f>
        <v/>
      </c>
      <c r="AA53" s="38">
        <f>U53+V53+W53+X53+Y53+Z53</f>
        <v/>
      </c>
      <c r="AB53" s="38">
        <f>VLOOKUP(B53,country_opex,7,FALSE)/dep_years</f>
        <v/>
      </c>
      <c r="AC53" s="38">
        <f>T53-AA53</f>
        <v/>
      </c>
      <c r="AD53" s="35">
        <f>IF(T53=0,"",AC53/T53)</f>
        <v/>
      </c>
      <c r="AE53" s="36">
        <f>IF(AC53&lt;=0,"",VLOOKUP(B53,country_opex,7,FALSE)/AC53)</f>
        <v/>
      </c>
      <c r="AF53" s="33">
        <f>((D53*O53/diesel_nmpg)*diesel_co2pg-(battery/range_nm)*D53*O53*VLOOKUP(B53,country_opex,4,FALSE))/1000</f>
        <v/>
      </c>
      <c r="AG53" s="31" t="n">
        <v>5000</v>
      </c>
      <c r="AH53" s="32" t="inlineStr">
        <is>
          <t>T3</t>
        </is>
      </c>
      <c r="AI53" s="32" t="inlineStr">
        <is>
          <t>med-low</t>
        </is>
      </c>
      <c r="AJ53" s="39" t="n">
        <v>0.1</v>
      </c>
      <c r="AK53" s="34">
        <f>IF(AG53="","",AG53*AJ53)</f>
        <v/>
      </c>
      <c r="AL53" s="34">
        <f>IF(OR(AG53="",R53=0),"",MIN(IF(AS53="",9.9E+99,AS53),FLOOR(AK53/R53,1)))</f>
        <v/>
      </c>
      <c r="AM53" s="38">
        <f>IF(AL53="","",AL53*T53)</f>
        <v/>
      </c>
      <c r="AN53" s="36">
        <f>IF(OR(AG53="",R53=0),"",MIN(IF(AS53="",9.9E+99,AS53),AK53/R53))</f>
        <v/>
      </c>
      <c r="AO53" s="38">
        <f>IF(AN53="","",AN53*T53)</f>
        <v/>
      </c>
      <c r="AP53" s="40" t="n"/>
      <c r="AQ53" s="41" t="n"/>
      <c r="AR53" s="41" t="n"/>
      <c r="AS53" s="42" t="n"/>
      <c r="AT53" s="43">
        <f>IF(((S53*pax_cap*load_thin*ROUND(K53*L53*revleg_thin,0))-(((battery/range_nm)*D53*ROUND(K53*L53*revleg_thin,0)*VLOOKUP(B53,country_opex,3,FALSE))+V53+W53+X53+Y53+Z53))&lt;=0,"",VLOOKUP(B53,country_opex,7,FALSE)/((S53*pax_cap*load_thin*ROUND(K53*L53*revleg_thin,0))-(((battery/range_nm)*D53*ROUND(K53*L53*revleg_thin,0)*VLOOKUP(B53,country_opex,3,FALSE))+V53+W53+X53+Y53+Z53)))</f>
        <v/>
      </c>
      <c r="AU53" s="43">
        <f>IF(((S53*pax_cap*load_mid*ROUND(K53*L53*revleg_mid,0))-(((battery/range_nm)*D53*ROUND(K53*L53*revleg_mid,0)*VLOOKUP(B53,country_opex,3,FALSE))+V53+W53+X53+Y53+Z53))&lt;=0,"",VLOOKUP(B53,country_opex,7,FALSE)/((S53*pax_cap*load_mid*ROUND(K53*L53*revleg_mid,0))-(((battery/range_nm)*D53*ROUND(K53*L53*revleg_mid,0)*VLOOKUP(B53,country_opex,3,FALSE))+V53+W53+X53+Y53+Z53)))</f>
        <v/>
      </c>
      <c r="AV53" s="43">
        <f>IF(((S53*pax_cap*load_full*ROUND(K53*L53*revleg_full,0))-(((battery/range_nm)*D53*ROUND(K53*L53*revleg_full,0)*VLOOKUP(B53,country_opex,3,FALSE))+V53+W53+X53+Y53+Z53))&lt;=0,"",VLOOKUP(B53,country_opex,7,FALSE)/((S53*pax_cap*load_full*ROUND(K53*L53*revleg_full,0))-(((battery/range_nm)*D53*ROUND(K53*L53*revleg_full,0)*VLOOKUP(B53,country_opex,3,FALSE))+V53+W53+X53+Y53+Z53)))</f>
        <v/>
      </c>
      <c r="AW53" s="44" t="inlineStr">
        <is>
          <t>[LB-255 PREMIUM RE-FARE: subsidized comparable $5.5 lifted to premium on-demand floor $18.0] handoff/INDIA-ECONOMICS-SIDECAR-V0-2026-06-20.json (mumbai)</t>
        </is>
      </c>
      <c r="AX53" s="44" t="inlineStr">
        <is>
          <t>handoff/INDIA-ECONOMICS-SIDECAR-V0-2026-06-20.json (mumbai)</t>
        </is>
      </c>
    </row>
    <row r="54">
      <c r="A54" s="29" t="inlineStr">
        <is>
          <t>India Mumbai Rapido</t>
        </is>
      </c>
      <c r="B54" s="29" t="inlineStr">
        <is>
          <t>India</t>
        </is>
      </c>
      <c r="C54" s="30" t="inlineStr">
        <is>
          <t>Pirpau Jetty → JNPT Ferry Service</t>
        </is>
      </c>
      <c r="D54" s="31" t="n">
        <v>2.9</v>
      </c>
      <c r="E54" s="26" t="n">
        <v>18</v>
      </c>
      <c r="F54" s="32" t="inlineStr">
        <is>
          <t>T3</t>
        </is>
      </c>
      <c r="G54" s="32" t="inlineStr">
        <is>
          <t>med-low</t>
        </is>
      </c>
      <c r="H54" s="19" t="n">
        <v>1</v>
      </c>
      <c r="I54" s="33">
        <f>60*D54/cruise_kt</f>
        <v/>
      </c>
      <c r="J54" s="33">
        <f>I54+turn_min+dwell_min</f>
        <v/>
      </c>
      <c r="K54" s="34">
        <f>MIN(10,FLOOR(60*service_hr/J54,1))</f>
        <v/>
      </c>
      <c r="L54" s="34">
        <f>ROUND(365*mech_uptime*H54,0)</f>
        <v/>
      </c>
      <c r="M54" s="35">
        <f>mech_uptime</f>
        <v/>
      </c>
      <c r="N54" s="35">
        <f>revleg_sel</f>
        <v/>
      </c>
      <c r="O54" s="34">
        <f>ROUND(K54*L54*revleg_sel,0)</f>
        <v/>
      </c>
      <c r="P54" s="36">
        <f>load_sel</f>
        <v/>
      </c>
      <c r="Q54" s="36">
        <f>pax_cap*P54</f>
        <v/>
      </c>
      <c r="R54" s="34">
        <f>Q54*O54</f>
        <v/>
      </c>
      <c r="S54" s="37">
        <f>E54*discount</f>
        <v/>
      </c>
      <c r="T54" s="38">
        <f>S54*R54</f>
        <v/>
      </c>
      <c r="U54" s="38">
        <f>(battery/range_nm)*D54*O54*VLOOKUP(B54,country_opex,3,FALSE)</f>
        <v/>
      </c>
      <c r="V54" s="38">
        <f>VLOOKUP(B54,country_opex,2,FALSE)*crew_factor</f>
        <v/>
      </c>
      <c r="W54" s="38">
        <f>VLOOKUP(B54,country_opex,5,FALSE)</f>
        <v/>
      </c>
      <c r="X54" s="38">
        <f>maint</f>
        <v/>
      </c>
      <c r="Y54" s="38">
        <f>VLOOKUP(B54,country_opex,7,FALSE)*ins_pct</f>
        <v/>
      </c>
      <c r="Z54" s="38">
        <f>charge_berth</f>
        <v/>
      </c>
      <c r="AA54" s="38">
        <f>U54+V54+W54+X54+Y54+Z54</f>
        <v/>
      </c>
      <c r="AB54" s="38">
        <f>VLOOKUP(B54,country_opex,7,FALSE)/dep_years</f>
        <v/>
      </c>
      <c r="AC54" s="38">
        <f>T54-AA54</f>
        <v/>
      </c>
      <c r="AD54" s="35">
        <f>IF(T54=0,"",AC54/T54)</f>
        <v/>
      </c>
      <c r="AE54" s="36">
        <f>IF(AC54&lt;=0,"",VLOOKUP(B54,country_opex,7,FALSE)/AC54)</f>
        <v/>
      </c>
      <c r="AF54" s="33">
        <f>((D54*O54/diesel_nmpg)*diesel_co2pg-(battery/range_nm)*D54*O54*VLOOKUP(B54,country_opex,4,FALSE))/1000</f>
        <v/>
      </c>
      <c r="AG54" s="31" t="n">
        <v>5000</v>
      </c>
      <c r="AH54" s="32" t="inlineStr">
        <is>
          <t>T3</t>
        </is>
      </c>
      <c r="AI54" s="32" t="inlineStr">
        <is>
          <t>med-low</t>
        </is>
      </c>
      <c r="AJ54" s="39" t="n">
        <v>0.1</v>
      </c>
      <c r="AK54" s="34">
        <f>IF(AG54="","",AG54*AJ54)</f>
        <v/>
      </c>
      <c r="AL54" s="34">
        <f>IF(OR(AG54="",R54=0),"",MIN(IF(AS54="",9.9E+99,AS54),FLOOR(AK54/R54,1)))</f>
        <v/>
      </c>
      <c r="AM54" s="38">
        <f>IF(AL54="","",AL54*T54)</f>
        <v/>
      </c>
      <c r="AN54" s="36">
        <f>IF(OR(AG54="",R54=0),"",MIN(IF(AS54="",9.9E+99,AS54),AK54/R54))</f>
        <v/>
      </c>
      <c r="AO54" s="38">
        <f>IF(AN54="","",AN54*T54)</f>
        <v/>
      </c>
      <c r="AP54" s="40" t="n"/>
      <c r="AQ54" s="41" t="n"/>
      <c r="AR54" s="41" t="n"/>
      <c r="AS54" s="42" t="n"/>
      <c r="AT54" s="43">
        <f>IF(((S54*pax_cap*load_thin*ROUND(K54*L54*revleg_thin,0))-(((battery/range_nm)*D54*ROUND(K54*L54*revleg_thin,0)*VLOOKUP(B54,country_opex,3,FALSE))+V54+W54+X54+Y54+Z54))&lt;=0,"",VLOOKUP(B54,country_opex,7,FALSE)/((S54*pax_cap*load_thin*ROUND(K54*L54*revleg_thin,0))-(((battery/range_nm)*D54*ROUND(K54*L54*revleg_thin,0)*VLOOKUP(B54,country_opex,3,FALSE))+V54+W54+X54+Y54+Z54)))</f>
        <v/>
      </c>
      <c r="AU54" s="43">
        <f>IF(((S54*pax_cap*load_mid*ROUND(K54*L54*revleg_mid,0))-(((battery/range_nm)*D54*ROUND(K54*L54*revleg_mid,0)*VLOOKUP(B54,country_opex,3,FALSE))+V54+W54+X54+Y54+Z54))&lt;=0,"",VLOOKUP(B54,country_opex,7,FALSE)/((S54*pax_cap*load_mid*ROUND(K54*L54*revleg_mid,0))-(((battery/range_nm)*D54*ROUND(K54*L54*revleg_mid,0)*VLOOKUP(B54,country_opex,3,FALSE))+V54+W54+X54+Y54+Z54)))</f>
        <v/>
      </c>
      <c r="AV54" s="43">
        <f>IF(((S54*pax_cap*load_full*ROUND(K54*L54*revleg_full,0))-(((battery/range_nm)*D54*ROUND(K54*L54*revleg_full,0)*VLOOKUP(B54,country_opex,3,FALSE))+V54+W54+X54+Y54+Z54))&lt;=0,"",VLOOKUP(B54,country_opex,7,FALSE)/((S54*pax_cap*load_full*ROUND(K54*L54*revleg_full,0))-(((battery/range_nm)*D54*ROUND(K54*L54*revleg_full,0)*VLOOKUP(B54,country_opex,3,FALSE))+V54+W54+X54+Y54+Z54)))</f>
        <v/>
      </c>
      <c r="AW54" s="44" t="inlineStr">
        <is>
          <t>[LB-255 PREMIUM RE-FARE: subsidized comparable $5.5 lifted to premium on-demand floor $18.0] handoff/INDIA-ECONOMICS-SIDECAR-V0-2026-06-20.json (mumbai)</t>
        </is>
      </c>
      <c r="AX54" s="44" t="inlineStr">
        <is>
          <t>handoff/INDIA-ECONOMICS-SIDECAR-V0-2026-06-20.json (mumbai)</t>
        </is>
      </c>
    </row>
    <row r="55">
      <c r="A55" s="29" t="inlineStr">
        <is>
          <t>India Andaman Rapido</t>
        </is>
      </c>
      <c r="B55" s="29" t="inlineStr">
        <is>
          <t>India</t>
        </is>
      </c>
      <c r="C55" s="30" t="inlineStr">
        <is>
          <t>Bambooflat Jetty → Panighat Ferry Jetty</t>
        </is>
      </c>
      <c r="D55" s="31" t="n">
        <v>3</v>
      </c>
      <c r="E55" s="26" t="n">
        <v>22</v>
      </c>
      <c r="F55" s="32" t="inlineStr">
        <is>
          <t>T3</t>
        </is>
      </c>
      <c r="G55" s="32" t="inlineStr">
        <is>
          <t>med-low</t>
        </is>
      </c>
      <c r="H55" s="19" t="n">
        <v>1</v>
      </c>
      <c r="I55" s="33">
        <f>60*D55/cruise_kt</f>
        <v/>
      </c>
      <c r="J55" s="33">
        <f>I55+turn_min+dwell_min</f>
        <v/>
      </c>
      <c r="K55" s="34">
        <f>MIN(10,FLOOR(60*service_hr/J55,1))</f>
        <v/>
      </c>
      <c r="L55" s="34">
        <f>ROUND(365*mech_uptime*H55,0)</f>
        <v/>
      </c>
      <c r="M55" s="35">
        <f>mech_uptime</f>
        <v/>
      </c>
      <c r="N55" s="35">
        <f>revleg_sel</f>
        <v/>
      </c>
      <c r="O55" s="34">
        <f>ROUND(K55*L55*revleg_sel,0)</f>
        <v/>
      </c>
      <c r="P55" s="36">
        <f>load_sel</f>
        <v/>
      </c>
      <c r="Q55" s="36">
        <f>pax_cap*P55</f>
        <v/>
      </c>
      <c r="R55" s="34">
        <f>Q55*O55</f>
        <v/>
      </c>
      <c r="S55" s="37">
        <f>E55*discount</f>
        <v/>
      </c>
      <c r="T55" s="38">
        <f>S55*R55</f>
        <v/>
      </c>
      <c r="U55" s="38">
        <f>(battery/range_nm)*D55*O55*VLOOKUP(B55,country_opex,3,FALSE)</f>
        <v/>
      </c>
      <c r="V55" s="38">
        <f>VLOOKUP(B55,country_opex,2,FALSE)*crew_factor</f>
        <v/>
      </c>
      <c r="W55" s="38">
        <f>VLOOKUP(B55,country_opex,5,FALSE)</f>
        <v/>
      </c>
      <c r="X55" s="38">
        <f>maint</f>
        <v/>
      </c>
      <c r="Y55" s="38">
        <f>VLOOKUP(B55,country_opex,7,FALSE)*ins_pct</f>
        <v/>
      </c>
      <c r="Z55" s="38">
        <f>charge_berth</f>
        <v/>
      </c>
      <c r="AA55" s="38">
        <f>U55+V55+W55+X55+Y55+Z55</f>
        <v/>
      </c>
      <c r="AB55" s="38">
        <f>VLOOKUP(B55,country_opex,7,FALSE)/dep_years</f>
        <v/>
      </c>
      <c r="AC55" s="38">
        <f>T55-AA55</f>
        <v/>
      </c>
      <c r="AD55" s="35">
        <f>IF(T55=0,"",AC55/T55)</f>
        <v/>
      </c>
      <c r="AE55" s="36">
        <f>IF(AC55&lt;=0,"",VLOOKUP(B55,country_opex,7,FALSE)/AC55)</f>
        <v/>
      </c>
      <c r="AF55" s="33">
        <f>((D55*O55/diesel_nmpg)*diesel_co2pg-(battery/range_nm)*D55*O55*VLOOKUP(B55,country_opex,4,FALSE))/1000</f>
        <v/>
      </c>
      <c r="AG55" s="31" t="n">
        <v>5000</v>
      </c>
      <c r="AH55" s="32" t="inlineStr">
        <is>
          <t>T3</t>
        </is>
      </c>
      <c r="AI55" s="32" t="inlineStr">
        <is>
          <t>med-low</t>
        </is>
      </c>
      <c r="AJ55" s="39" t="n">
        <v>0.1</v>
      </c>
      <c r="AK55" s="34">
        <f>IF(AG55="","",AG55*AJ55)</f>
        <v/>
      </c>
      <c r="AL55" s="34">
        <f>IF(OR(AG55="",R55=0),"",MIN(IF(AS55="",9.9E+99,AS55),FLOOR(AK55/R55,1)))</f>
        <v/>
      </c>
      <c r="AM55" s="38">
        <f>IF(AL55="","",AL55*T55)</f>
        <v/>
      </c>
      <c r="AN55" s="36">
        <f>IF(OR(AG55="",R55=0),"",MIN(IF(AS55="",9.9E+99,AS55),AK55/R55))</f>
        <v/>
      </c>
      <c r="AO55" s="38">
        <f>IF(AN55="","",AN55*T55)</f>
        <v/>
      </c>
      <c r="AP55" s="40" t="n"/>
      <c r="AQ55" s="41" t="n"/>
      <c r="AR55" s="41" t="n"/>
      <c r="AS55" s="42" t="n"/>
      <c r="AT55" s="43">
        <f>IF(((S55*pax_cap*load_thin*ROUND(K55*L55*revleg_thin,0))-(((battery/range_nm)*D55*ROUND(K55*L55*revleg_thin,0)*VLOOKUP(B55,country_opex,3,FALSE))+V55+W55+X55+Y55+Z55))&lt;=0,"",VLOOKUP(B55,country_opex,7,FALSE)/((S55*pax_cap*load_thin*ROUND(K55*L55*revleg_thin,0))-(((battery/range_nm)*D55*ROUND(K55*L55*revleg_thin,0)*VLOOKUP(B55,country_opex,3,FALSE))+V55+W55+X55+Y55+Z55)))</f>
        <v/>
      </c>
      <c r="AU55" s="43">
        <f>IF(((S55*pax_cap*load_mid*ROUND(K55*L55*revleg_mid,0))-(((battery/range_nm)*D55*ROUND(K55*L55*revleg_mid,0)*VLOOKUP(B55,country_opex,3,FALSE))+V55+W55+X55+Y55+Z55))&lt;=0,"",VLOOKUP(B55,country_opex,7,FALSE)/((S55*pax_cap*load_mid*ROUND(K55*L55*revleg_mid,0))-(((battery/range_nm)*D55*ROUND(K55*L55*revleg_mid,0)*VLOOKUP(B55,country_opex,3,FALSE))+V55+W55+X55+Y55+Z55)))</f>
        <v/>
      </c>
      <c r="AV55" s="43">
        <f>IF(((S55*pax_cap*load_full*ROUND(K55*L55*revleg_full,0))-(((battery/range_nm)*D55*ROUND(K55*L55*revleg_full,0)*VLOOKUP(B55,country_opex,3,FALSE))+V55+W55+X55+Y55+Z55))&lt;=0,"",VLOOKUP(B55,country_opex,7,FALSE)/((S55*pax_cap*load_full*ROUND(K55*L55*revleg_full,0))-(((battery/range_nm)*D55*ROUND(K55*L55*revleg_full,0)*VLOOKUP(B55,country_opex,3,FALSE))+V55+W55+X55+Y55+Z55)))</f>
        <v/>
      </c>
      <c r="AW55" s="44" t="inlineStr">
        <is>
          <t>handoff/INDIA-ECONOMICS-SIDECAR-V0-2026-06-20.json (andaman)</t>
        </is>
      </c>
      <c r="AX55" s="44" t="inlineStr">
        <is>
          <t>handoff/INDIA-ECONOMICS-SIDECAR-V0-2026-06-20.json (andaman)</t>
        </is>
      </c>
    </row>
    <row r="56">
      <c r="A56" s="29" t="inlineStr">
        <is>
          <t>India Goa Rapido</t>
        </is>
      </c>
      <c r="B56" s="29" t="inlineStr">
        <is>
          <t>India</t>
        </is>
      </c>
      <c r="C56" s="30" t="inlineStr">
        <is>
          <t>Yacht Life Goa → Camurlim Ferry Terminal</t>
        </is>
      </c>
      <c r="D56" s="31" t="n">
        <v>3.1</v>
      </c>
      <c r="E56" s="26" t="n">
        <v>8</v>
      </c>
      <c r="F56" s="32" t="inlineStr">
        <is>
          <t>T3</t>
        </is>
      </c>
      <c r="G56" s="32" t="inlineStr">
        <is>
          <t>med-low</t>
        </is>
      </c>
      <c r="H56" s="19" t="n">
        <v>1</v>
      </c>
      <c r="I56" s="33">
        <f>60*D56/cruise_kt</f>
        <v/>
      </c>
      <c r="J56" s="33">
        <f>I56+turn_min+dwell_min</f>
        <v/>
      </c>
      <c r="K56" s="34">
        <f>MIN(10,FLOOR(60*service_hr/J56,1))</f>
        <v/>
      </c>
      <c r="L56" s="34">
        <f>ROUND(365*mech_uptime*H56,0)</f>
        <v/>
      </c>
      <c r="M56" s="35">
        <f>mech_uptime</f>
        <v/>
      </c>
      <c r="N56" s="35">
        <f>revleg_sel</f>
        <v/>
      </c>
      <c r="O56" s="34">
        <f>ROUND(K56*L56*revleg_sel,0)</f>
        <v/>
      </c>
      <c r="P56" s="36">
        <f>load_sel</f>
        <v/>
      </c>
      <c r="Q56" s="36">
        <f>pax_cap*P56</f>
        <v/>
      </c>
      <c r="R56" s="34">
        <f>Q56*O56</f>
        <v/>
      </c>
      <c r="S56" s="37">
        <f>E56*discount</f>
        <v/>
      </c>
      <c r="T56" s="38">
        <f>S56*R56</f>
        <v/>
      </c>
      <c r="U56" s="38">
        <f>(battery/range_nm)*D56*O56*VLOOKUP(B56,country_opex,3,FALSE)</f>
        <v/>
      </c>
      <c r="V56" s="38">
        <f>VLOOKUP(B56,country_opex,2,FALSE)*crew_factor</f>
        <v/>
      </c>
      <c r="W56" s="38">
        <f>VLOOKUP(B56,country_opex,5,FALSE)</f>
        <v/>
      </c>
      <c r="X56" s="38">
        <f>maint</f>
        <v/>
      </c>
      <c r="Y56" s="38">
        <f>VLOOKUP(B56,country_opex,7,FALSE)*ins_pct</f>
        <v/>
      </c>
      <c r="Z56" s="38">
        <f>charge_berth</f>
        <v/>
      </c>
      <c r="AA56" s="38">
        <f>U56+V56+W56+X56+Y56+Z56</f>
        <v/>
      </c>
      <c r="AB56" s="38">
        <f>VLOOKUP(B56,country_opex,7,FALSE)/dep_years</f>
        <v/>
      </c>
      <c r="AC56" s="38">
        <f>T56-AA56</f>
        <v/>
      </c>
      <c r="AD56" s="35">
        <f>IF(T56=0,"",AC56/T56)</f>
        <v/>
      </c>
      <c r="AE56" s="36">
        <f>IF(AC56&lt;=0,"",VLOOKUP(B56,country_opex,7,FALSE)/AC56)</f>
        <v/>
      </c>
      <c r="AF56" s="33">
        <f>((D56*O56/diesel_nmpg)*diesel_co2pg-(battery/range_nm)*D56*O56*VLOOKUP(B56,country_opex,4,FALSE))/1000</f>
        <v/>
      </c>
      <c r="AG56" s="31" t="n">
        <v>11250</v>
      </c>
      <c r="AH56" s="32" t="inlineStr">
        <is>
          <t>T3</t>
        </is>
      </c>
      <c r="AI56" s="32" t="inlineStr">
        <is>
          <t>med-low</t>
        </is>
      </c>
      <c r="AJ56" s="39" t="n">
        <v>0.1</v>
      </c>
      <c r="AK56" s="34">
        <f>IF(AG56="","",AG56*AJ56)</f>
        <v/>
      </c>
      <c r="AL56" s="34">
        <f>IF(OR(AG56="",R56=0),"",MIN(IF(AS56="",9.9E+99,AS56),FLOOR(AK56/R56,1)))</f>
        <v/>
      </c>
      <c r="AM56" s="38">
        <f>IF(AL56="","",AL56*T56)</f>
        <v/>
      </c>
      <c r="AN56" s="36">
        <f>IF(OR(AG56="",R56=0),"",MIN(IF(AS56="",9.9E+99,AS56),AK56/R56))</f>
        <v/>
      </c>
      <c r="AO56" s="38">
        <f>IF(AN56="","",AN56*T56)</f>
        <v/>
      </c>
      <c r="AP56" s="40" t="n"/>
      <c r="AQ56" s="41" t="n"/>
      <c r="AR56" s="41" t="n"/>
      <c r="AS56" s="42" t="n"/>
      <c r="AT56" s="43">
        <f>IF(((S56*pax_cap*load_thin*ROUND(K56*L56*revleg_thin,0))-(((battery/range_nm)*D56*ROUND(K56*L56*revleg_thin,0)*VLOOKUP(B56,country_opex,3,FALSE))+V56+W56+X56+Y56+Z56))&lt;=0,"",VLOOKUP(B56,country_opex,7,FALSE)/((S56*pax_cap*load_thin*ROUND(K56*L56*revleg_thin,0))-(((battery/range_nm)*D56*ROUND(K56*L56*revleg_thin,0)*VLOOKUP(B56,country_opex,3,FALSE))+V56+W56+X56+Y56+Z56)))</f>
        <v/>
      </c>
      <c r="AU56" s="43">
        <f>IF(((S56*pax_cap*load_mid*ROUND(K56*L56*revleg_mid,0))-(((battery/range_nm)*D56*ROUND(K56*L56*revleg_mid,0)*VLOOKUP(B56,country_opex,3,FALSE))+V56+W56+X56+Y56+Z56))&lt;=0,"",VLOOKUP(B56,country_opex,7,FALSE)/((S56*pax_cap*load_mid*ROUND(K56*L56*revleg_mid,0))-(((battery/range_nm)*D56*ROUND(K56*L56*revleg_mid,0)*VLOOKUP(B56,country_opex,3,FALSE))+V56+W56+X56+Y56+Z56)))</f>
        <v/>
      </c>
      <c r="AV56" s="43">
        <f>IF(((S56*pax_cap*load_full*ROUND(K56*L56*revleg_full,0))-(((battery/range_nm)*D56*ROUND(K56*L56*revleg_full,0)*VLOOKUP(B56,country_opex,3,FALSE))+V56+W56+X56+Y56+Z56))&lt;=0,"",VLOOKUP(B56,country_opex,7,FALSE)/((S56*pax_cap*load_full*ROUND(K56*L56*revleg_full,0))-(((battery/range_nm)*D56*ROUND(K56*L56*revleg_full,0)*VLOOKUP(B56,country_opex,3,FALSE))+V56+W56+X56+Y56+Z56)))</f>
        <v/>
      </c>
      <c r="AW56" s="44" t="inlineStr">
        <is>
          <t>handoff/INDIA-ECONOMICS-SIDECAR-V0-2026-06-20.json (goa)</t>
        </is>
      </c>
      <c r="AX56" s="44" t="inlineStr">
        <is>
          <t>handoff/INDIA-ECONOMICS-SIDECAR-V0-2026-06-20.json (goa)</t>
        </is>
      </c>
    </row>
    <row r="57">
      <c r="A57" s="29" t="inlineStr">
        <is>
          <t>India Goa Rapido</t>
        </is>
      </c>
      <c r="B57" s="29" t="inlineStr">
        <is>
          <t>India</t>
        </is>
      </c>
      <c r="C57" s="30" t="inlineStr">
        <is>
          <t>Yacht Life Goa → Tuem Ferry Terminal</t>
        </is>
      </c>
      <c r="D57" s="31" t="n">
        <v>3.1</v>
      </c>
      <c r="E57" s="26" t="n">
        <v>8</v>
      </c>
      <c r="F57" s="32" t="inlineStr">
        <is>
          <t>T3</t>
        </is>
      </c>
      <c r="G57" s="32" t="inlineStr">
        <is>
          <t>med-low</t>
        </is>
      </c>
      <c r="H57" s="19" t="n">
        <v>1</v>
      </c>
      <c r="I57" s="33">
        <f>60*D57/cruise_kt</f>
        <v/>
      </c>
      <c r="J57" s="33">
        <f>I57+turn_min+dwell_min</f>
        <v/>
      </c>
      <c r="K57" s="34">
        <f>MIN(10,FLOOR(60*service_hr/J57,1))</f>
        <v/>
      </c>
      <c r="L57" s="34">
        <f>ROUND(365*mech_uptime*H57,0)</f>
        <v/>
      </c>
      <c r="M57" s="35">
        <f>mech_uptime</f>
        <v/>
      </c>
      <c r="N57" s="35">
        <f>revleg_sel</f>
        <v/>
      </c>
      <c r="O57" s="34">
        <f>ROUND(K57*L57*revleg_sel,0)</f>
        <v/>
      </c>
      <c r="P57" s="36">
        <f>load_sel</f>
        <v/>
      </c>
      <c r="Q57" s="36">
        <f>pax_cap*P57</f>
        <v/>
      </c>
      <c r="R57" s="34">
        <f>Q57*O57</f>
        <v/>
      </c>
      <c r="S57" s="37">
        <f>E57*discount</f>
        <v/>
      </c>
      <c r="T57" s="38">
        <f>S57*R57</f>
        <v/>
      </c>
      <c r="U57" s="38">
        <f>(battery/range_nm)*D57*O57*VLOOKUP(B57,country_opex,3,FALSE)</f>
        <v/>
      </c>
      <c r="V57" s="38">
        <f>VLOOKUP(B57,country_opex,2,FALSE)*crew_factor</f>
        <v/>
      </c>
      <c r="W57" s="38">
        <f>VLOOKUP(B57,country_opex,5,FALSE)</f>
        <v/>
      </c>
      <c r="X57" s="38">
        <f>maint</f>
        <v/>
      </c>
      <c r="Y57" s="38">
        <f>VLOOKUP(B57,country_opex,7,FALSE)*ins_pct</f>
        <v/>
      </c>
      <c r="Z57" s="38">
        <f>charge_berth</f>
        <v/>
      </c>
      <c r="AA57" s="38">
        <f>U57+V57+W57+X57+Y57+Z57</f>
        <v/>
      </c>
      <c r="AB57" s="38">
        <f>VLOOKUP(B57,country_opex,7,FALSE)/dep_years</f>
        <v/>
      </c>
      <c r="AC57" s="38">
        <f>T57-AA57</f>
        <v/>
      </c>
      <c r="AD57" s="35">
        <f>IF(T57=0,"",AC57/T57)</f>
        <v/>
      </c>
      <c r="AE57" s="36">
        <f>IF(AC57&lt;=0,"",VLOOKUP(B57,country_opex,7,FALSE)/AC57)</f>
        <v/>
      </c>
      <c r="AF57" s="33">
        <f>((D57*O57/diesel_nmpg)*diesel_co2pg-(battery/range_nm)*D57*O57*VLOOKUP(B57,country_opex,4,FALSE))/1000</f>
        <v/>
      </c>
      <c r="AG57" s="31" t="n">
        <v>11250</v>
      </c>
      <c r="AH57" s="32" t="inlineStr">
        <is>
          <t>T3</t>
        </is>
      </c>
      <c r="AI57" s="32" t="inlineStr">
        <is>
          <t>med-low</t>
        </is>
      </c>
      <c r="AJ57" s="39" t="n">
        <v>0.1</v>
      </c>
      <c r="AK57" s="34">
        <f>IF(AG57="","",AG57*AJ57)</f>
        <v/>
      </c>
      <c r="AL57" s="34">
        <f>IF(OR(AG57="",R57=0),"",MIN(IF(AS57="",9.9E+99,AS57),FLOOR(AK57/R57,1)))</f>
        <v/>
      </c>
      <c r="AM57" s="38">
        <f>IF(AL57="","",AL57*T57)</f>
        <v/>
      </c>
      <c r="AN57" s="36">
        <f>IF(OR(AG57="",R57=0),"",MIN(IF(AS57="",9.9E+99,AS57),AK57/R57))</f>
        <v/>
      </c>
      <c r="AO57" s="38">
        <f>IF(AN57="","",AN57*T57)</f>
        <v/>
      </c>
      <c r="AP57" s="40" t="n"/>
      <c r="AQ57" s="41" t="n"/>
      <c r="AR57" s="41" t="n"/>
      <c r="AS57" s="42" t="n"/>
      <c r="AT57" s="43">
        <f>IF(((S57*pax_cap*load_thin*ROUND(K57*L57*revleg_thin,0))-(((battery/range_nm)*D57*ROUND(K57*L57*revleg_thin,0)*VLOOKUP(B57,country_opex,3,FALSE))+V57+W57+X57+Y57+Z57))&lt;=0,"",VLOOKUP(B57,country_opex,7,FALSE)/((S57*pax_cap*load_thin*ROUND(K57*L57*revleg_thin,0))-(((battery/range_nm)*D57*ROUND(K57*L57*revleg_thin,0)*VLOOKUP(B57,country_opex,3,FALSE))+V57+W57+X57+Y57+Z57)))</f>
        <v/>
      </c>
      <c r="AU57" s="43">
        <f>IF(((S57*pax_cap*load_mid*ROUND(K57*L57*revleg_mid,0))-(((battery/range_nm)*D57*ROUND(K57*L57*revleg_mid,0)*VLOOKUP(B57,country_opex,3,FALSE))+V57+W57+X57+Y57+Z57))&lt;=0,"",VLOOKUP(B57,country_opex,7,FALSE)/((S57*pax_cap*load_mid*ROUND(K57*L57*revleg_mid,0))-(((battery/range_nm)*D57*ROUND(K57*L57*revleg_mid,0)*VLOOKUP(B57,country_opex,3,FALSE))+V57+W57+X57+Y57+Z57)))</f>
        <v/>
      </c>
      <c r="AV57" s="43">
        <f>IF(((S57*pax_cap*load_full*ROUND(K57*L57*revleg_full,0))-(((battery/range_nm)*D57*ROUND(K57*L57*revleg_full,0)*VLOOKUP(B57,country_opex,3,FALSE))+V57+W57+X57+Y57+Z57))&lt;=0,"",VLOOKUP(B57,country_opex,7,FALSE)/((S57*pax_cap*load_full*ROUND(K57*L57*revleg_full,0))-(((battery/range_nm)*D57*ROUND(K57*L57*revleg_full,0)*VLOOKUP(B57,country_opex,3,FALSE))+V57+W57+X57+Y57+Z57)))</f>
        <v/>
      </c>
      <c r="AW57" s="44" t="inlineStr">
        <is>
          <t>handoff/INDIA-ECONOMICS-SIDECAR-V0-2026-06-20.json (goa)</t>
        </is>
      </c>
      <c r="AX57" s="44" t="inlineStr">
        <is>
          <t>handoff/INDIA-ECONOMICS-SIDECAR-V0-2026-06-20.json (goa)</t>
        </is>
      </c>
    </row>
    <row r="58">
      <c r="A58" s="29" t="inlineStr">
        <is>
          <t>India Goa Rapido</t>
        </is>
      </c>
      <c r="B58" s="29" t="inlineStr">
        <is>
          <t>India</t>
        </is>
      </c>
      <c r="C58" s="30" t="inlineStr">
        <is>
          <t>Panaji Jetty → Goa</t>
        </is>
      </c>
      <c r="D58" s="31" t="n">
        <v>3.1</v>
      </c>
      <c r="E58" s="26" t="n">
        <v>8</v>
      </c>
      <c r="F58" s="32" t="inlineStr">
        <is>
          <t>T3</t>
        </is>
      </c>
      <c r="G58" s="32" t="inlineStr">
        <is>
          <t>med-low</t>
        </is>
      </c>
      <c r="H58" s="19" t="n">
        <v>1</v>
      </c>
      <c r="I58" s="33">
        <f>60*D58/cruise_kt</f>
        <v/>
      </c>
      <c r="J58" s="33">
        <f>I58+turn_min+dwell_min</f>
        <v/>
      </c>
      <c r="K58" s="34">
        <f>MIN(10,FLOOR(60*service_hr/J58,1))</f>
        <v/>
      </c>
      <c r="L58" s="34">
        <f>ROUND(365*mech_uptime*H58,0)</f>
        <v/>
      </c>
      <c r="M58" s="35">
        <f>mech_uptime</f>
        <v/>
      </c>
      <c r="N58" s="35">
        <f>revleg_sel</f>
        <v/>
      </c>
      <c r="O58" s="34">
        <f>ROUND(K58*L58*revleg_sel,0)</f>
        <v/>
      </c>
      <c r="P58" s="36">
        <f>load_sel</f>
        <v/>
      </c>
      <c r="Q58" s="36">
        <f>pax_cap*P58</f>
        <v/>
      </c>
      <c r="R58" s="34">
        <f>Q58*O58</f>
        <v/>
      </c>
      <c r="S58" s="37">
        <f>E58*discount</f>
        <v/>
      </c>
      <c r="T58" s="38">
        <f>S58*R58</f>
        <v/>
      </c>
      <c r="U58" s="38">
        <f>(battery/range_nm)*D58*O58*VLOOKUP(B58,country_opex,3,FALSE)</f>
        <v/>
      </c>
      <c r="V58" s="38">
        <f>VLOOKUP(B58,country_opex,2,FALSE)*crew_factor</f>
        <v/>
      </c>
      <c r="W58" s="38">
        <f>VLOOKUP(B58,country_opex,5,FALSE)</f>
        <v/>
      </c>
      <c r="X58" s="38">
        <f>maint</f>
        <v/>
      </c>
      <c r="Y58" s="38">
        <f>VLOOKUP(B58,country_opex,7,FALSE)*ins_pct</f>
        <v/>
      </c>
      <c r="Z58" s="38">
        <f>charge_berth</f>
        <v/>
      </c>
      <c r="AA58" s="38">
        <f>U58+V58+W58+X58+Y58+Z58</f>
        <v/>
      </c>
      <c r="AB58" s="38">
        <f>VLOOKUP(B58,country_opex,7,FALSE)/dep_years</f>
        <v/>
      </c>
      <c r="AC58" s="38">
        <f>T58-AA58</f>
        <v/>
      </c>
      <c r="AD58" s="35">
        <f>IF(T58=0,"",AC58/T58)</f>
        <v/>
      </c>
      <c r="AE58" s="36">
        <f>IF(AC58&lt;=0,"",VLOOKUP(B58,country_opex,7,FALSE)/AC58)</f>
        <v/>
      </c>
      <c r="AF58" s="33">
        <f>((D58*O58/diesel_nmpg)*diesel_co2pg-(battery/range_nm)*D58*O58*VLOOKUP(B58,country_opex,4,FALSE))/1000</f>
        <v/>
      </c>
      <c r="AG58" s="31" t="n">
        <v>11250</v>
      </c>
      <c r="AH58" s="32" t="inlineStr">
        <is>
          <t>T3</t>
        </is>
      </c>
      <c r="AI58" s="32" t="inlineStr">
        <is>
          <t>med-low</t>
        </is>
      </c>
      <c r="AJ58" s="39" t="n">
        <v>0.1</v>
      </c>
      <c r="AK58" s="34">
        <f>IF(AG58="","",AG58*AJ58)</f>
        <v/>
      </c>
      <c r="AL58" s="34">
        <f>IF(OR(AG58="",R58=0),"",MIN(IF(AS58="",9.9E+99,AS58),FLOOR(AK58/R58,1)))</f>
        <v/>
      </c>
      <c r="AM58" s="38">
        <f>IF(AL58="","",AL58*T58)</f>
        <v/>
      </c>
      <c r="AN58" s="36">
        <f>IF(OR(AG58="",R58=0),"",MIN(IF(AS58="",9.9E+99,AS58),AK58/R58))</f>
        <v/>
      </c>
      <c r="AO58" s="38">
        <f>IF(AN58="","",AN58*T58)</f>
        <v/>
      </c>
      <c r="AP58" s="40" t="n"/>
      <c r="AQ58" s="41" t="n"/>
      <c r="AR58" s="41" t="n"/>
      <c r="AS58" s="42" t="n"/>
      <c r="AT58" s="43">
        <f>IF(((S58*pax_cap*load_thin*ROUND(K58*L58*revleg_thin,0))-(((battery/range_nm)*D58*ROUND(K58*L58*revleg_thin,0)*VLOOKUP(B58,country_opex,3,FALSE))+V58+W58+X58+Y58+Z58))&lt;=0,"",VLOOKUP(B58,country_opex,7,FALSE)/((S58*pax_cap*load_thin*ROUND(K58*L58*revleg_thin,0))-(((battery/range_nm)*D58*ROUND(K58*L58*revleg_thin,0)*VLOOKUP(B58,country_opex,3,FALSE))+V58+W58+X58+Y58+Z58)))</f>
        <v/>
      </c>
      <c r="AU58" s="43">
        <f>IF(((S58*pax_cap*load_mid*ROUND(K58*L58*revleg_mid,0))-(((battery/range_nm)*D58*ROUND(K58*L58*revleg_mid,0)*VLOOKUP(B58,country_opex,3,FALSE))+V58+W58+X58+Y58+Z58))&lt;=0,"",VLOOKUP(B58,country_opex,7,FALSE)/((S58*pax_cap*load_mid*ROUND(K58*L58*revleg_mid,0))-(((battery/range_nm)*D58*ROUND(K58*L58*revleg_mid,0)*VLOOKUP(B58,country_opex,3,FALSE))+V58+W58+X58+Y58+Z58)))</f>
        <v/>
      </c>
      <c r="AV58" s="43">
        <f>IF(((S58*pax_cap*load_full*ROUND(K58*L58*revleg_full,0))-(((battery/range_nm)*D58*ROUND(K58*L58*revleg_full,0)*VLOOKUP(B58,country_opex,3,FALSE))+V58+W58+X58+Y58+Z58))&lt;=0,"",VLOOKUP(B58,country_opex,7,FALSE)/((S58*pax_cap*load_full*ROUND(K58*L58*revleg_full,0))-(((battery/range_nm)*D58*ROUND(K58*L58*revleg_full,0)*VLOOKUP(B58,country_opex,3,FALSE))+V58+W58+X58+Y58+Z58)))</f>
        <v/>
      </c>
      <c r="AW58" s="44" t="inlineStr">
        <is>
          <t>handoff/INDIA-ECONOMICS-SIDECAR-V0-2026-06-20.json (goa)</t>
        </is>
      </c>
      <c r="AX58" s="44" t="inlineStr">
        <is>
          <t>handoff/INDIA-ECONOMICS-SIDECAR-V0-2026-06-20.json (goa)</t>
        </is>
      </c>
    </row>
    <row r="59">
      <c r="A59" s="29" t="inlineStr">
        <is>
          <t>India Kerala Rapido</t>
        </is>
      </c>
      <c r="B59" s="29" t="inlineStr">
        <is>
          <t>India</t>
        </is>
      </c>
      <c r="C59" s="30" t="inlineStr">
        <is>
          <t>Martins Harbour → Kakkanad Ferry Terminal</t>
        </is>
      </c>
      <c r="D59" s="31" t="n">
        <v>3.1</v>
      </c>
      <c r="E59" s="26" t="n">
        <v>18</v>
      </c>
      <c r="F59" s="32" t="inlineStr">
        <is>
          <t>T3</t>
        </is>
      </c>
      <c r="G59" s="32" t="inlineStr">
        <is>
          <t>med-low</t>
        </is>
      </c>
      <c r="H59" s="19" t="n">
        <v>1</v>
      </c>
      <c r="I59" s="33">
        <f>60*D59/cruise_kt</f>
        <v/>
      </c>
      <c r="J59" s="33">
        <f>I59+turn_min+dwell_min</f>
        <v/>
      </c>
      <c r="K59" s="34">
        <f>MIN(10,FLOOR(60*service_hr/J59,1))</f>
        <v/>
      </c>
      <c r="L59" s="34">
        <f>ROUND(365*mech_uptime*H59,0)</f>
        <v/>
      </c>
      <c r="M59" s="35">
        <f>mech_uptime</f>
        <v/>
      </c>
      <c r="N59" s="35">
        <f>revleg_sel</f>
        <v/>
      </c>
      <c r="O59" s="34">
        <f>ROUND(K59*L59*revleg_sel,0)</f>
        <v/>
      </c>
      <c r="P59" s="36">
        <f>load_sel</f>
        <v/>
      </c>
      <c r="Q59" s="36">
        <f>pax_cap*P59</f>
        <v/>
      </c>
      <c r="R59" s="34">
        <f>Q59*O59</f>
        <v/>
      </c>
      <c r="S59" s="37">
        <f>E59*discount</f>
        <v/>
      </c>
      <c r="T59" s="38">
        <f>S59*R59</f>
        <v/>
      </c>
      <c r="U59" s="38">
        <f>(battery/range_nm)*D59*O59*VLOOKUP(B59,country_opex,3,FALSE)</f>
        <v/>
      </c>
      <c r="V59" s="38">
        <f>VLOOKUP(B59,country_opex,2,FALSE)*crew_factor</f>
        <v/>
      </c>
      <c r="W59" s="38">
        <f>VLOOKUP(B59,country_opex,5,FALSE)</f>
        <v/>
      </c>
      <c r="X59" s="38">
        <f>maint</f>
        <v/>
      </c>
      <c r="Y59" s="38">
        <f>VLOOKUP(B59,country_opex,7,FALSE)*ins_pct</f>
        <v/>
      </c>
      <c r="Z59" s="38">
        <f>charge_berth</f>
        <v/>
      </c>
      <c r="AA59" s="38">
        <f>U59+V59+W59+X59+Y59+Z59</f>
        <v/>
      </c>
      <c r="AB59" s="38">
        <f>VLOOKUP(B59,country_opex,7,FALSE)/dep_years</f>
        <v/>
      </c>
      <c r="AC59" s="38">
        <f>T59-AA59</f>
        <v/>
      </c>
      <c r="AD59" s="35">
        <f>IF(T59=0,"",AC59/T59)</f>
        <v/>
      </c>
      <c r="AE59" s="36">
        <f>IF(AC59&lt;=0,"",VLOOKUP(B59,country_opex,7,FALSE)/AC59)</f>
        <v/>
      </c>
      <c r="AF59" s="33">
        <f>((D59*O59/diesel_nmpg)*diesel_co2pg-(battery/range_nm)*D59*O59*VLOOKUP(B59,country_opex,4,FALSE))/1000</f>
        <v/>
      </c>
      <c r="AG59" s="31" t="n">
        <v>29166</v>
      </c>
      <c r="AH59" s="32" t="inlineStr">
        <is>
          <t>T3</t>
        </is>
      </c>
      <c r="AI59" s="32" t="inlineStr">
        <is>
          <t>med-low</t>
        </is>
      </c>
      <c r="AJ59" s="39" t="n">
        <v>0.1</v>
      </c>
      <c r="AK59" s="34">
        <f>IF(AG59="","",AG59*AJ59)</f>
        <v/>
      </c>
      <c r="AL59" s="34">
        <f>IF(OR(AG59="",R59=0),"",MIN(IF(AS59="",9.9E+99,AS59),FLOOR(AK59/R59,1)))</f>
        <v/>
      </c>
      <c r="AM59" s="38">
        <f>IF(AL59="","",AL59*T59)</f>
        <v/>
      </c>
      <c r="AN59" s="36">
        <f>IF(OR(AG59="",R59=0),"",MIN(IF(AS59="",9.9E+99,AS59),AK59/R59))</f>
        <v/>
      </c>
      <c r="AO59" s="38">
        <f>IF(AN59="","",AN59*T59)</f>
        <v/>
      </c>
      <c r="AP59" s="40" t="n"/>
      <c r="AQ59" s="41" t="n"/>
      <c r="AR59" s="41" t="n"/>
      <c r="AS59" s="42" t="n"/>
      <c r="AT59" s="43">
        <f>IF(((S59*pax_cap*load_thin*ROUND(K59*L59*revleg_thin,0))-(((battery/range_nm)*D59*ROUND(K59*L59*revleg_thin,0)*VLOOKUP(B59,country_opex,3,FALSE))+V59+W59+X59+Y59+Z59))&lt;=0,"",VLOOKUP(B59,country_opex,7,FALSE)/((S59*pax_cap*load_thin*ROUND(K59*L59*revleg_thin,0))-(((battery/range_nm)*D59*ROUND(K59*L59*revleg_thin,0)*VLOOKUP(B59,country_opex,3,FALSE))+V59+W59+X59+Y59+Z59)))</f>
        <v/>
      </c>
      <c r="AU59" s="43">
        <f>IF(((S59*pax_cap*load_mid*ROUND(K59*L59*revleg_mid,0))-(((battery/range_nm)*D59*ROUND(K59*L59*revleg_mid,0)*VLOOKUP(B59,country_opex,3,FALSE))+V59+W59+X59+Y59+Z59))&lt;=0,"",VLOOKUP(B59,country_opex,7,FALSE)/((S59*pax_cap*load_mid*ROUND(K59*L59*revleg_mid,0))-(((battery/range_nm)*D59*ROUND(K59*L59*revleg_mid,0)*VLOOKUP(B59,country_opex,3,FALSE))+V59+W59+X59+Y59+Z59)))</f>
        <v/>
      </c>
      <c r="AV59" s="43">
        <f>IF(((S59*pax_cap*load_full*ROUND(K59*L59*revleg_full,0))-(((battery/range_nm)*D59*ROUND(K59*L59*revleg_full,0)*VLOOKUP(B59,country_opex,3,FALSE))+V59+W59+X59+Y59+Z59))&lt;=0,"",VLOOKUP(B59,country_opex,7,FALSE)/((S59*pax_cap*load_full*ROUND(K59*L59*revleg_full,0))-(((battery/range_nm)*D59*ROUND(K59*L59*revleg_full,0)*VLOOKUP(B59,country_opex,3,FALSE))+V59+W59+X59+Y59+Z59)))</f>
        <v/>
      </c>
      <c r="AW59" s="44" t="inlineStr">
        <is>
          <t>[LB-255 PREMIUM RE-FARE: subsidized comparable $3.5 lifted to premium on-demand floor $18.0] handoff/INDIA-ECONOMICS-SIDECAR-V0-2026-06-20.json (kerala)</t>
        </is>
      </c>
      <c r="AX59" s="44" t="inlineStr">
        <is>
          <t>handoff/INDIA-ECONOMICS-SIDECAR-V0-2026-06-20.json (kerala)</t>
        </is>
      </c>
    </row>
    <row r="60">
      <c r="A60" s="29" t="inlineStr">
        <is>
          <t>India Andaman Rapido</t>
        </is>
      </c>
      <c r="B60" s="29" t="inlineStr">
        <is>
          <t>India</t>
        </is>
      </c>
      <c r="C60" s="30" t="inlineStr">
        <is>
          <t>Andaman → Panighat Ferry Jetty</t>
        </is>
      </c>
      <c r="D60" s="31" t="n">
        <v>3.2</v>
      </c>
      <c r="E60" s="26" t="n">
        <v>22</v>
      </c>
      <c r="F60" s="32" t="inlineStr">
        <is>
          <t>T3</t>
        </is>
      </c>
      <c r="G60" s="32" t="inlineStr">
        <is>
          <t>med-low</t>
        </is>
      </c>
      <c r="H60" s="19" t="n">
        <v>1</v>
      </c>
      <c r="I60" s="33">
        <f>60*D60/cruise_kt</f>
        <v/>
      </c>
      <c r="J60" s="33">
        <f>I60+turn_min+dwell_min</f>
        <v/>
      </c>
      <c r="K60" s="34">
        <f>MIN(10,FLOOR(60*service_hr/J60,1))</f>
        <v/>
      </c>
      <c r="L60" s="34">
        <f>ROUND(365*mech_uptime*H60,0)</f>
        <v/>
      </c>
      <c r="M60" s="35">
        <f>mech_uptime</f>
        <v/>
      </c>
      <c r="N60" s="35">
        <f>revleg_sel</f>
        <v/>
      </c>
      <c r="O60" s="34">
        <f>ROUND(K60*L60*revleg_sel,0)</f>
        <v/>
      </c>
      <c r="P60" s="36">
        <f>load_sel</f>
        <v/>
      </c>
      <c r="Q60" s="36">
        <f>pax_cap*P60</f>
        <v/>
      </c>
      <c r="R60" s="34">
        <f>Q60*O60</f>
        <v/>
      </c>
      <c r="S60" s="37">
        <f>E60*discount</f>
        <v/>
      </c>
      <c r="T60" s="38">
        <f>S60*R60</f>
        <v/>
      </c>
      <c r="U60" s="38">
        <f>(battery/range_nm)*D60*O60*VLOOKUP(B60,country_opex,3,FALSE)</f>
        <v/>
      </c>
      <c r="V60" s="38">
        <f>VLOOKUP(B60,country_opex,2,FALSE)*crew_factor</f>
        <v/>
      </c>
      <c r="W60" s="38">
        <f>VLOOKUP(B60,country_opex,5,FALSE)</f>
        <v/>
      </c>
      <c r="X60" s="38">
        <f>maint</f>
        <v/>
      </c>
      <c r="Y60" s="38">
        <f>VLOOKUP(B60,country_opex,7,FALSE)*ins_pct</f>
        <v/>
      </c>
      <c r="Z60" s="38">
        <f>charge_berth</f>
        <v/>
      </c>
      <c r="AA60" s="38">
        <f>U60+V60+W60+X60+Y60+Z60</f>
        <v/>
      </c>
      <c r="AB60" s="38">
        <f>VLOOKUP(B60,country_opex,7,FALSE)/dep_years</f>
        <v/>
      </c>
      <c r="AC60" s="38">
        <f>T60-AA60</f>
        <v/>
      </c>
      <c r="AD60" s="35">
        <f>IF(T60=0,"",AC60/T60)</f>
        <v/>
      </c>
      <c r="AE60" s="36">
        <f>IF(AC60&lt;=0,"",VLOOKUP(B60,country_opex,7,FALSE)/AC60)</f>
        <v/>
      </c>
      <c r="AF60" s="33">
        <f>((D60*O60/diesel_nmpg)*diesel_co2pg-(battery/range_nm)*D60*O60*VLOOKUP(B60,country_opex,4,FALSE))/1000</f>
        <v/>
      </c>
      <c r="AG60" s="31" t="n">
        <v>5000</v>
      </c>
      <c r="AH60" s="32" t="inlineStr">
        <is>
          <t>T3</t>
        </is>
      </c>
      <c r="AI60" s="32" t="inlineStr">
        <is>
          <t>med-low</t>
        </is>
      </c>
      <c r="AJ60" s="39" t="n">
        <v>0.1</v>
      </c>
      <c r="AK60" s="34">
        <f>IF(AG60="","",AG60*AJ60)</f>
        <v/>
      </c>
      <c r="AL60" s="34">
        <f>IF(OR(AG60="",R60=0),"",MIN(IF(AS60="",9.9E+99,AS60),FLOOR(AK60/R60,1)))</f>
        <v/>
      </c>
      <c r="AM60" s="38">
        <f>IF(AL60="","",AL60*T60)</f>
        <v/>
      </c>
      <c r="AN60" s="36">
        <f>IF(OR(AG60="",R60=0),"",MIN(IF(AS60="",9.9E+99,AS60),AK60/R60))</f>
        <v/>
      </c>
      <c r="AO60" s="38">
        <f>IF(AN60="","",AN60*T60)</f>
        <v/>
      </c>
      <c r="AP60" s="40" t="n"/>
      <c r="AQ60" s="41" t="n"/>
      <c r="AR60" s="41" t="n"/>
      <c r="AS60" s="42" t="n"/>
      <c r="AT60" s="43">
        <f>IF(((S60*pax_cap*load_thin*ROUND(K60*L60*revleg_thin,0))-(((battery/range_nm)*D60*ROUND(K60*L60*revleg_thin,0)*VLOOKUP(B60,country_opex,3,FALSE))+V60+W60+X60+Y60+Z60))&lt;=0,"",VLOOKUP(B60,country_opex,7,FALSE)/((S60*pax_cap*load_thin*ROUND(K60*L60*revleg_thin,0))-(((battery/range_nm)*D60*ROUND(K60*L60*revleg_thin,0)*VLOOKUP(B60,country_opex,3,FALSE))+V60+W60+X60+Y60+Z60)))</f>
        <v/>
      </c>
      <c r="AU60" s="43">
        <f>IF(((S60*pax_cap*load_mid*ROUND(K60*L60*revleg_mid,0))-(((battery/range_nm)*D60*ROUND(K60*L60*revleg_mid,0)*VLOOKUP(B60,country_opex,3,FALSE))+V60+W60+X60+Y60+Z60))&lt;=0,"",VLOOKUP(B60,country_opex,7,FALSE)/((S60*pax_cap*load_mid*ROUND(K60*L60*revleg_mid,0))-(((battery/range_nm)*D60*ROUND(K60*L60*revleg_mid,0)*VLOOKUP(B60,country_opex,3,FALSE))+V60+W60+X60+Y60+Z60)))</f>
        <v/>
      </c>
      <c r="AV60" s="43">
        <f>IF(((S60*pax_cap*load_full*ROUND(K60*L60*revleg_full,0))-(((battery/range_nm)*D60*ROUND(K60*L60*revleg_full,0)*VLOOKUP(B60,country_opex,3,FALSE))+V60+W60+X60+Y60+Z60))&lt;=0,"",VLOOKUP(B60,country_opex,7,FALSE)/((S60*pax_cap*load_full*ROUND(K60*L60*revleg_full,0))-(((battery/range_nm)*D60*ROUND(K60*L60*revleg_full,0)*VLOOKUP(B60,country_opex,3,FALSE))+V60+W60+X60+Y60+Z60)))</f>
        <v/>
      </c>
      <c r="AW60" s="44" t="inlineStr">
        <is>
          <t>handoff/INDIA-ECONOMICS-SIDECAR-V0-2026-06-20.json (andaman)</t>
        </is>
      </c>
      <c r="AX60" s="44" t="inlineStr">
        <is>
          <t>handoff/INDIA-ECONOMICS-SIDECAR-V0-2026-06-20.json (andaman)</t>
        </is>
      </c>
    </row>
    <row r="61">
      <c r="A61" s="29" t="inlineStr">
        <is>
          <t>India Chennai Rapido</t>
        </is>
      </c>
      <c r="B61" s="29" t="inlineStr">
        <is>
          <t>India</t>
        </is>
      </c>
      <c r="C61" s="30" t="inlineStr">
        <is>
          <t>Chennai Port WQIV Cruise Terminal → Marina Beach Waterfront</t>
        </is>
      </c>
      <c r="D61" s="31" t="n">
        <v>3.2</v>
      </c>
      <c r="E61" s="26" t="n">
        <v>12</v>
      </c>
      <c r="F61" s="32" t="n"/>
      <c r="G61" s="32" t="n"/>
      <c r="H61" s="19" t="n">
        <v>1</v>
      </c>
      <c r="I61" s="33">
        <f>60*D61/cruise_kt</f>
        <v/>
      </c>
      <c r="J61" s="33">
        <f>I61+turn_min+dwell_min</f>
        <v/>
      </c>
      <c r="K61" s="34">
        <f>MIN(10,FLOOR(60*service_hr/J61,1))</f>
        <v/>
      </c>
      <c r="L61" s="34">
        <f>ROUND(365*mech_uptime*H61,0)</f>
        <v/>
      </c>
      <c r="M61" s="35">
        <f>mech_uptime</f>
        <v/>
      </c>
      <c r="N61" s="35">
        <f>revleg_sel</f>
        <v/>
      </c>
      <c r="O61" s="34">
        <f>ROUND(K61*L61*revleg_sel,0)</f>
        <v/>
      </c>
      <c r="P61" s="36">
        <f>load_sel</f>
        <v/>
      </c>
      <c r="Q61" s="36">
        <f>pax_cap*P61</f>
        <v/>
      </c>
      <c r="R61" s="34">
        <f>Q61*O61</f>
        <v/>
      </c>
      <c r="S61" s="37">
        <f>E61*discount</f>
        <v/>
      </c>
      <c r="T61" s="38">
        <f>S61*R61</f>
        <v/>
      </c>
      <c r="U61" s="38">
        <f>(battery/range_nm)*D61*O61*VLOOKUP(B61,country_opex,3,FALSE)</f>
        <v/>
      </c>
      <c r="V61" s="38">
        <f>VLOOKUP(B61,country_opex,2,FALSE)*crew_factor</f>
        <v/>
      </c>
      <c r="W61" s="38">
        <f>VLOOKUP(B61,country_opex,5,FALSE)</f>
        <v/>
      </c>
      <c r="X61" s="38">
        <f>maint</f>
        <v/>
      </c>
      <c r="Y61" s="38">
        <f>VLOOKUP(B61,country_opex,7,FALSE)*ins_pct</f>
        <v/>
      </c>
      <c r="Z61" s="38">
        <f>charge_berth</f>
        <v/>
      </c>
      <c r="AA61" s="38">
        <f>U61+V61+W61+X61+Y61+Z61</f>
        <v/>
      </c>
      <c r="AB61" s="38">
        <f>VLOOKUP(B61,country_opex,7,FALSE)/dep_years</f>
        <v/>
      </c>
      <c r="AC61" s="38">
        <f>T61-AA61</f>
        <v/>
      </c>
      <c r="AD61" s="35">
        <f>IF(T61=0,"",AC61/T61)</f>
        <v/>
      </c>
      <c r="AE61" s="36">
        <f>IF(AC61&lt;=0,"",VLOOKUP(B61,country_opex,7,FALSE)/AC61)</f>
        <v/>
      </c>
      <c r="AF61" s="33">
        <f>((D61*O61/diesel_nmpg)*diesel_co2pg-(battery/range_nm)*D61*O61*VLOOKUP(B61,country_opex,4,FALSE))/1000</f>
        <v/>
      </c>
      <c r="AG61" s="31" t="n">
        <v>400000</v>
      </c>
      <c r="AH61" s="32" t="n"/>
      <c r="AI61" s="32" t="n"/>
      <c r="AJ61" s="39" t="n">
        <v>0.1</v>
      </c>
      <c r="AK61" s="34">
        <f>IF(AG61="","",AG61*AJ61)</f>
        <v/>
      </c>
      <c r="AL61" s="34">
        <f>IF(OR(AG61="",R61=0),"",MIN(IF(AS61="",9.9E+99,AS61),FLOOR(AK61/R61,1)))</f>
        <v/>
      </c>
      <c r="AM61" s="38">
        <f>IF(AL61="","",AL61*T61)</f>
        <v/>
      </c>
      <c r="AN61" s="36">
        <f>IF(OR(AG61="",R61=0),"",MIN(IF(AS61="",9.9E+99,AS61),AK61/R61))</f>
        <v/>
      </c>
      <c r="AO61" s="38">
        <f>IF(AN61="","",AN61*T61)</f>
        <v/>
      </c>
      <c r="AP61" s="40" t="n"/>
      <c r="AQ61" s="41" t="n"/>
      <c r="AR61" s="41" t="n"/>
      <c r="AS61" s="42" t="n"/>
      <c r="AT61" s="43">
        <f>IF(((S61*pax_cap*load_thin*ROUND(K61*L61*revleg_thin,0))-(((battery/range_nm)*D61*ROUND(K61*L61*revleg_thin,0)*VLOOKUP(B61,country_opex,3,FALSE))+V61+W61+X61+Y61+Z61))&lt;=0,"",VLOOKUP(B61,country_opex,7,FALSE)/((S61*pax_cap*load_thin*ROUND(K61*L61*revleg_thin,0))-(((battery/range_nm)*D61*ROUND(K61*L61*revleg_thin,0)*VLOOKUP(B61,country_opex,3,FALSE))+V61+W61+X61+Y61+Z61)))</f>
        <v/>
      </c>
      <c r="AU61" s="43">
        <f>IF(((S61*pax_cap*load_mid*ROUND(K61*L61*revleg_mid,0))-(((battery/range_nm)*D61*ROUND(K61*L61*revleg_mid,0)*VLOOKUP(B61,country_opex,3,FALSE))+V61+W61+X61+Y61+Z61))&lt;=0,"",VLOOKUP(B61,country_opex,7,FALSE)/((S61*pax_cap*load_mid*ROUND(K61*L61*revleg_mid,0))-(((battery/range_nm)*D61*ROUND(K61*L61*revleg_mid,0)*VLOOKUP(B61,country_opex,3,FALSE))+V61+W61+X61+Y61+Z61)))</f>
        <v/>
      </c>
      <c r="AV61" s="43">
        <f>IF(((S61*pax_cap*load_full*ROUND(K61*L61*revleg_full,0))-(((battery/range_nm)*D61*ROUND(K61*L61*revleg_full,0)*VLOOKUP(B61,country_opex,3,FALSE))+V61+W61+X61+Y61+Z61))&lt;=0,"",VLOOKUP(B61,country_opex,7,FALSE)/((S61*pax_cap*load_full*ROUND(K61*L61*revleg_full,0))-(((battery/range_nm)*D61*ROUND(K61*L61*revleg_full,0)*VLOOKUP(B61,country_opex,3,FALSE))+V61+W61+X61+Y61+Z61)))</f>
        <v/>
      </c>
      <c r="AW61" s="44" t="n"/>
      <c r="AX61" s="44" t="n"/>
    </row>
    <row r="62">
      <c r="A62" s="29" t="inlineStr">
        <is>
          <t>India Goa Rapido</t>
        </is>
      </c>
      <c r="B62" s="29" t="inlineStr">
        <is>
          <t>India</t>
        </is>
      </c>
      <c r="C62" s="30" t="inlineStr">
        <is>
          <t>Ribandar Ferry → Pomburpa Ferry Terminal</t>
        </is>
      </c>
      <c r="D62" s="31" t="n">
        <v>3.2</v>
      </c>
      <c r="E62" s="26" t="n">
        <v>8</v>
      </c>
      <c r="F62" s="32" t="inlineStr">
        <is>
          <t>T3</t>
        </is>
      </c>
      <c r="G62" s="32" t="inlineStr">
        <is>
          <t>med-low</t>
        </is>
      </c>
      <c r="H62" s="19" t="n">
        <v>1</v>
      </c>
      <c r="I62" s="33">
        <f>60*D62/cruise_kt</f>
        <v/>
      </c>
      <c r="J62" s="33">
        <f>I62+turn_min+dwell_min</f>
        <v/>
      </c>
      <c r="K62" s="34">
        <f>MIN(10,FLOOR(60*service_hr/J62,1))</f>
        <v/>
      </c>
      <c r="L62" s="34">
        <f>ROUND(365*mech_uptime*H62,0)</f>
        <v/>
      </c>
      <c r="M62" s="35">
        <f>mech_uptime</f>
        <v/>
      </c>
      <c r="N62" s="35">
        <f>revleg_sel</f>
        <v/>
      </c>
      <c r="O62" s="34">
        <f>ROUND(K62*L62*revleg_sel,0)</f>
        <v/>
      </c>
      <c r="P62" s="36">
        <f>load_sel</f>
        <v/>
      </c>
      <c r="Q62" s="36">
        <f>pax_cap*P62</f>
        <v/>
      </c>
      <c r="R62" s="34">
        <f>Q62*O62</f>
        <v/>
      </c>
      <c r="S62" s="37">
        <f>E62*discount</f>
        <v/>
      </c>
      <c r="T62" s="38">
        <f>S62*R62</f>
        <v/>
      </c>
      <c r="U62" s="38">
        <f>(battery/range_nm)*D62*O62*VLOOKUP(B62,country_opex,3,FALSE)</f>
        <v/>
      </c>
      <c r="V62" s="38">
        <f>VLOOKUP(B62,country_opex,2,FALSE)*crew_factor</f>
        <v/>
      </c>
      <c r="W62" s="38">
        <f>VLOOKUP(B62,country_opex,5,FALSE)</f>
        <v/>
      </c>
      <c r="X62" s="38">
        <f>maint</f>
        <v/>
      </c>
      <c r="Y62" s="38">
        <f>VLOOKUP(B62,country_opex,7,FALSE)*ins_pct</f>
        <v/>
      </c>
      <c r="Z62" s="38">
        <f>charge_berth</f>
        <v/>
      </c>
      <c r="AA62" s="38">
        <f>U62+V62+W62+X62+Y62+Z62</f>
        <v/>
      </c>
      <c r="AB62" s="38">
        <f>VLOOKUP(B62,country_opex,7,FALSE)/dep_years</f>
        <v/>
      </c>
      <c r="AC62" s="38">
        <f>T62-AA62</f>
        <v/>
      </c>
      <c r="AD62" s="35">
        <f>IF(T62=0,"",AC62/T62)</f>
        <v/>
      </c>
      <c r="AE62" s="36">
        <f>IF(AC62&lt;=0,"",VLOOKUP(B62,country_opex,7,FALSE)/AC62)</f>
        <v/>
      </c>
      <c r="AF62" s="33">
        <f>((D62*O62/diesel_nmpg)*diesel_co2pg-(battery/range_nm)*D62*O62*VLOOKUP(B62,country_opex,4,FALSE))/1000</f>
        <v/>
      </c>
      <c r="AG62" s="31" t="n">
        <v>11250</v>
      </c>
      <c r="AH62" s="32" t="inlineStr">
        <is>
          <t>T3</t>
        </is>
      </c>
      <c r="AI62" s="32" t="inlineStr">
        <is>
          <t>med-low</t>
        </is>
      </c>
      <c r="AJ62" s="39" t="n">
        <v>0.1</v>
      </c>
      <c r="AK62" s="34">
        <f>IF(AG62="","",AG62*AJ62)</f>
        <v/>
      </c>
      <c r="AL62" s="34">
        <f>IF(OR(AG62="",R62=0),"",MIN(IF(AS62="",9.9E+99,AS62),FLOOR(AK62/R62,1)))</f>
        <v/>
      </c>
      <c r="AM62" s="38">
        <f>IF(AL62="","",AL62*T62)</f>
        <v/>
      </c>
      <c r="AN62" s="36">
        <f>IF(OR(AG62="",R62=0),"",MIN(IF(AS62="",9.9E+99,AS62),AK62/R62))</f>
        <v/>
      </c>
      <c r="AO62" s="38">
        <f>IF(AN62="","",AN62*T62)</f>
        <v/>
      </c>
      <c r="AP62" s="40" t="n"/>
      <c r="AQ62" s="41" t="n"/>
      <c r="AR62" s="41" t="n"/>
      <c r="AS62" s="42" t="n"/>
      <c r="AT62" s="43">
        <f>IF(((S62*pax_cap*load_thin*ROUND(K62*L62*revleg_thin,0))-(((battery/range_nm)*D62*ROUND(K62*L62*revleg_thin,0)*VLOOKUP(B62,country_opex,3,FALSE))+V62+W62+X62+Y62+Z62))&lt;=0,"",VLOOKUP(B62,country_opex,7,FALSE)/((S62*pax_cap*load_thin*ROUND(K62*L62*revleg_thin,0))-(((battery/range_nm)*D62*ROUND(K62*L62*revleg_thin,0)*VLOOKUP(B62,country_opex,3,FALSE))+V62+W62+X62+Y62+Z62)))</f>
        <v/>
      </c>
      <c r="AU62" s="43">
        <f>IF(((S62*pax_cap*load_mid*ROUND(K62*L62*revleg_mid,0))-(((battery/range_nm)*D62*ROUND(K62*L62*revleg_mid,0)*VLOOKUP(B62,country_opex,3,FALSE))+V62+W62+X62+Y62+Z62))&lt;=0,"",VLOOKUP(B62,country_opex,7,FALSE)/((S62*pax_cap*load_mid*ROUND(K62*L62*revleg_mid,0))-(((battery/range_nm)*D62*ROUND(K62*L62*revleg_mid,0)*VLOOKUP(B62,country_opex,3,FALSE))+V62+W62+X62+Y62+Z62)))</f>
        <v/>
      </c>
      <c r="AV62" s="43">
        <f>IF(((S62*pax_cap*load_full*ROUND(K62*L62*revleg_full,0))-(((battery/range_nm)*D62*ROUND(K62*L62*revleg_full,0)*VLOOKUP(B62,country_opex,3,FALSE))+V62+W62+X62+Y62+Z62))&lt;=0,"",VLOOKUP(B62,country_opex,7,FALSE)/((S62*pax_cap*load_full*ROUND(K62*L62*revleg_full,0))-(((battery/range_nm)*D62*ROUND(K62*L62*revleg_full,0)*VLOOKUP(B62,country_opex,3,FALSE))+V62+W62+X62+Y62+Z62)))</f>
        <v/>
      </c>
      <c r="AW62" s="44" t="inlineStr">
        <is>
          <t>handoff/INDIA-ECONOMICS-SIDECAR-V0-2026-06-20.json (goa)</t>
        </is>
      </c>
      <c r="AX62" s="44" t="inlineStr">
        <is>
          <t>handoff/INDIA-ECONOMICS-SIDECAR-V0-2026-06-20.json (goa)</t>
        </is>
      </c>
    </row>
    <row r="63">
      <c r="A63" s="29" t="inlineStr">
        <is>
          <t>India Kerala Rapido</t>
        </is>
      </c>
      <c r="B63" s="29" t="inlineStr">
        <is>
          <t>India</t>
        </is>
      </c>
      <c r="C63" s="30" t="inlineStr">
        <is>
          <t>Thevara Ferry → Sailing Club House</t>
        </is>
      </c>
      <c r="D63" s="31" t="n">
        <v>3.2</v>
      </c>
      <c r="E63" s="26" t="n">
        <v>18</v>
      </c>
      <c r="F63" s="32" t="inlineStr">
        <is>
          <t>T3</t>
        </is>
      </c>
      <c r="G63" s="32" t="inlineStr">
        <is>
          <t>med-low</t>
        </is>
      </c>
      <c r="H63" s="19" t="n">
        <v>1</v>
      </c>
      <c r="I63" s="33">
        <f>60*D63/cruise_kt</f>
        <v/>
      </c>
      <c r="J63" s="33">
        <f>I63+turn_min+dwell_min</f>
        <v/>
      </c>
      <c r="K63" s="34">
        <f>MIN(10,FLOOR(60*service_hr/J63,1))</f>
        <v/>
      </c>
      <c r="L63" s="34">
        <f>ROUND(365*mech_uptime*H63,0)</f>
        <v/>
      </c>
      <c r="M63" s="35">
        <f>mech_uptime</f>
        <v/>
      </c>
      <c r="N63" s="35">
        <f>revleg_sel</f>
        <v/>
      </c>
      <c r="O63" s="34">
        <f>ROUND(K63*L63*revleg_sel,0)</f>
        <v/>
      </c>
      <c r="P63" s="36">
        <f>load_sel</f>
        <v/>
      </c>
      <c r="Q63" s="36">
        <f>pax_cap*P63</f>
        <v/>
      </c>
      <c r="R63" s="34">
        <f>Q63*O63</f>
        <v/>
      </c>
      <c r="S63" s="37">
        <f>E63*discount</f>
        <v/>
      </c>
      <c r="T63" s="38">
        <f>S63*R63</f>
        <v/>
      </c>
      <c r="U63" s="38">
        <f>(battery/range_nm)*D63*O63*VLOOKUP(B63,country_opex,3,FALSE)</f>
        <v/>
      </c>
      <c r="V63" s="38">
        <f>VLOOKUP(B63,country_opex,2,FALSE)*crew_factor</f>
        <v/>
      </c>
      <c r="W63" s="38">
        <f>VLOOKUP(B63,country_opex,5,FALSE)</f>
        <v/>
      </c>
      <c r="X63" s="38">
        <f>maint</f>
        <v/>
      </c>
      <c r="Y63" s="38">
        <f>VLOOKUP(B63,country_opex,7,FALSE)*ins_pct</f>
        <v/>
      </c>
      <c r="Z63" s="38">
        <f>charge_berth</f>
        <v/>
      </c>
      <c r="AA63" s="38">
        <f>U63+V63+W63+X63+Y63+Z63</f>
        <v/>
      </c>
      <c r="AB63" s="38">
        <f>VLOOKUP(B63,country_opex,7,FALSE)/dep_years</f>
        <v/>
      </c>
      <c r="AC63" s="38">
        <f>T63-AA63</f>
        <v/>
      </c>
      <c r="AD63" s="35">
        <f>IF(T63=0,"",AC63/T63)</f>
        <v/>
      </c>
      <c r="AE63" s="36">
        <f>IF(AC63&lt;=0,"",VLOOKUP(B63,country_opex,7,FALSE)/AC63)</f>
        <v/>
      </c>
      <c r="AF63" s="33">
        <f>((D63*O63/diesel_nmpg)*diesel_co2pg-(battery/range_nm)*D63*O63*VLOOKUP(B63,country_opex,4,FALSE))/1000</f>
        <v/>
      </c>
      <c r="AG63" s="31" t="n">
        <v>29166</v>
      </c>
      <c r="AH63" s="32" t="inlineStr">
        <is>
          <t>T3</t>
        </is>
      </c>
      <c r="AI63" s="32" t="inlineStr">
        <is>
          <t>med-low</t>
        </is>
      </c>
      <c r="AJ63" s="39" t="n">
        <v>0.1</v>
      </c>
      <c r="AK63" s="34">
        <f>IF(AG63="","",AG63*AJ63)</f>
        <v/>
      </c>
      <c r="AL63" s="34">
        <f>IF(OR(AG63="",R63=0),"",MIN(IF(AS63="",9.9E+99,AS63),FLOOR(AK63/R63,1)))</f>
        <v/>
      </c>
      <c r="AM63" s="38">
        <f>IF(AL63="","",AL63*T63)</f>
        <v/>
      </c>
      <c r="AN63" s="36">
        <f>IF(OR(AG63="",R63=0),"",MIN(IF(AS63="",9.9E+99,AS63),AK63/R63))</f>
        <v/>
      </c>
      <c r="AO63" s="38">
        <f>IF(AN63="","",AN63*T63)</f>
        <v/>
      </c>
      <c r="AP63" s="40" t="n"/>
      <c r="AQ63" s="41" t="n"/>
      <c r="AR63" s="41" t="n"/>
      <c r="AS63" s="42" t="n"/>
      <c r="AT63" s="43">
        <f>IF(((S63*pax_cap*load_thin*ROUND(K63*L63*revleg_thin,0))-(((battery/range_nm)*D63*ROUND(K63*L63*revleg_thin,0)*VLOOKUP(B63,country_opex,3,FALSE))+V63+W63+X63+Y63+Z63))&lt;=0,"",VLOOKUP(B63,country_opex,7,FALSE)/((S63*pax_cap*load_thin*ROUND(K63*L63*revleg_thin,0))-(((battery/range_nm)*D63*ROUND(K63*L63*revleg_thin,0)*VLOOKUP(B63,country_opex,3,FALSE))+V63+W63+X63+Y63+Z63)))</f>
        <v/>
      </c>
      <c r="AU63" s="43">
        <f>IF(((S63*pax_cap*load_mid*ROUND(K63*L63*revleg_mid,0))-(((battery/range_nm)*D63*ROUND(K63*L63*revleg_mid,0)*VLOOKUP(B63,country_opex,3,FALSE))+V63+W63+X63+Y63+Z63))&lt;=0,"",VLOOKUP(B63,country_opex,7,FALSE)/((S63*pax_cap*load_mid*ROUND(K63*L63*revleg_mid,0))-(((battery/range_nm)*D63*ROUND(K63*L63*revleg_mid,0)*VLOOKUP(B63,country_opex,3,FALSE))+V63+W63+X63+Y63+Z63)))</f>
        <v/>
      </c>
      <c r="AV63" s="43">
        <f>IF(((S63*pax_cap*load_full*ROUND(K63*L63*revleg_full,0))-(((battery/range_nm)*D63*ROUND(K63*L63*revleg_full,0)*VLOOKUP(B63,country_opex,3,FALSE))+V63+W63+X63+Y63+Z63))&lt;=0,"",VLOOKUP(B63,country_opex,7,FALSE)/((S63*pax_cap*load_full*ROUND(K63*L63*revleg_full,0))-(((battery/range_nm)*D63*ROUND(K63*L63*revleg_full,0)*VLOOKUP(B63,country_opex,3,FALSE))+V63+W63+X63+Y63+Z63)))</f>
        <v/>
      </c>
      <c r="AW63" s="44" t="inlineStr">
        <is>
          <t>[LB-255 PREMIUM RE-FARE: subsidized comparable $3.5 lifted to premium on-demand floor $18.0] handoff/INDIA-ECONOMICS-SIDECAR-V0-2026-06-20.json (kerala)</t>
        </is>
      </c>
      <c r="AX63" s="44" t="inlineStr">
        <is>
          <t>handoff/INDIA-ECONOMICS-SIDECAR-V0-2026-06-20.json (kerala)</t>
        </is>
      </c>
    </row>
    <row r="64">
      <c r="A64" s="29" t="inlineStr">
        <is>
          <t>India Mumbai Rapido</t>
        </is>
      </c>
      <c r="B64" s="29" t="inlineStr">
        <is>
          <t>India</t>
        </is>
      </c>
      <c r="C64" s="30" t="inlineStr">
        <is>
          <t>Bombay Harbour → Elephanta Caves</t>
        </is>
      </c>
      <c r="D64" s="31" t="n">
        <v>3.2</v>
      </c>
      <c r="E64" s="26" t="n">
        <v>18</v>
      </c>
      <c r="F64" s="32" t="inlineStr">
        <is>
          <t>T3</t>
        </is>
      </c>
      <c r="G64" s="32" t="inlineStr">
        <is>
          <t>med-low</t>
        </is>
      </c>
      <c r="H64" s="19" t="n">
        <v>1</v>
      </c>
      <c r="I64" s="33">
        <f>60*D64/cruise_kt</f>
        <v/>
      </c>
      <c r="J64" s="33">
        <f>I64+turn_min+dwell_min</f>
        <v/>
      </c>
      <c r="K64" s="34">
        <f>MIN(10,FLOOR(60*service_hr/J64,1))</f>
        <v/>
      </c>
      <c r="L64" s="34">
        <f>ROUND(365*mech_uptime*H64,0)</f>
        <v/>
      </c>
      <c r="M64" s="35">
        <f>mech_uptime</f>
        <v/>
      </c>
      <c r="N64" s="35">
        <f>revleg_sel</f>
        <v/>
      </c>
      <c r="O64" s="34">
        <f>ROUND(K64*L64*revleg_sel,0)</f>
        <v/>
      </c>
      <c r="P64" s="36">
        <f>load_sel</f>
        <v/>
      </c>
      <c r="Q64" s="36">
        <f>pax_cap*P64</f>
        <v/>
      </c>
      <c r="R64" s="34">
        <f>Q64*O64</f>
        <v/>
      </c>
      <c r="S64" s="37">
        <f>E64*discount</f>
        <v/>
      </c>
      <c r="T64" s="38">
        <f>S64*R64</f>
        <v/>
      </c>
      <c r="U64" s="38">
        <f>(battery/range_nm)*D64*O64*VLOOKUP(B64,country_opex,3,FALSE)</f>
        <v/>
      </c>
      <c r="V64" s="38">
        <f>VLOOKUP(B64,country_opex,2,FALSE)*crew_factor</f>
        <v/>
      </c>
      <c r="W64" s="38">
        <f>VLOOKUP(B64,country_opex,5,FALSE)</f>
        <v/>
      </c>
      <c r="X64" s="38">
        <f>maint</f>
        <v/>
      </c>
      <c r="Y64" s="38">
        <f>VLOOKUP(B64,country_opex,7,FALSE)*ins_pct</f>
        <v/>
      </c>
      <c r="Z64" s="38">
        <f>charge_berth</f>
        <v/>
      </c>
      <c r="AA64" s="38">
        <f>U64+V64+W64+X64+Y64+Z64</f>
        <v/>
      </c>
      <c r="AB64" s="38">
        <f>VLOOKUP(B64,country_opex,7,FALSE)/dep_years</f>
        <v/>
      </c>
      <c r="AC64" s="38">
        <f>T64-AA64</f>
        <v/>
      </c>
      <c r="AD64" s="35">
        <f>IF(T64=0,"",AC64/T64)</f>
        <v/>
      </c>
      <c r="AE64" s="36">
        <f>IF(AC64&lt;=0,"",VLOOKUP(B64,country_opex,7,FALSE)/AC64)</f>
        <v/>
      </c>
      <c r="AF64" s="33">
        <f>((D64*O64/diesel_nmpg)*diesel_co2pg-(battery/range_nm)*D64*O64*VLOOKUP(B64,country_opex,4,FALSE))/1000</f>
        <v/>
      </c>
      <c r="AG64" s="31" t="n">
        <v>5000</v>
      </c>
      <c r="AH64" s="32" t="inlineStr">
        <is>
          <t>T3</t>
        </is>
      </c>
      <c r="AI64" s="32" t="inlineStr">
        <is>
          <t>med-low</t>
        </is>
      </c>
      <c r="AJ64" s="39" t="n">
        <v>0.1</v>
      </c>
      <c r="AK64" s="34">
        <f>IF(AG64="","",AG64*AJ64)</f>
        <v/>
      </c>
      <c r="AL64" s="34">
        <f>IF(OR(AG64="",R64=0),"",MIN(IF(AS64="",9.9E+99,AS64),FLOOR(AK64/R64,1)))</f>
        <v/>
      </c>
      <c r="AM64" s="38">
        <f>IF(AL64="","",AL64*T64)</f>
        <v/>
      </c>
      <c r="AN64" s="36">
        <f>IF(OR(AG64="",R64=0),"",MIN(IF(AS64="",9.9E+99,AS64),AK64/R64))</f>
        <v/>
      </c>
      <c r="AO64" s="38">
        <f>IF(AN64="","",AN64*T64)</f>
        <v/>
      </c>
      <c r="AP64" s="40" t="n"/>
      <c r="AQ64" s="41" t="n"/>
      <c r="AR64" s="41" t="n"/>
      <c r="AS64" s="42" t="n"/>
      <c r="AT64" s="43">
        <f>IF(((S64*pax_cap*load_thin*ROUND(K64*L64*revleg_thin,0))-(((battery/range_nm)*D64*ROUND(K64*L64*revleg_thin,0)*VLOOKUP(B64,country_opex,3,FALSE))+V64+W64+X64+Y64+Z64))&lt;=0,"",VLOOKUP(B64,country_opex,7,FALSE)/((S64*pax_cap*load_thin*ROUND(K64*L64*revleg_thin,0))-(((battery/range_nm)*D64*ROUND(K64*L64*revleg_thin,0)*VLOOKUP(B64,country_opex,3,FALSE))+V64+W64+X64+Y64+Z64)))</f>
        <v/>
      </c>
      <c r="AU64" s="43">
        <f>IF(((S64*pax_cap*load_mid*ROUND(K64*L64*revleg_mid,0))-(((battery/range_nm)*D64*ROUND(K64*L64*revleg_mid,0)*VLOOKUP(B64,country_opex,3,FALSE))+V64+W64+X64+Y64+Z64))&lt;=0,"",VLOOKUP(B64,country_opex,7,FALSE)/((S64*pax_cap*load_mid*ROUND(K64*L64*revleg_mid,0))-(((battery/range_nm)*D64*ROUND(K64*L64*revleg_mid,0)*VLOOKUP(B64,country_opex,3,FALSE))+V64+W64+X64+Y64+Z64)))</f>
        <v/>
      </c>
      <c r="AV64" s="43">
        <f>IF(((S64*pax_cap*load_full*ROUND(K64*L64*revleg_full,0))-(((battery/range_nm)*D64*ROUND(K64*L64*revleg_full,0)*VLOOKUP(B64,country_opex,3,FALSE))+V64+W64+X64+Y64+Z64))&lt;=0,"",VLOOKUP(B64,country_opex,7,FALSE)/((S64*pax_cap*load_full*ROUND(K64*L64*revleg_full,0))-(((battery/range_nm)*D64*ROUND(K64*L64*revleg_full,0)*VLOOKUP(B64,country_opex,3,FALSE))+V64+W64+X64+Y64+Z64)))</f>
        <v/>
      </c>
      <c r="AW64" s="44" t="inlineStr">
        <is>
          <t>[LB-255 PREMIUM RE-FARE: subsidized comparable $5.5 lifted to premium on-demand floor $18.0] handoff/INDIA-ECONOMICS-SIDECAR-V0-2026-06-20.json (mumbai)</t>
        </is>
      </c>
      <c r="AX64" s="44" t="inlineStr">
        <is>
          <t>handoff/INDIA-ECONOMICS-SIDECAR-V0-2026-06-20.json (mumbai)</t>
        </is>
      </c>
    </row>
    <row r="65">
      <c r="A65" s="29" t="inlineStr">
        <is>
          <t>India Andaman Rapido</t>
        </is>
      </c>
      <c r="B65" s="29" t="inlineStr">
        <is>
          <t>India</t>
        </is>
      </c>
      <c r="C65" s="30" t="inlineStr">
        <is>
          <t>Andaman → Chatham Harbour</t>
        </is>
      </c>
      <c r="D65" s="31" t="n">
        <v>3.3</v>
      </c>
      <c r="E65" s="26" t="n">
        <v>22</v>
      </c>
      <c r="F65" s="32" t="inlineStr">
        <is>
          <t>T3</t>
        </is>
      </c>
      <c r="G65" s="32" t="inlineStr">
        <is>
          <t>med-low</t>
        </is>
      </c>
      <c r="H65" s="19" t="n">
        <v>1</v>
      </c>
      <c r="I65" s="33">
        <f>60*D65/cruise_kt</f>
        <v/>
      </c>
      <c r="J65" s="33">
        <f>I65+turn_min+dwell_min</f>
        <v/>
      </c>
      <c r="K65" s="34">
        <f>MIN(10,FLOOR(60*service_hr/J65,1))</f>
        <v/>
      </c>
      <c r="L65" s="34">
        <f>ROUND(365*mech_uptime*H65,0)</f>
        <v/>
      </c>
      <c r="M65" s="35">
        <f>mech_uptime</f>
        <v/>
      </c>
      <c r="N65" s="35">
        <f>revleg_sel</f>
        <v/>
      </c>
      <c r="O65" s="34">
        <f>ROUND(K65*L65*revleg_sel,0)</f>
        <v/>
      </c>
      <c r="P65" s="36">
        <f>load_sel</f>
        <v/>
      </c>
      <c r="Q65" s="36">
        <f>pax_cap*P65</f>
        <v/>
      </c>
      <c r="R65" s="34">
        <f>Q65*O65</f>
        <v/>
      </c>
      <c r="S65" s="37">
        <f>E65*discount</f>
        <v/>
      </c>
      <c r="T65" s="38">
        <f>S65*R65</f>
        <v/>
      </c>
      <c r="U65" s="38">
        <f>(battery/range_nm)*D65*O65*VLOOKUP(B65,country_opex,3,FALSE)</f>
        <v/>
      </c>
      <c r="V65" s="38">
        <f>VLOOKUP(B65,country_opex,2,FALSE)*crew_factor</f>
        <v/>
      </c>
      <c r="W65" s="38">
        <f>VLOOKUP(B65,country_opex,5,FALSE)</f>
        <v/>
      </c>
      <c r="X65" s="38">
        <f>maint</f>
        <v/>
      </c>
      <c r="Y65" s="38">
        <f>VLOOKUP(B65,country_opex,7,FALSE)*ins_pct</f>
        <v/>
      </c>
      <c r="Z65" s="38">
        <f>charge_berth</f>
        <v/>
      </c>
      <c r="AA65" s="38">
        <f>U65+V65+W65+X65+Y65+Z65</f>
        <v/>
      </c>
      <c r="AB65" s="38">
        <f>VLOOKUP(B65,country_opex,7,FALSE)/dep_years</f>
        <v/>
      </c>
      <c r="AC65" s="38">
        <f>T65-AA65</f>
        <v/>
      </c>
      <c r="AD65" s="35">
        <f>IF(T65=0,"",AC65/T65)</f>
        <v/>
      </c>
      <c r="AE65" s="36">
        <f>IF(AC65&lt;=0,"",VLOOKUP(B65,country_opex,7,FALSE)/AC65)</f>
        <v/>
      </c>
      <c r="AF65" s="33">
        <f>((D65*O65/diesel_nmpg)*diesel_co2pg-(battery/range_nm)*D65*O65*VLOOKUP(B65,country_opex,4,FALSE))/1000</f>
        <v/>
      </c>
      <c r="AG65" s="31" t="n">
        <v>5000</v>
      </c>
      <c r="AH65" s="32" t="inlineStr">
        <is>
          <t>T3</t>
        </is>
      </c>
      <c r="AI65" s="32" t="inlineStr">
        <is>
          <t>med-low</t>
        </is>
      </c>
      <c r="AJ65" s="39" t="n">
        <v>0.1</v>
      </c>
      <c r="AK65" s="34">
        <f>IF(AG65="","",AG65*AJ65)</f>
        <v/>
      </c>
      <c r="AL65" s="34">
        <f>IF(OR(AG65="",R65=0),"",MIN(IF(AS65="",9.9E+99,AS65),FLOOR(AK65/R65,1)))</f>
        <v/>
      </c>
      <c r="AM65" s="38">
        <f>IF(AL65="","",AL65*T65)</f>
        <v/>
      </c>
      <c r="AN65" s="36">
        <f>IF(OR(AG65="",R65=0),"",MIN(IF(AS65="",9.9E+99,AS65),AK65/R65))</f>
        <v/>
      </c>
      <c r="AO65" s="38">
        <f>IF(AN65="","",AN65*T65)</f>
        <v/>
      </c>
      <c r="AP65" s="40" t="n"/>
      <c r="AQ65" s="41" t="n"/>
      <c r="AR65" s="41" t="n"/>
      <c r="AS65" s="42" t="n"/>
      <c r="AT65" s="43">
        <f>IF(((S65*pax_cap*load_thin*ROUND(K65*L65*revleg_thin,0))-(((battery/range_nm)*D65*ROUND(K65*L65*revleg_thin,0)*VLOOKUP(B65,country_opex,3,FALSE))+V65+W65+X65+Y65+Z65))&lt;=0,"",VLOOKUP(B65,country_opex,7,FALSE)/((S65*pax_cap*load_thin*ROUND(K65*L65*revleg_thin,0))-(((battery/range_nm)*D65*ROUND(K65*L65*revleg_thin,0)*VLOOKUP(B65,country_opex,3,FALSE))+V65+W65+X65+Y65+Z65)))</f>
        <v/>
      </c>
      <c r="AU65" s="43">
        <f>IF(((S65*pax_cap*load_mid*ROUND(K65*L65*revleg_mid,0))-(((battery/range_nm)*D65*ROUND(K65*L65*revleg_mid,0)*VLOOKUP(B65,country_opex,3,FALSE))+V65+W65+X65+Y65+Z65))&lt;=0,"",VLOOKUP(B65,country_opex,7,FALSE)/((S65*pax_cap*load_mid*ROUND(K65*L65*revleg_mid,0))-(((battery/range_nm)*D65*ROUND(K65*L65*revleg_mid,0)*VLOOKUP(B65,country_opex,3,FALSE))+V65+W65+X65+Y65+Z65)))</f>
        <v/>
      </c>
      <c r="AV65" s="43">
        <f>IF(((S65*pax_cap*load_full*ROUND(K65*L65*revleg_full,0))-(((battery/range_nm)*D65*ROUND(K65*L65*revleg_full,0)*VLOOKUP(B65,country_opex,3,FALSE))+V65+W65+X65+Y65+Z65))&lt;=0,"",VLOOKUP(B65,country_opex,7,FALSE)/((S65*pax_cap*load_full*ROUND(K65*L65*revleg_full,0))-(((battery/range_nm)*D65*ROUND(K65*L65*revleg_full,0)*VLOOKUP(B65,country_opex,3,FALSE))+V65+W65+X65+Y65+Z65)))</f>
        <v/>
      </c>
      <c r="AW65" s="44" t="inlineStr">
        <is>
          <t>handoff/INDIA-ECONOMICS-SIDECAR-V0-2026-06-20.json (andaman)</t>
        </is>
      </c>
      <c r="AX65" s="44" t="inlineStr">
        <is>
          <t>handoff/INDIA-ECONOMICS-SIDECAR-V0-2026-06-20.json (andaman)</t>
        </is>
      </c>
    </row>
    <row r="66">
      <c r="A66" s="29" t="inlineStr">
        <is>
          <t>India Andaman Rapido</t>
        </is>
      </c>
      <c r="B66" s="29" t="inlineStr">
        <is>
          <t>India</t>
        </is>
      </c>
      <c r="C66" s="30" t="inlineStr">
        <is>
          <t>Andaman → Haddo Jetty</t>
        </is>
      </c>
      <c r="D66" s="31" t="n">
        <v>3.3</v>
      </c>
      <c r="E66" s="26" t="n">
        <v>22</v>
      </c>
      <c r="F66" s="32" t="inlineStr">
        <is>
          <t>T3</t>
        </is>
      </c>
      <c r="G66" s="32" t="inlineStr">
        <is>
          <t>med-low</t>
        </is>
      </c>
      <c r="H66" s="19" t="n">
        <v>1</v>
      </c>
      <c r="I66" s="33">
        <f>60*D66/cruise_kt</f>
        <v/>
      </c>
      <c r="J66" s="33">
        <f>I66+turn_min+dwell_min</f>
        <v/>
      </c>
      <c r="K66" s="34">
        <f>MIN(10,FLOOR(60*service_hr/J66,1))</f>
        <v/>
      </c>
      <c r="L66" s="34">
        <f>ROUND(365*mech_uptime*H66,0)</f>
        <v/>
      </c>
      <c r="M66" s="35">
        <f>mech_uptime</f>
        <v/>
      </c>
      <c r="N66" s="35">
        <f>revleg_sel</f>
        <v/>
      </c>
      <c r="O66" s="34">
        <f>ROUND(K66*L66*revleg_sel,0)</f>
        <v/>
      </c>
      <c r="P66" s="36">
        <f>load_sel</f>
        <v/>
      </c>
      <c r="Q66" s="36">
        <f>pax_cap*P66</f>
        <v/>
      </c>
      <c r="R66" s="34">
        <f>Q66*O66</f>
        <v/>
      </c>
      <c r="S66" s="37">
        <f>E66*discount</f>
        <v/>
      </c>
      <c r="T66" s="38">
        <f>S66*R66</f>
        <v/>
      </c>
      <c r="U66" s="38">
        <f>(battery/range_nm)*D66*O66*VLOOKUP(B66,country_opex,3,FALSE)</f>
        <v/>
      </c>
      <c r="V66" s="38">
        <f>VLOOKUP(B66,country_opex,2,FALSE)*crew_factor</f>
        <v/>
      </c>
      <c r="W66" s="38">
        <f>VLOOKUP(B66,country_opex,5,FALSE)</f>
        <v/>
      </c>
      <c r="X66" s="38">
        <f>maint</f>
        <v/>
      </c>
      <c r="Y66" s="38">
        <f>VLOOKUP(B66,country_opex,7,FALSE)*ins_pct</f>
        <v/>
      </c>
      <c r="Z66" s="38">
        <f>charge_berth</f>
        <v/>
      </c>
      <c r="AA66" s="38">
        <f>U66+V66+W66+X66+Y66+Z66</f>
        <v/>
      </c>
      <c r="AB66" s="38">
        <f>VLOOKUP(B66,country_opex,7,FALSE)/dep_years</f>
        <v/>
      </c>
      <c r="AC66" s="38">
        <f>T66-AA66</f>
        <v/>
      </c>
      <c r="AD66" s="35">
        <f>IF(T66=0,"",AC66/T66)</f>
        <v/>
      </c>
      <c r="AE66" s="36">
        <f>IF(AC66&lt;=0,"",VLOOKUP(B66,country_opex,7,FALSE)/AC66)</f>
        <v/>
      </c>
      <c r="AF66" s="33">
        <f>((D66*O66/diesel_nmpg)*diesel_co2pg-(battery/range_nm)*D66*O66*VLOOKUP(B66,country_opex,4,FALSE))/1000</f>
        <v/>
      </c>
      <c r="AG66" s="31" t="n">
        <v>5000</v>
      </c>
      <c r="AH66" s="32" t="inlineStr">
        <is>
          <t>T3</t>
        </is>
      </c>
      <c r="AI66" s="32" t="inlineStr">
        <is>
          <t>med-low</t>
        </is>
      </c>
      <c r="AJ66" s="39" t="n">
        <v>0.1</v>
      </c>
      <c r="AK66" s="34">
        <f>IF(AG66="","",AG66*AJ66)</f>
        <v/>
      </c>
      <c r="AL66" s="34">
        <f>IF(OR(AG66="",R66=0),"",MIN(IF(AS66="",9.9E+99,AS66),FLOOR(AK66/R66,1)))</f>
        <v/>
      </c>
      <c r="AM66" s="38">
        <f>IF(AL66="","",AL66*T66)</f>
        <v/>
      </c>
      <c r="AN66" s="36">
        <f>IF(OR(AG66="",R66=0),"",MIN(IF(AS66="",9.9E+99,AS66),AK66/R66))</f>
        <v/>
      </c>
      <c r="AO66" s="38">
        <f>IF(AN66="","",AN66*T66)</f>
        <v/>
      </c>
      <c r="AP66" s="40" t="n"/>
      <c r="AQ66" s="41" t="n"/>
      <c r="AR66" s="41" t="n"/>
      <c r="AS66" s="42" t="n"/>
      <c r="AT66" s="43">
        <f>IF(((S66*pax_cap*load_thin*ROUND(K66*L66*revleg_thin,0))-(((battery/range_nm)*D66*ROUND(K66*L66*revleg_thin,0)*VLOOKUP(B66,country_opex,3,FALSE))+V66+W66+X66+Y66+Z66))&lt;=0,"",VLOOKUP(B66,country_opex,7,FALSE)/((S66*pax_cap*load_thin*ROUND(K66*L66*revleg_thin,0))-(((battery/range_nm)*D66*ROUND(K66*L66*revleg_thin,0)*VLOOKUP(B66,country_opex,3,FALSE))+V66+W66+X66+Y66+Z66)))</f>
        <v/>
      </c>
      <c r="AU66" s="43">
        <f>IF(((S66*pax_cap*load_mid*ROUND(K66*L66*revleg_mid,0))-(((battery/range_nm)*D66*ROUND(K66*L66*revleg_mid,0)*VLOOKUP(B66,country_opex,3,FALSE))+V66+W66+X66+Y66+Z66))&lt;=0,"",VLOOKUP(B66,country_opex,7,FALSE)/((S66*pax_cap*load_mid*ROUND(K66*L66*revleg_mid,0))-(((battery/range_nm)*D66*ROUND(K66*L66*revleg_mid,0)*VLOOKUP(B66,country_opex,3,FALSE))+V66+W66+X66+Y66+Z66)))</f>
        <v/>
      </c>
      <c r="AV66" s="43">
        <f>IF(((S66*pax_cap*load_full*ROUND(K66*L66*revleg_full,0))-(((battery/range_nm)*D66*ROUND(K66*L66*revleg_full,0)*VLOOKUP(B66,country_opex,3,FALSE))+V66+W66+X66+Y66+Z66))&lt;=0,"",VLOOKUP(B66,country_opex,7,FALSE)/((S66*pax_cap*load_full*ROUND(K66*L66*revleg_full,0))-(((battery/range_nm)*D66*ROUND(K66*L66*revleg_full,0)*VLOOKUP(B66,country_opex,3,FALSE))+V66+W66+X66+Y66+Z66)))</f>
        <v/>
      </c>
      <c r="AW66" s="44" t="inlineStr">
        <is>
          <t>handoff/INDIA-ECONOMICS-SIDECAR-V0-2026-06-20.json (andaman)</t>
        </is>
      </c>
      <c r="AX66" s="44" t="inlineStr">
        <is>
          <t>handoff/INDIA-ECONOMICS-SIDECAR-V0-2026-06-20.json (andaman)</t>
        </is>
      </c>
    </row>
    <row r="67">
      <c r="A67" s="29" t="inlineStr">
        <is>
          <t>India Andaman Rapido</t>
        </is>
      </c>
      <c r="B67" s="29" t="inlineStr">
        <is>
          <t>India</t>
        </is>
      </c>
      <c r="C67" s="30" t="inlineStr">
        <is>
          <t>Bambooflat Jetty → Chatham Jetty</t>
        </is>
      </c>
      <c r="D67" s="31" t="n">
        <v>3.3</v>
      </c>
      <c r="E67" s="26" t="n">
        <v>22</v>
      </c>
      <c r="F67" s="32" t="inlineStr">
        <is>
          <t>T3</t>
        </is>
      </c>
      <c r="G67" s="32" t="inlineStr">
        <is>
          <t>med-low</t>
        </is>
      </c>
      <c r="H67" s="19" t="n">
        <v>1</v>
      </c>
      <c r="I67" s="33">
        <f>60*D67/cruise_kt</f>
        <v/>
      </c>
      <c r="J67" s="33">
        <f>I67+turn_min+dwell_min</f>
        <v/>
      </c>
      <c r="K67" s="34">
        <f>MIN(10,FLOOR(60*service_hr/J67,1))</f>
        <v/>
      </c>
      <c r="L67" s="34">
        <f>ROUND(365*mech_uptime*H67,0)</f>
        <v/>
      </c>
      <c r="M67" s="35">
        <f>mech_uptime</f>
        <v/>
      </c>
      <c r="N67" s="35">
        <f>revleg_sel</f>
        <v/>
      </c>
      <c r="O67" s="34">
        <f>ROUND(K67*L67*revleg_sel,0)</f>
        <v/>
      </c>
      <c r="P67" s="36">
        <f>load_sel</f>
        <v/>
      </c>
      <c r="Q67" s="36">
        <f>pax_cap*P67</f>
        <v/>
      </c>
      <c r="R67" s="34">
        <f>Q67*O67</f>
        <v/>
      </c>
      <c r="S67" s="37">
        <f>E67*discount</f>
        <v/>
      </c>
      <c r="T67" s="38">
        <f>S67*R67</f>
        <v/>
      </c>
      <c r="U67" s="38">
        <f>(battery/range_nm)*D67*O67*VLOOKUP(B67,country_opex,3,FALSE)</f>
        <v/>
      </c>
      <c r="V67" s="38">
        <f>VLOOKUP(B67,country_opex,2,FALSE)*crew_factor</f>
        <v/>
      </c>
      <c r="W67" s="38">
        <f>VLOOKUP(B67,country_opex,5,FALSE)</f>
        <v/>
      </c>
      <c r="X67" s="38">
        <f>maint</f>
        <v/>
      </c>
      <c r="Y67" s="38">
        <f>VLOOKUP(B67,country_opex,7,FALSE)*ins_pct</f>
        <v/>
      </c>
      <c r="Z67" s="38">
        <f>charge_berth</f>
        <v/>
      </c>
      <c r="AA67" s="38">
        <f>U67+V67+W67+X67+Y67+Z67</f>
        <v/>
      </c>
      <c r="AB67" s="38">
        <f>VLOOKUP(B67,country_opex,7,FALSE)/dep_years</f>
        <v/>
      </c>
      <c r="AC67" s="38">
        <f>T67-AA67</f>
        <v/>
      </c>
      <c r="AD67" s="35">
        <f>IF(T67=0,"",AC67/T67)</f>
        <v/>
      </c>
      <c r="AE67" s="36">
        <f>IF(AC67&lt;=0,"",VLOOKUP(B67,country_opex,7,FALSE)/AC67)</f>
        <v/>
      </c>
      <c r="AF67" s="33">
        <f>((D67*O67/diesel_nmpg)*diesel_co2pg-(battery/range_nm)*D67*O67*VLOOKUP(B67,country_opex,4,FALSE))/1000</f>
        <v/>
      </c>
      <c r="AG67" s="31" t="n">
        <v>5000</v>
      </c>
      <c r="AH67" s="32" t="inlineStr">
        <is>
          <t>T3</t>
        </is>
      </c>
      <c r="AI67" s="32" t="inlineStr">
        <is>
          <t>med-low</t>
        </is>
      </c>
      <c r="AJ67" s="39" t="n">
        <v>0.1</v>
      </c>
      <c r="AK67" s="34">
        <f>IF(AG67="","",AG67*AJ67)</f>
        <v/>
      </c>
      <c r="AL67" s="34">
        <f>IF(OR(AG67="",R67=0),"",MIN(IF(AS67="",9.9E+99,AS67),FLOOR(AK67/R67,1)))</f>
        <v/>
      </c>
      <c r="AM67" s="38">
        <f>IF(AL67="","",AL67*T67)</f>
        <v/>
      </c>
      <c r="AN67" s="36">
        <f>IF(OR(AG67="",R67=0),"",MIN(IF(AS67="",9.9E+99,AS67),AK67/R67))</f>
        <v/>
      </c>
      <c r="AO67" s="38">
        <f>IF(AN67="","",AN67*T67)</f>
        <v/>
      </c>
      <c r="AP67" s="40" t="n"/>
      <c r="AQ67" s="41" t="n"/>
      <c r="AR67" s="41" t="n"/>
      <c r="AS67" s="42" t="n"/>
      <c r="AT67" s="43">
        <f>IF(((S67*pax_cap*load_thin*ROUND(K67*L67*revleg_thin,0))-(((battery/range_nm)*D67*ROUND(K67*L67*revleg_thin,0)*VLOOKUP(B67,country_opex,3,FALSE))+V67+W67+X67+Y67+Z67))&lt;=0,"",VLOOKUP(B67,country_opex,7,FALSE)/((S67*pax_cap*load_thin*ROUND(K67*L67*revleg_thin,0))-(((battery/range_nm)*D67*ROUND(K67*L67*revleg_thin,0)*VLOOKUP(B67,country_opex,3,FALSE))+V67+W67+X67+Y67+Z67)))</f>
        <v/>
      </c>
      <c r="AU67" s="43">
        <f>IF(((S67*pax_cap*load_mid*ROUND(K67*L67*revleg_mid,0))-(((battery/range_nm)*D67*ROUND(K67*L67*revleg_mid,0)*VLOOKUP(B67,country_opex,3,FALSE))+V67+W67+X67+Y67+Z67))&lt;=0,"",VLOOKUP(B67,country_opex,7,FALSE)/((S67*pax_cap*load_mid*ROUND(K67*L67*revleg_mid,0))-(((battery/range_nm)*D67*ROUND(K67*L67*revleg_mid,0)*VLOOKUP(B67,country_opex,3,FALSE))+V67+W67+X67+Y67+Z67)))</f>
        <v/>
      </c>
      <c r="AV67" s="43">
        <f>IF(((S67*pax_cap*load_full*ROUND(K67*L67*revleg_full,0))-(((battery/range_nm)*D67*ROUND(K67*L67*revleg_full,0)*VLOOKUP(B67,country_opex,3,FALSE))+V67+W67+X67+Y67+Z67))&lt;=0,"",VLOOKUP(B67,country_opex,7,FALSE)/((S67*pax_cap*load_full*ROUND(K67*L67*revleg_full,0))-(((battery/range_nm)*D67*ROUND(K67*L67*revleg_full,0)*VLOOKUP(B67,country_opex,3,FALSE))+V67+W67+X67+Y67+Z67)))</f>
        <v/>
      </c>
      <c r="AW67" s="44" t="inlineStr">
        <is>
          <t>handoff/INDIA-ECONOMICS-SIDECAR-V0-2026-06-20.json (andaman)</t>
        </is>
      </c>
      <c r="AX67" s="44" t="inlineStr">
        <is>
          <t>handoff/INDIA-ECONOMICS-SIDECAR-V0-2026-06-20.json (andaman)</t>
        </is>
      </c>
    </row>
    <row r="68">
      <c r="A68" s="29" t="inlineStr">
        <is>
          <t>India Mumbai Rapido</t>
        </is>
      </c>
      <c r="B68" s="29" t="inlineStr">
        <is>
          <t>India</t>
        </is>
      </c>
      <c r="C68" s="30" t="inlineStr">
        <is>
          <t>Bombay Harbour → Pirpau Jetty</t>
        </is>
      </c>
      <c r="D68" s="31" t="n">
        <v>3.4</v>
      </c>
      <c r="E68" s="26" t="n">
        <v>18</v>
      </c>
      <c r="F68" s="32" t="inlineStr">
        <is>
          <t>T3</t>
        </is>
      </c>
      <c r="G68" s="32" t="inlineStr">
        <is>
          <t>med-low</t>
        </is>
      </c>
      <c r="H68" s="19" t="n">
        <v>1</v>
      </c>
      <c r="I68" s="33">
        <f>60*D68/cruise_kt</f>
        <v/>
      </c>
      <c r="J68" s="33">
        <f>I68+turn_min+dwell_min</f>
        <v/>
      </c>
      <c r="K68" s="34">
        <f>MIN(10,FLOOR(60*service_hr/J68,1))</f>
        <v/>
      </c>
      <c r="L68" s="34">
        <f>ROUND(365*mech_uptime*H68,0)</f>
        <v/>
      </c>
      <c r="M68" s="35">
        <f>mech_uptime</f>
        <v/>
      </c>
      <c r="N68" s="35">
        <f>revleg_sel</f>
        <v/>
      </c>
      <c r="O68" s="34">
        <f>ROUND(K68*L68*revleg_sel,0)</f>
        <v/>
      </c>
      <c r="P68" s="36">
        <f>load_sel</f>
        <v/>
      </c>
      <c r="Q68" s="36">
        <f>pax_cap*P68</f>
        <v/>
      </c>
      <c r="R68" s="34">
        <f>Q68*O68</f>
        <v/>
      </c>
      <c r="S68" s="37">
        <f>E68*discount</f>
        <v/>
      </c>
      <c r="T68" s="38">
        <f>S68*R68</f>
        <v/>
      </c>
      <c r="U68" s="38">
        <f>(battery/range_nm)*D68*O68*VLOOKUP(B68,country_opex,3,FALSE)</f>
        <v/>
      </c>
      <c r="V68" s="38">
        <f>VLOOKUP(B68,country_opex,2,FALSE)*crew_factor</f>
        <v/>
      </c>
      <c r="W68" s="38">
        <f>VLOOKUP(B68,country_opex,5,FALSE)</f>
        <v/>
      </c>
      <c r="X68" s="38">
        <f>maint</f>
        <v/>
      </c>
      <c r="Y68" s="38">
        <f>VLOOKUP(B68,country_opex,7,FALSE)*ins_pct</f>
        <v/>
      </c>
      <c r="Z68" s="38">
        <f>charge_berth</f>
        <v/>
      </c>
      <c r="AA68" s="38">
        <f>U68+V68+W68+X68+Y68+Z68</f>
        <v/>
      </c>
      <c r="AB68" s="38">
        <f>VLOOKUP(B68,country_opex,7,FALSE)/dep_years</f>
        <v/>
      </c>
      <c r="AC68" s="38">
        <f>T68-AA68</f>
        <v/>
      </c>
      <c r="AD68" s="35">
        <f>IF(T68=0,"",AC68/T68)</f>
        <v/>
      </c>
      <c r="AE68" s="36">
        <f>IF(AC68&lt;=0,"",VLOOKUP(B68,country_opex,7,FALSE)/AC68)</f>
        <v/>
      </c>
      <c r="AF68" s="33">
        <f>((D68*O68/diesel_nmpg)*diesel_co2pg-(battery/range_nm)*D68*O68*VLOOKUP(B68,country_opex,4,FALSE))/1000</f>
        <v/>
      </c>
      <c r="AG68" s="31" t="n">
        <v>5000</v>
      </c>
      <c r="AH68" s="32" t="inlineStr">
        <is>
          <t>T3</t>
        </is>
      </c>
      <c r="AI68" s="32" t="inlineStr">
        <is>
          <t>med-low</t>
        </is>
      </c>
      <c r="AJ68" s="39" t="n">
        <v>0.1</v>
      </c>
      <c r="AK68" s="34">
        <f>IF(AG68="","",AG68*AJ68)</f>
        <v/>
      </c>
      <c r="AL68" s="34">
        <f>IF(OR(AG68="",R68=0),"",MIN(IF(AS68="",9.9E+99,AS68),FLOOR(AK68/R68,1)))</f>
        <v/>
      </c>
      <c r="AM68" s="38">
        <f>IF(AL68="","",AL68*T68)</f>
        <v/>
      </c>
      <c r="AN68" s="36">
        <f>IF(OR(AG68="",R68=0),"",MIN(IF(AS68="",9.9E+99,AS68),AK68/R68))</f>
        <v/>
      </c>
      <c r="AO68" s="38">
        <f>IF(AN68="","",AN68*T68)</f>
        <v/>
      </c>
      <c r="AP68" s="40" t="n"/>
      <c r="AQ68" s="41" t="n"/>
      <c r="AR68" s="41" t="n"/>
      <c r="AS68" s="42" t="n"/>
      <c r="AT68" s="43">
        <f>IF(((S68*pax_cap*load_thin*ROUND(K68*L68*revleg_thin,0))-(((battery/range_nm)*D68*ROUND(K68*L68*revleg_thin,0)*VLOOKUP(B68,country_opex,3,FALSE))+V68+W68+X68+Y68+Z68))&lt;=0,"",VLOOKUP(B68,country_opex,7,FALSE)/((S68*pax_cap*load_thin*ROUND(K68*L68*revleg_thin,0))-(((battery/range_nm)*D68*ROUND(K68*L68*revleg_thin,0)*VLOOKUP(B68,country_opex,3,FALSE))+V68+W68+X68+Y68+Z68)))</f>
        <v/>
      </c>
      <c r="AU68" s="43">
        <f>IF(((S68*pax_cap*load_mid*ROUND(K68*L68*revleg_mid,0))-(((battery/range_nm)*D68*ROUND(K68*L68*revleg_mid,0)*VLOOKUP(B68,country_opex,3,FALSE))+V68+W68+X68+Y68+Z68))&lt;=0,"",VLOOKUP(B68,country_opex,7,FALSE)/((S68*pax_cap*load_mid*ROUND(K68*L68*revleg_mid,0))-(((battery/range_nm)*D68*ROUND(K68*L68*revleg_mid,0)*VLOOKUP(B68,country_opex,3,FALSE))+V68+W68+X68+Y68+Z68)))</f>
        <v/>
      </c>
      <c r="AV68" s="43">
        <f>IF(((S68*pax_cap*load_full*ROUND(K68*L68*revleg_full,0))-(((battery/range_nm)*D68*ROUND(K68*L68*revleg_full,0)*VLOOKUP(B68,country_opex,3,FALSE))+V68+W68+X68+Y68+Z68))&lt;=0,"",VLOOKUP(B68,country_opex,7,FALSE)/((S68*pax_cap*load_full*ROUND(K68*L68*revleg_full,0))-(((battery/range_nm)*D68*ROUND(K68*L68*revleg_full,0)*VLOOKUP(B68,country_opex,3,FALSE))+V68+W68+X68+Y68+Z68)))</f>
        <v/>
      </c>
      <c r="AW68" s="44" t="inlineStr">
        <is>
          <t>[LB-255 PREMIUM RE-FARE: subsidized comparable $5.5 lifted to premium on-demand floor $18.0] handoff/INDIA-ECONOMICS-SIDECAR-V0-2026-06-20.json (mumbai)</t>
        </is>
      </c>
      <c r="AX68" s="44" t="inlineStr">
        <is>
          <t>handoff/INDIA-ECONOMICS-SIDECAR-V0-2026-06-20.json (mumbai)</t>
        </is>
      </c>
    </row>
    <row r="69">
      <c r="A69" s="29" t="inlineStr">
        <is>
          <t>India Mumbai Rapido</t>
        </is>
      </c>
      <c r="B69" s="29" t="inlineStr">
        <is>
          <t>India</t>
        </is>
      </c>
      <c r="C69" s="30" t="inlineStr">
        <is>
          <t>Gateway of India → Mumbai Harbour</t>
        </is>
      </c>
      <c r="D69" s="31" t="n">
        <v>3.4</v>
      </c>
      <c r="E69" s="26" t="n">
        <v>18</v>
      </c>
      <c r="F69" s="32" t="inlineStr">
        <is>
          <t>T3</t>
        </is>
      </c>
      <c r="G69" s="32" t="inlineStr">
        <is>
          <t>med-low</t>
        </is>
      </c>
      <c r="H69" s="19" t="n">
        <v>1</v>
      </c>
      <c r="I69" s="33">
        <f>60*D69/cruise_kt</f>
        <v/>
      </c>
      <c r="J69" s="33">
        <f>I69+turn_min+dwell_min</f>
        <v/>
      </c>
      <c r="K69" s="34">
        <f>MIN(10,FLOOR(60*service_hr/J69,1))</f>
        <v/>
      </c>
      <c r="L69" s="34">
        <f>ROUND(365*mech_uptime*H69,0)</f>
        <v/>
      </c>
      <c r="M69" s="35">
        <f>mech_uptime</f>
        <v/>
      </c>
      <c r="N69" s="35">
        <f>revleg_sel</f>
        <v/>
      </c>
      <c r="O69" s="34">
        <f>ROUND(K69*L69*revleg_sel,0)</f>
        <v/>
      </c>
      <c r="P69" s="36">
        <f>load_sel</f>
        <v/>
      </c>
      <c r="Q69" s="36">
        <f>pax_cap*P69</f>
        <v/>
      </c>
      <c r="R69" s="34">
        <f>Q69*O69</f>
        <v/>
      </c>
      <c r="S69" s="37">
        <f>E69*discount</f>
        <v/>
      </c>
      <c r="T69" s="38">
        <f>S69*R69</f>
        <v/>
      </c>
      <c r="U69" s="38">
        <f>(battery/range_nm)*D69*O69*VLOOKUP(B69,country_opex,3,FALSE)</f>
        <v/>
      </c>
      <c r="V69" s="38">
        <f>VLOOKUP(B69,country_opex,2,FALSE)*crew_factor</f>
        <v/>
      </c>
      <c r="W69" s="38">
        <f>VLOOKUP(B69,country_opex,5,FALSE)</f>
        <v/>
      </c>
      <c r="X69" s="38">
        <f>maint</f>
        <v/>
      </c>
      <c r="Y69" s="38">
        <f>VLOOKUP(B69,country_opex,7,FALSE)*ins_pct</f>
        <v/>
      </c>
      <c r="Z69" s="38">
        <f>charge_berth</f>
        <v/>
      </c>
      <c r="AA69" s="38">
        <f>U69+V69+W69+X69+Y69+Z69</f>
        <v/>
      </c>
      <c r="AB69" s="38">
        <f>VLOOKUP(B69,country_opex,7,FALSE)/dep_years</f>
        <v/>
      </c>
      <c r="AC69" s="38">
        <f>T69-AA69</f>
        <v/>
      </c>
      <c r="AD69" s="35">
        <f>IF(T69=0,"",AC69/T69)</f>
        <v/>
      </c>
      <c r="AE69" s="36">
        <f>IF(AC69&lt;=0,"",VLOOKUP(B69,country_opex,7,FALSE)/AC69)</f>
        <v/>
      </c>
      <c r="AF69" s="33">
        <f>((D69*O69/diesel_nmpg)*diesel_co2pg-(battery/range_nm)*D69*O69*VLOOKUP(B69,country_opex,4,FALSE))/1000</f>
        <v/>
      </c>
      <c r="AG69" s="31" t="n">
        <v>5000</v>
      </c>
      <c r="AH69" s="32" t="inlineStr">
        <is>
          <t>T3</t>
        </is>
      </c>
      <c r="AI69" s="32" t="inlineStr">
        <is>
          <t>med-low</t>
        </is>
      </c>
      <c r="AJ69" s="39" t="n">
        <v>0.1</v>
      </c>
      <c r="AK69" s="34">
        <f>IF(AG69="","",AG69*AJ69)</f>
        <v/>
      </c>
      <c r="AL69" s="34">
        <f>IF(OR(AG69="",R69=0),"",MIN(IF(AS69="",9.9E+99,AS69),FLOOR(AK69/R69,1)))</f>
        <v/>
      </c>
      <c r="AM69" s="38">
        <f>IF(AL69="","",AL69*T69)</f>
        <v/>
      </c>
      <c r="AN69" s="36">
        <f>IF(OR(AG69="",R69=0),"",MIN(IF(AS69="",9.9E+99,AS69),AK69/R69))</f>
        <v/>
      </c>
      <c r="AO69" s="38">
        <f>IF(AN69="","",AN69*T69)</f>
        <v/>
      </c>
      <c r="AP69" s="40" t="n"/>
      <c r="AQ69" s="41" t="n"/>
      <c r="AR69" s="41" t="n"/>
      <c r="AS69" s="42" t="n"/>
      <c r="AT69" s="43">
        <f>IF(((S69*pax_cap*load_thin*ROUND(K69*L69*revleg_thin,0))-(((battery/range_nm)*D69*ROUND(K69*L69*revleg_thin,0)*VLOOKUP(B69,country_opex,3,FALSE))+V69+W69+X69+Y69+Z69))&lt;=0,"",VLOOKUP(B69,country_opex,7,FALSE)/((S69*pax_cap*load_thin*ROUND(K69*L69*revleg_thin,0))-(((battery/range_nm)*D69*ROUND(K69*L69*revleg_thin,0)*VLOOKUP(B69,country_opex,3,FALSE))+V69+W69+X69+Y69+Z69)))</f>
        <v/>
      </c>
      <c r="AU69" s="43">
        <f>IF(((S69*pax_cap*load_mid*ROUND(K69*L69*revleg_mid,0))-(((battery/range_nm)*D69*ROUND(K69*L69*revleg_mid,0)*VLOOKUP(B69,country_opex,3,FALSE))+V69+W69+X69+Y69+Z69))&lt;=0,"",VLOOKUP(B69,country_opex,7,FALSE)/((S69*pax_cap*load_mid*ROUND(K69*L69*revleg_mid,0))-(((battery/range_nm)*D69*ROUND(K69*L69*revleg_mid,0)*VLOOKUP(B69,country_opex,3,FALSE))+V69+W69+X69+Y69+Z69)))</f>
        <v/>
      </c>
      <c r="AV69" s="43">
        <f>IF(((S69*pax_cap*load_full*ROUND(K69*L69*revleg_full,0))-(((battery/range_nm)*D69*ROUND(K69*L69*revleg_full,0)*VLOOKUP(B69,country_opex,3,FALSE))+V69+W69+X69+Y69+Z69))&lt;=0,"",VLOOKUP(B69,country_opex,7,FALSE)/((S69*pax_cap*load_full*ROUND(K69*L69*revleg_full,0))-(((battery/range_nm)*D69*ROUND(K69*L69*revleg_full,0)*VLOOKUP(B69,country_opex,3,FALSE))+V69+W69+X69+Y69+Z69)))</f>
        <v/>
      </c>
      <c r="AW69" s="44" t="inlineStr">
        <is>
          <t>[LB-255 PREMIUM RE-FARE: subsidized comparable $5.5 lifted to premium on-demand floor $18.0] handoff/INDIA-ECONOMICS-SIDECAR-V0-2026-06-20.json (mumbai)</t>
        </is>
      </c>
      <c r="AX69" s="44" t="inlineStr">
        <is>
          <t>handoff/INDIA-ECONOMICS-SIDECAR-V0-2026-06-20.json (mumbai)</t>
        </is>
      </c>
    </row>
    <row r="70">
      <c r="A70" s="29" t="inlineStr">
        <is>
          <t>India Andaman Rapido</t>
        </is>
      </c>
      <c r="B70" s="29" t="inlineStr">
        <is>
          <t>India</t>
        </is>
      </c>
      <c r="C70" s="30" t="inlineStr">
        <is>
          <t>Andaman → Chatham Jetty</t>
        </is>
      </c>
      <c r="D70" s="31" t="n">
        <v>3.5</v>
      </c>
      <c r="E70" s="26" t="n">
        <v>22</v>
      </c>
      <c r="F70" s="32" t="inlineStr">
        <is>
          <t>T3</t>
        </is>
      </c>
      <c r="G70" s="32" t="inlineStr">
        <is>
          <t>med-low</t>
        </is>
      </c>
      <c r="H70" s="19" t="n">
        <v>1</v>
      </c>
      <c r="I70" s="33">
        <f>60*D70/cruise_kt</f>
        <v/>
      </c>
      <c r="J70" s="33">
        <f>I70+turn_min+dwell_min</f>
        <v/>
      </c>
      <c r="K70" s="34">
        <f>MIN(10,FLOOR(60*service_hr/J70,1))</f>
        <v/>
      </c>
      <c r="L70" s="34">
        <f>ROUND(365*mech_uptime*H70,0)</f>
        <v/>
      </c>
      <c r="M70" s="35">
        <f>mech_uptime</f>
        <v/>
      </c>
      <c r="N70" s="35">
        <f>revleg_sel</f>
        <v/>
      </c>
      <c r="O70" s="34">
        <f>ROUND(K70*L70*revleg_sel,0)</f>
        <v/>
      </c>
      <c r="P70" s="36">
        <f>load_sel</f>
        <v/>
      </c>
      <c r="Q70" s="36">
        <f>pax_cap*P70</f>
        <v/>
      </c>
      <c r="R70" s="34">
        <f>Q70*O70</f>
        <v/>
      </c>
      <c r="S70" s="37">
        <f>E70*discount</f>
        <v/>
      </c>
      <c r="T70" s="38">
        <f>S70*R70</f>
        <v/>
      </c>
      <c r="U70" s="38">
        <f>(battery/range_nm)*D70*O70*VLOOKUP(B70,country_opex,3,FALSE)</f>
        <v/>
      </c>
      <c r="V70" s="38">
        <f>VLOOKUP(B70,country_opex,2,FALSE)*crew_factor</f>
        <v/>
      </c>
      <c r="W70" s="38">
        <f>VLOOKUP(B70,country_opex,5,FALSE)</f>
        <v/>
      </c>
      <c r="X70" s="38">
        <f>maint</f>
        <v/>
      </c>
      <c r="Y70" s="38">
        <f>VLOOKUP(B70,country_opex,7,FALSE)*ins_pct</f>
        <v/>
      </c>
      <c r="Z70" s="38">
        <f>charge_berth</f>
        <v/>
      </c>
      <c r="AA70" s="38">
        <f>U70+V70+W70+X70+Y70+Z70</f>
        <v/>
      </c>
      <c r="AB70" s="38">
        <f>VLOOKUP(B70,country_opex,7,FALSE)/dep_years</f>
        <v/>
      </c>
      <c r="AC70" s="38">
        <f>T70-AA70</f>
        <v/>
      </c>
      <c r="AD70" s="35">
        <f>IF(T70=0,"",AC70/T70)</f>
        <v/>
      </c>
      <c r="AE70" s="36">
        <f>IF(AC70&lt;=0,"",VLOOKUP(B70,country_opex,7,FALSE)/AC70)</f>
        <v/>
      </c>
      <c r="AF70" s="33">
        <f>((D70*O70/diesel_nmpg)*diesel_co2pg-(battery/range_nm)*D70*O70*VLOOKUP(B70,country_opex,4,FALSE))/1000</f>
        <v/>
      </c>
      <c r="AG70" s="31" t="n">
        <v>5000</v>
      </c>
      <c r="AH70" s="32" t="inlineStr">
        <is>
          <t>T3</t>
        </is>
      </c>
      <c r="AI70" s="32" t="inlineStr">
        <is>
          <t>med-low</t>
        </is>
      </c>
      <c r="AJ70" s="39" t="n">
        <v>0.1</v>
      </c>
      <c r="AK70" s="34">
        <f>IF(AG70="","",AG70*AJ70)</f>
        <v/>
      </c>
      <c r="AL70" s="34">
        <f>IF(OR(AG70="",R70=0),"",MIN(IF(AS70="",9.9E+99,AS70),FLOOR(AK70/R70,1)))</f>
        <v/>
      </c>
      <c r="AM70" s="38">
        <f>IF(AL70="","",AL70*T70)</f>
        <v/>
      </c>
      <c r="AN70" s="36">
        <f>IF(OR(AG70="",R70=0),"",MIN(IF(AS70="",9.9E+99,AS70),AK70/R70))</f>
        <v/>
      </c>
      <c r="AO70" s="38">
        <f>IF(AN70="","",AN70*T70)</f>
        <v/>
      </c>
      <c r="AP70" s="40" t="n"/>
      <c r="AQ70" s="41" t="n"/>
      <c r="AR70" s="41" t="n"/>
      <c r="AS70" s="42" t="n"/>
      <c r="AT70" s="43">
        <f>IF(((S70*pax_cap*load_thin*ROUND(K70*L70*revleg_thin,0))-(((battery/range_nm)*D70*ROUND(K70*L70*revleg_thin,0)*VLOOKUP(B70,country_opex,3,FALSE))+V70+W70+X70+Y70+Z70))&lt;=0,"",VLOOKUP(B70,country_opex,7,FALSE)/((S70*pax_cap*load_thin*ROUND(K70*L70*revleg_thin,0))-(((battery/range_nm)*D70*ROUND(K70*L70*revleg_thin,0)*VLOOKUP(B70,country_opex,3,FALSE))+V70+W70+X70+Y70+Z70)))</f>
        <v/>
      </c>
      <c r="AU70" s="43">
        <f>IF(((S70*pax_cap*load_mid*ROUND(K70*L70*revleg_mid,0))-(((battery/range_nm)*D70*ROUND(K70*L70*revleg_mid,0)*VLOOKUP(B70,country_opex,3,FALSE))+V70+W70+X70+Y70+Z70))&lt;=0,"",VLOOKUP(B70,country_opex,7,FALSE)/((S70*pax_cap*load_mid*ROUND(K70*L70*revleg_mid,0))-(((battery/range_nm)*D70*ROUND(K70*L70*revleg_mid,0)*VLOOKUP(B70,country_opex,3,FALSE))+V70+W70+X70+Y70+Z70)))</f>
        <v/>
      </c>
      <c r="AV70" s="43">
        <f>IF(((S70*pax_cap*load_full*ROUND(K70*L70*revleg_full,0))-(((battery/range_nm)*D70*ROUND(K70*L70*revleg_full,0)*VLOOKUP(B70,country_opex,3,FALSE))+V70+W70+X70+Y70+Z70))&lt;=0,"",VLOOKUP(B70,country_opex,7,FALSE)/((S70*pax_cap*load_full*ROUND(K70*L70*revleg_full,0))-(((battery/range_nm)*D70*ROUND(K70*L70*revleg_full,0)*VLOOKUP(B70,country_opex,3,FALSE))+V70+W70+X70+Y70+Z70)))</f>
        <v/>
      </c>
      <c r="AW70" s="44" t="inlineStr">
        <is>
          <t>handoff/INDIA-ECONOMICS-SIDECAR-V0-2026-06-20.json (andaman)</t>
        </is>
      </c>
      <c r="AX70" s="44" t="inlineStr">
        <is>
          <t>handoff/INDIA-ECONOMICS-SIDECAR-V0-2026-06-20.json (andaman)</t>
        </is>
      </c>
    </row>
    <row r="71">
      <c r="A71" s="29" t="inlineStr">
        <is>
          <t>India Mumbai Rapido</t>
        </is>
      </c>
      <c r="B71" s="29" t="inlineStr">
        <is>
          <t>India</t>
        </is>
      </c>
      <c r="C71" s="30" t="inlineStr">
        <is>
          <t>Gateway of India → Mumbai Harbour</t>
        </is>
      </c>
      <c r="D71" s="31" t="n">
        <v>3.5</v>
      </c>
      <c r="E71" s="26" t="n">
        <v>18</v>
      </c>
      <c r="F71" s="32" t="inlineStr">
        <is>
          <t>T3</t>
        </is>
      </c>
      <c r="G71" s="32" t="inlineStr">
        <is>
          <t>med-low</t>
        </is>
      </c>
      <c r="H71" s="19" t="n">
        <v>1</v>
      </c>
      <c r="I71" s="33">
        <f>60*D71/cruise_kt</f>
        <v/>
      </c>
      <c r="J71" s="33">
        <f>I71+turn_min+dwell_min</f>
        <v/>
      </c>
      <c r="K71" s="34">
        <f>MIN(10,FLOOR(60*service_hr/J71,1))</f>
        <v/>
      </c>
      <c r="L71" s="34">
        <f>ROUND(365*mech_uptime*H71,0)</f>
        <v/>
      </c>
      <c r="M71" s="35">
        <f>mech_uptime</f>
        <v/>
      </c>
      <c r="N71" s="35">
        <f>revleg_sel</f>
        <v/>
      </c>
      <c r="O71" s="34">
        <f>ROUND(K71*L71*revleg_sel,0)</f>
        <v/>
      </c>
      <c r="P71" s="36">
        <f>load_sel</f>
        <v/>
      </c>
      <c r="Q71" s="36">
        <f>pax_cap*P71</f>
        <v/>
      </c>
      <c r="R71" s="34">
        <f>Q71*O71</f>
        <v/>
      </c>
      <c r="S71" s="37">
        <f>E71*discount</f>
        <v/>
      </c>
      <c r="T71" s="38">
        <f>S71*R71</f>
        <v/>
      </c>
      <c r="U71" s="38">
        <f>(battery/range_nm)*D71*O71*VLOOKUP(B71,country_opex,3,FALSE)</f>
        <v/>
      </c>
      <c r="V71" s="38">
        <f>VLOOKUP(B71,country_opex,2,FALSE)*crew_factor</f>
        <v/>
      </c>
      <c r="W71" s="38">
        <f>VLOOKUP(B71,country_opex,5,FALSE)</f>
        <v/>
      </c>
      <c r="X71" s="38">
        <f>maint</f>
        <v/>
      </c>
      <c r="Y71" s="38">
        <f>VLOOKUP(B71,country_opex,7,FALSE)*ins_pct</f>
        <v/>
      </c>
      <c r="Z71" s="38">
        <f>charge_berth</f>
        <v/>
      </c>
      <c r="AA71" s="38">
        <f>U71+V71+W71+X71+Y71+Z71</f>
        <v/>
      </c>
      <c r="AB71" s="38">
        <f>VLOOKUP(B71,country_opex,7,FALSE)/dep_years</f>
        <v/>
      </c>
      <c r="AC71" s="38">
        <f>T71-AA71</f>
        <v/>
      </c>
      <c r="AD71" s="35">
        <f>IF(T71=0,"",AC71/T71)</f>
        <v/>
      </c>
      <c r="AE71" s="36">
        <f>IF(AC71&lt;=0,"",VLOOKUP(B71,country_opex,7,FALSE)/AC71)</f>
        <v/>
      </c>
      <c r="AF71" s="33">
        <f>((D71*O71/diesel_nmpg)*diesel_co2pg-(battery/range_nm)*D71*O71*VLOOKUP(B71,country_opex,4,FALSE))/1000</f>
        <v/>
      </c>
      <c r="AG71" s="31" t="n">
        <v>5000</v>
      </c>
      <c r="AH71" s="32" t="inlineStr">
        <is>
          <t>T3</t>
        </is>
      </c>
      <c r="AI71" s="32" t="inlineStr">
        <is>
          <t>med-low</t>
        </is>
      </c>
      <c r="AJ71" s="39" t="n">
        <v>0.1</v>
      </c>
      <c r="AK71" s="34">
        <f>IF(AG71="","",AG71*AJ71)</f>
        <v/>
      </c>
      <c r="AL71" s="34">
        <f>IF(OR(AG71="",R71=0),"",MIN(IF(AS71="",9.9E+99,AS71),FLOOR(AK71/R71,1)))</f>
        <v/>
      </c>
      <c r="AM71" s="38">
        <f>IF(AL71="","",AL71*T71)</f>
        <v/>
      </c>
      <c r="AN71" s="36">
        <f>IF(OR(AG71="",R71=0),"",MIN(IF(AS71="",9.9E+99,AS71),AK71/R71))</f>
        <v/>
      </c>
      <c r="AO71" s="38">
        <f>IF(AN71="","",AN71*T71)</f>
        <v/>
      </c>
      <c r="AP71" s="40" t="n"/>
      <c r="AQ71" s="41" t="n"/>
      <c r="AR71" s="41" t="n"/>
      <c r="AS71" s="42" t="n"/>
      <c r="AT71" s="43">
        <f>IF(((S71*pax_cap*load_thin*ROUND(K71*L71*revleg_thin,0))-(((battery/range_nm)*D71*ROUND(K71*L71*revleg_thin,0)*VLOOKUP(B71,country_opex,3,FALSE))+V71+W71+X71+Y71+Z71))&lt;=0,"",VLOOKUP(B71,country_opex,7,FALSE)/((S71*pax_cap*load_thin*ROUND(K71*L71*revleg_thin,0))-(((battery/range_nm)*D71*ROUND(K71*L71*revleg_thin,0)*VLOOKUP(B71,country_opex,3,FALSE))+V71+W71+X71+Y71+Z71)))</f>
        <v/>
      </c>
      <c r="AU71" s="43">
        <f>IF(((S71*pax_cap*load_mid*ROUND(K71*L71*revleg_mid,0))-(((battery/range_nm)*D71*ROUND(K71*L71*revleg_mid,0)*VLOOKUP(B71,country_opex,3,FALSE))+V71+W71+X71+Y71+Z71))&lt;=0,"",VLOOKUP(B71,country_opex,7,FALSE)/((S71*pax_cap*load_mid*ROUND(K71*L71*revleg_mid,0))-(((battery/range_nm)*D71*ROUND(K71*L71*revleg_mid,0)*VLOOKUP(B71,country_opex,3,FALSE))+V71+W71+X71+Y71+Z71)))</f>
        <v/>
      </c>
      <c r="AV71" s="43">
        <f>IF(((S71*pax_cap*load_full*ROUND(K71*L71*revleg_full,0))-(((battery/range_nm)*D71*ROUND(K71*L71*revleg_full,0)*VLOOKUP(B71,country_opex,3,FALSE))+V71+W71+X71+Y71+Z71))&lt;=0,"",VLOOKUP(B71,country_opex,7,FALSE)/((S71*pax_cap*load_full*ROUND(K71*L71*revleg_full,0))-(((battery/range_nm)*D71*ROUND(K71*L71*revleg_full,0)*VLOOKUP(B71,country_opex,3,FALSE))+V71+W71+X71+Y71+Z71)))</f>
        <v/>
      </c>
      <c r="AW71" s="44" t="inlineStr">
        <is>
          <t>[LB-255 PREMIUM RE-FARE: subsidized comparable $5.5 lifted to premium on-demand floor $18.0] handoff/INDIA-ECONOMICS-SIDECAR-V0-2026-06-20.json (mumbai)</t>
        </is>
      </c>
      <c r="AX71" s="44" t="inlineStr">
        <is>
          <t>handoff/INDIA-ECONOMICS-SIDECAR-V0-2026-06-20.json (mumbai)</t>
        </is>
      </c>
    </row>
    <row r="72">
      <c r="A72" s="29" t="inlineStr">
        <is>
          <t>India Andaman Rapido</t>
        </is>
      </c>
      <c r="B72" s="29" t="inlineStr">
        <is>
          <t>India</t>
        </is>
      </c>
      <c r="C72" s="30" t="inlineStr">
        <is>
          <t>Middle Strait Jetty → NK Cruise Terminal</t>
        </is>
      </c>
      <c r="D72" s="31" t="n">
        <v>3.7</v>
      </c>
      <c r="E72" s="26" t="n">
        <v>22</v>
      </c>
      <c r="F72" s="32" t="inlineStr">
        <is>
          <t>T3</t>
        </is>
      </c>
      <c r="G72" s="32" t="inlineStr">
        <is>
          <t>med-low</t>
        </is>
      </c>
      <c r="H72" s="19" t="n">
        <v>1</v>
      </c>
      <c r="I72" s="33">
        <f>60*D72/cruise_kt</f>
        <v/>
      </c>
      <c r="J72" s="33">
        <f>I72+turn_min+dwell_min</f>
        <v/>
      </c>
      <c r="K72" s="34">
        <f>MIN(10,FLOOR(60*service_hr/J72,1))</f>
        <v/>
      </c>
      <c r="L72" s="34">
        <f>ROUND(365*mech_uptime*H72,0)</f>
        <v/>
      </c>
      <c r="M72" s="35">
        <f>mech_uptime</f>
        <v/>
      </c>
      <c r="N72" s="35">
        <f>revleg_sel</f>
        <v/>
      </c>
      <c r="O72" s="34">
        <f>ROUND(K72*L72*revleg_sel,0)</f>
        <v/>
      </c>
      <c r="P72" s="36">
        <f>load_sel</f>
        <v/>
      </c>
      <c r="Q72" s="36">
        <f>pax_cap*P72</f>
        <v/>
      </c>
      <c r="R72" s="34">
        <f>Q72*O72</f>
        <v/>
      </c>
      <c r="S72" s="37">
        <f>E72*discount</f>
        <v/>
      </c>
      <c r="T72" s="38">
        <f>S72*R72</f>
        <v/>
      </c>
      <c r="U72" s="38">
        <f>(battery/range_nm)*D72*O72*VLOOKUP(B72,country_opex,3,FALSE)</f>
        <v/>
      </c>
      <c r="V72" s="38">
        <f>VLOOKUP(B72,country_opex,2,FALSE)*crew_factor</f>
        <v/>
      </c>
      <c r="W72" s="38">
        <f>VLOOKUP(B72,country_opex,5,FALSE)</f>
        <v/>
      </c>
      <c r="X72" s="38">
        <f>maint</f>
        <v/>
      </c>
      <c r="Y72" s="38">
        <f>VLOOKUP(B72,country_opex,7,FALSE)*ins_pct</f>
        <v/>
      </c>
      <c r="Z72" s="38">
        <f>charge_berth</f>
        <v/>
      </c>
      <c r="AA72" s="38">
        <f>U72+V72+W72+X72+Y72+Z72</f>
        <v/>
      </c>
      <c r="AB72" s="38">
        <f>VLOOKUP(B72,country_opex,7,FALSE)/dep_years</f>
        <v/>
      </c>
      <c r="AC72" s="38">
        <f>T72-AA72</f>
        <v/>
      </c>
      <c r="AD72" s="35">
        <f>IF(T72=0,"",AC72/T72)</f>
        <v/>
      </c>
      <c r="AE72" s="36">
        <f>IF(AC72&lt;=0,"",VLOOKUP(B72,country_opex,7,FALSE)/AC72)</f>
        <v/>
      </c>
      <c r="AF72" s="33">
        <f>((D72*O72/diesel_nmpg)*diesel_co2pg-(battery/range_nm)*D72*O72*VLOOKUP(B72,country_opex,4,FALSE))/1000</f>
        <v/>
      </c>
      <c r="AG72" s="31" t="n">
        <v>5000</v>
      </c>
      <c r="AH72" s="32" t="inlineStr">
        <is>
          <t>T3</t>
        </is>
      </c>
      <c r="AI72" s="32" t="inlineStr">
        <is>
          <t>med-low</t>
        </is>
      </c>
      <c r="AJ72" s="39" t="n">
        <v>0.1</v>
      </c>
      <c r="AK72" s="34">
        <f>IF(AG72="","",AG72*AJ72)</f>
        <v/>
      </c>
      <c r="AL72" s="34">
        <f>IF(OR(AG72="",R72=0),"",MIN(IF(AS72="",9.9E+99,AS72),FLOOR(AK72/R72,1)))</f>
        <v/>
      </c>
      <c r="AM72" s="38">
        <f>IF(AL72="","",AL72*T72)</f>
        <v/>
      </c>
      <c r="AN72" s="36">
        <f>IF(OR(AG72="",R72=0),"",MIN(IF(AS72="",9.9E+99,AS72),AK72/R72))</f>
        <v/>
      </c>
      <c r="AO72" s="38">
        <f>IF(AN72="","",AN72*T72)</f>
        <v/>
      </c>
      <c r="AP72" s="40" t="n"/>
      <c r="AQ72" s="41" t="n"/>
      <c r="AR72" s="41" t="n"/>
      <c r="AS72" s="42" t="n"/>
      <c r="AT72" s="43">
        <f>IF(((S72*pax_cap*load_thin*ROUND(K72*L72*revleg_thin,0))-(((battery/range_nm)*D72*ROUND(K72*L72*revleg_thin,0)*VLOOKUP(B72,country_opex,3,FALSE))+V72+W72+X72+Y72+Z72))&lt;=0,"",VLOOKUP(B72,country_opex,7,FALSE)/((S72*pax_cap*load_thin*ROUND(K72*L72*revleg_thin,0))-(((battery/range_nm)*D72*ROUND(K72*L72*revleg_thin,0)*VLOOKUP(B72,country_opex,3,FALSE))+V72+W72+X72+Y72+Z72)))</f>
        <v/>
      </c>
      <c r="AU72" s="43">
        <f>IF(((S72*pax_cap*load_mid*ROUND(K72*L72*revleg_mid,0))-(((battery/range_nm)*D72*ROUND(K72*L72*revleg_mid,0)*VLOOKUP(B72,country_opex,3,FALSE))+V72+W72+X72+Y72+Z72))&lt;=0,"",VLOOKUP(B72,country_opex,7,FALSE)/((S72*pax_cap*load_mid*ROUND(K72*L72*revleg_mid,0))-(((battery/range_nm)*D72*ROUND(K72*L72*revleg_mid,0)*VLOOKUP(B72,country_opex,3,FALSE))+V72+W72+X72+Y72+Z72)))</f>
        <v/>
      </c>
      <c r="AV72" s="43">
        <f>IF(((S72*pax_cap*load_full*ROUND(K72*L72*revleg_full,0))-(((battery/range_nm)*D72*ROUND(K72*L72*revleg_full,0)*VLOOKUP(B72,country_opex,3,FALSE))+V72+W72+X72+Y72+Z72))&lt;=0,"",VLOOKUP(B72,country_opex,7,FALSE)/((S72*pax_cap*load_full*ROUND(K72*L72*revleg_full,0))-(((battery/range_nm)*D72*ROUND(K72*L72*revleg_full,0)*VLOOKUP(B72,country_opex,3,FALSE))+V72+W72+X72+Y72+Z72)))</f>
        <v/>
      </c>
      <c r="AW72" s="44" t="inlineStr">
        <is>
          <t>handoff/INDIA-ECONOMICS-SIDECAR-V0-2026-06-20.json (andaman)</t>
        </is>
      </c>
      <c r="AX72" s="44" t="inlineStr">
        <is>
          <t>handoff/INDIA-ECONOMICS-SIDECAR-V0-2026-06-20.json (andaman)</t>
        </is>
      </c>
    </row>
    <row r="73">
      <c r="A73" s="29" t="inlineStr">
        <is>
          <t>India Andaman Rapido</t>
        </is>
      </c>
      <c r="B73" s="29" t="inlineStr">
        <is>
          <t>India</t>
        </is>
      </c>
      <c r="C73" s="30" t="inlineStr">
        <is>
          <t>Andaman → Andaman &amp; Nicobar Islands</t>
        </is>
      </c>
      <c r="D73" s="31" t="n">
        <v>3.8</v>
      </c>
      <c r="E73" s="26" t="n">
        <v>22</v>
      </c>
      <c r="F73" s="32" t="inlineStr">
        <is>
          <t>T3</t>
        </is>
      </c>
      <c r="G73" s="32" t="inlineStr">
        <is>
          <t>med-low</t>
        </is>
      </c>
      <c r="H73" s="19" t="n">
        <v>1</v>
      </c>
      <c r="I73" s="33">
        <f>60*D73/cruise_kt</f>
        <v/>
      </c>
      <c r="J73" s="33">
        <f>I73+turn_min+dwell_min</f>
        <v/>
      </c>
      <c r="K73" s="34">
        <f>MIN(10,FLOOR(60*service_hr/J73,1))</f>
        <v/>
      </c>
      <c r="L73" s="34">
        <f>ROUND(365*mech_uptime*H73,0)</f>
        <v/>
      </c>
      <c r="M73" s="35">
        <f>mech_uptime</f>
        <v/>
      </c>
      <c r="N73" s="35">
        <f>revleg_sel</f>
        <v/>
      </c>
      <c r="O73" s="34">
        <f>ROUND(K73*L73*revleg_sel,0)</f>
        <v/>
      </c>
      <c r="P73" s="36">
        <f>load_sel</f>
        <v/>
      </c>
      <c r="Q73" s="36">
        <f>pax_cap*P73</f>
        <v/>
      </c>
      <c r="R73" s="34">
        <f>Q73*O73</f>
        <v/>
      </c>
      <c r="S73" s="37">
        <f>E73*discount</f>
        <v/>
      </c>
      <c r="T73" s="38">
        <f>S73*R73</f>
        <v/>
      </c>
      <c r="U73" s="38">
        <f>(battery/range_nm)*D73*O73*VLOOKUP(B73,country_opex,3,FALSE)</f>
        <v/>
      </c>
      <c r="V73" s="38">
        <f>VLOOKUP(B73,country_opex,2,FALSE)*crew_factor</f>
        <v/>
      </c>
      <c r="W73" s="38">
        <f>VLOOKUP(B73,country_opex,5,FALSE)</f>
        <v/>
      </c>
      <c r="X73" s="38">
        <f>maint</f>
        <v/>
      </c>
      <c r="Y73" s="38">
        <f>VLOOKUP(B73,country_opex,7,FALSE)*ins_pct</f>
        <v/>
      </c>
      <c r="Z73" s="38">
        <f>charge_berth</f>
        <v/>
      </c>
      <c r="AA73" s="38">
        <f>U73+V73+W73+X73+Y73+Z73</f>
        <v/>
      </c>
      <c r="AB73" s="38">
        <f>VLOOKUP(B73,country_opex,7,FALSE)/dep_years</f>
        <v/>
      </c>
      <c r="AC73" s="38">
        <f>T73-AA73</f>
        <v/>
      </c>
      <c r="AD73" s="35">
        <f>IF(T73=0,"",AC73/T73)</f>
        <v/>
      </c>
      <c r="AE73" s="36">
        <f>IF(AC73&lt;=0,"",VLOOKUP(B73,country_opex,7,FALSE)/AC73)</f>
        <v/>
      </c>
      <c r="AF73" s="33">
        <f>((D73*O73/diesel_nmpg)*diesel_co2pg-(battery/range_nm)*D73*O73*VLOOKUP(B73,country_opex,4,FALSE))/1000</f>
        <v/>
      </c>
      <c r="AG73" s="31" t="n">
        <v>5000</v>
      </c>
      <c r="AH73" s="32" t="inlineStr">
        <is>
          <t>T3</t>
        </is>
      </c>
      <c r="AI73" s="32" t="inlineStr">
        <is>
          <t>med-low</t>
        </is>
      </c>
      <c r="AJ73" s="39" t="n">
        <v>0.1</v>
      </c>
      <c r="AK73" s="34">
        <f>IF(AG73="","",AG73*AJ73)</f>
        <v/>
      </c>
      <c r="AL73" s="34">
        <f>IF(OR(AG73="",R73=0),"",MIN(IF(AS73="",9.9E+99,AS73),FLOOR(AK73/R73,1)))</f>
        <v/>
      </c>
      <c r="AM73" s="38">
        <f>IF(AL73="","",AL73*T73)</f>
        <v/>
      </c>
      <c r="AN73" s="36">
        <f>IF(OR(AG73="",R73=0),"",MIN(IF(AS73="",9.9E+99,AS73),AK73/R73))</f>
        <v/>
      </c>
      <c r="AO73" s="38">
        <f>IF(AN73="","",AN73*T73)</f>
        <v/>
      </c>
      <c r="AP73" s="40" t="n"/>
      <c r="AQ73" s="41" t="n"/>
      <c r="AR73" s="41" t="n"/>
      <c r="AS73" s="42" t="n"/>
      <c r="AT73" s="43">
        <f>IF(((S73*pax_cap*load_thin*ROUND(K73*L73*revleg_thin,0))-(((battery/range_nm)*D73*ROUND(K73*L73*revleg_thin,0)*VLOOKUP(B73,country_opex,3,FALSE))+V73+W73+X73+Y73+Z73))&lt;=0,"",VLOOKUP(B73,country_opex,7,FALSE)/((S73*pax_cap*load_thin*ROUND(K73*L73*revleg_thin,0))-(((battery/range_nm)*D73*ROUND(K73*L73*revleg_thin,0)*VLOOKUP(B73,country_opex,3,FALSE))+V73+W73+X73+Y73+Z73)))</f>
        <v/>
      </c>
      <c r="AU73" s="43">
        <f>IF(((S73*pax_cap*load_mid*ROUND(K73*L73*revleg_mid,0))-(((battery/range_nm)*D73*ROUND(K73*L73*revleg_mid,0)*VLOOKUP(B73,country_opex,3,FALSE))+V73+W73+X73+Y73+Z73))&lt;=0,"",VLOOKUP(B73,country_opex,7,FALSE)/((S73*pax_cap*load_mid*ROUND(K73*L73*revleg_mid,0))-(((battery/range_nm)*D73*ROUND(K73*L73*revleg_mid,0)*VLOOKUP(B73,country_opex,3,FALSE))+V73+W73+X73+Y73+Z73)))</f>
        <v/>
      </c>
      <c r="AV73" s="43">
        <f>IF(((S73*pax_cap*load_full*ROUND(K73*L73*revleg_full,0))-(((battery/range_nm)*D73*ROUND(K73*L73*revleg_full,0)*VLOOKUP(B73,country_opex,3,FALSE))+V73+W73+X73+Y73+Z73))&lt;=0,"",VLOOKUP(B73,country_opex,7,FALSE)/((S73*pax_cap*load_full*ROUND(K73*L73*revleg_full,0))-(((battery/range_nm)*D73*ROUND(K73*L73*revleg_full,0)*VLOOKUP(B73,country_opex,3,FALSE))+V73+W73+X73+Y73+Z73)))</f>
        <v/>
      </c>
      <c r="AW73" s="44" t="inlineStr">
        <is>
          <t>handoff/INDIA-ECONOMICS-SIDECAR-V0-2026-06-20.json (andaman)</t>
        </is>
      </c>
      <c r="AX73" s="44" t="inlineStr">
        <is>
          <t>handoff/INDIA-ECONOMICS-SIDECAR-V0-2026-06-20.json (andaman)</t>
        </is>
      </c>
    </row>
    <row r="74">
      <c r="A74" s="29" t="inlineStr">
        <is>
          <t>India Mumbai Rapido</t>
        </is>
      </c>
      <c r="B74" s="29" t="inlineStr">
        <is>
          <t>India</t>
        </is>
      </c>
      <c r="C74" s="30" t="inlineStr">
        <is>
          <t>Mora → Elephanta Caves</t>
        </is>
      </c>
      <c r="D74" s="31" t="n">
        <v>3.8</v>
      </c>
      <c r="E74" s="26" t="n">
        <v>18</v>
      </c>
      <c r="F74" s="32" t="inlineStr">
        <is>
          <t>T3</t>
        </is>
      </c>
      <c r="G74" s="32" t="inlineStr">
        <is>
          <t>med-low</t>
        </is>
      </c>
      <c r="H74" s="19" t="n">
        <v>1</v>
      </c>
      <c r="I74" s="33">
        <f>60*D74/cruise_kt</f>
        <v/>
      </c>
      <c r="J74" s="33">
        <f>I74+turn_min+dwell_min</f>
        <v/>
      </c>
      <c r="K74" s="34">
        <f>MIN(10,FLOOR(60*service_hr/J74,1))</f>
        <v/>
      </c>
      <c r="L74" s="34">
        <f>ROUND(365*mech_uptime*H74,0)</f>
        <v/>
      </c>
      <c r="M74" s="35">
        <f>mech_uptime</f>
        <v/>
      </c>
      <c r="N74" s="35">
        <f>revleg_sel</f>
        <v/>
      </c>
      <c r="O74" s="34">
        <f>ROUND(K74*L74*revleg_sel,0)</f>
        <v/>
      </c>
      <c r="P74" s="36">
        <f>load_sel</f>
        <v/>
      </c>
      <c r="Q74" s="36">
        <f>pax_cap*P74</f>
        <v/>
      </c>
      <c r="R74" s="34">
        <f>Q74*O74</f>
        <v/>
      </c>
      <c r="S74" s="37">
        <f>E74*discount</f>
        <v/>
      </c>
      <c r="T74" s="38">
        <f>S74*R74</f>
        <v/>
      </c>
      <c r="U74" s="38">
        <f>(battery/range_nm)*D74*O74*VLOOKUP(B74,country_opex,3,FALSE)</f>
        <v/>
      </c>
      <c r="V74" s="38">
        <f>VLOOKUP(B74,country_opex,2,FALSE)*crew_factor</f>
        <v/>
      </c>
      <c r="W74" s="38">
        <f>VLOOKUP(B74,country_opex,5,FALSE)</f>
        <v/>
      </c>
      <c r="X74" s="38">
        <f>maint</f>
        <v/>
      </c>
      <c r="Y74" s="38">
        <f>VLOOKUP(B74,country_opex,7,FALSE)*ins_pct</f>
        <v/>
      </c>
      <c r="Z74" s="38">
        <f>charge_berth</f>
        <v/>
      </c>
      <c r="AA74" s="38">
        <f>U74+V74+W74+X74+Y74+Z74</f>
        <v/>
      </c>
      <c r="AB74" s="38">
        <f>VLOOKUP(B74,country_opex,7,FALSE)/dep_years</f>
        <v/>
      </c>
      <c r="AC74" s="38">
        <f>T74-AA74</f>
        <v/>
      </c>
      <c r="AD74" s="35">
        <f>IF(T74=0,"",AC74/T74)</f>
        <v/>
      </c>
      <c r="AE74" s="36">
        <f>IF(AC74&lt;=0,"",VLOOKUP(B74,country_opex,7,FALSE)/AC74)</f>
        <v/>
      </c>
      <c r="AF74" s="33">
        <f>((D74*O74/diesel_nmpg)*diesel_co2pg-(battery/range_nm)*D74*O74*VLOOKUP(B74,country_opex,4,FALSE))/1000</f>
        <v/>
      </c>
      <c r="AG74" s="31" t="n">
        <v>5000</v>
      </c>
      <c r="AH74" s="32" t="inlineStr">
        <is>
          <t>T3</t>
        </is>
      </c>
      <c r="AI74" s="32" t="inlineStr">
        <is>
          <t>med-low</t>
        </is>
      </c>
      <c r="AJ74" s="39" t="n">
        <v>0.1</v>
      </c>
      <c r="AK74" s="34">
        <f>IF(AG74="","",AG74*AJ74)</f>
        <v/>
      </c>
      <c r="AL74" s="34">
        <f>IF(OR(AG74="",R74=0),"",MIN(IF(AS74="",9.9E+99,AS74),FLOOR(AK74/R74,1)))</f>
        <v/>
      </c>
      <c r="AM74" s="38">
        <f>IF(AL74="","",AL74*T74)</f>
        <v/>
      </c>
      <c r="AN74" s="36">
        <f>IF(OR(AG74="",R74=0),"",MIN(IF(AS74="",9.9E+99,AS74),AK74/R74))</f>
        <v/>
      </c>
      <c r="AO74" s="38">
        <f>IF(AN74="","",AN74*T74)</f>
        <v/>
      </c>
      <c r="AP74" s="40" t="n"/>
      <c r="AQ74" s="41" t="n"/>
      <c r="AR74" s="41" t="n"/>
      <c r="AS74" s="42" t="n"/>
      <c r="AT74" s="43">
        <f>IF(((S74*pax_cap*load_thin*ROUND(K74*L74*revleg_thin,0))-(((battery/range_nm)*D74*ROUND(K74*L74*revleg_thin,0)*VLOOKUP(B74,country_opex,3,FALSE))+V74+W74+X74+Y74+Z74))&lt;=0,"",VLOOKUP(B74,country_opex,7,FALSE)/((S74*pax_cap*load_thin*ROUND(K74*L74*revleg_thin,0))-(((battery/range_nm)*D74*ROUND(K74*L74*revleg_thin,0)*VLOOKUP(B74,country_opex,3,FALSE))+V74+W74+X74+Y74+Z74)))</f>
        <v/>
      </c>
      <c r="AU74" s="43">
        <f>IF(((S74*pax_cap*load_mid*ROUND(K74*L74*revleg_mid,0))-(((battery/range_nm)*D74*ROUND(K74*L74*revleg_mid,0)*VLOOKUP(B74,country_opex,3,FALSE))+V74+W74+X74+Y74+Z74))&lt;=0,"",VLOOKUP(B74,country_opex,7,FALSE)/((S74*pax_cap*load_mid*ROUND(K74*L74*revleg_mid,0))-(((battery/range_nm)*D74*ROUND(K74*L74*revleg_mid,0)*VLOOKUP(B74,country_opex,3,FALSE))+V74+W74+X74+Y74+Z74)))</f>
        <v/>
      </c>
      <c r="AV74" s="43">
        <f>IF(((S74*pax_cap*load_full*ROUND(K74*L74*revleg_full,0))-(((battery/range_nm)*D74*ROUND(K74*L74*revleg_full,0)*VLOOKUP(B74,country_opex,3,FALSE))+V74+W74+X74+Y74+Z74))&lt;=0,"",VLOOKUP(B74,country_opex,7,FALSE)/((S74*pax_cap*load_full*ROUND(K74*L74*revleg_full,0))-(((battery/range_nm)*D74*ROUND(K74*L74*revleg_full,0)*VLOOKUP(B74,country_opex,3,FALSE))+V74+W74+X74+Y74+Z74)))</f>
        <v/>
      </c>
      <c r="AW74" s="44" t="inlineStr">
        <is>
          <t>[LB-255 PREMIUM RE-FARE: subsidized comparable $5.5 lifted to premium on-demand floor $18.0] handoff/INDIA-ECONOMICS-SIDECAR-V0-2026-06-20.json (mumbai)</t>
        </is>
      </c>
      <c r="AX74" s="44" t="inlineStr">
        <is>
          <t>handoff/INDIA-ECONOMICS-SIDECAR-V0-2026-06-20.json (mumbai)</t>
        </is>
      </c>
    </row>
    <row r="75">
      <c r="A75" s="29" t="inlineStr">
        <is>
          <t>India Andaman Rapido</t>
        </is>
      </c>
      <c r="B75" s="29" t="inlineStr">
        <is>
          <t>India</t>
        </is>
      </c>
      <c r="C75" s="30" t="inlineStr">
        <is>
          <t>Andaman → Bambooflat Jetty</t>
        </is>
      </c>
      <c r="D75" s="31" t="n">
        <v>4.2</v>
      </c>
      <c r="E75" s="26" t="n">
        <v>22</v>
      </c>
      <c r="F75" s="32" t="inlineStr">
        <is>
          <t>T3</t>
        </is>
      </c>
      <c r="G75" s="32" t="inlineStr">
        <is>
          <t>med-low</t>
        </is>
      </c>
      <c r="H75" s="19" t="n">
        <v>1</v>
      </c>
      <c r="I75" s="33">
        <f>60*D75/cruise_kt</f>
        <v/>
      </c>
      <c r="J75" s="33">
        <f>I75+turn_min+dwell_min</f>
        <v/>
      </c>
      <c r="K75" s="34">
        <f>MIN(10,FLOOR(60*service_hr/J75,1))</f>
        <v/>
      </c>
      <c r="L75" s="34">
        <f>ROUND(365*mech_uptime*H75,0)</f>
        <v/>
      </c>
      <c r="M75" s="35">
        <f>mech_uptime</f>
        <v/>
      </c>
      <c r="N75" s="35">
        <f>revleg_sel</f>
        <v/>
      </c>
      <c r="O75" s="34">
        <f>ROUND(K75*L75*revleg_sel,0)</f>
        <v/>
      </c>
      <c r="P75" s="36">
        <f>load_sel</f>
        <v/>
      </c>
      <c r="Q75" s="36">
        <f>pax_cap*P75</f>
        <v/>
      </c>
      <c r="R75" s="34">
        <f>Q75*O75</f>
        <v/>
      </c>
      <c r="S75" s="37">
        <f>E75*discount</f>
        <v/>
      </c>
      <c r="T75" s="38">
        <f>S75*R75</f>
        <v/>
      </c>
      <c r="U75" s="38">
        <f>(battery/range_nm)*D75*O75*VLOOKUP(B75,country_opex,3,FALSE)</f>
        <v/>
      </c>
      <c r="V75" s="38">
        <f>VLOOKUP(B75,country_opex,2,FALSE)*crew_factor</f>
        <v/>
      </c>
      <c r="W75" s="38">
        <f>VLOOKUP(B75,country_opex,5,FALSE)</f>
        <v/>
      </c>
      <c r="X75" s="38">
        <f>maint</f>
        <v/>
      </c>
      <c r="Y75" s="38">
        <f>VLOOKUP(B75,country_opex,7,FALSE)*ins_pct</f>
        <v/>
      </c>
      <c r="Z75" s="38">
        <f>charge_berth</f>
        <v/>
      </c>
      <c r="AA75" s="38">
        <f>U75+V75+W75+X75+Y75+Z75</f>
        <v/>
      </c>
      <c r="AB75" s="38">
        <f>VLOOKUP(B75,country_opex,7,FALSE)/dep_years</f>
        <v/>
      </c>
      <c r="AC75" s="38">
        <f>T75-AA75</f>
        <v/>
      </c>
      <c r="AD75" s="35">
        <f>IF(T75=0,"",AC75/T75)</f>
        <v/>
      </c>
      <c r="AE75" s="36">
        <f>IF(AC75&lt;=0,"",VLOOKUP(B75,country_opex,7,FALSE)/AC75)</f>
        <v/>
      </c>
      <c r="AF75" s="33">
        <f>((D75*O75/diesel_nmpg)*diesel_co2pg-(battery/range_nm)*D75*O75*VLOOKUP(B75,country_opex,4,FALSE))/1000</f>
        <v/>
      </c>
      <c r="AG75" s="31" t="n">
        <v>5000</v>
      </c>
      <c r="AH75" s="32" t="inlineStr">
        <is>
          <t>T3</t>
        </is>
      </c>
      <c r="AI75" s="32" t="inlineStr">
        <is>
          <t>med-low</t>
        </is>
      </c>
      <c r="AJ75" s="39" t="n">
        <v>0.1</v>
      </c>
      <c r="AK75" s="34">
        <f>IF(AG75="","",AG75*AJ75)</f>
        <v/>
      </c>
      <c r="AL75" s="34">
        <f>IF(OR(AG75="",R75=0),"",MIN(IF(AS75="",9.9E+99,AS75),FLOOR(AK75/R75,1)))</f>
        <v/>
      </c>
      <c r="AM75" s="38">
        <f>IF(AL75="","",AL75*T75)</f>
        <v/>
      </c>
      <c r="AN75" s="36">
        <f>IF(OR(AG75="",R75=0),"",MIN(IF(AS75="",9.9E+99,AS75),AK75/R75))</f>
        <v/>
      </c>
      <c r="AO75" s="38">
        <f>IF(AN75="","",AN75*T75)</f>
        <v/>
      </c>
      <c r="AP75" s="40" t="n"/>
      <c r="AQ75" s="41" t="n"/>
      <c r="AR75" s="41" t="n"/>
      <c r="AS75" s="42" t="n"/>
      <c r="AT75" s="43">
        <f>IF(((S75*pax_cap*load_thin*ROUND(K75*L75*revleg_thin,0))-(((battery/range_nm)*D75*ROUND(K75*L75*revleg_thin,0)*VLOOKUP(B75,country_opex,3,FALSE))+V75+W75+X75+Y75+Z75))&lt;=0,"",VLOOKUP(B75,country_opex,7,FALSE)/((S75*pax_cap*load_thin*ROUND(K75*L75*revleg_thin,0))-(((battery/range_nm)*D75*ROUND(K75*L75*revleg_thin,0)*VLOOKUP(B75,country_opex,3,FALSE))+V75+W75+X75+Y75+Z75)))</f>
        <v/>
      </c>
      <c r="AU75" s="43">
        <f>IF(((S75*pax_cap*load_mid*ROUND(K75*L75*revleg_mid,0))-(((battery/range_nm)*D75*ROUND(K75*L75*revleg_mid,0)*VLOOKUP(B75,country_opex,3,FALSE))+V75+W75+X75+Y75+Z75))&lt;=0,"",VLOOKUP(B75,country_opex,7,FALSE)/((S75*pax_cap*load_mid*ROUND(K75*L75*revleg_mid,0))-(((battery/range_nm)*D75*ROUND(K75*L75*revleg_mid,0)*VLOOKUP(B75,country_opex,3,FALSE))+V75+W75+X75+Y75+Z75)))</f>
        <v/>
      </c>
      <c r="AV75" s="43">
        <f>IF(((S75*pax_cap*load_full*ROUND(K75*L75*revleg_full,0))-(((battery/range_nm)*D75*ROUND(K75*L75*revleg_full,0)*VLOOKUP(B75,country_opex,3,FALSE))+V75+W75+X75+Y75+Z75))&lt;=0,"",VLOOKUP(B75,country_opex,7,FALSE)/((S75*pax_cap*load_full*ROUND(K75*L75*revleg_full,0))-(((battery/range_nm)*D75*ROUND(K75*L75*revleg_full,0)*VLOOKUP(B75,country_opex,3,FALSE))+V75+W75+X75+Y75+Z75)))</f>
        <v/>
      </c>
      <c r="AW75" s="44" t="inlineStr">
        <is>
          <t>handoff/INDIA-ECONOMICS-SIDECAR-V0-2026-06-20.json (andaman)</t>
        </is>
      </c>
      <c r="AX75" s="44" t="inlineStr">
        <is>
          <t>handoff/INDIA-ECONOMICS-SIDECAR-V0-2026-06-20.json (andaman)</t>
        </is>
      </c>
    </row>
    <row r="76">
      <c r="A76" s="29" t="inlineStr">
        <is>
          <t>India Mumbai Rapido</t>
        </is>
      </c>
      <c r="B76" s="29" t="inlineStr">
        <is>
          <t>India</t>
        </is>
      </c>
      <c r="C76" s="30" t="inlineStr">
        <is>
          <t>BSA Mandwa → Marina Bay Bistro @KARANJA Fishing Dock</t>
        </is>
      </c>
      <c r="D76" s="31" t="n">
        <v>4.5</v>
      </c>
      <c r="E76" s="26" t="n">
        <v>18</v>
      </c>
      <c r="F76" s="32" t="inlineStr">
        <is>
          <t>T3</t>
        </is>
      </c>
      <c r="G76" s="32" t="inlineStr">
        <is>
          <t>med-low</t>
        </is>
      </c>
      <c r="H76" s="19" t="n">
        <v>1</v>
      </c>
      <c r="I76" s="33">
        <f>60*D76/cruise_kt</f>
        <v/>
      </c>
      <c r="J76" s="33">
        <f>I76+turn_min+dwell_min</f>
        <v/>
      </c>
      <c r="K76" s="34">
        <f>MIN(10,FLOOR(60*service_hr/J76,1))</f>
        <v/>
      </c>
      <c r="L76" s="34">
        <f>ROUND(365*mech_uptime*H76,0)</f>
        <v/>
      </c>
      <c r="M76" s="35">
        <f>mech_uptime</f>
        <v/>
      </c>
      <c r="N76" s="35">
        <f>revleg_sel</f>
        <v/>
      </c>
      <c r="O76" s="34">
        <f>ROUND(K76*L76*revleg_sel,0)</f>
        <v/>
      </c>
      <c r="P76" s="36">
        <f>load_sel</f>
        <v/>
      </c>
      <c r="Q76" s="36">
        <f>pax_cap*P76</f>
        <v/>
      </c>
      <c r="R76" s="34">
        <f>Q76*O76</f>
        <v/>
      </c>
      <c r="S76" s="37">
        <f>E76*discount</f>
        <v/>
      </c>
      <c r="T76" s="38">
        <f>S76*R76</f>
        <v/>
      </c>
      <c r="U76" s="38">
        <f>(battery/range_nm)*D76*O76*VLOOKUP(B76,country_opex,3,FALSE)</f>
        <v/>
      </c>
      <c r="V76" s="38">
        <f>VLOOKUP(B76,country_opex,2,FALSE)*crew_factor</f>
        <v/>
      </c>
      <c r="W76" s="38">
        <f>VLOOKUP(B76,country_opex,5,FALSE)</f>
        <v/>
      </c>
      <c r="X76" s="38">
        <f>maint</f>
        <v/>
      </c>
      <c r="Y76" s="38">
        <f>VLOOKUP(B76,country_opex,7,FALSE)*ins_pct</f>
        <v/>
      </c>
      <c r="Z76" s="38">
        <f>charge_berth</f>
        <v/>
      </c>
      <c r="AA76" s="38">
        <f>U76+V76+W76+X76+Y76+Z76</f>
        <v/>
      </c>
      <c r="AB76" s="38">
        <f>VLOOKUP(B76,country_opex,7,FALSE)/dep_years</f>
        <v/>
      </c>
      <c r="AC76" s="38">
        <f>T76-AA76</f>
        <v/>
      </c>
      <c r="AD76" s="35">
        <f>IF(T76=0,"",AC76/T76)</f>
        <v/>
      </c>
      <c r="AE76" s="36">
        <f>IF(AC76&lt;=0,"",VLOOKUP(B76,country_opex,7,FALSE)/AC76)</f>
        <v/>
      </c>
      <c r="AF76" s="33">
        <f>((D76*O76/diesel_nmpg)*diesel_co2pg-(battery/range_nm)*D76*O76*VLOOKUP(B76,country_opex,4,FALSE))/1000</f>
        <v/>
      </c>
      <c r="AG76" s="31" t="n">
        <v>5000</v>
      </c>
      <c r="AH76" s="32" t="inlineStr">
        <is>
          <t>T3</t>
        </is>
      </c>
      <c r="AI76" s="32" t="inlineStr">
        <is>
          <t>med-low</t>
        </is>
      </c>
      <c r="AJ76" s="39" t="n">
        <v>0.1</v>
      </c>
      <c r="AK76" s="34">
        <f>IF(AG76="","",AG76*AJ76)</f>
        <v/>
      </c>
      <c r="AL76" s="34">
        <f>IF(OR(AG76="",R76=0),"",MIN(IF(AS76="",9.9E+99,AS76),FLOOR(AK76/R76,1)))</f>
        <v/>
      </c>
      <c r="AM76" s="38">
        <f>IF(AL76="","",AL76*T76)</f>
        <v/>
      </c>
      <c r="AN76" s="36">
        <f>IF(OR(AG76="",R76=0),"",MIN(IF(AS76="",9.9E+99,AS76),AK76/R76))</f>
        <v/>
      </c>
      <c r="AO76" s="38">
        <f>IF(AN76="","",AN76*T76)</f>
        <v/>
      </c>
      <c r="AP76" s="40" t="n"/>
      <c r="AQ76" s="41" t="n"/>
      <c r="AR76" s="41" t="n"/>
      <c r="AS76" s="42" t="n"/>
      <c r="AT76" s="43">
        <f>IF(((S76*pax_cap*load_thin*ROUND(K76*L76*revleg_thin,0))-(((battery/range_nm)*D76*ROUND(K76*L76*revleg_thin,0)*VLOOKUP(B76,country_opex,3,FALSE))+V76+W76+X76+Y76+Z76))&lt;=0,"",VLOOKUP(B76,country_opex,7,FALSE)/((S76*pax_cap*load_thin*ROUND(K76*L76*revleg_thin,0))-(((battery/range_nm)*D76*ROUND(K76*L76*revleg_thin,0)*VLOOKUP(B76,country_opex,3,FALSE))+V76+W76+X76+Y76+Z76)))</f>
        <v/>
      </c>
      <c r="AU76" s="43">
        <f>IF(((S76*pax_cap*load_mid*ROUND(K76*L76*revleg_mid,0))-(((battery/range_nm)*D76*ROUND(K76*L76*revleg_mid,0)*VLOOKUP(B76,country_opex,3,FALSE))+V76+W76+X76+Y76+Z76))&lt;=0,"",VLOOKUP(B76,country_opex,7,FALSE)/((S76*pax_cap*load_mid*ROUND(K76*L76*revleg_mid,0))-(((battery/range_nm)*D76*ROUND(K76*L76*revleg_mid,0)*VLOOKUP(B76,country_opex,3,FALSE))+V76+W76+X76+Y76+Z76)))</f>
        <v/>
      </c>
      <c r="AV76" s="43">
        <f>IF(((S76*pax_cap*load_full*ROUND(K76*L76*revleg_full,0))-(((battery/range_nm)*D76*ROUND(K76*L76*revleg_full,0)*VLOOKUP(B76,country_opex,3,FALSE))+V76+W76+X76+Y76+Z76))&lt;=0,"",VLOOKUP(B76,country_opex,7,FALSE)/((S76*pax_cap*load_full*ROUND(K76*L76*revleg_full,0))-(((battery/range_nm)*D76*ROUND(K76*L76*revleg_full,0)*VLOOKUP(B76,country_opex,3,FALSE))+V76+W76+X76+Y76+Z76)))</f>
        <v/>
      </c>
      <c r="AW76" s="44" t="inlineStr">
        <is>
          <t>[LB-255 PREMIUM RE-FARE: subsidized comparable $5.5 lifted to premium on-demand floor $18.0] handoff/INDIA-ECONOMICS-SIDECAR-V0-2026-06-20.json (mumbai)</t>
        </is>
      </c>
      <c r="AX76" s="44" t="inlineStr">
        <is>
          <t>handoff/INDIA-ECONOMICS-SIDECAR-V0-2026-06-20.json (mumbai)</t>
        </is>
      </c>
    </row>
    <row r="77">
      <c r="A77" s="29" t="inlineStr">
        <is>
          <t>India Mumbai Rapido</t>
        </is>
      </c>
      <c r="B77" s="29" t="inlineStr">
        <is>
          <t>India</t>
        </is>
      </c>
      <c r="C77" s="30" t="inlineStr">
        <is>
          <t>Mandwa Jetty → Mumbai Harbour</t>
        </is>
      </c>
      <c r="D77" s="31" t="n">
        <v>4.6</v>
      </c>
      <c r="E77" s="26" t="n">
        <v>18</v>
      </c>
      <c r="F77" s="32" t="inlineStr">
        <is>
          <t>T3</t>
        </is>
      </c>
      <c r="G77" s="32" t="inlineStr">
        <is>
          <t>med-low</t>
        </is>
      </c>
      <c r="H77" s="19" t="n">
        <v>1</v>
      </c>
      <c r="I77" s="33">
        <f>60*D77/cruise_kt</f>
        <v/>
      </c>
      <c r="J77" s="33">
        <f>I77+turn_min+dwell_min</f>
        <v/>
      </c>
      <c r="K77" s="34">
        <f>MIN(10,FLOOR(60*service_hr/J77,1))</f>
        <v/>
      </c>
      <c r="L77" s="34">
        <f>ROUND(365*mech_uptime*H77,0)</f>
        <v/>
      </c>
      <c r="M77" s="35">
        <f>mech_uptime</f>
        <v/>
      </c>
      <c r="N77" s="35">
        <f>revleg_sel</f>
        <v/>
      </c>
      <c r="O77" s="34">
        <f>ROUND(K77*L77*revleg_sel,0)</f>
        <v/>
      </c>
      <c r="P77" s="36">
        <f>load_sel</f>
        <v/>
      </c>
      <c r="Q77" s="36">
        <f>pax_cap*P77</f>
        <v/>
      </c>
      <c r="R77" s="34">
        <f>Q77*O77</f>
        <v/>
      </c>
      <c r="S77" s="37">
        <f>E77*discount</f>
        <v/>
      </c>
      <c r="T77" s="38">
        <f>S77*R77</f>
        <v/>
      </c>
      <c r="U77" s="38">
        <f>(battery/range_nm)*D77*O77*VLOOKUP(B77,country_opex,3,FALSE)</f>
        <v/>
      </c>
      <c r="V77" s="38">
        <f>VLOOKUP(B77,country_opex,2,FALSE)*crew_factor</f>
        <v/>
      </c>
      <c r="W77" s="38">
        <f>VLOOKUP(B77,country_opex,5,FALSE)</f>
        <v/>
      </c>
      <c r="X77" s="38">
        <f>maint</f>
        <v/>
      </c>
      <c r="Y77" s="38">
        <f>VLOOKUP(B77,country_opex,7,FALSE)*ins_pct</f>
        <v/>
      </c>
      <c r="Z77" s="38">
        <f>charge_berth</f>
        <v/>
      </c>
      <c r="AA77" s="38">
        <f>U77+V77+W77+X77+Y77+Z77</f>
        <v/>
      </c>
      <c r="AB77" s="38">
        <f>VLOOKUP(B77,country_opex,7,FALSE)/dep_years</f>
        <v/>
      </c>
      <c r="AC77" s="38">
        <f>T77-AA77</f>
        <v/>
      </c>
      <c r="AD77" s="35">
        <f>IF(T77=0,"",AC77/T77)</f>
        <v/>
      </c>
      <c r="AE77" s="36">
        <f>IF(AC77&lt;=0,"",VLOOKUP(B77,country_opex,7,FALSE)/AC77)</f>
        <v/>
      </c>
      <c r="AF77" s="33">
        <f>((D77*O77/diesel_nmpg)*diesel_co2pg-(battery/range_nm)*D77*O77*VLOOKUP(B77,country_opex,4,FALSE))/1000</f>
        <v/>
      </c>
      <c r="AG77" s="31" t="n">
        <v>5000</v>
      </c>
      <c r="AH77" s="32" t="inlineStr">
        <is>
          <t>T3</t>
        </is>
      </c>
      <c r="AI77" s="32" t="inlineStr">
        <is>
          <t>med-low</t>
        </is>
      </c>
      <c r="AJ77" s="39" t="n">
        <v>0.1</v>
      </c>
      <c r="AK77" s="34">
        <f>IF(AG77="","",AG77*AJ77)</f>
        <v/>
      </c>
      <c r="AL77" s="34">
        <f>IF(OR(AG77="",R77=0),"",MIN(IF(AS77="",9.9E+99,AS77),FLOOR(AK77/R77,1)))</f>
        <v/>
      </c>
      <c r="AM77" s="38">
        <f>IF(AL77="","",AL77*T77)</f>
        <v/>
      </c>
      <c r="AN77" s="36">
        <f>IF(OR(AG77="",R77=0),"",MIN(IF(AS77="",9.9E+99,AS77),AK77/R77))</f>
        <v/>
      </c>
      <c r="AO77" s="38">
        <f>IF(AN77="","",AN77*T77)</f>
        <v/>
      </c>
      <c r="AP77" s="40" t="n"/>
      <c r="AQ77" s="41" t="n"/>
      <c r="AR77" s="41" t="n"/>
      <c r="AS77" s="42" t="n"/>
      <c r="AT77" s="43">
        <f>IF(((S77*pax_cap*load_thin*ROUND(K77*L77*revleg_thin,0))-(((battery/range_nm)*D77*ROUND(K77*L77*revleg_thin,0)*VLOOKUP(B77,country_opex,3,FALSE))+V77+W77+X77+Y77+Z77))&lt;=0,"",VLOOKUP(B77,country_opex,7,FALSE)/((S77*pax_cap*load_thin*ROUND(K77*L77*revleg_thin,0))-(((battery/range_nm)*D77*ROUND(K77*L77*revleg_thin,0)*VLOOKUP(B77,country_opex,3,FALSE))+V77+W77+X77+Y77+Z77)))</f>
        <v/>
      </c>
      <c r="AU77" s="43">
        <f>IF(((S77*pax_cap*load_mid*ROUND(K77*L77*revleg_mid,0))-(((battery/range_nm)*D77*ROUND(K77*L77*revleg_mid,0)*VLOOKUP(B77,country_opex,3,FALSE))+V77+W77+X77+Y77+Z77))&lt;=0,"",VLOOKUP(B77,country_opex,7,FALSE)/((S77*pax_cap*load_mid*ROUND(K77*L77*revleg_mid,0))-(((battery/range_nm)*D77*ROUND(K77*L77*revleg_mid,0)*VLOOKUP(B77,country_opex,3,FALSE))+V77+W77+X77+Y77+Z77)))</f>
        <v/>
      </c>
      <c r="AV77" s="43">
        <f>IF(((S77*pax_cap*load_full*ROUND(K77*L77*revleg_full,0))-(((battery/range_nm)*D77*ROUND(K77*L77*revleg_full,0)*VLOOKUP(B77,country_opex,3,FALSE))+V77+W77+X77+Y77+Z77))&lt;=0,"",VLOOKUP(B77,country_opex,7,FALSE)/((S77*pax_cap*load_full*ROUND(K77*L77*revleg_full,0))-(((battery/range_nm)*D77*ROUND(K77*L77*revleg_full,0)*VLOOKUP(B77,country_opex,3,FALSE))+V77+W77+X77+Y77+Z77)))</f>
        <v/>
      </c>
      <c r="AW77" s="44" t="inlineStr">
        <is>
          <t>[LB-255 PREMIUM RE-FARE: subsidized comparable $5.5 lifted to premium on-demand floor $18.0] handoff/INDIA-ECONOMICS-SIDECAR-V0-2026-06-20.json (mumbai)</t>
        </is>
      </c>
      <c r="AX77" s="44" t="inlineStr">
        <is>
          <t>handoff/INDIA-ECONOMICS-SIDECAR-V0-2026-06-20.json (mumbai)</t>
        </is>
      </c>
    </row>
    <row r="78">
      <c r="A78" s="29" t="inlineStr">
        <is>
          <t>India Goa Rapido</t>
        </is>
      </c>
      <c r="B78" s="29" t="inlineStr">
        <is>
          <t>India</t>
        </is>
      </c>
      <c r="C78" s="30" t="inlineStr">
        <is>
          <t>Villa Marina → Mole</t>
        </is>
      </c>
      <c r="D78" s="31" t="n">
        <v>4.9</v>
      </c>
      <c r="E78" s="26" t="n">
        <v>8</v>
      </c>
      <c r="F78" s="32" t="inlineStr">
        <is>
          <t>T3</t>
        </is>
      </c>
      <c r="G78" s="32" t="inlineStr">
        <is>
          <t>med-low</t>
        </is>
      </c>
      <c r="H78" s="19" t="n">
        <v>1</v>
      </c>
      <c r="I78" s="33">
        <f>60*D78/cruise_kt</f>
        <v/>
      </c>
      <c r="J78" s="33">
        <f>I78+turn_min+dwell_min</f>
        <v/>
      </c>
      <c r="K78" s="34">
        <f>MIN(10,FLOOR(60*service_hr/J78,1))</f>
        <v/>
      </c>
      <c r="L78" s="34">
        <f>ROUND(365*mech_uptime*H78,0)</f>
        <v/>
      </c>
      <c r="M78" s="35">
        <f>mech_uptime</f>
        <v/>
      </c>
      <c r="N78" s="35">
        <f>revleg_sel</f>
        <v/>
      </c>
      <c r="O78" s="34">
        <f>ROUND(K78*L78*revleg_sel,0)</f>
        <v/>
      </c>
      <c r="P78" s="36">
        <f>load_sel</f>
        <v/>
      </c>
      <c r="Q78" s="36">
        <f>pax_cap*P78</f>
        <v/>
      </c>
      <c r="R78" s="34">
        <f>Q78*O78</f>
        <v/>
      </c>
      <c r="S78" s="37">
        <f>E78*discount</f>
        <v/>
      </c>
      <c r="T78" s="38">
        <f>S78*R78</f>
        <v/>
      </c>
      <c r="U78" s="38">
        <f>(battery/range_nm)*D78*O78*VLOOKUP(B78,country_opex,3,FALSE)</f>
        <v/>
      </c>
      <c r="V78" s="38">
        <f>VLOOKUP(B78,country_opex,2,FALSE)*crew_factor</f>
        <v/>
      </c>
      <c r="W78" s="38">
        <f>VLOOKUP(B78,country_opex,5,FALSE)</f>
        <v/>
      </c>
      <c r="X78" s="38">
        <f>maint</f>
        <v/>
      </c>
      <c r="Y78" s="38">
        <f>VLOOKUP(B78,country_opex,7,FALSE)*ins_pct</f>
        <v/>
      </c>
      <c r="Z78" s="38">
        <f>charge_berth</f>
        <v/>
      </c>
      <c r="AA78" s="38">
        <f>U78+V78+W78+X78+Y78+Z78</f>
        <v/>
      </c>
      <c r="AB78" s="38">
        <f>VLOOKUP(B78,country_opex,7,FALSE)/dep_years</f>
        <v/>
      </c>
      <c r="AC78" s="38">
        <f>T78-AA78</f>
        <v/>
      </c>
      <c r="AD78" s="35">
        <f>IF(T78=0,"",AC78/T78)</f>
        <v/>
      </c>
      <c r="AE78" s="36">
        <f>IF(AC78&lt;=0,"",VLOOKUP(B78,country_opex,7,FALSE)/AC78)</f>
        <v/>
      </c>
      <c r="AF78" s="33">
        <f>((D78*O78/diesel_nmpg)*diesel_co2pg-(battery/range_nm)*D78*O78*VLOOKUP(B78,country_opex,4,FALSE))/1000</f>
        <v/>
      </c>
      <c r="AG78" s="31" t="n">
        <v>11250</v>
      </c>
      <c r="AH78" s="32" t="inlineStr">
        <is>
          <t>T3</t>
        </is>
      </c>
      <c r="AI78" s="32" t="inlineStr">
        <is>
          <t>med-low</t>
        </is>
      </c>
      <c r="AJ78" s="39" t="n">
        <v>0.1</v>
      </c>
      <c r="AK78" s="34">
        <f>IF(AG78="","",AG78*AJ78)</f>
        <v/>
      </c>
      <c r="AL78" s="34">
        <f>IF(OR(AG78="",R78=0),"",MIN(IF(AS78="",9.9E+99,AS78),FLOOR(AK78/R78,1)))</f>
        <v/>
      </c>
      <c r="AM78" s="38">
        <f>IF(AL78="","",AL78*T78)</f>
        <v/>
      </c>
      <c r="AN78" s="36">
        <f>IF(OR(AG78="",R78=0),"",MIN(IF(AS78="",9.9E+99,AS78),AK78/R78))</f>
        <v/>
      </c>
      <c r="AO78" s="38">
        <f>IF(AN78="","",AN78*T78)</f>
        <v/>
      </c>
      <c r="AP78" s="40" t="n"/>
      <c r="AQ78" s="41" t="n"/>
      <c r="AR78" s="41" t="n"/>
      <c r="AS78" s="42" t="n"/>
      <c r="AT78" s="43">
        <f>IF(((S78*pax_cap*load_thin*ROUND(K78*L78*revleg_thin,0))-(((battery/range_nm)*D78*ROUND(K78*L78*revleg_thin,0)*VLOOKUP(B78,country_opex,3,FALSE))+V78+W78+X78+Y78+Z78))&lt;=0,"",VLOOKUP(B78,country_opex,7,FALSE)/((S78*pax_cap*load_thin*ROUND(K78*L78*revleg_thin,0))-(((battery/range_nm)*D78*ROUND(K78*L78*revleg_thin,0)*VLOOKUP(B78,country_opex,3,FALSE))+V78+W78+X78+Y78+Z78)))</f>
        <v/>
      </c>
      <c r="AU78" s="43">
        <f>IF(((S78*pax_cap*load_mid*ROUND(K78*L78*revleg_mid,0))-(((battery/range_nm)*D78*ROUND(K78*L78*revleg_mid,0)*VLOOKUP(B78,country_opex,3,FALSE))+V78+W78+X78+Y78+Z78))&lt;=0,"",VLOOKUP(B78,country_opex,7,FALSE)/((S78*pax_cap*load_mid*ROUND(K78*L78*revleg_mid,0))-(((battery/range_nm)*D78*ROUND(K78*L78*revleg_mid,0)*VLOOKUP(B78,country_opex,3,FALSE))+V78+W78+X78+Y78+Z78)))</f>
        <v/>
      </c>
      <c r="AV78" s="43">
        <f>IF(((S78*pax_cap*load_full*ROUND(K78*L78*revleg_full,0))-(((battery/range_nm)*D78*ROUND(K78*L78*revleg_full,0)*VLOOKUP(B78,country_opex,3,FALSE))+V78+W78+X78+Y78+Z78))&lt;=0,"",VLOOKUP(B78,country_opex,7,FALSE)/((S78*pax_cap*load_full*ROUND(K78*L78*revleg_full,0))-(((battery/range_nm)*D78*ROUND(K78*L78*revleg_full,0)*VLOOKUP(B78,country_opex,3,FALSE))+V78+W78+X78+Y78+Z78)))</f>
        <v/>
      </c>
      <c r="AW78" s="44" t="inlineStr">
        <is>
          <t>handoff/INDIA-ECONOMICS-SIDECAR-V0-2026-06-20.json (goa)</t>
        </is>
      </c>
      <c r="AX78" s="44" t="inlineStr">
        <is>
          <t>handoff/INDIA-ECONOMICS-SIDECAR-V0-2026-06-20.json (goa)</t>
        </is>
      </c>
    </row>
    <row r="79">
      <c r="A79" s="29" t="inlineStr">
        <is>
          <t>India Mumbai Rapido</t>
        </is>
      </c>
      <c r="B79" s="29" t="inlineStr">
        <is>
          <t>India</t>
        </is>
      </c>
      <c r="C79" s="30" t="inlineStr">
        <is>
          <t>Marina Bay Bistro @KARANJA Fishing Dock → Harbour view villa by 29 bungalow</t>
        </is>
      </c>
      <c r="D79" s="31" t="n">
        <v>5.4</v>
      </c>
      <c r="E79" s="26" t="n">
        <v>18</v>
      </c>
      <c r="F79" s="32" t="inlineStr">
        <is>
          <t>T3</t>
        </is>
      </c>
      <c r="G79" s="32" t="inlineStr">
        <is>
          <t>med-low</t>
        </is>
      </c>
      <c r="H79" s="19" t="n">
        <v>1</v>
      </c>
      <c r="I79" s="33">
        <f>60*D79/cruise_kt</f>
        <v/>
      </c>
      <c r="J79" s="33">
        <f>I79+turn_min+dwell_min</f>
        <v/>
      </c>
      <c r="K79" s="34">
        <f>MIN(10,FLOOR(60*service_hr/J79,1))</f>
        <v/>
      </c>
      <c r="L79" s="34">
        <f>ROUND(365*mech_uptime*H79,0)</f>
        <v/>
      </c>
      <c r="M79" s="35">
        <f>mech_uptime</f>
        <v/>
      </c>
      <c r="N79" s="35">
        <f>revleg_sel</f>
        <v/>
      </c>
      <c r="O79" s="34">
        <f>ROUND(K79*L79*revleg_sel,0)</f>
        <v/>
      </c>
      <c r="P79" s="36">
        <f>load_sel</f>
        <v/>
      </c>
      <c r="Q79" s="36">
        <f>pax_cap*P79</f>
        <v/>
      </c>
      <c r="R79" s="34">
        <f>Q79*O79</f>
        <v/>
      </c>
      <c r="S79" s="37">
        <f>E79*discount</f>
        <v/>
      </c>
      <c r="T79" s="38">
        <f>S79*R79</f>
        <v/>
      </c>
      <c r="U79" s="38">
        <f>(battery/range_nm)*D79*O79*VLOOKUP(B79,country_opex,3,FALSE)</f>
        <v/>
      </c>
      <c r="V79" s="38">
        <f>VLOOKUP(B79,country_opex,2,FALSE)*crew_factor</f>
        <v/>
      </c>
      <c r="W79" s="38">
        <f>VLOOKUP(B79,country_opex,5,FALSE)</f>
        <v/>
      </c>
      <c r="X79" s="38">
        <f>maint</f>
        <v/>
      </c>
      <c r="Y79" s="38">
        <f>VLOOKUP(B79,country_opex,7,FALSE)*ins_pct</f>
        <v/>
      </c>
      <c r="Z79" s="38">
        <f>charge_berth</f>
        <v/>
      </c>
      <c r="AA79" s="38">
        <f>U79+V79+W79+X79+Y79+Z79</f>
        <v/>
      </c>
      <c r="AB79" s="38">
        <f>VLOOKUP(B79,country_opex,7,FALSE)/dep_years</f>
        <v/>
      </c>
      <c r="AC79" s="38">
        <f>T79-AA79</f>
        <v/>
      </c>
      <c r="AD79" s="35">
        <f>IF(T79=0,"",AC79/T79)</f>
        <v/>
      </c>
      <c r="AE79" s="36">
        <f>IF(AC79&lt;=0,"",VLOOKUP(B79,country_opex,7,FALSE)/AC79)</f>
        <v/>
      </c>
      <c r="AF79" s="33">
        <f>((D79*O79/diesel_nmpg)*diesel_co2pg-(battery/range_nm)*D79*O79*VLOOKUP(B79,country_opex,4,FALSE))/1000</f>
        <v/>
      </c>
      <c r="AG79" s="31" t="n">
        <v>5000</v>
      </c>
      <c r="AH79" s="32" t="inlineStr">
        <is>
          <t>T3</t>
        </is>
      </c>
      <c r="AI79" s="32" t="inlineStr">
        <is>
          <t>med-low</t>
        </is>
      </c>
      <c r="AJ79" s="39" t="n">
        <v>0.1</v>
      </c>
      <c r="AK79" s="34">
        <f>IF(AG79="","",AG79*AJ79)</f>
        <v/>
      </c>
      <c r="AL79" s="34">
        <f>IF(OR(AG79="",R79=0),"",MIN(IF(AS79="",9.9E+99,AS79),FLOOR(AK79/R79,1)))</f>
        <v/>
      </c>
      <c r="AM79" s="38">
        <f>IF(AL79="","",AL79*T79)</f>
        <v/>
      </c>
      <c r="AN79" s="36">
        <f>IF(OR(AG79="",R79=0),"",MIN(IF(AS79="",9.9E+99,AS79),AK79/R79))</f>
        <v/>
      </c>
      <c r="AO79" s="38">
        <f>IF(AN79="","",AN79*T79)</f>
        <v/>
      </c>
      <c r="AP79" s="40" t="n"/>
      <c r="AQ79" s="41" t="n"/>
      <c r="AR79" s="41" t="n"/>
      <c r="AS79" s="42" t="n"/>
      <c r="AT79" s="43">
        <f>IF(((S79*pax_cap*load_thin*ROUND(K79*L79*revleg_thin,0))-(((battery/range_nm)*D79*ROUND(K79*L79*revleg_thin,0)*VLOOKUP(B79,country_opex,3,FALSE))+V79+W79+X79+Y79+Z79))&lt;=0,"",VLOOKUP(B79,country_opex,7,FALSE)/((S79*pax_cap*load_thin*ROUND(K79*L79*revleg_thin,0))-(((battery/range_nm)*D79*ROUND(K79*L79*revleg_thin,0)*VLOOKUP(B79,country_opex,3,FALSE))+V79+W79+X79+Y79+Z79)))</f>
        <v/>
      </c>
      <c r="AU79" s="43">
        <f>IF(((S79*pax_cap*load_mid*ROUND(K79*L79*revleg_mid,0))-(((battery/range_nm)*D79*ROUND(K79*L79*revleg_mid,0)*VLOOKUP(B79,country_opex,3,FALSE))+V79+W79+X79+Y79+Z79))&lt;=0,"",VLOOKUP(B79,country_opex,7,FALSE)/((S79*pax_cap*load_mid*ROUND(K79*L79*revleg_mid,0))-(((battery/range_nm)*D79*ROUND(K79*L79*revleg_mid,0)*VLOOKUP(B79,country_opex,3,FALSE))+V79+W79+X79+Y79+Z79)))</f>
        <v/>
      </c>
      <c r="AV79" s="43">
        <f>IF(((S79*pax_cap*load_full*ROUND(K79*L79*revleg_full,0))-(((battery/range_nm)*D79*ROUND(K79*L79*revleg_full,0)*VLOOKUP(B79,country_opex,3,FALSE))+V79+W79+X79+Y79+Z79))&lt;=0,"",VLOOKUP(B79,country_opex,7,FALSE)/((S79*pax_cap*load_full*ROUND(K79*L79*revleg_full,0))-(((battery/range_nm)*D79*ROUND(K79*L79*revleg_full,0)*VLOOKUP(B79,country_opex,3,FALSE))+V79+W79+X79+Y79+Z79)))</f>
        <v/>
      </c>
      <c r="AW79" s="44" t="inlineStr">
        <is>
          <t>[LB-255 PREMIUM RE-FARE: subsidized comparable $5.5 lifted to premium on-demand floor $18.0] handoff/INDIA-ECONOMICS-SIDECAR-V0-2026-06-20.json (mumbai)</t>
        </is>
      </c>
      <c r="AX79" s="44" t="inlineStr">
        <is>
          <t>handoff/INDIA-ECONOMICS-SIDECAR-V0-2026-06-20.json (mumbai)</t>
        </is>
      </c>
    </row>
    <row r="80">
      <c r="A80" s="29" t="inlineStr">
        <is>
          <t>India Mumbai Rapido</t>
        </is>
      </c>
      <c r="B80" s="29" t="inlineStr">
        <is>
          <t>India</t>
        </is>
      </c>
      <c r="C80" s="30" t="inlineStr">
        <is>
          <t>Elephanta Caves → Mumbai Trans-Harbour Navi Mumbai Toll Plaza</t>
        </is>
      </c>
      <c r="D80" s="31" t="n">
        <v>5.6</v>
      </c>
      <c r="E80" s="26" t="n">
        <v>18</v>
      </c>
      <c r="F80" s="32" t="inlineStr">
        <is>
          <t>T3</t>
        </is>
      </c>
      <c r="G80" s="32" t="inlineStr">
        <is>
          <t>med-low</t>
        </is>
      </c>
      <c r="H80" s="19" t="n">
        <v>1</v>
      </c>
      <c r="I80" s="33">
        <f>60*D80/cruise_kt</f>
        <v/>
      </c>
      <c r="J80" s="33">
        <f>I80+turn_min+dwell_min</f>
        <v/>
      </c>
      <c r="K80" s="34">
        <f>MIN(10,FLOOR(60*service_hr/J80,1))</f>
        <v/>
      </c>
      <c r="L80" s="34">
        <f>ROUND(365*mech_uptime*H80,0)</f>
        <v/>
      </c>
      <c r="M80" s="35">
        <f>mech_uptime</f>
        <v/>
      </c>
      <c r="N80" s="35">
        <f>revleg_sel</f>
        <v/>
      </c>
      <c r="O80" s="34">
        <f>ROUND(K80*L80*revleg_sel,0)</f>
        <v/>
      </c>
      <c r="P80" s="36">
        <f>load_sel</f>
        <v/>
      </c>
      <c r="Q80" s="36">
        <f>pax_cap*P80</f>
        <v/>
      </c>
      <c r="R80" s="34">
        <f>Q80*O80</f>
        <v/>
      </c>
      <c r="S80" s="37">
        <f>E80*discount</f>
        <v/>
      </c>
      <c r="T80" s="38">
        <f>S80*R80</f>
        <v/>
      </c>
      <c r="U80" s="38">
        <f>(battery/range_nm)*D80*O80*VLOOKUP(B80,country_opex,3,FALSE)</f>
        <v/>
      </c>
      <c r="V80" s="38">
        <f>VLOOKUP(B80,country_opex,2,FALSE)*crew_factor</f>
        <v/>
      </c>
      <c r="W80" s="38">
        <f>VLOOKUP(B80,country_opex,5,FALSE)</f>
        <v/>
      </c>
      <c r="X80" s="38">
        <f>maint</f>
        <v/>
      </c>
      <c r="Y80" s="38">
        <f>VLOOKUP(B80,country_opex,7,FALSE)*ins_pct</f>
        <v/>
      </c>
      <c r="Z80" s="38">
        <f>charge_berth</f>
        <v/>
      </c>
      <c r="AA80" s="38">
        <f>U80+V80+W80+X80+Y80+Z80</f>
        <v/>
      </c>
      <c r="AB80" s="38">
        <f>VLOOKUP(B80,country_opex,7,FALSE)/dep_years</f>
        <v/>
      </c>
      <c r="AC80" s="38">
        <f>T80-AA80</f>
        <v/>
      </c>
      <c r="AD80" s="35">
        <f>IF(T80=0,"",AC80/T80)</f>
        <v/>
      </c>
      <c r="AE80" s="36">
        <f>IF(AC80&lt;=0,"",VLOOKUP(B80,country_opex,7,FALSE)/AC80)</f>
        <v/>
      </c>
      <c r="AF80" s="33">
        <f>((D80*O80/diesel_nmpg)*diesel_co2pg-(battery/range_nm)*D80*O80*VLOOKUP(B80,country_opex,4,FALSE))/1000</f>
        <v/>
      </c>
      <c r="AG80" s="31" t="n">
        <v>5000</v>
      </c>
      <c r="AH80" s="32" t="inlineStr">
        <is>
          <t>T3</t>
        </is>
      </c>
      <c r="AI80" s="32" t="inlineStr">
        <is>
          <t>med-low</t>
        </is>
      </c>
      <c r="AJ80" s="39" t="n">
        <v>0.1</v>
      </c>
      <c r="AK80" s="34">
        <f>IF(AG80="","",AG80*AJ80)</f>
        <v/>
      </c>
      <c r="AL80" s="34">
        <f>IF(OR(AG80="",R80=0),"",MIN(IF(AS80="",9.9E+99,AS80),FLOOR(AK80/R80,1)))</f>
        <v/>
      </c>
      <c r="AM80" s="38">
        <f>IF(AL80="","",AL80*T80)</f>
        <v/>
      </c>
      <c r="AN80" s="36">
        <f>IF(OR(AG80="",R80=0),"",MIN(IF(AS80="",9.9E+99,AS80),AK80/R80))</f>
        <v/>
      </c>
      <c r="AO80" s="38">
        <f>IF(AN80="","",AN80*T80)</f>
        <v/>
      </c>
      <c r="AP80" s="40" t="n"/>
      <c r="AQ80" s="41" t="n"/>
      <c r="AR80" s="41" t="n"/>
      <c r="AS80" s="42" t="n"/>
      <c r="AT80" s="43">
        <f>IF(((S80*pax_cap*load_thin*ROUND(K80*L80*revleg_thin,0))-(((battery/range_nm)*D80*ROUND(K80*L80*revleg_thin,0)*VLOOKUP(B80,country_opex,3,FALSE))+V80+W80+X80+Y80+Z80))&lt;=0,"",VLOOKUP(B80,country_opex,7,FALSE)/((S80*pax_cap*load_thin*ROUND(K80*L80*revleg_thin,0))-(((battery/range_nm)*D80*ROUND(K80*L80*revleg_thin,0)*VLOOKUP(B80,country_opex,3,FALSE))+V80+W80+X80+Y80+Z80)))</f>
        <v/>
      </c>
      <c r="AU80" s="43">
        <f>IF(((S80*pax_cap*load_mid*ROUND(K80*L80*revleg_mid,0))-(((battery/range_nm)*D80*ROUND(K80*L80*revleg_mid,0)*VLOOKUP(B80,country_opex,3,FALSE))+V80+W80+X80+Y80+Z80))&lt;=0,"",VLOOKUP(B80,country_opex,7,FALSE)/((S80*pax_cap*load_mid*ROUND(K80*L80*revleg_mid,0))-(((battery/range_nm)*D80*ROUND(K80*L80*revleg_mid,0)*VLOOKUP(B80,country_opex,3,FALSE))+V80+W80+X80+Y80+Z80)))</f>
        <v/>
      </c>
      <c r="AV80" s="43">
        <f>IF(((S80*pax_cap*load_full*ROUND(K80*L80*revleg_full,0))-(((battery/range_nm)*D80*ROUND(K80*L80*revleg_full,0)*VLOOKUP(B80,country_opex,3,FALSE))+V80+W80+X80+Y80+Z80))&lt;=0,"",VLOOKUP(B80,country_opex,7,FALSE)/((S80*pax_cap*load_full*ROUND(K80*L80*revleg_full,0))-(((battery/range_nm)*D80*ROUND(K80*L80*revleg_full,0)*VLOOKUP(B80,country_opex,3,FALSE))+V80+W80+X80+Y80+Z80)))</f>
        <v/>
      </c>
      <c r="AW80" s="44" t="inlineStr">
        <is>
          <t>[LB-255 PREMIUM RE-FARE: subsidized comparable $5.5 lifted to premium on-demand floor $18.0] handoff/INDIA-ECONOMICS-SIDECAR-V0-2026-06-20.json (mumbai)</t>
        </is>
      </c>
      <c r="AX80" s="44" t="inlineStr">
        <is>
          <t>handoff/INDIA-ECONOMICS-SIDECAR-V0-2026-06-20.json (mumbai)</t>
        </is>
      </c>
    </row>
    <row r="81">
      <c r="A81" s="29" t="inlineStr">
        <is>
          <t>India Goa Rapido</t>
        </is>
      </c>
      <c r="B81" s="29" t="inlineStr">
        <is>
          <t>India</t>
        </is>
      </c>
      <c r="C81" s="30" t="inlineStr">
        <is>
          <t>Goveia Marina → LifeOnYachts Goa</t>
        </is>
      </c>
      <c r="D81" s="31" t="n">
        <v>5.8</v>
      </c>
      <c r="E81" s="26" t="n">
        <v>8</v>
      </c>
      <c r="F81" s="32" t="inlineStr">
        <is>
          <t>T3</t>
        </is>
      </c>
      <c r="G81" s="32" t="inlineStr">
        <is>
          <t>med-low</t>
        </is>
      </c>
      <c r="H81" s="19" t="n">
        <v>1</v>
      </c>
      <c r="I81" s="33">
        <f>60*D81/cruise_kt</f>
        <v/>
      </c>
      <c r="J81" s="33">
        <f>I81+turn_min+dwell_min</f>
        <v/>
      </c>
      <c r="K81" s="34">
        <f>MIN(10,FLOOR(60*service_hr/J81,1))</f>
        <v/>
      </c>
      <c r="L81" s="34">
        <f>ROUND(365*mech_uptime*H81,0)</f>
        <v/>
      </c>
      <c r="M81" s="35">
        <f>mech_uptime</f>
        <v/>
      </c>
      <c r="N81" s="35">
        <f>revleg_sel</f>
        <v/>
      </c>
      <c r="O81" s="34">
        <f>ROUND(K81*L81*revleg_sel,0)</f>
        <v/>
      </c>
      <c r="P81" s="36">
        <f>load_sel</f>
        <v/>
      </c>
      <c r="Q81" s="36">
        <f>pax_cap*P81</f>
        <v/>
      </c>
      <c r="R81" s="34">
        <f>Q81*O81</f>
        <v/>
      </c>
      <c r="S81" s="37">
        <f>E81*discount</f>
        <v/>
      </c>
      <c r="T81" s="38">
        <f>S81*R81</f>
        <v/>
      </c>
      <c r="U81" s="38">
        <f>(battery/range_nm)*D81*O81*VLOOKUP(B81,country_opex,3,FALSE)</f>
        <v/>
      </c>
      <c r="V81" s="38">
        <f>VLOOKUP(B81,country_opex,2,FALSE)*crew_factor</f>
        <v/>
      </c>
      <c r="W81" s="38">
        <f>VLOOKUP(B81,country_opex,5,FALSE)</f>
        <v/>
      </c>
      <c r="X81" s="38">
        <f>maint</f>
        <v/>
      </c>
      <c r="Y81" s="38">
        <f>VLOOKUP(B81,country_opex,7,FALSE)*ins_pct</f>
        <v/>
      </c>
      <c r="Z81" s="38">
        <f>charge_berth</f>
        <v/>
      </c>
      <c r="AA81" s="38">
        <f>U81+V81+W81+X81+Y81+Z81</f>
        <v/>
      </c>
      <c r="AB81" s="38">
        <f>VLOOKUP(B81,country_opex,7,FALSE)/dep_years</f>
        <v/>
      </c>
      <c r="AC81" s="38">
        <f>T81-AA81</f>
        <v/>
      </c>
      <c r="AD81" s="35">
        <f>IF(T81=0,"",AC81/T81)</f>
        <v/>
      </c>
      <c r="AE81" s="36">
        <f>IF(AC81&lt;=0,"",VLOOKUP(B81,country_opex,7,FALSE)/AC81)</f>
        <v/>
      </c>
      <c r="AF81" s="33">
        <f>((D81*O81/diesel_nmpg)*diesel_co2pg-(battery/range_nm)*D81*O81*VLOOKUP(B81,country_opex,4,FALSE))/1000</f>
        <v/>
      </c>
      <c r="AG81" s="31" t="n">
        <v>11250</v>
      </c>
      <c r="AH81" s="32" t="inlineStr">
        <is>
          <t>T3</t>
        </is>
      </c>
      <c r="AI81" s="32" t="inlineStr">
        <is>
          <t>med-low</t>
        </is>
      </c>
      <c r="AJ81" s="39" t="n">
        <v>0.1</v>
      </c>
      <c r="AK81" s="34">
        <f>IF(AG81="","",AG81*AJ81)</f>
        <v/>
      </c>
      <c r="AL81" s="34">
        <f>IF(OR(AG81="",R81=0),"",MIN(IF(AS81="",9.9E+99,AS81),FLOOR(AK81/R81,1)))</f>
        <v/>
      </c>
      <c r="AM81" s="38">
        <f>IF(AL81="","",AL81*T81)</f>
        <v/>
      </c>
      <c r="AN81" s="36">
        <f>IF(OR(AG81="",R81=0),"",MIN(IF(AS81="",9.9E+99,AS81),AK81/R81))</f>
        <v/>
      </c>
      <c r="AO81" s="38">
        <f>IF(AN81="","",AN81*T81)</f>
        <v/>
      </c>
      <c r="AP81" s="40" t="n"/>
      <c r="AQ81" s="41" t="n"/>
      <c r="AR81" s="41" t="n"/>
      <c r="AS81" s="42" t="n"/>
      <c r="AT81" s="43">
        <f>IF(((S81*pax_cap*load_thin*ROUND(K81*L81*revleg_thin,0))-(((battery/range_nm)*D81*ROUND(K81*L81*revleg_thin,0)*VLOOKUP(B81,country_opex,3,FALSE))+V81+W81+X81+Y81+Z81))&lt;=0,"",VLOOKUP(B81,country_opex,7,FALSE)/((S81*pax_cap*load_thin*ROUND(K81*L81*revleg_thin,0))-(((battery/range_nm)*D81*ROUND(K81*L81*revleg_thin,0)*VLOOKUP(B81,country_opex,3,FALSE))+V81+W81+X81+Y81+Z81)))</f>
        <v/>
      </c>
      <c r="AU81" s="43">
        <f>IF(((S81*pax_cap*load_mid*ROUND(K81*L81*revleg_mid,0))-(((battery/range_nm)*D81*ROUND(K81*L81*revleg_mid,0)*VLOOKUP(B81,country_opex,3,FALSE))+V81+W81+X81+Y81+Z81))&lt;=0,"",VLOOKUP(B81,country_opex,7,FALSE)/((S81*pax_cap*load_mid*ROUND(K81*L81*revleg_mid,0))-(((battery/range_nm)*D81*ROUND(K81*L81*revleg_mid,0)*VLOOKUP(B81,country_opex,3,FALSE))+V81+W81+X81+Y81+Z81)))</f>
        <v/>
      </c>
      <c r="AV81" s="43">
        <f>IF(((S81*pax_cap*load_full*ROUND(K81*L81*revleg_full,0))-(((battery/range_nm)*D81*ROUND(K81*L81*revleg_full,0)*VLOOKUP(B81,country_opex,3,FALSE))+V81+W81+X81+Y81+Z81))&lt;=0,"",VLOOKUP(B81,country_opex,7,FALSE)/((S81*pax_cap*load_full*ROUND(K81*L81*revleg_full,0))-(((battery/range_nm)*D81*ROUND(K81*L81*revleg_full,0)*VLOOKUP(B81,country_opex,3,FALSE))+V81+W81+X81+Y81+Z81)))</f>
        <v/>
      </c>
      <c r="AW81" s="44" t="inlineStr">
        <is>
          <t>handoff/INDIA-ECONOMICS-SIDECAR-V0-2026-06-20.json (goa)</t>
        </is>
      </c>
      <c r="AX81" s="44" t="inlineStr">
        <is>
          <t>handoff/INDIA-ECONOMICS-SIDECAR-V0-2026-06-20.json (goa)</t>
        </is>
      </c>
    </row>
    <row r="82">
      <c r="A82" s="29" t="inlineStr">
        <is>
          <t>India Kerala Rapido</t>
        </is>
      </c>
      <c r="B82" s="29" t="inlineStr">
        <is>
          <t>India</t>
        </is>
      </c>
      <c r="C82" s="30" t="inlineStr">
        <is>
          <t>Keltron Ferry → Chellanam Harbour Kochi</t>
        </is>
      </c>
      <c r="D82" s="31" t="n">
        <v>5.8</v>
      </c>
      <c r="E82" s="26" t="n">
        <v>18</v>
      </c>
      <c r="F82" s="32" t="inlineStr">
        <is>
          <t>T3</t>
        </is>
      </c>
      <c r="G82" s="32" t="inlineStr">
        <is>
          <t>med-low</t>
        </is>
      </c>
      <c r="H82" s="19" t="n">
        <v>1</v>
      </c>
      <c r="I82" s="33">
        <f>60*D82/cruise_kt</f>
        <v/>
      </c>
      <c r="J82" s="33">
        <f>I82+turn_min+dwell_min</f>
        <v/>
      </c>
      <c r="K82" s="34">
        <f>MIN(10,FLOOR(60*service_hr/J82,1))</f>
        <v/>
      </c>
      <c r="L82" s="34">
        <f>ROUND(365*mech_uptime*H82,0)</f>
        <v/>
      </c>
      <c r="M82" s="35">
        <f>mech_uptime</f>
        <v/>
      </c>
      <c r="N82" s="35">
        <f>revleg_sel</f>
        <v/>
      </c>
      <c r="O82" s="34">
        <f>ROUND(K82*L82*revleg_sel,0)</f>
        <v/>
      </c>
      <c r="P82" s="36">
        <f>load_sel</f>
        <v/>
      </c>
      <c r="Q82" s="36">
        <f>pax_cap*P82</f>
        <v/>
      </c>
      <c r="R82" s="34">
        <f>Q82*O82</f>
        <v/>
      </c>
      <c r="S82" s="37">
        <f>E82*discount</f>
        <v/>
      </c>
      <c r="T82" s="38">
        <f>S82*R82</f>
        <v/>
      </c>
      <c r="U82" s="38">
        <f>(battery/range_nm)*D82*O82*VLOOKUP(B82,country_opex,3,FALSE)</f>
        <v/>
      </c>
      <c r="V82" s="38">
        <f>VLOOKUP(B82,country_opex,2,FALSE)*crew_factor</f>
        <v/>
      </c>
      <c r="W82" s="38">
        <f>VLOOKUP(B82,country_opex,5,FALSE)</f>
        <v/>
      </c>
      <c r="X82" s="38">
        <f>maint</f>
        <v/>
      </c>
      <c r="Y82" s="38">
        <f>VLOOKUP(B82,country_opex,7,FALSE)*ins_pct</f>
        <v/>
      </c>
      <c r="Z82" s="38">
        <f>charge_berth</f>
        <v/>
      </c>
      <c r="AA82" s="38">
        <f>U82+V82+W82+X82+Y82+Z82</f>
        <v/>
      </c>
      <c r="AB82" s="38">
        <f>VLOOKUP(B82,country_opex,7,FALSE)/dep_years</f>
        <v/>
      </c>
      <c r="AC82" s="38">
        <f>T82-AA82</f>
        <v/>
      </c>
      <c r="AD82" s="35">
        <f>IF(T82=0,"",AC82/T82)</f>
        <v/>
      </c>
      <c r="AE82" s="36">
        <f>IF(AC82&lt;=0,"",VLOOKUP(B82,country_opex,7,FALSE)/AC82)</f>
        <v/>
      </c>
      <c r="AF82" s="33">
        <f>((D82*O82/diesel_nmpg)*diesel_co2pg-(battery/range_nm)*D82*O82*VLOOKUP(B82,country_opex,4,FALSE))/1000</f>
        <v/>
      </c>
      <c r="AG82" s="31" t="n">
        <v>29166</v>
      </c>
      <c r="AH82" s="32" t="inlineStr">
        <is>
          <t>T3</t>
        </is>
      </c>
      <c r="AI82" s="32" t="inlineStr">
        <is>
          <t>med-low</t>
        </is>
      </c>
      <c r="AJ82" s="39" t="n">
        <v>0.1</v>
      </c>
      <c r="AK82" s="34">
        <f>IF(AG82="","",AG82*AJ82)</f>
        <v/>
      </c>
      <c r="AL82" s="34">
        <f>IF(OR(AG82="",R82=0),"",MIN(IF(AS82="",9.9E+99,AS82),FLOOR(AK82/R82,1)))</f>
        <v/>
      </c>
      <c r="AM82" s="38">
        <f>IF(AL82="","",AL82*T82)</f>
        <v/>
      </c>
      <c r="AN82" s="36">
        <f>IF(OR(AG82="",R82=0),"",MIN(IF(AS82="",9.9E+99,AS82),AK82/R82))</f>
        <v/>
      </c>
      <c r="AO82" s="38">
        <f>IF(AN82="","",AN82*T82)</f>
        <v/>
      </c>
      <c r="AP82" s="40" t="n"/>
      <c r="AQ82" s="41" t="n"/>
      <c r="AR82" s="41" t="n"/>
      <c r="AS82" s="42" t="n"/>
      <c r="AT82" s="43">
        <f>IF(((S82*pax_cap*load_thin*ROUND(K82*L82*revleg_thin,0))-(((battery/range_nm)*D82*ROUND(K82*L82*revleg_thin,0)*VLOOKUP(B82,country_opex,3,FALSE))+V82+W82+X82+Y82+Z82))&lt;=0,"",VLOOKUP(B82,country_opex,7,FALSE)/((S82*pax_cap*load_thin*ROUND(K82*L82*revleg_thin,0))-(((battery/range_nm)*D82*ROUND(K82*L82*revleg_thin,0)*VLOOKUP(B82,country_opex,3,FALSE))+V82+W82+X82+Y82+Z82)))</f>
        <v/>
      </c>
      <c r="AU82" s="43">
        <f>IF(((S82*pax_cap*load_mid*ROUND(K82*L82*revleg_mid,0))-(((battery/range_nm)*D82*ROUND(K82*L82*revleg_mid,0)*VLOOKUP(B82,country_opex,3,FALSE))+V82+W82+X82+Y82+Z82))&lt;=0,"",VLOOKUP(B82,country_opex,7,FALSE)/((S82*pax_cap*load_mid*ROUND(K82*L82*revleg_mid,0))-(((battery/range_nm)*D82*ROUND(K82*L82*revleg_mid,0)*VLOOKUP(B82,country_opex,3,FALSE))+V82+W82+X82+Y82+Z82)))</f>
        <v/>
      </c>
      <c r="AV82" s="43">
        <f>IF(((S82*pax_cap*load_full*ROUND(K82*L82*revleg_full,0))-(((battery/range_nm)*D82*ROUND(K82*L82*revleg_full,0)*VLOOKUP(B82,country_opex,3,FALSE))+V82+W82+X82+Y82+Z82))&lt;=0,"",VLOOKUP(B82,country_opex,7,FALSE)/((S82*pax_cap*load_full*ROUND(K82*L82*revleg_full,0))-(((battery/range_nm)*D82*ROUND(K82*L82*revleg_full,0)*VLOOKUP(B82,country_opex,3,FALSE))+V82+W82+X82+Y82+Z82)))</f>
        <v/>
      </c>
      <c r="AW82" s="44" t="inlineStr">
        <is>
          <t>[LB-255 PREMIUM RE-FARE: subsidized comparable $3.5 lifted to premium on-demand floor $18.0] handoff/INDIA-ECONOMICS-SIDECAR-V0-2026-06-20.json (kerala)</t>
        </is>
      </c>
      <c r="AX82" s="44" t="inlineStr">
        <is>
          <t>handoff/INDIA-ECONOMICS-SIDECAR-V0-2026-06-20.json (kerala)</t>
        </is>
      </c>
    </row>
    <row r="83">
      <c r="A83" s="29" t="inlineStr">
        <is>
          <t>India Mumbai Rapido</t>
        </is>
      </c>
      <c r="B83" s="29" t="inlineStr">
        <is>
          <t>India</t>
        </is>
      </c>
      <c r="C83" s="30" t="inlineStr">
        <is>
          <t>JNPT Ferry Service → Mumbai Trans-Harbour Navi Mumbai Toll Plaza</t>
        </is>
      </c>
      <c r="D83" s="31" t="n">
        <v>5.9</v>
      </c>
      <c r="E83" s="26" t="n">
        <v>18</v>
      </c>
      <c r="F83" s="32" t="inlineStr">
        <is>
          <t>T3</t>
        </is>
      </c>
      <c r="G83" s="32" t="inlineStr">
        <is>
          <t>med-low</t>
        </is>
      </c>
      <c r="H83" s="19" t="n">
        <v>1</v>
      </c>
      <c r="I83" s="33">
        <f>60*D83/cruise_kt</f>
        <v/>
      </c>
      <c r="J83" s="33">
        <f>I83+turn_min+dwell_min</f>
        <v/>
      </c>
      <c r="K83" s="34">
        <f>MIN(10,FLOOR(60*service_hr/J83,1))</f>
        <v/>
      </c>
      <c r="L83" s="34">
        <f>ROUND(365*mech_uptime*H83,0)</f>
        <v/>
      </c>
      <c r="M83" s="35">
        <f>mech_uptime</f>
        <v/>
      </c>
      <c r="N83" s="35">
        <f>revleg_sel</f>
        <v/>
      </c>
      <c r="O83" s="34">
        <f>ROUND(K83*L83*revleg_sel,0)</f>
        <v/>
      </c>
      <c r="P83" s="36">
        <f>load_sel</f>
        <v/>
      </c>
      <c r="Q83" s="36">
        <f>pax_cap*P83</f>
        <v/>
      </c>
      <c r="R83" s="34">
        <f>Q83*O83</f>
        <v/>
      </c>
      <c r="S83" s="37">
        <f>E83*discount</f>
        <v/>
      </c>
      <c r="T83" s="38">
        <f>S83*R83</f>
        <v/>
      </c>
      <c r="U83" s="38">
        <f>(battery/range_nm)*D83*O83*VLOOKUP(B83,country_opex,3,FALSE)</f>
        <v/>
      </c>
      <c r="V83" s="38">
        <f>VLOOKUP(B83,country_opex,2,FALSE)*crew_factor</f>
        <v/>
      </c>
      <c r="W83" s="38">
        <f>VLOOKUP(B83,country_opex,5,FALSE)</f>
        <v/>
      </c>
      <c r="X83" s="38">
        <f>maint</f>
        <v/>
      </c>
      <c r="Y83" s="38">
        <f>VLOOKUP(B83,country_opex,7,FALSE)*ins_pct</f>
        <v/>
      </c>
      <c r="Z83" s="38">
        <f>charge_berth</f>
        <v/>
      </c>
      <c r="AA83" s="38">
        <f>U83+V83+W83+X83+Y83+Z83</f>
        <v/>
      </c>
      <c r="AB83" s="38">
        <f>VLOOKUP(B83,country_opex,7,FALSE)/dep_years</f>
        <v/>
      </c>
      <c r="AC83" s="38">
        <f>T83-AA83</f>
        <v/>
      </c>
      <c r="AD83" s="35">
        <f>IF(T83=0,"",AC83/T83)</f>
        <v/>
      </c>
      <c r="AE83" s="36">
        <f>IF(AC83&lt;=0,"",VLOOKUP(B83,country_opex,7,FALSE)/AC83)</f>
        <v/>
      </c>
      <c r="AF83" s="33">
        <f>((D83*O83/diesel_nmpg)*diesel_co2pg-(battery/range_nm)*D83*O83*VLOOKUP(B83,country_opex,4,FALSE))/1000</f>
        <v/>
      </c>
      <c r="AG83" s="31" t="n">
        <v>5000</v>
      </c>
      <c r="AH83" s="32" t="inlineStr">
        <is>
          <t>T3</t>
        </is>
      </c>
      <c r="AI83" s="32" t="inlineStr">
        <is>
          <t>med-low</t>
        </is>
      </c>
      <c r="AJ83" s="39" t="n">
        <v>0.1</v>
      </c>
      <c r="AK83" s="34">
        <f>IF(AG83="","",AG83*AJ83)</f>
        <v/>
      </c>
      <c r="AL83" s="34">
        <f>IF(OR(AG83="",R83=0),"",MIN(IF(AS83="",9.9E+99,AS83),FLOOR(AK83/R83,1)))</f>
        <v/>
      </c>
      <c r="AM83" s="38">
        <f>IF(AL83="","",AL83*T83)</f>
        <v/>
      </c>
      <c r="AN83" s="36">
        <f>IF(OR(AG83="",R83=0),"",MIN(IF(AS83="",9.9E+99,AS83),AK83/R83))</f>
        <v/>
      </c>
      <c r="AO83" s="38">
        <f>IF(AN83="","",AN83*T83)</f>
        <v/>
      </c>
      <c r="AP83" s="40" t="n"/>
      <c r="AQ83" s="41" t="n"/>
      <c r="AR83" s="41" t="n"/>
      <c r="AS83" s="42" t="n"/>
      <c r="AT83" s="43">
        <f>IF(((S83*pax_cap*load_thin*ROUND(K83*L83*revleg_thin,0))-(((battery/range_nm)*D83*ROUND(K83*L83*revleg_thin,0)*VLOOKUP(B83,country_opex,3,FALSE))+V83+W83+X83+Y83+Z83))&lt;=0,"",VLOOKUP(B83,country_opex,7,FALSE)/((S83*pax_cap*load_thin*ROUND(K83*L83*revleg_thin,0))-(((battery/range_nm)*D83*ROUND(K83*L83*revleg_thin,0)*VLOOKUP(B83,country_opex,3,FALSE))+V83+W83+X83+Y83+Z83)))</f>
        <v/>
      </c>
      <c r="AU83" s="43">
        <f>IF(((S83*pax_cap*load_mid*ROUND(K83*L83*revleg_mid,0))-(((battery/range_nm)*D83*ROUND(K83*L83*revleg_mid,0)*VLOOKUP(B83,country_opex,3,FALSE))+V83+W83+X83+Y83+Z83))&lt;=0,"",VLOOKUP(B83,country_opex,7,FALSE)/((S83*pax_cap*load_mid*ROUND(K83*L83*revleg_mid,0))-(((battery/range_nm)*D83*ROUND(K83*L83*revleg_mid,0)*VLOOKUP(B83,country_opex,3,FALSE))+V83+W83+X83+Y83+Z83)))</f>
        <v/>
      </c>
      <c r="AV83" s="43">
        <f>IF(((S83*pax_cap*load_full*ROUND(K83*L83*revleg_full,0))-(((battery/range_nm)*D83*ROUND(K83*L83*revleg_full,0)*VLOOKUP(B83,country_opex,3,FALSE))+V83+W83+X83+Y83+Z83))&lt;=0,"",VLOOKUP(B83,country_opex,7,FALSE)/((S83*pax_cap*load_full*ROUND(K83*L83*revleg_full,0))-(((battery/range_nm)*D83*ROUND(K83*L83*revleg_full,0)*VLOOKUP(B83,country_opex,3,FALSE))+V83+W83+X83+Y83+Z83)))</f>
        <v/>
      </c>
      <c r="AW83" s="44" t="inlineStr">
        <is>
          <t>[LB-255 PREMIUM RE-FARE: subsidized comparable $5.5 lifted to premium on-demand floor $18.0] handoff/INDIA-ECONOMICS-SIDECAR-V0-2026-06-20.json (mumbai)</t>
        </is>
      </c>
      <c r="AX83" s="44" t="inlineStr">
        <is>
          <t>handoff/INDIA-ECONOMICS-SIDECAR-V0-2026-06-20.json (mumbai)</t>
        </is>
      </c>
    </row>
    <row r="84">
      <c r="A84" s="29" t="inlineStr">
        <is>
          <t>India Goa Rapido</t>
        </is>
      </c>
      <c r="B84" s="29" t="inlineStr">
        <is>
          <t>India</t>
        </is>
      </c>
      <c r="C84" s="30" t="inlineStr">
        <is>
          <t>Panaji Jetty → Goa</t>
        </is>
      </c>
      <c r="D84" s="31" t="n">
        <v>6</v>
      </c>
      <c r="E84" s="26" t="n">
        <v>8</v>
      </c>
      <c r="F84" s="32" t="inlineStr">
        <is>
          <t>T3</t>
        </is>
      </c>
      <c r="G84" s="32" t="inlineStr">
        <is>
          <t>med-low</t>
        </is>
      </c>
      <c r="H84" s="19" t="n">
        <v>1</v>
      </c>
      <c r="I84" s="33">
        <f>60*D84/cruise_kt</f>
        <v/>
      </c>
      <c r="J84" s="33">
        <f>I84+turn_min+dwell_min</f>
        <v/>
      </c>
      <c r="K84" s="34">
        <f>MIN(10,FLOOR(60*service_hr/J84,1))</f>
        <v/>
      </c>
      <c r="L84" s="34">
        <f>ROUND(365*mech_uptime*H84,0)</f>
        <v/>
      </c>
      <c r="M84" s="35">
        <f>mech_uptime</f>
        <v/>
      </c>
      <c r="N84" s="35">
        <f>revleg_sel</f>
        <v/>
      </c>
      <c r="O84" s="34">
        <f>ROUND(K84*L84*revleg_sel,0)</f>
        <v/>
      </c>
      <c r="P84" s="36">
        <f>load_sel</f>
        <v/>
      </c>
      <c r="Q84" s="36">
        <f>pax_cap*P84</f>
        <v/>
      </c>
      <c r="R84" s="34">
        <f>Q84*O84</f>
        <v/>
      </c>
      <c r="S84" s="37">
        <f>E84*discount</f>
        <v/>
      </c>
      <c r="T84" s="38">
        <f>S84*R84</f>
        <v/>
      </c>
      <c r="U84" s="38">
        <f>(battery/range_nm)*D84*O84*VLOOKUP(B84,country_opex,3,FALSE)</f>
        <v/>
      </c>
      <c r="V84" s="38">
        <f>VLOOKUP(B84,country_opex,2,FALSE)*crew_factor</f>
        <v/>
      </c>
      <c r="W84" s="38">
        <f>VLOOKUP(B84,country_opex,5,FALSE)</f>
        <v/>
      </c>
      <c r="X84" s="38">
        <f>maint</f>
        <v/>
      </c>
      <c r="Y84" s="38">
        <f>VLOOKUP(B84,country_opex,7,FALSE)*ins_pct</f>
        <v/>
      </c>
      <c r="Z84" s="38">
        <f>charge_berth</f>
        <v/>
      </c>
      <c r="AA84" s="38">
        <f>U84+V84+W84+X84+Y84+Z84</f>
        <v/>
      </c>
      <c r="AB84" s="38">
        <f>VLOOKUP(B84,country_opex,7,FALSE)/dep_years</f>
        <v/>
      </c>
      <c r="AC84" s="38">
        <f>T84-AA84</f>
        <v/>
      </c>
      <c r="AD84" s="35">
        <f>IF(T84=0,"",AC84/T84)</f>
        <v/>
      </c>
      <c r="AE84" s="36">
        <f>IF(AC84&lt;=0,"",VLOOKUP(B84,country_opex,7,FALSE)/AC84)</f>
        <v/>
      </c>
      <c r="AF84" s="33">
        <f>((D84*O84/diesel_nmpg)*diesel_co2pg-(battery/range_nm)*D84*O84*VLOOKUP(B84,country_opex,4,FALSE))/1000</f>
        <v/>
      </c>
      <c r="AG84" s="31" t="n">
        <v>11250</v>
      </c>
      <c r="AH84" s="32" t="inlineStr">
        <is>
          <t>T3</t>
        </is>
      </c>
      <c r="AI84" s="32" t="inlineStr">
        <is>
          <t>med-low</t>
        </is>
      </c>
      <c r="AJ84" s="39" t="n">
        <v>0.1</v>
      </c>
      <c r="AK84" s="34">
        <f>IF(AG84="","",AG84*AJ84)</f>
        <v/>
      </c>
      <c r="AL84" s="34">
        <f>IF(OR(AG84="",R84=0),"",MIN(IF(AS84="",9.9E+99,AS84),FLOOR(AK84/R84,1)))</f>
        <v/>
      </c>
      <c r="AM84" s="38">
        <f>IF(AL84="","",AL84*T84)</f>
        <v/>
      </c>
      <c r="AN84" s="36">
        <f>IF(OR(AG84="",R84=0),"",MIN(IF(AS84="",9.9E+99,AS84),AK84/R84))</f>
        <v/>
      </c>
      <c r="AO84" s="38">
        <f>IF(AN84="","",AN84*T84)</f>
        <v/>
      </c>
      <c r="AP84" s="40" t="n"/>
      <c r="AQ84" s="41" t="n"/>
      <c r="AR84" s="41" t="n"/>
      <c r="AS84" s="42" t="n"/>
      <c r="AT84" s="43">
        <f>IF(((S84*pax_cap*load_thin*ROUND(K84*L84*revleg_thin,0))-(((battery/range_nm)*D84*ROUND(K84*L84*revleg_thin,0)*VLOOKUP(B84,country_opex,3,FALSE))+V84+W84+X84+Y84+Z84))&lt;=0,"",VLOOKUP(B84,country_opex,7,FALSE)/((S84*pax_cap*load_thin*ROUND(K84*L84*revleg_thin,0))-(((battery/range_nm)*D84*ROUND(K84*L84*revleg_thin,0)*VLOOKUP(B84,country_opex,3,FALSE))+V84+W84+X84+Y84+Z84)))</f>
        <v/>
      </c>
      <c r="AU84" s="43">
        <f>IF(((S84*pax_cap*load_mid*ROUND(K84*L84*revleg_mid,0))-(((battery/range_nm)*D84*ROUND(K84*L84*revleg_mid,0)*VLOOKUP(B84,country_opex,3,FALSE))+V84+W84+X84+Y84+Z84))&lt;=0,"",VLOOKUP(B84,country_opex,7,FALSE)/((S84*pax_cap*load_mid*ROUND(K84*L84*revleg_mid,0))-(((battery/range_nm)*D84*ROUND(K84*L84*revleg_mid,0)*VLOOKUP(B84,country_opex,3,FALSE))+V84+W84+X84+Y84+Z84)))</f>
        <v/>
      </c>
      <c r="AV84" s="43">
        <f>IF(((S84*pax_cap*load_full*ROUND(K84*L84*revleg_full,0))-(((battery/range_nm)*D84*ROUND(K84*L84*revleg_full,0)*VLOOKUP(B84,country_opex,3,FALSE))+V84+W84+X84+Y84+Z84))&lt;=0,"",VLOOKUP(B84,country_opex,7,FALSE)/((S84*pax_cap*load_full*ROUND(K84*L84*revleg_full,0))-(((battery/range_nm)*D84*ROUND(K84*L84*revleg_full,0)*VLOOKUP(B84,country_opex,3,FALSE))+V84+W84+X84+Y84+Z84)))</f>
        <v/>
      </c>
      <c r="AW84" s="44" t="inlineStr">
        <is>
          <t>handoff/INDIA-ECONOMICS-SIDECAR-V0-2026-06-20.json (goa)</t>
        </is>
      </c>
      <c r="AX84" s="44" t="inlineStr">
        <is>
          <t>handoff/INDIA-ECONOMICS-SIDECAR-V0-2026-06-20.json (goa)</t>
        </is>
      </c>
    </row>
    <row r="85">
      <c r="A85" s="29" t="inlineStr">
        <is>
          <t>India Mumbai Rapido</t>
        </is>
      </c>
      <c r="B85" s="29" t="inlineStr">
        <is>
          <t>India</t>
        </is>
      </c>
      <c r="C85" s="30" t="inlineStr">
        <is>
          <t>Pirpau Jetty → Mumbai Trans-Harbour Navi Mumbai Toll Plaza</t>
        </is>
      </c>
      <c r="D85" s="31" t="n">
        <v>6.2</v>
      </c>
      <c r="E85" s="26" t="n">
        <v>18</v>
      </c>
      <c r="F85" s="32" t="inlineStr">
        <is>
          <t>T3</t>
        </is>
      </c>
      <c r="G85" s="32" t="inlineStr">
        <is>
          <t>med-low</t>
        </is>
      </c>
      <c r="H85" s="19" t="n">
        <v>1</v>
      </c>
      <c r="I85" s="33">
        <f>60*D85/cruise_kt</f>
        <v/>
      </c>
      <c r="J85" s="33">
        <f>I85+turn_min+dwell_min</f>
        <v/>
      </c>
      <c r="K85" s="34">
        <f>MIN(10,FLOOR(60*service_hr/J85,1))</f>
        <v/>
      </c>
      <c r="L85" s="34">
        <f>ROUND(365*mech_uptime*H85,0)</f>
        <v/>
      </c>
      <c r="M85" s="35">
        <f>mech_uptime</f>
        <v/>
      </c>
      <c r="N85" s="35">
        <f>revleg_sel</f>
        <v/>
      </c>
      <c r="O85" s="34">
        <f>ROUND(K85*L85*revleg_sel,0)</f>
        <v/>
      </c>
      <c r="P85" s="36">
        <f>load_sel</f>
        <v/>
      </c>
      <c r="Q85" s="36">
        <f>pax_cap*P85</f>
        <v/>
      </c>
      <c r="R85" s="34">
        <f>Q85*O85</f>
        <v/>
      </c>
      <c r="S85" s="37">
        <f>E85*discount</f>
        <v/>
      </c>
      <c r="T85" s="38">
        <f>S85*R85</f>
        <v/>
      </c>
      <c r="U85" s="38">
        <f>(battery/range_nm)*D85*O85*VLOOKUP(B85,country_opex,3,FALSE)</f>
        <v/>
      </c>
      <c r="V85" s="38">
        <f>VLOOKUP(B85,country_opex,2,FALSE)*crew_factor</f>
        <v/>
      </c>
      <c r="W85" s="38">
        <f>VLOOKUP(B85,country_opex,5,FALSE)</f>
        <v/>
      </c>
      <c r="X85" s="38">
        <f>maint</f>
        <v/>
      </c>
      <c r="Y85" s="38">
        <f>VLOOKUP(B85,country_opex,7,FALSE)*ins_pct</f>
        <v/>
      </c>
      <c r="Z85" s="38">
        <f>charge_berth</f>
        <v/>
      </c>
      <c r="AA85" s="38">
        <f>U85+V85+W85+X85+Y85+Z85</f>
        <v/>
      </c>
      <c r="AB85" s="38">
        <f>VLOOKUP(B85,country_opex,7,FALSE)/dep_years</f>
        <v/>
      </c>
      <c r="AC85" s="38">
        <f>T85-AA85</f>
        <v/>
      </c>
      <c r="AD85" s="35">
        <f>IF(T85=0,"",AC85/T85)</f>
        <v/>
      </c>
      <c r="AE85" s="36">
        <f>IF(AC85&lt;=0,"",VLOOKUP(B85,country_opex,7,FALSE)/AC85)</f>
        <v/>
      </c>
      <c r="AF85" s="33">
        <f>((D85*O85/diesel_nmpg)*diesel_co2pg-(battery/range_nm)*D85*O85*VLOOKUP(B85,country_opex,4,FALSE))/1000</f>
        <v/>
      </c>
      <c r="AG85" s="31" t="n">
        <v>5000</v>
      </c>
      <c r="AH85" s="32" t="inlineStr">
        <is>
          <t>T3</t>
        </is>
      </c>
      <c r="AI85" s="32" t="inlineStr">
        <is>
          <t>med-low</t>
        </is>
      </c>
      <c r="AJ85" s="39" t="n">
        <v>0.1</v>
      </c>
      <c r="AK85" s="34">
        <f>IF(AG85="","",AG85*AJ85)</f>
        <v/>
      </c>
      <c r="AL85" s="34">
        <f>IF(OR(AG85="",R85=0),"",MIN(IF(AS85="",9.9E+99,AS85),FLOOR(AK85/R85,1)))</f>
        <v/>
      </c>
      <c r="AM85" s="38">
        <f>IF(AL85="","",AL85*T85)</f>
        <v/>
      </c>
      <c r="AN85" s="36">
        <f>IF(OR(AG85="",R85=0),"",MIN(IF(AS85="",9.9E+99,AS85),AK85/R85))</f>
        <v/>
      </c>
      <c r="AO85" s="38">
        <f>IF(AN85="","",AN85*T85)</f>
        <v/>
      </c>
      <c r="AP85" s="40" t="n"/>
      <c r="AQ85" s="41" t="n"/>
      <c r="AR85" s="41" t="n"/>
      <c r="AS85" s="42" t="n"/>
      <c r="AT85" s="43">
        <f>IF(((S85*pax_cap*load_thin*ROUND(K85*L85*revleg_thin,0))-(((battery/range_nm)*D85*ROUND(K85*L85*revleg_thin,0)*VLOOKUP(B85,country_opex,3,FALSE))+V85+W85+X85+Y85+Z85))&lt;=0,"",VLOOKUP(B85,country_opex,7,FALSE)/((S85*pax_cap*load_thin*ROUND(K85*L85*revleg_thin,0))-(((battery/range_nm)*D85*ROUND(K85*L85*revleg_thin,0)*VLOOKUP(B85,country_opex,3,FALSE))+V85+W85+X85+Y85+Z85)))</f>
        <v/>
      </c>
      <c r="AU85" s="43">
        <f>IF(((S85*pax_cap*load_mid*ROUND(K85*L85*revleg_mid,0))-(((battery/range_nm)*D85*ROUND(K85*L85*revleg_mid,0)*VLOOKUP(B85,country_opex,3,FALSE))+V85+W85+X85+Y85+Z85))&lt;=0,"",VLOOKUP(B85,country_opex,7,FALSE)/((S85*pax_cap*load_mid*ROUND(K85*L85*revleg_mid,0))-(((battery/range_nm)*D85*ROUND(K85*L85*revleg_mid,0)*VLOOKUP(B85,country_opex,3,FALSE))+V85+W85+X85+Y85+Z85)))</f>
        <v/>
      </c>
      <c r="AV85" s="43">
        <f>IF(((S85*pax_cap*load_full*ROUND(K85*L85*revleg_full,0))-(((battery/range_nm)*D85*ROUND(K85*L85*revleg_full,0)*VLOOKUP(B85,country_opex,3,FALSE))+V85+W85+X85+Y85+Z85))&lt;=0,"",VLOOKUP(B85,country_opex,7,FALSE)/((S85*pax_cap*load_full*ROUND(K85*L85*revleg_full,0))-(((battery/range_nm)*D85*ROUND(K85*L85*revleg_full,0)*VLOOKUP(B85,country_opex,3,FALSE))+V85+W85+X85+Y85+Z85)))</f>
        <v/>
      </c>
      <c r="AW85" s="44" t="inlineStr">
        <is>
          <t>[LB-255 PREMIUM RE-FARE: subsidized comparable $5.5 lifted to premium on-demand floor $18.0] handoff/INDIA-ECONOMICS-SIDECAR-V0-2026-06-20.json (mumbai)</t>
        </is>
      </c>
      <c r="AX85" s="44" t="inlineStr">
        <is>
          <t>handoff/INDIA-ECONOMICS-SIDECAR-V0-2026-06-20.json (mumbai)</t>
        </is>
      </c>
    </row>
    <row r="86">
      <c r="A86" s="29" t="inlineStr">
        <is>
          <t>India Goa Rapido</t>
        </is>
      </c>
      <c r="B86" s="29" t="inlineStr">
        <is>
          <t>India</t>
        </is>
      </c>
      <c r="C86" s="30" t="inlineStr">
        <is>
          <t>Villa Marina → Marina Russian B2B Thai Spa Service near me</t>
        </is>
      </c>
      <c r="D86" s="31" t="n">
        <v>6.7</v>
      </c>
      <c r="E86" s="26" t="n">
        <v>8</v>
      </c>
      <c r="F86" s="32" t="inlineStr">
        <is>
          <t>T3</t>
        </is>
      </c>
      <c r="G86" s="32" t="inlineStr">
        <is>
          <t>med-low</t>
        </is>
      </c>
      <c r="H86" s="19" t="n">
        <v>1</v>
      </c>
      <c r="I86" s="33">
        <f>60*D86/cruise_kt</f>
        <v/>
      </c>
      <c r="J86" s="33">
        <f>I86+turn_min+dwell_min</f>
        <v/>
      </c>
      <c r="K86" s="34">
        <f>MIN(10,FLOOR(60*service_hr/J86,1))</f>
        <v/>
      </c>
      <c r="L86" s="34">
        <f>ROUND(365*mech_uptime*H86,0)</f>
        <v/>
      </c>
      <c r="M86" s="35">
        <f>mech_uptime</f>
        <v/>
      </c>
      <c r="N86" s="35">
        <f>revleg_sel</f>
        <v/>
      </c>
      <c r="O86" s="34">
        <f>ROUND(K86*L86*revleg_sel,0)</f>
        <v/>
      </c>
      <c r="P86" s="36">
        <f>load_sel</f>
        <v/>
      </c>
      <c r="Q86" s="36">
        <f>pax_cap*P86</f>
        <v/>
      </c>
      <c r="R86" s="34">
        <f>Q86*O86</f>
        <v/>
      </c>
      <c r="S86" s="37">
        <f>E86*discount</f>
        <v/>
      </c>
      <c r="T86" s="38">
        <f>S86*R86</f>
        <v/>
      </c>
      <c r="U86" s="38">
        <f>(battery/range_nm)*D86*O86*VLOOKUP(B86,country_opex,3,FALSE)</f>
        <v/>
      </c>
      <c r="V86" s="38">
        <f>VLOOKUP(B86,country_opex,2,FALSE)*crew_factor</f>
        <v/>
      </c>
      <c r="W86" s="38">
        <f>VLOOKUP(B86,country_opex,5,FALSE)</f>
        <v/>
      </c>
      <c r="X86" s="38">
        <f>maint</f>
        <v/>
      </c>
      <c r="Y86" s="38">
        <f>VLOOKUP(B86,country_opex,7,FALSE)*ins_pct</f>
        <v/>
      </c>
      <c r="Z86" s="38">
        <f>charge_berth</f>
        <v/>
      </c>
      <c r="AA86" s="38">
        <f>U86+V86+W86+X86+Y86+Z86</f>
        <v/>
      </c>
      <c r="AB86" s="38">
        <f>VLOOKUP(B86,country_opex,7,FALSE)/dep_years</f>
        <v/>
      </c>
      <c r="AC86" s="38">
        <f>T86-AA86</f>
        <v/>
      </c>
      <c r="AD86" s="35">
        <f>IF(T86=0,"",AC86/T86)</f>
        <v/>
      </c>
      <c r="AE86" s="36">
        <f>IF(AC86&lt;=0,"",VLOOKUP(B86,country_opex,7,FALSE)/AC86)</f>
        <v/>
      </c>
      <c r="AF86" s="33">
        <f>((D86*O86/diesel_nmpg)*diesel_co2pg-(battery/range_nm)*D86*O86*VLOOKUP(B86,country_opex,4,FALSE))/1000</f>
        <v/>
      </c>
      <c r="AG86" s="31" t="n">
        <v>11250</v>
      </c>
      <c r="AH86" s="32" t="inlineStr">
        <is>
          <t>T3</t>
        </is>
      </c>
      <c r="AI86" s="32" t="inlineStr">
        <is>
          <t>med-low</t>
        </is>
      </c>
      <c r="AJ86" s="39" t="n">
        <v>0.1</v>
      </c>
      <c r="AK86" s="34">
        <f>IF(AG86="","",AG86*AJ86)</f>
        <v/>
      </c>
      <c r="AL86" s="34">
        <f>IF(OR(AG86="",R86=0),"",MIN(IF(AS86="",9.9E+99,AS86),FLOOR(AK86/R86,1)))</f>
        <v/>
      </c>
      <c r="AM86" s="38">
        <f>IF(AL86="","",AL86*T86)</f>
        <v/>
      </c>
      <c r="AN86" s="36">
        <f>IF(OR(AG86="",R86=0),"",MIN(IF(AS86="",9.9E+99,AS86),AK86/R86))</f>
        <v/>
      </c>
      <c r="AO86" s="38">
        <f>IF(AN86="","",AN86*T86)</f>
        <v/>
      </c>
      <c r="AP86" s="40" t="n"/>
      <c r="AQ86" s="41" t="n"/>
      <c r="AR86" s="41" t="n"/>
      <c r="AS86" s="42" t="n"/>
      <c r="AT86" s="43">
        <f>IF(((S86*pax_cap*load_thin*ROUND(K86*L86*revleg_thin,0))-(((battery/range_nm)*D86*ROUND(K86*L86*revleg_thin,0)*VLOOKUP(B86,country_opex,3,FALSE))+V86+W86+X86+Y86+Z86))&lt;=0,"",VLOOKUP(B86,country_opex,7,FALSE)/((S86*pax_cap*load_thin*ROUND(K86*L86*revleg_thin,0))-(((battery/range_nm)*D86*ROUND(K86*L86*revleg_thin,0)*VLOOKUP(B86,country_opex,3,FALSE))+V86+W86+X86+Y86+Z86)))</f>
        <v/>
      </c>
      <c r="AU86" s="43">
        <f>IF(((S86*pax_cap*load_mid*ROUND(K86*L86*revleg_mid,0))-(((battery/range_nm)*D86*ROUND(K86*L86*revleg_mid,0)*VLOOKUP(B86,country_opex,3,FALSE))+V86+W86+X86+Y86+Z86))&lt;=0,"",VLOOKUP(B86,country_opex,7,FALSE)/((S86*pax_cap*load_mid*ROUND(K86*L86*revleg_mid,0))-(((battery/range_nm)*D86*ROUND(K86*L86*revleg_mid,0)*VLOOKUP(B86,country_opex,3,FALSE))+V86+W86+X86+Y86+Z86)))</f>
        <v/>
      </c>
      <c r="AV86" s="43">
        <f>IF(((S86*pax_cap*load_full*ROUND(K86*L86*revleg_full,0))-(((battery/range_nm)*D86*ROUND(K86*L86*revleg_full,0)*VLOOKUP(B86,country_opex,3,FALSE))+V86+W86+X86+Y86+Z86))&lt;=0,"",VLOOKUP(B86,country_opex,7,FALSE)/((S86*pax_cap*load_full*ROUND(K86*L86*revleg_full,0))-(((battery/range_nm)*D86*ROUND(K86*L86*revleg_full,0)*VLOOKUP(B86,country_opex,3,FALSE))+V86+W86+X86+Y86+Z86)))</f>
        <v/>
      </c>
      <c r="AW86" s="44" t="inlineStr">
        <is>
          <t>handoff/INDIA-ECONOMICS-SIDECAR-V0-2026-06-20.json (goa)</t>
        </is>
      </c>
      <c r="AX86" s="44" t="inlineStr">
        <is>
          <t>handoff/INDIA-ECONOMICS-SIDECAR-V0-2026-06-20.json (goa)</t>
        </is>
      </c>
    </row>
    <row r="87">
      <c r="A87" s="29" t="inlineStr">
        <is>
          <t>India Mumbai Rapido</t>
        </is>
      </c>
      <c r="B87" s="29" t="inlineStr">
        <is>
          <t>India</t>
        </is>
      </c>
      <c r="C87" s="30" t="inlineStr">
        <is>
          <t>Mora → Marina Bay Bistro @KARANJA Fishing Dock</t>
        </is>
      </c>
      <c r="D87" s="31" t="n">
        <v>6.7</v>
      </c>
      <c r="E87" s="26" t="n">
        <v>18</v>
      </c>
      <c r="F87" s="32" t="inlineStr">
        <is>
          <t>T3</t>
        </is>
      </c>
      <c r="G87" s="32" t="inlineStr">
        <is>
          <t>med-low</t>
        </is>
      </c>
      <c r="H87" s="19" t="n">
        <v>1</v>
      </c>
      <c r="I87" s="33">
        <f>60*D87/cruise_kt</f>
        <v/>
      </c>
      <c r="J87" s="33">
        <f>I87+turn_min+dwell_min</f>
        <v/>
      </c>
      <c r="K87" s="34">
        <f>MIN(10,FLOOR(60*service_hr/J87,1))</f>
        <v/>
      </c>
      <c r="L87" s="34">
        <f>ROUND(365*mech_uptime*H87,0)</f>
        <v/>
      </c>
      <c r="M87" s="35">
        <f>mech_uptime</f>
        <v/>
      </c>
      <c r="N87" s="35">
        <f>revleg_sel</f>
        <v/>
      </c>
      <c r="O87" s="34">
        <f>ROUND(K87*L87*revleg_sel,0)</f>
        <v/>
      </c>
      <c r="P87" s="36">
        <f>load_sel</f>
        <v/>
      </c>
      <c r="Q87" s="36">
        <f>pax_cap*P87</f>
        <v/>
      </c>
      <c r="R87" s="34">
        <f>Q87*O87</f>
        <v/>
      </c>
      <c r="S87" s="37">
        <f>E87*discount</f>
        <v/>
      </c>
      <c r="T87" s="38">
        <f>S87*R87</f>
        <v/>
      </c>
      <c r="U87" s="38">
        <f>(battery/range_nm)*D87*O87*VLOOKUP(B87,country_opex,3,FALSE)</f>
        <v/>
      </c>
      <c r="V87" s="38">
        <f>VLOOKUP(B87,country_opex,2,FALSE)*crew_factor</f>
        <v/>
      </c>
      <c r="W87" s="38">
        <f>VLOOKUP(B87,country_opex,5,FALSE)</f>
        <v/>
      </c>
      <c r="X87" s="38">
        <f>maint</f>
        <v/>
      </c>
      <c r="Y87" s="38">
        <f>VLOOKUP(B87,country_opex,7,FALSE)*ins_pct</f>
        <v/>
      </c>
      <c r="Z87" s="38">
        <f>charge_berth</f>
        <v/>
      </c>
      <c r="AA87" s="38">
        <f>U87+V87+W87+X87+Y87+Z87</f>
        <v/>
      </c>
      <c r="AB87" s="38">
        <f>VLOOKUP(B87,country_opex,7,FALSE)/dep_years</f>
        <v/>
      </c>
      <c r="AC87" s="38">
        <f>T87-AA87</f>
        <v/>
      </c>
      <c r="AD87" s="35">
        <f>IF(T87=0,"",AC87/T87)</f>
        <v/>
      </c>
      <c r="AE87" s="36">
        <f>IF(AC87&lt;=0,"",VLOOKUP(B87,country_opex,7,FALSE)/AC87)</f>
        <v/>
      </c>
      <c r="AF87" s="33">
        <f>((D87*O87/diesel_nmpg)*diesel_co2pg-(battery/range_nm)*D87*O87*VLOOKUP(B87,country_opex,4,FALSE))/1000</f>
        <v/>
      </c>
      <c r="AG87" s="31" t="n">
        <v>5000</v>
      </c>
      <c r="AH87" s="32" t="inlineStr">
        <is>
          <t>T3</t>
        </is>
      </c>
      <c r="AI87" s="32" t="inlineStr">
        <is>
          <t>med-low</t>
        </is>
      </c>
      <c r="AJ87" s="39" t="n">
        <v>0.1</v>
      </c>
      <c r="AK87" s="34">
        <f>IF(AG87="","",AG87*AJ87)</f>
        <v/>
      </c>
      <c r="AL87" s="34">
        <f>IF(OR(AG87="",R87=0),"",MIN(IF(AS87="",9.9E+99,AS87),FLOOR(AK87/R87,1)))</f>
        <v/>
      </c>
      <c r="AM87" s="38">
        <f>IF(AL87="","",AL87*T87)</f>
        <v/>
      </c>
      <c r="AN87" s="36">
        <f>IF(OR(AG87="",R87=0),"",MIN(IF(AS87="",9.9E+99,AS87),AK87/R87))</f>
        <v/>
      </c>
      <c r="AO87" s="38">
        <f>IF(AN87="","",AN87*T87)</f>
        <v/>
      </c>
      <c r="AP87" s="40" t="n"/>
      <c r="AQ87" s="41" t="n"/>
      <c r="AR87" s="41" t="n"/>
      <c r="AS87" s="42" t="n"/>
      <c r="AT87" s="43">
        <f>IF(((S87*pax_cap*load_thin*ROUND(K87*L87*revleg_thin,0))-(((battery/range_nm)*D87*ROUND(K87*L87*revleg_thin,0)*VLOOKUP(B87,country_opex,3,FALSE))+V87+W87+X87+Y87+Z87))&lt;=0,"",VLOOKUP(B87,country_opex,7,FALSE)/((S87*pax_cap*load_thin*ROUND(K87*L87*revleg_thin,0))-(((battery/range_nm)*D87*ROUND(K87*L87*revleg_thin,0)*VLOOKUP(B87,country_opex,3,FALSE))+V87+W87+X87+Y87+Z87)))</f>
        <v/>
      </c>
      <c r="AU87" s="43">
        <f>IF(((S87*pax_cap*load_mid*ROUND(K87*L87*revleg_mid,0))-(((battery/range_nm)*D87*ROUND(K87*L87*revleg_mid,0)*VLOOKUP(B87,country_opex,3,FALSE))+V87+W87+X87+Y87+Z87))&lt;=0,"",VLOOKUP(B87,country_opex,7,FALSE)/((S87*pax_cap*load_mid*ROUND(K87*L87*revleg_mid,0))-(((battery/range_nm)*D87*ROUND(K87*L87*revleg_mid,0)*VLOOKUP(B87,country_opex,3,FALSE))+V87+W87+X87+Y87+Z87)))</f>
        <v/>
      </c>
      <c r="AV87" s="43">
        <f>IF(((S87*pax_cap*load_full*ROUND(K87*L87*revleg_full,0))-(((battery/range_nm)*D87*ROUND(K87*L87*revleg_full,0)*VLOOKUP(B87,country_opex,3,FALSE))+V87+W87+X87+Y87+Z87))&lt;=0,"",VLOOKUP(B87,country_opex,7,FALSE)/((S87*pax_cap*load_full*ROUND(K87*L87*revleg_full,0))-(((battery/range_nm)*D87*ROUND(K87*L87*revleg_full,0)*VLOOKUP(B87,country_opex,3,FALSE))+V87+W87+X87+Y87+Z87)))</f>
        <v/>
      </c>
      <c r="AW87" s="44" t="inlineStr">
        <is>
          <t>[LB-255 PREMIUM RE-FARE: subsidized comparable $5.5 lifted to premium on-demand floor $18.0] handoff/INDIA-ECONOMICS-SIDECAR-V0-2026-06-20.json (mumbai)</t>
        </is>
      </c>
      <c r="AX87" s="44" t="inlineStr">
        <is>
          <t>handoff/INDIA-ECONOMICS-SIDECAR-V0-2026-06-20.json (mumbai)</t>
        </is>
      </c>
    </row>
    <row r="88">
      <c r="A88" s="29" t="inlineStr">
        <is>
          <t>India Kerala Rapido</t>
        </is>
      </c>
      <c r="B88" s="29" t="inlineStr">
        <is>
          <t>India</t>
        </is>
      </c>
      <c r="C88" s="30" t="inlineStr">
        <is>
          <t>Willingdon Island → Kerala Backwaters &amp; Kochi</t>
        </is>
      </c>
      <c r="D88" s="31" t="n">
        <v>6.8</v>
      </c>
      <c r="E88" s="26" t="n">
        <v>18</v>
      </c>
      <c r="F88" s="32" t="inlineStr">
        <is>
          <t>T3</t>
        </is>
      </c>
      <c r="G88" s="32" t="inlineStr">
        <is>
          <t>med-low</t>
        </is>
      </c>
      <c r="H88" s="19" t="n">
        <v>1</v>
      </c>
      <c r="I88" s="33">
        <f>60*D88/cruise_kt</f>
        <v/>
      </c>
      <c r="J88" s="33">
        <f>I88+turn_min+dwell_min</f>
        <v/>
      </c>
      <c r="K88" s="34">
        <f>MIN(10,FLOOR(60*service_hr/J88,1))</f>
        <v/>
      </c>
      <c r="L88" s="34">
        <f>ROUND(365*mech_uptime*H88,0)</f>
        <v/>
      </c>
      <c r="M88" s="35">
        <f>mech_uptime</f>
        <v/>
      </c>
      <c r="N88" s="35">
        <f>revleg_sel</f>
        <v/>
      </c>
      <c r="O88" s="34">
        <f>ROUND(K88*L88*revleg_sel,0)</f>
        <v/>
      </c>
      <c r="P88" s="36">
        <f>load_sel</f>
        <v/>
      </c>
      <c r="Q88" s="36">
        <f>pax_cap*P88</f>
        <v/>
      </c>
      <c r="R88" s="34">
        <f>Q88*O88</f>
        <v/>
      </c>
      <c r="S88" s="37">
        <f>E88*discount</f>
        <v/>
      </c>
      <c r="T88" s="38">
        <f>S88*R88</f>
        <v/>
      </c>
      <c r="U88" s="38">
        <f>(battery/range_nm)*D88*O88*VLOOKUP(B88,country_opex,3,FALSE)</f>
        <v/>
      </c>
      <c r="V88" s="38">
        <f>VLOOKUP(B88,country_opex,2,FALSE)*crew_factor</f>
        <v/>
      </c>
      <c r="W88" s="38">
        <f>VLOOKUP(B88,country_opex,5,FALSE)</f>
        <v/>
      </c>
      <c r="X88" s="38">
        <f>maint</f>
        <v/>
      </c>
      <c r="Y88" s="38">
        <f>VLOOKUP(B88,country_opex,7,FALSE)*ins_pct</f>
        <v/>
      </c>
      <c r="Z88" s="38">
        <f>charge_berth</f>
        <v/>
      </c>
      <c r="AA88" s="38">
        <f>U88+V88+W88+X88+Y88+Z88</f>
        <v/>
      </c>
      <c r="AB88" s="38">
        <f>VLOOKUP(B88,country_opex,7,FALSE)/dep_years</f>
        <v/>
      </c>
      <c r="AC88" s="38">
        <f>T88-AA88</f>
        <v/>
      </c>
      <c r="AD88" s="35">
        <f>IF(T88=0,"",AC88/T88)</f>
        <v/>
      </c>
      <c r="AE88" s="36">
        <f>IF(AC88&lt;=0,"",VLOOKUP(B88,country_opex,7,FALSE)/AC88)</f>
        <v/>
      </c>
      <c r="AF88" s="33">
        <f>((D88*O88/diesel_nmpg)*diesel_co2pg-(battery/range_nm)*D88*O88*VLOOKUP(B88,country_opex,4,FALSE))/1000</f>
        <v/>
      </c>
      <c r="AG88" s="31" t="n">
        <v>29166</v>
      </c>
      <c r="AH88" s="32" t="inlineStr">
        <is>
          <t>T3</t>
        </is>
      </c>
      <c r="AI88" s="32" t="inlineStr">
        <is>
          <t>med-low</t>
        </is>
      </c>
      <c r="AJ88" s="39" t="n">
        <v>0.1</v>
      </c>
      <c r="AK88" s="34">
        <f>IF(AG88="","",AG88*AJ88)</f>
        <v/>
      </c>
      <c r="AL88" s="34">
        <f>IF(OR(AG88="",R88=0),"",MIN(IF(AS88="",9.9E+99,AS88),FLOOR(AK88/R88,1)))</f>
        <v/>
      </c>
      <c r="AM88" s="38">
        <f>IF(AL88="","",AL88*T88)</f>
        <v/>
      </c>
      <c r="AN88" s="36">
        <f>IF(OR(AG88="",R88=0),"",MIN(IF(AS88="",9.9E+99,AS88),AK88/R88))</f>
        <v/>
      </c>
      <c r="AO88" s="38">
        <f>IF(AN88="","",AN88*T88)</f>
        <v/>
      </c>
      <c r="AP88" s="40" t="n"/>
      <c r="AQ88" s="41" t="n"/>
      <c r="AR88" s="41" t="n"/>
      <c r="AS88" s="42" t="n"/>
      <c r="AT88" s="43">
        <f>IF(((S88*pax_cap*load_thin*ROUND(K88*L88*revleg_thin,0))-(((battery/range_nm)*D88*ROUND(K88*L88*revleg_thin,0)*VLOOKUP(B88,country_opex,3,FALSE))+V88+W88+X88+Y88+Z88))&lt;=0,"",VLOOKUP(B88,country_opex,7,FALSE)/((S88*pax_cap*load_thin*ROUND(K88*L88*revleg_thin,0))-(((battery/range_nm)*D88*ROUND(K88*L88*revleg_thin,0)*VLOOKUP(B88,country_opex,3,FALSE))+V88+W88+X88+Y88+Z88)))</f>
        <v/>
      </c>
      <c r="AU88" s="43">
        <f>IF(((S88*pax_cap*load_mid*ROUND(K88*L88*revleg_mid,0))-(((battery/range_nm)*D88*ROUND(K88*L88*revleg_mid,0)*VLOOKUP(B88,country_opex,3,FALSE))+V88+W88+X88+Y88+Z88))&lt;=0,"",VLOOKUP(B88,country_opex,7,FALSE)/((S88*pax_cap*load_mid*ROUND(K88*L88*revleg_mid,0))-(((battery/range_nm)*D88*ROUND(K88*L88*revleg_mid,0)*VLOOKUP(B88,country_opex,3,FALSE))+V88+W88+X88+Y88+Z88)))</f>
        <v/>
      </c>
      <c r="AV88" s="43">
        <f>IF(((S88*pax_cap*load_full*ROUND(K88*L88*revleg_full,0))-(((battery/range_nm)*D88*ROUND(K88*L88*revleg_full,0)*VLOOKUP(B88,country_opex,3,FALSE))+V88+W88+X88+Y88+Z88))&lt;=0,"",VLOOKUP(B88,country_opex,7,FALSE)/((S88*pax_cap*load_full*ROUND(K88*L88*revleg_full,0))-(((battery/range_nm)*D88*ROUND(K88*L88*revleg_full,0)*VLOOKUP(B88,country_opex,3,FALSE))+V88+W88+X88+Y88+Z88)))</f>
        <v/>
      </c>
      <c r="AW88" s="44" t="inlineStr">
        <is>
          <t>[LB-255 PREMIUM RE-FARE: subsidized comparable $3.5 lifted to premium on-demand floor $18.0] handoff/INDIA-ECONOMICS-SIDECAR-V0-2026-06-20.json (kerala)</t>
        </is>
      </c>
      <c r="AX88" s="44" t="inlineStr">
        <is>
          <t>handoff/INDIA-ECONOMICS-SIDECAR-V0-2026-06-20.json (kerala)</t>
        </is>
      </c>
    </row>
    <row r="89">
      <c r="A89" s="29" t="inlineStr">
        <is>
          <t>India Goa Rapido</t>
        </is>
      </c>
      <c r="B89" s="29" t="inlineStr">
        <is>
          <t>India</t>
        </is>
      </c>
      <c r="C89" s="30" t="inlineStr">
        <is>
          <t>Marina Russian B2B Thai Spa Service near me → Goveia Marina</t>
        </is>
      </c>
      <c r="D89" s="31" t="n">
        <v>7.5</v>
      </c>
      <c r="E89" s="26" t="n">
        <v>8</v>
      </c>
      <c r="F89" s="32" t="inlineStr">
        <is>
          <t>T3</t>
        </is>
      </c>
      <c r="G89" s="32" t="inlineStr">
        <is>
          <t>med-low</t>
        </is>
      </c>
      <c r="H89" s="19" t="n">
        <v>1</v>
      </c>
      <c r="I89" s="33">
        <f>60*D89/cruise_kt</f>
        <v/>
      </c>
      <c r="J89" s="33">
        <f>I89+turn_min+dwell_min</f>
        <v/>
      </c>
      <c r="K89" s="34">
        <f>MIN(10,FLOOR(60*service_hr/J89,1))</f>
        <v/>
      </c>
      <c r="L89" s="34">
        <f>ROUND(365*mech_uptime*H89,0)</f>
        <v/>
      </c>
      <c r="M89" s="35">
        <f>mech_uptime</f>
        <v/>
      </c>
      <c r="N89" s="35">
        <f>revleg_sel</f>
        <v/>
      </c>
      <c r="O89" s="34">
        <f>ROUND(K89*L89*revleg_sel,0)</f>
        <v/>
      </c>
      <c r="P89" s="36">
        <f>load_sel</f>
        <v/>
      </c>
      <c r="Q89" s="36">
        <f>pax_cap*P89</f>
        <v/>
      </c>
      <c r="R89" s="34">
        <f>Q89*O89</f>
        <v/>
      </c>
      <c r="S89" s="37">
        <f>E89*discount</f>
        <v/>
      </c>
      <c r="T89" s="38">
        <f>S89*R89</f>
        <v/>
      </c>
      <c r="U89" s="38">
        <f>(battery/range_nm)*D89*O89*VLOOKUP(B89,country_opex,3,FALSE)</f>
        <v/>
      </c>
      <c r="V89" s="38">
        <f>VLOOKUP(B89,country_opex,2,FALSE)*crew_factor</f>
        <v/>
      </c>
      <c r="W89" s="38">
        <f>VLOOKUP(B89,country_opex,5,FALSE)</f>
        <v/>
      </c>
      <c r="X89" s="38">
        <f>maint</f>
        <v/>
      </c>
      <c r="Y89" s="38">
        <f>VLOOKUP(B89,country_opex,7,FALSE)*ins_pct</f>
        <v/>
      </c>
      <c r="Z89" s="38">
        <f>charge_berth</f>
        <v/>
      </c>
      <c r="AA89" s="38">
        <f>U89+V89+W89+X89+Y89+Z89</f>
        <v/>
      </c>
      <c r="AB89" s="38">
        <f>VLOOKUP(B89,country_opex,7,FALSE)/dep_years</f>
        <v/>
      </c>
      <c r="AC89" s="38">
        <f>T89-AA89</f>
        <v/>
      </c>
      <c r="AD89" s="35">
        <f>IF(T89=0,"",AC89/T89)</f>
        <v/>
      </c>
      <c r="AE89" s="36">
        <f>IF(AC89&lt;=0,"",VLOOKUP(B89,country_opex,7,FALSE)/AC89)</f>
        <v/>
      </c>
      <c r="AF89" s="33">
        <f>((D89*O89/diesel_nmpg)*diesel_co2pg-(battery/range_nm)*D89*O89*VLOOKUP(B89,country_opex,4,FALSE))/1000</f>
        <v/>
      </c>
      <c r="AG89" s="31" t="n">
        <v>11250</v>
      </c>
      <c r="AH89" s="32" t="inlineStr">
        <is>
          <t>T3</t>
        </is>
      </c>
      <c r="AI89" s="32" t="inlineStr">
        <is>
          <t>med-low</t>
        </is>
      </c>
      <c r="AJ89" s="39" t="n">
        <v>0.1</v>
      </c>
      <c r="AK89" s="34">
        <f>IF(AG89="","",AG89*AJ89)</f>
        <v/>
      </c>
      <c r="AL89" s="34">
        <f>IF(OR(AG89="",R89=0),"",MIN(IF(AS89="",9.9E+99,AS89),FLOOR(AK89/R89,1)))</f>
        <v/>
      </c>
      <c r="AM89" s="38">
        <f>IF(AL89="","",AL89*T89)</f>
        <v/>
      </c>
      <c r="AN89" s="36">
        <f>IF(OR(AG89="",R89=0),"",MIN(IF(AS89="",9.9E+99,AS89),AK89/R89))</f>
        <v/>
      </c>
      <c r="AO89" s="38">
        <f>IF(AN89="","",AN89*T89)</f>
        <v/>
      </c>
      <c r="AP89" s="40" t="n"/>
      <c r="AQ89" s="41" t="n"/>
      <c r="AR89" s="41" t="n"/>
      <c r="AS89" s="42" t="n"/>
      <c r="AT89" s="43">
        <f>IF(((S89*pax_cap*load_thin*ROUND(K89*L89*revleg_thin,0))-(((battery/range_nm)*D89*ROUND(K89*L89*revleg_thin,0)*VLOOKUP(B89,country_opex,3,FALSE))+V89+W89+X89+Y89+Z89))&lt;=0,"",VLOOKUP(B89,country_opex,7,FALSE)/((S89*pax_cap*load_thin*ROUND(K89*L89*revleg_thin,0))-(((battery/range_nm)*D89*ROUND(K89*L89*revleg_thin,0)*VLOOKUP(B89,country_opex,3,FALSE))+V89+W89+X89+Y89+Z89)))</f>
        <v/>
      </c>
      <c r="AU89" s="43">
        <f>IF(((S89*pax_cap*load_mid*ROUND(K89*L89*revleg_mid,0))-(((battery/range_nm)*D89*ROUND(K89*L89*revleg_mid,0)*VLOOKUP(B89,country_opex,3,FALSE))+V89+W89+X89+Y89+Z89))&lt;=0,"",VLOOKUP(B89,country_opex,7,FALSE)/((S89*pax_cap*load_mid*ROUND(K89*L89*revleg_mid,0))-(((battery/range_nm)*D89*ROUND(K89*L89*revleg_mid,0)*VLOOKUP(B89,country_opex,3,FALSE))+V89+W89+X89+Y89+Z89)))</f>
        <v/>
      </c>
      <c r="AV89" s="43">
        <f>IF(((S89*pax_cap*load_full*ROUND(K89*L89*revleg_full,0))-(((battery/range_nm)*D89*ROUND(K89*L89*revleg_full,0)*VLOOKUP(B89,country_opex,3,FALSE))+V89+W89+X89+Y89+Z89))&lt;=0,"",VLOOKUP(B89,country_opex,7,FALSE)/((S89*pax_cap*load_full*ROUND(K89*L89*revleg_full,0))-(((battery/range_nm)*D89*ROUND(K89*L89*revleg_full,0)*VLOOKUP(B89,country_opex,3,FALSE))+V89+W89+X89+Y89+Z89)))</f>
        <v/>
      </c>
      <c r="AW89" s="44" t="inlineStr">
        <is>
          <t>handoff/INDIA-ECONOMICS-SIDECAR-V0-2026-06-20.json (goa)</t>
        </is>
      </c>
      <c r="AX89" s="44" t="inlineStr">
        <is>
          <t>handoff/INDIA-ECONOMICS-SIDECAR-V0-2026-06-20.json (goa)</t>
        </is>
      </c>
    </row>
    <row r="90">
      <c r="A90" s="29" t="inlineStr">
        <is>
          <t>India Mumbai Rapido</t>
        </is>
      </c>
      <c r="B90" s="29" t="inlineStr">
        <is>
          <t>India</t>
        </is>
      </c>
      <c r="C90" s="30" t="inlineStr">
        <is>
          <t>Mandwa Jetty → Mumbai Harbour</t>
        </is>
      </c>
      <c r="D90" s="31" t="n">
        <v>7.8</v>
      </c>
      <c r="E90" s="26" t="n">
        <v>18</v>
      </c>
      <c r="F90" s="32" t="inlineStr">
        <is>
          <t>T3</t>
        </is>
      </c>
      <c r="G90" s="32" t="inlineStr">
        <is>
          <t>med-low</t>
        </is>
      </c>
      <c r="H90" s="19" t="n">
        <v>1</v>
      </c>
      <c r="I90" s="33">
        <f>60*D90/cruise_kt</f>
        <v/>
      </c>
      <c r="J90" s="33">
        <f>I90+turn_min+dwell_min</f>
        <v/>
      </c>
      <c r="K90" s="34">
        <f>MIN(10,FLOOR(60*service_hr/J90,1))</f>
        <v/>
      </c>
      <c r="L90" s="34">
        <f>ROUND(365*mech_uptime*H90,0)</f>
        <v/>
      </c>
      <c r="M90" s="35">
        <f>mech_uptime</f>
        <v/>
      </c>
      <c r="N90" s="35">
        <f>revleg_sel</f>
        <v/>
      </c>
      <c r="O90" s="34">
        <f>ROUND(K90*L90*revleg_sel,0)</f>
        <v/>
      </c>
      <c r="P90" s="36">
        <f>load_sel</f>
        <v/>
      </c>
      <c r="Q90" s="36">
        <f>pax_cap*P90</f>
        <v/>
      </c>
      <c r="R90" s="34">
        <f>Q90*O90</f>
        <v/>
      </c>
      <c r="S90" s="37">
        <f>E90*discount</f>
        <v/>
      </c>
      <c r="T90" s="38">
        <f>S90*R90</f>
        <v/>
      </c>
      <c r="U90" s="38">
        <f>(battery/range_nm)*D90*O90*VLOOKUP(B90,country_opex,3,FALSE)</f>
        <v/>
      </c>
      <c r="V90" s="38">
        <f>VLOOKUP(B90,country_opex,2,FALSE)*crew_factor</f>
        <v/>
      </c>
      <c r="W90" s="38">
        <f>VLOOKUP(B90,country_opex,5,FALSE)</f>
        <v/>
      </c>
      <c r="X90" s="38">
        <f>maint</f>
        <v/>
      </c>
      <c r="Y90" s="38">
        <f>VLOOKUP(B90,country_opex,7,FALSE)*ins_pct</f>
        <v/>
      </c>
      <c r="Z90" s="38">
        <f>charge_berth</f>
        <v/>
      </c>
      <c r="AA90" s="38">
        <f>U90+V90+W90+X90+Y90+Z90</f>
        <v/>
      </c>
      <c r="AB90" s="38">
        <f>VLOOKUP(B90,country_opex,7,FALSE)/dep_years</f>
        <v/>
      </c>
      <c r="AC90" s="38">
        <f>T90-AA90</f>
        <v/>
      </c>
      <c r="AD90" s="35">
        <f>IF(T90=0,"",AC90/T90)</f>
        <v/>
      </c>
      <c r="AE90" s="36">
        <f>IF(AC90&lt;=0,"",VLOOKUP(B90,country_opex,7,FALSE)/AC90)</f>
        <v/>
      </c>
      <c r="AF90" s="33">
        <f>((D90*O90/diesel_nmpg)*diesel_co2pg-(battery/range_nm)*D90*O90*VLOOKUP(B90,country_opex,4,FALSE))/1000</f>
        <v/>
      </c>
      <c r="AG90" s="31" t="n">
        <v>5000</v>
      </c>
      <c r="AH90" s="32" t="inlineStr">
        <is>
          <t>T3</t>
        </is>
      </c>
      <c r="AI90" s="32" t="inlineStr">
        <is>
          <t>med-low</t>
        </is>
      </c>
      <c r="AJ90" s="39" t="n">
        <v>0.1</v>
      </c>
      <c r="AK90" s="34">
        <f>IF(AG90="","",AG90*AJ90)</f>
        <v/>
      </c>
      <c r="AL90" s="34">
        <f>IF(OR(AG90="",R90=0),"",MIN(IF(AS90="",9.9E+99,AS90),FLOOR(AK90/R90,1)))</f>
        <v/>
      </c>
      <c r="AM90" s="38">
        <f>IF(AL90="","",AL90*T90)</f>
        <v/>
      </c>
      <c r="AN90" s="36">
        <f>IF(OR(AG90="",R90=0),"",MIN(IF(AS90="",9.9E+99,AS90),AK90/R90))</f>
        <v/>
      </c>
      <c r="AO90" s="38">
        <f>IF(AN90="","",AN90*T90)</f>
        <v/>
      </c>
      <c r="AP90" s="40" t="n"/>
      <c r="AQ90" s="41" t="n"/>
      <c r="AR90" s="41" t="n"/>
      <c r="AS90" s="42" t="n"/>
      <c r="AT90" s="43">
        <f>IF(((S90*pax_cap*load_thin*ROUND(K90*L90*revleg_thin,0))-(((battery/range_nm)*D90*ROUND(K90*L90*revleg_thin,0)*VLOOKUP(B90,country_opex,3,FALSE))+V90+W90+X90+Y90+Z90))&lt;=0,"",VLOOKUP(B90,country_opex,7,FALSE)/((S90*pax_cap*load_thin*ROUND(K90*L90*revleg_thin,0))-(((battery/range_nm)*D90*ROUND(K90*L90*revleg_thin,0)*VLOOKUP(B90,country_opex,3,FALSE))+V90+W90+X90+Y90+Z90)))</f>
        <v/>
      </c>
      <c r="AU90" s="43">
        <f>IF(((S90*pax_cap*load_mid*ROUND(K90*L90*revleg_mid,0))-(((battery/range_nm)*D90*ROUND(K90*L90*revleg_mid,0)*VLOOKUP(B90,country_opex,3,FALSE))+V90+W90+X90+Y90+Z90))&lt;=0,"",VLOOKUP(B90,country_opex,7,FALSE)/((S90*pax_cap*load_mid*ROUND(K90*L90*revleg_mid,0))-(((battery/range_nm)*D90*ROUND(K90*L90*revleg_mid,0)*VLOOKUP(B90,country_opex,3,FALSE))+V90+W90+X90+Y90+Z90)))</f>
        <v/>
      </c>
      <c r="AV90" s="43">
        <f>IF(((S90*pax_cap*load_full*ROUND(K90*L90*revleg_full,0))-(((battery/range_nm)*D90*ROUND(K90*L90*revleg_full,0)*VLOOKUP(B90,country_opex,3,FALSE))+V90+W90+X90+Y90+Z90))&lt;=0,"",VLOOKUP(B90,country_opex,7,FALSE)/((S90*pax_cap*load_full*ROUND(K90*L90*revleg_full,0))-(((battery/range_nm)*D90*ROUND(K90*L90*revleg_full,0)*VLOOKUP(B90,country_opex,3,FALSE))+V90+W90+X90+Y90+Z90)))</f>
        <v/>
      </c>
      <c r="AW90" s="44" t="inlineStr">
        <is>
          <t>[LB-255 PREMIUM RE-FARE: subsidized comparable $5.5 lifted to premium on-demand floor $18.0] handoff/INDIA-ECONOMICS-SIDECAR-V0-2026-06-20.json (mumbai)</t>
        </is>
      </c>
      <c r="AX90" s="44" t="inlineStr">
        <is>
          <t>handoff/INDIA-ECONOMICS-SIDECAR-V0-2026-06-20.json (mumbai)</t>
        </is>
      </c>
    </row>
    <row r="91">
      <c r="A91" s="29" t="inlineStr">
        <is>
          <t>India Mumbai Rapido</t>
        </is>
      </c>
      <c r="B91" s="29" t="inlineStr">
        <is>
          <t>India</t>
        </is>
      </c>
      <c r="C91" s="30" t="inlineStr">
        <is>
          <t>Mumbai Harbour → Mandwa Jetty</t>
        </is>
      </c>
      <c r="D91" s="31" t="n">
        <v>7.9</v>
      </c>
      <c r="E91" s="26" t="n">
        <v>18</v>
      </c>
      <c r="F91" s="32" t="inlineStr">
        <is>
          <t>T3</t>
        </is>
      </c>
      <c r="G91" s="32" t="inlineStr">
        <is>
          <t>med-low</t>
        </is>
      </c>
      <c r="H91" s="19" t="n">
        <v>1</v>
      </c>
      <c r="I91" s="33">
        <f>60*D91/cruise_kt</f>
        <v/>
      </c>
      <c r="J91" s="33">
        <f>I91+turn_min+dwell_min</f>
        <v/>
      </c>
      <c r="K91" s="34">
        <f>MIN(10,FLOOR(60*service_hr/J91,1))</f>
        <v/>
      </c>
      <c r="L91" s="34">
        <f>ROUND(365*mech_uptime*H91,0)</f>
        <v/>
      </c>
      <c r="M91" s="35">
        <f>mech_uptime</f>
        <v/>
      </c>
      <c r="N91" s="35">
        <f>revleg_sel</f>
        <v/>
      </c>
      <c r="O91" s="34">
        <f>ROUND(K91*L91*revleg_sel,0)</f>
        <v/>
      </c>
      <c r="P91" s="36">
        <f>load_sel</f>
        <v/>
      </c>
      <c r="Q91" s="36">
        <f>pax_cap*P91</f>
        <v/>
      </c>
      <c r="R91" s="34">
        <f>Q91*O91</f>
        <v/>
      </c>
      <c r="S91" s="37">
        <f>E91*discount</f>
        <v/>
      </c>
      <c r="T91" s="38">
        <f>S91*R91</f>
        <v/>
      </c>
      <c r="U91" s="38">
        <f>(battery/range_nm)*D91*O91*VLOOKUP(B91,country_opex,3,FALSE)</f>
        <v/>
      </c>
      <c r="V91" s="38">
        <f>VLOOKUP(B91,country_opex,2,FALSE)*crew_factor</f>
        <v/>
      </c>
      <c r="W91" s="38">
        <f>VLOOKUP(B91,country_opex,5,FALSE)</f>
        <v/>
      </c>
      <c r="X91" s="38">
        <f>maint</f>
        <v/>
      </c>
      <c r="Y91" s="38">
        <f>VLOOKUP(B91,country_opex,7,FALSE)*ins_pct</f>
        <v/>
      </c>
      <c r="Z91" s="38">
        <f>charge_berth</f>
        <v/>
      </c>
      <c r="AA91" s="38">
        <f>U91+V91+W91+X91+Y91+Z91</f>
        <v/>
      </c>
      <c r="AB91" s="38">
        <f>VLOOKUP(B91,country_opex,7,FALSE)/dep_years</f>
        <v/>
      </c>
      <c r="AC91" s="38">
        <f>T91-AA91</f>
        <v/>
      </c>
      <c r="AD91" s="35">
        <f>IF(T91=0,"",AC91/T91)</f>
        <v/>
      </c>
      <c r="AE91" s="36">
        <f>IF(AC91&lt;=0,"",VLOOKUP(B91,country_opex,7,FALSE)/AC91)</f>
        <v/>
      </c>
      <c r="AF91" s="33">
        <f>((D91*O91/diesel_nmpg)*diesel_co2pg-(battery/range_nm)*D91*O91*VLOOKUP(B91,country_opex,4,FALSE))/1000</f>
        <v/>
      </c>
      <c r="AG91" s="31" t="n">
        <v>5000</v>
      </c>
      <c r="AH91" s="32" t="inlineStr">
        <is>
          <t>T3</t>
        </is>
      </c>
      <c r="AI91" s="32" t="inlineStr">
        <is>
          <t>med-low</t>
        </is>
      </c>
      <c r="AJ91" s="39" t="n">
        <v>0.1</v>
      </c>
      <c r="AK91" s="34">
        <f>IF(AG91="","",AG91*AJ91)</f>
        <v/>
      </c>
      <c r="AL91" s="34">
        <f>IF(OR(AG91="",R91=0),"",MIN(IF(AS91="",9.9E+99,AS91),FLOOR(AK91/R91,1)))</f>
        <v/>
      </c>
      <c r="AM91" s="38">
        <f>IF(AL91="","",AL91*T91)</f>
        <v/>
      </c>
      <c r="AN91" s="36">
        <f>IF(OR(AG91="",R91=0),"",MIN(IF(AS91="",9.9E+99,AS91),AK91/R91))</f>
        <v/>
      </c>
      <c r="AO91" s="38">
        <f>IF(AN91="","",AN91*T91)</f>
        <v/>
      </c>
      <c r="AP91" s="40" t="n"/>
      <c r="AQ91" s="41" t="n"/>
      <c r="AR91" s="41" t="n"/>
      <c r="AS91" s="42" t="n"/>
      <c r="AT91" s="43">
        <f>IF(((S91*pax_cap*load_thin*ROUND(K91*L91*revleg_thin,0))-(((battery/range_nm)*D91*ROUND(K91*L91*revleg_thin,0)*VLOOKUP(B91,country_opex,3,FALSE))+V91+W91+X91+Y91+Z91))&lt;=0,"",VLOOKUP(B91,country_opex,7,FALSE)/((S91*pax_cap*load_thin*ROUND(K91*L91*revleg_thin,0))-(((battery/range_nm)*D91*ROUND(K91*L91*revleg_thin,0)*VLOOKUP(B91,country_opex,3,FALSE))+V91+W91+X91+Y91+Z91)))</f>
        <v/>
      </c>
      <c r="AU91" s="43">
        <f>IF(((S91*pax_cap*load_mid*ROUND(K91*L91*revleg_mid,0))-(((battery/range_nm)*D91*ROUND(K91*L91*revleg_mid,0)*VLOOKUP(B91,country_opex,3,FALSE))+V91+W91+X91+Y91+Z91))&lt;=0,"",VLOOKUP(B91,country_opex,7,FALSE)/((S91*pax_cap*load_mid*ROUND(K91*L91*revleg_mid,0))-(((battery/range_nm)*D91*ROUND(K91*L91*revleg_mid,0)*VLOOKUP(B91,country_opex,3,FALSE))+V91+W91+X91+Y91+Z91)))</f>
        <v/>
      </c>
      <c r="AV91" s="43">
        <f>IF(((S91*pax_cap*load_full*ROUND(K91*L91*revleg_full,0))-(((battery/range_nm)*D91*ROUND(K91*L91*revleg_full,0)*VLOOKUP(B91,country_opex,3,FALSE))+V91+W91+X91+Y91+Z91))&lt;=0,"",VLOOKUP(B91,country_opex,7,FALSE)/((S91*pax_cap*load_full*ROUND(K91*L91*revleg_full,0))-(((battery/range_nm)*D91*ROUND(K91*L91*revleg_full,0)*VLOOKUP(B91,country_opex,3,FALSE))+V91+W91+X91+Y91+Z91)))</f>
        <v/>
      </c>
      <c r="AW91" s="44" t="inlineStr">
        <is>
          <t>[LB-255 PREMIUM RE-FARE: subsidized comparable $5.5 lifted to premium on-demand floor $18.0] handoff/INDIA-ECONOMICS-SIDECAR-V0-2026-06-20.json (mumbai)</t>
        </is>
      </c>
      <c r="AX91" s="44" t="inlineStr">
        <is>
          <t>handoff/INDIA-ECONOMICS-SIDECAR-V0-2026-06-20.json (mumbai)</t>
        </is>
      </c>
    </row>
    <row r="92">
      <c r="A92" s="29" t="inlineStr">
        <is>
          <t>India Andaman Rapido</t>
        </is>
      </c>
      <c r="B92" s="29" t="inlineStr">
        <is>
          <t>India</t>
        </is>
      </c>
      <c r="C92" s="30" t="inlineStr">
        <is>
          <t>Bambooflat Jetty → Game Fishing In Andaman | Bite Me Charter | Best Sport fishing in Andaman Islands</t>
        </is>
      </c>
      <c r="D92" s="31" t="n">
        <v>8.4</v>
      </c>
      <c r="E92" s="26" t="n">
        <v>22</v>
      </c>
      <c r="F92" s="32" t="inlineStr">
        <is>
          <t>T3</t>
        </is>
      </c>
      <c r="G92" s="32" t="inlineStr">
        <is>
          <t>med-low</t>
        </is>
      </c>
      <c r="H92" s="19" t="n">
        <v>1</v>
      </c>
      <c r="I92" s="33">
        <f>60*D92/cruise_kt</f>
        <v/>
      </c>
      <c r="J92" s="33">
        <f>I92+turn_min+dwell_min</f>
        <v/>
      </c>
      <c r="K92" s="34">
        <f>MIN(10,FLOOR(60*service_hr/J92,1))</f>
        <v/>
      </c>
      <c r="L92" s="34">
        <f>ROUND(365*mech_uptime*H92,0)</f>
        <v/>
      </c>
      <c r="M92" s="35">
        <f>mech_uptime</f>
        <v/>
      </c>
      <c r="N92" s="35">
        <f>revleg_sel</f>
        <v/>
      </c>
      <c r="O92" s="34">
        <f>ROUND(K92*L92*revleg_sel,0)</f>
        <v/>
      </c>
      <c r="P92" s="36">
        <f>load_sel</f>
        <v/>
      </c>
      <c r="Q92" s="36">
        <f>pax_cap*P92</f>
        <v/>
      </c>
      <c r="R92" s="34">
        <f>Q92*O92</f>
        <v/>
      </c>
      <c r="S92" s="37">
        <f>E92*discount</f>
        <v/>
      </c>
      <c r="T92" s="38">
        <f>S92*R92</f>
        <v/>
      </c>
      <c r="U92" s="38">
        <f>(battery/range_nm)*D92*O92*VLOOKUP(B92,country_opex,3,FALSE)</f>
        <v/>
      </c>
      <c r="V92" s="38">
        <f>VLOOKUP(B92,country_opex,2,FALSE)*crew_factor</f>
        <v/>
      </c>
      <c r="W92" s="38">
        <f>VLOOKUP(B92,country_opex,5,FALSE)</f>
        <v/>
      </c>
      <c r="X92" s="38">
        <f>maint</f>
        <v/>
      </c>
      <c r="Y92" s="38">
        <f>VLOOKUP(B92,country_opex,7,FALSE)*ins_pct</f>
        <v/>
      </c>
      <c r="Z92" s="38">
        <f>charge_berth</f>
        <v/>
      </c>
      <c r="AA92" s="38">
        <f>U92+V92+W92+X92+Y92+Z92</f>
        <v/>
      </c>
      <c r="AB92" s="38">
        <f>VLOOKUP(B92,country_opex,7,FALSE)/dep_years</f>
        <v/>
      </c>
      <c r="AC92" s="38">
        <f>T92-AA92</f>
        <v/>
      </c>
      <c r="AD92" s="35">
        <f>IF(T92=0,"",AC92/T92)</f>
        <v/>
      </c>
      <c r="AE92" s="36">
        <f>IF(AC92&lt;=0,"",VLOOKUP(B92,country_opex,7,FALSE)/AC92)</f>
        <v/>
      </c>
      <c r="AF92" s="33">
        <f>((D92*O92/diesel_nmpg)*diesel_co2pg-(battery/range_nm)*D92*O92*VLOOKUP(B92,country_opex,4,FALSE))/1000</f>
        <v/>
      </c>
      <c r="AG92" s="31" t="n">
        <v>5000</v>
      </c>
      <c r="AH92" s="32" t="inlineStr">
        <is>
          <t>T3</t>
        </is>
      </c>
      <c r="AI92" s="32" t="inlineStr">
        <is>
          <t>med-low</t>
        </is>
      </c>
      <c r="AJ92" s="39" t="n">
        <v>0.1</v>
      </c>
      <c r="AK92" s="34">
        <f>IF(AG92="","",AG92*AJ92)</f>
        <v/>
      </c>
      <c r="AL92" s="34">
        <f>IF(OR(AG92="",R92=0),"",MIN(IF(AS92="",9.9E+99,AS92),FLOOR(AK92/R92,1)))</f>
        <v/>
      </c>
      <c r="AM92" s="38">
        <f>IF(AL92="","",AL92*T92)</f>
        <v/>
      </c>
      <c r="AN92" s="36">
        <f>IF(OR(AG92="",R92=0),"",MIN(IF(AS92="",9.9E+99,AS92),AK92/R92))</f>
        <v/>
      </c>
      <c r="AO92" s="38">
        <f>IF(AN92="","",AN92*T92)</f>
        <v/>
      </c>
      <c r="AP92" s="40" t="n"/>
      <c r="AQ92" s="41" t="n"/>
      <c r="AR92" s="41" t="n"/>
      <c r="AS92" s="42" t="n"/>
      <c r="AT92" s="43">
        <f>IF(((S92*pax_cap*load_thin*ROUND(K92*L92*revleg_thin,0))-(((battery/range_nm)*D92*ROUND(K92*L92*revleg_thin,0)*VLOOKUP(B92,country_opex,3,FALSE))+V92+W92+X92+Y92+Z92))&lt;=0,"",VLOOKUP(B92,country_opex,7,FALSE)/((S92*pax_cap*load_thin*ROUND(K92*L92*revleg_thin,0))-(((battery/range_nm)*D92*ROUND(K92*L92*revleg_thin,0)*VLOOKUP(B92,country_opex,3,FALSE))+V92+W92+X92+Y92+Z92)))</f>
        <v/>
      </c>
      <c r="AU92" s="43">
        <f>IF(((S92*pax_cap*load_mid*ROUND(K92*L92*revleg_mid,0))-(((battery/range_nm)*D92*ROUND(K92*L92*revleg_mid,0)*VLOOKUP(B92,country_opex,3,FALSE))+V92+W92+X92+Y92+Z92))&lt;=0,"",VLOOKUP(B92,country_opex,7,FALSE)/((S92*pax_cap*load_mid*ROUND(K92*L92*revleg_mid,0))-(((battery/range_nm)*D92*ROUND(K92*L92*revleg_mid,0)*VLOOKUP(B92,country_opex,3,FALSE))+V92+W92+X92+Y92+Z92)))</f>
        <v/>
      </c>
      <c r="AV92" s="43">
        <f>IF(((S92*pax_cap*load_full*ROUND(K92*L92*revleg_full,0))-(((battery/range_nm)*D92*ROUND(K92*L92*revleg_full,0)*VLOOKUP(B92,country_opex,3,FALSE))+V92+W92+X92+Y92+Z92))&lt;=0,"",VLOOKUP(B92,country_opex,7,FALSE)/((S92*pax_cap*load_full*ROUND(K92*L92*revleg_full,0))-(((battery/range_nm)*D92*ROUND(K92*L92*revleg_full,0)*VLOOKUP(B92,country_opex,3,FALSE))+V92+W92+X92+Y92+Z92)))</f>
        <v/>
      </c>
      <c r="AW92" s="44" t="inlineStr">
        <is>
          <t>handoff/INDIA-ECONOMICS-SIDECAR-V0-2026-06-20.json (andaman)</t>
        </is>
      </c>
      <c r="AX92" s="44" t="inlineStr">
        <is>
          <t>handoff/INDIA-ECONOMICS-SIDECAR-V0-2026-06-20.json (andaman)</t>
        </is>
      </c>
    </row>
    <row r="93">
      <c r="A93" s="29" t="inlineStr">
        <is>
          <t>India Mumbai Rapido</t>
        </is>
      </c>
      <c r="B93" s="29" t="inlineStr">
        <is>
          <t>India</t>
        </is>
      </c>
      <c r="C93" s="30" t="inlineStr">
        <is>
          <t>Cordelia Cruises → OLD HARBOR TEA &amp; COFFEE</t>
        </is>
      </c>
      <c r="D93" s="31" t="n">
        <v>8.5</v>
      </c>
      <c r="E93" s="26" t="n">
        <v>18</v>
      </c>
      <c r="F93" s="32" t="inlineStr">
        <is>
          <t>T3</t>
        </is>
      </c>
      <c r="G93" s="32" t="inlineStr">
        <is>
          <t>med-low</t>
        </is>
      </c>
      <c r="H93" s="19" t="n">
        <v>1</v>
      </c>
      <c r="I93" s="33">
        <f>60*D93/cruise_kt</f>
        <v/>
      </c>
      <c r="J93" s="33">
        <f>I93+turn_min+dwell_min</f>
        <v/>
      </c>
      <c r="K93" s="34">
        <f>MIN(10,FLOOR(60*service_hr/J93,1))</f>
        <v/>
      </c>
      <c r="L93" s="34">
        <f>ROUND(365*mech_uptime*H93,0)</f>
        <v/>
      </c>
      <c r="M93" s="35">
        <f>mech_uptime</f>
        <v/>
      </c>
      <c r="N93" s="35">
        <f>revleg_sel</f>
        <v/>
      </c>
      <c r="O93" s="34">
        <f>ROUND(K93*L93*revleg_sel,0)</f>
        <v/>
      </c>
      <c r="P93" s="36">
        <f>load_sel</f>
        <v/>
      </c>
      <c r="Q93" s="36">
        <f>pax_cap*P93</f>
        <v/>
      </c>
      <c r="R93" s="34">
        <f>Q93*O93</f>
        <v/>
      </c>
      <c r="S93" s="37">
        <f>E93*discount</f>
        <v/>
      </c>
      <c r="T93" s="38">
        <f>S93*R93</f>
        <v/>
      </c>
      <c r="U93" s="38">
        <f>(battery/range_nm)*D93*O93*VLOOKUP(B93,country_opex,3,FALSE)</f>
        <v/>
      </c>
      <c r="V93" s="38">
        <f>VLOOKUP(B93,country_opex,2,FALSE)*crew_factor</f>
        <v/>
      </c>
      <c r="W93" s="38">
        <f>VLOOKUP(B93,country_opex,5,FALSE)</f>
        <v/>
      </c>
      <c r="X93" s="38">
        <f>maint</f>
        <v/>
      </c>
      <c r="Y93" s="38">
        <f>VLOOKUP(B93,country_opex,7,FALSE)*ins_pct</f>
        <v/>
      </c>
      <c r="Z93" s="38">
        <f>charge_berth</f>
        <v/>
      </c>
      <c r="AA93" s="38">
        <f>U93+V93+W93+X93+Y93+Z93</f>
        <v/>
      </c>
      <c r="AB93" s="38">
        <f>VLOOKUP(B93,country_opex,7,FALSE)/dep_years</f>
        <v/>
      </c>
      <c r="AC93" s="38">
        <f>T93-AA93</f>
        <v/>
      </c>
      <c r="AD93" s="35">
        <f>IF(T93=0,"",AC93/T93)</f>
        <v/>
      </c>
      <c r="AE93" s="36">
        <f>IF(AC93&lt;=0,"",VLOOKUP(B93,country_opex,7,FALSE)/AC93)</f>
        <v/>
      </c>
      <c r="AF93" s="33">
        <f>((D93*O93/diesel_nmpg)*diesel_co2pg-(battery/range_nm)*D93*O93*VLOOKUP(B93,country_opex,4,FALSE))/1000</f>
        <v/>
      </c>
      <c r="AG93" s="31" t="n">
        <v>5000</v>
      </c>
      <c r="AH93" s="32" t="inlineStr">
        <is>
          <t>T3</t>
        </is>
      </c>
      <c r="AI93" s="32" t="inlineStr">
        <is>
          <t>med-low</t>
        </is>
      </c>
      <c r="AJ93" s="39" t="n">
        <v>0.1</v>
      </c>
      <c r="AK93" s="34">
        <f>IF(AG93="","",AG93*AJ93)</f>
        <v/>
      </c>
      <c r="AL93" s="34">
        <f>IF(OR(AG93="",R93=0),"",MIN(IF(AS93="",9.9E+99,AS93),FLOOR(AK93/R93,1)))</f>
        <v/>
      </c>
      <c r="AM93" s="38">
        <f>IF(AL93="","",AL93*T93)</f>
        <v/>
      </c>
      <c r="AN93" s="36">
        <f>IF(OR(AG93="",R93=0),"",MIN(IF(AS93="",9.9E+99,AS93),AK93/R93))</f>
        <v/>
      </c>
      <c r="AO93" s="38">
        <f>IF(AN93="","",AN93*T93)</f>
        <v/>
      </c>
      <c r="AP93" s="40" t="n"/>
      <c r="AQ93" s="41" t="n"/>
      <c r="AR93" s="41" t="n"/>
      <c r="AS93" s="42" t="n"/>
      <c r="AT93" s="43">
        <f>IF(((S93*pax_cap*load_thin*ROUND(K93*L93*revleg_thin,0))-(((battery/range_nm)*D93*ROUND(K93*L93*revleg_thin,0)*VLOOKUP(B93,country_opex,3,FALSE))+V93+W93+X93+Y93+Z93))&lt;=0,"",VLOOKUP(B93,country_opex,7,FALSE)/((S93*pax_cap*load_thin*ROUND(K93*L93*revleg_thin,0))-(((battery/range_nm)*D93*ROUND(K93*L93*revleg_thin,0)*VLOOKUP(B93,country_opex,3,FALSE))+V93+W93+X93+Y93+Z93)))</f>
        <v/>
      </c>
      <c r="AU93" s="43">
        <f>IF(((S93*pax_cap*load_mid*ROUND(K93*L93*revleg_mid,0))-(((battery/range_nm)*D93*ROUND(K93*L93*revleg_mid,0)*VLOOKUP(B93,country_opex,3,FALSE))+V93+W93+X93+Y93+Z93))&lt;=0,"",VLOOKUP(B93,country_opex,7,FALSE)/((S93*pax_cap*load_mid*ROUND(K93*L93*revleg_mid,0))-(((battery/range_nm)*D93*ROUND(K93*L93*revleg_mid,0)*VLOOKUP(B93,country_opex,3,FALSE))+V93+W93+X93+Y93+Z93)))</f>
        <v/>
      </c>
      <c r="AV93" s="43">
        <f>IF(((S93*pax_cap*load_full*ROUND(K93*L93*revleg_full,0))-(((battery/range_nm)*D93*ROUND(K93*L93*revleg_full,0)*VLOOKUP(B93,country_opex,3,FALSE))+V93+W93+X93+Y93+Z93))&lt;=0,"",VLOOKUP(B93,country_opex,7,FALSE)/((S93*pax_cap*load_full*ROUND(K93*L93*revleg_full,0))-(((battery/range_nm)*D93*ROUND(K93*L93*revleg_full,0)*VLOOKUP(B93,country_opex,3,FALSE))+V93+W93+X93+Y93+Z93)))</f>
        <v/>
      </c>
      <c r="AW93" s="44" t="inlineStr">
        <is>
          <t>[LB-255 PREMIUM RE-FARE: subsidized comparable $5.5 lifted to premium on-demand floor $18.0] handoff/INDIA-ECONOMICS-SIDECAR-V0-2026-06-20.json (mumbai)</t>
        </is>
      </c>
      <c r="AX93" s="44" t="inlineStr">
        <is>
          <t>handoff/INDIA-ECONOMICS-SIDECAR-V0-2026-06-20.json (mumbai)</t>
        </is>
      </c>
    </row>
    <row r="94">
      <c r="A94" s="29" t="inlineStr">
        <is>
          <t>India Mumbai Rapido</t>
        </is>
      </c>
      <c r="B94" s="29" t="inlineStr">
        <is>
          <t>India</t>
        </is>
      </c>
      <c r="C94" s="30" t="inlineStr">
        <is>
          <t>Versova Ferry Wharf → Gateway of India</t>
        </is>
      </c>
      <c r="D94" s="31" t="n">
        <v>12.43</v>
      </c>
      <c r="E94" s="26" t="n">
        <v>18</v>
      </c>
      <c r="F94" s="32" t="inlineStr">
        <is>
          <t>T3</t>
        </is>
      </c>
      <c r="G94" s="32" t="inlineStr">
        <is>
          <t>med-low</t>
        </is>
      </c>
      <c r="H94" s="19" t="n">
        <v>1</v>
      </c>
      <c r="I94" s="33">
        <f>60*D94/cruise_kt</f>
        <v/>
      </c>
      <c r="J94" s="33">
        <f>I94+turn_min+dwell_min</f>
        <v/>
      </c>
      <c r="K94" s="34">
        <f>MIN(10,FLOOR(60*service_hr/J94,1))</f>
        <v/>
      </c>
      <c r="L94" s="34">
        <f>ROUND(365*mech_uptime*H94,0)</f>
        <v/>
      </c>
      <c r="M94" s="35">
        <f>mech_uptime</f>
        <v/>
      </c>
      <c r="N94" s="35">
        <f>revleg_sel</f>
        <v/>
      </c>
      <c r="O94" s="34">
        <f>ROUND(K94*L94*revleg_sel,0)</f>
        <v/>
      </c>
      <c r="P94" s="36">
        <f>load_sel</f>
        <v/>
      </c>
      <c r="Q94" s="36">
        <f>pax_cap*P94</f>
        <v/>
      </c>
      <c r="R94" s="34">
        <f>Q94*O94</f>
        <v/>
      </c>
      <c r="S94" s="37">
        <f>E94*discount</f>
        <v/>
      </c>
      <c r="T94" s="38">
        <f>S94*R94</f>
        <v/>
      </c>
      <c r="U94" s="38">
        <f>(battery/range_nm)*D94*O94*VLOOKUP(B94,country_opex,3,FALSE)</f>
        <v/>
      </c>
      <c r="V94" s="38">
        <f>VLOOKUP(B94,country_opex,2,FALSE)*crew_factor</f>
        <v/>
      </c>
      <c r="W94" s="38">
        <f>VLOOKUP(B94,country_opex,5,FALSE)</f>
        <v/>
      </c>
      <c r="X94" s="38">
        <f>maint</f>
        <v/>
      </c>
      <c r="Y94" s="38">
        <f>VLOOKUP(B94,country_opex,7,FALSE)*ins_pct</f>
        <v/>
      </c>
      <c r="Z94" s="38">
        <f>charge_berth</f>
        <v/>
      </c>
      <c r="AA94" s="38">
        <f>U94+V94+W94+X94+Y94+Z94</f>
        <v/>
      </c>
      <c r="AB94" s="38">
        <f>VLOOKUP(B94,country_opex,7,FALSE)/dep_years</f>
        <v/>
      </c>
      <c r="AC94" s="38">
        <f>T94-AA94</f>
        <v/>
      </c>
      <c r="AD94" s="35">
        <f>IF(T94=0,"",AC94/T94)</f>
        <v/>
      </c>
      <c r="AE94" s="36">
        <f>IF(AC94&lt;=0,"",VLOOKUP(B94,country_opex,7,FALSE)/AC94)</f>
        <v/>
      </c>
      <c r="AF94" s="33">
        <f>((D94*O94/diesel_nmpg)*diesel_co2pg-(battery/range_nm)*D94*O94*VLOOKUP(B94,country_opex,4,FALSE))/1000</f>
        <v/>
      </c>
      <c r="AG94" s="31" t="n">
        <v>5000</v>
      </c>
      <c r="AH94" s="32" t="inlineStr">
        <is>
          <t>T3</t>
        </is>
      </c>
      <c r="AI94" s="32" t="inlineStr">
        <is>
          <t>med-low</t>
        </is>
      </c>
      <c r="AJ94" s="39" t="n">
        <v>0.1</v>
      </c>
      <c r="AK94" s="34">
        <f>IF(AG94="","",AG94*AJ94)</f>
        <v/>
      </c>
      <c r="AL94" s="34">
        <f>IF(OR(AG94="",R94=0),"",MIN(IF(AS94="",9.9E+99,AS94),FLOOR(AK94/R94,1)))</f>
        <v/>
      </c>
      <c r="AM94" s="38">
        <f>IF(AL94="","",AL94*T94)</f>
        <v/>
      </c>
      <c r="AN94" s="36">
        <f>IF(OR(AG94="",R94=0),"",MIN(IF(AS94="",9.9E+99,AS94),AK94/R94))</f>
        <v/>
      </c>
      <c r="AO94" s="38">
        <f>IF(AN94="","",AN94*T94)</f>
        <v/>
      </c>
      <c r="AP94" s="40" t="n"/>
      <c r="AQ94" s="41" t="n"/>
      <c r="AR94" s="41" t="n"/>
      <c r="AS94" s="42" t="n"/>
      <c r="AT94" s="43">
        <f>IF(((S94*pax_cap*load_thin*ROUND(K94*L94*revleg_thin,0))-(((battery/range_nm)*D94*ROUND(K94*L94*revleg_thin,0)*VLOOKUP(B94,country_opex,3,FALSE))+V94+W94+X94+Y94+Z94))&lt;=0,"",VLOOKUP(B94,country_opex,7,FALSE)/((S94*pax_cap*load_thin*ROUND(K94*L94*revleg_thin,0))-(((battery/range_nm)*D94*ROUND(K94*L94*revleg_thin,0)*VLOOKUP(B94,country_opex,3,FALSE))+V94+W94+X94+Y94+Z94)))</f>
        <v/>
      </c>
      <c r="AU94" s="43">
        <f>IF(((S94*pax_cap*load_mid*ROUND(K94*L94*revleg_mid,0))-(((battery/range_nm)*D94*ROUND(K94*L94*revleg_mid,0)*VLOOKUP(B94,country_opex,3,FALSE))+V94+W94+X94+Y94+Z94))&lt;=0,"",VLOOKUP(B94,country_opex,7,FALSE)/((S94*pax_cap*load_mid*ROUND(K94*L94*revleg_mid,0))-(((battery/range_nm)*D94*ROUND(K94*L94*revleg_mid,0)*VLOOKUP(B94,country_opex,3,FALSE))+V94+W94+X94+Y94+Z94)))</f>
        <v/>
      </c>
      <c r="AV94" s="43">
        <f>IF(((S94*pax_cap*load_full*ROUND(K94*L94*revleg_full,0))-(((battery/range_nm)*D94*ROUND(K94*L94*revleg_full,0)*VLOOKUP(B94,country_opex,3,FALSE))+V94+W94+X94+Y94+Z94))&lt;=0,"",VLOOKUP(B94,country_opex,7,FALSE)/((S94*pax_cap*load_full*ROUND(K94*L94*revleg_full,0))-(((battery/range_nm)*D94*ROUND(K94*L94*revleg_full,0)*VLOOKUP(B94,country_opex,3,FALSE))+V94+W94+X94+Y94+Z94)))</f>
        <v/>
      </c>
      <c r="AW94" s="44" t="inlineStr">
        <is>
          <t>[LB-255 PREMIUM RE-FARE: subsidized comparable $5.5 lifted to premium on-demand floor $18.0] handoff/INDIA-ECONOMICS-SIDECAR-V0-2026-06-20.json (mumbai)</t>
        </is>
      </c>
      <c r="AX94" s="44" t="inlineStr">
        <is>
          <t>handoff/INDIA-ECONOMICS-SIDECAR-V0-2026-06-20.json (mumbai)</t>
        </is>
      </c>
    </row>
    <row r="95">
      <c r="A95" s="29" t="inlineStr">
        <is>
          <t>India Mumbai Rapido</t>
        </is>
      </c>
      <c r="B95" s="29" t="inlineStr">
        <is>
          <t>India</t>
        </is>
      </c>
      <c r="C95" s="30" t="inlineStr">
        <is>
          <t>Gorai / Marve Jetty → Nariman Point Water-Taxi Jetty</t>
        </is>
      </c>
      <c r="D95" s="31" t="n">
        <v>13.45</v>
      </c>
      <c r="E95" s="26" t="n">
        <v>18</v>
      </c>
      <c r="F95" s="32" t="inlineStr">
        <is>
          <t>T3</t>
        </is>
      </c>
      <c r="G95" s="32" t="inlineStr">
        <is>
          <t>med-low</t>
        </is>
      </c>
      <c r="H95" s="19" t="n">
        <v>1</v>
      </c>
      <c r="I95" s="33">
        <f>60*D95/cruise_kt</f>
        <v/>
      </c>
      <c r="J95" s="33">
        <f>I95+turn_min+dwell_min</f>
        <v/>
      </c>
      <c r="K95" s="34">
        <f>MIN(10,FLOOR(60*service_hr/J95,1))</f>
        <v/>
      </c>
      <c r="L95" s="34">
        <f>ROUND(365*mech_uptime*H95,0)</f>
        <v/>
      </c>
      <c r="M95" s="35">
        <f>mech_uptime</f>
        <v/>
      </c>
      <c r="N95" s="35">
        <f>revleg_sel</f>
        <v/>
      </c>
      <c r="O95" s="34">
        <f>ROUND(K95*L95*revleg_sel,0)</f>
        <v/>
      </c>
      <c r="P95" s="36">
        <f>load_sel</f>
        <v/>
      </c>
      <c r="Q95" s="36">
        <f>pax_cap*P95</f>
        <v/>
      </c>
      <c r="R95" s="34">
        <f>Q95*O95</f>
        <v/>
      </c>
      <c r="S95" s="37">
        <f>E95*discount</f>
        <v/>
      </c>
      <c r="T95" s="38">
        <f>S95*R95</f>
        <v/>
      </c>
      <c r="U95" s="38">
        <f>(battery/range_nm)*D95*O95*VLOOKUP(B95,country_opex,3,FALSE)</f>
        <v/>
      </c>
      <c r="V95" s="38">
        <f>VLOOKUP(B95,country_opex,2,FALSE)*crew_factor</f>
        <v/>
      </c>
      <c r="W95" s="38">
        <f>VLOOKUP(B95,country_opex,5,FALSE)</f>
        <v/>
      </c>
      <c r="X95" s="38">
        <f>maint</f>
        <v/>
      </c>
      <c r="Y95" s="38">
        <f>VLOOKUP(B95,country_opex,7,FALSE)*ins_pct</f>
        <v/>
      </c>
      <c r="Z95" s="38">
        <f>charge_berth</f>
        <v/>
      </c>
      <c r="AA95" s="38">
        <f>U95+V95+W95+X95+Y95+Z95</f>
        <v/>
      </c>
      <c r="AB95" s="38">
        <f>VLOOKUP(B95,country_opex,7,FALSE)/dep_years</f>
        <v/>
      </c>
      <c r="AC95" s="38">
        <f>T95-AA95</f>
        <v/>
      </c>
      <c r="AD95" s="35">
        <f>IF(T95=0,"",AC95/T95)</f>
        <v/>
      </c>
      <c r="AE95" s="36">
        <f>IF(AC95&lt;=0,"",VLOOKUP(B95,country_opex,7,FALSE)/AC95)</f>
        <v/>
      </c>
      <c r="AF95" s="33">
        <f>((D95*O95/diesel_nmpg)*diesel_co2pg-(battery/range_nm)*D95*O95*VLOOKUP(B95,country_opex,4,FALSE))/1000</f>
        <v/>
      </c>
      <c r="AG95" s="31" t="n">
        <v>5000</v>
      </c>
      <c r="AH95" s="32" t="inlineStr">
        <is>
          <t>T3</t>
        </is>
      </c>
      <c r="AI95" s="32" t="inlineStr">
        <is>
          <t>med-low</t>
        </is>
      </c>
      <c r="AJ95" s="39" t="n">
        <v>0.1</v>
      </c>
      <c r="AK95" s="34">
        <f>IF(AG95="","",AG95*AJ95)</f>
        <v/>
      </c>
      <c r="AL95" s="34">
        <f>IF(OR(AG95="",R95=0),"",MIN(IF(AS95="",9.9E+99,AS95),FLOOR(AK95/R95,1)))</f>
        <v/>
      </c>
      <c r="AM95" s="38">
        <f>IF(AL95="","",AL95*T95)</f>
        <v/>
      </c>
      <c r="AN95" s="36">
        <f>IF(OR(AG95="",R95=0),"",MIN(IF(AS95="",9.9E+99,AS95),AK95/R95))</f>
        <v/>
      </c>
      <c r="AO95" s="38">
        <f>IF(AN95="","",AN95*T95)</f>
        <v/>
      </c>
      <c r="AP95" s="40" t="n"/>
      <c r="AQ95" s="41" t="n"/>
      <c r="AR95" s="41" t="n"/>
      <c r="AS95" s="42" t="n"/>
      <c r="AT95" s="43">
        <f>IF(((S95*pax_cap*load_thin*ROUND(K95*L95*revleg_thin,0))-(((battery/range_nm)*D95*ROUND(K95*L95*revleg_thin,0)*VLOOKUP(B95,country_opex,3,FALSE))+V95+W95+X95+Y95+Z95))&lt;=0,"",VLOOKUP(B95,country_opex,7,FALSE)/((S95*pax_cap*load_thin*ROUND(K95*L95*revleg_thin,0))-(((battery/range_nm)*D95*ROUND(K95*L95*revleg_thin,0)*VLOOKUP(B95,country_opex,3,FALSE))+V95+W95+X95+Y95+Z95)))</f>
        <v/>
      </c>
      <c r="AU95" s="43">
        <f>IF(((S95*pax_cap*load_mid*ROUND(K95*L95*revleg_mid,0))-(((battery/range_nm)*D95*ROUND(K95*L95*revleg_mid,0)*VLOOKUP(B95,country_opex,3,FALSE))+V95+W95+X95+Y95+Z95))&lt;=0,"",VLOOKUP(B95,country_opex,7,FALSE)/((S95*pax_cap*load_mid*ROUND(K95*L95*revleg_mid,0))-(((battery/range_nm)*D95*ROUND(K95*L95*revleg_mid,0)*VLOOKUP(B95,country_opex,3,FALSE))+V95+W95+X95+Y95+Z95)))</f>
        <v/>
      </c>
      <c r="AV95" s="43">
        <f>IF(((S95*pax_cap*load_full*ROUND(K95*L95*revleg_full,0))-(((battery/range_nm)*D95*ROUND(K95*L95*revleg_full,0)*VLOOKUP(B95,country_opex,3,FALSE))+V95+W95+X95+Y95+Z95))&lt;=0,"",VLOOKUP(B95,country_opex,7,FALSE)/((S95*pax_cap*load_full*ROUND(K95*L95*revleg_full,0))-(((battery/range_nm)*D95*ROUND(K95*L95*revleg_full,0)*VLOOKUP(B95,country_opex,3,FALSE))+V95+W95+X95+Y95+Z95)))</f>
        <v/>
      </c>
      <c r="AW95" s="44" t="inlineStr">
        <is>
          <t>[LB-255 PREMIUM RE-FARE: subsidized comparable $5.5 lifted to premium on-demand floor $18.0] handoff/INDIA-ECONOMICS-SIDECAR-V0-2026-06-20.json (mumbai)</t>
        </is>
      </c>
      <c r="AX95" s="44" t="inlineStr">
        <is>
          <t>handoff/INDIA-ECONOMICS-SIDECAR-V0-2026-06-20.json (mumbai)</t>
        </is>
      </c>
    </row>
    <row r="96">
      <c r="A96" s="29" t="inlineStr">
        <is>
          <t>India Andaman Rapido</t>
        </is>
      </c>
      <c r="B96" s="29" t="inlineStr">
        <is>
          <t>India</t>
        </is>
      </c>
      <c r="C96" s="30" t="inlineStr">
        <is>
          <t>APARUPA SANDS MARINA → Shaheed Dweep Jetty</t>
        </is>
      </c>
      <c r="D96" s="31" t="n">
        <v>13.9</v>
      </c>
      <c r="E96" s="26" t="n">
        <v>22</v>
      </c>
      <c r="F96" s="32" t="inlineStr">
        <is>
          <t>T3</t>
        </is>
      </c>
      <c r="G96" s="32" t="inlineStr">
        <is>
          <t>med-low</t>
        </is>
      </c>
      <c r="H96" s="19" t="n">
        <v>1</v>
      </c>
      <c r="I96" s="33">
        <f>60*D96/cruise_kt</f>
        <v/>
      </c>
      <c r="J96" s="33">
        <f>I96+turn_min+dwell_min</f>
        <v/>
      </c>
      <c r="K96" s="34">
        <f>MIN(10,FLOOR(60*service_hr/J96,1))</f>
        <v/>
      </c>
      <c r="L96" s="34">
        <f>ROUND(365*mech_uptime*H96,0)</f>
        <v/>
      </c>
      <c r="M96" s="35">
        <f>mech_uptime</f>
        <v/>
      </c>
      <c r="N96" s="35">
        <f>revleg_sel</f>
        <v/>
      </c>
      <c r="O96" s="34">
        <f>ROUND(K96*L96*revleg_sel,0)</f>
        <v/>
      </c>
      <c r="P96" s="36">
        <f>load_sel</f>
        <v/>
      </c>
      <c r="Q96" s="36">
        <f>pax_cap*P96</f>
        <v/>
      </c>
      <c r="R96" s="34">
        <f>Q96*O96</f>
        <v/>
      </c>
      <c r="S96" s="37">
        <f>E96*discount</f>
        <v/>
      </c>
      <c r="T96" s="38">
        <f>S96*R96</f>
        <v/>
      </c>
      <c r="U96" s="38">
        <f>(battery/range_nm)*D96*O96*VLOOKUP(B96,country_opex,3,FALSE)</f>
        <v/>
      </c>
      <c r="V96" s="38">
        <f>VLOOKUP(B96,country_opex,2,FALSE)*crew_factor</f>
        <v/>
      </c>
      <c r="W96" s="38">
        <f>VLOOKUP(B96,country_opex,5,FALSE)</f>
        <v/>
      </c>
      <c r="X96" s="38">
        <f>maint</f>
        <v/>
      </c>
      <c r="Y96" s="38">
        <f>VLOOKUP(B96,country_opex,7,FALSE)*ins_pct</f>
        <v/>
      </c>
      <c r="Z96" s="38">
        <f>charge_berth</f>
        <v/>
      </c>
      <c r="AA96" s="38">
        <f>U96+V96+W96+X96+Y96+Z96</f>
        <v/>
      </c>
      <c r="AB96" s="38">
        <f>VLOOKUP(B96,country_opex,7,FALSE)/dep_years</f>
        <v/>
      </c>
      <c r="AC96" s="38">
        <f>T96-AA96</f>
        <v/>
      </c>
      <c r="AD96" s="35">
        <f>IF(T96=0,"",AC96/T96)</f>
        <v/>
      </c>
      <c r="AE96" s="36">
        <f>IF(AC96&lt;=0,"",VLOOKUP(B96,country_opex,7,FALSE)/AC96)</f>
        <v/>
      </c>
      <c r="AF96" s="33">
        <f>((D96*O96/diesel_nmpg)*diesel_co2pg-(battery/range_nm)*D96*O96*VLOOKUP(B96,country_opex,4,FALSE))/1000</f>
        <v/>
      </c>
      <c r="AG96" s="31" t="n">
        <v>5000</v>
      </c>
      <c r="AH96" s="32" t="inlineStr">
        <is>
          <t>T3</t>
        </is>
      </c>
      <c r="AI96" s="32" t="inlineStr">
        <is>
          <t>med-low</t>
        </is>
      </c>
      <c r="AJ96" s="39" t="n">
        <v>0.1</v>
      </c>
      <c r="AK96" s="34">
        <f>IF(AG96="","",AG96*AJ96)</f>
        <v/>
      </c>
      <c r="AL96" s="34">
        <f>IF(OR(AG96="",R96=0),"",MIN(IF(AS96="",9.9E+99,AS96),FLOOR(AK96/R96,1)))</f>
        <v/>
      </c>
      <c r="AM96" s="38">
        <f>IF(AL96="","",AL96*T96)</f>
        <v/>
      </c>
      <c r="AN96" s="36">
        <f>IF(OR(AG96="",R96=0),"",MIN(IF(AS96="",9.9E+99,AS96),AK96/R96))</f>
        <v/>
      </c>
      <c r="AO96" s="38">
        <f>IF(AN96="","",AN96*T96)</f>
        <v/>
      </c>
      <c r="AP96" s="40" t="n"/>
      <c r="AQ96" s="41" t="n"/>
      <c r="AR96" s="41" t="n"/>
      <c r="AS96" s="42" t="n"/>
      <c r="AT96" s="43">
        <f>IF(((S96*pax_cap*load_thin*ROUND(K96*L96*revleg_thin,0))-(((battery/range_nm)*D96*ROUND(K96*L96*revleg_thin,0)*VLOOKUP(B96,country_opex,3,FALSE))+V96+W96+X96+Y96+Z96))&lt;=0,"",VLOOKUP(B96,country_opex,7,FALSE)/((S96*pax_cap*load_thin*ROUND(K96*L96*revleg_thin,0))-(((battery/range_nm)*D96*ROUND(K96*L96*revleg_thin,0)*VLOOKUP(B96,country_opex,3,FALSE))+V96+W96+X96+Y96+Z96)))</f>
        <v/>
      </c>
      <c r="AU96" s="43">
        <f>IF(((S96*pax_cap*load_mid*ROUND(K96*L96*revleg_mid,0))-(((battery/range_nm)*D96*ROUND(K96*L96*revleg_mid,0)*VLOOKUP(B96,country_opex,3,FALSE))+V96+W96+X96+Y96+Z96))&lt;=0,"",VLOOKUP(B96,country_opex,7,FALSE)/((S96*pax_cap*load_mid*ROUND(K96*L96*revleg_mid,0))-(((battery/range_nm)*D96*ROUND(K96*L96*revleg_mid,0)*VLOOKUP(B96,country_opex,3,FALSE))+V96+W96+X96+Y96+Z96)))</f>
        <v/>
      </c>
      <c r="AV96" s="43">
        <f>IF(((S96*pax_cap*load_full*ROUND(K96*L96*revleg_full,0))-(((battery/range_nm)*D96*ROUND(K96*L96*revleg_full,0)*VLOOKUP(B96,country_opex,3,FALSE))+V96+W96+X96+Y96+Z96))&lt;=0,"",VLOOKUP(B96,country_opex,7,FALSE)/((S96*pax_cap*load_full*ROUND(K96*L96*revleg_full,0))-(((battery/range_nm)*D96*ROUND(K96*L96*revleg_full,0)*VLOOKUP(B96,country_opex,3,FALSE))+V96+W96+X96+Y96+Z96)))</f>
        <v/>
      </c>
      <c r="AW96" s="44" t="inlineStr">
        <is>
          <t>handoff/INDIA-ECONOMICS-SIDECAR-V0-2026-06-20.json (andaman)</t>
        </is>
      </c>
      <c r="AX96" s="44" t="inlineStr">
        <is>
          <t>handoff/INDIA-ECONOMICS-SIDECAR-V0-2026-06-20.json (andaman)</t>
        </is>
      </c>
    </row>
    <row r="97">
      <c r="A97" s="29" t="inlineStr">
        <is>
          <t>India Andaman Rapido</t>
        </is>
      </c>
      <c r="B97" s="29" t="inlineStr">
        <is>
          <t>India</t>
        </is>
      </c>
      <c r="C97" s="30" t="inlineStr">
        <is>
          <t>Office Of Assistant Engineer Civil, Andaman Lakshdweep Harbour Work Havelock → Shaheed Dweep Jetty</t>
        </is>
      </c>
      <c r="D97" s="31" t="n">
        <v>14.6</v>
      </c>
      <c r="E97" s="26" t="n">
        <v>22</v>
      </c>
      <c r="F97" s="32" t="inlineStr">
        <is>
          <t>T3</t>
        </is>
      </c>
      <c r="G97" s="32" t="inlineStr">
        <is>
          <t>med-low</t>
        </is>
      </c>
      <c r="H97" s="19" t="n">
        <v>1</v>
      </c>
      <c r="I97" s="33">
        <f>60*D97/cruise_kt</f>
        <v/>
      </c>
      <c r="J97" s="33">
        <f>I97+turn_min+dwell_min</f>
        <v/>
      </c>
      <c r="K97" s="34">
        <f>MIN(10,FLOOR(60*service_hr/J97,1))</f>
        <v/>
      </c>
      <c r="L97" s="34">
        <f>ROUND(365*mech_uptime*H97,0)</f>
        <v/>
      </c>
      <c r="M97" s="35">
        <f>mech_uptime</f>
        <v/>
      </c>
      <c r="N97" s="35">
        <f>revleg_sel</f>
        <v/>
      </c>
      <c r="O97" s="34">
        <f>ROUND(K97*L97*revleg_sel,0)</f>
        <v/>
      </c>
      <c r="P97" s="36">
        <f>load_sel</f>
        <v/>
      </c>
      <c r="Q97" s="36">
        <f>pax_cap*P97</f>
        <v/>
      </c>
      <c r="R97" s="34">
        <f>Q97*O97</f>
        <v/>
      </c>
      <c r="S97" s="37">
        <f>E97*discount</f>
        <v/>
      </c>
      <c r="T97" s="38">
        <f>S97*R97</f>
        <v/>
      </c>
      <c r="U97" s="38">
        <f>(battery/range_nm)*D97*O97*VLOOKUP(B97,country_opex,3,FALSE)</f>
        <v/>
      </c>
      <c r="V97" s="38">
        <f>VLOOKUP(B97,country_opex,2,FALSE)*crew_factor</f>
        <v/>
      </c>
      <c r="W97" s="38">
        <f>VLOOKUP(B97,country_opex,5,FALSE)</f>
        <v/>
      </c>
      <c r="X97" s="38">
        <f>maint</f>
        <v/>
      </c>
      <c r="Y97" s="38">
        <f>VLOOKUP(B97,country_opex,7,FALSE)*ins_pct</f>
        <v/>
      </c>
      <c r="Z97" s="38">
        <f>charge_berth</f>
        <v/>
      </c>
      <c r="AA97" s="38">
        <f>U97+V97+W97+X97+Y97+Z97</f>
        <v/>
      </c>
      <c r="AB97" s="38">
        <f>VLOOKUP(B97,country_opex,7,FALSE)/dep_years</f>
        <v/>
      </c>
      <c r="AC97" s="38">
        <f>T97-AA97</f>
        <v/>
      </c>
      <c r="AD97" s="35">
        <f>IF(T97=0,"",AC97/T97)</f>
        <v/>
      </c>
      <c r="AE97" s="36">
        <f>IF(AC97&lt;=0,"",VLOOKUP(B97,country_opex,7,FALSE)/AC97)</f>
        <v/>
      </c>
      <c r="AF97" s="33">
        <f>((D97*O97/diesel_nmpg)*diesel_co2pg-(battery/range_nm)*D97*O97*VLOOKUP(B97,country_opex,4,FALSE))/1000</f>
        <v/>
      </c>
      <c r="AG97" s="31" t="n">
        <v>5000</v>
      </c>
      <c r="AH97" s="32" t="inlineStr">
        <is>
          <t>T3</t>
        </is>
      </c>
      <c r="AI97" s="32" t="inlineStr">
        <is>
          <t>med-low</t>
        </is>
      </c>
      <c r="AJ97" s="39" t="n">
        <v>0.1</v>
      </c>
      <c r="AK97" s="34">
        <f>IF(AG97="","",AG97*AJ97)</f>
        <v/>
      </c>
      <c r="AL97" s="34">
        <f>IF(OR(AG97="",R97=0),"",MIN(IF(AS97="",9.9E+99,AS97),FLOOR(AK97/R97,1)))</f>
        <v/>
      </c>
      <c r="AM97" s="38">
        <f>IF(AL97="","",AL97*T97)</f>
        <v/>
      </c>
      <c r="AN97" s="36">
        <f>IF(OR(AG97="",R97=0),"",MIN(IF(AS97="",9.9E+99,AS97),AK97/R97))</f>
        <v/>
      </c>
      <c r="AO97" s="38">
        <f>IF(AN97="","",AN97*T97)</f>
        <v/>
      </c>
      <c r="AP97" s="40" t="n"/>
      <c r="AQ97" s="41" t="n"/>
      <c r="AR97" s="41" t="n"/>
      <c r="AS97" s="42" t="n"/>
      <c r="AT97" s="43">
        <f>IF(((S97*pax_cap*load_thin*ROUND(K97*L97*revleg_thin,0))-(((battery/range_nm)*D97*ROUND(K97*L97*revleg_thin,0)*VLOOKUP(B97,country_opex,3,FALSE))+V97+W97+X97+Y97+Z97))&lt;=0,"",VLOOKUP(B97,country_opex,7,FALSE)/((S97*pax_cap*load_thin*ROUND(K97*L97*revleg_thin,0))-(((battery/range_nm)*D97*ROUND(K97*L97*revleg_thin,0)*VLOOKUP(B97,country_opex,3,FALSE))+V97+W97+X97+Y97+Z97)))</f>
        <v/>
      </c>
      <c r="AU97" s="43">
        <f>IF(((S97*pax_cap*load_mid*ROUND(K97*L97*revleg_mid,0))-(((battery/range_nm)*D97*ROUND(K97*L97*revleg_mid,0)*VLOOKUP(B97,country_opex,3,FALSE))+V97+W97+X97+Y97+Z97))&lt;=0,"",VLOOKUP(B97,country_opex,7,FALSE)/((S97*pax_cap*load_mid*ROUND(K97*L97*revleg_mid,0))-(((battery/range_nm)*D97*ROUND(K97*L97*revleg_mid,0)*VLOOKUP(B97,country_opex,3,FALSE))+V97+W97+X97+Y97+Z97)))</f>
        <v/>
      </c>
      <c r="AV97" s="43">
        <f>IF(((S97*pax_cap*load_full*ROUND(K97*L97*revleg_full,0))-(((battery/range_nm)*D97*ROUND(K97*L97*revleg_full,0)*VLOOKUP(B97,country_opex,3,FALSE))+V97+W97+X97+Y97+Z97))&lt;=0,"",VLOOKUP(B97,country_opex,7,FALSE)/((S97*pax_cap*load_full*ROUND(K97*L97*revleg_full,0))-(((battery/range_nm)*D97*ROUND(K97*L97*revleg_full,0)*VLOOKUP(B97,country_opex,3,FALSE))+V97+W97+X97+Y97+Z97)))</f>
        <v/>
      </c>
      <c r="AW97" s="44" t="inlineStr">
        <is>
          <t>handoff/INDIA-ECONOMICS-SIDECAR-V0-2026-06-20.json (andaman)</t>
        </is>
      </c>
      <c r="AX97" s="44" t="inlineStr">
        <is>
          <t>handoff/INDIA-ECONOMICS-SIDECAR-V0-2026-06-20.json (andaman)</t>
        </is>
      </c>
    </row>
    <row r="98">
      <c r="A98" s="29" t="inlineStr">
        <is>
          <t>India Andaman Rapido</t>
        </is>
      </c>
      <c r="B98" s="29" t="inlineStr">
        <is>
          <t>India</t>
        </is>
      </c>
      <c r="C98" s="30" t="inlineStr">
        <is>
          <t>Office Of Assistant Engineer Civil, Andaman Lakshdweep Harbour Work Havelock → Shaheed Dweep Jetty</t>
        </is>
      </c>
      <c r="D98" s="31" t="n">
        <v>15.2</v>
      </c>
      <c r="E98" s="26" t="n">
        <v>22</v>
      </c>
      <c r="F98" s="32" t="inlineStr">
        <is>
          <t>T3</t>
        </is>
      </c>
      <c r="G98" s="32" t="inlineStr">
        <is>
          <t>med-low</t>
        </is>
      </c>
      <c r="H98" s="19" t="n">
        <v>1</v>
      </c>
      <c r="I98" s="33">
        <f>60*D98/cruise_kt</f>
        <v/>
      </c>
      <c r="J98" s="33">
        <f>I98+turn_min+dwell_min</f>
        <v/>
      </c>
      <c r="K98" s="34">
        <f>MIN(10,FLOOR(60*service_hr/J98,1))</f>
        <v/>
      </c>
      <c r="L98" s="34">
        <f>ROUND(365*mech_uptime*H98,0)</f>
        <v/>
      </c>
      <c r="M98" s="35">
        <f>mech_uptime</f>
        <v/>
      </c>
      <c r="N98" s="35">
        <f>revleg_sel</f>
        <v/>
      </c>
      <c r="O98" s="34">
        <f>ROUND(K98*L98*revleg_sel,0)</f>
        <v/>
      </c>
      <c r="P98" s="36">
        <f>load_sel</f>
        <v/>
      </c>
      <c r="Q98" s="36">
        <f>pax_cap*P98</f>
        <v/>
      </c>
      <c r="R98" s="34">
        <f>Q98*O98</f>
        <v/>
      </c>
      <c r="S98" s="37">
        <f>E98*discount</f>
        <v/>
      </c>
      <c r="T98" s="38">
        <f>S98*R98</f>
        <v/>
      </c>
      <c r="U98" s="38">
        <f>(battery/range_nm)*D98*O98*VLOOKUP(B98,country_opex,3,FALSE)</f>
        <v/>
      </c>
      <c r="V98" s="38">
        <f>VLOOKUP(B98,country_opex,2,FALSE)*crew_factor</f>
        <v/>
      </c>
      <c r="W98" s="38">
        <f>VLOOKUP(B98,country_opex,5,FALSE)</f>
        <v/>
      </c>
      <c r="X98" s="38">
        <f>maint</f>
        <v/>
      </c>
      <c r="Y98" s="38">
        <f>VLOOKUP(B98,country_opex,7,FALSE)*ins_pct</f>
        <v/>
      </c>
      <c r="Z98" s="38">
        <f>charge_berth</f>
        <v/>
      </c>
      <c r="AA98" s="38">
        <f>U98+V98+W98+X98+Y98+Z98</f>
        <v/>
      </c>
      <c r="AB98" s="38">
        <f>VLOOKUP(B98,country_opex,7,FALSE)/dep_years</f>
        <v/>
      </c>
      <c r="AC98" s="38">
        <f>T98-AA98</f>
        <v/>
      </c>
      <c r="AD98" s="35">
        <f>IF(T98=0,"",AC98/T98)</f>
        <v/>
      </c>
      <c r="AE98" s="36">
        <f>IF(AC98&lt;=0,"",VLOOKUP(B98,country_opex,7,FALSE)/AC98)</f>
        <v/>
      </c>
      <c r="AF98" s="33">
        <f>((D98*O98/diesel_nmpg)*diesel_co2pg-(battery/range_nm)*D98*O98*VLOOKUP(B98,country_opex,4,FALSE))/1000</f>
        <v/>
      </c>
      <c r="AG98" s="31" t="n">
        <v>5000</v>
      </c>
      <c r="AH98" s="32" t="inlineStr">
        <is>
          <t>T3</t>
        </is>
      </c>
      <c r="AI98" s="32" t="inlineStr">
        <is>
          <t>med-low</t>
        </is>
      </c>
      <c r="AJ98" s="39" t="n">
        <v>0.1</v>
      </c>
      <c r="AK98" s="34">
        <f>IF(AG98="","",AG98*AJ98)</f>
        <v/>
      </c>
      <c r="AL98" s="34">
        <f>IF(OR(AG98="",R98=0),"",MIN(IF(AS98="",9.9E+99,AS98),FLOOR(AK98/R98,1)))</f>
        <v/>
      </c>
      <c r="AM98" s="38">
        <f>IF(AL98="","",AL98*T98)</f>
        <v/>
      </c>
      <c r="AN98" s="36">
        <f>IF(OR(AG98="",R98=0),"",MIN(IF(AS98="",9.9E+99,AS98),AK98/R98))</f>
        <v/>
      </c>
      <c r="AO98" s="38">
        <f>IF(AN98="","",AN98*T98)</f>
        <v/>
      </c>
      <c r="AP98" s="40" t="n"/>
      <c r="AQ98" s="41" t="n"/>
      <c r="AR98" s="41" t="n"/>
      <c r="AS98" s="42" t="n"/>
      <c r="AT98" s="43">
        <f>IF(((S98*pax_cap*load_thin*ROUND(K98*L98*revleg_thin,0))-(((battery/range_nm)*D98*ROUND(K98*L98*revleg_thin,0)*VLOOKUP(B98,country_opex,3,FALSE))+V98+W98+X98+Y98+Z98))&lt;=0,"",VLOOKUP(B98,country_opex,7,FALSE)/((S98*pax_cap*load_thin*ROUND(K98*L98*revleg_thin,0))-(((battery/range_nm)*D98*ROUND(K98*L98*revleg_thin,0)*VLOOKUP(B98,country_opex,3,FALSE))+V98+W98+X98+Y98+Z98)))</f>
        <v/>
      </c>
      <c r="AU98" s="43">
        <f>IF(((S98*pax_cap*load_mid*ROUND(K98*L98*revleg_mid,0))-(((battery/range_nm)*D98*ROUND(K98*L98*revleg_mid,0)*VLOOKUP(B98,country_opex,3,FALSE))+V98+W98+X98+Y98+Z98))&lt;=0,"",VLOOKUP(B98,country_opex,7,FALSE)/((S98*pax_cap*load_mid*ROUND(K98*L98*revleg_mid,0))-(((battery/range_nm)*D98*ROUND(K98*L98*revleg_mid,0)*VLOOKUP(B98,country_opex,3,FALSE))+V98+W98+X98+Y98+Z98)))</f>
        <v/>
      </c>
      <c r="AV98" s="43">
        <f>IF(((S98*pax_cap*load_full*ROUND(K98*L98*revleg_full,0))-(((battery/range_nm)*D98*ROUND(K98*L98*revleg_full,0)*VLOOKUP(B98,country_opex,3,FALSE))+V98+W98+X98+Y98+Z98))&lt;=0,"",VLOOKUP(B98,country_opex,7,FALSE)/((S98*pax_cap*load_full*ROUND(K98*L98*revleg_full,0))-(((battery/range_nm)*D98*ROUND(K98*L98*revleg_full,0)*VLOOKUP(B98,country_opex,3,FALSE))+V98+W98+X98+Y98+Z98)))</f>
        <v/>
      </c>
      <c r="AW98" s="44" t="inlineStr">
        <is>
          <t>handoff/INDIA-ECONOMICS-SIDECAR-V0-2026-06-20.json (andaman)</t>
        </is>
      </c>
      <c r="AX98" s="44" t="inlineStr">
        <is>
          <t>handoff/INDIA-ECONOMICS-SIDECAR-V0-2026-06-20.json (andaman)</t>
        </is>
      </c>
    </row>
    <row r="99">
      <c r="A99" s="29" t="inlineStr">
        <is>
          <t>India Kolkata Rapido</t>
        </is>
      </c>
      <c r="B99" s="29" t="inlineStr">
        <is>
          <t>India</t>
        </is>
      </c>
      <c r="C99" s="30" t="inlineStr">
        <is>
          <t>Millennium Park Jetty → Chandannagar Riverfront</t>
        </is>
      </c>
      <c r="D99" s="31" t="n">
        <v>17.9</v>
      </c>
      <c r="E99" s="26" t="n">
        <v>18</v>
      </c>
      <c r="F99" s="32" t="n"/>
      <c r="G99" s="32" t="n"/>
      <c r="H99" s="19" t="n">
        <v>1</v>
      </c>
      <c r="I99" s="33">
        <f>60*D99/cruise_kt</f>
        <v/>
      </c>
      <c r="J99" s="33">
        <f>I99+turn_min+dwell_min</f>
        <v/>
      </c>
      <c r="K99" s="34">
        <f>MIN(10,FLOOR(60*service_hr/J99,1))</f>
        <v/>
      </c>
      <c r="L99" s="34">
        <f>ROUND(365*mech_uptime*H99,0)</f>
        <v/>
      </c>
      <c r="M99" s="35">
        <f>mech_uptime</f>
        <v/>
      </c>
      <c r="N99" s="35">
        <f>revleg_sel</f>
        <v/>
      </c>
      <c r="O99" s="34">
        <f>ROUND(K99*L99*revleg_sel,0)</f>
        <v/>
      </c>
      <c r="P99" s="36">
        <f>load_sel</f>
        <v/>
      </c>
      <c r="Q99" s="36">
        <f>pax_cap*P99</f>
        <v/>
      </c>
      <c r="R99" s="34">
        <f>Q99*O99</f>
        <v/>
      </c>
      <c r="S99" s="37">
        <f>E99*discount</f>
        <v/>
      </c>
      <c r="T99" s="38">
        <f>S99*R99</f>
        <v/>
      </c>
      <c r="U99" s="38">
        <f>(battery/range_nm)*D99*O99*VLOOKUP(B99,country_opex,3,FALSE)</f>
        <v/>
      </c>
      <c r="V99" s="38">
        <f>VLOOKUP(B99,country_opex,2,FALSE)*crew_factor</f>
        <v/>
      </c>
      <c r="W99" s="38">
        <f>VLOOKUP(B99,country_opex,5,FALSE)</f>
        <v/>
      </c>
      <c r="X99" s="38">
        <f>maint</f>
        <v/>
      </c>
      <c r="Y99" s="38">
        <f>VLOOKUP(B99,country_opex,7,FALSE)*ins_pct</f>
        <v/>
      </c>
      <c r="Z99" s="38">
        <f>charge_berth</f>
        <v/>
      </c>
      <c r="AA99" s="38">
        <f>U99+V99+W99+X99+Y99+Z99</f>
        <v/>
      </c>
      <c r="AB99" s="38">
        <f>VLOOKUP(B99,country_opex,7,FALSE)/dep_years</f>
        <v/>
      </c>
      <c r="AC99" s="38">
        <f>T99-AA99</f>
        <v/>
      </c>
      <c r="AD99" s="35">
        <f>IF(T99=0,"",AC99/T99)</f>
        <v/>
      </c>
      <c r="AE99" s="36">
        <f>IF(AC99&lt;=0,"",VLOOKUP(B99,country_opex,7,FALSE)/AC99)</f>
        <v/>
      </c>
      <c r="AF99" s="33">
        <f>((D99*O99/diesel_nmpg)*diesel_co2pg-(battery/range_nm)*D99*O99*VLOOKUP(B99,country_opex,4,FALSE))/1000</f>
        <v/>
      </c>
      <c r="AG99" s="31" t="n">
        <v>1600000</v>
      </c>
      <c r="AH99" s="32" t="n"/>
      <c r="AI99" s="32" t="n"/>
      <c r="AJ99" s="39" t="n">
        <v>0.1</v>
      </c>
      <c r="AK99" s="34">
        <f>IF(AG99="","",AG99*AJ99)</f>
        <v/>
      </c>
      <c r="AL99" s="34">
        <f>IF(OR(AG99="",R99=0),"",MIN(IF(AS99="",9.9E+99,AS99),FLOOR(AK99/R99,1)))</f>
        <v/>
      </c>
      <c r="AM99" s="38">
        <f>IF(AL99="","",AL99*T99)</f>
        <v/>
      </c>
      <c r="AN99" s="36">
        <f>IF(OR(AG99="",R99=0),"",MIN(IF(AS99="",9.9E+99,AS99),AK99/R99))</f>
        <v/>
      </c>
      <c r="AO99" s="38">
        <f>IF(AN99="","",AN99*T99)</f>
        <v/>
      </c>
      <c r="AP99" s="40" t="n"/>
      <c r="AQ99" s="41" t="n"/>
      <c r="AR99" s="41" t="n"/>
      <c r="AS99" s="42" t="n"/>
      <c r="AT99" s="43">
        <f>IF(((S99*pax_cap*load_thin*ROUND(K99*L99*revleg_thin,0))-(((battery/range_nm)*D99*ROUND(K99*L99*revleg_thin,0)*VLOOKUP(B99,country_opex,3,FALSE))+V99+W99+X99+Y99+Z99))&lt;=0,"",VLOOKUP(B99,country_opex,7,FALSE)/((S99*pax_cap*load_thin*ROUND(K99*L99*revleg_thin,0))-(((battery/range_nm)*D99*ROUND(K99*L99*revleg_thin,0)*VLOOKUP(B99,country_opex,3,FALSE))+V99+W99+X99+Y99+Z99)))</f>
        <v/>
      </c>
      <c r="AU99" s="43">
        <f>IF(((S99*pax_cap*load_mid*ROUND(K99*L99*revleg_mid,0))-(((battery/range_nm)*D99*ROUND(K99*L99*revleg_mid,0)*VLOOKUP(B99,country_opex,3,FALSE))+V99+W99+X99+Y99+Z99))&lt;=0,"",VLOOKUP(B99,country_opex,7,FALSE)/((S99*pax_cap*load_mid*ROUND(K99*L99*revleg_mid,0))-(((battery/range_nm)*D99*ROUND(K99*L99*revleg_mid,0)*VLOOKUP(B99,country_opex,3,FALSE))+V99+W99+X99+Y99+Z99)))</f>
        <v/>
      </c>
      <c r="AV99" s="43">
        <f>IF(((S99*pax_cap*load_full*ROUND(K99*L99*revleg_full,0))-(((battery/range_nm)*D99*ROUND(K99*L99*revleg_full,0)*VLOOKUP(B99,country_opex,3,FALSE))+V99+W99+X99+Y99+Z99))&lt;=0,"",VLOOKUP(B99,country_opex,7,FALSE)/((S99*pax_cap*load_full*ROUND(K99*L99*revleg_full,0))-(((battery/range_nm)*D99*ROUND(K99*L99*revleg_full,0)*VLOOKUP(B99,country_opex,3,FALSE))+V99+W99+X99+Y99+Z99)))</f>
        <v/>
      </c>
      <c r="AW99" s="44" t="inlineStr">
        <is>
          <t xml:space="preserve">[LB-255 PREMIUM RE-FARE: subsidized comparable $2.5 lifted to premium on-demand floor $18.0] </t>
        </is>
      </c>
      <c r="AX99" s="44" t="n"/>
    </row>
    <row r="100">
      <c r="A100" s="29" t="inlineStr">
        <is>
          <t>India Andaman Rapido</t>
        </is>
      </c>
      <c r="B100" s="29" t="inlineStr">
        <is>
          <t>India</t>
        </is>
      </c>
      <c r="C100" s="30" t="inlineStr">
        <is>
          <t>Bambooflat Jetty → Shaheed Dweep Jetty</t>
        </is>
      </c>
      <c r="D100" s="31" t="n">
        <v>21.1</v>
      </c>
      <c r="E100" s="26" t="n">
        <v>22</v>
      </c>
      <c r="F100" s="32" t="inlineStr">
        <is>
          <t>T3</t>
        </is>
      </c>
      <c r="G100" s="32" t="inlineStr">
        <is>
          <t>med-low</t>
        </is>
      </c>
      <c r="H100" s="19" t="n">
        <v>1</v>
      </c>
      <c r="I100" s="33">
        <f>60*D100/cruise_kt</f>
        <v/>
      </c>
      <c r="J100" s="33">
        <f>I100+turn_min+dwell_min</f>
        <v/>
      </c>
      <c r="K100" s="34">
        <f>MIN(10,FLOOR(60*service_hr/J100,1))</f>
        <v/>
      </c>
      <c r="L100" s="34">
        <f>ROUND(365*mech_uptime*H100,0)</f>
        <v/>
      </c>
      <c r="M100" s="35">
        <f>mech_uptime</f>
        <v/>
      </c>
      <c r="N100" s="35">
        <f>revleg_sel</f>
        <v/>
      </c>
      <c r="O100" s="34">
        <f>ROUND(K100*L100*revleg_sel,0)</f>
        <v/>
      </c>
      <c r="P100" s="36">
        <f>load_sel</f>
        <v/>
      </c>
      <c r="Q100" s="36">
        <f>pax_cap*P100</f>
        <v/>
      </c>
      <c r="R100" s="34">
        <f>Q100*O100</f>
        <v/>
      </c>
      <c r="S100" s="37">
        <f>E100*discount</f>
        <v/>
      </c>
      <c r="T100" s="38">
        <f>S100*R100</f>
        <v/>
      </c>
      <c r="U100" s="38">
        <f>(battery/range_nm)*D100*O100*VLOOKUP(B100,country_opex,3,FALSE)</f>
        <v/>
      </c>
      <c r="V100" s="38">
        <f>VLOOKUP(B100,country_opex,2,FALSE)*crew_factor</f>
        <v/>
      </c>
      <c r="W100" s="38">
        <f>VLOOKUP(B100,country_opex,5,FALSE)</f>
        <v/>
      </c>
      <c r="X100" s="38">
        <f>maint</f>
        <v/>
      </c>
      <c r="Y100" s="38">
        <f>VLOOKUP(B100,country_opex,7,FALSE)*ins_pct</f>
        <v/>
      </c>
      <c r="Z100" s="38">
        <f>charge_berth</f>
        <v/>
      </c>
      <c r="AA100" s="38">
        <f>U100+V100+W100+X100+Y100+Z100</f>
        <v/>
      </c>
      <c r="AB100" s="38">
        <f>VLOOKUP(B100,country_opex,7,FALSE)/dep_years</f>
        <v/>
      </c>
      <c r="AC100" s="38">
        <f>T100-AA100</f>
        <v/>
      </c>
      <c r="AD100" s="35">
        <f>IF(T100=0,"",AC100/T100)</f>
        <v/>
      </c>
      <c r="AE100" s="36">
        <f>IF(AC100&lt;=0,"",VLOOKUP(B100,country_opex,7,FALSE)/AC100)</f>
        <v/>
      </c>
      <c r="AF100" s="33">
        <f>((D100*O100/diesel_nmpg)*diesel_co2pg-(battery/range_nm)*D100*O100*VLOOKUP(B100,country_opex,4,FALSE))/1000</f>
        <v/>
      </c>
      <c r="AG100" s="31" t="n">
        <v>5000</v>
      </c>
      <c r="AH100" s="32" t="inlineStr">
        <is>
          <t>T3</t>
        </is>
      </c>
      <c r="AI100" s="32" t="inlineStr">
        <is>
          <t>med-low</t>
        </is>
      </c>
      <c r="AJ100" s="39" t="n">
        <v>0.1</v>
      </c>
      <c r="AK100" s="34">
        <f>IF(AG100="","",AG100*AJ100)</f>
        <v/>
      </c>
      <c r="AL100" s="34">
        <f>IF(OR(AG100="",R100=0),"",MIN(IF(AS100="",9.9E+99,AS100),FLOOR(AK100/R100,1)))</f>
        <v/>
      </c>
      <c r="AM100" s="38">
        <f>IF(AL100="","",AL100*T100)</f>
        <v/>
      </c>
      <c r="AN100" s="36">
        <f>IF(OR(AG100="",R100=0),"",MIN(IF(AS100="",9.9E+99,AS100),AK100/R100))</f>
        <v/>
      </c>
      <c r="AO100" s="38">
        <f>IF(AN100="","",AN100*T100)</f>
        <v/>
      </c>
      <c r="AP100" s="40" t="n"/>
      <c r="AQ100" s="41" t="n"/>
      <c r="AR100" s="41" t="n"/>
      <c r="AS100" s="42" t="n"/>
      <c r="AT100" s="43">
        <f>IF(((S100*pax_cap*load_thin*ROUND(K100*L100*revleg_thin,0))-(((battery/range_nm)*D100*ROUND(K100*L100*revleg_thin,0)*VLOOKUP(B100,country_opex,3,FALSE))+V100+W100+X100+Y100+Z100))&lt;=0,"",VLOOKUP(B100,country_opex,7,FALSE)/((S100*pax_cap*load_thin*ROUND(K100*L100*revleg_thin,0))-(((battery/range_nm)*D100*ROUND(K100*L100*revleg_thin,0)*VLOOKUP(B100,country_opex,3,FALSE))+V100+W100+X100+Y100+Z100)))</f>
        <v/>
      </c>
      <c r="AU100" s="43">
        <f>IF(((S100*pax_cap*load_mid*ROUND(K100*L100*revleg_mid,0))-(((battery/range_nm)*D100*ROUND(K100*L100*revleg_mid,0)*VLOOKUP(B100,country_opex,3,FALSE))+V100+W100+X100+Y100+Z100))&lt;=0,"",VLOOKUP(B100,country_opex,7,FALSE)/((S100*pax_cap*load_mid*ROUND(K100*L100*revleg_mid,0))-(((battery/range_nm)*D100*ROUND(K100*L100*revleg_mid,0)*VLOOKUP(B100,country_opex,3,FALSE))+V100+W100+X100+Y100+Z100)))</f>
        <v/>
      </c>
      <c r="AV100" s="43">
        <f>IF(((S100*pax_cap*load_full*ROUND(K100*L100*revleg_full,0))-(((battery/range_nm)*D100*ROUND(K100*L100*revleg_full,0)*VLOOKUP(B100,country_opex,3,FALSE))+V100+W100+X100+Y100+Z100))&lt;=0,"",VLOOKUP(B100,country_opex,7,FALSE)/((S100*pax_cap*load_full*ROUND(K100*L100*revleg_full,0))-(((battery/range_nm)*D100*ROUND(K100*L100*revleg_full,0)*VLOOKUP(B100,country_opex,3,FALSE))+V100+W100+X100+Y100+Z100)))</f>
        <v/>
      </c>
      <c r="AW100" s="44" t="inlineStr">
        <is>
          <t>handoff/INDIA-ECONOMICS-SIDECAR-V0-2026-06-20.json (andaman)</t>
        </is>
      </c>
      <c r="AX100" s="44" t="inlineStr">
        <is>
          <t>handoff/INDIA-ECONOMICS-SIDECAR-V0-2026-06-20.json (andaman)</t>
        </is>
      </c>
    </row>
    <row r="101">
      <c r="A101" s="29" t="inlineStr">
        <is>
          <t>India Andaman Rapido</t>
        </is>
      </c>
      <c r="B101" s="29" t="inlineStr">
        <is>
          <t>India</t>
        </is>
      </c>
      <c r="C101" s="30" t="inlineStr">
        <is>
          <t>Andaman → Office Of Assistant Engineer Civil, Andaman Lakshdweep Harbour Work Havelock</t>
        </is>
      </c>
      <c r="D101" s="31" t="n">
        <v>28.2</v>
      </c>
      <c r="E101" s="26" t="n">
        <v>22</v>
      </c>
      <c r="F101" s="32" t="inlineStr">
        <is>
          <t>T3</t>
        </is>
      </c>
      <c r="G101" s="32" t="inlineStr">
        <is>
          <t>med-low</t>
        </is>
      </c>
      <c r="H101" s="19" t="n">
        <v>1</v>
      </c>
      <c r="I101" s="33">
        <f>60*D101/cruise_kt</f>
        <v/>
      </c>
      <c r="J101" s="33">
        <f>I101+turn_min+dwell_min</f>
        <v/>
      </c>
      <c r="K101" s="34">
        <f>MIN(10,FLOOR(60*service_hr/J101,1))</f>
        <v/>
      </c>
      <c r="L101" s="34">
        <f>ROUND(365*mech_uptime*H101,0)</f>
        <v/>
      </c>
      <c r="M101" s="35">
        <f>mech_uptime</f>
        <v/>
      </c>
      <c r="N101" s="35">
        <f>revleg_sel</f>
        <v/>
      </c>
      <c r="O101" s="34">
        <f>ROUND(K101*L101*revleg_sel,0)</f>
        <v/>
      </c>
      <c r="P101" s="36">
        <f>load_sel</f>
        <v/>
      </c>
      <c r="Q101" s="36">
        <f>pax_cap*P101</f>
        <v/>
      </c>
      <c r="R101" s="34">
        <f>Q101*O101</f>
        <v/>
      </c>
      <c r="S101" s="37">
        <f>E101*discount</f>
        <v/>
      </c>
      <c r="T101" s="38">
        <f>S101*R101</f>
        <v/>
      </c>
      <c r="U101" s="38">
        <f>(battery/range_nm)*D101*O101*VLOOKUP(B101,country_opex,3,FALSE)</f>
        <v/>
      </c>
      <c r="V101" s="38">
        <f>VLOOKUP(B101,country_opex,2,FALSE)*crew_factor</f>
        <v/>
      </c>
      <c r="W101" s="38">
        <f>VLOOKUP(B101,country_opex,5,FALSE)</f>
        <v/>
      </c>
      <c r="X101" s="38">
        <f>maint</f>
        <v/>
      </c>
      <c r="Y101" s="38">
        <f>VLOOKUP(B101,country_opex,7,FALSE)*ins_pct</f>
        <v/>
      </c>
      <c r="Z101" s="38">
        <f>charge_berth</f>
        <v/>
      </c>
      <c r="AA101" s="38">
        <f>U101+V101+W101+X101+Y101+Z101</f>
        <v/>
      </c>
      <c r="AB101" s="38">
        <f>VLOOKUP(B101,country_opex,7,FALSE)/dep_years</f>
        <v/>
      </c>
      <c r="AC101" s="38">
        <f>T101-AA101</f>
        <v/>
      </c>
      <c r="AD101" s="35">
        <f>IF(T101=0,"",AC101/T101)</f>
        <v/>
      </c>
      <c r="AE101" s="36">
        <f>IF(AC101&lt;=0,"",VLOOKUP(B101,country_opex,7,FALSE)/AC101)</f>
        <v/>
      </c>
      <c r="AF101" s="33">
        <f>((D101*O101/diesel_nmpg)*diesel_co2pg-(battery/range_nm)*D101*O101*VLOOKUP(B101,country_opex,4,FALSE))/1000</f>
        <v/>
      </c>
      <c r="AG101" s="31" t="n">
        <v>5000</v>
      </c>
      <c r="AH101" s="32" t="inlineStr">
        <is>
          <t>T3</t>
        </is>
      </c>
      <c r="AI101" s="32" t="inlineStr">
        <is>
          <t>med-low</t>
        </is>
      </c>
      <c r="AJ101" s="39" t="n">
        <v>0.1</v>
      </c>
      <c r="AK101" s="34">
        <f>IF(AG101="","",AG101*AJ101)</f>
        <v/>
      </c>
      <c r="AL101" s="34">
        <f>IF(OR(AG101="",R101=0),"",MIN(IF(AS101="",9.9E+99,AS101),FLOOR(AK101/R101,1)))</f>
        <v/>
      </c>
      <c r="AM101" s="38">
        <f>IF(AL101="","",AL101*T101)</f>
        <v/>
      </c>
      <c r="AN101" s="36">
        <f>IF(OR(AG101="",R101=0),"",MIN(IF(AS101="",9.9E+99,AS101),AK101/R101))</f>
        <v/>
      </c>
      <c r="AO101" s="38">
        <f>IF(AN101="","",AN101*T101)</f>
        <v/>
      </c>
      <c r="AP101" s="40" t="n"/>
      <c r="AQ101" s="41" t="n"/>
      <c r="AR101" s="41" t="n"/>
      <c r="AS101" s="42" t="n"/>
      <c r="AT101" s="43">
        <f>IF(((S101*pax_cap*load_thin*ROUND(K101*L101*revleg_thin,0))-(((battery/range_nm)*D101*ROUND(K101*L101*revleg_thin,0)*VLOOKUP(B101,country_opex,3,FALSE))+V101+W101+X101+Y101+Z101))&lt;=0,"",VLOOKUP(B101,country_opex,7,FALSE)/((S101*pax_cap*load_thin*ROUND(K101*L101*revleg_thin,0))-(((battery/range_nm)*D101*ROUND(K101*L101*revleg_thin,0)*VLOOKUP(B101,country_opex,3,FALSE))+V101+W101+X101+Y101+Z101)))</f>
        <v/>
      </c>
      <c r="AU101" s="43">
        <f>IF(((S101*pax_cap*load_mid*ROUND(K101*L101*revleg_mid,0))-(((battery/range_nm)*D101*ROUND(K101*L101*revleg_mid,0)*VLOOKUP(B101,country_opex,3,FALSE))+V101+W101+X101+Y101+Z101))&lt;=0,"",VLOOKUP(B101,country_opex,7,FALSE)/((S101*pax_cap*load_mid*ROUND(K101*L101*revleg_mid,0))-(((battery/range_nm)*D101*ROUND(K101*L101*revleg_mid,0)*VLOOKUP(B101,country_opex,3,FALSE))+V101+W101+X101+Y101+Z101)))</f>
        <v/>
      </c>
      <c r="AV101" s="43">
        <f>IF(((S101*pax_cap*load_full*ROUND(K101*L101*revleg_full,0))-(((battery/range_nm)*D101*ROUND(K101*L101*revleg_full,0)*VLOOKUP(B101,country_opex,3,FALSE))+V101+W101+X101+Y101+Z101))&lt;=0,"",VLOOKUP(B101,country_opex,7,FALSE)/((S101*pax_cap*load_full*ROUND(K101*L101*revleg_full,0))-(((battery/range_nm)*D101*ROUND(K101*L101*revleg_full,0)*VLOOKUP(B101,country_opex,3,FALSE))+V101+W101+X101+Y101+Z101)))</f>
        <v/>
      </c>
      <c r="AW101" s="44" t="inlineStr">
        <is>
          <t>handoff/INDIA-ECONOMICS-SIDECAR-V0-2026-06-20.json (andaman)</t>
        </is>
      </c>
      <c r="AX101" s="44" t="inlineStr">
        <is>
          <t>handoff/INDIA-ECONOMICS-SIDECAR-V0-2026-06-20.json (andaman)</t>
        </is>
      </c>
    </row>
    <row r="102">
      <c r="A102" s="29" t="inlineStr">
        <is>
          <t>India Andaman Rapido</t>
        </is>
      </c>
      <c r="B102" s="29" t="inlineStr">
        <is>
          <t>India</t>
        </is>
      </c>
      <c r="C102" s="30" t="inlineStr">
        <is>
          <t>Andaman → APARUPA SANDS MARINA</t>
        </is>
      </c>
      <c r="D102" s="31" t="n">
        <v>29.4</v>
      </c>
      <c r="E102" s="26" t="n">
        <v>22</v>
      </c>
      <c r="F102" s="32" t="inlineStr">
        <is>
          <t>T3</t>
        </is>
      </c>
      <c r="G102" s="32" t="inlineStr">
        <is>
          <t>med-low</t>
        </is>
      </c>
      <c r="H102" s="19" t="n">
        <v>1</v>
      </c>
      <c r="I102" s="33">
        <f>60*D102/cruise_kt</f>
        <v/>
      </c>
      <c r="J102" s="33">
        <f>I102+turn_min+dwell_min</f>
        <v/>
      </c>
      <c r="K102" s="34">
        <f>MIN(10,FLOOR(60*service_hr/J102,1))</f>
        <v/>
      </c>
      <c r="L102" s="34">
        <f>ROUND(365*mech_uptime*H102,0)</f>
        <v/>
      </c>
      <c r="M102" s="35">
        <f>mech_uptime</f>
        <v/>
      </c>
      <c r="N102" s="35">
        <f>revleg_sel</f>
        <v/>
      </c>
      <c r="O102" s="34">
        <f>ROUND(K102*L102*revleg_sel,0)</f>
        <v/>
      </c>
      <c r="P102" s="36">
        <f>load_sel</f>
        <v/>
      </c>
      <c r="Q102" s="36">
        <f>pax_cap*P102</f>
        <v/>
      </c>
      <c r="R102" s="34">
        <f>Q102*O102</f>
        <v/>
      </c>
      <c r="S102" s="37">
        <f>E102*discount</f>
        <v/>
      </c>
      <c r="T102" s="38">
        <f>S102*R102</f>
        <v/>
      </c>
      <c r="U102" s="38">
        <f>(battery/range_nm)*D102*O102*VLOOKUP(B102,country_opex,3,FALSE)</f>
        <v/>
      </c>
      <c r="V102" s="38">
        <f>VLOOKUP(B102,country_opex,2,FALSE)*crew_factor</f>
        <v/>
      </c>
      <c r="W102" s="38">
        <f>VLOOKUP(B102,country_opex,5,FALSE)</f>
        <v/>
      </c>
      <c r="X102" s="38">
        <f>maint</f>
        <v/>
      </c>
      <c r="Y102" s="38">
        <f>VLOOKUP(B102,country_opex,7,FALSE)*ins_pct</f>
        <v/>
      </c>
      <c r="Z102" s="38">
        <f>charge_berth</f>
        <v/>
      </c>
      <c r="AA102" s="38">
        <f>U102+V102+W102+X102+Y102+Z102</f>
        <v/>
      </c>
      <c r="AB102" s="38">
        <f>VLOOKUP(B102,country_opex,7,FALSE)/dep_years</f>
        <v/>
      </c>
      <c r="AC102" s="38">
        <f>T102-AA102</f>
        <v/>
      </c>
      <c r="AD102" s="35">
        <f>IF(T102=0,"",AC102/T102)</f>
        <v/>
      </c>
      <c r="AE102" s="36">
        <f>IF(AC102&lt;=0,"",VLOOKUP(B102,country_opex,7,FALSE)/AC102)</f>
        <v/>
      </c>
      <c r="AF102" s="33">
        <f>((D102*O102/diesel_nmpg)*diesel_co2pg-(battery/range_nm)*D102*O102*VLOOKUP(B102,country_opex,4,FALSE))/1000</f>
        <v/>
      </c>
      <c r="AG102" s="31" t="n">
        <v>5000</v>
      </c>
      <c r="AH102" s="32" t="inlineStr">
        <is>
          <t>T3</t>
        </is>
      </c>
      <c r="AI102" s="32" t="inlineStr">
        <is>
          <t>med-low</t>
        </is>
      </c>
      <c r="AJ102" s="39" t="n">
        <v>0.1</v>
      </c>
      <c r="AK102" s="34">
        <f>IF(AG102="","",AG102*AJ102)</f>
        <v/>
      </c>
      <c r="AL102" s="34">
        <f>IF(OR(AG102="",R102=0),"",MIN(IF(AS102="",9.9E+99,AS102),FLOOR(AK102/R102,1)))</f>
        <v/>
      </c>
      <c r="AM102" s="38">
        <f>IF(AL102="","",AL102*T102)</f>
        <v/>
      </c>
      <c r="AN102" s="36">
        <f>IF(OR(AG102="",R102=0),"",MIN(IF(AS102="",9.9E+99,AS102),AK102/R102))</f>
        <v/>
      </c>
      <c r="AO102" s="38">
        <f>IF(AN102="","",AN102*T102)</f>
        <v/>
      </c>
      <c r="AP102" s="40" t="n"/>
      <c r="AQ102" s="41" t="n"/>
      <c r="AR102" s="41" t="n"/>
      <c r="AS102" s="42" t="n"/>
      <c r="AT102" s="43">
        <f>IF(((S102*pax_cap*load_thin*ROUND(K102*L102*revleg_thin,0))-(((battery/range_nm)*D102*ROUND(K102*L102*revleg_thin,0)*VLOOKUP(B102,country_opex,3,FALSE))+V102+W102+X102+Y102+Z102))&lt;=0,"",VLOOKUP(B102,country_opex,7,FALSE)/((S102*pax_cap*load_thin*ROUND(K102*L102*revleg_thin,0))-(((battery/range_nm)*D102*ROUND(K102*L102*revleg_thin,0)*VLOOKUP(B102,country_opex,3,FALSE))+V102+W102+X102+Y102+Z102)))</f>
        <v/>
      </c>
      <c r="AU102" s="43">
        <f>IF(((S102*pax_cap*load_mid*ROUND(K102*L102*revleg_mid,0))-(((battery/range_nm)*D102*ROUND(K102*L102*revleg_mid,0)*VLOOKUP(B102,country_opex,3,FALSE))+V102+W102+X102+Y102+Z102))&lt;=0,"",VLOOKUP(B102,country_opex,7,FALSE)/((S102*pax_cap*load_mid*ROUND(K102*L102*revleg_mid,0))-(((battery/range_nm)*D102*ROUND(K102*L102*revleg_mid,0)*VLOOKUP(B102,country_opex,3,FALSE))+V102+W102+X102+Y102+Z102)))</f>
        <v/>
      </c>
      <c r="AV102" s="43">
        <f>IF(((S102*pax_cap*load_full*ROUND(K102*L102*revleg_full,0))-(((battery/range_nm)*D102*ROUND(K102*L102*revleg_full,0)*VLOOKUP(B102,country_opex,3,FALSE))+V102+W102+X102+Y102+Z102))&lt;=0,"",VLOOKUP(B102,country_opex,7,FALSE)/((S102*pax_cap*load_full*ROUND(K102*L102*revleg_full,0))-(((battery/range_nm)*D102*ROUND(K102*L102*revleg_full,0)*VLOOKUP(B102,country_opex,3,FALSE))+V102+W102+X102+Y102+Z102)))</f>
        <v/>
      </c>
      <c r="AW102" s="44" t="inlineStr">
        <is>
          <t>handoff/INDIA-ECONOMICS-SIDECAR-V0-2026-06-20.json (andaman)</t>
        </is>
      </c>
      <c r="AX102" s="44" t="inlineStr">
        <is>
          <t>handoff/INDIA-ECONOMICS-SIDECAR-V0-2026-06-20.json (andaman)</t>
        </is>
      </c>
    </row>
    <row r="103">
      <c r="A103" s="45" t="inlineStr">
        <is>
          <t>TOTAL / median</t>
        </is>
      </c>
      <c r="T103" s="46">
        <f>SUM(T4:T102)</f>
        <v/>
      </c>
      <c r="AC103" s="46">
        <f>SUM(AC4:AC102)</f>
        <v/>
      </c>
      <c r="AD103" s="47">
        <f>IF(T103=0,"",AC103/T103)</f>
        <v/>
      </c>
      <c r="AL103" s="48">
        <f>SUM(AL4:AL102)</f>
        <v/>
      </c>
      <c r="AM103" s="46">
        <f>SUM(AM4:AM102)</f>
        <v/>
      </c>
    </row>
    <row r="105">
      <c r="A105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06">
      <c r="A106" s="24" t="inlineStr">
        <is>
          <t>Market</t>
        </is>
      </c>
      <c r="B106" s="24" t="inlineStr">
        <is>
          <t>Fleet basis</t>
        </is>
      </c>
      <c r="C106" s="24" t="inlineStr">
        <is>
          <t>Raw vessels (sum)</t>
        </is>
      </c>
      <c r="D106" s="24" t="inlineStr">
        <is>
          <t>Fleet (rounded once)</t>
        </is>
      </c>
      <c r="E106" s="24" t="inlineStr">
        <is>
          <t>Market rev/yr (raw sum)</t>
        </is>
      </c>
    </row>
    <row r="107">
      <c r="A107" s="25" t="inlineStr">
        <is>
          <t>India Andaman Rapido</t>
        </is>
      </c>
      <c r="B107" s="13" t="inlineStr">
        <is>
          <t>network_sum / ceil</t>
        </is>
      </c>
      <c r="C107" s="23">
        <f>SUMIFS(AN4:AN102,A4:A102,"India Andaman Rapido",AP4:AP102,"=",AQ4:AQ102,"=",AR4:AR102,"=")</f>
        <v/>
      </c>
      <c r="D107" s="49">
        <f>IF(C107=0,0,CEILING(C107,1))</f>
        <v/>
      </c>
      <c r="E107" s="50">
        <f>SUMIFS(AO4:AO102,A4:A102,"India Andaman Rapido",AP4:AP102,"=",AQ4:AQ102,"=",AR4:AR102,"=")</f>
        <v/>
      </c>
    </row>
    <row r="108">
      <c r="A108" s="25" t="inlineStr">
        <is>
          <t>India Kolkata Rapido</t>
        </is>
      </c>
      <c r="B108" s="13" t="inlineStr">
        <is>
          <t>network_sum</t>
        </is>
      </c>
      <c r="C108" s="23">
        <f>SUMIFS(AN4:AN102,A4:A102,"India Kolkata Rapido",AP4:AP102,"=",AQ4:AQ102,"=",AR4:AR102,"=")</f>
        <v/>
      </c>
      <c r="D108" s="49">
        <f>ROUND(C108,0)</f>
        <v/>
      </c>
      <c r="E108" s="50">
        <f>SUMIFS(AO4:AO102,A4:A102,"India Kolkata Rapido",AP4:AP102,"=",AQ4:AQ102,"=",AR4:AR102,"=")</f>
        <v/>
      </c>
    </row>
    <row r="109">
      <c r="A109" s="25" t="inlineStr">
        <is>
          <t>India Goa Rapido</t>
        </is>
      </c>
      <c r="B109" s="13" t="inlineStr">
        <is>
          <t>network_sum / ceil</t>
        </is>
      </c>
      <c r="C109" s="23">
        <f>SUMIFS(AN4:AN102,A4:A102,"India Goa Rapido",AP4:AP102,"=",AQ4:AQ102,"=",AR4:AR102,"=")</f>
        <v/>
      </c>
      <c r="D109" s="49">
        <f>IF(C109=0,0,CEILING(C109,1))</f>
        <v/>
      </c>
      <c r="E109" s="50">
        <f>SUMIFS(AO4:AO102,A4:A102,"India Goa Rapido",AP4:AP102,"=",AQ4:AQ102,"=",AR4:AR102,"=")</f>
        <v/>
      </c>
    </row>
    <row r="110">
      <c r="A110" s="25" t="inlineStr">
        <is>
          <t>India Kerala Rapido</t>
        </is>
      </c>
      <c r="B110" s="13" t="inlineStr">
        <is>
          <t>network_sum / ceil</t>
        </is>
      </c>
      <c r="C110" s="23">
        <f>SUMIFS(AN4:AN102,A4:A102,"India Kerala Rapido",AP4:AP102,"=",AQ4:AQ102,"=",AR4:AR102,"=")</f>
        <v/>
      </c>
      <c r="D110" s="49">
        <f>IF(C110=0,0,CEILING(C110,1))</f>
        <v/>
      </c>
      <c r="E110" s="50">
        <f>SUMIFS(AO4:AO102,A4:A102,"India Kerala Rapido",AP4:AP102,"=",AQ4:AQ102,"=",AR4:AR102,"=")</f>
        <v/>
      </c>
    </row>
    <row r="111">
      <c r="A111" s="25" t="inlineStr">
        <is>
          <t>India Mumbai Rapido</t>
        </is>
      </c>
      <c r="B111" s="13" t="inlineStr">
        <is>
          <t>network_sum / ceil</t>
        </is>
      </c>
      <c r="C111" s="23">
        <f>SUMIFS(AN4:AN102,A4:A102,"India Mumbai Rapido",AP4:AP102,"=",AQ4:AQ102,"=",AR4:AR102,"=")</f>
        <v/>
      </c>
      <c r="D111" s="49">
        <f>IF(C111=0,0,CEILING(C111,1))</f>
        <v/>
      </c>
      <c r="E111" s="50">
        <f>SUMIFS(AO4:AO102,A4:A102,"India Mumbai Rapido",AP4:AP102,"=",AQ4:AQ102,"=",AR4:AR102,"=")</f>
        <v/>
      </c>
    </row>
    <row r="112">
      <c r="A112" s="25" t="inlineStr">
        <is>
          <t>India Chennai Rapido</t>
        </is>
      </c>
      <c r="B112" s="13" t="inlineStr">
        <is>
          <t>network_sum</t>
        </is>
      </c>
      <c r="C112" s="23">
        <f>SUMIFS(AN4:AN102,A4:A102,"India Chennai Rapido",AP4:AP102,"=",AQ4:AQ102,"=",AR4:AR102,"=")</f>
        <v/>
      </c>
      <c r="D112" s="49">
        <f>ROUND(C112,0)</f>
        <v/>
      </c>
      <c r="E112" s="50">
        <f>SUMIFS(AO4:AO102,A4:A102,"India Chennai Rapido",AP4:AP102,"=",AQ4:AQ102,"=",AR4:AR102,"=")</f>
        <v/>
      </c>
    </row>
    <row r="113">
      <c r="A113" s="45" t="inlineStr">
        <is>
          <t>GROUNDED FLOOR (PUBLISHED)</t>
        </is>
      </c>
      <c r="D113" s="48">
        <f>SUM(D107:D112)</f>
        <v/>
      </c>
      <c r="E113" s="46">
        <f>SUM(E107:E112)</f>
        <v/>
      </c>
    </row>
    <row r="115">
      <c r="A115" s="51" t="inlineStr">
        <is>
          <t>Held for Quanta-LR (&gt;70nm, roadmap H2 2026+):</t>
        </is>
      </c>
      <c r="C115" s="52" t="inlineStr">
        <is>
          <t>Chennai Port WQIV Cruise Terminal → Cuddalore Port (90.0nm)</t>
        </is>
      </c>
    </row>
    <row r="116">
      <c r="C116" s="52" t="inlineStr">
        <is>
          <t>Chennai Port WQIV Cruise Terminal → Puducherry Port (76.6nm)</t>
        </is>
      </c>
    </row>
    <row r="117">
      <c r="C117" s="52" t="inlineStr">
        <is>
          <t>Goa → Mumbai (213.3nm)</t>
        </is>
      </c>
    </row>
  </sheetData>
  <mergeCells count="2">
    <mergeCell ref="A105:L105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3" t="inlineStr">
        <is>
          <t>Note</t>
        </is>
      </c>
      <c r="B26" s="5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2026-06-21T14:51:17Z</dcterms:created>
  <dcterms:modified xsi:type="dcterms:W3CDTF">2026-06-21T14:51:17Z</dcterms:modified>
</cp:coreProperties>
</file>