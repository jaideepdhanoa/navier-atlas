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economics'!$D$57</definedName>
    <definedName name="som_floor_rev">'Corridor economics'!$E$57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Noon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United Arab Emirates</t>
        </is>
      </c>
      <c r="B4" s="27" t="n">
        <v>40000</v>
      </c>
      <c r="C4" s="28" t="n">
        <v>0.08500000000000001</v>
      </c>
      <c r="D4" s="20" t="n">
        <v>0.4</v>
      </c>
      <c r="E4" s="27" t="n">
        <v>22000</v>
      </c>
      <c r="F4" s="20" t="n">
        <v>0.74</v>
      </c>
      <c r="G4" s="27" t="n">
        <v>600000</v>
      </c>
      <c r="H4" s="15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6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Noon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Uae Noon</t>
        </is>
      </c>
      <c r="B4" s="31" t="inlineStr">
        <is>
          <t>United Arab Emirates</t>
        </is>
      </c>
      <c r="C4" s="32" t="inlineStr">
        <is>
          <t>One&amp;Only The Palm Jetty → Jumeirah Zabeel Saray Jetty</t>
        </is>
      </c>
      <c r="D4" s="33" t="n">
        <v>0.5</v>
      </c>
      <c r="E4" s="27" t="n">
        <v>130</v>
      </c>
      <c r="F4" s="34" t="inlineStr">
        <is>
          <t>T5</t>
        </is>
      </c>
      <c r="G4" s="34" t="inlineStr">
        <is>
          <t>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25000</v>
      </c>
      <c r="AI4" s="34" t="inlineStr">
        <is>
          <t>T3</t>
        </is>
      </c>
      <c r="AJ4" s="34" t="inlineStr">
        <is>
          <t>low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Palm ultra-lux cluster (One&amp;Only&lt;-&gt;Zabeel Saray). Road-served. T5/low.</t>
        </is>
      </c>
      <c r="AZ4" s="46" t="inlineStr">
        <is>
          <t>UAE-DEMAND-ANCHORS-2026-06-17.json — tier-based addressable pool derived from sourcing wave anchors (hotel keys × occ × shuttle adoption, marina activity, RTA marine baseline).</t>
        </is>
      </c>
      <c r="BA4" s="34" t="inlineStr">
        <is>
          <t>rn-1ec5dd6a2bb4</t>
        </is>
      </c>
    </row>
    <row r="5">
      <c r="A5" s="31" t="inlineStr">
        <is>
          <t>Uae Noon</t>
        </is>
      </c>
      <c r="B5" s="31" t="inlineStr">
        <is>
          <t>United Arab Emirates</t>
        </is>
      </c>
      <c r="C5" s="32" t="inlineStr">
        <is>
          <t>Dubai Harbour Marina → Bluewaters Marina</t>
        </is>
      </c>
      <c r="D5" s="33" t="n">
        <v>1.1</v>
      </c>
      <c r="E5" s="27" t="n">
        <v>45</v>
      </c>
      <c r="F5" s="34" t="inlineStr">
        <is>
          <t>T1</t>
        </is>
      </c>
      <c r="G5" s="34" t="inlineStr">
        <is>
          <t>high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200000</v>
      </c>
      <c r="AI5" s="34" t="inlineStr">
        <is>
          <t>T5</t>
        </is>
      </c>
      <c r="AJ5" s="34" t="inlineStr">
        <is>
          <t>low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RTA/Dubai-Ferry official ladder (R-RTA, T1): Water Taxi on-demand single AED 150/pax = $40.8; Dubai Ferry Gold AED 75 = $20.4, Silver AED 50 = $13.6; Water Bus AED 7; Abra AED 1. dubai-ferry.com / rta.ae 2025/26. Bluewaters/Ain Dubai is a genuine water-served island attraction adjacent to Dubai Marina.</t>
        </is>
      </c>
      <c r="AZ5" s="46" t="inlineStr">
        <is>
          <t>RTA marine = 18.4M riders 2025 (WAM, T1); bulk are ~1km Creek abras (R3-ABRA, different micro-corridor). Premium non-abra modes a small fraction.</t>
        </is>
      </c>
      <c r="BA5" s="34" t="inlineStr">
        <is>
          <t>rn-dcc7d4c3b9f9</t>
        </is>
      </c>
    </row>
    <row r="6">
      <c r="A6" s="31" t="inlineStr">
        <is>
          <t>Uae Noon</t>
        </is>
      </c>
      <c r="B6" s="31" t="inlineStr">
        <is>
          <t>United Arab Emirates</t>
        </is>
      </c>
      <c r="C6" s="32" t="inlineStr">
        <is>
          <t>Kempinski Hotel &amp; Residences Palm Jumeirah Jetty → Atlantis The Palm Jetty</t>
        </is>
      </c>
      <c r="D6" s="33" t="n">
        <v>1.2</v>
      </c>
      <c r="E6" s="27" t="n">
        <v>130</v>
      </c>
      <c r="F6" s="34" t="inlineStr">
        <is>
          <t>T5</t>
        </is>
      </c>
      <c r="G6" s="34" t="inlineStr">
        <is>
          <t>low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30000</v>
      </c>
      <c r="AI6" s="34" t="inlineStr">
        <is>
          <t>T3</t>
        </is>
      </c>
      <c r="AJ6" s="34" t="inlineStr">
        <is>
          <t>low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Palm resort cluster (Kempinski&lt;-&gt;Atlantis). Road-served. T5/low.</t>
        </is>
      </c>
      <c r="AZ6" s="46" t="inlineStr">
        <is>
          <t>UAE-DEMAND-ANCHORS-2026-06-17.json — tier-based addressable pool derived from sourcing wave anchors (hotel keys × occ × shuttle adoption, marina activity, RTA marine baseline).</t>
        </is>
      </c>
      <c r="BA6" s="34" t="inlineStr">
        <is>
          <t>rn-04c94f935684</t>
        </is>
      </c>
    </row>
    <row r="7">
      <c r="A7" s="31" t="inlineStr">
        <is>
          <t>Uae Noon</t>
        </is>
      </c>
      <c r="B7" s="31" t="inlineStr">
        <is>
          <t>United Arab Emirates</t>
        </is>
      </c>
      <c r="C7" s="32" t="inlineStr">
        <is>
          <t>La Mer / J1 Beach Jetty → Nikki Beach Resort Pearl Jumeirah Jetty</t>
        </is>
      </c>
      <c r="D7" s="33" t="n">
        <v>1.2</v>
      </c>
      <c r="E7" s="27" t="n">
        <v>110</v>
      </c>
      <c r="F7" s="34" t="inlineStr">
        <is>
          <t>T5</t>
        </is>
      </c>
      <c r="G7" s="34" t="inlineStr">
        <is>
          <t>low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25000</v>
      </c>
      <c r="AI7" s="34" t="inlineStr">
        <is>
          <t>T3</t>
        </is>
      </c>
      <c r="AJ7" s="34" t="inlineStr">
        <is>
          <t>low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Urban Dubai beach-club leisure hop. Road-served. T5/low.</t>
        </is>
      </c>
      <c r="AZ7" s="46" t="inlineStr">
        <is>
          <t>UAE-DEMAND-ANCHORS-2026-06-17.json — tier-based addressable pool derived from sourcing wave anchors (hotel keys × occ × shuttle adoption, marina activity, RTA marine baseline).</t>
        </is>
      </c>
      <c r="BA7" s="34" t="inlineStr">
        <is>
          <t>rn-9349160e716f</t>
        </is>
      </c>
    </row>
    <row r="8">
      <c r="A8" s="31" t="inlineStr">
        <is>
          <t>Uae Noon</t>
        </is>
      </c>
      <c r="B8" s="31" t="inlineStr">
        <is>
          <t>United Arab Emirates</t>
        </is>
      </c>
      <c r="C8" s="32" t="inlineStr">
        <is>
          <t>Palm Jumeirah Marina West → Atlantis The Palm Jetty</t>
        </is>
      </c>
      <c r="D8" s="33" t="n">
        <v>1.3</v>
      </c>
      <c r="E8" s="27" t="n">
        <v>150</v>
      </c>
      <c r="F8" s="34" t="inlineStr">
        <is>
          <t>T5</t>
        </is>
      </c>
      <c r="G8" s="34" t="inlineStr">
        <is>
          <t>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120000</v>
      </c>
      <c r="AI8" s="34" t="inlineStr">
        <is>
          <t>T2</t>
        </is>
      </c>
      <c r="AJ8" s="34" t="inlineStr">
        <is>
          <t>medium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Atlantis The Palm (1,544 rooms) road-served; premium marine arrival opportunity-to-create. T5/low.</t>
        </is>
      </c>
      <c r="AZ8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8" s="34" t="inlineStr">
        <is>
          <t>rn-b49c885ed913</t>
        </is>
      </c>
    </row>
    <row r="9">
      <c r="A9" s="31" t="inlineStr">
        <is>
          <t>Uae Noon</t>
        </is>
      </c>
      <c r="B9" s="31" t="inlineStr">
        <is>
          <t>United Arab Emirates</t>
        </is>
      </c>
      <c r="C9" s="32" t="inlineStr">
        <is>
          <t>Dubai Creek Marina → Al Seef Marine Transport Station</t>
        </is>
      </c>
      <c r="D9" s="33" t="n">
        <v>1.5</v>
      </c>
      <c r="E9" s="27" t="n">
        <v>41</v>
      </c>
      <c r="F9" s="34" t="inlineStr">
        <is>
          <t>T1</t>
        </is>
      </c>
      <c r="G9" s="34" t="inlineStr">
        <is>
          <t>high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120000</v>
      </c>
      <c r="AI9" s="34" t="inlineStr">
        <is>
          <t>T5</t>
        </is>
      </c>
      <c r="AJ9" s="34" t="inlineStr">
        <is>
          <t>low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RTA/Dubai-Ferry official ladder (R-RTA, T1): Water Taxi on-demand single AED 150/pax = $40.8; Dubai Ferry Gold AED 75 = $20.4, Silver AED 50 = $13.6; Water Bus AED 7; Abra AED 1. dubai-ferry.com / rta.ae 2025/26. Creek Marina&lt;-&gt;Al Seef is an operating RTA marine corridor.</t>
        </is>
      </c>
      <c r="AZ9" s="46" t="inlineStr">
        <is>
          <t>18.4M RTA marine is ~all sub-1km abras (R3-ABRA); premium water-taxi/ferry tier is a small fraction.</t>
        </is>
      </c>
      <c r="BA9" s="34" t="inlineStr">
        <is>
          <t>rn-355d8ba3c15a</t>
        </is>
      </c>
    </row>
    <row r="10">
      <c r="A10" s="31" t="inlineStr">
        <is>
          <t>Uae Noon</t>
        </is>
      </c>
      <c r="B10" s="31" t="inlineStr">
        <is>
          <t>United Arab Emirates</t>
        </is>
      </c>
      <c r="C10" s="32" t="inlineStr">
        <is>
          <t>Yacht Marina → The Westin Dubai Mina Seyahi Beach Resort &amp; Marina</t>
        </is>
      </c>
      <c r="D10" s="33" t="n">
        <v>1.5</v>
      </c>
      <c r="E10" s="27" t="n">
        <v>95</v>
      </c>
      <c r="F10" s="34" t="inlineStr">
        <is>
          <t>T4</t>
        </is>
      </c>
      <c r="G10" s="34" t="inlineStr">
        <is>
          <t>low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25000</v>
      </c>
      <c r="AI10" s="34" t="inlineStr">
        <is>
          <t>T3</t>
        </is>
      </c>
      <c r="AJ10" s="34" t="inlineStr">
        <is>
          <t>low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RTA/Dubai-Ferry official ladder (R-RTA, T1): Water Taxi on-demand single AED 150/pax = $40.8; Dubai Ferry Gold AED 75 = $20.4, Silver AED 50 = $13.6; Water Bus AED 7; Abra AED 1. dubai-ferry.com / rta.ae 2025/26. Dubai Marina (Mina Seyahi) premium resort hop.</t>
        </is>
      </c>
      <c r="AZ10" s="46" t="inlineStr">
        <is>
          <t>UAE-DEMAND-ANCHORS-2026-06-17.json — tier-based addressable pool derived from sourcing wave anchors (hotel keys × occ × shuttle adoption, marina activity, RTA marine baseline).</t>
        </is>
      </c>
      <c r="BA10" s="34" t="inlineStr">
        <is>
          <t>rn-1347ee2ca13f</t>
        </is>
      </c>
    </row>
    <row r="11">
      <c r="A11" s="31" t="inlineStr">
        <is>
          <t>Uae Noon</t>
        </is>
      </c>
      <c r="B11" s="31" t="inlineStr">
        <is>
          <t>United Arab Emirates</t>
        </is>
      </c>
      <c r="C11" s="32" t="inlineStr">
        <is>
          <t>Marina Mall / Breakwater Marina → Lulu Island Jetty</t>
        </is>
      </c>
      <c r="D11" s="33" t="n">
        <v>1.7</v>
      </c>
      <c r="E11" s="27" t="n">
        <v>45</v>
      </c>
      <c r="F11" s="34" t="inlineStr">
        <is>
          <t>T4</t>
        </is>
      </c>
      <c r="G11" s="34" t="inlineStr">
        <is>
          <t>low</t>
        </is>
      </c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20000</v>
      </c>
      <c r="AI11" s="34" t="inlineStr">
        <is>
          <t>T5</t>
        </is>
      </c>
      <c r="AJ11" s="34" t="inlineStr">
        <is>
          <t>low</t>
        </is>
      </c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>RTA/Dubai-Ferry official ladder (R-RTA, T1): Water Taxi on-demand single AED 150/pax = $40.8; Dubai Ferry Gold AED 75 = $20.4, Silver AED 50 = $13.6; Water Bus AED 7; Abra AED 1. dubai-ferry.com / rta.ae 2025/26. Lulu Island - boat-only undeveloped island fronting the Corniche.</t>
        </is>
      </c>
      <c r="AZ11" s="46" t="inlineStr">
        <is>
          <t>Lulu boat-only (R3-EXCEPTION) but undeveloped/limited-access -&gt; small day-visit pool.</t>
        </is>
      </c>
      <c r="BA11" s="34" t="inlineStr">
        <is>
          <t>rn-4d0113ef1fd5</t>
        </is>
      </c>
    </row>
    <row r="12">
      <c r="A12" s="31" t="inlineStr">
        <is>
          <t>Uae Noon</t>
        </is>
      </c>
      <c r="B12" s="31" t="inlineStr">
        <is>
          <t>United Arab Emirates</t>
        </is>
      </c>
      <c r="C12" s="32" t="inlineStr">
        <is>
          <t>Dubai Harbour Marina → Palm Jumeirah Marina West</t>
        </is>
      </c>
      <c r="D12" s="33" t="n">
        <v>2.1</v>
      </c>
      <c r="E12" s="27" t="n">
        <v>48</v>
      </c>
      <c r="F12" s="34" t="inlineStr">
        <is>
          <t>T1</t>
        </is>
      </c>
      <c r="G12" s="34" t="inlineStr">
        <is>
          <t>high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35000</v>
      </c>
      <c r="AI12" s="34" t="inlineStr">
        <is>
          <t>T3</t>
        </is>
      </c>
      <c r="AJ12" s="34" t="inlineStr">
        <is>
          <t>low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RTA/Dubai-Ferry official ladder (R-RTA, T1): Water Taxi on-demand single AED 150/pax = $40.8; Dubai Ferry Gold AED 75 = $20.4, Silver AED 50 = $13.6; Water Bus AED 7; Abra AED 1. dubai-ferry.com / rta.ae 2025/26. Palm Jumeirah served by RTA Water Taxi + Dubai Ferry.</t>
        </is>
      </c>
      <c r="AZ12" s="46" t="inlineStr">
        <is>
          <t>UAE-DEMAND-ANCHORS-2026-06-17.json — tier-based addressable pool derived from sourcing wave anchors (hotel keys × occ × shuttle adoption, marina activity, RTA marine baseline).</t>
        </is>
      </c>
      <c r="BA12" s="34" t="inlineStr">
        <is>
          <t>rn-42aa1791bb60</t>
        </is>
      </c>
    </row>
    <row r="13">
      <c r="A13" s="31" t="inlineStr">
        <is>
          <t>Uae Noon</t>
        </is>
      </c>
      <c r="B13" s="31" t="inlineStr">
        <is>
          <t>United Arab Emirates</t>
        </is>
      </c>
      <c r="C13" s="32" t="inlineStr">
        <is>
          <t>Al Bateen Marina → Emirates Palace Marina</t>
        </is>
      </c>
      <c r="D13" s="33" t="n">
        <v>2.2</v>
      </c>
      <c r="E13" s="27" t="n">
        <v>150</v>
      </c>
      <c r="F13" s="34" t="inlineStr">
        <is>
          <t>T5</t>
        </is>
      </c>
      <c r="G13" s="34" t="inlineStr">
        <is>
          <t>low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20000</v>
      </c>
      <c r="AI13" s="34" t="inlineStr">
        <is>
          <t>T3</t>
        </is>
      </c>
      <c r="AJ13" s="34" t="inlineStr">
        <is>
          <t>low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Emirates Palace (flagship AD luxury hotel) marina arrival; road-served; opportunity-to-create. T5/low.</t>
        </is>
      </c>
      <c r="AZ13" s="46" t="inlineStr">
        <is>
          <t>UAE-DEMAND-ANCHORS-2026-06-17.json — tier-based addressable pool derived from sourcing wave anchors (hotel keys × occ × shuttle adoption, marina activity, RTA marine baseline).</t>
        </is>
      </c>
      <c r="BA13" s="34" t="inlineStr">
        <is>
          <t>rn-afe7eee97714</t>
        </is>
      </c>
    </row>
    <row r="14">
      <c r="A14" s="31" t="inlineStr">
        <is>
          <t>Uae Noon</t>
        </is>
      </c>
      <c r="B14" s="31" t="inlineStr">
        <is>
          <t>United Arab Emirates</t>
        </is>
      </c>
      <c r="C14" s="32" t="inlineStr">
        <is>
          <t>Côte d'Azur Resort Marina (Heart of Europe) → Anantara World Islands Resort Jetty (planned)</t>
        </is>
      </c>
      <c r="D14" s="33" t="n">
        <v>2.4</v>
      </c>
      <c r="E14" s="27" t="n">
        <v>150</v>
      </c>
      <c r="F14" s="34" t="inlineStr">
        <is>
          <t>T5</t>
        </is>
      </c>
      <c r="G14" s="34" t="inlineStr">
        <is>
          <t>low</t>
        </is>
      </c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25000</v>
      </c>
      <c r="AI14" s="34" t="inlineStr">
        <is>
          <t>T3</t>
        </is>
      </c>
      <c r="AJ14" s="34" t="inlineStr">
        <is>
          <t>low</t>
        </is>
      </c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>Intra-The-World offshore hop; both boat-only. Greenfield premium per-seat. T5/low.</t>
        </is>
      </c>
      <c r="AZ14" s="46" t="inlineStr">
        <is>
          <t>UAE-DEMAND-ANCHORS-2026-06-17.json — tier-based addressable pool derived from sourcing wave anchors (hotel keys × occ × shuttle adoption, marina activity, RTA marine baseline).</t>
        </is>
      </c>
      <c r="BA14" s="34" t="inlineStr">
        <is>
          <t>rn-af9d261fd724</t>
        </is>
      </c>
    </row>
    <row r="15">
      <c r="A15" s="31" t="inlineStr">
        <is>
          <t>Uae Noon</t>
        </is>
      </c>
      <c r="B15" s="31" t="inlineStr">
        <is>
          <t>United Arab Emirates</t>
        </is>
      </c>
      <c r="C15" s="32" t="inlineStr">
        <is>
          <t>Bulgari Yacht Club &amp; Marina → La Mer / J1 Beach Jetty</t>
        </is>
      </c>
      <c r="D15" s="33" t="n">
        <v>2.6</v>
      </c>
      <c r="E15" s="27" t="n">
        <v>120</v>
      </c>
      <c r="F15" s="34" t="inlineStr">
        <is>
          <t>T5</t>
        </is>
      </c>
      <c r="G15" s="34" t="inlineStr">
        <is>
          <t>low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30000</v>
      </c>
      <c r="AI15" s="34" t="inlineStr">
        <is>
          <t>T3</t>
        </is>
      </c>
      <c r="AJ15" s="34" t="inlineStr">
        <is>
          <t>low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Urban Dubai beach-club leisure hop (Bulgari Bay&lt;-&gt;La Mer/J1). Road-served. T5/low.</t>
        </is>
      </c>
      <c r="AZ15" s="46" t="inlineStr">
        <is>
          <t>UAE-DEMAND-ANCHORS-2026-06-17.json — tier-based addressable pool derived from sourcing wave anchors (hotel keys × occ × shuttle adoption, marina activity, RTA marine baseline).</t>
        </is>
      </c>
      <c r="BA15" s="34" t="inlineStr">
        <is>
          <t>rn-faac84ea1206</t>
        </is>
      </c>
    </row>
    <row r="16">
      <c r="A16" s="31" t="inlineStr">
        <is>
          <t>Uae Noon</t>
        </is>
      </c>
      <c r="B16" s="31" t="inlineStr">
        <is>
          <t>United Arab Emirates</t>
        </is>
      </c>
      <c r="C16" s="32" t="inlineStr">
        <is>
          <t>Marina Mall / Breakwater Marina → Al Bateen Marina</t>
        </is>
      </c>
      <c r="D16" s="33" t="n">
        <v>2.6</v>
      </c>
      <c r="E16" s="27" t="n">
        <v>45</v>
      </c>
      <c r="F16" s="34" t="inlineStr">
        <is>
          <t>T4</t>
        </is>
      </c>
      <c r="G16" s="34" t="inlineStr">
        <is>
          <t>low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50000</v>
      </c>
      <c r="AI16" s="34" t="inlineStr">
        <is>
          <t>T3</t>
        </is>
      </c>
      <c r="AJ16" s="34" t="inlineStr">
        <is>
          <t>low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RTA/Dubai-Ferry official ladder (R-RTA, T1): Water Taxi on-demand single AED 150/pax = $40.8; Dubai Ferry Gold AED 75 = $20.4, Silver AED 50 = $13.6; Water Bus AED 7; Abra AED 1. dubai-ferry.com / rta.ae 2025/26. Al Bateen Marina, AD.</t>
        </is>
      </c>
      <c r="AZ16" s="46" t="inlineStr">
        <is>
          <t>UAE-DEMAND-ANCHORS-2026-06-17.json — tier-based addressable pool derived from sourcing wave anchors (hotel keys × occ × shuttle adoption, marina activity, RTA marine baseline).</t>
        </is>
      </c>
      <c r="BA16" s="34" t="inlineStr">
        <is>
          <t>rn-aef40f1a50bb</t>
        </is>
      </c>
    </row>
    <row r="17">
      <c r="A17" s="31" t="inlineStr">
        <is>
          <t>Uae Noon</t>
        </is>
      </c>
      <c r="B17" s="31" t="inlineStr">
        <is>
          <t>United Arab Emirates</t>
        </is>
      </c>
      <c r="C17" s="32" t="inlineStr">
        <is>
          <t>Dubai Harbour Marina → Anantara The Palm Dubai Jetty</t>
        </is>
      </c>
      <c r="D17" s="33" t="n">
        <v>3.4</v>
      </c>
      <c r="E17" s="27" t="n"/>
      <c r="F17" s="34" t="n"/>
      <c r="G17" s="34" t="n"/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/>
      <c r="AI17" s="34" t="n"/>
      <c r="AJ17" s="34" t="n"/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Estimated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n"/>
      <c r="AZ17" s="46" t="n"/>
      <c r="BA17" s="34" t="inlineStr">
        <is>
          <t>rn-b0d5e6498ee4</t>
        </is>
      </c>
    </row>
    <row r="18">
      <c r="A18" s="31" t="inlineStr">
        <is>
          <t>Uae Noon</t>
        </is>
      </c>
      <c r="B18" s="31" t="inlineStr">
        <is>
          <t>United Arab Emirates</t>
        </is>
      </c>
      <c r="C18" s="32" t="inlineStr">
        <is>
          <t>Al Bateen Marina → Hudayriat Marina</t>
        </is>
      </c>
      <c r="D18" s="33" t="n">
        <v>3.6</v>
      </c>
      <c r="E18" s="27" t="n">
        <v>90</v>
      </c>
      <c r="F18" s="34" t="inlineStr">
        <is>
          <t>T4</t>
        </is>
      </c>
      <c r="G18" s="34" t="inlineStr">
        <is>
          <t>low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35000</v>
      </c>
      <c r="AI18" s="34" t="inlineStr">
        <is>
          <t>T3</t>
        </is>
      </c>
      <c r="AJ18" s="34" t="inlineStr">
        <is>
          <t>low</t>
        </is>
      </c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RTA/Dubai-Ferry official ladder (R-RTA, T1): Water Taxi on-demand single AED 150/pax = $40.8; Dubai Ferry Gold AED 75 = $20.4, Silver AED 50 = $13.6; Water Bus AED 7; Abra AED 1. dubai-ferry.com / rta.ae 2025/26. Hudayriat Island leisure/beach destination, AD.</t>
        </is>
      </c>
      <c r="AZ18" s="46" t="inlineStr">
        <is>
          <t>UAE-DEMAND-ANCHORS-2026-06-17.json — tier-based addressable pool derived from sourcing wave anchors (hotel keys × occ × shuttle adoption, marina activity, RTA marine baseline).</t>
        </is>
      </c>
      <c r="BA18" s="34" t="inlineStr">
        <is>
          <t>rn-0721cde8d55b</t>
        </is>
      </c>
    </row>
    <row r="19">
      <c r="A19" s="31" t="inlineStr">
        <is>
          <t>Uae Noon</t>
        </is>
      </c>
      <c r="B19" s="31" t="inlineStr">
        <is>
          <t>United Arab Emirates</t>
        </is>
      </c>
      <c r="C19" s="32" t="inlineStr">
        <is>
          <t>Côte d'Azur Resort Marina (Heart of Europe) → Bulgari Yacht Club &amp; Marina</t>
        </is>
      </c>
      <c r="D19" s="33" t="n">
        <v>4.2</v>
      </c>
      <c r="E19" s="27" t="n">
        <v>150</v>
      </c>
      <c r="F19" s="34" t="inlineStr">
        <is>
          <t>T5</t>
        </is>
      </c>
      <c r="G19" s="34" t="inlineStr">
        <is>
          <t>low</t>
        </is>
      </c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20000</v>
      </c>
      <c r="AI19" s="34" t="inlineStr">
        <is>
          <t>T3</t>
        </is>
      </c>
      <c r="AJ19" s="34" t="inlineStr">
        <is>
          <t>low</t>
        </is>
      </c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Grounded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inlineStr">
        <is>
          <t>The World (boat-only)&lt;-&gt;Bulgari (Jumeirah Bay) luxury hop. Greenfield. T5/low.</t>
        </is>
      </c>
      <c r="AZ19" s="46" t="inlineStr">
        <is>
          <t>UAE-DEMAND-ANCHORS-2026-06-17.json — tier-based addressable pool derived from sourcing wave anchors (hotel keys × occ × shuttle adoption, marina activity, RTA marine baseline).</t>
        </is>
      </c>
      <c r="BA19" s="34" t="inlineStr">
        <is>
          <t>rn-122e1872dd04</t>
        </is>
      </c>
    </row>
    <row r="20">
      <c r="A20" s="31" t="inlineStr">
        <is>
          <t>Uae Noon</t>
        </is>
      </c>
      <c r="B20" s="31" t="inlineStr">
        <is>
          <t>United Arab Emirates</t>
        </is>
      </c>
      <c r="C20" s="32" t="inlineStr">
        <is>
          <t>Saadiyat Beach Club Jetty → Zaya Nurai Island Jetty</t>
        </is>
      </c>
      <c r="D20" s="33" t="n">
        <v>4.4</v>
      </c>
      <c r="E20" s="27" t="n">
        <v>150</v>
      </c>
      <c r="F20" s="34" t="inlineStr">
        <is>
          <t>T3</t>
        </is>
      </c>
      <c r="G20" s="34" t="inlineStr">
        <is>
          <t>med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>
        <v>45000</v>
      </c>
      <c r="AI20" s="34" t="inlineStr">
        <is>
          <t>T5</t>
        </is>
      </c>
      <c r="AJ20" s="34" t="inlineStr">
        <is>
          <t>low</t>
        </is>
      </c>
      <c r="AK20" s="41" t="n">
        <v>0.1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Grounded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inlineStr">
        <is>
          <t>Saadiyat Beach Club-&gt;Zaya Nurai Island (4.4nm). WATER-ONLY (12-15min boat from Saadiyat; boat-only, 32 villas + 23 residences). Day-pass + transfer redemption ladder; premium per-seat $150.</t>
        </is>
      </c>
      <c r="AZ20" s="46" t="inlineStr">
        <is>
          <t>Boat-only -&gt; FULLY addressable (R3-EXCEPTION). 32 villas + 23 residences stay-pool + day-club guests (major Saadiyat day-trip).</t>
        </is>
      </c>
      <c r="BA20" s="34" t="inlineStr">
        <is>
          <t>rn-444748135d1b</t>
        </is>
      </c>
    </row>
    <row r="21">
      <c r="A21" s="31" t="inlineStr">
        <is>
          <t>Uae Noon</t>
        </is>
      </c>
      <c r="B21" s="31" t="inlineStr">
        <is>
          <t>United Arab Emirates</t>
        </is>
      </c>
      <c r="C21" s="32" t="inlineStr">
        <is>
          <t>Dubai Harbour Marina → Atlantis The Royal Jetty</t>
        </is>
      </c>
      <c r="D21" s="33" t="n">
        <v>4.9</v>
      </c>
      <c r="E21" s="27" t="n">
        <v>175</v>
      </c>
      <c r="F21" s="34" t="inlineStr">
        <is>
          <t>T5</t>
        </is>
      </c>
      <c r="G21" s="34" t="inlineStr">
        <is>
          <t>low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>
        <v>10000</v>
      </c>
      <c r="AI21" s="34" t="inlineStr">
        <is>
          <t>T5</t>
        </is>
      </c>
      <c r="AJ21" s="34" t="inlineStr">
        <is>
          <t>low</t>
        </is>
      </c>
      <c r="AK21" s="41" t="n">
        <v>0.1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Grounded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inlineStr">
        <is>
          <t>Atlantis The Royal (795 keys) road-served; signature marine arrival opportunity-to-create. T5/low.</t>
        </is>
      </c>
      <c r="AZ21" s="46" t="inlineStr">
        <is>
          <t>OPT-IN luxury-arrival fraction only (R3-LAND road-served). 795 keys x occ -&gt; small opt-in marine pool.</t>
        </is>
      </c>
      <c r="BA21" s="34" t="inlineStr">
        <is>
          <t>rn-fe3fdf5c23c4</t>
        </is>
      </c>
    </row>
    <row r="22">
      <c r="A22" s="31" t="inlineStr">
        <is>
          <t>Uae Noon</t>
        </is>
      </c>
      <c r="B22" s="31" t="inlineStr">
        <is>
          <t>United Arab Emirates</t>
        </is>
      </c>
      <c r="C22" s="32" t="inlineStr">
        <is>
          <t>Jebel Dhanna / Ruwais Ferry Terminal → Sir Bani Yas Cruise Port</t>
        </is>
      </c>
      <c r="D22" s="33" t="n">
        <v>5.3</v>
      </c>
      <c r="E22" s="27" t="n">
        <v>90</v>
      </c>
      <c r="F22" s="34" t="inlineStr">
        <is>
          <t>T5</t>
        </is>
      </c>
      <c r="G22" s="34" t="inlineStr">
        <is>
          <t>low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60000</v>
      </c>
      <c r="AI22" s="34" t="inlineStr">
        <is>
          <t>T5</t>
        </is>
      </c>
      <c r="AJ22" s="34" t="inlineStr">
        <is>
          <t>low</t>
        </is>
      </c>
      <c r="AK22" s="41" t="n">
        <v>0.1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Grounded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inlineStr">
        <is>
          <t>Sir Bani Yas boat-only (~8km offshore). 3 Anantara resorts ~124 keys. Guest boat transfer FREE today (R-UAE-1) -&gt; $90 opportunity-to-create / day-guest analog. T5/low.</t>
        </is>
      </c>
      <c r="AZ22" s="46" t="inlineStr">
        <is>
          <t>Sir Bani Yas boat-only (R3-EXCEPTION). 3 Anantara resorts ~124 keys + Arabian Wildlife Park day-visitors via Jebel Dhanna ferry.</t>
        </is>
      </c>
      <c r="BA22" s="34" t="inlineStr">
        <is>
          <t>rn-08f29522c5f2</t>
        </is>
      </c>
    </row>
    <row r="23">
      <c r="A23" s="31" t="inlineStr">
        <is>
          <t>Uae Noon</t>
        </is>
      </c>
      <c r="B23" s="31" t="inlineStr">
        <is>
          <t>United Arab Emirates</t>
        </is>
      </c>
      <c r="C23" s="32" t="inlineStr">
        <is>
          <t>Dubai Harbour Marina → Burj Al Arab Private Jetty</t>
        </is>
      </c>
      <c r="D23" s="33" t="n">
        <v>6.9</v>
      </c>
      <c r="E23" s="27" t="n">
        <v>250</v>
      </c>
      <c r="F23" s="34" t="inlineStr">
        <is>
          <t>T5</t>
        </is>
      </c>
      <c r="G23" s="34" t="inlineStr">
        <is>
          <t>low</t>
        </is>
      </c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Korea",FLOOR(60*korea_service_hr/K23,1),MIN(15,FLOOR(60*service_hr/K23,1)))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>
        <v>5000</v>
      </c>
      <c r="AI23" s="34" t="inlineStr">
        <is>
          <t>T5</t>
        </is>
      </c>
      <c r="AJ23" s="34" t="inlineStr">
        <is>
          <t>low</t>
        </is>
      </c>
      <c r="AK23" s="41" t="n">
        <v>0.1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Grounded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inlineStr">
        <is>
          <t>Burj Al Arab (202 suites) road-served; iconic signature marine arrival. T5/low.</t>
        </is>
      </c>
      <c r="AZ23" s="46" t="inlineStr">
        <is>
          <t>OPT-IN only (R3-LAND). 202 suites x occ -&gt; modest base + experiential day-guest yacht-arrivals.</t>
        </is>
      </c>
      <c r="BA23" s="34" t="inlineStr">
        <is>
          <t>rn-06eef0dc0a9a</t>
        </is>
      </c>
    </row>
    <row r="24">
      <c r="A24" s="31" t="inlineStr">
        <is>
          <t>Uae Noon</t>
        </is>
      </c>
      <c r="B24" s="31" t="inlineStr">
        <is>
          <t>United Arab Emirates</t>
        </is>
      </c>
      <c r="C24" s="32" t="inlineStr">
        <is>
          <t>Marina Mall / Breakwater Marina → Reem Island Marina (Najmat / Marina Square)</t>
        </is>
      </c>
      <c r="D24" s="33" t="n">
        <v>7.1</v>
      </c>
      <c r="E24" s="27" t="n">
        <v>60</v>
      </c>
      <c r="F24" s="34" t="inlineStr">
        <is>
          <t>T4</t>
        </is>
      </c>
      <c r="G24" s="34" t="inlineStr">
        <is>
          <t>low</t>
        </is>
      </c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>
        <v>35000</v>
      </c>
      <c r="AI24" s="34" t="inlineStr">
        <is>
          <t>T3</t>
        </is>
      </c>
      <c r="AJ24" s="34" t="inlineStr">
        <is>
          <t>low</t>
        </is>
      </c>
      <c r="AK24" s="41" t="n">
        <v>0.1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Grounded</t>
        </is>
      </c>
      <c r="AS24" s="43" t="n"/>
      <c r="AT24" s="43" t="n"/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inlineStr">
        <is>
          <t>RTA/Dubai-Ferry official ladder (R-RTA, T1): Water Taxi on-demand single AED 150/pax = $40.8; Dubai Ferry Gold AED 75 = $20.4, Silver AED 50 = $13.6; Water Bus AED 7; Abra AED 1. dubai-ferry.com / rta.ae 2025/26. Reem Island (Najmat/Marina Square).</t>
        </is>
      </c>
      <c r="AZ24" s="46" t="inlineStr">
        <is>
          <t>UAE-DEMAND-ANCHORS-2026-06-17.json — tier-based addressable pool derived from sourcing wave anchors (hotel keys × occ × shuttle adoption, marina activity, RTA marine baseline).</t>
        </is>
      </c>
      <c r="BA24" s="34" t="inlineStr">
        <is>
          <t>rn-4a56839963b5</t>
        </is>
      </c>
    </row>
    <row r="25">
      <c r="A25" s="31" t="inlineStr">
        <is>
          <t>Uae Noon</t>
        </is>
      </c>
      <c r="B25" s="31" t="inlineStr">
        <is>
          <t>United Arab Emirates</t>
        </is>
      </c>
      <c r="C25" s="32" t="inlineStr">
        <is>
          <t>Dubai Harbour Marina → Anantara World Islands Resort Jetty (planned)</t>
        </is>
      </c>
      <c r="D25" s="33" t="n">
        <v>7.9</v>
      </c>
      <c r="E25" s="27" t="n">
        <v>80</v>
      </c>
      <c r="F25" s="34" t="inlineStr">
        <is>
          <t>T4</t>
        </is>
      </c>
      <c r="G25" s="34" t="inlineStr">
        <is>
          <t>low</t>
        </is>
      </c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Korea",FLOOR(60*korea_service_hr/K25,1),MIN(15,FLOOR(60*service_hr/K25,1)))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>
        <v>30000</v>
      </c>
      <c r="AI25" s="34" t="inlineStr">
        <is>
          <t>T5</t>
        </is>
      </c>
      <c r="AJ25" s="34" t="inlineStr">
        <is>
          <t>low</t>
        </is>
      </c>
      <c r="AK25" s="41" t="n">
        <v>0.1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Grounded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inlineStr">
        <is>
          <t>Anantara World Islands Resort (boat-only; Forbes/Expedia 'accessible only by boat'). Resort shuttle ~AED 150/pax RETURN (~$20/way); premium per-seat modeled $80.</t>
        </is>
      </c>
      <c r="AZ25" s="46" t="inlineStr">
        <is>
          <t>Boot-only -&gt; arrivals=crossing ridership FULLY addressable (R3-EXCEPTION). ~70 keys x ~65% occ + day-guests.</t>
        </is>
      </c>
      <c r="BA25" s="34" t="inlineStr">
        <is>
          <t>rn-a0295522defb</t>
        </is>
      </c>
    </row>
    <row r="26">
      <c r="A26" s="31" t="inlineStr">
        <is>
          <t>Uae Noon</t>
        </is>
      </c>
      <c r="B26" s="31" t="inlineStr">
        <is>
          <t>United Arab Emirates</t>
        </is>
      </c>
      <c r="C26" s="32" t="inlineStr">
        <is>
          <t>Saadiyat Beach Club Jetty → Marina Mall / Breakwater Marina</t>
        </is>
      </c>
      <c r="D26" s="33" t="n">
        <v>8.9</v>
      </c>
      <c r="E26" s="27" t="n">
        <v>70</v>
      </c>
      <c r="F26" s="34" t="inlineStr">
        <is>
          <t>T4</t>
        </is>
      </c>
      <c r="G26" s="34" t="inlineStr">
        <is>
          <t>low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Korea",FLOOR(60*korea_service_hr/K26,1),MIN(15,FLOOR(60*service_hr/K26,1)))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>
        <v>25000</v>
      </c>
      <c r="AI26" s="34" t="inlineStr">
        <is>
          <t>T3</t>
        </is>
      </c>
      <c r="AJ26" s="34" t="inlineStr">
        <is>
          <t>low</t>
        </is>
      </c>
      <c r="AK26" s="41" t="n">
        <v>0.1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Grounded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inlineStr">
        <is>
          <t>RTA/Dubai-Ferry official ladder (R-RTA, T1): Water Taxi on-demand single AED 150/pax = $40.8; Dubai Ferry Gold AED 75 = $20.4, Silver AED 50 = $13.6; Water Bus AED 7; Abra AED 1. dubai-ferry.com / rta.ae 2025/26. AD Corniche&lt;-&gt;Saadiyat marine hop.</t>
        </is>
      </c>
      <c r="AZ26" s="46" t="inlineStr">
        <is>
          <t>UAE-DEMAND-ANCHORS-2026-06-17.json — tier-based addressable pool derived from sourcing wave anchors (hotel keys × occ × shuttle adoption, marina activity, RTA marine baseline).</t>
        </is>
      </c>
      <c r="BA26" s="34" t="inlineStr">
        <is>
          <t>rn-6b584e8b2049</t>
        </is>
      </c>
    </row>
    <row r="27">
      <c r="A27" s="31" t="inlineStr">
        <is>
          <t>Uae Noon</t>
        </is>
      </c>
      <c r="B27" s="31" t="inlineStr">
        <is>
          <t>United Arab Emirates</t>
        </is>
      </c>
      <c r="C27" s="32" t="inlineStr">
        <is>
          <t>Dubai Harbour Marina → Côte d'Azur Resort Marina (Heart of Europe)</t>
        </is>
      </c>
      <c r="D27" s="33" t="n">
        <v>9.199999999999999</v>
      </c>
      <c r="E27" s="27" t="n">
        <v>175</v>
      </c>
      <c r="F27" s="34" t="inlineStr">
        <is>
          <t>T5</t>
        </is>
      </c>
      <c r="G27" s="34" t="inlineStr">
        <is>
          <t>low</t>
        </is>
      </c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Korea",FLOOR(60*korea_service_hr/K27,1),MIN(15,FLOOR(60*service_hr/K27,1)))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>
        <v>70000</v>
      </c>
      <c r="AI27" s="34" t="inlineStr">
        <is>
          <t>T2</t>
        </is>
      </c>
      <c r="AJ27" s="34" t="inlineStr">
        <is>
          <t>medium</t>
        </is>
      </c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Grounded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inlineStr">
        <is>
          <t>The World (Heart of Europe/Cote d'Azur) boat-only offshore. Shared per-seat $56-120/pax; resort transfers bundled. T5/low - opportunity-to-create.</t>
        </is>
      </c>
      <c r="AZ27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27" s="34" t="inlineStr">
        <is>
          <t>rn-12f09bd4d4d6</t>
        </is>
      </c>
    </row>
    <row r="28">
      <c r="A28" s="31" t="inlineStr">
        <is>
          <t>Uae Noon</t>
        </is>
      </c>
      <c r="B28" s="31" t="inlineStr">
        <is>
          <t>United Arab Emirates</t>
        </is>
      </c>
      <c r="C28" s="32" t="inlineStr">
        <is>
          <t>Vida Beach Resort Umm Al Quwain → Sharjah Waterfront City marina</t>
        </is>
      </c>
      <c r="D28" s="33" t="n">
        <v>9.6</v>
      </c>
      <c r="E28" s="27" t="n">
        <v>48</v>
      </c>
      <c r="F28" s="34" t="inlineStr">
        <is>
          <t>T3</t>
        </is>
      </c>
      <c r="G28" s="34" t="inlineStr">
        <is>
          <t>med-low</t>
        </is>
      </c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Korea",FLOOR(60*korea_service_hr/K28,1),MIN(15,FLOOR(60*service_hr/K28,1)))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>
        <v>35000</v>
      </c>
      <c r="AI28" s="34" t="inlineStr">
        <is>
          <t>T3</t>
        </is>
      </c>
      <c r="AJ28" s="34" t="inlineStr">
        <is>
          <t>med-low</t>
        </is>
      </c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Grounded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inlineStr">
        <is>
          <t>uae-careem demand ladder + PR #58 Noon route seal (Careem-style super_app)</t>
        </is>
      </c>
      <c r="AZ28" s="46" t="inlineStr">
        <is>
          <t>uae-careem demand ladder + PR #58 Noon route seal (Careem-style super_app)</t>
        </is>
      </c>
      <c r="BA28" s="34" t="inlineStr">
        <is>
          <t>rn-02a40748974d</t>
        </is>
      </c>
    </row>
    <row r="29">
      <c r="A29" s="31" t="inlineStr">
        <is>
          <t>Uae Noon</t>
        </is>
      </c>
      <c r="B29" s="31" t="inlineStr">
        <is>
          <t>United Arab Emirates</t>
        </is>
      </c>
      <c r="C29" s="32" t="inlineStr">
        <is>
          <t>Bluewaters Marina → Heart of Europe — Main Marina (The World)</t>
        </is>
      </c>
      <c r="D29" s="33" t="n">
        <v>9.880000000000001</v>
      </c>
      <c r="E29" s="27" t="n">
        <v>175</v>
      </c>
      <c r="F29" s="34" t="inlineStr">
        <is>
          <t>T5</t>
        </is>
      </c>
      <c r="G29" s="34" t="inlineStr">
        <is>
          <t>low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>
        <v>20000</v>
      </c>
      <c r="AI29" s="34" t="inlineStr">
        <is>
          <t>T3</t>
        </is>
      </c>
      <c r="AJ29" s="34" t="inlineStr">
        <is>
          <t>low</t>
        </is>
      </c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Grounded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inlineStr">
        <is>
          <t>The World (Heart of Europe) boat-only offshore; greenfield. T5/low.</t>
        </is>
      </c>
      <c r="AZ29" s="46" t="inlineStr">
        <is>
          <t>UAE-DEMAND-ANCHORS-2026-06-17.json — tier-based addressable pool derived from sourcing wave anchors (hotel keys × occ × shuttle adoption, marina activity, RTA marine baseline).</t>
        </is>
      </c>
      <c r="BA29" s="34" t="inlineStr">
        <is>
          <t>rn-5a196635c94f</t>
        </is>
      </c>
    </row>
    <row r="30">
      <c r="A30" s="31" t="inlineStr">
        <is>
          <t>Uae Noon</t>
        </is>
      </c>
      <c r="B30" s="31" t="inlineStr">
        <is>
          <t>United Arab Emirates</t>
        </is>
      </c>
      <c r="C30" s="32" t="inlineStr">
        <is>
          <t>Dubai Harbour Marina → Bulgari Yacht Club &amp; Marina</t>
        </is>
      </c>
      <c r="D30" s="33" t="n">
        <v>10.2</v>
      </c>
      <c r="E30" s="27" t="n">
        <v>200</v>
      </c>
      <c r="F30" s="34" t="inlineStr">
        <is>
          <t>T5</t>
        </is>
      </c>
      <c r="G30" s="34" t="inlineStr">
        <is>
          <t>low</t>
        </is>
      </c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>
        <v>4000</v>
      </c>
      <c r="AI30" s="34" t="inlineStr">
        <is>
          <t>T5</t>
        </is>
      </c>
      <c r="AJ30" s="34" t="inlineStr">
        <is>
          <t>low</t>
        </is>
      </c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Grounded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inlineStr">
        <is>
          <t>Bulgari Resort Dubai ~129 keys + Bulgari Yacht Club &amp; Marina; road-served. T5/low.</t>
        </is>
      </c>
      <c r="AZ30" s="46" t="inlineStr">
        <is>
          <t>OPT-IN only (R3-LAND). ~129-key resort + yacht-club members.</t>
        </is>
      </c>
      <c r="BA30" s="34" t="inlineStr">
        <is>
          <t>rn-f1a7150d087e</t>
        </is>
      </c>
    </row>
    <row r="31">
      <c r="A31" s="31" t="inlineStr">
        <is>
          <t>Uae Noon</t>
        </is>
      </c>
      <c r="B31" s="31" t="inlineStr">
        <is>
          <t>United Arab Emirates</t>
        </is>
      </c>
      <c r="C31" s="32" t="inlineStr">
        <is>
          <t>Emirates Palace Marina → Saadiyat Beach Club Jetty</t>
        </is>
      </c>
      <c r="D31" s="33" t="n">
        <v>10.4</v>
      </c>
      <c r="E31" s="27" t="n">
        <v>175</v>
      </c>
      <c r="F31" s="34" t="inlineStr">
        <is>
          <t>T5</t>
        </is>
      </c>
      <c r="G31" s="34" t="inlineStr">
        <is>
          <t>low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Korea",FLOOR(60*korea_service_hr/K31,1),MIN(15,FLOOR(60*service_hr/K31,1)))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>
        <v>3000</v>
      </c>
      <c r="AI31" s="34" t="inlineStr">
        <is>
          <t>T5</t>
        </is>
      </c>
      <c r="AJ31" s="34" t="inlineStr">
        <is>
          <t>low</t>
        </is>
      </c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Grounded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inlineStr">
        <is>
          <t>Emirates Palace&lt;-&gt;Saadiyat experiential luxury hop; both road-served. T5/low.</t>
        </is>
      </c>
      <c r="AZ31" s="46" t="inlineStr">
        <is>
          <t>OPT-IN only (R3-LAND: both road-served). Experiential luxury hop.</t>
        </is>
      </c>
      <c r="BA31" s="34" t="inlineStr">
        <is>
          <t>rn-9d65d29a88ec</t>
        </is>
      </c>
    </row>
    <row r="32">
      <c r="A32" s="31" t="inlineStr">
        <is>
          <t>Uae Noon</t>
        </is>
      </c>
      <c r="B32" s="31" t="inlineStr">
        <is>
          <t>United Arab Emirates</t>
        </is>
      </c>
      <c r="C32" s="32" t="inlineStr">
        <is>
          <t>Fujairah → Khorfakkan Corniche / Port</t>
        </is>
      </c>
      <c r="D32" s="33" t="n">
        <v>11.4</v>
      </c>
      <c r="E32" s="27" t="n">
        <v>48</v>
      </c>
      <c r="F32" s="34" t="inlineStr">
        <is>
          <t>T3</t>
        </is>
      </c>
      <c r="G32" s="34" t="inlineStr">
        <is>
          <t>med-low</t>
        </is>
      </c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Korea",FLOOR(60*korea_service_hr/K32,1),MIN(15,FLOOR(60*service_hr/K32,1)))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>
        <v>35000</v>
      </c>
      <c r="AI32" s="34" t="inlineStr">
        <is>
          <t>T3</t>
        </is>
      </c>
      <c r="AJ32" s="34" t="inlineStr">
        <is>
          <t>med-low</t>
        </is>
      </c>
      <c r="AK32" s="41" t="n">
        <v>0.1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Grounded</t>
        </is>
      </c>
      <c r="AS32" s="43" t="n"/>
      <c r="AT32" s="43" t="n"/>
      <c r="AU32" s="44" t="n"/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inlineStr">
        <is>
          <t>uae-careem demand ladder + PR #58 Noon route seal (Careem-style super_app)</t>
        </is>
      </c>
      <c r="AZ32" s="46" t="inlineStr">
        <is>
          <t>uae-careem demand ladder + PR #58 Noon route seal (Careem-style super_app)</t>
        </is>
      </c>
      <c r="BA32" s="34" t="inlineStr">
        <is>
          <t>rn-bc685bdb0da3</t>
        </is>
      </c>
    </row>
    <row r="33">
      <c r="A33" s="31" t="inlineStr">
        <is>
          <t>Uae Noon</t>
        </is>
      </c>
      <c r="B33" s="31" t="inlineStr">
        <is>
          <t>United Arab Emirates</t>
        </is>
      </c>
      <c r="C33" s="32" t="inlineStr">
        <is>
          <t>Dubai Harbour Marina → Nikki Beach Resort Pearl Jumeirah Jetty</t>
        </is>
      </c>
      <c r="D33" s="33" t="n">
        <v>11.9</v>
      </c>
      <c r="E33" s="27" t="n">
        <v>48</v>
      </c>
      <c r="F33" s="34" t="inlineStr">
        <is>
          <t>T3</t>
        </is>
      </c>
      <c r="G33" s="34" t="inlineStr">
        <is>
          <t>med-low</t>
        </is>
      </c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Korea",FLOOR(60*korea_service_hr/K33,1),MIN(15,FLOOR(60*service_hr/K33,1)))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>
        <v>35000</v>
      </c>
      <c r="AI33" s="34" t="inlineStr">
        <is>
          <t>T3</t>
        </is>
      </c>
      <c r="AJ33" s="34" t="inlineStr">
        <is>
          <t>med-low</t>
        </is>
      </c>
      <c r="AK33" s="41" t="n">
        <v>0.1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Grounded</t>
        </is>
      </c>
      <c r="AS33" s="43" t="n"/>
      <c r="AT33" s="43" t="n"/>
      <c r="AU33" s="44" t="n"/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inlineStr">
        <is>
          <t>uae-careem demand ladder + PR #58 Noon route seal (Careem-style super_app)</t>
        </is>
      </c>
      <c r="AZ33" s="46" t="inlineStr">
        <is>
          <t>uae-careem demand ladder + PR #58 Noon route seal (Careem-style super_app)</t>
        </is>
      </c>
      <c r="BA33" s="34" t="inlineStr">
        <is>
          <t>rn-b1ba183aa886</t>
        </is>
      </c>
    </row>
    <row r="34">
      <c r="A34" s="31" t="inlineStr">
        <is>
          <t>Uae Noon</t>
        </is>
      </c>
      <c r="B34" s="31" t="inlineStr">
        <is>
          <t>United Arab Emirates</t>
        </is>
      </c>
      <c r="C34" s="32" t="inlineStr">
        <is>
          <t>Ras Al Khaimah → ميناء صيادين غليلة</t>
        </is>
      </c>
      <c r="D34" s="33" t="n">
        <v>11.9</v>
      </c>
      <c r="E34" s="27" t="n">
        <v>48</v>
      </c>
      <c r="F34" s="34" t="inlineStr">
        <is>
          <t>T3</t>
        </is>
      </c>
      <c r="G34" s="34" t="inlineStr">
        <is>
          <t>med-low</t>
        </is>
      </c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>
        <v>35000</v>
      </c>
      <c r="AI34" s="34" t="inlineStr">
        <is>
          <t>T3</t>
        </is>
      </c>
      <c r="AJ34" s="34" t="inlineStr">
        <is>
          <t>med-low</t>
        </is>
      </c>
      <c r="AK34" s="41" t="n">
        <v>0.1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Grounded</t>
        </is>
      </c>
      <c r="AS34" s="43" t="n"/>
      <c r="AT34" s="43" t="n"/>
      <c r="AU34" s="44" t="n"/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inlineStr">
        <is>
          <t>uae-careem demand ladder + PR #58 Noon route seal (Careem-style super_app)</t>
        </is>
      </c>
      <c r="AZ34" s="46" t="inlineStr">
        <is>
          <t>uae-careem demand ladder + PR #58 Noon route seal (Careem-style super_app)</t>
        </is>
      </c>
      <c r="BA34" s="34" t="inlineStr">
        <is>
          <t>rn-d61bc3c848d9</t>
        </is>
      </c>
    </row>
    <row r="35">
      <c r="A35" s="31" t="inlineStr">
        <is>
          <t>Uae Noon</t>
        </is>
      </c>
      <c r="B35" s="31" t="inlineStr">
        <is>
          <t>United Arab Emirates</t>
        </is>
      </c>
      <c r="C35" s="32" t="inlineStr">
        <is>
          <t>Dubai Marina → Downtown / Dubai Creek</t>
        </is>
      </c>
      <c r="D35" s="33" t="n">
        <v>12</v>
      </c>
      <c r="E35" s="27" t="n"/>
      <c r="F35" s="34" t="n"/>
      <c r="G35" s="34" t="n"/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/>
      <c r="AI35" s="34" t="n"/>
      <c r="AJ35" s="34" t="n"/>
      <c r="AK35" s="41" t="n">
        <v>0.1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Estimated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n"/>
      <c r="AZ35" s="46" t="n"/>
      <c r="BA35" s="34" t="inlineStr">
        <is>
          <t>gcn-cf6ba343d2-bolt</t>
        </is>
      </c>
    </row>
    <row r="36">
      <c r="A36" s="31" t="inlineStr">
        <is>
          <t>Uae Noon</t>
        </is>
      </c>
      <c r="B36" s="31" t="inlineStr">
        <is>
          <t>United Arab Emirates</t>
        </is>
      </c>
      <c r="C36" s="32" t="inlineStr">
        <is>
          <t>Dubai Marina → Downtown Creek</t>
        </is>
      </c>
      <c r="D36" s="33" t="n">
        <v>12</v>
      </c>
      <c r="E36" s="27" t="n"/>
      <c r="F36" s="34" t="n"/>
      <c r="G36" s="34" t="n"/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Korea",FLOOR(60*korea_service_hr/K36,1),MIN(15,FLOOR(60*service_hr/K36,1)))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/>
      <c r="AI36" s="34" t="n"/>
      <c r="AJ36" s="34" t="n"/>
      <c r="AK36" s="41" t="n">
        <v>0.1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Estimated</t>
        </is>
      </c>
      <c r="AS36" s="43" t="n"/>
      <c r="AT36" s="43" t="n"/>
      <c r="AU36" s="44" t="n"/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n"/>
      <c r="AZ36" s="46" t="n"/>
      <c r="BA36" s="34" t="inlineStr">
        <is>
          <t>gcn-1662e39eb7-careem</t>
        </is>
      </c>
    </row>
    <row r="37">
      <c r="A37" s="31" t="inlineStr">
        <is>
          <t>Uae Noon</t>
        </is>
      </c>
      <c r="B37" s="31" t="inlineStr">
        <is>
          <t>United Arab Emirates</t>
        </is>
      </c>
      <c r="C37" s="32" t="inlineStr">
        <is>
          <t>Yas Marina → Four Seasons Al Maryah Jetty</t>
        </is>
      </c>
      <c r="D37" s="33" t="n">
        <v>12.4</v>
      </c>
      <c r="E37" s="27" t="n">
        <v>48</v>
      </c>
      <c r="F37" s="34" t="inlineStr">
        <is>
          <t>T3</t>
        </is>
      </c>
      <c r="G37" s="34" t="inlineStr">
        <is>
          <t>med-low</t>
        </is>
      </c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>
        <v>35000</v>
      </c>
      <c r="AI37" s="34" t="inlineStr">
        <is>
          <t>T3</t>
        </is>
      </c>
      <c r="AJ37" s="34" t="inlineStr">
        <is>
          <t>med-low</t>
        </is>
      </c>
      <c r="AK37" s="41" t="n">
        <v>0.1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Grounded</t>
        </is>
      </c>
      <c r="AS37" s="43" t="n"/>
      <c r="AT37" s="43" t="n"/>
      <c r="AU37" s="44" t="n"/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inlineStr">
        <is>
          <t>uae-careem demand ladder + PR #58 Noon route seal (Careem-style super_app)</t>
        </is>
      </c>
      <c r="AZ37" s="46" t="inlineStr">
        <is>
          <t>uae-careem demand ladder + PR #58 Noon route seal (Careem-style super_app)</t>
        </is>
      </c>
      <c r="BA37" s="34" t="inlineStr">
        <is>
          <t>rn-80c408c085a6</t>
        </is>
      </c>
    </row>
    <row r="38">
      <c r="A38" s="31" t="inlineStr">
        <is>
          <t>Uae Noon</t>
        </is>
      </c>
      <c r="B38" s="31" t="inlineStr">
        <is>
          <t>United Arab Emirates</t>
        </is>
      </c>
      <c r="C38" s="32" t="inlineStr">
        <is>
          <t>Yas Marina → Zaya Nurai Island Jetty</t>
        </is>
      </c>
      <c r="D38" s="33" t="n">
        <v>12.6</v>
      </c>
      <c r="E38" s="27" t="n">
        <v>175</v>
      </c>
      <c r="F38" s="34" t="inlineStr">
        <is>
          <t>T5</t>
        </is>
      </c>
      <c r="G38" s="34" t="inlineStr">
        <is>
          <t>low</t>
        </is>
      </c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Korea",FLOOR(60*korea_service_hr/K38,1),MIN(15,FLOOR(60*service_hr/K38,1)))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>
        <v>15000</v>
      </c>
      <c r="AI38" s="34" t="inlineStr">
        <is>
          <t>T3</t>
        </is>
      </c>
      <c r="AJ38" s="34" t="inlineStr">
        <is>
          <t>low</t>
        </is>
      </c>
      <c r="AK38" s="41" t="n">
        <v>0.1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Grounded</t>
        </is>
      </c>
      <c r="AS38" s="43" t="n"/>
      <c r="AT38" s="43" t="n"/>
      <c r="AU38" s="44" t="n"/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inlineStr">
        <is>
          <t>Zaya Nurai boat-only, but real transfers depart Saadiyat (4.4nm) not Yas Marina (12.6nm) -&gt; R3-PIER. $175 modeled; demand NULL. T5/low.</t>
        </is>
      </c>
      <c r="AZ38" s="46" t="inlineStr">
        <is>
          <t>UAE-DEMAND-ANCHORS-2026-06-17.json — tier-based addressable pool derived from sourcing wave anchors (hotel keys × occ × shuttle adoption, marina activity, RTA marine baseline).</t>
        </is>
      </c>
      <c r="BA38" s="34" t="inlineStr">
        <is>
          <t>rn-bb2eb160c1a5</t>
        </is>
      </c>
    </row>
    <row r="39">
      <c r="A39" s="31" t="inlineStr">
        <is>
          <t>Uae Noon</t>
        </is>
      </c>
      <c r="B39" s="31" t="inlineStr">
        <is>
          <t>United Arab Emirates</t>
        </is>
      </c>
      <c r="C39" s="32" t="inlineStr">
        <is>
          <t>Yas Marina → Saadiyat Beach Club Jetty</t>
        </is>
      </c>
      <c r="D39" s="33" t="n">
        <v>13</v>
      </c>
      <c r="E39" s="27" t="n">
        <v>75</v>
      </c>
      <c r="F39" s="34" t="inlineStr">
        <is>
          <t>T4</t>
        </is>
      </c>
      <c r="G39" s="34" t="inlineStr">
        <is>
          <t>low</t>
        </is>
      </c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>
        <v>30000</v>
      </c>
      <c r="AI39" s="34" t="inlineStr">
        <is>
          <t>T3</t>
        </is>
      </c>
      <c r="AJ39" s="34" t="inlineStr">
        <is>
          <t>low</t>
        </is>
      </c>
      <c r="AK39" s="41" t="n">
        <v>0.1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Grounded</t>
        </is>
      </c>
      <c r="AS39" s="43" t="n"/>
      <c r="AT39" s="43" t="n"/>
      <c r="AU39" s="44" t="n"/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inlineStr">
        <is>
          <t>RTA/Dubai-Ferry official ladder (R-RTA, T1): Water Taxi on-demand single AED 150/pax = $40.8; Dubai Ferry Gold AED 75 = $20.4, Silver AED 50 = $13.6; Water Bus AED 7; Abra AED 1. dubai-ferry.com / rta.ae 2025/26. AD leisure-island network; no published AD water-taxi tariff; anchored on Dubai RTA premium ladder.</t>
        </is>
      </c>
      <c r="AZ39" s="46" t="inlineStr">
        <is>
          <t>UAE-DEMAND-ANCHORS-2026-06-17.json — tier-based addressable pool derived from sourcing wave anchors (hotel keys × occ × shuttle adoption, marina activity, RTA marine baseline).</t>
        </is>
      </c>
      <c r="BA39" s="34" t="inlineStr">
        <is>
          <t>rn-c2a5e2033f94</t>
        </is>
      </c>
    </row>
    <row r="40">
      <c r="A40" s="31" t="inlineStr">
        <is>
          <t>Uae Noon</t>
        </is>
      </c>
      <c r="B40" s="31" t="inlineStr">
        <is>
          <t>United Arab Emirates</t>
        </is>
      </c>
      <c r="C40" s="32" t="inlineStr">
        <is>
          <t>Dubai Harbour Marina → Al Khan Lagoon mouth</t>
        </is>
      </c>
      <c r="D40" s="33" t="n">
        <v>19.4</v>
      </c>
      <c r="E40" s="27" t="n">
        <v>85</v>
      </c>
      <c r="F40" s="34" t="inlineStr">
        <is>
          <t>T5</t>
        </is>
      </c>
      <c r="G40" s="34" t="inlineStr">
        <is>
          <t>low</t>
        </is>
      </c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Korea",FLOOR(60*korea_service_hr/K40,1),MIN(15,FLOOR(60*service_hr/K40,1)))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>
        <v>40000</v>
      </c>
      <c r="AI40" s="34" t="inlineStr">
        <is>
          <t>T2</t>
        </is>
      </c>
      <c r="AJ40" s="34" t="inlineStr">
        <is>
          <t>low</t>
        </is>
      </c>
      <c r="AK40" s="41" t="n">
        <v>0.1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Grounded</t>
        </is>
      </c>
      <c r="AS40" s="43" t="n"/>
      <c r="AT40" s="43" t="n"/>
      <c r="AU40" s="44" t="n"/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inlineStr">
        <is>
          <t>Dubai-Sharjah Ferry Gold AED 25 subsidized-commuter (R5-EXT). Premium per-seat $85 modeled (between subsidized ferry and charter). T5/low.</t>
        </is>
      </c>
      <c r="AZ40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40" s="34" t="inlineStr">
        <is>
          <t>gcn-8e3c2d581c-bolt</t>
        </is>
      </c>
    </row>
    <row r="41">
      <c r="A41" s="31" t="inlineStr">
        <is>
          <t>Uae Noon</t>
        </is>
      </c>
      <c r="B41" s="31" t="inlineStr">
        <is>
          <t>United Arab Emirates</t>
        </is>
      </c>
      <c r="C41" s="32" t="inlineStr">
        <is>
          <t>Dibba Marina (Fujairah) → Khorfakkan Corniche / Port (Sharjah enclave)</t>
        </is>
      </c>
      <c r="D41" s="33" t="n">
        <v>20.4</v>
      </c>
      <c r="E41" s="27" t="n">
        <v>65</v>
      </c>
      <c r="F41" s="34" t="inlineStr">
        <is>
          <t>T3</t>
        </is>
      </c>
      <c r="G41" s="34" t="inlineStr">
        <is>
          <t>med</t>
        </is>
      </c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Korea",FLOOR(60*korea_service_hr/K41,1),MIN(15,FLOOR(60*service_hr/K41,1)))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>
        <v>60000</v>
      </c>
      <c r="AI41" s="34" t="inlineStr">
        <is>
          <t>T4</t>
        </is>
      </c>
      <c r="AJ41" s="34" t="inlineStr">
        <is>
          <t>low</t>
        </is>
      </c>
      <c r="AK41" s="41" t="n">
        <v>0.1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Grounded</t>
        </is>
      </c>
      <c r="AS41" s="43" t="n"/>
      <c r="AT41" s="43" t="n"/>
      <c r="AU41" s="44" t="n"/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inlineStr">
        <is>
          <t>Fujairah east-coast day-trip boats: Dibba/Khor Fakkan dhow &amp; speedboat tours AED 140-210/pax (Instagram/Tripadvisor/Viator 2025); Musandam dhow cruises similar.</t>
        </is>
      </c>
      <c r="AZ41" s="46" t="inlineStr">
        <is>
          <t>Fujairah arrivals crossed 340,000 (+22% YoY), 209 hotels, 70-100% occ (UAE Ministry/Fujairah Tourism); east-coast diving/Musandam day-trips genuinely water-based.</t>
        </is>
      </c>
      <c r="BA41" s="34" t="inlineStr">
        <is>
          <t>rn-0d9b2acf81b1</t>
        </is>
      </c>
    </row>
    <row r="42">
      <c r="A42" s="31" t="inlineStr">
        <is>
          <t>Uae Noon</t>
        </is>
      </c>
      <c r="B42" s="31" t="inlineStr">
        <is>
          <t>United Arab Emirates</t>
        </is>
      </c>
      <c r="C42" s="32" t="inlineStr">
        <is>
          <t>Dubai Harbour Marina → Al Khan Lagoon mouth</t>
        </is>
      </c>
      <c r="D42" s="33" t="n">
        <v>25.1</v>
      </c>
      <c r="E42" s="27" t="n">
        <v>85</v>
      </c>
      <c r="F42" s="34" t="inlineStr">
        <is>
          <t>T5</t>
        </is>
      </c>
      <c r="G42" s="34" t="inlineStr">
        <is>
          <t>low</t>
        </is>
      </c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>
        <v>40000</v>
      </c>
      <c r="AI42" s="34" t="inlineStr">
        <is>
          <t>T2</t>
        </is>
      </c>
      <c r="AJ42" s="34" t="inlineStr">
        <is>
          <t>low</t>
        </is>
      </c>
      <c r="AK42" s="41" t="n">
        <v>0.1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Grounded</t>
        </is>
      </c>
      <c r="AS42" s="43" t="n"/>
      <c r="AT42" s="43" t="n"/>
      <c r="AU42" s="44" t="n"/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inlineStr">
        <is>
          <t>Dubai-Sharjah Ferry Gold AED 25 subsidized-commuter (R5-EXT). Premium per-seat $85 modeled (between subsidized ferry and charter). T5/low.</t>
        </is>
      </c>
      <c r="AZ42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42" s="34" t="inlineStr">
        <is>
          <t>rn-01b4a3efaf0f</t>
        </is>
      </c>
    </row>
    <row r="43">
      <c r="A43" s="31" t="inlineStr">
        <is>
          <t>Uae Noon</t>
        </is>
      </c>
      <c r="B43" s="31" t="inlineStr">
        <is>
          <t>United Arab Emirates</t>
        </is>
      </c>
      <c r="C43" s="32" t="inlineStr">
        <is>
          <t>Dubai Harbour Marina → Wynn Al Marjan Island arrival lagoon</t>
        </is>
      </c>
      <c r="D43" s="33" t="n">
        <v>49.8</v>
      </c>
      <c r="E43" s="27" t="n">
        <v>200</v>
      </c>
      <c r="F43" s="34" t="inlineStr">
        <is>
          <t>T5</t>
        </is>
      </c>
      <c r="G43" s="34" t="inlineStr">
        <is>
          <t>low</t>
        </is>
      </c>
      <c r="H43" s="20" t="n">
        <v>1</v>
      </c>
      <c r="I43" s="35">
        <f>60*D43/cruise_kt</f>
        <v/>
      </c>
      <c r="J43" s="35">
        <f>IF(B43="South Korea",D43/korea_charge_range_nm*korea_full_range_charge_min,0)</f>
        <v/>
      </c>
      <c r="K43" s="35">
        <f>IF(B43="South Korea",I43+korea_turn_min+korea_dwell_min+J43,I43+turn_min+dwell_min)</f>
        <v/>
      </c>
      <c r="L43" s="36">
        <f>IF(B43="South Korea",FLOOR(60*korea_service_hr/K43,1),MIN(15,FLOOR(60*service_hr/K43,1)))</f>
        <v/>
      </c>
      <c r="M43" s="36">
        <f>IF(ABS(MOD(ABS((365*mech_uptime*H43)),1)-0.5)&lt;1E-9,2*ROUND((365*mech_uptime*H43)/2,0),ROUND((365*mech_uptime*H43),0))</f>
        <v/>
      </c>
      <c r="N43" s="37">
        <f>mech_uptime</f>
        <v/>
      </c>
      <c r="O43" s="37">
        <f>IF(AND(B43="South Korea",scenario="MID"),korea_mid_revleg,revleg_sel)</f>
        <v/>
      </c>
      <c r="P43" s="36">
        <f>IF(ABS(MOD(ABS((L43*M43*O43)),1)-0.5)&lt;1E-9,2*ROUND((L43*M43*O43)/2,0),ROUND((L43*M43*O43),0))</f>
        <v/>
      </c>
      <c r="Q43" s="37">
        <f>IF(AND(B43="South Korea",scenario="MID"),korea_mid_load,load_sel)</f>
        <v/>
      </c>
      <c r="R43" s="38">
        <f>pax_cap*Q43</f>
        <v/>
      </c>
      <c r="S43" s="36">
        <f>R43*P43</f>
        <v/>
      </c>
      <c r="T43" s="39">
        <f>E43*discount</f>
        <v/>
      </c>
      <c r="U43" s="40">
        <f>T43*S43</f>
        <v/>
      </c>
      <c r="V43" s="40">
        <f>(battery/range_nm)*D43*P43*VLOOKUP(B43,country_opex,3,FALSE)</f>
        <v/>
      </c>
      <c r="W43" s="40">
        <f>VLOOKUP(B43,country_opex,2,FALSE)*crew_factor</f>
        <v/>
      </c>
      <c r="X43" s="40">
        <f>VLOOKUP(B43,country_opex,5,FALSE)</f>
        <v/>
      </c>
      <c r="Y43" s="40">
        <f>maint</f>
        <v/>
      </c>
      <c r="Z43" s="40">
        <f>VLOOKUP(B43,country_opex,7,FALSE)*ins_pct</f>
        <v/>
      </c>
      <c r="AA43" s="40">
        <f>charge_berth</f>
        <v/>
      </c>
      <c r="AB43" s="40">
        <f>V43+W43+X43+Y43+Z43+AA43</f>
        <v/>
      </c>
      <c r="AC43" s="40">
        <f>VLOOKUP(B43,country_opex,7,FALSE)/dep_years</f>
        <v/>
      </c>
      <c r="AD43" s="40">
        <f>U43-AB43</f>
        <v/>
      </c>
      <c r="AE43" s="37">
        <f>IF(U43=0,"",AD43/U43)</f>
        <v/>
      </c>
      <c r="AF43" s="38">
        <f>IF(AD43&lt;=0,"",VLOOKUP(B43,country_opex,7,FALSE)/AD43)</f>
        <v/>
      </c>
      <c r="AG43" s="35">
        <f>((D43*P43/diesel_nmpg)*diesel_co2pg-(battery/range_nm)*D43*P43*VLOOKUP(B43,country_opex,4,FALSE))/1000</f>
        <v/>
      </c>
      <c r="AH43" s="33" t="n">
        <v>60000</v>
      </c>
      <c r="AI43" s="34" t="inlineStr">
        <is>
          <t>T2</t>
        </is>
      </c>
      <c r="AJ43" s="34" t="inlineStr">
        <is>
          <t>medium</t>
        </is>
      </c>
      <c r="AK43" s="41" t="n">
        <v>0.1</v>
      </c>
      <c r="AL43" s="36">
        <f>IF(AH43="","",AH43*AK43)</f>
        <v/>
      </c>
      <c r="AM43" s="36">
        <f>IF(OR(AH43="",S43=0),"",MIN(IF(AU43="",9.9E+99,AU43),FLOOR(AL43/S43,1)))</f>
        <v/>
      </c>
      <c r="AN43" s="40">
        <f>IF(AM43="","",AM43*IF(ABS(MOD(ABS((U43)),1)-0.5)&lt;1E-9,2*ROUND((U43)/2,0),ROUND((U43),0)))</f>
        <v/>
      </c>
      <c r="AO43" s="38">
        <f>IF(OR(AH43="",S43=0),"",MIN(IF(AU43="",9.9E+99,AU43),AL43/S43))</f>
        <v/>
      </c>
      <c r="AP43" s="40">
        <f>IF(AO43="","",AO43*IF(B43="South Korea",IF(ABS(MOD(ABS((U43)),1)-0.5)&lt;1E-9,2*ROUND((U43)/2,0),ROUND((U43),0)),U43))</f>
        <v/>
      </c>
      <c r="AQ43" s="42" t="n"/>
      <c r="AR43" s="34" t="inlineStr">
        <is>
          <t>Grounded</t>
        </is>
      </c>
      <c r="AS43" s="43" t="n"/>
      <c r="AT43" s="43" t="n"/>
      <c r="AU43" s="44" t="n"/>
      <c r="AV43" s="45">
        <f>IF(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&lt;=0,"",VLOOKUP(B43,country_opex,7,FALSE)/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)</f>
        <v/>
      </c>
      <c r="AW43" s="45">
        <f>IF(((T43*pax_cap*IF(B43="South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Korea",korea_mid_revleg,revleg_mid)),0))*VLOOKUP(B43,country_opex,3,FALSE))+W43+X43+Y43+Z43+AA43))&lt;=0,"",VLOOKUP(B43,country_opex,7,FALSE)/((T43*pax_cap*IF(B43="South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Korea",korea_mid_revleg,revleg_mid)),0))*VLOOKUP(B43,country_opex,3,FALSE))+W43+X43+Y43+Z43+AA43)))</f>
        <v/>
      </c>
      <c r="AX43" s="45">
        <f>IF(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&lt;=0,"",VLOOKUP(B43,country_opex,7,FALSE)/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)</f>
        <v/>
      </c>
      <c r="AY43" s="46" t="inlineStr">
        <is>
          <t>Wynn Al Marjan (first UAE gaming resort) opens early 2027: 1,217 rooms + 297 residences. No marine transfer today. T5/low - greenfield.</t>
        </is>
      </c>
      <c r="AZ43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43" s="34" t="inlineStr">
        <is>
          <t>gcn-9e515da38a-bolt</t>
        </is>
      </c>
    </row>
    <row r="44">
      <c r="A44" s="31" t="inlineStr">
        <is>
          <t>Uae Noon</t>
        </is>
      </c>
      <c r="B44" s="31" t="inlineStr">
        <is>
          <t>United Arab Emirates</t>
        </is>
      </c>
      <c r="C44" s="32" t="inlineStr">
        <is>
          <t>Dubai → Abu Dhabi (Corniche)</t>
        </is>
      </c>
      <c r="D44" s="33" t="n">
        <v>55.8</v>
      </c>
      <c r="E44" s="27" t="n"/>
      <c r="F44" s="34" t="n"/>
      <c r="G44" s="34" t="n"/>
      <c r="H44" s="20" t="n">
        <v>1</v>
      </c>
      <c r="I44" s="35">
        <f>60*D44/cruise_kt</f>
        <v/>
      </c>
      <c r="J44" s="35">
        <f>IF(B44="South Korea",D44/korea_charge_range_nm*korea_full_range_charge_min,0)</f>
        <v/>
      </c>
      <c r="K44" s="35">
        <f>IF(B44="South Korea",I44+korea_turn_min+korea_dwell_min+J44,I44+turn_min+dwell_min)</f>
        <v/>
      </c>
      <c r="L44" s="36">
        <f>IF(B44="South Korea",FLOOR(60*korea_service_hr/K44,1),MIN(15,FLOOR(60*service_hr/K44,1)))</f>
        <v/>
      </c>
      <c r="M44" s="36">
        <f>IF(ABS(MOD(ABS((365*mech_uptime*H44)),1)-0.5)&lt;1E-9,2*ROUND((365*mech_uptime*H44)/2,0),ROUND((365*mech_uptime*H44),0))</f>
        <v/>
      </c>
      <c r="N44" s="37">
        <f>mech_uptime</f>
        <v/>
      </c>
      <c r="O44" s="37">
        <f>IF(AND(B44="South Korea",scenario="MID"),korea_mid_revleg,revleg_sel)</f>
        <v/>
      </c>
      <c r="P44" s="36">
        <f>IF(ABS(MOD(ABS((L44*M44*O44)),1)-0.5)&lt;1E-9,2*ROUND((L44*M44*O44)/2,0),ROUND((L44*M44*O44),0))</f>
        <v/>
      </c>
      <c r="Q44" s="37">
        <f>IF(AND(B44="South Korea",scenario="MID"),korea_mid_load,load_sel)</f>
        <v/>
      </c>
      <c r="R44" s="38">
        <f>pax_cap*Q44</f>
        <v/>
      </c>
      <c r="S44" s="36">
        <f>R44*P44</f>
        <v/>
      </c>
      <c r="T44" s="39">
        <f>E44*discount</f>
        <v/>
      </c>
      <c r="U44" s="40">
        <f>T44*S44</f>
        <v/>
      </c>
      <c r="V44" s="40">
        <f>(battery/range_nm)*D44*P44*VLOOKUP(B44,country_opex,3,FALSE)</f>
        <v/>
      </c>
      <c r="W44" s="40">
        <f>VLOOKUP(B44,country_opex,2,FALSE)*crew_factor</f>
        <v/>
      </c>
      <c r="X44" s="40">
        <f>VLOOKUP(B44,country_opex,5,FALSE)</f>
        <v/>
      </c>
      <c r="Y44" s="40">
        <f>maint</f>
        <v/>
      </c>
      <c r="Z44" s="40">
        <f>VLOOKUP(B44,country_opex,7,FALSE)*ins_pct</f>
        <v/>
      </c>
      <c r="AA44" s="40">
        <f>charge_berth</f>
        <v/>
      </c>
      <c r="AB44" s="40">
        <f>V44+W44+X44+Y44+Z44+AA44</f>
        <v/>
      </c>
      <c r="AC44" s="40">
        <f>VLOOKUP(B44,country_opex,7,FALSE)/dep_years</f>
        <v/>
      </c>
      <c r="AD44" s="40">
        <f>U44-AB44</f>
        <v/>
      </c>
      <c r="AE44" s="37">
        <f>IF(U44=0,"",AD44/U44)</f>
        <v/>
      </c>
      <c r="AF44" s="38">
        <f>IF(AD44&lt;=0,"",VLOOKUP(B44,country_opex,7,FALSE)/AD44)</f>
        <v/>
      </c>
      <c r="AG44" s="35">
        <f>((D44*P44/diesel_nmpg)*diesel_co2pg-(battery/range_nm)*D44*P44*VLOOKUP(B44,country_opex,4,FALSE))/1000</f>
        <v/>
      </c>
      <c r="AH44" s="33" t="n"/>
      <c r="AI44" s="34" t="n"/>
      <c r="AJ44" s="34" t="n"/>
      <c r="AK44" s="41" t="n">
        <v>0.1</v>
      </c>
      <c r="AL44" s="36">
        <f>IF(AH44="","",AH44*AK44)</f>
        <v/>
      </c>
      <c r="AM44" s="36">
        <f>IF(OR(AH44="",S44=0),"",MIN(IF(AU44="",9.9E+99,AU44),FLOOR(AL44/S44,1)))</f>
        <v/>
      </c>
      <c r="AN44" s="40">
        <f>IF(AM44="","",AM44*IF(ABS(MOD(ABS((U44)),1)-0.5)&lt;1E-9,2*ROUND((U44)/2,0),ROUND((U44),0)))</f>
        <v/>
      </c>
      <c r="AO44" s="38">
        <f>IF(OR(AH44="",S44=0),"",MIN(IF(AU44="",9.9E+99,AU44),AL44/S44))</f>
        <v/>
      </c>
      <c r="AP44" s="40">
        <f>IF(AO44="","",AO44*IF(B44="South Korea",IF(ABS(MOD(ABS((U44)),1)-0.5)&lt;1E-9,2*ROUND((U44)/2,0),ROUND((U44),0)),U44))</f>
        <v/>
      </c>
      <c r="AQ44" s="42" t="n"/>
      <c r="AR44" s="34" t="inlineStr">
        <is>
          <t>Estimated</t>
        </is>
      </c>
      <c r="AS44" s="43" t="n"/>
      <c r="AT44" s="43" t="n"/>
      <c r="AU44" s="44" t="n"/>
      <c r="AV44" s="45">
        <f>IF(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&lt;=0,"",VLOOKUP(B44,country_opex,7,FALSE)/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)</f>
        <v/>
      </c>
      <c r="AW44" s="45">
        <f>IF(((T44*pax_cap*IF(B44="South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Korea",korea_mid_revleg,revleg_mid)),0))*VLOOKUP(B44,country_opex,3,FALSE))+W44+X44+Y44+Z44+AA44))&lt;=0,"",VLOOKUP(B44,country_opex,7,FALSE)/((T44*pax_cap*IF(B44="South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Korea",korea_mid_revleg,revleg_mid)),0))*VLOOKUP(B44,country_opex,3,FALSE))+W44+X44+Y44+Z44+AA44)))</f>
        <v/>
      </c>
      <c r="AX44" s="45">
        <f>IF(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&lt;=0,"",VLOOKUP(B44,country_opex,7,FALSE)/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)</f>
        <v/>
      </c>
      <c r="AY44" s="46" t="n"/>
      <c r="AZ44" s="46" t="n"/>
      <c r="BA44" s="34" t="inlineStr">
        <is>
          <t>gcn-8ad7567d09-bolt</t>
        </is>
      </c>
    </row>
    <row r="45">
      <c r="A45" s="31" t="inlineStr">
        <is>
          <t>Uae Noon</t>
        </is>
      </c>
      <c r="B45" s="31" t="inlineStr">
        <is>
          <t>United Arab Emirates</t>
        </is>
      </c>
      <c r="C45" s="32" t="inlineStr">
        <is>
          <t>Dubai → Abu Dhabi (Corniche)</t>
        </is>
      </c>
      <c r="D45" s="33" t="n">
        <v>55.8</v>
      </c>
      <c r="E45" s="27" t="n"/>
      <c r="F45" s="34" t="n"/>
      <c r="G45" s="34" t="n"/>
      <c r="H45" s="20" t="n">
        <v>1</v>
      </c>
      <c r="I45" s="35">
        <f>60*D45/cruise_kt</f>
        <v/>
      </c>
      <c r="J45" s="35">
        <f>IF(B45="South Korea",D45/korea_charge_range_nm*korea_full_range_charge_min,0)</f>
        <v/>
      </c>
      <c r="K45" s="35">
        <f>IF(B45="South Korea",I45+korea_turn_min+korea_dwell_min+J45,I45+turn_min+dwell_min)</f>
        <v/>
      </c>
      <c r="L45" s="36">
        <f>IF(B45="South Korea",FLOOR(60*korea_service_hr/K45,1),MIN(15,FLOOR(60*service_hr/K45,1)))</f>
        <v/>
      </c>
      <c r="M45" s="36">
        <f>IF(ABS(MOD(ABS((365*mech_uptime*H45)),1)-0.5)&lt;1E-9,2*ROUND((365*mech_uptime*H45)/2,0),ROUND((365*mech_uptime*H45),0))</f>
        <v/>
      </c>
      <c r="N45" s="37">
        <f>mech_uptime</f>
        <v/>
      </c>
      <c r="O45" s="37">
        <f>IF(AND(B45="South Korea",scenario="MID"),korea_mid_revleg,revleg_sel)</f>
        <v/>
      </c>
      <c r="P45" s="36">
        <f>IF(ABS(MOD(ABS((L45*M45*O45)),1)-0.5)&lt;1E-9,2*ROUND((L45*M45*O45)/2,0),ROUND((L45*M45*O45),0))</f>
        <v/>
      </c>
      <c r="Q45" s="37">
        <f>IF(AND(B45="South Korea",scenario="MID"),korea_mid_load,load_sel)</f>
        <v/>
      </c>
      <c r="R45" s="38">
        <f>pax_cap*Q45</f>
        <v/>
      </c>
      <c r="S45" s="36">
        <f>R45*P45</f>
        <v/>
      </c>
      <c r="T45" s="39">
        <f>E45*discount</f>
        <v/>
      </c>
      <c r="U45" s="40">
        <f>T45*S45</f>
        <v/>
      </c>
      <c r="V45" s="40">
        <f>(battery/range_nm)*D45*P45*VLOOKUP(B45,country_opex,3,FALSE)</f>
        <v/>
      </c>
      <c r="W45" s="40">
        <f>VLOOKUP(B45,country_opex,2,FALSE)*crew_factor</f>
        <v/>
      </c>
      <c r="X45" s="40">
        <f>VLOOKUP(B45,country_opex,5,FALSE)</f>
        <v/>
      </c>
      <c r="Y45" s="40">
        <f>maint</f>
        <v/>
      </c>
      <c r="Z45" s="40">
        <f>VLOOKUP(B45,country_opex,7,FALSE)*ins_pct</f>
        <v/>
      </c>
      <c r="AA45" s="40">
        <f>charge_berth</f>
        <v/>
      </c>
      <c r="AB45" s="40">
        <f>V45+W45+X45+Y45+Z45+AA45</f>
        <v/>
      </c>
      <c r="AC45" s="40">
        <f>VLOOKUP(B45,country_opex,7,FALSE)/dep_years</f>
        <v/>
      </c>
      <c r="AD45" s="40">
        <f>U45-AB45</f>
        <v/>
      </c>
      <c r="AE45" s="37">
        <f>IF(U45=0,"",AD45/U45)</f>
        <v/>
      </c>
      <c r="AF45" s="38">
        <f>IF(AD45&lt;=0,"",VLOOKUP(B45,country_opex,7,FALSE)/AD45)</f>
        <v/>
      </c>
      <c r="AG45" s="35">
        <f>((D45*P45/diesel_nmpg)*diesel_co2pg-(battery/range_nm)*D45*P45*VLOOKUP(B45,country_opex,4,FALSE))/1000</f>
        <v/>
      </c>
      <c r="AH45" s="33" t="n"/>
      <c r="AI45" s="34" t="n"/>
      <c r="AJ45" s="34" t="n"/>
      <c r="AK45" s="41" t="n">
        <v>0.1</v>
      </c>
      <c r="AL45" s="36">
        <f>IF(AH45="","",AH45*AK45)</f>
        <v/>
      </c>
      <c r="AM45" s="36">
        <f>IF(OR(AH45="",S45=0),"",MIN(IF(AU45="",9.9E+99,AU45),FLOOR(AL45/S45,1)))</f>
        <v/>
      </c>
      <c r="AN45" s="40">
        <f>IF(AM45="","",AM45*IF(ABS(MOD(ABS((U45)),1)-0.5)&lt;1E-9,2*ROUND((U45)/2,0),ROUND((U45),0)))</f>
        <v/>
      </c>
      <c r="AO45" s="38">
        <f>IF(OR(AH45="",S45=0),"",MIN(IF(AU45="",9.9E+99,AU45),AL45/S45))</f>
        <v/>
      </c>
      <c r="AP45" s="40">
        <f>IF(AO45="","",AO45*IF(B45="South Korea",IF(ABS(MOD(ABS((U45)),1)-0.5)&lt;1E-9,2*ROUND((U45)/2,0),ROUND((U45),0)),U45))</f>
        <v/>
      </c>
      <c r="AQ45" s="42" t="n"/>
      <c r="AR45" s="34" t="inlineStr">
        <is>
          <t>Estimated</t>
        </is>
      </c>
      <c r="AS45" s="43" t="n"/>
      <c r="AT45" s="43" t="n"/>
      <c r="AU45" s="44" t="n"/>
      <c r="AV45" s="45">
        <f>IF(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&lt;=0,"",VLOOKUP(B45,country_opex,7,FALSE)/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)</f>
        <v/>
      </c>
      <c r="AW45" s="45">
        <f>IF(((T45*pax_cap*IF(B45="South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Korea",korea_mid_revleg,revleg_mid)),0))*VLOOKUP(B45,country_opex,3,FALSE))+W45+X45+Y45+Z45+AA45))&lt;=0,"",VLOOKUP(B45,country_opex,7,FALSE)/((T45*pax_cap*IF(B45="South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Korea",korea_mid_revleg,revleg_mid)),0))*VLOOKUP(B45,country_opex,3,FALSE))+W45+X45+Y45+Z45+AA45)))</f>
        <v/>
      </c>
      <c r="AX45" s="45">
        <f>IF(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&lt;=0,"",VLOOKUP(B45,country_opex,7,FALSE)/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)</f>
        <v/>
      </c>
      <c r="AY45" s="46" t="n"/>
      <c r="AZ45" s="46" t="n"/>
      <c r="BA45" s="34" t="n"/>
    </row>
    <row r="46">
      <c r="A46" s="31" t="inlineStr">
        <is>
          <t>Uae Noon</t>
        </is>
      </c>
      <c r="B46" s="31" t="inlineStr">
        <is>
          <t>United Arab Emirates</t>
        </is>
      </c>
      <c r="C46" s="32" t="inlineStr">
        <is>
          <t>Dubai Marina → Abu Dhabi Corniche</t>
        </is>
      </c>
      <c r="D46" s="33" t="n">
        <v>55.8</v>
      </c>
      <c r="E46" s="27" t="n"/>
      <c r="F46" s="34" t="n"/>
      <c r="G46" s="34" t="n"/>
      <c r="H46" s="20" t="n">
        <v>1</v>
      </c>
      <c r="I46" s="35">
        <f>60*D46/cruise_kt</f>
        <v/>
      </c>
      <c r="J46" s="35">
        <f>IF(B46="South Korea",D46/korea_charge_range_nm*korea_full_range_charge_min,0)</f>
        <v/>
      </c>
      <c r="K46" s="35">
        <f>IF(B46="South Korea",I46+korea_turn_min+korea_dwell_min+J46,I46+turn_min+dwell_min)</f>
        <v/>
      </c>
      <c r="L46" s="36">
        <f>IF(B46="South Korea",FLOOR(60*korea_service_hr/K46,1),MIN(15,FLOOR(60*service_hr/K46,1)))</f>
        <v/>
      </c>
      <c r="M46" s="36">
        <f>IF(ABS(MOD(ABS((365*mech_uptime*H46)),1)-0.5)&lt;1E-9,2*ROUND((365*mech_uptime*H46)/2,0),ROUND((365*mech_uptime*H46),0))</f>
        <v/>
      </c>
      <c r="N46" s="37">
        <f>mech_uptime</f>
        <v/>
      </c>
      <c r="O46" s="37">
        <f>IF(AND(B46="South Korea",scenario="MID"),korea_mid_revleg,revleg_sel)</f>
        <v/>
      </c>
      <c r="P46" s="36">
        <f>IF(ABS(MOD(ABS((L46*M46*O46)),1)-0.5)&lt;1E-9,2*ROUND((L46*M46*O46)/2,0),ROUND((L46*M46*O46),0))</f>
        <v/>
      </c>
      <c r="Q46" s="37">
        <f>IF(AND(B46="South Korea",scenario="MID"),korea_mid_load,load_sel)</f>
        <v/>
      </c>
      <c r="R46" s="38">
        <f>pax_cap*Q46</f>
        <v/>
      </c>
      <c r="S46" s="36">
        <f>R46*P46</f>
        <v/>
      </c>
      <c r="T46" s="39">
        <f>E46*discount</f>
        <v/>
      </c>
      <c r="U46" s="40">
        <f>T46*S46</f>
        <v/>
      </c>
      <c r="V46" s="40">
        <f>(battery/range_nm)*D46*P46*VLOOKUP(B46,country_opex,3,FALSE)</f>
        <v/>
      </c>
      <c r="W46" s="40">
        <f>VLOOKUP(B46,country_opex,2,FALSE)*crew_factor</f>
        <v/>
      </c>
      <c r="X46" s="40">
        <f>VLOOKUP(B46,country_opex,5,FALSE)</f>
        <v/>
      </c>
      <c r="Y46" s="40">
        <f>maint</f>
        <v/>
      </c>
      <c r="Z46" s="40">
        <f>VLOOKUP(B46,country_opex,7,FALSE)*ins_pct</f>
        <v/>
      </c>
      <c r="AA46" s="40">
        <f>charge_berth</f>
        <v/>
      </c>
      <c r="AB46" s="40">
        <f>V46+W46+X46+Y46+Z46+AA46</f>
        <v/>
      </c>
      <c r="AC46" s="40">
        <f>VLOOKUP(B46,country_opex,7,FALSE)/dep_years</f>
        <v/>
      </c>
      <c r="AD46" s="40">
        <f>U46-AB46</f>
        <v/>
      </c>
      <c r="AE46" s="37">
        <f>IF(U46=0,"",AD46/U46)</f>
        <v/>
      </c>
      <c r="AF46" s="38">
        <f>IF(AD46&lt;=0,"",VLOOKUP(B46,country_opex,7,FALSE)/AD46)</f>
        <v/>
      </c>
      <c r="AG46" s="35">
        <f>((D46*P46/diesel_nmpg)*diesel_co2pg-(battery/range_nm)*D46*P46*VLOOKUP(B46,country_opex,4,FALSE))/1000</f>
        <v/>
      </c>
      <c r="AH46" s="33" t="n"/>
      <c r="AI46" s="34" t="n"/>
      <c r="AJ46" s="34" t="n"/>
      <c r="AK46" s="41" t="n">
        <v>0.1</v>
      </c>
      <c r="AL46" s="36">
        <f>IF(AH46="","",AH46*AK46)</f>
        <v/>
      </c>
      <c r="AM46" s="36">
        <f>IF(OR(AH46="",S46=0),"",MIN(IF(AU46="",9.9E+99,AU46),FLOOR(AL46/S46,1)))</f>
        <v/>
      </c>
      <c r="AN46" s="40">
        <f>IF(AM46="","",AM46*IF(ABS(MOD(ABS((U46)),1)-0.5)&lt;1E-9,2*ROUND((U46)/2,0),ROUND((U46),0)))</f>
        <v/>
      </c>
      <c r="AO46" s="38">
        <f>IF(OR(AH46="",S46=0),"",MIN(IF(AU46="",9.9E+99,AU46),AL46/S46))</f>
        <v/>
      </c>
      <c r="AP46" s="40">
        <f>IF(AO46="","",AO46*IF(B46="South Korea",IF(ABS(MOD(ABS((U46)),1)-0.5)&lt;1E-9,2*ROUND((U46)/2,0),ROUND((U46),0)),U46))</f>
        <v/>
      </c>
      <c r="AQ46" s="42" t="n"/>
      <c r="AR46" s="34" t="inlineStr">
        <is>
          <t>Estimated</t>
        </is>
      </c>
      <c r="AS46" s="43" t="n"/>
      <c r="AT46" s="43" t="n"/>
      <c r="AU46" s="44" t="n"/>
      <c r="AV46" s="45">
        <f>IF(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&lt;=0,"",VLOOKUP(B46,country_opex,7,FALSE)/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)</f>
        <v/>
      </c>
      <c r="AW46" s="45">
        <f>IF(((T46*pax_cap*IF(B46="South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Korea",korea_mid_revleg,revleg_mid)),0))*VLOOKUP(B46,country_opex,3,FALSE))+W46+X46+Y46+Z46+AA46))&lt;=0,"",VLOOKUP(B46,country_opex,7,FALSE)/((T46*pax_cap*IF(B46="South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Korea",korea_mid_revleg,revleg_mid)),0))*VLOOKUP(B46,country_opex,3,FALSE))+W46+X46+Y46+Z46+AA46)))</f>
        <v/>
      </c>
      <c r="AX46" s="45">
        <f>IF(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&lt;=0,"",VLOOKUP(B46,country_opex,7,FALSE)/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)</f>
        <v/>
      </c>
      <c r="AY46" s="46" t="n"/>
      <c r="AZ46" s="46" t="n"/>
      <c r="BA46" s="34" t="inlineStr">
        <is>
          <t>gcn-8605781d07-careem</t>
        </is>
      </c>
    </row>
    <row r="47">
      <c r="A47" s="31" t="inlineStr">
        <is>
          <t>Uae Noon</t>
        </is>
      </c>
      <c r="B47" s="31" t="inlineStr">
        <is>
          <t>United Arab Emirates</t>
        </is>
      </c>
      <c r="C47" s="32" t="inlineStr">
        <is>
          <t>Dubai Marina → Abu Dhabi Corniche</t>
        </is>
      </c>
      <c r="D47" s="33" t="n">
        <v>55.8</v>
      </c>
      <c r="E47" s="27" t="n"/>
      <c r="F47" s="34" t="n"/>
      <c r="G47" s="34" t="n"/>
      <c r="H47" s="20" t="n">
        <v>1</v>
      </c>
      <c r="I47" s="35">
        <f>60*D47/cruise_kt</f>
        <v/>
      </c>
      <c r="J47" s="35">
        <f>IF(B47="South Korea",D47/korea_charge_range_nm*korea_full_range_charge_min,0)</f>
        <v/>
      </c>
      <c r="K47" s="35">
        <f>IF(B47="South Korea",I47+korea_turn_min+korea_dwell_min+J47,I47+turn_min+dwell_min)</f>
        <v/>
      </c>
      <c r="L47" s="36">
        <f>IF(B47="South Korea",FLOOR(60*korea_service_hr/K47,1),MIN(15,FLOOR(60*service_hr/K47,1)))</f>
        <v/>
      </c>
      <c r="M47" s="36">
        <f>IF(ABS(MOD(ABS((365*mech_uptime*H47)),1)-0.5)&lt;1E-9,2*ROUND((365*mech_uptime*H47)/2,0),ROUND((365*mech_uptime*H47),0))</f>
        <v/>
      </c>
      <c r="N47" s="37">
        <f>mech_uptime</f>
        <v/>
      </c>
      <c r="O47" s="37">
        <f>IF(AND(B47="South Korea",scenario="MID"),korea_mid_revleg,revleg_sel)</f>
        <v/>
      </c>
      <c r="P47" s="36">
        <f>IF(ABS(MOD(ABS((L47*M47*O47)),1)-0.5)&lt;1E-9,2*ROUND((L47*M47*O47)/2,0),ROUND((L47*M47*O47),0))</f>
        <v/>
      </c>
      <c r="Q47" s="37">
        <f>IF(AND(B47="South Korea",scenario="MID"),korea_mid_load,load_sel)</f>
        <v/>
      </c>
      <c r="R47" s="38">
        <f>pax_cap*Q47</f>
        <v/>
      </c>
      <c r="S47" s="36">
        <f>R47*P47</f>
        <v/>
      </c>
      <c r="T47" s="39">
        <f>E47*discount</f>
        <v/>
      </c>
      <c r="U47" s="40">
        <f>T47*S47</f>
        <v/>
      </c>
      <c r="V47" s="40">
        <f>(battery/range_nm)*D47*P47*VLOOKUP(B47,country_opex,3,FALSE)</f>
        <v/>
      </c>
      <c r="W47" s="40">
        <f>VLOOKUP(B47,country_opex,2,FALSE)*crew_factor</f>
        <v/>
      </c>
      <c r="X47" s="40">
        <f>VLOOKUP(B47,country_opex,5,FALSE)</f>
        <v/>
      </c>
      <c r="Y47" s="40">
        <f>maint</f>
        <v/>
      </c>
      <c r="Z47" s="40">
        <f>VLOOKUP(B47,country_opex,7,FALSE)*ins_pct</f>
        <v/>
      </c>
      <c r="AA47" s="40">
        <f>charge_berth</f>
        <v/>
      </c>
      <c r="AB47" s="40">
        <f>V47+W47+X47+Y47+Z47+AA47</f>
        <v/>
      </c>
      <c r="AC47" s="40">
        <f>VLOOKUP(B47,country_opex,7,FALSE)/dep_years</f>
        <v/>
      </c>
      <c r="AD47" s="40">
        <f>U47-AB47</f>
        <v/>
      </c>
      <c r="AE47" s="37">
        <f>IF(U47=0,"",AD47/U47)</f>
        <v/>
      </c>
      <c r="AF47" s="38">
        <f>IF(AD47&lt;=0,"",VLOOKUP(B47,country_opex,7,FALSE)/AD47)</f>
        <v/>
      </c>
      <c r="AG47" s="35">
        <f>((D47*P47/diesel_nmpg)*diesel_co2pg-(battery/range_nm)*D47*P47*VLOOKUP(B47,country_opex,4,FALSE))/1000</f>
        <v/>
      </c>
      <c r="AH47" s="33" t="n"/>
      <c r="AI47" s="34" t="n"/>
      <c r="AJ47" s="34" t="n"/>
      <c r="AK47" s="41" t="n">
        <v>0.1</v>
      </c>
      <c r="AL47" s="36">
        <f>IF(AH47="","",AH47*AK47)</f>
        <v/>
      </c>
      <c r="AM47" s="36">
        <f>IF(OR(AH47="",S47=0),"",MIN(IF(AU47="",9.9E+99,AU47),FLOOR(AL47/S47,1)))</f>
        <v/>
      </c>
      <c r="AN47" s="40">
        <f>IF(AM47="","",AM47*IF(ABS(MOD(ABS((U47)),1)-0.5)&lt;1E-9,2*ROUND((U47)/2,0),ROUND((U47),0)))</f>
        <v/>
      </c>
      <c r="AO47" s="38">
        <f>IF(OR(AH47="",S47=0),"",MIN(IF(AU47="",9.9E+99,AU47),AL47/S47))</f>
        <v/>
      </c>
      <c r="AP47" s="40">
        <f>IF(AO47="","",AO47*IF(B47="South Korea",IF(ABS(MOD(ABS((U47)),1)-0.5)&lt;1E-9,2*ROUND((U47)/2,0),ROUND((U47),0)),U47))</f>
        <v/>
      </c>
      <c r="AQ47" s="42" t="n"/>
      <c r="AR47" s="34" t="inlineStr">
        <is>
          <t>Estimated</t>
        </is>
      </c>
      <c r="AS47" s="43" t="n"/>
      <c r="AT47" s="43" t="n"/>
      <c r="AU47" s="44" t="n"/>
      <c r="AV47" s="45">
        <f>IF(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&lt;=0,"",VLOOKUP(B47,country_opex,7,FALSE)/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)</f>
        <v/>
      </c>
      <c r="AW47" s="45">
        <f>IF(((T47*pax_cap*IF(B47="South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Korea",korea_mid_revleg,revleg_mid)),0))*VLOOKUP(B47,country_opex,3,FALSE))+W47+X47+Y47+Z47+AA47))&lt;=0,"",VLOOKUP(B47,country_opex,7,FALSE)/((T47*pax_cap*IF(B47="South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Korea",korea_mid_revleg,revleg_mid)),0))*VLOOKUP(B47,country_opex,3,FALSE))+W47+X47+Y47+Z47+AA47)))</f>
        <v/>
      </c>
      <c r="AX47" s="45">
        <f>IF(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&lt;=0,"",VLOOKUP(B47,country_opex,7,FALSE)/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)</f>
        <v/>
      </c>
      <c r="AY47" s="46" t="n"/>
      <c r="AZ47" s="46" t="n"/>
      <c r="BA47" s="34" t="n"/>
    </row>
    <row r="48">
      <c r="A48" s="31" t="inlineStr">
        <is>
          <t>Uae Noon</t>
        </is>
      </c>
      <c r="B48" s="31" t="inlineStr">
        <is>
          <t>United Arab Emirates</t>
        </is>
      </c>
      <c r="C48" s="32" t="inlineStr">
        <is>
          <t>Dubai Harbour Marina → Wynn Al Marjan Island arrival lagoon</t>
        </is>
      </c>
      <c r="D48" s="33" t="n">
        <v>56</v>
      </c>
      <c r="E48" s="27" t="n">
        <v>200</v>
      </c>
      <c r="F48" s="34" t="inlineStr">
        <is>
          <t>T5</t>
        </is>
      </c>
      <c r="G48" s="34" t="inlineStr">
        <is>
          <t>low</t>
        </is>
      </c>
      <c r="H48" s="20" t="n">
        <v>1</v>
      </c>
      <c r="I48" s="35">
        <f>60*D48/cruise_kt</f>
        <v/>
      </c>
      <c r="J48" s="35">
        <f>IF(B48="South Korea",D48/korea_charge_range_nm*korea_full_range_charge_min,0)</f>
        <v/>
      </c>
      <c r="K48" s="35">
        <f>IF(B48="South Korea",I48+korea_turn_min+korea_dwell_min+J48,I48+turn_min+dwell_min)</f>
        <v/>
      </c>
      <c r="L48" s="36">
        <f>IF(B48="South Korea",FLOOR(60*korea_service_hr/K48,1),MIN(15,FLOOR(60*service_hr/K48,1)))</f>
        <v/>
      </c>
      <c r="M48" s="36">
        <f>IF(ABS(MOD(ABS((365*mech_uptime*H48)),1)-0.5)&lt;1E-9,2*ROUND((365*mech_uptime*H48)/2,0),ROUND((365*mech_uptime*H48),0))</f>
        <v/>
      </c>
      <c r="N48" s="37">
        <f>mech_uptime</f>
        <v/>
      </c>
      <c r="O48" s="37">
        <f>IF(AND(B48="South Korea",scenario="MID"),korea_mid_revleg,revleg_sel)</f>
        <v/>
      </c>
      <c r="P48" s="36">
        <f>IF(ABS(MOD(ABS((L48*M48*O48)),1)-0.5)&lt;1E-9,2*ROUND((L48*M48*O48)/2,0),ROUND((L48*M48*O48),0))</f>
        <v/>
      </c>
      <c r="Q48" s="37">
        <f>IF(AND(B48="South Korea",scenario="MID"),korea_mid_load,load_sel)</f>
        <v/>
      </c>
      <c r="R48" s="38">
        <f>pax_cap*Q48</f>
        <v/>
      </c>
      <c r="S48" s="36">
        <f>R48*P48</f>
        <v/>
      </c>
      <c r="T48" s="39">
        <f>E48*discount</f>
        <v/>
      </c>
      <c r="U48" s="40">
        <f>T48*S48</f>
        <v/>
      </c>
      <c r="V48" s="40">
        <f>(battery/range_nm)*D48*P48*VLOOKUP(B48,country_opex,3,FALSE)</f>
        <v/>
      </c>
      <c r="W48" s="40">
        <f>VLOOKUP(B48,country_opex,2,FALSE)*crew_factor</f>
        <v/>
      </c>
      <c r="X48" s="40">
        <f>VLOOKUP(B48,country_opex,5,FALSE)</f>
        <v/>
      </c>
      <c r="Y48" s="40">
        <f>maint</f>
        <v/>
      </c>
      <c r="Z48" s="40">
        <f>VLOOKUP(B48,country_opex,7,FALSE)*ins_pct</f>
        <v/>
      </c>
      <c r="AA48" s="40">
        <f>charge_berth</f>
        <v/>
      </c>
      <c r="AB48" s="40">
        <f>V48+W48+X48+Y48+Z48+AA48</f>
        <v/>
      </c>
      <c r="AC48" s="40">
        <f>VLOOKUP(B48,country_opex,7,FALSE)/dep_years</f>
        <v/>
      </c>
      <c r="AD48" s="40">
        <f>U48-AB48</f>
        <v/>
      </c>
      <c r="AE48" s="37">
        <f>IF(U48=0,"",AD48/U48)</f>
        <v/>
      </c>
      <c r="AF48" s="38">
        <f>IF(AD48&lt;=0,"",VLOOKUP(B48,country_opex,7,FALSE)/AD48)</f>
        <v/>
      </c>
      <c r="AG48" s="35">
        <f>((D48*P48/diesel_nmpg)*diesel_co2pg-(battery/range_nm)*D48*P48*VLOOKUP(B48,country_opex,4,FALSE))/1000</f>
        <v/>
      </c>
      <c r="AH48" s="33" t="n">
        <v>60000</v>
      </c>
      <c r="AI48" s="34" t="inlineStr">
        <is>
          <t>T2</t>
        </is>
      </c>
      <c r="AJ48" s="34" t="inlineStr">
        <is>
          <t>medium</t>
        </is>
      </c>
      <c r="AK48" s="41" t="n">
        <v>0.1</v>
      </c>
      <c r="AL48" s="36">
        <f>IF(AH48="","",AH48*AK48)</f>
        <v/>
      </c>
      <c r="AM48" s="36">
        <f>IF(OR(AH48="",S48=0),"",MIN(IF(AU48="",9.9E+99,AU48),FLOOR(AL48/S48,1)))</f>
        <v/>
      </c>
      <c r="AN48" s="40">
        <f>IF(AM48="","",AM48*IF(ABS(MOD(ABS((U48)),1)-0.5)&lt;1E-9,2*ROUND((U48)/2,0),ROUND((U48),0)))</f>
        <v/>
      </c>
      <c r="AO48" s="38">
        <f>IF(OR(AH48="",S48=0),"",MIN(IF(AU48="",9.9E+99,AU48),AL48/S48))</f>
        <v/>
      </c>
      <c r="AP48" s="40">
        <f>IF(AO48="","",AO48*IF(B48="South Korea",IF(ABS(MOD(ABS((U48)),1)-0.5)&lt;1E-9,2*ROUND((U48)/2,0),ROUND((U48),0)),U48))</f>
        <v/>
      </c>
      <c r="AQ48" s="42" t="n"/>
      <c r="AR48" s="34" t="inlineStr">
        <is>
          <t>Grounded</t>
        </is>
      </c>
      <c r="AS48" s="43" t="n"/>
      <c r="AT48" s="43" t="n"/>
      <c r="AU48" s="44" t="n"/>
      <c r="AV48" s="45">
        <f>IF(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&lt;=0,"",VLOOKUP(B48,country_opex,7,FALSE)/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)</f>
        <v/>
      </c>
      <c r="AW48" s="45">
        <f>IF(((T48*pax_cap*IF(B48="South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Korea",korea_mid_revleg,revleg_mid)),0))*VLOOKUP(B48,country_opex,3,FALSE))+W48+X48+Y48+Z48+AA48))&lt;=0,"",VLOOKUP(B48,country_opex,7,FALSE)/((T48*pax_cap*IF(B48="South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Korea",korea_mid_revleg,revleg_mid)),0))*VLOOKUP(B48,country_opex,3,FALSE))+W48+X48+Y48+Z48+AA48)))</f>
        <v/>
      </c>
      <c r="AX48" s="45">
        <f>IF(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&lt;=0,"",VLOOKUP(B48,country_opex,7,FALSE)/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)</f>
        <v/>
      </c>
      <c r="AY48" s="46" t="inlineStr">
        <is>
          <t>Wynn Al Marjan (first UAE gaming resort) opens early 2027: 1,217 rooms + 297 residences. No marine transfer today. T5/low - greenfield.</t>
        </is>
      </c>
      <c r="AZ48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48" s="34" t="inlineStr">
        <is>
          <t>rn-dd4500aa99f5</t>
        </is>
      </c>
    </row>
    <row r="49">
      <c r="A49" s="31" t="inlineStr">
        <is>
          <t>Uae Noon</t>
        </is>
      </c>
      <c r="B49" s="31" t="inlineStr">
        <is>
          <t>United Arab Emirates</t>
        </is>
      </c>
      <c r="C49" s="32" t="inlineStr">
        <is>
          <t>Ushuaïa Dubai Harbour Experience → Marina Mall / Breakwater Marina</t>
        </is>
      </c>
      <c r="D49" s="33" t="n">
        <v>57.4</v>
      </c>
      <c r="E49" s="27" t="n">
        <v>48</v>
      </c>
      <c r="F49" s="34" t="inlineStr">
        <is>
          <t>T3</t>
        </is>
      </c>
      <c r="G49" s="34" t="inlineStr">
        <is>
          <t>med-low</t>
        </is>
      </c>
      <c r="H49" s="20" t="n">
        <v>1</v>
      </c>
      <c r="I49" s="35">
        <f>60*D49/cruise_kt</f>
        <v/>
      </c>
      <c r="J49" s="35">
        <f>IF(B49="South Korea",D49/korea_charge_range_nm*korea_full_range_charge_min,0)</f>
        <v/>
      </c>
      <c r="K49" s="35">
        <f>IF(B49="South Korea",I49+korea_turn_min+korea_dwell_min+J49,I49+turn_min+dwell_min)</f>
        <v/>
      </c>
      <c r="L49" s="36">
        <f>IF(B49="South Korea",FLOOR(60*korea_service_hr/K49,1),MIN(15,FLOOR(60*service_hr/K49,1)))</f>
        <v/>
      </c>
      <c r="M49" s="36">
        <f>IF(ABS(MOD(ABS((365*mech_uptime*H49)),1)-0.5)&lt;1E-9,2*ROUND((365*mech_uptime*H49)/2,0),ROUND((365*mech_uptime*H49),0))</f>
        <v/>
      </c>
      <c r="N49" s="37">
        <f>mech_uptime</f>
        <v/>
      </c>
      <c r="O49" s="37">
        <f>IF(AND(B49="South Korea",scenario="MID"),korea_mid_revleg,revleg_sel)</f>
        <v/>
      </c>
      <c r="P49" s="36">
        <f>IF(ABS(MOD(ABS((L49*M49*O49)),1)-0.5)&lt;1E-9,2*ROUND((L49*M49*O49)/2,0),ROUND((L49*M49*O49),0))</f>
        <v/>
      </c>
      <c r="Q49" s="37">
        <f>IF(AND(B49="South Korea",scenario="MID"),korea_mid_load,load_sel)</f>
        <v/>
      </c>
      <c r="R49" s="38">
        <f>pax_cap*Q49</f>
        <v/>
      </c>
      <c r="S49" s="36">
        <f>R49*P49</f>
        <v/>
      </c>
      <c r="T49" s="39">
        <f>E49*discount</f>
        <v/>
      </c>
      <c r="U49" s="40">
        <f>T49*S49</f>
        <v/>
      </c>
      <c r="V49" s="40">
        <f>(battery/range_nm)*D49*P49*VLOOKUP(B49,country_opex,3,FALSE)</f>
        <v/>
      </c>
      <c r="W49" s="40">
        <f>VLOOKUP(B49,country_opex,2,FALSE)*crew_factor</f>
        <v/>
      </c>
      <c r="X49" s="40">
        <f>VLOOKUP(B49,country_opex,5,FALSE)</f>
        <v/>
      </c>
      <c r="Y49" s="40">
        <f>maint</f>
        <v/>
      </c>
      <c r="Z49" s="40">
        <f>VLOOKUP(B49,country_opex,7,FALSE)*ins_pct</f>
        <v/>
      </c>
      <c r="AA49" s="40">
        <f>charge_berth</f>
        <v/>
      </c>
      <c r="AB49" s="40">
        <f>V49+W49+X49+Y49+Z49+AA49</f>
        <v/>
      </c>
      <c r="AC49" s="40">
        <f>VLOOKUP(B49,country_opex,7,FALSE)/dep_years</f>
        <v/>
      </c>
      <c r="AD49" s="40">
        <f>U49-AB49</f>
        <v/>
      </c>
      <c r="AE49" s="37">
        <f>IF(U49=0,"",AD49/U49)</f>
        <v/>
      </c>
      <c r="AF49" s="38">
        <f>IF(AD49&lt;=0,"",VLOOKUP(B49,country_opex,7,FALSE)/AD49)</f>
        <v/>
      </c>
      <c r="AG49" s="35">
        <f>((D49*P49/diesel_nmpg)*diesel_co2pg-(battery/range_nm)*D49*P49*VLOOKUP(B49,country_opex,4,FALSE))/1000</f>
        <v/>
      </c>
      <c r="AH49" s="33" t="n">
        <v>35000</v>
      </c>
      <c r="AI49" s="34" t="inlineStr">
        <is>
          <t>T3</t>
        </is>
      </c>
      <c r="AJ49" s="34" t="inlineStr">
        <is>
          <t>med-low</t>
        </is>
      </c>
      <c r="AK49" s="41" t="n">
        <v>0.1</v>
      </c>
      <c r="AL49" s="36">
        <f>IF(AH49="","",AH49*AK49)</f>
        <v/>
      </c>
      <c r="AM49" s="36">
        <f>IF(OR(AH49="",S49=0),"",MIN(IF(AU49="",9.9E+99,AU49),FLOOR(AL49/S49,1)))</f>
        <v/>
      </c>
      <c r="AN49" s="40">
        <f>IF(AM49="","",AM49*IF(ABS(MOD(ABS((U49)),1)-0.5)&lt;1E-9,2*ROUND((U49)/2,0),ROUND((U49),0)))</f>
        <v/>
      </c>
      <c r="AO49" s="38">
        <f>IF(OR(AH49="",S49=0),"",MIN(IF(AU49="",9.9E+99,AU49),AL49/S49))</f>
        <v/>
      </c>
      <c r="AP49" s="40">
        <f>IF(AO49="","",AO49*IF(B49="South Korea",IF(ABS(MOD(ABS((U49)),1)-0.5)&lt;1E-9,2*ROUND((U49)/2,0),ROUND((U49),0)),U49))</f>
        <v/>
      </c>
      <c r="AQ49" s="42" t="n"/>
      <c r="AR49" s="34" t="inlineStr">
        <is>
          <t>Grounded</t>
        </is>
      </c>
      <c r="AS49" s="43" t="n"/>
      <c r="AT49" s="43" t="n"/>
      <c r="AU49" s="44" t="n"/>
      <c r="AV49" s="45">
        <f>IF(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&lt;=0,"",VLOOKUP(B49,country_opex,7,FALSE)/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)</f>
        <v/>
      </c>
      <c r="AW49" s="45">
        <f>IF(((T49*pax_cap*IF(B49="South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Korea",korea_mid_revleg,revleg_mid)),0))*VLOOKUP(B49,country_opex,3,FALSE))+W49+X49+Y49+Z49+AA49))&lt;=0,"",VLOOKUP(B49,country_opex,7,FALSE)/((T49*pax_cap*IF(B49="South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Korea",korea_mid_revleg,revleg_mid)),0))*VLOOKUP(B49,country_opex,3,FALSE))+W49+X49+Y49+Z49+AA49)))</f>
        <v/>
      </c>
      <c r="AX49" s="45">
        <f>IF(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&lt;=0,"",VLOOKUP(B49,country_opex,7,FALSE)/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)</f>
        <v/>
      </c>
      <c r="AY49" s="46" t="inlineStr">
        <is>
          <t>uae-careem demand ladder + PR #58 Noon route seal (Careem-style super_app)</t>
        </is>
      </c>
      <c r="AZ49" s="46" t="inlineStr">
        <is>
          <t>uae-careem demand ladder + PR #58 Noon route seal (Careem-style super_app)</t>
        </is>
      </c>
      <c r="BA49" s="34" t="inlineStr">
        <is>
          <t>gcn-4ae479b872-bolt</t>
        </is>
      </c>
    </row>
    <row r="50">
      <c r="A50" s="31" t="inlineStr">
        <is>
          <t>Uae Noon</t>
        </is>
      </c>
      <c r="B50" s="31" t="inlineStr">
        <is>
          <t>United Arab Emirates</t>
        </is>
      </c>
      <c r="C50" s="32" t="inlineStr">
        <is>
          <t>Dubai Harbour Marina → Marina Mall / Breakwater Marina</t>
        </is>
      </c>
      <c r="D50" s="33" t="n">
        <v>59.8</v>
      </c>
      <c r="E50" s="27" t="n">
        <v>110</v>
      </c>
      <c r="F50" s="34" t="inlineStr">
        <is>
          <t>T5</t>
        </is>
      </c>
      <c r="G50" s="34" t="inlineStr">
        <is>
          <t>low</t>
        </is>
      </c>
      <c r="H50" s="20" t="n">
        <v>1</v>
      </c>
      <c r="I50" s="35">
        <f>60*D50/cruise_kt</f>
        <v/>
      </c>
      <c r="J50" s="35">
        <f>IF(B50="South Korea",D50/korea_charge_range_nm*korea_full_range_charge_min,0)</f>
        <v/>
      </c>
      <c r="K50" s="35">
        <f>IF(B50="South Korea",I50+korea_turn_min+korea_dwell_min+J50,I50+turn_min+dwell_min)</f>
        <v/>
      </c>
      <c r="L50" s="36">
        <f>IF(B50="South Korea",FLOOR(60*korea_service_hr/K50,1),MIN(15,FLOOR(60*service_hr/K50,1)))</f>
        <v/>
      </c>
      <c r="M50" s="36">
        <f>IF(ABS(MOD(ABS((365*mech_uptime*H50)),1)-0.5)&lt;1E-9,2*ROUND((365*mech_uptime*H50)/2,0),ROUND((365*mech_uptime*H50),0))</f>
        <v/>
      </c>
      <c r="N50" s="37">
        <f>mech_uptime</f>
        <v/>
      </c>
      <c r="O50" s="37">
        <f>IF(AND(B50="South Korea",scenario="MID"),korea_mid_revleg,revleg_sel)</f>
        <v/>
      </c>
      <c r="P50" s="36">
        <f>IF(ABS(MOD(ABS((L50*M50*O50)),1)-0.5)&lt;1E-9,2*ROUND((L50*M50*O50)/2,0),ROUND((L50*M50*O50),0))</f>
        <v/>
      </c>
      <c r="Q50" s="37">
        <f>IF(AND(B50="South Korea",scenario="MID"),korea_mid_load,load_sel)</f>
        <v/>
      </c>
      <c r="R50" s="38">
        <f>pax_cap*Q50</f>
        <v/>
      </c>
      <c r="S50" s="36">
        <f>R50*P50</f>
        <v/>
      </c>
      <c r="T50" s="39">
        <f>E50*discount</f>
        <v/>
      </c>
      <c r="U50" s="40">
        <f>T50*S50</f>
        <v/>
      </c>
      <c r="V50" s="40">
        <f>(battery/range_nm)*D50*P50*VLOOKUP(B50,country_opex,3,FALSE)</f>
        <v/>
      </c>
      <c r="W50" s="40">
        <f>VLOOKUP(B50,country_opex,2,FALSE)*crew_factor</f>
        <v/>
      </c>
      <c r="X50" s="40">
        <f>VLOOKUP(B50,country_opex,5,FALSE)</f>
        <v/>
      </c>
      <c r="Y50" s="40">
        <f>maint</f>
        <v/>
      </c>
      <c r="Z50" s="40">
        <f>VLOOKUP(B50,country_opex,7,FALSE)*ins_pct</f>
        <v/>
      </c>
      <c r="AA50" s="40">
        <f>charge_berth</f>
        <v/>
      </c>
      <c r="AB50" s="40">
        <f>V50+W50+X50+Y50+Z50+AA50</f>
        <v/>
      </c>
      <c r="AC50" s="40">
        <f>VLOOKUP(B50,country_opex,7,FALSE)/dep_years</f>
        <v/>
      </c>
      <c r="AD50" s="40">
        <f>U50-AB50</f>
        <v/>
      </c>
      <c r="AE50" s="37">
        <f>IF(U50=0,"",AD50/U50)</f>
        <v/>
      </c>
      <c r="AF50" s="38">
        <f>IF(AD50&lt;=0,"",VLOOKUP(B50,country_opex,7,FALSE)/AD50)</f>
        <v/>
      </c>
      <c r="AG50" s="35">
        <f>((D50*P50/diesel_nmpg)*diesel_co2pg-(battery/range_nm)*D50*P50*VLOOKUP(B50,country_opex,4,FALSE))/1000</f>
        <v/>
      </c>
      <c r="AH50" s="33" t="n">
        <v>25000</v>
      </c>
      <c r="AI50" s="34" t="inlineStr">
        <is>
          <t>T2</t>
        </is>
      </c>
      <c r="AJ50" s="34" t="inlineStr">
        <is>
          <t>low</t>
        </is>
      </c>
      <c r="AK50" s="41" t="n">
        <v>0.1</v>
      </c>
      <c r="AL50" s="36">
        <f>IF(AH50="","",AH50*AK50)</f>
        <v/>
      </c>
      <c r="AM50" s="36">
        <f>IF(OR(AH50="",S50=0),"",MIN(IF(AU50="",9.9E+99,AU50),FLOOR(AL50/S50,1)))</f>
        <v/>
      </c>
      <c r="AN50" s="40">
        <f>IF(AM50="","",AM50*IF(ABS(MOD(ABS((U50)),1)-0.5)&lt;1E-9,2*ROUND((U50)/2,0),ROUND((U50),0)))</f>
        <v/>
      </c>
      <c r="AO50" s="38">
        <f>IF(OR(AH50="",S50=0),"",MIN(IF(AU50="",9.9E+99,AU50),AL50/S50))</f>
        <v/>
      </c>
      <c r="AP50" s="40">
        <f>IF(AO50="","",AO50*IF(B50="South Korea",IF(ABS(MOD(ABS((U50)),1)-0.5)&lt;1E-9,2*ROUND((U50)/2,0),ROUND((U50),0)),U50))</f>
        <v/>
      </c>
      <c r="AQ50" s="42" t="n"/>
      <c r="AR50" s="34" t="inlineStr">
        <is>
          <t>Grounded</t>
        </is>
      </c>
      <c r="AS50" s="43" t="n"/>
      <c r="AT50" s="43" t="n"/>
      <c r="AU50" s="44" t="n"/>
      <c r="AV50" s="45">
        <f>IF(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&lt;=0,"",VLOOKUP(B50,country_opex,7,FALSE)/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)</f>
        <v/>
      </c>
      <c r="AW50" s="45">
        <f>IF(((T50*pax_cap*IF(B50="South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Korea",korea_mid_revleg,revleg_mid)),0))*VLOOKUP(B50,country_opex,3,FALSE))+W50+X50+Y50+Z50+AA50))&lt;=0,"",VLOOKUP(B50,country_opex,7,FALSE)/((T50*pax_cap*IF(B50="South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Korea",korea_mid_revleg,revleg_mid)),0))*VLOOKUP(B50,country_opex,3,FALSE))+W50+X50+Y50+Z50+AA50)))</f>
        <v/>
      </c>
      <c r="AX50" s="45">
        <f>IF(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&lt;=0,"",VLOOKUP(B50,country_opex,7,FALSE)/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)</f>
        <v/>
      </c>
      <c r="AY50" s="46" t="inlineStr">
        <is>
          <t>No Dubai&lt;-&gt;AD ferry. Whole-yacht charter AED 4,500/hr (8-pax ~$95-150/seat); limo AED 250-350. T5/low - opportunity-to-create.</t>
        </is>
      </c>
      <c r="AZ50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50" s="34" t="inlineStr">
        <is>
          <t>rn-a5ac4f587aee</t>
        </is>
      </c>
    </row>
    <row r="51">
      <c r="A51" s="31" t="inlineStr">
        <is>
          <t>Uae Noon</t>
        </is>
      </c>
      <c r="B51" s="31" t="inlineStr">
        <is>
          <t>United Arab Emirates</t>
        </is>
      </c>
      <c r="C51" s="32" t="inlineStr">
        <is>
          <t>Dubai Harbour Marina → Marina Mall / Breakwater Marina</t>
        </is>
      </c>
      <c r="D51" s="33" t="n">
        <v>59.8</v>
      </c>
      <c r="E51" s="27" t="n">
        <v>110</v>
      </c>
      <c r="F51" s="34" t="inlineStr">
        <is>
          <t>T5</t>
        </is>
      </c>
      <c r="G51" s="34" t="inlineStr">
        <is>
          <t>low</t>
        </is>
      </c>
      <c r="H51" s="20" t="n">
        <v>1</v>
      </c>
      <c r="I51" s="35">
        <f>60*D51/cruise_kt</f>
        <v/>
      </c>
      <c r="J51" s="35">
        <f>IF(B51="South Korea",D51/korea_charge_range_nm*korea_full_range_charge_min,0)</f>
        <v/>
      </c>
      <c r="K51" s="35">
        <f>IF(B51="South Korea",I51+korea_turn_min+korea_dwell_min+J51,I51+turn_min+dwell_min)</f>
        <v/>
      </c>
      <c r="L51" s="36">
        <f>IF(B51="South Korea",FLOOR(60*korea_service_hr/K51,1),MIN(15,FLOOR(60*service_hr/K51,1)))</f>
        <v/>
      </c>
      <c r="M51" s="36">
        <f>IF(ABS(MOD(ABS((365*mech_uptime*H51)),1)-0.5)&lt;1E-9,2*ROUND((365*mech_uptime*H51)/2,0),ROUND((365*mech_uptime*H51),0))</f>
        <v/>
      </c>
      <c r="N51" s="37">
        <f>mech_uptime</f>
        <v/>
      </c>
      <c r="O51" s="37">
        <f>IF(AND(B51="South Korea",scenario="MID"),korea_mid_revleg,revleg_sel)</f>
        <v/>
      </c>
      <c r="P51" s="36">
        <f>IF(ABS(MOD(ABS((L51*M51*O51)),1)-0.5)&lt;1E-9,2*ROUND((L51*M51*O51)/2,0),ROUND((L51*M51*O51),0))</f>
        <v/>
      </c>
      <c r="Q51" s="37">
        <f>IF(AND(B51="South Korea",scenario="MID"),korea_mid_load,load_sel)</f>
        <v/>
      </c>
      <c r="R51" s="38">
        <f>pax_cap*Q51</f>
        <v/>
      </c>
      <c r="S51" s="36">
        <f>R51*P51</f>
        <v/>
      </c>
      <c r="T51" s="39">
        <f>E51*discount</f>
        <v/>
      </c>
      <c r="U51" s="40">
        <f>T51*S51</f>
        <v/>
      </c>
      <c r="V51" s="40">
        <f>(battery/range_nm)*D51*P51*VLOOKUP(B51,country_opex,3,FALSE)</f>
        <v/>
      </c>
      <c r="W51" s="40">
        <f>VLOOKUP(B51,country_opex,2,FALSE)*crew_factor</f>
        <v/>
      </c>
      <c r="X51" s="40">
        <f>VLOOKUP(B51,country_opex,5,FALSE)</f>
        <v/>
      </c>
      <c r="Y51" s="40">
        <f>maint</f>
        <v/>
      </c>
      <c r="Z51" s="40">
        <f>VLOOKUP(B51,country_opex,7,FALSE)*ins_pct</f>
        <v/>
      </c>
      <c r="AA51" s="40">
        <f>charge_berth</f>
        <v/>
      </c>
      <c r="AB51" s="40">
        <f>V51+W51+X51+Y51+Z51+AA51</f>
        <v/>
      </c>
      <c r="AC51" s="40">
        <f>VLOOKUP(B51,country_opex,7,FALSE)/dep_years</f>
        <v/>
      </c>
      <c r="AD51" s="40">
        <f>U51-AB51</f>
        <v/>
      </c>
      <c r="AE51" s="37">
        <f>IF(U51=0,"",AD51/U51)</f>
        <v/>
      </c>
      <c r="AF51" s="38">
        <f>IF(AD51&lt;=0,"",VLOOKUP(B51,country_opex,7,FALSE)/AD51)</f>
        <v/>
      </c>
      <c r="AG51" s="35">
        <f>((D51*P51/diesel_nmpg)*diesel_co2pg-(battery/range_nm)*D51*P51*VLOOKUP(B51,country_opex,4,FALSE))/1000</f>
        <v/>
      </c>
      <c r="AH51" s="33" t="n">
        <v>25000</v>
      </c>
      <c r="AI51" s="34" t="inlineStr">
        <is>
          <t>T2</t>
        </is>
      </c>
      <c r="AJ51" s="34" t="inlineStr">
        <is>
          <t>low</t>
        </is>
      </c>
      <c r="AK51" s="41" t="n">
        <v>0.1</v>
      </c>
      <c r="AL51" s="36">
        <f>IF(AH51="","",AH51*AK51)</f>
        <v/>
      </c>
      <c r="AM51" s="36">
        <f>IF(OR(AH51="",S51=0),"",MIN(IF(AU51="",9.9E+99,AU51),FLOOR(AL51/S51,1)))</f>
        <v/>
      </c>
      <c r="AN51" s="40">
        <f>IF(AM51="","",AM51*IF(ABS(MOD(ABS((U51)),1)-0.5)&lt;1E-9,2*ROUND((U51)/2,0),ROUND((U51),0)))</f>
        <v/>
      </c>
      <c r="AO51" s="38">
        <f>IF(OR(AH51="",S51=0),"",MIN(IF(AU51="",9.9E+99,AU51),AL51/S51))</f>
        <v/>
      </c>
      <c r="AP51" s="40">
        <f>IF(AO51="","",AO51*IF(B51="South Korea",IF(ABS(MOD(ABS((U51)),1)-0.5)&lt;1E-9,2*ROUND((U51)/2,0),ROUND((U51),0)),U51))</f>
        <v/>
      </c>
      <c r="AQ51" s="42" t="n"/>
      <c r="AR51" s="34" t="inlineStr">
        <is>
          <t>Grounded</t>
        </is>
      </c>
      <c r="AS51" s="43" t="n"/>
      <c r="AT51" s="43" t="n"/>
      <c r="AU51" s="44" t="n"/>
      <c r="AV51" s="45">
        <f>IF(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&lt;=0,"",VLOOKUP(B51,country_opex,7,FALSE)/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)</f>
        <v/>
      </c>
      <c r="AW51" s="45">
        <f>IF(((T51*pax_cap*IF(B51="South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Korea",korea_mid_revleg,revleg_mid)),0))*VLOOKUP(B51,country_opex,3,FALSE))+W51+X51+Y51+Z51+AA51))&lt;=0,"",VLOOKUP(B51,country_opex,7,FALSE)/((T51*pax_cap*IF(B51="South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Korea",korea_mid_revleg,revleg_mid)),0))*VLOOKUP(B51,country_opex,3,FALSE))+W51+X51+Y51+Z51+AA51)))</f>
        <v/>
      </c>
      <c r="AX51" s="45">
        <f>IF(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&lt;=0,"",VLOOKUP(B51,country_opex,7,FALSE)/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)</f>
        <v/>
      </c>
      <c r="AY51" s="46" t="inlineStr">
        <is>
          <t>No Dubai&lt;-&gt;AD ferry. Whole-yacht charter AED 4,500/hr (8-pax ~$95-150/seat); limo AED 250-350. T5/low - opportunity-to-create.</t>
        </is>
      </c>
      <c r="AZ51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51" s="34" t="inlineStr">
        <is>
          <t>gcn-4ae479b872-bolt</t>
        </is>
      </c>
    </row>
    <row r="52">
      <c r="A52" s="47" t="inlineStr">
        <is>
          <t>TOTAL / median</t>
        </is>
      </c>
      <c r="U52" s="48">
        <f>SUM(U4:U51)</f>
        <v/>
      </c>
      <c r="AD52" s="48">
        <f>SUM(AD4:AD51)</f>
        <v/>
      </c>
      <c r="AE52" s="49">
        <f>IF(U52=0,"",AD52/U52)</f>
        <v/>
      </c>
      <c r="AM52" s="50">
        <f>SUM(AM4:AM51)</f>
        <v/>
      </c>
      <c r="AN52" s="48">
        <f>SUM(AN4:AN51)</f>
        <v/>
      </c>
    </row>
    <row r="54">
      <c r="A54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55">
      <c r="A55" s="25" t="inlineStr">
        <is>
          <t>Market</t>
        </is>
      </c>
      <c r="B55" s="25" t="inlineStr">
        <is>
          <t>Fleet basis</t>
        </is>
      </c>
      <c r="C55" s="25" t="inlineStr">
        <is>
          <t>Raw vessels (sum)</t>
        </is>
      </c>
      <c r="D55" s="25" t="inlineStr">
        <is>
          <t>Fleet (rounded once)</t>
        </is>
      </c>
      <c r="E55" s="25" t="inlineStr">
        <is>
          <t>Market rev/yr (raw sum)</t>
        </is>
      </c>
    </row>
    <row r="56">
      <c r="A56" s="26" t="inlineStr">
        <is>
          <t>Uae Noon</t>
        </is>
      </c>
      <c r="B56" s="14" t="inlineStr">
        <is>
          <t>network_sum / ceil</t>
        </is>
      </c>
      <c r="C56" s="24">
        <f>SUMIFS(AO4:AO51,A4:A51,"Uae Noon",AQ4:AQ51,"=",AR4:AR51,"Grounded")</f>
        <v/>
      </c>
      <c r="D56" s="51">
        <f>IF(C56=0,0,CEILING(C56,1))</f>
        <v/>
      </c>
      <c r="E56" s="52">
        <f>SUMIFS(AP4:AP51,A4:A51,"Uae Noon",AQ4:AQ51,"=",AR4:AR51,"Grounded")</f>
        <v/>
      </c>
    </row>
    <row r="57">
      <c r="A57" s="47" t="inlineStr">
        <is>
          <t>GROUNDED FLOOR (PUBLISHED)</t>
        </is>
      </c>
      <c r="D57" s="50">
        <f>SUM(D56:D56)</f>
        <v/>
      </c>
      <c r="E57" s="48">
        <f>SUM(E56:E56)</f>
        <v/>
      </c>
    </row>
    <row r="58">
      <c r="A58" s="21" t="inlineStr">
        <is>
          <t>ESTIMATED DEMAND (country-median cascade; held OUT of grounded floor)</t>
        </is>
      </c>
      <c r="D58" s="53">
        <f>SUMIF(AR4:AR51,"Estimated",AM4:AM51)</f>
        <v/>
      </c>
      <c r="E58" s="54">
        <f>SUMIF(AR4:AR51,"Estimated",AN4:AN51)</f>
        <v/>
      </c>
    </row>
    <row r="59">
      <c r="A59" s="55" t="inlineStr">
        <is>
          <t>Held for Quanta-LR (&gt;70nm, roadmap H2 2026+):</t>
        </is>
      </c>
      <c r="C59" s="56" t="inlineStr">
        <is>
          <t>Abu Dhabi → Muscat (360.9nm)</t>
        </is>
      </c>
    </row>
    <row r="60">
      <c r="C60" s="56" t="inlineStr">
        <is>
          <t>Fujairah → Muscat (149.1nm)</t>
        </is>
      </c>
    </row>
    <row r="61">
      <c r="C61" s="56" t="inlineStr">
        <is>
          <t>Marina Mall / Breakwater Marina → Sir Bani Yas Cruise Port (93.1nm)</t>
        </is>
      </c>
    </row>
  </sheetData>
  <mergeCells count="2">
    <mergeCell ref="A54:L54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economics'!$AR$4:$AR$51="Grounded"),'Corridor economics'!$AH$4:$AH$51,'Corridor economics'!$E$4:$E$51),0))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economics'!$AR$4:$AR$51="Grounded"),'Corridor economics'!$AH$4:$AH$51,'Corridor economics'!$E$4:$E$51),0)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2026-07-20T06:56:56Z</dcterms:created>
  <dcterms:modified xsi:type="dcterms:W3CDTF">2026-07-20T06:56:57Z</dcterms:modified>
</cp:coreProperties>
</file>