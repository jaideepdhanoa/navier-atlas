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Economics holds" sheetId="4" state="visible" r:id="rId4"/>
    <sheet name="Corridor economics" sheetId="5" state="visible" r:id="rId5"/>
    <sheet name="Market sizing" sheetId="6" state="visible" r:id="rId6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korea_mid_load">'Assumptions'!$B$34</definedName>
    <definedName name="korea_mid_revleg">'Assumptions'!$B$35</definedName>
    <definedName name="korea_service_hr">'Assumptions'!$B$36</definedName>
    <definedName name="korea_turn_min">'Assumptions'!$B$37</definedName>
    <definedName name="korea_dwell_min">'Assumptions'!$B$38</definedName>
    <definedName name="korea_charge_range_nm">'Assumptions'!$B$39</definedName>
    <definedName name="korea_full_range_charge_min">'Assumptions'!$B$40</definedName>
    <definedName name="load_thin">'Assumptions'!$B$44</definedName>
    <definedName name="revleg_thin">'Assumptions'!$C$44</definedName>
    <definedName name="load_mid">'Assumptions'!$B$45</definedName>
    <definedName name="revleg_mid">'Assumptions'!$C$45</definedName>
    <definedName name="load_full">'Assumptions'!$B$46</definedName>
    <definedName name="revleg_full">'Assumptions'!$C$46</definedName>
    <definedName name="band_tbl">'Assumptions'!$A$44:$C$46</definedName>
    <definedName name="scenario">'Assumptions'!$B$48</definedName>
    <definedName name="load_sel">'Assumptions'!$B$49</definedName>
    <definedName name="revleg_sel">'Assumptions'!$B$50</definedName>
    <definedName name="country_opex">'Country opex'!$A$4:$G$7</definedName>
    <definedName name="som_floor_fleet">'Corridor economics'!$D$13</definedName>
    <definedName name="som_floor_rev">'Corridor economics'!$E$13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2E5A8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pivotButton="0" quotePrefix="0" xfId="0"/>
    <xf numFmtId="0" fontId="4" fillId="7" borderId="0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Caribbean-Mobility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gross legs/day × operating days/yr × revenue-leg utilization × (pax capacity × seat occupancy) × Navier fare</t>
        </is>
      </c>
    </row>
    <row r="10">
      <c r="B10" s="5" t="inlineStr">
        <is>
          <t xml:space="preserve">    gross legs/day = FLOOR(service window min ÷ cycle time); South Korea cycle = one-way + 20 min turnaround + 10 min boarding + charge recovery</t>
        </is>
      </c>
    </row>
    <row r="11">
      <c r="B11" s="5" t="inlineStr">
        <is>
          <t xml:space="preserve">    South Korea charge recovery = distance_nm / 70 × 45 min — PLANNING PROXY requiring engineering validation; not a certified charge curve</t>
        </is>
      </c>
    </row>
    <row r="12">
      <c r="B12" s="5" t="inlineStr">
        <is>
          <t xml:space="preserve">    one-way time   = distance(nm) ÷ cruise speed(kt)</t>
        </is>
      </c>
    </row>
    <row r="13">
      <c r="B13" s="5" t="inlineStr">
        <is>
          <t xml:space="preserve">    operating days = 365 × mechanical uptime × weather factor</t>
        </is>
      </c>
    </row>
    <row r="14">
      <c r="B14" s="5" t="inlineStr">
        <is>
          <t xml:space="preserve">    Navier fare    = comparable premium transfer fare × discount (=1.0, market parity)</t>
        </is>
      </c>
    </row>
    <row r="15">
      <c r="B15" s="4" t="inlineStr">
        <is>
          <t>EBITDA  = REVENUE − OPEX</t>
        </is>
      </c>
    </row>
    <row r="16">
      <c r="B16" s="5" t="inlineStr">
        <is>
          <t xml:space="preserve">    OPEX = energy + crew + berth/port admin + maintenance + vessel insurance + fast-charge berth</t>
        </is>
      </c>
    </row>
    <row r="17">
      <c r="B17" s="4" t="inlineStr">
        <is>
          <t>PAYBACK = vessel CAPEX ÷ EBITDA</t>
        </is>
      </c>
    </row>
    <row r="18">
      <c r="B18" s="2" t="inlineStr"/>
    </row>
    <row r="19">
      <c r="B19" s="3" t="inlineStr">
        <is>
          <t>OPEX lines (per boat, per year — no double-counting)</t>
        </is>
      </c>
    </row>
    <row r="20">
      <c r="B20" s="2" t="inlineStr">
        <is>
          <t>Energy — variable propulsion cost: kWh on revenue sailings × local $/kWh (Country opex tab). Excludes utility demand charges.</t>
        </is>
      </c>
    </row>
    <row r="21">
      <c r="B21" s="2" t="inlineStr">
        <is>
          <t>Crew — fully-loaded captain + relief: local captain wage × crew FTE factor (Country opex + Assumptions).</t>
        </is>
      </c>
    </row>
    <row r="22">
      <c r="B22" s="2" t="inlineStr">
        <is>
          <t>Berth &amp; port admin — fixed annual berth, port fees, and local marine admin (Country opex tab). Excludes vessel H&amp;M+P&amp;I and fast-charge infrastructure.</t>
        </is>
      </c>
    </row>
    <row r="23">
      <c r="B23" s="2" t="inlineStr">
        <is>
          <t>Maintenance — vessel annual maintenance reserve (Assumptions tab).</t>
        </is>
      </c>
    </row>
    <row r="24">
      <c r="B24" s="2" t="inlineStr">
        <is>
          <t>Vessel insurance — commercial H&amp;M + P&amp;I as % of regional CAPEX (Assumptions % × Country opex CAPEX column).</t>
        </is>
      </c>
    </row>
    <row r="25">
      <c r="B25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6">
      <c r="B26" s="2" t="inlineStr"/>
    </row>
    <row r="27">
      <c r="B27" s="3" t="inlineStr">
        <is>
          <t>From demand pool to fleet &amp; market size</t>
        </is>
      </c>
    </row>
    <row r="28">
      <c r="B2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9">
      <c r="B29" s="2" t="inlineStr">
        <is>
          <t>Vessels supported = FLOOR(Navier rides/yr ÷ pax/yr per boat);  Market rev = vessels × rev/boat. The 'Market sizing' tab rolls these up into the SOM → SAM → TAM ladder.</t>
        </is>
      </c>
    </row>
    <row r="30">
      <c r="B30" s="2" t="inlineStr"/>
    </row>
    <row r="31">
      <c r="B31" s="3" t="inlineStr">
        <is>
          <t>The scenario toggle (what we flex)</t>
        </is>
      </c>
    </row>
    <row r="32">
      <c r="B32" s="2" t="inlineStr">
        <is>
          <t>'Corridor economics' has a SCENARIO cell = THIN / MID / FULL. It flexes seat occupancy and revenue-leg utilization as separate inputs. South Korea MID uses 65% for each, with gross legs/day schedule-derived and uncapped; thin/full occupancy bookends remain 45%/70%. Other countries retain their existing caps and bands. Payback THIN/MID/FULL columns always show all three at once.</t>
        </is>
      </c>
    </row>
    <row r="33">
      <c r="B33" s="2" t="inlineStr"/>
    </row>
    <row r="34">
      <c r="B34" s="3" t="inlineStr">
        <is>
          <t>Colour &amp; provenance legend</t>
        </is>
      </c>
    </row>
    <row r="35">
      <c r="B35" s="6" t="inlineStr">
        <is>
          <t xml:space="preserve">   Yellow = INPUTS you can change (fare, distance, demand, weather).</t>
        </is>
      </c>
    </row>
    <row r="36">
      <c r="B36" s="7" t="inlineStr">
        <is>
          <t xml:space="preserve">   Green  = COMPUTED by formula.</t>
        </is>
      </c>
    </row>
    <row r="37">
      <c r="B3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  <row r="38">
      <c r="B38" s="8" t="inlineStr">
        <is>
          <t xml:space="preserve">   Economics holds: 1 corridor(s) are explicitly excluded; see the Economics holds tab. Missing country costs never borrow Singapore or another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9" t="inlineStr">
        <is>
          <t>Assumptions — single source of truth (the engine references these named cells)</t>
        </is>
      </c>
    </row>
    <row r="3">
      <c r="A3" s="10" t="inlineStr">
        <is>
          <t>Vessel — N30 Pioneer II  (L1 global, commercial now)</t>
        </is>
      </c>
    </row>
    <row r="4">
      <c r="A4" s="11" t="inlineStr">
        <is>
          <t>Parameter</t>
        </is>
      </c>
      <c r="B4" s="11" t="inlineStr">
        <is>
          <t>Value</t>
        </is>
      </c>
      <c r="C4" s="11" t="inlineStr">
        <is>
          <t>Unit</t>
        </is>
      </c>
      <c r="D4" s="11" t="inlineStr">
        <is>
          <t>Tier</t>
        </is>
      </c>
      <c r="E4" s="11" t="inlineStr">
        <is>
          <t>Conf.</t>
        </is>
      </c>
      <c r="F4" s="11" t="inlineStr">
        <is>
          <t>Source / note</t>
        </is>
      </c>
    </row>
    <row r="5">
      <c r="A5" s="12" t="inlineStr">
        <is>
          <t>Passenger capacity</t>
        </is>
      </c>
      <c r="B5" s="13" t="n">
        <v>8</v>
      </c>
      <c r="C5" s="14" t="inlineStr">
        <is>
          <t>pax</t>
        </is>
      </c>
      <c r="D5" s="14" t="inlineStr">
        <is>
          <t>T1</t>
        </is>
      </c>
      <c r="E5" s="14" t="inlineStr">
        <is>
          <t>high</t>
        </is>
      </c>
      <c r="F5" s="15" t="inlineStr">
        <is>
          <t>Navier model: up to 8 pax where local rules allow (Jaideep set base case to 8, 2026-06-06)</t>
        </is>
      </c>
    </row>
    <row r="6">
      <c r="A6" s="12" t="inlineStr">
        <is>
          <t>Range</t>
        </is>
      </c>
      <c r="B6" s="13" t="n">
        <v>70</v>
      </c>
      <c r="C6" s="14" t="inlineStr">
        <is>
          <t>nm</t>
        </is>
      </c>
      <c r="D6" s="14" t="inlineStr">
        <is>
          <t>T1</t>
        </is>
      </c>
      <c r="E6" s="14" t="inlineStr">
        <is>
          <t>high</t>
        </is>
      </c>
      <c r="F6" s="15" t="inlineStr">
        <is>
          <t>Navier locked spec (KB)</t>
        </is>
      </c>
    </row>
    <row r="7">
      <c r="A7" s="12" t="inlineStr">
        <is>
          <t>Cruise speed</t>
        </is>
      </c>
      <c r="B7" s="13" t="n">
        <v>20</v>
      </c>
      <c r="C7" s="14" t="inlineStr">
        <is>
          <t>kt</t>
        </is>
      </c>
      <c r="D7" s="14" t="inlineStr">
        <is>
          <t>T1</t>
        </is>
      </c>
      <c r="E7" s="14" t="inlineStr">
        <is>
          <t>high</t>
        </is>
      </c>
      <c r="F7" s="15" t="inlineStr">
        <is>
          <t>Navier locked spec (cruise)</t>
        </is>
      </c>
    </row>
    <row r="8">
      <c r="A8" s="12" t="inlineStr">
        <is>
          <t>CAPEX (per vessel; US/EU base — ROW=$600K, see Country opex tab col G)</t>
        </is>
      </c>
      <c r="B8" s="16" t="n">
        <v>900000</v>
      </c>
      <c r="C8" s="14" t="inlineStr">
        <is>
          <t>USD</t>
        </is>
      </c>
      <c r="D8" s="14" t="inlineStr">
        <is>
          <t>T1</t>
        </is>
      </c>
      <c r="E8" s="14" t="inlineStr">
        <is>
          <t>high</t>
        </is>
      </c>
      <c r="F8" s="15" t="inlineStr">
        <is>
          <t>Navier price (LYFT ref model, ex tax/fees)</t>
        </is>
      </c>
    </row>
    <row r="9">
      <c r="A9" s="12" t="inlineStr">
        <is>
          <t>Battery</t>
        </is>
      </c>
      <c r="B9" s="13" t="n">
        <v>114</v>
      </c>
      <c r="C9" s="14" t="inlineStr">
        <is>
          <t>kWh</t>
        </is>
      </c>
      <c r="D9" s="14" t="inlineStr">
        <is>
          <t>T1</t>
        </is>
      </c>
      <c r="E9" s="14" t="inlineStr">
        <is>
          <t>high</t>
        </is>
      </c>
      <c r="F9" s="15" t="inlineStr">
        <is>
          <t>Navier data (LYFT ref model)</t>
        </is>
      </c>
    </row>
    <row r="10">
      <c r="A10" s="12" t="inlineStr">
        <is>
          <t>Annual maintenance</t>
        </is>
      </c>
      <c r="B10" s="16" t="n">
        <v>10000</v>
      </c>
      <c r="C10" s="14" t="inlineStr">
        <is>
          <t>USD/yr</t>
        </is>
      </c>
      <c r="D10" s="14" t="inlineStr">
        <is>
          <t>T1</t>
        </is>
      </c>
      <c r="E10" s="14" t="inlineStr">
        <is>
          <t>med</t>
        </is>
      </c>
      <c r="F10" s="15" t="inlineStr">
        <is>
          <t>Navier data (LYFT ref model)</t>
        </is>
      </c>
    </row>
    <row r="11">
      <c r="A11" s="12" t="inlineStr">
        <is>
          <t>Depreciation life</t>
        </is>
      </c>
      <c r="B11" s="13" t="n">
        <v>20</v>
      </c>
      <c r="C11" s="14" t="inlineStr">
        <is>
          <t>yr</t>
        </is>
      </c>
      <c r="D11" s="14" t="inlineStr">
        <is>
          <t>T2</t>
        </is>
      </c>
      <c r="E11" s="14" t="inlineStr">
        <is>
          <t>med</t>
        </is>
      </c>
      <c r="F11" s="15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2" t="inlineStr">
        <is>
          <t>Diesel comparable economy</t>
        </is>
      </c>
      <c r="B12" s="17" t="n">
        <v>1.5</v>
      </c>
      <c r="C12" s="14" t="inlineStr">
        <is>
          <t>nm/gal</t>
        </is>
      </c>
      <c r="D12" s="14" t="inlineStr">
        <is>
          <t>T3</t>
        </is>
      </c>
      <c r="E12" s="14" t="inlineStr">
        <is>
          <t>med</t>
        </is>
      </c>
      <c r="F12" s="15" t="inlineStr">
        <is>
          <t>Navier + open web (LYFT ref model)</t>
        </is>
      </c>
    </row>
    <row r="14">
      <c r="A14" s="10" t="inlineStr">
        <is>
          <t>Operating defaults  (L1 global; overridable per market)</t>
        </is>
      </c>
    </row>
    <row r="15">
      <c r="A15" s="11" t="inlineStr">
        <is>
          <t>Parameter</t>
        </is>
      </c>
      <c r="B15" s="11" t="inlineStr">
        <is>
          <t>Value</t>
        </is>
      </c>
      <c r="C15" s="11" t="inlineStr">
        <is>
          <t>Unit</t>
        </is>
      </c>
      <c r="D15" s="11" t="inlineStr">
        <is>
          <t>Tier</t>
        </is>
      </c>
      <c r="E15" s="11" t="inlineStr">
        <is>
          <t>Conf.</t>
        </is>
      </c>
      <c r="F15" s="11" t="inlineStr">
        <is>
          <t>Source / note</t>
        </is>
      </c>
    </row>
    <row r="16">
      <c r="A16" s="12" t="inlineStr">
        <is>
          <t>Service window</t>
        </is>
      </c>
      <c r="B16" s="13" t="n">
        <v>12</v>
      </c>
      <c r="C16" s="14" t="inlineStr">
        <is>
          <t>hr/day</t>
        </is>
      </c>
      <c r="D16" s="14" t="inlineStr">
        <is>
          <t>T5</t>
        </is>
      </c>
      <c r="E16" s="14" t="inlineStr">
        <is>
          <t>low</t>
        </is>
      </c>
      <c r="F16" s="15" t="inlineStr">
        <is>
          <t>Modeled single-asset commercial service window (one extended crew day, water-taxi norm). Conservative vs 24h.</t>
        </is>
      </c>
    </row>
    <row r="17">
      <c r="A17" s="12" t="inlineStr">
        <is>
          <t>Turnaround / charge per leg</t>
        </is>
      </c>
      <c r="B17" s="13" t="n">
        <v>20</v>
      </c>
      <c r="C17" s="14" t="inlineStr">
        <is>
          <t>min</t>
        </is>
      </c>
      <c r="D17" s="14" t="inlineStr">
        <is>
          <t>T1</t>
        </is>
      </c>
      <c r="E17" s="14" t="inlineStr">
        <is>
          <t>med</t>
        </is>
      </c>
      <c r="F17" s="15" t="inlineStr">
        <is>
          <t>Navier fast-charge (LYFT ref ~20-30min)</t>
        </is>
      </c>
    </row>
    <row r="18">
      <c r="A18" s="12" t="inlineStr">
        <is>
          <t>Boarding / scheduling dwell per leg</t>
        </is>
      </c>
      <c r="B18" s="13" t="n">
        <v>10</v>
      </c>
      <c r="C18" s="14" t="inlineStr">
        <is>
          <t>min</t>
        </is>
      </c>
      <c r="D18" s="14" t="inlineStr">
        <is>
          <t>T3</t>
        </is>
      </c>
      <c r="E18" s="14" t="inlineStr">
        <is>
          <t>med</t>
        </is>
      </c>
      <c r="F18" s="15" t="inlineStr">
        <is>
          <t>Premium board/deboard + scheduling slack added to each cycle (Jaideep 2026-06-19).</t>
        </is>
      </c>
    </row>
    <row r="19">
      <c r="A19" s="12" t="inlineStr">
        <is>
          <t>Max revenue sailings/day (cap)</t>
        </is>
      </c>
      <c r="B19" s="13" t="n">
        <v>15</v>
      </c>
      <c r="C19" s="14" t="inlineStr">
        <is>
          <t>legs/day</t>
        </is>
      </c>
      <c r="D19" s="14" t="inlineStr">
        <is>
          <t>T3</t>
        </is>
      </c>
      <c r="E19" s="14" t="inlineStr">
        <is>
          <t>med</t>
        </is>
      </c>
      <c r="F19" s="15" t="inlineStr">
        <is>
          <t>Cap on revenue sailings/day — 15 across thin/mid/full scenarios (Jaideep 2026-06-21).</t>
        </is>
      </c>
    </row>
    <row r="20">
      <c r="A20" s="12" t="inlineStr">
        <is>
          <t>Crew FTE factor (x captain wage)</t>
        </is>
      </c>
      <c r="B20" s="17" t="n">
        <v>1.8</v>
      </c>
      <c r="C20" s="14" t="inlineStr">
        <is>
          <t>x</t>
        </is>
      </c>
      <c r="D20" s="14" t="inlineStr">
        <is>
          <t>T3</t>
        </is>
      </c>
      <c r="E20" s="14" t="inlineStr">
        <is>
          <t>med</t>
        </is>
      </c>
      <c r="F20" s="15" t="inlineStr">
        <is>
          <t>A captain can't run 7 days/wk; 1.8 FTE covers relief/leave/second-shift year-round (Jaideep 2026-06-19). Scales off localized captain wage.</t>
        </is>
      </c>
    </row>
    <row r="21">
      <c r="A21" s="12" t="inlineStr">
        <is>
          <t>Mechanical uptime</t>
        </is>
      </c>
      <c r="B21" s="18" t="n">
        <v>0.75</v>
      </c>
      <c r="C21" s="14" t="inlineStr">
        <is>
          <t>frac</t>
        </is>
      </c>
      <c r="D21" s="14" t="inlineStr">
        <is>
          <t>T4</t>
        </is>
      </c>
      <c r="E21" s="14" t="inlineStr">
        <is>
          <t>med</t>
        </is>
      </c>
      <c r="F21" s="15" t="inlineStr">
        <is>
          <t>Blade luxury aviation ~75-80% reliability uptime</t>
        </is>
      </c>
    </row>
    <row r="22">
      <c r="A22" s="12" t="inlineStr">
        <is>
          <t>Navier capture rate</t>
        </is>
      </c>
      <c r="B22" s="18" t="n">
        <v>0.1</v>
      </c>
      <c r="C22" s="14" t="inlineStr">
        <is>
          <t>frac</t>
        </is>
      </c>
      <c r="D22" s="14" t="inlineStr"/>
      <c r="E22" s="14" t="inlineStr">
        <is>
          <t>med</t>
        </is>
      </c>
      <c r="F22" s="15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2" t="inlineStr">
        <is>
          <t>Captive capture rate (A′ corridors)</t>
        </is>
      </c>
      <c r="B23" s="18" t="n">
        <v>0.9</v>
      </c>
      <c r="C23" s="14" t="inlineStr">
        <is>
          <t>frac</t>
        </is>
      </c>
      <c r="D23" s="14" t="inlineStr"/>
      <c r="E23" s="14" t="inlineStr">
        <is>
          <t>med</t>
        </is>
      </c>
      <c r="F23" s="15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2" t="inlineStr">
        <is>
          <t>Discount factor (vs comparable fare)</t>
        </is>
      </c>
      <c r="B24" s="17" t="n">
        <v>1</v>
      </c>
      <c r="C24" s="14" t="inlineStr">
        <is>
          <t>frac</t>
        </is>
      </c>
      <c r="D24" s="14" t="inlineStr">
        <is>
          <t>T1</t>
        </is>
      </c>
      <c r="E24" s="14" t="inlineStr">
        <is>
          <t>high</t>
        </is>
      </c>
      <c r="F24" s="15" t="inlineStr">
        <is>
          <t>Market parity — better product, not cheaper (locked).</t>
        </is>
      </c>
    </row>
    <row r="25">
      <c r="A25" s="12" t="inlineStr">
        <is>
          <t>Diesel CO₂ per gallon</t>
        </is>
      </c>
      <c r="B25" s="17" t="n">
        <v>10.21</v>
      </c>
      <c r="C25" s="14" t="inlineStr">
        <is>
          <t>kg/gal</t>
        </is>
      </c>
      <c r="D25" s="14" t="inlineStr">
        <is>
          <t>T1</t>
        </is>
      </c>
      <c r="E25" s="14" t="inlineStr">
        <is>
          <t>high</t>
        </is>
      </c>
      <c r="F25" s="15" t="inlineStr">
        <is>
          <t>US EPA: 10.21 kg CO2 per gallon marine/diesel</t>
        </is>
      </c>
    </row>
    <row r="27">
      <c r="A27" s="10" t="inlineStr">
        <is>
          <t>OPEX defaults  (global vessel assumptions — country costs use exact-key rows only)</t>
        </is>
      </c>
    </row>
    <row r="28">
      <c r="A28" s="11" t="inlineStr">
        <is>
          <t>Parameter</t>
        </is>
      </c>
      <c r="B28" s="11" t="inlineStr">
        <is>
          <t>Value</t>
        </is>
      </c>
      <c r="C28" s="11" t="inlineStr">
        <is>
          <t>Unit</t>
        </is>
      </c>
      <c r="D28" s="11" t="inlineStr">
        <is>
          <t>Tier</t>
        </is>
      </c>
      <c r="E28" s="11" t="inlineStr">
        <is>
          <t>Conf.</t>
        </is>
      </c>
      <c r="F28" s="11" t="inlineStr">
        <is>
          <t>Source / note</t>
        </is>
      </c>
    </row>
    <row r="29">
      <c r="A29" s="12" t="inlineStr">
        <is>
          <t>Vessel insurance — H&amp;M + P&amp;I (% of CAPEX/yr)</t>
        </is>
      </c>
      <c r="B29" s="18" t="n">
        <v>0.025</v>
      </c>
      <c r="C29" s="14" t="inlineStr">
        <is>
          <t>frac</t>
        </is>
      </c>
      <c r="D29" s="14" t="inlineStr">
        <is>
          <t>T3</t>
        </is>
      </c>
      <c r="E29" s="14" t="inlineStr">
        <is>
          <t>med</t>
        </is>
      </c>
      <c r="F29" s="15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2" t="inlineStr">
        <is>
          <t>Fast-charge berth &amp; demand charges (global default)</t>
        </is>
      </c>
      <c r="B30" s="16" t="n">
        <v>18000</v>
      </c>
      <c r="C30" s="14" t="inlineStr">
        <is>
          <t>USD/yr</t>
        </is>
      </c>
      <c r="D30" s="14" t="inlineStr">
        <is>
          <t>T3</t>
        </is>
      </c>
      <c r="E30" s="14" t="inlineStr">
        <is>
          <t>med</t>
        </is>
      </c>
      <c r="F30" s="15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10" t="inlineStr">
        <is>
          <t>South Korea schedule / capacity override  (country == 'South Korea' only)</t>
        </is>
      </c>
    </row>
    <row r="33">
      <c r="A33" s="11" t="inlineStr">
        <is>
          <t>Parameter</t>
        </is>
      </c>
      <c r="B33" s="11" t="inlineStr">
        <is>
          <t>Value</t>
        </is>
      </c>
      <c r="C33" s="11" t="inlineStr">
        <is>
          <t>Unit</t>
        </is>
      </c>
      <c r="D33" s="11" t="inlineStr">
        <is>
          <t>Tier</t>
        </is>
      </c>
      <c r="E33" s="11" t="inlineStr">
        <is>
          <t>Conf.</t>
        </is>
      </c>
      <c r="F33" s="11" t="inlineStr">
        <is>
          <t>Source / note</t>
        </is>
      </c>
    </row>
    <row r="34">
      <c r="A34" s="12" t="inlineStr">
        <is>
          <t>South Korea MID seat occupancy</t>
        </is>
      </c>
      <c r="B34" s="18" t="n">
        <v>0.65</v>
      </c>
      <c r="C34" s="14" t="inlineStr">
        <is>
          <t>share of seats</t>
        </is>
      </c>
      <c r="D34" s="14" t="inlineStr">
        <is>
          <t>T5</t>
        </is>
      </c>
      <c r="E34" s="14" t="inlineStr">
        <is>
          <t>med</t>
        </is>
      </c>
      <c r="F34" s="15" t="inlineStr">
        <is>
          <t>South Korea economics revision approved 2026-07-11; retained audit scenario.</t>
        </is>
      </c>
    </row>
    <row r="35">
      <c r="A35" s="12" t="inlineStr">
        <is>
          <t>South Korea MID revenue-leg utilization</t>
        </is>
      </c>
      <c r="B35" s="18" t="n">
        <v>0.65</v>
      </c>
      <c r="C35" s="14" t="inlineStr">
        <is>
          <t>share of gross legs</t>
        </is>
      </c>
      <c r="D35" s="14" t="inlineStr">
        <is>
          <t>T5</t>
        </is>
      </c>
      <c r="E35" s="14" t="inlineStr">
        <is>
          <t>med</t>
        </is>
      </c>
      <c r="F35" s="15" t="inlineStr">
        <is>
          <t>South Korea economics revision approved 2026-07-11; retained audit scenario.</t>
        </is>
      </c>
    </row>
    <row r="36">
      <c r="A36" s="12" t="inlineStr">
        <is>
          <t>South Korea service window</t>
        </is>
      </c>
      <c r="B36" s="13" t="n">
        <v>12</v>
      </c>
      <c r="C36" s="14" t="inlineStr">
        <is>
          <t>hr/day</t>
        </is>
      </c>
      <c r="D36" s="14" t="inlineStr">
        <is>
          <t>T5</t>
        </is>
      </c>
      <c r="E36" s="14" t="inlineStr">
        <is>
          <t>med</t>
        </is>
      </c>
      <c r="F36" s="15" t="inlineStr">
        <is>
          <t>Retained South Korea schedule audit, 2026-07-11.</t>
        </is>
      </c>
    </row>
    <row r="37">
      <c r="A37" s="12" t="inlineStr">
        <is>
          <t>South Korea turnaround</t>
        </is>
      </c>
      <c r="B37" s="13" t="n">
        <v>20</v>
      </c>
      <c r="C37" s="14" t="inlineStr">
        <is>
          <t>min/gross leg</t>
        </is>
      </c>
      <c r="D37" s="14" t="inlineStr">
        <is>
          <t>T5</t>
        </is>
      </c>
      <c r="E37" s="14" t="inlineStr">
        <is>
          <t>med</t>
        </is>
      </c>
      <c r="F37" s="15" t="inlineStr">
        <is>
          <t>Retained South Korea schedule audit, 2026-07-11.</t>
        </is>
      </c>
    </row>
    <row r="38">
      <c r="A38" s="12" t="inlineStr">
        <is>
          <t>South Korea boarding dwell</t>
        </is>
      </c>
      <c r="B38" s="13" t="n">
        <v>10</v>
      </c>
      <c r="C38" s="14" t="inlineStr">
        <is>
          <t>min/gross leg</t>
        </is>
      </c>
      <c r="D38" s="14" t="inlineStr">
        <is>
          <t>T3</t>
        </is>
      </c>
      <c r="E38" s="14" t="inlineStr">
        <is>
          <t>med</t>
        </is>
      </c>
      <c r="F38" s="15" t="inlineStr">
        <is>
          <t>Retained existing boarding/scheduling dwell; South Korea schedule audit, 2026-07-11.</t>
        </is>
      </c>
    </row>
    <row r="39">
      <c r="A39" s="12" t="inlineStr">
        <is>
          <t>South Korea charge-planning range basis</t>
        </is>
      </c>
      <c r="B39" s="13" t="n">
        <v>70</v>
      </c>
      <c r="C39" s="14" t="inlineStr">
        <is>
          <t>nm</t>
        </is>
      </c>
      <c r="D39" s="14" t="inlineStr">
        <is>
          <t>T5</t>
        </is>
      </c>
      <c r="E39" s="14" t="inlineStr">
        <is>
          <t>low-med</t>
        </is>
      </c>
      <c r="F39" s="15" t="inlineStr">
        <is>
          <t>Retained South Korea audit proxy based on Navier published 70-nm range and 45-minute DC fast-charge figures. Planning proxy requiring engineering validation; not a certified charge curve.</t>
        </is>
      </c>
    </row>
    <row r="40">
      <c r="A40" s="12" t="inlineStr">
        <is>
          <t>South Korea full-range charge-planning time</t>
        </is>
      </c>
      <c r="B40" s="13" t="n">
        <v>45</v>
      </c>
      <c r="C40" s="14" t="inlineStr">
        <is>
          <t>min</t>
        </is>
      </c>
      <c r="D40" s="14" t="inlineStr">
        <is>
          <t>T5</t>
        </is>
      </c>
      <c r="E40" s="14" t="inlineStr">
        <is>
          <t>low-med</t>
        </is>
      </c>
      <c r="F40" s="15" t="inlineStr">
        <is>
          <t>PLANNING PROXY: charge recovery = distance_nm / 70 × 45. Requires engineering validation; not a certified charge curve.</t>
        </is>
      </c>
    </row>
    <row r="42">
      <c r="A42" s="10" t="inlineStr">
        <is>
          <t>Utilization scenarios  (seat occupancy + revenue-leg utilization)</t>
        </is>
      </c>
    </row>
    <row r="43">
      <c r="A43" s="11" t="inlineStr">
        <is>
          <t>Scenario</t>
        </is>
      </c>
      <c r="B43" s="11" t="inlineStr">
        <is>
          <t>Seat occupancy</t>
        </is>
      </c>
      <c r="C43" s="11" t="inlineStr">
        <is>
          <t>Revenue-leg utilization</t>
        </is>
      </c>
      <c r="D43" s="11" t="inlineStr"/>
      <c r="E43" s="11" t="inlineStr"/>
      <c r="F43" s="11" t="inlineStr">
        <is>
          <t>Note</t>
        </is>
      </c>
    </row>
    <row r="44">
      <c r="A44" s="19" t="inlineStr">
        <is>
          <t>THIN</t>
        </is>
      </c>
      <c r="B44" s="20" t="n">
        <v>0.45</v>
      </c>
      <c r="C44" s="20" t="n">
        <v>0.55</v>
      </c>
      <c r="F44" s="15" t="inlineStr">
        <is>
          <t>thin/one-way/seasonal corridor — conservative floor</t>
        </is>
      </c>
    </row>
    <row r="45">
      <c r="A45" s="19" t="inlineStr">
        <is>
          <t>MID</t>
        </is>
      </c>
      <c r="B45" s="20" t="n">
        <v>0.55</v>
      </c>
      <c r="C45" s="20" t="n">
        <v>0.65</v>
      </c>
      <c r="F45" s="15" t="inlineStr">
        <is>
          <t>HEADLINE — realistic busy two-way corridor</t>
        </is>
      </c>
    </row>
    <row r="46">
      <c r="A46" s="19" t="inlineStr">
        <is>
          <t>FULL</t>
        </is>
      </c>
      <c r="B46" s="20" t="n">
        <v>0.7</v>
      </c>
      <c r="C46" s="20" t="n">
        <v>0.75</v>
      </c>
      <c r="F46" s="15" t="inlineStr">
        <is>
          <t>mature/dense corridor — optimistic ceiling</t>
        </is>
      </c>
    </row>
    <row r="48">
      <c r="A48" s="21" t="inlineStr">
        <is>
          <t>SCENARIO (toggle me)</t>
        </is>
      </c>
      <c r="B48" s="22" t="inlineStr">
        <is>
          <t>MID</t>
        </is>
      </c>
      <c r="C48" s="23" t="inlineStr">
        <is>
          <t>← set THIN / MID / FULL</t>
        </is>
      </c>
    </row>
    <row r="49">
      <c r="A49" s="12" t="inlineStr">
        <is>
          <t>Selected global seat occupancy</t>
        </is>
      </c>
      <c r="B49" s="24">
        <f>VLOOKUP(scenario,'Assumptions'!$A$44:$C$46,2,FALSE)</f>
        <v/>
      </c>
    </row>
    <row r="50">
      <c r="A50" s="12" t="inlineStr">
        <is>
          <t>Selected global revenue-leg utilization</t>
        </is>
      </c>
      <c r="B50" s="24">
        <f>VLOOKUP(scenario,'Assumptions'!$A$44:$C$46,3,FALSE)</f>
        <v/>
      </c>
    </row>
  </sheetData>
  <mergeCells count="6">
    <mergeCell ref="A42:F42"/>
    <mergeCell ref="A14:F14"/>
    <mergeCell ref="A1:F1"/>
    <mergeCell ref="A32:F32"/>
    <mergeCell ref="A27:F27"/>
    <mergeCell ref="A3:F3"/>
  </mergeCells>
  <dataValidations count="1">
    <dataValidation sqref="B4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9" t="inlineStr">
        <is>
          <t>Country opex — localized inputs (crew, energy, berth admin, CAPEX)</t>
        </is>
      </c>
    </row>
    <row r="3">
      <c r="A3" s="25" t="inlineStr">
        <is>
          <t>Country</t>
        </is>
      </c>
      <c r="B3" s="25" t="inlineStr">
        <is>
          <t>Captain $/yr</t>
        </is>
      </c>
      <c r="C3" s="25" t="inlineStr">
        <is>
          <t>Energy $/kWh</t>
        </is>
      </c>
      <c r="D3" s="25" t="inlineStr">
        <is>
          <t>Grid CO₂ kg/kWh</t>
        </is>
      </c>
      <c r="E3" s="25" t="inlineStr">
        <is>
          <t>Berth &amp; port admin $/yr</t>
        </is>
      </c>
      <c r="F3" s="25" t="inlineStr">
        <is>
          <t>Cost index</t>
        </is>
      </c>
      <c r="G3" s="25" t="inlineStr">
        <is>
          <t>CAPEX $/vessel</t>
        </is>
      </c>
      <c r="H3" s="25" t="inlineStr">
        <is>
          <t>Source notes (crew | energy | berth admin)</t>
        </is>
      </c>
    </row>
    <row r="4">
      <c r="A4" s="26" t="inlineStr">
        <is>
          <t>Bahamas</t>
        </is>
      </c>
      <c r="B4" s="27" t="n">
        <v>36000</v>
      </c>
      <c r="C4" s="28" t="n">
        <v>0.3</v>
      </c>
      <c r="D4" s="20" t="n">
        <v>0.74</v>
      </c>
      <c r="E4" s="27" t="n">
        <v>26000</v>
      </c>
      <c r="F4" s="20" t="n">
        <v>0.86</v>
      </c>
      <c r="G4" s="27" t="n">
        <v>600000</v>
      </c>
      <c r="H4" s="15" t="inlineStr">
        <is>
          <t>Modeled high-cost tourism marine labor; needs local captain wage source before live cascade. | Bahamas Power &amp; Light ERA page explains base tariff + monthly fuel charge; example fuel charge around $0.20/kWh before base/service components. Draft blended commercial charging value set at $0.30/kWh pending exact tariff PDF extraction. | Modeled Nassau/Paradise Island premium marina/insurance/admin overhead; not source-final. | CAPEX LB-243 US/EU=$900K else $600K</t>
        </is>
      </c>
    </row>
    <row r="5">
      <c r="A5" s="26" t="inlineStr">
        <is>
          <t>Barbados</t>
        </is>
      </c>
      <c r="B5" s="27" t="n">
        <v>34000</v>
      </c>
      <c r="C5" s="28" t="n">
        <v>0.31</v>
      </c>
      <c r="D5" s="20" t="n">
        <v>0.68</v>
      </c>
      <c r="E5" s="27" t="n">
        <v>22000</v>
      </c>
      <c r="F5" s="20" t="n">
        <v>0.84</v>
      </c>
      <c r="G5" s="27" t="n">
        <v>600000</v>
      </c>
      <c r="H5" s="15" t="inlineStr">
        <is>
          <t>Modeled Barbados commercial/tourism marine labor; needs local source before live cascade. | BLPC business tariff page documents General/Secondary/Large Power tariffs and monthly Fuel Clause Adjustment; draft blended commercial charging value set pending exact tariff/FCA extraction. | Modeled Bridgetown / west-coast marine admin, berth, insurance overhead. | CAPEX LB-243 US/EU=$900K else $600K</t>
        </is>
      </c>
    </row>
    <row r="6">
      <c r="A6" s="26" t="inlineStr">
        <is>
          <t>Puerto Rico</t>
        </is>
      </c>
      <c r="B6" s="27" t="n">
        <v>52000</v>
      </c>
      <c r="C6" s="28" t="n">
        <v>0.26</v>
      </c>
      <c r="D6" s="20" t="n">
        <v>0.62</v>
      </c>
      <c r="E6" s="27" t="n">
        <v>24000</v>
      </c>
      <c r="F6" s="20" t="n">
        <v>0.92</v>
      </c>
      <c r="G6" s="27" t="n">
        <v>600000</v>
      </c>
      <c r="H6" s="15" t="inlineStr">
        <is>
          <t>Modeled US-regulated marine labor / US territory wage band; needs local licensed captain wage source. | Puerto Rico public rate reporting clusters around $0.24-0.26/kWh for 2024-2025; use LUMA/PREB current-rate source before live cascade. | Modeled San Juan/Ceiba marine admin, insurance, berth overhead; not source-final. | CAPEX LB-243 US/EU=$900K else $600K</t>
        </is>
      </c>
    </row>
    <row r="7">
      <c r="A7" s="26" t="inlineStr">
        <is>
          <t>U.S. Virgin Islands</t>
        </is>
      </c>
      <c r="B7" s="27" t="n">
        <v>56000</v>
      </c>
      <c r="C7" s="28" t="n">
        <v>0.36</v>
      </c>
      <c r="D7" s="20" t="n">
        <v>0.72</v>
      </c>
      <c r="E7" s="27" t="n">
        <v>30000</v>
      </c>
      <c r="F7" s="20" t="n">
        <v>1.02</v>
      </c>
      <c r="G7" s="27" t="n">
        <v>600000</v>
      </c>
      <c r="H7" s="15" t="inlineStr">
        <is>
          <t>Modeled USVI licensed captain/tour-boat wage band; needs source before live cascade. | VIWAPA electric-rate page defines base and LEAC/fuel components; retail rates are high and fuel-driven. Draft uses $0.36/kWh until current tariff PDF is extracted. | Modeled St. Thomas / St. John premium marina, insurance, and admin overhead.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0" customWidth="1" min="3" max="3"/>
    <col width="24" customWidth="1" min="4" max="4"/>
    <col width="86" customWidth="1" min="5" max="5"/>
  </cols>
  <sheetData>
    <row r="1">
      <c r="A1" s="9" t="inlineStr">
        <is>
          <t>Economics holds — excluded before model and sheet calculation</t>
        </is>
      </c>
    </row>
    <row r="3">
      <c r="A3" s="25" t="inlineStr">
        <is>
          <t>Market</t>
        </is>
      </c>
      <c r="B3" s="25" t="inlineStr">
        <is>
          <t>Corridor</t>
        </is>
      </c>
      <c r="C3" s="25" t="inlineStr">
        <is>
          <t>Route ID</t>
        </is>
      </c>
      <c r="D3" s="25" t="inlineStr">
        <is>
          <t>Country label</t>
        </is>
      </c>
      <c r="E3" s="25" t="inlineStr">
        <is>
          <t>Hold reason</t>
        </is>
      </c>
    </row>
    <row r="4">
      <c r="A4" s="29" t="inlineStr">
        <is>
          <t>Caribbean Mobility</t>
        </is>
      </c>
      <c r="B4" s="15" t="inlineStr">
        <is>
          <t>St. Thomas ferry terminals (Charlotte Amalie / Red Hook) → Tortola ferry terminals (Road Town / West End)</t>
        </is>
      </c>
      <c r="C4" s="15" t="inlineStr">
        <is>
          <t>ics-3868c0e408</t>
        </is>
      </c>
      <c r="D4" s="15" t="inlineStr">
        <is>
          <t>U.S. Virgin Islands</t>
        </is>
      </c>
      <c r="E4" s="15" t="inlineStr">
        <is>
          <t>cross_border_home_port_unverified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14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8" customWidth="1" min="14" max="14"/>
    <col width="11" customWidth="1" min="15" max="15"/>
    <col width="10" customWidth="1" min="16" max="16"/>
    <col width="9" customWidth="1" min="17" max="17"/>
    <col width="8" customWidth="1" min="18" max="18"/>
    <col width="9" customWidth="1" min="19" max="19"/>
    <col width="9" customWidth="1" min="20" max="20"/>
    <col width="11" customWidth="1" min="21" max="21"/>
    <col width="10" customWidth="1" min="22" max="22"/>
    <col width="10" customWidth="1" min="23" max="23"/>
    <col width="12" customWidth="1" min="24" max="24"/>
    <col width="9" customWidth="1" min="25" max="25"/>
    <col width="12" customWidth="1" min="26" max="26"/>
    <col width="12" customWidth="1" min="27" max="27"/>
    <col width="11" customWidth="1" min="28" max="28"/>
    <col width="10" customWidth="1" min="29" max="29"/>
    <col width="11" customWidth="1" min="30" max="30"/>
    <col width="8" customWidth="1" min="31" max="31"/>
    <col width="9" customWidth="1" min="32" max="32"/>
    <col width="9" customWidth="1" min="33" max="33"/>
    <col width="12" customWidth="1" min="34" max="34"/>
    <col width="7" customWidth="1" min="35" max="35"/>
    <col width="8" customWidth="1" min="36" max="36"/>
    <col width="8" customWidth="1" min="37" max="37"/>
    <col width="10" customWidth="1" min="38" max="38"/>
    <col width="9" customWidth="1" min="39" max="39"/>
    <col width="13" customWidth="1" min="40" max="40"/>
    <col width="9" customWidth="1" min="41" max="41"/>
    <col width="13" customWidth="1" min="42" max="42"/>
    <col width="26" customWidth="1" min="43" max="43"/>
    <col width="14" customWidth="1" min="44" max="44"/>
    <col width="16" customWidth="1" min="45" max="45"/>
    <col width="16" customWidth="1" min="46" max="46"/>
    <col width="9" customWidth="1" min="47" max="47"/>
    <col width="9" customWidth="1" min="48" max="48"/>
    <col width="9" customWidth="1" min="49" max="49"/>
    <col width="9" customWidth="1" min="50" max="50"/>
    <col width="50" customWidth="1" min="51" max="51"/>
    <col width="50" customWidth="1" min="52" max="52"/>
    <col width="16" customWidth="1" min="53" max="53"/>
  </cols>
  <sheetData>
    <row r="1">
      <c r="A1" s="9" t="inlineStr">
        <is>
          <t>Navier × Caribbean-Mobility — Corridor economics (one boat, one year; MID = headline)</t>
        </is>
      </c>
      <c r="N1" s="30" t="inlineStr">
        <is>
          <t>SCENARIO:</t>
        </is>
      </c>
      <c r="O1" s="22">
        <f>scenario</f>
        <v/>
      </c>
      <c r="P1" s="23" t="inlineStr">
        <is>
          <t>(set on Assumptions tab)</t>
        </is>
      </c>
    </row>
    <row r="3" ht="42" customHeight="1">
      <c r="A3" s="25" t="inlineStr">
        <is>
          <t>Market</t>
        </is>
      </c>
      <c r="B3" s="25" t="inlineStr">
        <is>
          <t>Country</t>
        </is>
      </c>
      <c r="C3" s="25" t="inlineStr">
        <is>
          <t>Corridor</t>
        </is>
      </c>
      <c r="D3" s="25" t="inlineStr">
        <is>
          <t>Distance</t>
        </is>
      </c>
      <c r="E3" s="25" t="inlineStr">
        <is>
          <t>Premium fare $/pax</t>
        </is>
      </c>
      <c r="F3" s="25" t="inlineStr">
        <is>
          <t>Fare tier</t>
        </is>
      </c>
      <c r="G3" s="25" t="inlineStr">
        <is>
          <t>Fare conf.</t>
        </is>
      </c>
      <c r="H3" s="25" t="inlineStr">
        <is>
          <t>Weather factor</t>
        </is>
      </c>
      <c r="I3" s="25" t="inlineStr">
        <is>
          <t>One-way min</t>
        </is>
      </c>
      <c r="J3" s="25" t="inlineStr">
        <is>
          <t>Charge recovery min</t>
        </is>
      </c>
      <c r="K3" s="25" t="inlineStr">
        <is>
          <t>Cycle min</t>
        </is>
      </c>
      <c r="L3" s="25" t="inlineStr">
        <is>
          <t>Gross legs/day</t>
        </is>
      </c>
      <c r="M3" s="25" t="inlineStr">
        <is>
          <t>Op days/yr</t>
        </is>
      </c>
      <c r="N3" s="25" t="inlineStr">
        <is>
          <t>Mech uptime</t>
        </is>
      </c>
      <c r="O3" s="25" t="inlineStr">
        <is>
          <t>Revenue-leg utilization</t>
        </is>
      </c>
      <c r="P3" s="25" t="inlineStr">
        <is>
          <t>Revenue legs/yr</t>
        </is>
      </c>
      <c r="Q3" s="25" t="inlineStr">
        <is>
          <t>Seat occupancy</t>
        </is>
      </c>
      <c r="R3" s="25" t="inlineStr">
        <is>
          <t>Pax/trip</t>
        </is>
      </c>
      <c r="S3" s="25" t="inlineStr">
        <is>
          <t>Pax/yr</t>
        </is>
      </c>
      <c r="T3" s="25" t="inlineStr">
        <is>
          <t>Navier fare $</t>
        </is>
      </c>
      <c r="U3" s="25" t="inlineStr">
        <is>
          <t>Revenue/yr</t>
        </is>
      </c>
      <c r="V3" s="25" t="inlineStr">
        <is>
          <t>Energy/yr</t>
        </is>
      </c>
      <c r="W3" s="25" t="inlineStr">
        <is>
          <t>Crew/yr</t>
        </is>
      </c>
      <c r="X3" s="25" t="inlineStr">
        <is>
          <t>Berth &amp; port admin/yr</t>
        </is>
      </c>
      <c r="Y3" s="25" t="inlineStr">
        <is>
          <t>Maint/yr</t>
        </is>
      </c>
      <c r="Z3" s="25" t="inlineStr">
        <is>
          <t>Vessel insurance/yr</t>
        </is>
      </c>
      <c r="AA3" s="25" t="inlineStr">
        <is>
          <t>Fast-charge berth/yr</t>
        </is>
      </c>
      <c r="AB3" s="25" t="inlineStr">
        <is>
          <t>OPEX/yr</t>
        </is>
      </c>
      <c r="AC3" s="25" t="inlineStr">
        <is>
          <t>Deprec/yr</t>
        </is>
      </c>
      <c r="AD3" s="25" t="inlineStr">
        <is>
          <t>EBITDA/yr</t>
        </is>
      </c>
      <c r="AE3" s="25" t="inlineStr">
        <is>
          <t>Margin</t>
        </is>
      </c>
      <c r="AF3" s="25" t="inlineStr">
        <is>
          <t>Payback yr (sel)</t>
        </is>
      </c>
      <c r="AG3" s="25" t="inlineStr">
        <is>
          <t>CO₂ saved t/yr</t>
        </is>
      </c>
      <c r="AH3" s="25" t="inlineStr">
        <is>
          <t>Demand pool 1-way/yr</t>
        </is>
      </c>
      <c r="AI3" s="25" t="inlineStr">
        <is>
          <t>Demand tier</t>
        </is>
      </c>
      <c r="AJ3" s="25" t="inlineStr">
        <is>
          <t>Demand conf.</t>
        </is>
      </c>
      <c r="AK3" s="25" t="inlineStr">
        <is>
          <t>Capture %</t>
        </is>
      </c>
      <c r="AL3" s="25" t="inlineStr">
        <is>
          <t>Navier rides/yr</t>
        </is>
      </c>
      <c r="AM3" s="25" t="inlineStr">
        <is>
          <t>Vessels @capture</t>
        </is>
      </c>
      <c r="AN3" s="25" t="inlineStr">
        <is>
          <t>Market rev/yr</t>
        </is>
      </c>
      <c r="AO3" s="25" t="inlineStr">
        <is>
          <t>Vessels raw (unfloored)</t>
        </is>
      </c>
      <c r="AP3" s="25" t="inlineStr">
        <is>
          <t>Market rev/yr raw</t>
        </is>
      </c>
      <c r="AQ3" s="25" t="inlineStr">
        <is>
          <t>Subset of (excl. from market fleet)</t>
        </is>
      </c>
      <c r="AR3" s="25" t="inlineStr">
        <is>
          <t>Floor bucket (aggregate status)</t>
        </is>
      </c>
      <c r="AS3" s="25" t="inlineStr">
        <is>
          <t>Forward SAM (2030-dated; held OUT of grounded floor)</t>
        </is>
      </c>
      <c r="AT3" s="25" t="inlineStr">
        <is>
          <t>Upside tier (LB-99; held OUT of grounded floor)</t>
        </is>
      </c>
      <c r="AU3" s="25" t="inlineStr">
        <is>
          <t>Fleet ceiling (captive villas/25)</t>
        </is>
      </c>
      <c r="AV3" s="25" t="inlineStr">
        <is>
          <t>Payback THIN</t>
        </is>
      </c>
      <c r="AW3" s="25" t="inlineStr">
        <is>
          <t>Payback MID</t>
        </is>
      </c>
      <c r="AX3" s="25" t="inlineStr">
        <is>
          <t>Payback FULL</t>
        </is>
      </c>
      <c r="AY3" s="25" t="inlineStr">
        <is>
          <t>Fare source (provenance)</t>
        </is>
      </c>
      <c r="AZ3" s="25" t="inlineStr">
        <is>
          <t>Demand source (provenance)</t>
        </is>
      </c>
      <c r="BA3" s="25" t="inlineStr">
        <is>
          <t>Route ID</t>
        </is>
      </c>
    </row>
    <row r="4">
      <c r="A4" s="31" t="inlineStr">
        <is>
          <t>Caribbean Mobility</t>
        </is>
      </c>
      <c r="B4" s="31" t="inlineStr">
        <is>
          <t>Bahamas</t>
        </is>
      </c>
      <c r="C4" s="32" t="inlineStr">
        <is>
          <t>Downtown Nassau / cruise-port waterfront → Paradise Island / Atlantis-marina catchment</t>
        </is>
      </c>
      <c r="D4" s="33" t="n">
        <v>1.01</v>
      </c>
      <c r="E4" s="27" t="n">
        <v>18</v>
      </c>
      <c r="F4" s="34" t="n"/>
      <c r="G4" s="34" t="n"/>
      <c r="H4" s="20" t="n">
        <v>1</v>
      </c>
      <c r="I4" s="35">
        <f>60*D4/cruise_kt</f>
        <v/>
      </c>
      <c r="J4" s="35">
        <f>IF(B4="South Korea",D4/korea_charge_range_nm*korea_full_range_charge_min,0)</f>
        <v/>
      </c>
      <c r="K4" s="35">
        <f>IF(B4="South Korea",I4+korea_turn_min+korea_dwell_min+J4,I4+turn_min+dwell_min)</f>
        <v/>
      </c>
      <c r="L4" s="36">
        <f>IF(B4="South Korea",FLOOR(60*korea_service_hr/K4,1),MIN(15,FLOOR(60*service_hr/K4,1)))</f>
        <v/>
      </c>
      <c r="M4" s="36">
        <f>IF(ABS(MOD(ABS((365*mech_uptime*H4)),1)-0.5)&lt;1E-9,2*ROUND((365*mech_uptime*H4)/2,0),ROUND((365*mech_uptime*H4),0))</f>
        <v/>
      </c>
      <c r="N4" s="37">
        <f>mech_uptime</f>
        <v/>
      </c>
      <c r="O4" s="37">
        <f>IF(AND(B4="South Korea",scenario="MID"),korea_mid_revleg,revleg_sel)</f>
        <v/>
      </c>
      <c r="P4" s="36">
        <f>IF(ABS(MOD(ABS((L4*M4*O4)),1)-0.5)&lt;1E-9,2*ROUND((L4*M4*O4)/2,0),ROUND((L4*M4*O4),0))</f>
        <v/>
      </c>
      <c r="Q4" s="37">
        <f>IF(AND(B4="South Korea",scenario="MID"),korea_mid_load,load_sel)</f>
        <v/>
      </c>
      <c r="R4" s="38">
        <f>pax_cap*Q4</f>
        <v/>
      </c>
      <c r="S4" s="36">
        <f>R4*P4</f>
        <v/>
      </c>
      <c r="T4" s="39">
        <f>E4*discount</f>
        <v/>
      </c>
      <c r="U4" s="40">
        <f>T4*S4</f>
        <v/>
      </c>
      <c r="V4" s="40">
        <f>(battery/range_nm)*D4*P4*VLOOKUP(B4,country_opex,3,FALSE)</f>
        <v/>
      </c>
      <c r="W4" s="40">
        <f>VLOOKUP(B4,country_opex,2,FALSE)*crew_factor</f>
        <v/>
      </c>
      <c r="X4" s="40">
        <f>VLOOKUP(B4,country_opex,5,FALSE)</f>
        <v/>
      </c>
      <c r="Y4" s="40">
        <f>maint</f>
        <v/>
      </c>
      <c r="Z4" s="40">
        <f>VLOOKUP(B4,country_opex,7,FALSE)*ins_pct</f>
        <v/>
      </c>
      <c r="AA4" s="40">
        <f>charge_berth</f>
        <v/>
      </c>
      <c r="AB4" s="40">
        <f>V4+W4+X4+Y4+Z4+AA4</f>
        <v/>
      </c>
      <c r="AC4" s="40">
        <f>VLOOKUP(B4,country_opex,7,FALSE)/dep_years</f>
        <v/>
      </c>
      <c r="AD4" s="40">
        <f>U4-AB4</f>
        <v/>
      </c>
      <c r="AE4" s="37">
        <f>IF(U4=0,"",AD4/U4)</f>
        <v/>
      </c>
      <c r="AF4" s="38">
        <f>IF(AD4&lt;=0,"",VLOOKUP(B4,country_opex,7,FALSE)/AD4)</f>
        <v/>
      </c>
      <c r="AG4" s="35">
        <f>((D4*P4/diesel_nmpg)*diesel_co2pg-(battery/range_nm)*D4*P4*VLOOKUP(B4,country_opex,4,FALSE))/1000</f>
        <v/>
      </c>
      <c r="AH4" s="33" t="n">
        <v>67200</v>
      </c>
      <c r="AI4" s="34" t="n"/>
      <c r="AJ4" s="34" t="n"/>
      <c r="AK4" s="41" t="n">
        <v>0.1</v>
      </c>
      <c r="AL4" s="36">
        <f>IF(AH4="","",AH4*AK4)</f>
        <v/>
      </c>
      <c r="AM4" s="36">
        <f>IF(OR(AH4="",S4=0),"",MIN(IF(AU4="",9.9E+99,AU4),FLOOR(AL4/S4,1)))</f>
        <v/>
      </c>
      <c r="AN4" s="40">
        <f>IF(AM4="","",AM4*IF(ABS(MOD(ABS((U4)),1)-0.5)&lt;1E-9,2*ROUND((U4)/2,0),ROUND((U4),0)))</f>
        <v/>
      </c>
      <c r="AO4" s="38">
        <f>IF(OR(AH4="",S4=0),"",MIN(IF(AU4="",9.9E+99,AU4),AL4/S4))</f>
        <v/>
      </c>
      <c r="AP4" s="40">
        <f>IF(AO4="","",AO4*IF(B4="South Korea",IF(ABS(MOD(ABS((U4)),1)-0.5)&lt;1E-9,2*ROUND((U4)/2,0),ROUND((U4),0)),U4))</f>
        <v/>
      </c>
      <c r="AQ4" s="42" t="n"/>
      <c r="AR4" s="34" t="inlineStr">
        <is>
          <t>Estimated</t>
        </is>
      </c>
      <c r="AS4" s="43" t="n"/>
      <c r="AT4" s="43" t="n"/>
      <c r="AU4" s="44" t="n"/>
      <c r="AV4" s="45">
        <f>IF(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&lt;=0,"",VLOOKUP(B4,country_opex,7,FALSE)/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)</f>
        <v/>
      </c>
      <c r="AW4" s="45">
        <f>IF(((T4*pax_cap*IF(B4="South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Korea",korea_mid_revleg,revleg_mid)),0))*VLOOKUP(B4,country_opex,3,FALSE))+W4+X4+Y4+Z4+AA4))&lt;=0,"",VLOOKUP(B4,country_opex,7,FALSE)/((T4*pax_cap*IF(B4="South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Korea",korea_mid_revleg,revleg_mid)),0))*VLOOKUP(B4,country_opex,3,FALSE))+W4+X4+Y4+Z4+AA4)))</f>
        <v/>
      </c>
      <c r="AX4" s="45">
        <f>IF(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&lt;=0,"",VLOOKUP(B4,country_opex,7,FALSE)/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)</f>
        <v/>
      </c>
      <c r="AY4" s="46" t="n"/>
      <c r="AZ4" s="46" t="n"/>
      <c r="BA4" s="34" t="inlineStr">
        <is>
          <t>ics-05ae8c432d</t>
        </is>
      </c>
    </row>
    <row r="5">
      <c r="A5" s="31" t="inlineStr">
        <is>
          <t>Caribbean Mobility</t>
        </is>
      </c>
      <c r="B5" s="31" t="inlineStr">
        <is>
          <t>Barbados</t>
        </is>
      </c>
      <c r="C5" s="32" t="inlineStr">
        <is>
          <t>Bridgetown Cruise Terminal / Port of Bridgetown → Bridgetown / Carlisle Bay / west-coast visitor catchment</t>
        </is>
      </c>
      <c r="D5" s="33" t="n">
        <v>0.9</v>
      </c>
      <c r="E5" s="27" t="n">
        <v>18</v>
      </c>
      <c r="F5" s="34" t="n"/>
      <c r="G5" s="34" t="n"/>
      <c r="H5" s="20" t="n">
        <v>1</v>
      </c>
      <c r="I5" s="35">
        <f>60*D5/cruise_kt</f>
        <v/>
      </c>
      <c r="J5" s="35">
        <f>IF(B5="South Korea",D5/korea_charge_range_nm*korea_full_range_charge_min,0)</f>
        <v/>
      </c>
      <c r="K5" s="35">
        <f>IF(B5="South Korea",I5+korea_turn_min+korea_dwell_min+J5,I5+turn_min+dwell_min)</f>
        <v/>
      </c>
      <c r="L5" s="36">
        <f>IF(B5="South Korea",FLOOR(60*korea_service_hr/K5,1),MIN(15,FLOOR(60*service_hr/K5,1)))</f>
        <v/>
      </c>
      <c r="M5" s="36">
        <f>IF(ABS(MOD(ABS((365*mech_uptime*H5)),1)-0.5)&lt;1E-9,2*ROUND((365*mech_uptime*H5)/2,0),ROUND((365*mech_uptime*H5),0))</f>
        <v/>
      </c>
      <c r="N5" s="37">
        <f>mech_uptime</f>
        <v/>
      </c>
      <c r="O5" s="37">
        <f>IF(AND(B5="South Korea",scenario="MID"),korea_mid_revleg,revleg_sel)</f>
        <v/>
      </c>
      <c r="P5" s="36">
        <f>IF(ABS(MOD(ABS((L5*M5*O5)),1)-0.5)&lt;1E-9,2*ROUND((L5*M5*O5)/2,0),ROUND((L5*M5*O5),0))</f>
        <v/>
      </c>
      <c r="Q5" s="37">
        <f>IF(AND(B5="South Korea",scenario="MID"),korea_mid_load,load_sel)</f>
        <v/>
      </c>
      <c r="R5" s="38">
        <f>pax_cap*Q5</f>
        <v/>
      </c>
      <c r="S5" s="36">
        <f>R5*P5</f>
        <v/>
      </c>
      <c r="T5" s="39">
        <f>E5*discount</f>
        <v/>
      </c>
      <c r="U5" s="40">
        <f>T5*S5</f>
        <v/>
      </c>
      <c r="V5" s="40">
        <f>(battery/range_nm)*D5*P5*VLOOKUP(B5,country_opex,3,FALSE)</f>
        <v/>
      </c>
      <c r="W5" s="40">
        <f>VLOOKUP(B5,country_opex,2,FALSE)*crew_factor</f>
        <v/>
      </c>
      <c r="X5" s="40">
        <f>VLOOKUP(B5,country_opex,5,FALSE)</f>
        <v/>
      </c>
      <c r="Y5" s="40">
        <f>maint</f>
        <v/>
      </c>
      <c r="Z5" s="40">
        <f>VLOOKUP(B5,country_opex,7,FALSE)*ins_pct</f>
        <v/>
      </c>
      <c r="AA5" s="40">
        <f>charge_berth</f>
        <v/>
      </c>
      <c r="AB5" s="40">
        <f>V5+W5+X5+Y5+Z5+AA5</f>
        <v/>
      </c>
      <c r="AC5" s="40">
        <f>VLOOKUP(B5,country_opex,7,FALSE)/dep_years</f>
        <v/>
      </c>
      <c r="AD5" s="40">
        <f>U5-AB5</f>
        <v/>
      </c>
      <c r="AE5" s="37">
        <f>IF(U5=0,"",AD5/U5)</f>
        <v/>
      </c>
      <c r="AF5" s="38">
        <f>IF(AD5&lt;=0,"",VLOOKUP(B5,country_opex,7,FALSE)/AD5)</f>
        <v/>
      </c>
      <c r="AG5" s="35">
        <f>((D5*P5/diesel_nmpg)*diesel_co2pg-(battery/range_nm)*D5*P5*VLOOKUP(B5,country_opex,4,FALSE))/1000</f>
        <v/>
      </c>
      <c r="AH5" s="33" t="n">
        <v>18000</v>
      </c>
      <c r="AI5" s="34" t="n"/>
      <c r="AJ5" s="34" t="n"/>
      <c r="AK5" s="41" t="n">
        <v>0.1</v>
      </c>
      <c r="AL5" s="36">
        <f>IF(AH5="","",AH5*AK5)</f>
        <v/>
      </c>
      <c r="AM5" s="36">
        <f>IF(OR(AH5="",S5=0),"",MIN(IF(AU5="",9.9E+99,AU5),FLOOR(AL5/S5,1)))</f>
        <v/>
      </c>
      <c r="AN5" s="40">
        <f>IF(AM5="","",AM5*IF(ABS(MOD(ABS((U5)),1)-0.5)&lt;1E-9,2*ROUND((U5)/2,0),ROUND((U5),0)))</f>
        <v/>
      </c>
      <c r="AO5" s="38">
        <f>IF(OR(AH5="",S5=0),"",MIN(IF(AU5="",9.9E+99,AU5),AL5/S5))</f>
        <v/>
      </c>
      <c r="AP5" s="40">
        <f>IF(AO5="","",AO5*IF(B5="South Korea",IF(ABS(MOD(ABS((U5)),1)-0.5)&lt;1E-9,2*ROUND((U5)/2,0),ROUND((U5),0)),U5))</f>
        <v/>
      </c>
      <c r="AQ5" s="42" t="n"/>
      <c r="AR5" s="34" t="inlineStr">
        <is>
          <t>Estimated</t>
        </is>
      </c>
      <c r="AS5" s="43" t="n"/>
      <c r="AT5" s="43" t="n"/>
      <c r="AU5" s="44" t="n"/>
      <c r="AV5" s="45">
        <f>IF(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&lt;=0,"",VLOOKUP(B5,country_opex,7,FALSE)/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)</f>
        <v/>
      </c>
      <c r="AW5" s="45">
        <f>IF(((T5*pax_cap*IF(B5="South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Korea",korea_mid_revleg,revleg_mid)),0))*VLOOKUP(B5,country_opex,3,FALSE))+W5+X5+Y5+Z5+AA5))&lt;=0,"",VLOOKUP(B5,country_opex,7,FALSE)/((T5*pax_cap*IF(B5="South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Korea",korea_mid_revleg,revleg_mid)),0))*VLOOKUP(B5,country_opex,3,FALSE))+W5+X5+Y5+Z5+AA5)))</f>
        <v/>
      </c>
      <c r="AX5" s="45">
        <f>IF(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&lt;=0,"",VLOOKUP(B5,country_opex,7,FALSE)/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)</f>
        <v/>
      </c>
      <c r="AY5" s="46" t="n"/>
      <c r="AZ5" s="46" t="n"/>
      <c r="BA5" s="34" t="inlineStr">
        <is>
          <t>rn-3a37afb0fb5c</t>
        </is>
      </c>
    </row>
    <row r="6">
      <c r="A6" s="31" t="inlineStr">
        <is>
          <t>Caribbean Mobility</t>
        </is>
      </c>
      <c r="B6" s="31" t="inlineStr">
        <is>
          <t>Puerto Rico</t>
        </is>
      </c>
      <c r="C6" s="32" t="inlineStr">
        <is>
          <t>San Juan Terminal / Old San Juan waterfront → Cataño Terminal / Bacardi catchment</t>
        </is>
      </c>
      <c r="D6" s="33" t="n">
        <v>1.6</v>
      </c>
      <c r="E6" s="27" t="n">
        <v>8</v>
      </c>
      <c r="F6" s="34" t="n"/>
      <c r="G6" s="34" t="n"/>
      <c r="H6" s="20" t="n">
        <v>1</v>
      </c>
      <c r="I6" s="35">
        <f>60*D6/cruise_kt</f>
        <v/>
      </c>
      <c r="J6" s="35">
        <f>IF(B6="South Korea",D6/korea_charge_range_nm*korea_full_range_charge_min,0)</f>
        <v/>
      </c>
      <c r="K6" s="35">
        <f>IF(B6="South Korea",I6+korea_turn_min+korea_dwell_min+J6,I6+turn_min+dwell_min)</f>
        <v/>
      </c>
      <c r="L6" s="36">
        <f>IF(B6="South Korea",FLOOR(60*korea_service_hr/K6,1),MIN(15,FLOOR(60*service_hr/K6,1)))</f>
        <v/>
      </c>
      <c r="M6" s="36">
        <f>IF(ABS(MOD(ABS((365*mech_uptime*H6)),1)-0.5)&lt;1E-9,2*ROUND((365*mech_uptime*H6)/2,0),ROUND((365*mech_uptime*H6),0))</f>
        <v/>
      </c>
      <c r="N6" s="37">
        <f>mech_uptime</f>
        <v/>
      </c>
      <c r="O6" s="37">
        <f>IF(AND(B6="South Korea",scenario="MID"),korea_mid_revleg,revleg_sel)</f>
        <v/>
      </c>
      <c r="P6" s="36">
        <f>IF(ABS(MOD(ABS((L6*M6*O6)),1)-0.5)&lt;1E-9,2*ROUND((L6*M6*O6)/2,0),ROUND((L6*M6*O6),0))</f>
        <v/>
      </c>
      <c r="Q6" s="37">
        <f>IF(AND(B6="South Korea",scenario="MID"),korea_mid_load,load_sel)</f>
        <v/>
      </c>
      <c r="R6" s="38">
        <f>pax_cap*Q6</f>
        <v/>
      </c>
      <c r="S6" s="36">
        <f>R6*P6</f>
        <v/>
      </c>
      <c r="T6" s="39">
        <f>E6*discount</f>
        <v/>
      </c>
      <c r="U6" s="40">
        <f>T6*S6</f>
        <v/>
      </c>
      <c r="V6" s="40">
        <f>(battery/range_nm)*D6*P6*VLOOKUP(B6,country_opex,3,FALSE)</f>
        <v/>
      </c>
      <c r="W6" s="40">
        <f>VLOOKUP(B6,country_opex,2,FALSE)*crew_factor</f>
        <v/>
      </c>
      <c r="X6" s="40">
        <f>VLOOKUP(B6,country_opex,5,FALSE)</f>
        <v/>
      </c>
      <c r="Y6" s="40">
        <f>maint</f>
        <v/>
      </c>
      <c r="Z6" s="40">
        <f>VLOOKUP(B6,country_opex,7,FALSE)*ins_pct</f>
        <v/>
      </c>
      <c r="AA6" s="40">
        <f>charge_berth</f>
        <v/>
      </c>
      <c r="AB6" s="40">
        <f>V6+W6+X6+Y6+Z6+AA6</f>
        <v/>
      </c>
      <c r="AC6" s="40">
        <f>VLOOKUP(B6,country_opex,7,FALSE)/dep_years</f>
        <v/>
      </c>
      <c r="AD6" s="40">
        <f>U6-AB6</f>
        <v/>
      </c>
      <c r="AE6" s="37">
        <f>IF(U6=0,"",AD6/U6)</f>
        <v/>
      </c>
      <c r="AF6" s="38">
        <f>IF(AD6&lt;=0,"",VLOOKUP(B6,country_opex,7,FALSE)/AD6)</f>
        <v/>
      </c>
      <c r="AG6" s="35">
        <f>((D6*P6/diesel_nmpg)*diesel_co2pg-(battery/range_nm)*D6*P6*VLOOKUP(B6,country_opex,4,FALSE))/1000</f>
        <v/>
      </c>
      <c r="AH6" s="33" t="n">
        <v>34200</v>
      </c>
      <c r="AI6" s="34" t="n"/>
      <c r="AJ6" s="34" t="n"/>
      <c r="AK6" s="41" t="n">
        <v>0.1</v>
      </c>
      <c r="AL6" s="36">
        <f>IF(AH6="","",AH6*AK6)</f>
        <v/>
      </c>
      <c r="AM6" s="36">
        <f>IF(OR(AH6="",S6=0),"",MIN(IF(AU6="",9.9E+99,AU6),FLOOR(AL6/S6,1)))</f>
        <v/>
      </c>
      <c r="AN6" s="40">
        <f>IF(AM6="","",AM6*IF(ABS(MOD(ABS((U6)),1)-0.5)&lt;1E-9,2*ROUND((U6)/2,0),ROUND((U6),0)))</f>
        <v/>
      </c>
      <c r="AO6" s="38">
        <f>IF(OR(AH6="",S6=0),"",MIN(IF(AU6="",9.9E+99,AU6),AL6/S6))</f>
        <v/>
      </c>
      <c r="AP6" s="40">
        <f>IF(AO6="","",AO6*IF(B6="South Korea",IF(ABS(MOD(ABS((U6)),1)-0.5)&lt;1E-9,2*ROUND((U6)/2,0),ROUND((U6),0)),U6))</f>
        <v/>
      </c>
      <c r="AQ6" s="42" t="n"/>
      <c r="AR6" s="34" t="inlineStr">
        <is>
          <t>Estimated</t>
        </is>
      </c>
      <c r="AS6" s="43" t="n"/>
      <c r="AT6" s="43" t="n"/>
      <c r="AU6" s="44" t="n"/>
      <c r="AV6" s="45">
        <f>IF(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&lt;=0,"",VLOOKUP(B6,country_opex,7,FALSE)/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)</f>
        <v/>
      </c>
      <c r="AW6" s="45">
        <f>IF(((T6*pax_cap*IF(B6="South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Korea",korea_mid_revleg,revleg_mid)),0))*VLOOKUP(B6,country_opex,3,FALSE))+W6+X6+Y6+Z6+AA6))&lt;=0,"",VLOOKUP(B6,country_opex,7,FALSE)/((T6*pax_cap*IF(B6="South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Korea",korea_mid_revleg,revleg_mid)),0))*VLOOKUP(B6,country_opex,3,FALSE))+W6+X6+Y6+Z6+AA6)))</f>
        <v/>
      </c>
      <c r="AX6" s="45">
        <f>IF(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&lt;=0,"",VLOOKUP(B6,country_opex,7,FALSE)/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)</f>
        <v/>
      </c>
      <c r="AY6" s="46" t="n"/>
      <c r="AZ6" s="46" t="n"/>
      <c r="BA6" s="34" t="n"/>
    </row>
    <row r="7">
      <c r="A7" s="31" t="inlineStr">
        <is>
          <t>Caribbean Mobility</t>
        </is>
      </c>
      <c r="B7" s="31" t="inlineStr">
        <is>
          <t>U.S. Virgin Islands</t>
        </is>
      </c>
      <c r="C7" s="32" t="inlineStr">
        <is>
          <t>Red Hook Ferry Terminal, St. Thomas → Cruz Bay Ferry Dock, St. John</t>
        </is>
      </c>
      <c r="D7" s="33" t="n">
        <v>3.11</v>
      </c>
      <c r="E7" s="27" t="n">
        <v>16</v>
      </c>
      <c r="F7" s="34" t="n"/>
      <c r="G7" s="34" t="n"/>
      <c r="H7" s="20" t="n">
        <v>1</v>
      </c>
      <c r="I7" s="35">
        <f>60*D7/cruise_kt</f>
        <v/>
      </c>
      <c r="J7" s="35">
        <f>IF(B7="South Korea",D7/korea_charge_range_nm*korea_full_range_charge_min,0)</f>
        <v/>
      </c>
      <c r="K7" s="35">
        <f>IF(B7="South Korea",I7+korea_turn_min+korea_dwell_min+J7,I7+turn_min+dwell_min)</f>
        <v/>
      </c>
      <c r="L7" s="36">
        <f>IF(B7="South Korea",FLOOR(60*korea_service_hr/K7,1),MIN(15,FLOOR(60*service_hr/K7,1)))</f>
        <v/>
      </c>
      <c r="M7" s="36">
        <f>IF(ABS(MOD(ABS((365*mech_uptime*H7)),1)-0.5)&lt;1E-9,2*ROUND((365*mech_uptime*H7)/2,0),ROUND((365*mech_uptime*H7),0))</f>
        <v/>
      </c>
      <c r="N7" s="37">
        <f>mech_uptime</f>
        <v/>
      </c>
      <c r="O7" s="37">
        <f>IF(AND(B7="South Korea",scenario="MID"),korea_mid_revleg,revleg_sel)</f>
        <v/>
      </c>
      <c r="P7" s="36">
        <f>IF(ABS(MOD(ABS((L7*M7*O7)),1)-0.5)&lt;1E-9,2*ROUND((L7*M7*O7)/2,0),ROUND((L7*M7*O7),0))</f>
        <v/>
      </c>
      <c r="Q7" s="37">
        <f>IF(AND(B7="South Korea",scenario="MID"),korea_mid_load,load_sel)</f>
        <v/>
      </c>
      <c r="R7" s="38">
        <f>pax_cap*Q7</f>
        <v/>
      </c>
      <c r="S7" s="36">
        <f>R7*P7</f>
        <v/>
      </c>
      <c r="T7" s="39">
        <f>E7*discount</f>
        <v/>
      </c>
      <c r="U7" s="40">
        <f>T7*S7</f>
        <v/>
      </c>
      <c r="V7" s="40">
        <f>(battery/range_nm)*D7*P7*VLOOKUP(B7,country_opex,3,FALSE)</f>
        <v/>
      </c>
      <c r="W7" s="40">
        <f>VLOOKUP(B7,country_opex,2,FALSE)*crew_factor</f>
        <v/>
      </c>
      <c r="X7" s="40">
        <f>VLOOKUP(B7,country_opex,5,FALSE)</f>
        <v/>
      </c>
      <c r="Y7" s="40">
        <f>maint</f>
        <v/>
      </c>
      <c r="Z7" s="40">
        <f>VLOOKUP(B7,country_opex,7,FALSE)*ins_pct</f>
        <v/>
      </c>
      <c r="AA7" s="40">
        <f>charge_berth</f>
        <v/>
      </c>
      <c r="AB7" s="40">
        <f>V7+W7+X7+Y7+Z7+AA7</f>
        <v/>
      </c>
      <c r="AC7" s="40">
        <f>VLOOKUP(B7,country_opex,7,FALSE)/dep_years</f>
        <v/>
      </c>
      <c r="AD7" s="40">
        <f>U7-AB7</f>
        <v/>
      </c>
      <c r="AE7" s="37">
        <f>IF(U7=0,"",AD7/U7)</f>
        <v/>
      </c>
      <c r="AF7" s="38">
        <f>IF(AD7&lt;=0,"",VLOOKUP(B7,country_opex,7,FALSE)/AD7)</f>
        <v/>
      </c>
      <c r="AG7" s="35">
        <f>((D7*P7/diesel_nmpg)*diesel_co2pg-(battery/range_nm)*D7*P7*VLOOKUP(B7,country_opex,4,FALSE))/1000</f>
        <v/>
      </c>
      <c r="AH7" s="33" t="n">
        <v>36000</v>
      </c>
      <c r="AI7" s="34" t="n"/>
      <c r="AJ7" s="34" t="n"/>
      <c r="AK7" s="41" t="n">
        <v>0.1</v>
      </c>
      <c r="AL7" s="36">
        <f>IF(AH7="","",AH7*AK7)</f>
        <v/>
      </c>
      <c r="AM7" s="36">
        <f>IF(OR(AH7="",S7=0),"",MIN(IF(AU7="",9.9E+99,AU7),FLOOR(AL7/S7,1)))</f>
        <v/>
      </c>
      <c r="AN7" s="40">
        <f>IF(AM7="","",AM7*IF(ABS(MOD(ABS((U7)),1)-0.5)&lt;1E-9,2*ROUND((U7)/2,0),ROUND((U7),0)))</f>
        <v/>
      </c>
      <c r="AO7" s="38">
        <f>IF(OR(AH7="",S7=0),"",MIN(IF(AU7="",9.9E+99,AU7),AL7/S7))</f>
        <v/>
      </c>
      <c r="AP7" s="40">
        <f>IF(AO7="","",AO7*IF(B7="South Korea",IF(ABS(MOD(ABS((U7)),1)-0.5)&lt;1E-9,2*ROUND((U7)/2,0),ROUND((U7),0)),U7))</f>
        <v/>
      </c>
      <c r="AQ7" s="42" t="n"/>
      <c r="AR7" s="34" t="inlineStr">
        <is>
          <t>Estimated</t>
        </is>
      </c>
      <c r="AS7" s="43" t="n"/>
      <c r="AT7" s="43" t="n"/>
      <c r="AU7" s="44" t="n"/>
      <c r="AV7" s="45">
        <f>IF(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&lt;=0,"",VLOOKUP(B7,country_opex,7,FALSE)/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)</f>
        <v/>
      </c>
      <c r="AW7" s="45">
        <f>IF(((T7*pax_cap*IF(B7="South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Korea",korea_mid_revleg,revleg_mid)),0))*VLOOKUP(B7,country_opex,3,FALSE))+W7+X7+Y7+Z7+AA7))&lt;=0,"",VLOOKUP(B7,country_opex,7,FALSE)/((T7*pax_cap*IF(B7="South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Korea",korea_mid_revleg,revleg_mid)),0))*VLOOKUP(B7,country_opex,3,FALSE))+W7+X7+Y7+Z7+AA7)))</f>
        <v/>
      </c>
      <c r="AX7" s="45">
        <f>IF(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&lt;=0,"",VLOOKUP(B7,country_opex,7,FALSE)/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)</f>
        <v/>
      </c>
      <c r="AY7" s="46" t="n"/>
      <c r="AZ7" s="46" t="n"/>
      <c r="BA7" s="34" t="inlineStr">
        <is>
          <t>ics-c24cfec613</t>
        </is>
      </c>
    </row>
    <row r="8">
      <c r="A8" s="47" t="inlineStr">
        <is>
          <t>TOTAL / median</t>
        </is>
      </c>
      <c r="U8" s="48">
        <f>SUM(U4:U7)</f>
        <v/>
      </c>
      <c r="AD8" s="48">
        <f>SUM(AD4:AD7)</f>
        <v/>
      </c>
      <c r="AE8" s="49">
        <f>IF(U8=0,"",AD8/U8)</f>
        <v/>
      </c>
      <c r="AM8" s="50">
        <f>SUM(AM4:AM7)</f>
        <v/>
      </c>
      <c r="AN8" s="48">
        <f>SUM(AN4:AN7)</f>
        <v/>
      </c>
    </row>
    <row r="10">
      <c r="A10" s="9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11">
      <c r="A11" s="25" t="inlineStr">
        <is>
          <t>Market</t>
        </is>
      </c>
      <c r="B11" s="25" t="inlineStr">
        <is>
          <t>Fleet basis</t>
        </is>
      </c>
      <c r="C11" s="25" t="inlineStr">
        <is>
          <t>Raw vessels (sum)</t>
        </is>
      </c>
      <c r="D11" s="25" t="inlineStr">
        <is>
          <t>Fleet (rounded once)</t>
        </is>
      </c>
      <c r="E11" s="25" t="inlineStr">
        <is>
          <t>Market rev/yr (raw sum)</t>
        </is>
      </c>
    </row>
    <row r="12">
      <c r="A12" s="26" t="inlineStr">
        <is>
          <t>Caribbean Mobility</t>
        </is>
      </c>
      <c r="B12" s="14" t="inlineStr">
        <is>
          <t>aspirational</t>
        </is>
      </c>
      <c r="C12" s="14" t="inlineStr">
        <is>
          <t>—</t>
        </is>
      </c>
      <c r="D12" s="51">
        <f>SUMIFS(AM4:AM7,A4:A7,"Caribbean Mobility",AQ4:AQ7,"=",AR4:AR7,"Grounded")</f>
        <v/>
      </c>
      <c r="E12" s="52">
        <f>SUMIFS(AN4:AN7,A4:A7,"Caribbean Mobility",AQ4:AQ7,"=",AR4:AR7,"Grounded")</f>
        <v/>
      </c>
    </row>
    <row r="13">
      <c r="A13" s="47" t="inlineStr">
        <is>
          <t>GROUNDED FLOOR (PUBLISHED)</t>
        </is>
      </c>
      <c r="D13" s="50">
        <f>SUM(D12:D12)</f>
        <v/>
      </c>
      <c r="E13" s="48">
        <f>SUM(E12:E12)</f>
        <v/>
      </c>
    </row>
    <row r="14">
      <c r="A14" s="21" t="inlineStr">
        <is>
          <t>ESTIMATED DEMAND (country-median cascade; held OUT of grounded floor)</t>
        </is>
      </c>
      <c r="D14" s="53">
        <f>SUMIF(AR4:AR7,"Estimated",AM4:AM7)</f>
        <v/>
      </c>
      <c r="E14" s="54">
        <f>SUMIF(AR4:AR7,"Estimated",AN4:AN7)</f>
        <v/>
      </c>
    </row>
  </sheetData>
  <mergeCells count="2">
    <mergeCell ref="A10:L10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9" t="inlineStr">
        <is>
          <t>Market sizing — how the grounded floor builds into SOM → SAM → TAM</t>
        </is>
      </c>
    </row>
    <row r="3">
      <c r="A3" s="10" t="inlineStr">
        <is>
          <t>Growth multipliers (bands: low / MID / high)</t>
        </is>
      </c>
    </row>
    <row r="4">
      <c r="A4" s="11" t="inlineStr">
        <is>
          <t>Multiplier</t>
        </is>
      </c>
      <c r="B4" s="11" t="inlineStr">
        <is>
          <t>Low</t>
        </is>
      </c>
      <c r="C4" s="11" t="inlineStr">
        <is>
          <t>MID</t>
        </is>
      </c>
      <c r="D4" s="11" t="inlineStr">
        <is>
          <t>High</t>
        </is>
      </c>
      <c r="E4" s="11" t="inlineStr">
        <is>
          <t>What it means</t>
        </is>
      </c>
    </row>
    <row r="5">
      <c r="A5" s="26" t="inlineStr">
        <is>
          <t>Induced demand (k)</t>
        </is>
      </c>
      <c r="B5" s="20" t="n">
        <v>1.3</v>
      </c>
      <c r="C5" s="20" t="n">
        <v>1.8</v>
      </c>
      <c r="D5" s="20" t="n">
        <v>2.5</v>
      </c>
      <c r="E5" s="15" t="inlineStr">
        <is>
          <t>Faster/quieter product grows the crossing market beyond today's trips.</t>
        </is>
      </c>
    </row>
    <row r="6">
      <c r="A6" s="26" t="inlineStr">
        <is>
          <t>Mature capture rate (c)</t>
        </is>
      </c>
      <c r="B6" s="41" t="n">
        <v>0.15</v>
      </c>
      <c r="C6" s="41" t="n">
        <v>0.25</v>
      </c>
      <c r="D6" s="41" t="n">
        <v>0.4</v>
      </c>
      <c r="E6" s="15" t="inlineStr">
        <is>
          <t>Navier's corridor share once it is the established premium default (vs 10% floor).</t>
        </is>
      </c>
    </row>
    <row r="7">
      <c r="A7" s="26" t="inlineStr">
        <is>
          <t>Journey GMV multiple (m)</t>
        </is>
      </c>
      <c r="B7" s="20" t="n">
        <v>2</v>
      </c>
      <c r="C7" s="20" t="n">
        <v>3</v>
      </c>
      <c r="D7" s="20" t="n">
        <v>4</v>
      </c>
      <c r="E7" s="15" t="inlineStr">
        <is>
          <t>Whole island-journey wallet (transport+food+stay+experiences) as a multiple of the boat fare.</t>
        </is>
      </c>
    </row>
    <row r="8">
      <c r="A8" s="26" t="inlineStr">
        <is>
          <t>Greenfield network factor (g)</t>
        </is>
      </c>
      <c r="B8" s="20" t="n">
        <v>3.44</v>
      </c>
      <c r="C8" s="20" t="n">
        <v>4.9</v>
      </c>
      <c r="D8" s="20" t="n">
        <v>6.36</v>
      </c>
      <c r="E8" s="15" t="inlineStr">
        <is>
          <t>Width lever: addressable network vs the sourced subset (ID-based census).</t>
        </is>
      </c>
    </row>
    <row r="9">
      <c r="A9" s="26" t="inlineStr">
        <is>
          <t>Platform take rate</t>
        </is>
      </c>
      <c r="C9" s="41" t="n">
        <v>0.18</v>
      </c>
      <c r="E9" s="15" t="inlineStr">
        <is>
          <t>Super-app blended commission on journey GMV (derived line only).</t>
        </is>
      </c>
    </row>
    <row r="11">
      <c r="A11" s="26" t="inlineStr">
        <is>
          <t>SOM capture rate (floor)</t>
        </is>
      </c>
      <c r="C11" s="55">
        <f>som_floor_rev/(ROUND(SUMPRODUCT(--('Corridor economics'!$AR$4:$AR$7="Grounded"),'Corridor economics'!$AH$4:$AH$7,'Corridor economics'!$E$4:$E$7),0))</f>
        <v/>
      </c>
      <c r="E11" s="15" t="inlineStr">
        <is>
          <t>New-entrant ~10% share of today's pool (= the published floor).</t>
        </is>
      </c>
    </row>
    <row r="13">
      <c r="A13" s="10" t="inlineStr">
        <is>
          <t>The ladder (live off the corridor floor)</t>
        </is>
      </c>
    </row>
    <row r="14">
      <c r="A14" s="11" t="inlineStr">
        <is>
          <t>Rung</t>
        </is>
      </c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  <c r="E14" s="11" t="inlineStr">
        <is>
          <t>Definition</t>
        </is>
      </c>
    </row>
    <row r="15">
      <c r="A15" s="26" t="inlineStr">
        <is>
          <t>SOM floor — Navier transport rev/yr (PUBLISHED)</t>
        </is>
      </c>
      <c r="C15" s="52">
        <f>som_floor_rev</f>
        <v/>
      </c>
      <c r="E15" s="15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6" t="inlineStr">
        <is>
          <t>M_today — model comparable-fare transport pool on sourced corridors</t>
        </is>
      </c>
      <c r="C16" s="52">
        <f>ROUND(SUMPRODUCT(--('Corridor economics'!$AR$4:$AR$7="Grounded"),'Corridor economics'!$AH$4:$AH$7,'Corridor economics'!$E$4:$E$7),0)</f>
        <v/>
      </c>
      <c r="E16" s="15" t="inlineStr">
        <is>
          <t>Direct sum of sourced one-way demand × the disclosed model comparable fare on grounded corridors; includes any labelled premium re-fare applied above and is independent of display-rounded capture.</t>
        </is>
      </c>
    </row>
    <row r="18">
      <c r="A18" s="26" t="inlineStr">
        <is>
          <t>SOM full network (~10% capture, today, +greenfield)</t>
        </is>
      </c>
      <c r="B18" s="52">
        <f>$C$16*$C$11*$B$8</f>
        <v/>
      </c>
      <c r="C18" s="52">
        <f>$C$16*$C$11*$C$8</f>
        <v/>
      </c>
      <c r="D18" s="52">
        <f>$C$16*$C$11*$D$8</f>
        <v/>
      </c>
      <c r="E18" s="15" t="inlineStr">
        <is>
          <t>Floor posture (~10% captive capture, today's demand) extended across the whole mapped network.</t>
        </is>
      </c>
    </row>
    <row r="19">
      <c r="A19" s="26" t="inlineStr">
        <is>
          <t>SAM — sourced corridors only (depth, no greenfield)</t>
        </is>
      </c>
      <c r="B19" s="52">
        <f>$C$16*$B$5*$B$6</f>
        <v/>
      </c>
      <c r="C19" s="52">
        <f>$C$16*$C$5*$C$6</f>
        <v/>
      </c>
      <c r="D19" s="52">
        <f>$C$16*$D$5*$D$6</f>
        <v/>
      </c>
      <c r="E19" s="15" t="inlineStr">
        <is>
          <t>Matured network on the sourced corridors alone: induced demand × mature capture.</t>
        </is>
      </c>
    </row>
    <row r="20">
      <c r="A20" s="26" t="inlineStr">
        <is>
          <t>SAM — Navier transport rev @ full network (HEADLINE)</t>
        </is>
      </c>
      <c r="B20" s="52">
        <f>$C$16*$B$5*$B$6*$B$8</f>
        <v/>
      </c>
      <c r="C20" s="52">
        <f>$C$16*$C$5*$C$6*$C$8</f>
        <v/>
      </c>
      <c r="D20" s="52">
        <f>$C$16*$D$5*$D$6*$D$8</f>
        <v/>
      </c>
      <c r="E20" s="15" t="inlineStr">
        <is>
          <t>Matured across the full addressable network: induced × mature capture × greenfield width.</t>
        </is>
      </c>
    </row>
    <row r="21">
      <c r="A21" s="26" t="inlineStr">
        <is>
          <t>Marine mobility TAM — induced marine-transfer market (LB-110)</t>
        </is>
      </c>
      <c r="B21" s="52">
        <f>$C$16*$B$5*$B$8</f>
        <v/>
      </c>
      <c r="C21" s="52">
        <f>$C$16*$C$5*$C$8</f>
        <v/>
      </c>
      <c r="D21" s="52">
        <f>$C$16*$D$5*$D$8</f>
        <v/>
      </c>
      <c r="E21" s="15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6" t="inlineStr">
        <is>
          <t>Journey GMV — induced crossing × multiple (was TAM journey GMV)</t>
        </is>
      </c>
      <c r="B22" s="52">
        <f>$C$16*$B$5*$B$7*$B$8</f>
        <v/>
      </c>
      <c r="C22" s="52">
        <f>$C$16*$C$5*$C$7*$C$8</f>
        <v/>
      </c>
      <c r="D22" s="52">
        <f>$C$16*$D$5*$D$7*$D$8</f>
        <v/>
      </c>
      <c r="E22" s="15" t="inlineStr">
        <is>
          <t>Whole-journey spend (transport+food+stay+experiences) across the induced crossing market on the full network. Marine TAM × journey GMV multiple.</t>
        </is>
      </c>
    </row>
    <row r="23">
      <c r="A23" s="26" t="inlineStr">
        <is>
          <t>Journey GMV routed through Navier network</t>
        </is>
      </c>
      <c r="B23" s="52">
        <f>$C$16*$B$5*$B$6*$B$7*$B$8</f>
        <v/>
      </c>
      <c r="C23" s="52">
        <f>$C$16*$C$5*$C$6*$C$7*$C$8</f>
        <v/>
      </c>
      <c r="D23" s="52">
        <f>$C$16*$D$5*$D$6*$D$7*$D$8</f>
        <v/>
      </c>
      <c r="E23" s="15" t="inlineStr">
        <is>
          <t>Journey GMV on Navier-carried trips only.</t>
        </is>
      </c>
    </row>
    <row r="24">
      <c r="A24" s="26" t="inlineStr">
        <is>
          <t>Partner platform revenue on Navier (LB-113 — on-Navier subset, not 18% of full Journey GMV)</t>
        </is>
      </c>
      <c r="B24" s="52">
        <f>$C$16*$B$5*$B$6*$B$7*$B$8*$C$9</f>
        <v/>
      </c>
      <c r="C24" s="52">
        <f>$C$16*$C$5*$C$6*$C$7*$C$8*$C$9</f>
        <v/>
      </c>
      <c r="D24" s="52">
        <f>$C$16*$D$5*$D$6*$D$7*$D$8*$C$9</f>
        <v/>
      </c>
      <c r="E24" s="15" t="inlineStr">
        <is>
          <t>The super-app's own commission — the number a platform partner cares about.</t>
        </is>
      </c>
    </row>
    <row r="26">
      <c r="A26" s="56" t="inlineStr">
        <is>
          <t>Note</t>
        </is>
      </c>
      <c r="B26" s="57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2026-07-20T06:56:58Z</dcterms:created>
  <dcterms:modified xsi:type="dcterms:W3CDTF">2026-07-20T06:56:58Z</dcterms:modified>
</cp:coreProperties>
</file>