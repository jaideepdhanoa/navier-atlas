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opex'!$A$4:$G$8</definedName>
    <definedName name="som_floor_fleet">'Corridor economics'!$D$14</definedName>
    <definedName name="som_floor_rev">'Corridor economics'!$E$14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Caribbean-Mobility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Bahamas</t>
        </is>
      </c>
      <c r="B4" s="26" t="n">
        <v>36000</v>
      </c>
      <c r="C4" s="27" t="n">
        <v>0.3</v>
      </c>
      <c r="D4" s="19" t="n">
        <v>0.74</v>
      </c>
      <c r="E4" s="26" t="n">
        <v>26000</v>
      </c>
      <c r="F4" s="19" t="n">
        <v>0.86</v>
      </c>
      <c r="G4" s="26" t="n">
        <v>600000</v>
      </c>
      <c r="H4" s="14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5">
      <c r="A5" s="25" t="inlineStr">
        <is>
          <t>Barbados</t>
        </is>
      </c>
      <c r="B5" s="26" t="n">
        <v>34000</v>
      </c>
      <c r="C5" s="27" t="n">
        <v>0.31</v>
      </c>
      <c r="D5" s="19" t="n">
        <v>0.68</v>
      </c>
      <c r="E5" s="26" t="n">
        <v>22000</v>
      </c>
      <c r="F5" s="19" t="n">
        <v>0.84</v>
      </c>
      <c r="G5" s="26" t="n">
        <v>600000</v>
      </c>
      <c r="H5" s="14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6">
      <c r="A6" s="25" t="inlineStr">
        <is>
          <t>Puerto Rico</t>
        </is>
      </c>
      <c r="B6" s="26" t="n">
        <v>52000</v>
      </c>
      <c r="C6" s="27" t="n">
        <v>0.26</v>
      </c>
      <c r="D6" s="19" t="n">
        <v>0.62</v>
      </c>
      <c r="E6" s="26" t="n">
        <v>24000</v>
      </c>
      <c r="F6" s="19" t="n">
        <v>0.92</v>
      </c>
      <c r="G6" s="26" t="n">
        <v>600000</v>
      </c>
      <c r="H6" s="14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7">
      <c r="A7" s="25" t="inlineStr">
        <is>
          <t>Singapore</t>
        </is>
      </c>
      <c r="B7" s="26" t="n">
        <v>48000</v>
      </c>
      <c r="C7" s="27" t="n">
        <v>0.21</v>
      </c>
      <c r="D7" s="19" t="n">
        <v>0.4</v>
      </c>
      <c r="E7" s="26" t="n">
        <v>20000</v>
      </c>
      <c r="F7" s="19" t="n">
        <v>1</v>
      </c>
      <c r="G7" s="26" t="n">
        <v>600000</v>
      </c>
      <c r="H7" s="14" t="inlineStr">
        <is>
          <t>Modeled SG marine crew ~SGD 4-5k/mo blended | SG regulated tariff 28.1c SGD = $0.21 | SG high-cost berth modeled | CAPEX LB-243 US/EU=$900K else $600K</t>
        </is>
      </c>
    </row>
    <row r="8">
      <c r="A8" s="25" t="inlineStr">
        <is>
          <t>U.S. Virgin Islands</t>
        </is>
      </c>
      <c r="B8" s="26" t="n">
        <v>56000</v>
      </c>
      <c r="C8" s="27" t="n">
        <v>0.36</v>
      </c>
      <c r="D8" s="19" t="n">
        <v>0.72</v>
      </c>
      <c r="E8" s="26" t="n">
        <v>30000</v>
      </c>
      <c r="F8" s="19" t="n">
        <v>1.02</v>
      </c>
      <c r="G8" s="26" t="n">
        <v>600000</v>
      </c>
      <c r="H8" s="14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Caribbean-Mobility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Caribbean Mobility</t>
        </is>
      </c>
      <c r="B4" s="29" t="inlineStr">
        <is>
          <t>Bahamas</t>
        </is>
      </c>
      <c r="C4" s="30" t="inlineStr">
        <is>
          <t>Downtown Nassau / cruise-port waterfront → Paradise Island / Atlantis-marina catchment</t>
        </is>
      </c>
      <c r="D4" s="31" t="n">
        <v>1.01</v>
      </c>
      <c r="E4" s="26" t="n">
        <v>18</v>
      </c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67200</v>
      </c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Caribbean Mobility</t>
        </is>
      </c>
      <c r="B5" s="29" t="inlineStr">
        <is>
          <t>Barbados</t>
        </is>
      </c>
      <c r="C5" s="30" t="inlineStr">
        <is>
          <t>Bridgetown Cruise Terminal / Port of Bridgetown → Bridgetown / Carlisle Bay / west-coast visitor catchment</t>
        </is>
      </c>
      <c r="D5" s="31" t="n">
        <v>0.9</v>
      </c>
      <c r="E5" s="26" t="n">
        <v>18</v>
      </c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18000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Caribbean Mobility</t>
        </is>
      </c>
      <c r="B6" s="29" t="inlineStr">
        <is>
          <t>Puerto Rico</t>
        </is>
      </c>
      <c r="C6" s="30" t="inlineStr">
        <is>
          <t>San Juan Terminal / Old San Juan waterfront → Cataño Terminal / Bacardi catchment</t>
        </is>
      </c>
      <c r="D6" s="31" t="n">
        <v>1.6</v>
      </c>
      <c r="E6" s="26" t="n">
        <v>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34200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n"/>
      <c r="AX6" s="44" t="n"/>
    </row>
    <row r="7">
      <c r="A7" s="29" t="inlineStr">
        <is>
          <t>Caribbean Mobility</t>
        </is>
      </c>
      <c r="B7" s="29" t="inlineStr">
        <is>
          <t>Singapore</t>
        </is>
      </c>
      <c r="C7" s="30" t="inlineStr">
        <is>
          <t>St. Thomas ferry terminals (Charlotte Amalie / Red Hook) → Tortola ferry terminals (Road Town / West End)</t>
        </is>
      </c>
      <c r="D7" s="31" t="n">
        <v>15.7</v>
      </c>
      <c r="E7" s="26" t="n">
        <v>55</v>
      </c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Caribbean Mobility</t>
        </is>
      </c>
      <c r="B8" s="29" t="inlineStr">
        <is>
          <t>U.S. Virgin Islands</t>
        </is>
      </c>
      <c r="C8" s="30" t="inlineStr">
        <is>
          <t>Red Hook Ferry Terminal, St. Thomas → Cruz Bay Ferry Dock, St. John</t>
        </is>
      </c>
      <c r="D8" s="31" t="n">
        <v>3.11</v>
      </c>
      <c r="E8" s="26" t="n">
        <v>16</v>
      </c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36000</v>
      </c>
      <c r="AH8" s="32" t="n"/>
      <c r="AI8" s="32" t="n"/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n"/>
      <c r="AX8" s="44" t="n"/>
    </row>
    <row r="9">
      <c r="A9" s="45" t="inlineStr">
        <is>
          <t>TOTAL / median</t>
        </is>
      </c>
      <c r="T9" s="46">
        <f>SUM(T4:T8)</f>
        <v/>
      </c>
      <c r="AC9" s="46">
        <f>SUM(AC4:AC8)</f>
        <v/>
      </c>
      <c r="AD9" s="47">
        <f>IF(T9=0,"",AC9/T9)</f>
        <v/>
      </c>
      <c r="AL9" s="48">
        <f>SUM(AL4:AL8)</f>
        <v/>
      </c>
      <c r="AM9" s="46">
        <f>SUM(AM4:AM8)</f>
        <v/>
      </c>
    </row>
    <row r="11">
      <c r="A11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2">
      <c r="A12" s="24" t="inlineStr">
        <is>
          <t>Market</t>
        </is>
      </c>
      <c r="B12" s="24" t="inlineStr">
        <is>
          <t>Fleet basis</t>
        </is>
      </c>
      <c r="C12" s="24" t="inlineStr">
        <is>
          <t>Raw vessels (sum)</t>
        </is>
      </c>
      <c r="D12" s="24" t="inlineStr">
        <is>
          <t>Fleet (rounded once)</t>
        </is>
      </c>
      <c r="E12" s="24" t="inlineStr">
        <is>
          <t>Market rev/yr (raw sum)</t>
        </is>
      </c>
    </row>
    <row r="13">
      <c r="A13" s="25" t="inlineStr">
        <is>
          <t>Caribbean Mobility</t>
        </is>
      </c>
      <c r="B13" s="13" t="inlineStr">
        <is>
          <t>aspirational</t>
        </is>
      </c>
      <c r="C13" s="13" t="inlineStr">
        <is>
          <t>—</t>
        </is>
      </c>
      <c r="D13" s="49">
        <f>SUMIFS(AL4:AL8,A4:A8,"Caribbean Mobility",AP4:AP8,"=",AQ4:AQ8,"=",AR4:AR8,"=")</f>
        <v/>
      </c>
      <c r="E13" s="50">
        <f>SUMIFS(AM4:AM8,A4:A8,"Caribbean Mobility",AP4:AP8,"=",AQ4:AQ8,"=",AR4:AR8,"=")</f>
        <v/>
      </c>
    </row>
    <row r="14">
      <c r="A14" s="45" t="inlineStr">
        <is>
          <t>GROUNDED FLOOR (PUBLISHED)</t>
        </is>
      </c>
      <c r="D14" s="48">
        <f>SUM(D13:D13)</f>
        <v/>
      </c>
      <c r="E14" s="46">
        <f>SUM(E13:E13)</f>
        <v/>
      </c>
    </row>
  </sheetData>
  <mergeCells count="2">
    <mergeCell ref="A11:L11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0.0987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1" t="inlineStr">
        <is>
          <t>Note</t>
        </is>
      </c>
      <c r="B26" s="5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2026-06-21T14:47:09Z</dcterms:created>
  <dcterms:modified xsi:type="dcterms:W3CDTF">2026-06-21T14:47:09Z</dcterms:modified>
</cp:coreProperties>
</file>