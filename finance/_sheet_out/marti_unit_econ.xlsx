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opex'!$A$4:$G$4</definedName>
    <definedName name="som_floor_fleet">'Corridor economics'!$D$36</definedName>
    <definedName name="som_floor_rev">'Corridor economics'!$E$36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Marti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Turkey</t>
        </is>
      </c>
      <c r="B4" s="26" t="n">
        <v>20000</v>
      </c>
      <c r="C4" s="27" t="n">
        <v>0.12</v>
      </c>
      <c r="D4" s="19" t="n">
        <v>0.4</v>
      </c>
      <c r="E4" s="26" t="n">
        <v>12000</v>
      </c>
      <c r="F4" s="19" t="n">
        <v>0.45</v>
      </c>
      <c r="G4" s="26" t="n">
        <v>600000</v>
      </c>
      <c r="H4" s="14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3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4" customWidth="1" min="43" max="43"/>
    <col width="16" customWidth="1" min="44" max="44"/>
    <col width="16" customWidth="1" min="45" max="45"/>
    <col width="9" customWidth="1" min="46" max="46"/>
    <col width="9" customWidth="1" min="47" max="47"/>
    <col width="9" customWidth="1" min="48" max="48"/>
    <col width="9" customWidth="1" min="49" max="49"/>
    <col width="50" customWidth="1" min="50" max="50"/>
    <col width="50" customWidth="1" min="51" max="51"/>
  </cols>
  <sheetData>
    <row r="1">
      <c r="A1" s="8" t="inlineStr">
        <is>
          <t>Navier × Marti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Floor bucket (aggregate status)</t>
        </is>
      </c>
      <c r="AR3" s="24" t="inlineStr">
        <is>
          <t>Forward SAM (2030-dated; held OUT of grounded floor)</t>
        </is>
      </c>
      <c r="AS3" s="24" t="inlineStr">
        <is>
          <t>Upside tier (LB-99; held OUT of grounded floor)</t>
        </is>
      </c>
      <c r="AT3" s="24" t="inlineStr">
        <is>
          <t>Fleet ceiling (captive villas/25)</t>
        </is>
      </c>
      <c r="AU3" s="24" t="inlineStr">
        <is>
          <t>Payback THIN</t>
        </is>
      </c>
      <c r="AV3" s="24" t="inlineStr">
        <is>
          <t>Payback MID</t>
        </is>
      </c>
      <c r="AW3" s="24" t="inlineStr">
        <is>
          <t>Payback FULL</t>
        </is>
      </c>
      <c r="AX3" s="24" t="inlineStr">
        <is>
          <t>Fare source (provenance)</t>
        </is>
      </c>
      <c r="AY3" s="24" t="inlineStr">
        <is>
          <t>Demand source (provenance)</t>
        </is>
      </c>
    </row>
    <row r="4">
      <c r="A4" s="29" t="inlineStr">
        <is>
          <t>Marti Turkey</t>
        </is>
      </c>
      <c r="B4" s="29" t="inlineStr">
        <is>
          <t>Turkey</t>
        </is>
      </c>
      <c r="C4" s="30" t="inlineStr">
        <is>
          <t>Eminönü → Üsküdar</t>
        </is>
      </c>
      <c r="D4" s="31" t="n">
        <v>0.9</v>
      </c>
      <c r="E4" s="26" t="n">
        <v>18</v>
      </c>
      <c r="F4" s="32" t="inlineStr">
        <is>
          <t>T2</t>
        </is>
      </c>
      <c r="G4" s="32" t="inlineStr">
        <is>
          <t>med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MIN(24,FLOOR(60*service_hr/J4,1))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880476</v>
      </c>
      <c r="AH4" s="32" t="n"/>
      <c r="AI4" s="32" t="inlineStr">
        <is>
          <t>med</t>
        </is>
      </c>
      <c r="AJ4" s="39" t="n">
        <v>0.25</v>
      </c>
      <c r="AK4" s="34">
        <f>IF(AG4="","",AG4*AJ4)</f>
        <v/>
      </c>
      <c r="AL4" s="34">
        <f>IF(OR(AG4="",R4=0),"",MIN(IF(AT4="",9.9E+99,AT4),FLOOR(AK4/R4,1)))</f>
        <v/>
      </c>
      <c r="AM4" s="38">
        <f>IF(AL4="","",AL4*T4)</f>
        <v/>
      </c>
      <c r="AN4" s="36">
        <f>IF(OR(AG4="",R4=0),"",MIN(IF(AT4="",9.9E+99,AT4),AK4/R4))</f>
        <v/>
      </c>
      <c r="AO4" s="38">
        <f>IF(AN4="","",AN4*T4)</f>
        <v/>
      </c>
      <c r="AP4" s="40" t="n"/>
      <c r="AQ4" s="32" t="inlineStr">
        <is>
          <t>Grounded</t>
        </is>
      </c>
      <c r="AR4" s="41" t="n"/>
      <c r="AS4" s="41" t="n"/>
      <c r="AT4" s="42" t="n"/>
      <c r="AU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V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W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X4" s="44" t="inlineStr">
        <is>
          <t>[LB-255 PREMIUM RE-FARE: subsidized comparable $2.53 lifted to premium on-demand floor $18.0] IMM Sea Taxi shared per-seat on 0.9 nm = (500+0.9×750)/10 = 117.5 TL ÷ 46.4 = $2.53 (whole-boat 1175 TL = $25.3).</t>
        </is>
      </c>
      <c r="AY4" s="44" t="n"/>
    </row>
    <row r="5">
      <c r="A5" s="29" t="inlineStr">
        <is>
          <t>Marti Turkey</t>
        </is>
      </c>
      <c r="B5" s="29" t="inlineStr">
        <is>
          <t>Turkey</t>
        </is>
      </c>
      <c r="C5" s="30" t="inlineStr">
        <is>
          <t>Karaköy → Kadıköy</t>
        </is>
      </c>
      <c r="D5" s="31" t="n">
        <v>2.4</v>
      </c>
      <c r="E5" s="26" t="n">
        <v>18</v>
      </c>
      <c r="F5" s="32" t="inlineStr">
        <is>
          <t>T2</t>
        </is>
      </c>
      <c r="G5" s="32" t="inlineStr">
        <is>
          <t>med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MIN(24,FLOOR(60*service_hr/J5,1))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725476</v>
      </c>
      <c r="AH5" s="32" t="n"/>
      <c r="AI5" s="32" t="inlineStr">
        <is>
          <t>med</t>
        </is>
      </c>
      <c r="AJ5" s="39" t="n">
        <v>0.25</v>
      </c>
      <c r="AK5" s="34">
        <f>IF(AG5="","",AG5*AJ5)</f>
        <v/>
      </c>
      <c r="AL5" s="34">
        <f>IF(OR(AG5="",R5=0),"",MIN(IF(AT5="",9.9E+99,AT5),FLOOR(AK5/R5,1)))</f>
        <v/>
      </c>
      <c r="AM5" s="38">
        <f>IF(AL5="","",AL5*T5)</f>
        <v/>
      </c>
      <c r="AN5" s="36">
        <f>IF(OR(AG5="",R5=0),"",MIN(IF(AT5="",9.9E+99,AT5),AK5/R5))</f>
        <v/>
      </c>
      <c r="AO5" s="38">
        <f>IF(AN5="","",AN5*T5)</f>
        <v/>
      </c>
      <c r="AP5" s="40" t="n"/>
      <c r="AQ5" s="32" t="inlineStr">
        <is>
          <t>Grounded</t>
        </is>
      </c>
      <c r="AR5" s="41" t="n"/>
      <c r="AS5" s="41" t="n"/>
      <c r="AT5" s="42" t="n"/>
      <c r="AU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V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W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X5" s="44" t="inlineStr">
        <is>
          <t>[LB-255 PREMIUM RE-FARE: subsidized comparable $4.96 lifted to premium on-demand floor $18.0] IMM Sea Taxi shared per-seat on 2.4 nm = (500+2.4×750)/10 = 230 TL ÷ 46.4 = $4.96 (whole-boat charter 2300 TL = $49.6).</t>
        </is>
      </c>
      <c r="AY5" s="44" t="n"/>
    </row>
    <row r="6">
      <c r="A6" s="29" t="inlineStr">
        <is>
          <t>Marti Turkey</t>
        </is>
      </c>
      <c r="B6" s="29" t="inlineStr">
        <is>
          <t>Turkey</t>
        </is>
      </c>
      <c r="C6" s="30" t="inlineStr">
        <is>
          <t>İzmir (Konak) → Karşıyaka</t>
        </is>
      </c>
      <c r="D6" s="31" t="n">
        <v>2.5</v>
      </c>
      <c r="E6" s="26" t="n"/>
      <c r="F6" s="32" t="n"/>
      <c r="G6" s="32" t="n"/>
      <c r="H6" s="19" t="n">
        <v>1</v>
      </c>
      <c r="I6" s="33">
        <f>60*D6/cruise_kt</f>
        <v/>
      </c>
      <c r="J6" s="33">
        <f>I6+turn_min+dwell_min</f>
        <v/>
      </c>
      <c r="K6" s="34">
        <f>MIN(24,FLOOR(60*service_hr/J6,1))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14621849</v>
      </c>
      <c r="AH6" s="32" t="n"/>
      <c r="AI6" s="32" t="n"/>
      <c r="AJ6" s="39" t="n">
        <v>0.1</v>
      </c>
      <c r="AK6" s="34">
        <f>IF(AG6="","",AG6*AJ6)</f>
        <v/>
      </c>
      <c r="AL6" s="34">
        <f>IF(OR(AG6="",R6=0),"",MIN(IF(AT6="",9.9E+99,AT6),FLOOR(AK6/R6,1)))</f>
        <v/>
      </c>
      <c r="AM6" s="38">
        <f>IF(AL6="","",AL6*T6)</f>
        <v/>
      </c>
      <c r="AN6" s="36">
        <f>IF(OR(AG6="",R6=0),"",MIN(IF(AT6="",9.9E+99,AT6),AK6/R6))</f>
        <v/>
      </c>
      <c r="AO6" s="38">
        <f>IF(AN6="","",AN6*T6)</f>
        <v/>
      </c>
      <c r="AP6" s="40" t="n"/>
      <c r="AQ6" s="32" t="inlineStr">
        <is>
          <t>Estimated</t>
        </is>
      </c>
      <c r="AR6" s="41" t="n"/>
      <c r="AS6" s="41" t="n"/>
      <c r="AT6" s="42" t="n"/>
      <c r="AU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V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W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X6" s="44" t="n"/>
      <c r="AY6" s="44" t="n"/>
    </row>
    <row r="7">
      <c r="A7" s="29" t="inlineStr">
        <is>
          <t>Marti Turkey</t>
        </is>
      </c>
      <c r="B7" s="29" t="inlineStr">
        <is>
          <t>Turkey</t>
        </is>
      </c>
      <c r="C7" s="30" t="inlineStr">
        <is>
          <t>Istanbul (Galataport) → Beşiktaş / Bosphorus</t>
        </is>
      </c>
      <c r="D7" s="31" t="n">
        <v>2.6</v>
      </c>
      <c r="E7" s="26" t="n">
        <v>13</v>
      </c>
      <c r="F7" s="32" t="inlineStr">
        <is>
          <t>T2</t>
        </is>
      </c>
      <c r="G7" s="32" t="inlineStr">
        <is>
          <t>med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MIN(24,FLOOR(60*service_hr/J7,1))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400000</v>
      </c>
      <c r="AH7" s="32" t="n"/>
      <c r="AI7" s="32" t="n"/>
      <c r="AJ7" s="39" t="n">
        <v>0.1</v>
      </c>
      <c r="AK7" s="34">
        <f>IF(AG7="","",AG7*AJ7)</f>
        <v/>
      </c>
      <c r="AL7" s="34">
        <f>IF(OR(AG7="",R7=0),"",MIN(IF(AT7="",9.9E+99,AT7),FLOOR(AK7/R7,1)))</f>
        <v/>
      </c>
      <c r="AM7" s="38">
        <f>IF(AL7="","",AL7*T7)</f>
        <v/>
      </c>
      <c r="AN7" s="36">
        <f>IF(OR(AG7="",R7=0),"",MIN(IF(AT7="",9.9E+99,AT7),AK7/R7))</f>
        <v/>
      </c>
      <c r="AO7" s="38">
        <f>IF(AN7="","",AN7*T7)</f>
        <v/>
      </c>
      <c r="AP7" s="40" t="n"/>
      <c r="AQ7" s="32" t="inlineStr">
        <is>
          <t>Grounded</t>
        </is>
      </c>
      <c r="AR7" s="41" t="n"/>
      <c r="AS7" s="41" t="n"/>
      <c r="AT7" s="42" t="n"/>
      <c r="AU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V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W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X7" s="44" t="inlineStr">
        <is>
          <t>EXISTING anchor retained — private/tourist Bosphorus hop-on premium (~600 TL). For reference, the IMM Sea Taxi shared per-seat on this 2.6 nm leg = (500+2.6×750)/10 = 245 TL = $5.28; whole-boat charter 2450 TL = $52.8.</t>
        </is>
      </c>
      <c r="AY7" s="44" t="n"/>
    </row>
    <row r="8">
      <c r="A8" s="29" t="inlineStr">
        <is>
          <t>Marti Turkey</t>
        </is>
      </c>
      <c r="B8" s="29" t="inlineStr">
        <is>
          <t>Turkey</t>
        </is>
      </c>
      <c r="C8" s="30" t="inlineStr">
        <is>
          <t>Eminönü → Kadıköy</t>
        </is>
      </c>
      <c r="D8" s="31" t="n">
        <v>2.6</v>
      </c>
      <c r="E8" s="26" t="n">
        <v>18</v>
      </c>
      <c r="F8" s="32" t="inlineStr">
        <is>
          <t>T2</t>
        </is>
      </c>
      <c r="G8" s="32" t="inlineStr">
        <is>
          <t>med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MIN(24,FLOOR(60*service_hr/J8,1))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1091427</v>
      </c>
      <c r="AH8" s="32" t="n"/>
      <c r="AI8" s="32" t="inlineStr">
        <is>
          <t>med</t>
        </is>
      </c>
      <c r="AJ8" s="39" t="n">
        <v>0.25</v>
      </c>
      <c r="AK8" s="34">
        <f>IF(AG8="","",AG8*AJ8)</f>
        <v/>
      </c>
      <c r="AL8" s="34">
        <f>IF(OR(AG8="",R8=0),"",MIN(IF(AT8="",9.9E+99,AT8),FLOOR(AK8/R8,1)))</f>
        <v/>
      </c>
      <c r="AM8" s="38">
        <f>IF(AL8="","",AL8*T8)</f>
        <v/>
      </c>
      <c r="AN8" s="36">
        <f>IF(OR(AG8="",R8=0),"",MIN(IF(AT8="",9.9E+99,AT8),AK8/R8))</f>
        <v/>
      </c>
      <c r="AO8" s="38">
        <f>IF(AN8="","",AN8*T8)</f>
        <v/>
      </c>
      <c r="AP8" s="40" t="n"/>
      <c r="AQ8" s="32" t="inlineStr">
        <is>
          <t>Grounded</t>
        </is>
      </c>
      <c r="AR8" s="41" t="n"/>
      <c r="AS8" s="41" t="n"/>
      <c r="AT8" s="42" t="n"/>
      <c r="AU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V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W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X8" s="44" t="inlineStr">
        <is>
          <t>[LB-255 PREMIUM RE-FARE: subsidized comparable $5.28 lifted to premium on-demand floor $18.0] IMM Sea Taxi shared per-seat on 2.6 nm = (500+2.6×750)/10 = 245 TL ÷ 46.4 = $5.28 (whole-boat 2450 TL = $52.8).</t>
        </is>
      </c>
      <c r="AY8" s="44" t="n"/>
    </row>
    <row r="9">
      <c r="A9" s="29" t="inlineStr">
        <is>
          <t>Marti Turkey</t>
        </is>
      </c>
      <c r="B9" s="29" t="inlineStr">
        <is>
          <t>Turkey</t>
        </is>
      </c>
      <c r="C9" s="30" t="inlineStr">
        <is>
          <t>Beşiktaş → Kadıköy</t>
        </is>
      </c>
      <c r="D9" s="31" t="n">
        <v>2.6</v>
      </c>
      <c r="E9" s="26" t="n">
        <v>18</v>
      </c>
      <c r="F9" s="32" t="inlineStr">
        <is>
          <t>T2</t>
        </is>
      </c>
      <c r="G9" s="32" t="inlineStr">
        <is>
          <t>med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MIN(24,FLOOR(60*service_hr/J9,1))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/>
      <c r="AH9" s="32" t="n"/>
      <c r="AI9" s="32" t="n"/>
      <c r="AJ9" s="39" t="n">
        <v>0.1</v>
      </c>
      <c r="AK9" s="34">
        <f>IF(AG9="","",AG9*AJ9)</f>
        <v/>
      </c>
      <c r="AL9" s="34">
        <f>IF(OR(AG9="",R9=0),"",MIN(IF(AT9="",9.9E+99,AT9),FLOOR(AK9/R9,1)))</f>
        <v/>
      </c>
      <c r="AM9" s="38">
        <f>IF(AL9="","",AL9*T9)</f>
        <v/>
      </c>
      <c r="AN9" s="36">
        <f>IF(OR(AG9="",R9=0),"",MIN(IF(AT9="",9.9E+99,AT9),AK9/R9))</f>
        <v/>
      </c>
      <c r="AO9" s="38">
        <f>IF(AN9="","",AN9*T9)</f>
        <v/>
      </c>
      <c r="AP9" s="40" t="n"/>
      <c r="AQ9" s="32" t="inlineStr">
        <is>
          <t>Estimated</t>
        </is>
      </c>
      <c r="AR9" s="41" t="n"/>
      <c r="AS9" s="41" t="n"/>
      <c r="AT9" s="42" t="n"/>
      <c r="AU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V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W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X9" s="44" t="inlineStr">
        <is>
          <t>[LB-255 PREMIUM RE-FARE: subsidized comparable $5.28 lifted to premium on-demand floor $18.0] IMM Sea Taxi shared per-seat on 2.6 nm = (500+2.6×750)/10 = 245 TL ÷ 46.4 = $5.28.</t>
        </is>
      </c>
      <c r="AY9" s="44" t="n"/>
    </row>
    <row r="10">
      <c r="A10" s="29" t="inlineStr">
        <is>
          <t>Marti Turkey</t>
        </is>
      </c>
      <c r="B10" s="29" t="inlineStr">
        <is>
          <t>Turkey</t>
        </is>
      </c>
      <c r="C10" s="30" t="inlineStr">
        <is>
          <t>Kadıköy → Kabataş</t>
        </is>
      </c>
      <c r="D10" s="31" t="n">
        <v>2.6</v>
      </c>
      <c r="E10" s="26" t="n">
        <v>18</v>
      </c>
      <c r="F10" s="32" t="inlineStr">
        <is>
          <t>T2</t>
        </is>
      </c>
      <c r="G10" s="32" t="inlineStr">
        <is>
          <t>med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MIN(24,FLOOR(60*service_hr/J10,1))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/>
      <c r="AH10" s="32" t="n"/>
      <c r="AI10" s="32" t="n"/>
      <c r="AJ10" s="39" t="n">
        <v>0.1</v>
      </c>
      <c r="AK10" s="34">
        <f>IF(AG10="","",AG10*AJ10)</f>
        <v/>
      </c>
      <c r="AL10" s="34">
        <f>IF(OR(AG10="",R10=0),"",MIN(IF(AT10="",9.9E+99,AT10),FLOOR(AK10/R10,1)))</f>
        <v/>
      </c>
      <c r="AM10" s="38">
        <f>IF(AL10="","",AL10*T10)</f>
        <v/>
      </c>
      <c r="AN10" s="36">
        <f>IF(OR(AG10="",R10=0),"",MIN(IF(AT10="",9.9E+99,AT10),AK10/R10))</f>
        <v/>
      </c>
      <c r="AO10" s="38">
        <f>IF(AN10="","",AN10*T10)</f>
        <v/>
      </c>
      <c r="AP10" s="40" t="n"/>
      <c r="AQ10" s="32" t="inlineStr">
        <is>
          <t>Estimated</t>
        </is>
      </c>
      <c r="AR10" s="41" t="n"/>
      <c r="AS10" s="41" t="n"/>
      <c r="AT10" s="42" t="n"/>
      <c r="AU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V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W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X10" s="44" t="inlineStr">
        <is>
          <t>[LB-255 PREMIUM RE-FARE: subsidized comparable $5.28 lifted to premium on-demand floor $18.0] IMM Sea Taxi shared per-seat on 2.6 nm = (500+2.6×750)/10 = 245 TL ÷ 46.4 = $5.28.</t>
        </is>
      </c>
      <c r="AY10" s="44" t="n"/>
    </row>
    <row r="11">
      <c r="A11" s="29" t="inlineStr">
        <is>
          <t>Marti Turkey</t>
        </is>
      </c>
      <c r="B11" s="29" t="inlineStr">
        <is>
          <t>Turkey</t>
        </is>
      </c>
      <c r="C11" s="30" t="inlineStr">
        <is>
          <t>Bostancı → Büyükada (Princes' Islands)</t>
        </is>
      </c>
      <c r="D11" s="31" t="n">
        <v>4.5</v>
      </c>
      <c r="E11" s="26" t="n">
        <v>8.35</v>
      </c>
      <c r="F11" s="32" t="inlineStr">
        <is>
          <t>T2</t>
        </is>
      </c>
      <c r="G11" s="32" t="inlineStr">
        <is>
          <t>med</t>
        </is>
      </c>
      <c r="H11" s="19" t="n">
        <v>1</v>
      </c>
      <c r="I11" s="33">
        <f>60*D11/cruise_kt</f>
        <v/>
      </c>
      <c r="J11" s="33">
        <f>I11+turn_min+dwell_min</f>
        <v/>
      </c>
      <c r="K11" s="34">
        <f>MIN(15,FLOOR(60*service_hr/J11,1))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/>
      <c r="AH11" s="32" t="n"/>
      <c r="AI11" s="32" t="n"/>
      <c r="AJ11" s="39" t="n">
        <v>0.1</v>
      </c>
      <c r="AK11" s="34">
        <f>IF(AG11="","",AG11*AJ11)</f>
        <v/>
      </c>
      <c r="AL11" s="34">
        <f>IF(OR(AG11="",R11=0),"",MIN(IF(AT11="",9.9E+99,AT11),FLOOR(AK11/R11,1)))</f>
        <v/>
      </c>
      <c r="AM11" s="38">
        <f>IF(AL11="","",AL11*T11)</f>
        <v/>
      </c>
      <c r="AN11" s="36">
        <f>IF(OR(AG11="",R11=0),"",MIN(IF(AT11="",9.9E+99,AT11),AK11/R11))</f>
        <v/>
      </c>
      <c r="AO11" s="38">
        <f>IF(AN11="","",AN11*T11)</f>
        <v/>
      </c>
      <c r="AP11" s="40" t="n"/>
      <c r="AQ11" s="32" t="inlineStr">
        <is>
          <t>Estimated</t>
        </is>
      </c>
      <c r="AR11" s="41" t="n"/>
      <c r="AS11" s="41" t="n"/>
      <c r="AT11" s="42" t="n"/>
      <c r="AU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V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W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X11" s="44" t="inlineStr">
        <is>
          <t>IMM Sea Taxi shared per-seat on 4.5 nm = (500+4.5×750)/10 = 387.5 TL ÷ 46.4 = $8.35 (whole-boat 3875 TL = $83.5).</t>
        </is>
      </c>
      <c r="AY11" s="44" t="n"/>
    </row>
    <row r="12">
      <c r="A12" s="29" t="inlineStr">
        <is>
          <t>Marti Turkey</t>
        </is>
      </c>
      <c r="B12" s="29" t="inlineStr">
        <is>
          <t>Turkey</t>
        </is>
      </c>
      <c r="C12" s="30" t="inlineStr">
        <is>
          <t>Fethiye → Ölüdeniz</t>
        </is>
      </c>
      <c r="D12" s="31" t="n">
        <v>6</v>
      </c>
      <c r="E12" s="26" t="n">
        <v>59</v>
      </c>
      <c r="F12" s="32" t="inlineStr">
        <is>
          <t>T2</t>
        </is>
      </c>
      <c r="G12" s="32" t="inlineStr">
        <is>
          <t>med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MIN(15,FLOOR(60*service_hr/J12,1))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/>
      <c r="AH12" s="32" t="n"/>
      <c r="AI12" s="32" t="n"/>
      <c r="AJ12" s="39" t="n">
        <v>0.1</v>
      </c>
      <c r="AK12" s="34">
        <f>IF(AG12="","",AG12*AJ12)</f>
        <v/>
      </c>
      <c r="AL12" s="34">
        <f>IF(OR(AG12="",R12=0),"",MIN(IF(AT12="",9.9E+99,AT12),FLOOR(AK12/R12,1)))</f>
        <v/>
      </c>
      <c r="AM12" s="38">
        <f>IF(AL12="","",AL12*T12)</f>
        <v/>
      </c>
      <c r="AN12" s="36">
        <f>IF(OR(AG12="",R12=0),"",MIN(IF(AT12="",9.9E+99,AT12),AK12/R12))</f>
        <v/>
      </c>
      <c r="AO12" s="38">
        <f>IF(AN12="","",AN12*T12)</f>
        <v/>
      </c>
      <c r="AP12" s="40" t="n"/>
      <c r="AQ12" s="32" t="inlineStr">
        <is>
          <t>Estimated</t>
        </is>
      </c>
      <c r="AR12" s="41" t="n"/>
      <c r="AS12" s="41" t="n"/>
      <c r="AT12" s="42" t="n"/>
      <c r="AU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V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W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X12" s="44" t="inlineStr">
        <is>
          <t>Fethiye/Ölüdeniz 6-Islands + Butterfly Valley + Blue Lagoon boat trip ~$59/adult (Tripadvisor) as premium per-seat day-cruise anchor.</t>
        </is>
      </c>
      <c r="AY12" s="44" t="n"/>
    </row>
    <row r="13">
      <c r="A13" s="29" t="inlineStr">
        <is>
          <t>Marti Turkey</t>
        </is>
      </c>
      <c r="B13" s="29" t="inlineStr">
        <is>
          <t>Turkey</t>
        </is>
      </c>
      <c r="C13" s="30" t="inlineStr">
        <is>
          <t>Çeşme → Chios (Greece)</t>
        </is>
      </c>
      <c r="D13" s="31" t="n">
        <v>7</v>
      </c>
      <c r="E13" s="26" t="n"/>
      <c r="F13" s="32" t="n"/>
      <c r="G13" s="32" t="n"/>
      <c r="H13" s="19" t="n">
        <v>1</v>
      </c>
      <c r="I13" s="33">
        <f>60*D13/cruise_kt</f>
        <v/>
      </c>
      <c r="J13" s="33">
        <f>I13+turn_min+dwell_min</f>
        <v/>
      </c>
      <c r="K13" s="34">
        <f>MIN(15,FLOOR(60*service_hr/J13,1))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/>
      <c r="AH13" s="32" t="n"/>
      <c r="AI13" s="32" t="n"/>
      <c r="AJ13" s="39" t="n">
        <v>0.1</v>
      </c>
      <c r="AK13" s="34">
        <f>IF(AG13="","",AG13*AJ13)</f>
        <v/>
      </c>
      <c r="AL13" s="34">
        <f>IF(OR(AG13="",R13=0),"",MIN(IF(AT13="",9.9E+99,AT13),FLOOR(AK13/R13,1)))</f>
        <v/>
      </c>
      <c r="AM13" s="38">
        <f>IF(AL13="","",AL13*T13)</f>
        <v/>
      </c>
      <c r="AN13" s="36">
        <f>IF(OR(AG13="",R13=0),"",MIN(IF(AT13="",9.9E+99,AT13),AK13/R13))</f>
        <v/>
      </c>
      <c r="AO13" s="38">
        <f>IF(AN13="","",AN13*T13)</f>
        <v/>
      </c>
      <c r="AP13" s="40" t="n"/>
      <c r="AQ13" s="32" t="inlineStr">
        <is>
          <t>Estimated</t>
        </is>
      </c>
      <c r="AR13" s="41" t="n"/>
      <c r="AS13" s="41" t="n"/>
      <c r="AT13" s="42" t="n"/>
      <c r="AU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V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W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X13" s="44" t="n"/>
      <c r="AY13" s="44" t="n"/>
    </row>
    <row r="14">
      <c r="A14" s="29" t="inlineStr">
        <is>
          <t>Marti Turkey</t>
        </is>
      </c>
      <c r="B14" s="29" t="inlineStr">
        <is>
          <t>Turkey</t>
        </is>
      </c>
      <c r="C14" s="30" t="inlineStr">
        <is>
          <t>Fethiye → Göcek (12 Islands bays)</t>
        </is>
      </c>
      <c r="D14" s="31" t="n">
        <v>8</v>
      </c>
      <c r="E14" s="26" t="n">
        <v>38</v>
      </c>
      <c r="F14" s="32" t="inlineStr">
        <is>
          <t>T2</t>
        </is>
      </c>
      <c r="G14" s="32" t="inlineStr">
        <is>
          <t>med</t>
        </is>
      </c>
      <c r="H14" s="19" t="n">
        <v>1</v>
      </c>
      <c r="I14" s="33">
        <f>60*D14/cruise_kt</f>
        <v/>
      </c>
      <c r="J14" s="33">
        <f>I14+turn_min+dwell_min</f>
        <v/>
      </c>
      <c r="K14" s="34">
        <f>MIN(15,FLOOR(60*service_hr/J14,1))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/>
      <c r="AH14" s="32" t="n"/>
      <c r="AI14" s="32" t="n"/>
      <c r="AJ14" s="39" t="n">
        <v>0.1</v>
      </c>
      <c r="AK14" s="34">
        <f>IF(AG14="","",AG14*AJ14)</f>
        <v/>
      </c>
      <c r="AL14" s="34">
        <f>IF(OR(AG14="",R14=0),"",MIN(IF(AT14="",9.9E+99,AT14),FLOOR(AK14/R14,1)))</f>
        <v/>
      </c>
      <c r="AM14" s="38">
        <f>IF(AL14="","",AL14*T14)</f>
        <v/>
      </c>
      <c r="AN14" s="36">
        <f>IF(OR(AG14="",R14=0),"",MIN(IF(AT14="",9.9E+99,AT14),AK14/R14))</f>
        <v/>
      </c>
      <c r="AO14" s="38">
        <f>IF(AN14="","",AN14*T14)</f>
        <v/>
      </c>
      <c r="AP14" s="40" t="n"/>
      <c r="AQ14" s="32" t="inlineStr">
        <is>
          <t>Estimated</t>
        </is>
      </c>
      <c r="AR14" s="41" t="n"/>
      <c r="AS14" s="41" t="n"/>
      <c r="AT14" s="42" t="n"/>
      <c r="AU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V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W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X14" s="44" t="inlineStr">
        <is>
          <t>12-Islands day-cruise per-adult comparable ~$35-40 (GetYourGuide/Tripadvisor Göcek &amp; Fethiye tours); $38 premium per-seat anchor.</t>
        </is>
      </c>
      <c r="AY14" s="44" t="n"/>
    </row>
    <row r="15">
      <c r="A15" s="29" t="inlineStr">
        <is>
          <t>Marti Turkey</t>
        </is>
      </c>
      <c r="B15" s="29" t="inlineStr">
        <is>
          <t>Turkey</t>
        </is>
      </c>
      <c r="C15" s="30" t="inlineStr">
        <is>
          <t>Bodrum → Gümüşlük</t>
        </is>
      </c>
      <c r="D15" s="31" t="n">
        <v>9</v>
      </c>
      <c r="E15" s="26" t="n">
        <v>30</v>
      </c>
      <c r="F15" s="32" t="inlineStr">
        <is>
          <t>T2</t>
        </is>
      </c>
      <c r="G15" s="32" t="inlineStr">
        <is>
          <t>med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MIN(15,FLOOR(60*service_hr/J15,1))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/>
      <c r="AH15" s="32" t="n"/>
      <c r="AI15" s="32" t="n"/>
      <c r="AJ15" s="39" t="n">
        <v>0.1</v>
      </c>
      <c r="AK15" s="34">
        <f>IF(AG15="","",AG15*AJ15)</f>
        <v/>
      </c>
      <c r="AL15" s="34">
        <f>IF(OR(AG15="",R15=0),"",MIN(IF(AT15="",9.9E+99,AT15),FLOOR(AK15/R15,1)))</f>
        <v/>
      </c>
      <c r="AM15" s="38">
        <f>IF(AL15="","",AL15*T15)</f>
        <v/>
      </c>
      <c r="AN15" s="36">
        <f>IF(OR(AG15="",R15=0),"",MIN(IF(AT15="",9.9E+99,AT15),AK15/R15))</f>
        <v/>
      </c>
      <c r="AO15" s="38">
        <f>IF(AN15="","",AN15*T15)</f>
        <v/>
      </c>
      <c r="AP15" s="40" t="n"/>
      <c r="AQ15" s="32" t="inlineStr">
        <is>
          <t>Estimated</t>
        </is>
      </c>
      <c r="AR15" s="41" t="n"/>
      <c r="AS15" s="41" t="n"/>
      <c r="AT15" s="42" t="n"/>
      <c r="AU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V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W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X15" s="44" t="inlineStr">
        <is>
          <t>Bodrum/Gümüşlük day-boat tour comparable ~$30/adult (Tripadvisor/GetYourGuide Bodrum cruises) used as premium per-seat leisure anchor (not pure point-to-point).</t>
        </is>
      </c>
      <c r="AY15" s="44" t="n"/>
    </row>
    <row r="16">
      <c r="A16" s="29" t="inlineStr">
        <is>
          <t>Marti Turkey</t>
        </is>
      </c>
      <c r="B16" s="29" t="inlineStr">
        <is>
          <t>Turkey</t>
        </is>
      </c>
      <c r="C16" s="30" t="inlineStr">
        <is>
          <t>Bodrum → Yalıkavak</t>
        </is>
      </c>
      <c r="D16" s="31" t="n">
        <v>9</v>
      </c>
      <c r="E16" s="26" t="n">
        <v>40</v>
      </c>
      <c r="F16" s="32" t="inlineStr">
        <is>
          <t>T2</t>
        </is>
      </c>
      <c r="G16" s="32" t="inlineStr">
        <is>
          <t>med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MIN(15,FLOOR(60*service_hr/J16,1))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/>
      <c r="AH16" s="32" t="n"/>
      <c r="AI16" s="32" t="n"/>
      <c r="AJ16" s="39" t="n">
        <v>0.1</v>
      </c>
      <c r="AK16" s="34">
        <f>IF(AG16="","",AG16*AJ16)</f>
        <v/>
      </c>
      <c r="AL16" s="34">
        <f>IF(OR(AG16="",R16=0),"",MIN(IF(AT16="",9.9E+99,AT16),FLOOR(AK16/R16,1)))</f>
        <v/>
      </c>
      <c r="AM16" s="38">
        <f>IF(AL16="","",AL16*T16)</f>
        <v/>
      </c>
      <c r="AN16" s="36">
        <f>IF(OR(AG16="",R16=0),"",MIN(IF(AT16="",9.9E+99,AT16),AK16/R16))</f>
        <v/>
      </c>
      <c r="AO16" s="38">
        <f>IF(AN16="","",AN16*T16)</f>
        <v/>
      </c>
      <c r="AP16" s="40" t="n"/>
      <c r="AQ16" s="32" t="inlineStr">
        <is>
          <t>Estimated</t>
        </is>
      </c>
      <c r="AR16" s="41" t="n"/>
      <c r="AS16" s="41" t="n"/>
      <c r="AT16" s="42" t="n"/>
      <c r="AU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V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W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X16" s="44" t="inlineStr">
        <is>
          <t>Bodrum-peninsula premium day/charter tender comparable ~$40/seat (Viator/GetYourGuide Bodrum luxury cruises) — superyacht-marina premium tier.</t>
        </is>
      </c>
      <c r="AY16" s="44" t="n"/>
    </row>
    <row r="17">
      <c r="A17" s="29" t="inlineStr">
        <is>
          <t>Marti Turkey</t>
        </is>
      </c>
      <c r="B17" s="29" t="inlineStr">
        <is>
          <t>Turkey</t>
        </is>
      </c>
      <c r="C17" s="30" t="inlineStr">
        <is>
          <t>Bodrum → Datça</t>
        </is>
      </c>
      <c r="D17" s="31" t="n">
        <v>10</v>
      </c>
      <c r="E17" s="26" t="n">
        <v>15.1</v>
      </c>
      <c r="F17" s="32" t="inlineStr">
        <is>
          <t>T2</t>
        </is>
      </c>
      <c r="G17" s="32" t="inlineStr">
        <is>
          <t>med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MIN(24,FLOOR(60*service_hr/J17,1))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/>
      <c r="AH17" s="32" t="n"/>
      <c r="AI17" s="32" t="n"/>
      <c r="AJ17" s="39" t="n">
        <v>0.1</v>
      </c>
      <c r="AK17" s="34">
        <f>IF(AG17="","",AG17*AJ17)</f>
        <v/>
      </c>
      <c r="AL17" s="34">
        <f>IF(OR(AG17="",R17=0),"",MIN(IF(AT17="",9.9E+99,AT17),FLOOR(AK17/R17,1)))</f>
        <v/>
      </c>
      <c r="AM17" s="38">
        <f>IF(AL17="","",AL17*T17)</f>
        <v/>
      </c>
      <c r="AN17" s="36">
        <f>IF(OR(AG17="",R17=0),"",MIN(IF(AT17="",9.9E+99,AT17),AK17/R17))</f>
        <v/>
      </c>
      <c r="AO17" s="38">
        <f>IF(AN17="","",AN17*T17)</f>
        <v/>
      </c>
      <c r="AP17" s="40" t="n"/>
      <c r="AQ17" s="32" t="inlineStr">
        <is>
          <t>Estimated</t>
        </is>
      </c>
      <c r="AR17" s="41" t="n"/>
      <c r="AS17" s="41" t="n"/>
      <c r="AT17" s="42" t="n"/>
      <c r="AU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V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W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X17" s="44" t="inlineStr">
        <is>
          <t>Bodrum→Datça scheduled ferry one-way 700 TL (Jun 2025, Turkey's For Life / bodrumferibot) ÷ 46.4 = $15.1; return 1,250 TL = $26.9.</t>
        </is>
      </c>
      <c r="AY17" s="44" t="n"/>
    </row>
    <row r="18">
      <c r="A18" s="29" t="inlineStr">
        <is>
          <t>Marti Turkey</t>
        </is>
      </c>
      <c r="B18" s="29" t="inlineStr">
        <is>
          <t>Turkey</t>
        </is>
      </c>
      <c r="C18" s="30" t="inlineStr">
        <is>
          <t>Bodrum → Turgutreis</t>
        </is>
      </c>
      <c r="D18" s="31" t="n">
        <v>10</v>
      </c>
      <c r="E18" s="26" t="n">
        <v>35</v>
      </c>
      <c r="F18" s="32" t="inlineStr">
        <is>
          <t>T2</t>
        </is>
      </c>
      <c r="G18" s="32" t="inlineStr">
        <is>
          <t>med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MIN(15,FLOOR(60*service_hr/J18,1))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/>
      <c r="AH18" s="32" t="n"/>
      <c r="AI18" s="32" t="n"/>
      <c r="AJ18" s="39" t="n">
        <v>0.1</v>
      </c>
      <c r="AK18" s="34">
        <f>IF(AG18="","",AG18*AJ18)</f>
        <v/>
      </c>
      <c r="AL18" s="34">
        <f>IF(OR(AG18="",R18=0),"",MIN(IF(AT18="",9.9E+99,AT18),FLOOR(AK18/R18,1)))</f>
        <v/>
      </c>
      <c r="AM18" s="38">
        <f>IF(AL18="","",AL18*T18)</f>
        <v/>
      </c>
      <c r="AN18" s="36">
        <f>IF(OR(AG18="",R18=0),"",MIN(IF(AT18="",9.9E+99,AT18),AK18/R18))</f>
        <v/>
      </c>
      <c r="AO18" s="38">
        <f>IF(AN18="","",AN18*T18)</f>
        <v/>
      </c>
      <c r="AP18" s="40" t="n"/>
      <c r="AQ18" s="32" t="inlineStr">
        <is>
          <t>Estimated</t>
        </is>
      </c>
      <c r="AR18" s="41" t="n"/>
      <c r="AS18" s="41" t="n"/>
      <c r="AT18" s="42" t="n"/>
      <c r="AU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V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W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X18" s="44" t="inlineStr">
        <is>
          <t>Bodrum-peninsula day/sunset cruise comparable ~$35/adult (Tripadvisor/Viator Bodrum &amp; Turgutreis tours).</t>
        </is>
      </c>
      <c r="AY18" s="44" t="n"/>
    </row>
    <row r="19">
      <c r="A19" s="29" t="inlineStr">
        <is>
          <t>Marti Turkey</t>
        </is>
      </c>
      <c r="B19" s="29" t="inlineStr">
        <is>
          <t>Turkey</t>
        </is>
      </c>
      <c r="C19" s="30" t="inlineStr">
        <is>
          <t>Kabataş → Büyükada (Princes' Islands)</t>
        </is>
      </c>
      <c r="D19" s="31" t="n">
        <v>11</v>
      </c>
      <c r="E19" s="26" t="n">
        <v>18.86</v>
      </c>
      <c r="F19" s="32" t="inlineStr">
        <is>
          <t>T2</t>
        </is>
      </c>
      <c r="G19" s="32" t="inlineStr">
        <is>
          <t>med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MIN(15,FLOOR(60*service_hr/J19,1))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>
        <v>2000000</v>
      </c>
      <c r="AH19" s="32" t="n"/>
      <c r="AI19" s="32" t="n"/>
      <c r="AJ19" s="39" t="n">
        <v>0.1</v>
      </c>
      <c r="AK19" s="34">
        <f>IF(AG19="","",AG19*AJ19)</f>
        <v/>
      </c>
      <c r="AL19" s="34">
        <f>IF(OR(AG19="",R19=0),"",MIN(IF(AT19="",9.9E+99,AT19),FLOOR(AK19/R19,1)))</f>
        <v/>
      </c>
      <c r="AM19" s="38">
        <f>IF(AL19="","",AL19*T19)</f>
        <v/>
      </c>
      <c r="AN19" s="36">
        <f>IF(OR(AG19="",R19=0),"",MIN(IF(AT19="",9.9E+99,AT19),AK19/R19))</f>
        <v/>
      </c>
      <c r="AO19" s="38">
        <f>IF(AN19="","",AN19*T19)</f>
        <v/>
      </c>
      <c r="AP19" s="40" t="n"/>
      <c r="AQ19" s="32" t="inlineStr">
        <is>
          <t>Grounded</t>
        </is>
      </c>
      <c r="AR19" s="41" t="n"/>
      <c r="AS19" s="41" t="n"/>
      <c r="AT19" s="42" t="n"/>
      <c r="AU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V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W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X19" s="44" t="inlineStr">
        <is>
          <t>IMM Sea Taxi shared per-seat on 11 nm = (500+11×750)/10 = 875 TL ÷ 46.4 = $18.86 (whole-boat 8750 TL = $188.6). Scheduled premium = İDO/Şehir Hatları fast-ferry Adalar tier.</t>
        </is>
      </c>
      <c r="AY19" s="44" t="n"/>
    </row>
    <row r="20">
      <c r="A20" s="29" t="inlineStr">
        <is>
          <t>Marti Turkey</t>
        </is>
      </c>
      <c r="B20" s="29" t="inlineStr">
        <is>
          <t>Turkey</t>
        </is>
      </c>
      <c r="C20" s="30" t="inlineStr">
        <is>
          <t>Bodrum → Kos (Greece)</t>
        </is>
      </c>
      <c r="D20" s="31" t="n">
        <v>12</v>
      </c>
      <c r="E20" s="26" t="n">
        <v>35</v>
      </c>
      <c r="F20" s="32" t="inlineStr">
        <is>
          <t>T2</t>
        </is>
      </c>
      <c r="G20" s="32" t="inlineStr">
        <is>
          <t>med</t>
        </is>
      </c>
      <c r="H20" s="19" t="n">
        <v>1</v>
      </c>
      <c r="I20" s="33">
        <f>60*D20/cruise_kt</f>
        <v/>
      </c>
      <c r="J20" s="33">
        <f>I20+turn_min+dwell_min</f>
        <v/>
      </c>
      <c r="K20" s="34">
        <f>MIN(15,FLOOR(60*service_hr/J20,1))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>
        <v>138149</v>
      </c>
      <c r="AH20" s="32" t="n"/>
      <c r="AI20" s="32" t="n"/>
      <c r="AJ20" s="39" t="n">
        <v>0.1</v>
      </c>
      <c r="AK20" s="34">
        <f>IF(AG20="","",AG20*AJ20)</f>
        <v/>
      </c>
      <c r="AL20" s="34">
        <f>IF(OR(AG20="",R20=0),"",MIN(IF(AT20="",9.9E+99,AT20),FLOOR(AK20/R20,1)))</f>
        <v/>
      </c>
      <c r="AM20" s="38">
        <f>IF(AL20="","",AL20*T20)</f>
        <v/>
      </c>
      <c r="AN20" s="36">
        <f>IF(OR(AG20="",R20=0),"",MIN(IF(AT20="",9.9E+99,AT20),AK20/R20))</f>
        <v/>
      </c>
      <c r="AO20" s="38">
        <f>IF(AN20="","",AN20*T20)</f>
        <v/>
      </c>
      <c r="AP20" s="40" t="n"/>
      <c r="AQ20" s="32" t="inlineStr">
        <is>
          <t>Grounded</t>
        </is>
      </c>
      <c r="AR20" s="41" t="n"/>
      <c r="AS20" s="41" t="n"/>
      <c r="AT20" s="42" t="n"/>
      <c r="AU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V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W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X20" s="44" t="inlineStr">
        <is>
          <t>Scheduled fast catamaran Bodrum→Kos adult one-way €25-40 (Bodrum Express Lines / ferrybodrum); midpoint €32 × 1.08 = $34.6 ≈ $35.</t>
        </is>
      </c>
      <c r="AY20" s="44" t="n"/>
    </row>
    <row r="21">
      <c r="A21" s="29" t="inlineStr">
        <is>
          <t>Marti Turkey</t>
        </is>
      </c>
      <c r="B21" s="29" t="inlineStr">
        <is>
          <t>Turkey</t>
        </is>
      </c>
      <c r="C21" s="30" t="inlineStr">
        <is>
          <t>Kuşadası → Samos (Greece)</t>
        </is>
      </c>
      <c r="D21" s="31" t="n">
        <v>12</v>
      </c>
      <c r="E21" s="26" t="n"/>
      <c r="F21" s="32" t="n"/>
      <c r="G21" s="32" t="n"/>
      <c r="H21" s="19" t="n">
        <v>1</v>
      </c>
      <c r="I21" s="33">
        <f>60*D21/cruise_kt</f>
        <v/>
      </c>
      <c r="J21" s="33">
        <f>I21+turn_min+dwell_min</f>
        <v/>
      </c>
      <c r="K21" s="34">
        <f>MIN(15,FLOOR(60*service_hr/J21,1))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/>
      <c r="AH21" s="32" t="n"/>
      <c r="AI21" s="32" t="n"/>
      <c r="AJ21" s="39" t="n">
        <v>0.1</v>
      </c>
      <c r="AK21" s="34">
        <f>IF(AG21="","",AG21*AJ21)</f>
        <v/>
      </c>
      <c r="AL21" s="34">
        <f>IF(OR(AG21="",R21=0),"",MIN(IF(AT21="",9.9E+99,AT21),FLOOR(AK21/R21,1)))</f>
        <v/>
      </c>
      <c r="AM21" s="38">
        <f>IF(AL21="","",AL21*T21)</f>
        <v/>
      </c>
      <c r="AN21" s="36">
        <f>IF(OR(AG21="",R21=0),"",MIN(IF(AT21="",9.9E+99,AT21),AK21/R21))</f>
        <v/>
      </c>
      <c r="AO21" s="38">
        <f>IF(AN21="","",AN21*T21)</f>
        <v/>
      </c>
      <c r="AP21" s="40" t="n"/>
      <c r="AQ21" s="32" t="inlineStr">
        <is>
          <t>Estimated</t>
        </is>
      </c>
      <c r="AR21" s="41" t="n"/>
      <c r="AS21" s="41" t="n"/>
      <c r="AT21" s="42" t="n"/>
      <c r="AU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V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W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X21" s="44" t="n"/>
      <c r="AY21" s="44" t="n"/>
    </row>
    <row r="22">
      <c r="A22" s="29" t="inlineStr">
        <is>
          <t>Marti Turkey</t>
        </is>
      </c>
      <c r="B22" s="29" t="inlineStr">
        <is>
          <t>Turkey</t>
        </is>
      </c>
      <c r="C22" s="30" t="inlineStr">
        <is>
          <t>Sabiha Gökçen Airport (Pendik) → Kabataş / Beşiktaş (city)</t>
        </is>
      </c>
      <c r="D22" s="31" t="n">
        <v>15</v>
      </c>
      <c r="E22" s="26" t="n">
        <v>25.3</v>
      </c>
      <c r="F22" s="32" t="inlineStr">
        <is>
          <t>T2</t>
        </is>
      </c>
      <c r="G22" s="32" t="inlineStr">
        <is>
          <t>med</t>
        </is>
      </c>
      <c r="H22" s="19" t="n">
        <v>1</v>
      </c>
      <c r="I22" s="33">
        <f>60*D22/cruise_kt</f>
        <v/>
      </c>
      <c r="J22" s="33">
        <f>I22+turn_min+dwell_min</f>
        <v/>
      </c>
      <c r="K22" s="34">
        <f>MIN(15,FLOOR(60*service_hr/J22,1))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/>
      <c r="AH22" s="32" t="n"/>
      <c r="AI22" s="32" t="n"/>
      <c r="AJ22" s="39" t="n">
        <v>0.1</v>
      </c>
      <c r="AK22" s="34">
        <f>IF(AG22="","",AG22*AJ22)</f>
        <v/>
      </c>
      <c r="AL22" s="34">
        <f>IF(OR(AG22="",R22=0),"",MIN(IF(AT22="",9.9E+99,AT22),FLOOR(AK22/R22,1)))</f>
        <v/>
      </c>
      <c r="AM22" s="38">
        <f>IF(AL22="","",AL22*T22)</f>
        <v/>
      </c>
      <c r="AN22" s="36">
        <f>IF(OR(AG22="",R22=0),"",MIN(IF(AT22="",9.9E+99,AT22),AK22/R22))</f>
        <v/>
      </c>
      <c r="AO22" s="38">
        <f>IF(AN22="","",AN22*T22)</f>
        <v/>
      </c>
      <c r="AP22" s="40" t="n"/>
      <c r="AQ22" s="32" t="inlineStr">
        <is>
          <t>Estimated</t>
        </is>
      </c>
      <c r="AR22" s="41" t="n"/>
      <c r="AS22" s="41" t="n"/>
      <c r="AT22" s="42" t="n"/>
      <c r="AU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V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W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X22" s="44" t="inlineStr">
        <is>
          <t>IMM Sea Taxi shared per-seat on 15 nm = (500+15×750)/10 = 1175 TL ÷ 46.4 = $25.3 (whole-boat charter 11,750 TL = $253).</t>
        </is>
      </c>
      <c r="AY22" s="44" t="n"/>
    </row>
    <row r="23">
      <c r="A23" s="29" t="inlineStr">
        <is>
          <t>Marti Turkey</t>
        </is>
      </c>
      <c r="B23" s="29" t="inlineStr">
        <is>
          <t>Turkey</t>
        </is>
      </c>
      <c r="C23" s="30" t="inlineStr">
        <is>
          <t>Marmaris → Datça</t>
        </is>
      </c>
      <c r="D23" s="31" t="n">
        <v>18</v>
      </c>
      <c r="E23" s="26" t="n">
        <v>40</v>
      </c>
      <c r="F23" s="32" t="inlineStr">
        <is>
          <t>T2</t>
        </is>
      </c>
      <c r="G23" s="32" t="inlineStr">
        <is>
          <t>med</t>
        </is>
      </c>
      <c r="H23" s="19" t="n">
        <v>1</v>
      </c>
      <c r="I23" s="33">
        <f>60*D23/cruise_kt</f>
        <v/>
      </c>
      <c r="J23" s="33">
        <f>I23+turn_min+dwell_min</f>
        <v/>
      </c>
      <c r="K23" s="34">
        <f>MIN(15,FLOOR(60*service_hr/J23,1))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/>
      <c r="AH23" s="32" t="n"/>
      <c r="AI23" s="32" t="n"/>
      <c r="AJ23" s="39" t="n">
        <v>0.1</v>
      </c>
      <c r="AK23" s="34">
        <f>IF(AG23="","",AG23*AJ23)</f>
        <v/>
      </c>
      <c r="AL23" s="34">
        <f>IF(OR(AG23="",R23=0),"",MIN(IF(AT23="",9.9E+99,AT23),FLOOR(AK23/R23,1)))</f>
        <v/>
      </c>
      <c r="AM23" s="38">
        <f>IF(AL23="","",AL23*T23)</f>
        <v/>
      </c>
      <c r="AN23" s="36">
        <f>IF(OR(AG23="",R23=0),"",MIN(IF(AT23="",9.9E+99,AT23),AK23/R23))</f>
        <v/>
      </c>
      <c r="AO23" s="38">
        <f>IF(AN23="","",AN23*T23)</f>
        <v/>
      </c>
      <c r="AP23" s="40" t="n"/>
      <c r="AQ23" s="32" t="inlineStr">
        <is>
          <t>Estimated</t>
        </is>
      </c>
      <c r="AR23" s="41" t="n"/>
      <c r="AS23" s="41" t="n"/>
      <c r="AT23" s="42" t="n"/>
      <c r="AU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V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W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X23" s="44" t="inlineStr">
        <is>
          <t>Marmaris→Datça cabin-charter/day-boat per-person comparable ~$40 (Blue Cruise Bodrum Marmaris-Datça route). Scheduled point-to-point not separately tariffed → leisure anchor.</t>
        </is>
      </c>
      <c r="AY23" s="44" t="n"/>
    </row>
    <row r="24">
      <c r="A24" s="29" t="inlineStr">
        <is>
          <t>Marti Turkey</t>
        </is>
      </c>
      <c r="B24" s="29" t="inlineStr">
        <is>
          <t>Turkey</t>
        </is>
      </c>
      <c r="C24" s="30" t="inlineStr">
        <is>
          <t>Bodrum → Didim</t>
        </is>
      </c>
      <c r="D24" s="31" t="n">
        <v>20</v>
      </c>
      <c r="E24" s="26" t="n">
        <v>27</v>
      </c>
      <c r="F24" s="32" t="inlineStr">
        <is>
          <t>T2</t>
        </is>
      </c>
      <c r="G24" s="32" t="inlineStr">
        <is>
          <t>med</t>
        </is>
      </c>
      <c r="H24" s="19" t="n">
        <v>1</v>
      </c>
      <c r="I24" s="33">
        <f>60*D24/cruise_kt</f>
        <v/>
      </c>
      <c r="J24" s="33">
        <f>I24+turn_min+dwell_min</f>
        <v/>
      </c>
      <c r="K24" s="34">
        <f>MIN(24,FLOOR(60*service_hr/J24,1))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/>
      <c r="AH24" s="32" t="n"/>
      <c r="AI24" s="32" t="n"/>
      <c r="AJ24" s="39" t="n">
        <v>0.1</v>
      </c>
      <c r="AK24" s="34">
        <f>IF(AG24="","",AG24*AJ24)</f>
        <v/>
      </c>
      <c r="AL24" s="34">
        <f>IF(OR(AG24="",R24=0),"",MIN(IF(AT24="",9.9E+99,AT24),FLOOR(AK24/R24,1)))</f>
        <v/>
      </c>
      <c r="AM24" s="38">
        <f>IF(AL24="","",AL24*T24)</f>
        <v/>
      </c>
      <c r="AN24" s="36">
        <f>IF(OR(AG24="",R24=0),"",MIN(IF(AT24="",9.9E+99,AT24),AK24/R24))</f>
        <v/>
      </c>
      <c r="AO24" s="38">
        <f>IF(AN24="","",AN24*T24)</f>
        <v/>
      </c>
      <c r="AP24" s="40" t="n"/>
      <c r="AQ24" s="32" t="inlineStr">
        <is>
          <t>Estimated</t>
        </is>
      </c>
      <c r="AR24" s="41" t="n"/>
      <c r="AS24" s="41" t="n"/>
      <c r="AT24" s="42" t="n"/>
      <c r="AU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V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W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X24" s="44" t="inlineStr">
        <is>
          <t>Didim→Turgutreis/Bodrum catamaran ~€25 (Didim Sea Lines / Voices Newspaper 2024 tariff) × 1.08 = $27.</t>
        </is>
      </c>
      <c r="AY24" s="44" t="n"/>
    </row>
    <row r="25">
      <c r="A25" s="29" t="inlineStr">
        <is>
          <t>Marti Turkey</t>
        </is>
      </c>
      <c r="B25" s="29" t="inlineStr">
        <is>
          <t>Turkey</t>
        </is>
      </c>
      <c r="C25" s="30" t="inlineStr">
        <is>
          <t>Antalya → Kemer</t>
        </is>
      </c>
      <c r="D25" s="31" t="n">
        <v>22</v>
      </c>
      <c r="E25" s="26" t="n">
        <v>45</v>
      </c>
      <c r="F25" s="32" t="inlineStr">
        <is>
          <t>T2</t>
        </is>
      </c>
      <c r="G25" s="32" t="inlineStr">
        <is>
          <t>med</t>
        </is>
      </c>
      <c r="H25" s="19" t="n">
        <v>1</v>
      </c>
      <c r="I25" s="33">
        <f>60*D25/cruise_kt</f>
        <v/>
      </c>
      <c r="J25" s="33">
        <f>I25+turn_min+dwell_min</f>
        <v/>
      </c>
      <c r="K25" s="34">
        <f>MIN(24,FLOOR(60*service_hr/J25,1))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/>
      <c r="AH25" s="32" t="n"/>
      <c r="AI25" s="32" t="n"/>
      <c r="AJ25" s="39" t="n">
        <v>0.1</v>
      </c>
      <c r="AK25" s="34">
        <f>IF(AG25="","",AG25*AJ25)</f>
        <v/>
      </c>
      <c r="AL25" s="34">
        <f>IF(OR(AG25="",R25=0),"",MIN(IF(AT25="",9.9E+99,AT25),FLOOR(AK25/R25,1)))</f>
        <v/>
      </c>
      <c r="AM25" s="38">
        <f>IF(AL25="","",AL25*T25)</f>
        <v/>
      </c>
      <c r="AN25" s="36">
        <f>IF(OR(AG25="",R25=0),"",MIN(IF(AT25="",9.9E+99,AT25),AK25/R25))</f>
        <v/>
      </c>
      <c r="AO25" s="38">
        <f>IF(AN25="","",AN25*T25)</f>
        <v/>
      </c>
      <c r="AP25" s="40" t="n"/>
      <c r="AQ25" s="32" t="inlineStr">
        <is>
          <t>Estimated</t>
        </is>
      </c>
      <c r="AR25" s="41" t="n"/>
      <c r="AS25" s="41" t="n"/>
      <c r="AT25" s="42" t="n"/>
      <c r="AU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V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W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X25" s="44" t="inlineStr">
        <is>
          <t>Kemer full-day pirate-boat cruise comparable ~$41-53 (Viator/Tinggly/Tripadvisor); $45 premium per-seat anchor.</t>
        </is>
      </c>
      <c r="AY25" s="44" t="n"/>
    </row>
    <row r="26">
      <c r="A26" s="29" t="inlineStr">
        <is>
          <t>Marti Turkey</t>
        </is>
      </c>
      <c r="B26" s="29" t="inlineStr">
        <is>
          <t>Turkey</t>
        </is>
      </c>
      <c r="C26" s="30" t="inlineStr">
        <is>
          <t>Marmaris → Göcek</t>
        </is>
      </c>
      <c r="D26" s="31" t="n">
        <v>24</v>
      </c>
      <c r="E26" s="26" t="n">
        <v>45</v>
      </c>
      <c r="F26" s="32" t="inlineStr">
        <is>
          <t>T2</t>
        </is>
      </c>
      <c r="G26" s="32" t="inlineStr">
        <is>
          <t>med</t>
        </is>
      </c>
      <c r="H26" s="19" t="n">
        <v>1</v>
      </c>
      <c r="I26" s="33">
        <f>60*D26/cruise_kt</f>
        <v/>
      </c>
      <c r="J26" s="33">
        <f>I26+turn_min+dwell_min</f>
        <v/>
      </c>
      <c r="K26" s="34">
        <f>MIN(15,FLOOR(60*service_hr/J26,1))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/>
      <c r="AH26" s="32" t="n"/>
      <c r="AI26" s="32" t="n"/>
      <c r="AJ26" s="39" t="n">
        <v>0.1</v>
      </c>
      <c r="AK26" s="34">
        <f>IF(AG26="","",AG26*AJ26)</f>
        <v/>
      </c>
      <c r="AL26" s="34">
        <f>IF(OR(AG26="",R26=0),"",MIN(IF(AT26="",9.9E+99,AT26),FLOOR(AK26/R26,1)))</f>
        <v/>
      </c>
      <c r="AM26" s="38">
        <f>IF(AL26="","",AL26*T26)</f>
        <v/>
      </c>
      <c r="AN26" s="36">
        <f>IF(OR(AG26="",R26=0),"",MIN(IF(AT26="",9.9E+99,AT26),AK26/R26))</f>
        <v/>
      </c>
      <c r="AO26" s="38">
        <f>IF(AN26="","",AN26*T26)</f>
        <v/>
      </c>
      <c r="AP26" s="40" t="n"/>
      <c r="AQ26" s="32" t="inlineStr">
        <is>
          <t>Estimated</t>
        </is>
      </c>
      <c r="AR26" s="41" t="n"/>
      <c r="AS26" s="41" t="n"/>
      <c r="AT26" s="42" t="n"/>
      <c r="AU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V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W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X26" s="44" t="inlineStr">
        <is>
          <t>Marmaris/Göcek gulet &amp; blue-cruise day-leg per-seat comparable ~$45 (Blue Cruise / Tripadvisor Marmaris-Datça/Göcek cabin charters, per-day per-person).</t>
        </is>
      </c>
      <c r="AY26" s="44" t="n"/>
    </row>
    <row r="27">
      <c r="A27" s="29" t="inlineStr">
        <is>
          <t>Marti Turkey</t>
        </is>
      </c>
      <c r="B27" s="29" t="inlineStr">
        <is>
          <t>Turkey</t>
        </is>
      </c>
      <c r="C27" s="30" t="inlineStr">
        <is>
          <t>Marmaris → Rhodes (Greece)</t>
        </is>
      </c>
      <c r="D27" s="31" t="n">
        <v>30</v>
      </c>
      <c r="E27" s="26" t="n">
        <v>59</v>
      </c>
      <c r="F27" s="32" t="inlineStr">
        <is>
          <t>T2</t>
        </is>
      </c>
      <c r="G27" s="32" t="inlineStr">
        <is>
          <t>med</t>
        </is>
      </c>
      <c r="H27" s="19" t="n">
        <v>1</v>
      </c>
      <c r="I27" s="33">
        <f>60*D27/cruise_kt</f>
        <v/>
      </c>
      <c r="J27" s="33">
        <f>I27+turn_min+dwell_min</f>
        <v/>
      </c>
      <c r="K27" s="34">
        <f>MIN(15,FLOOR(60*service_hr/J27,1))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/>
      <c r="AH27" s="32" t="n"/>
      <c r="AI27" s="32" t="n"/>
      <c r="AJ27" s="39" t="n">
        <v>0.1</v>
      </c>
      <c r="AK27" s="34">
        <f>IF(AG27="","",AG27*AJ27)</f>
        <v/>
      </c>
      <c r="AL27" s="34">
        <f>IF(OR(AG27="",R27=0),"",MIN(IF(AT27="",9.9E+99,AT27),FLOOR(AK27/R27,1)))</f>
        <v/>
      </c>
      <c r="AM27" s="38">
        <f>IF(AL27="","",AL27*T27)</f>
        <v/>
      </c>
      <c r="AN27" s="36">
        <f>IF(OR(AG27="",R27=0),"",MIN(IF(AT27="",9.9E+99,AT27),AK27/R27))</f>
        <v/>
      </c>
      <c r="AO27" s="38">
        <f>IF(AN27="","",AN27*T27)</f>
        <v/>
      </c>
      <c r="AP27" s="40" t="n"/>
      <c r="AQ27" s="32" t="inlineStr">
        <is>
          <t>Estimated</t>
        </is>
      </c>
      <c r="AR27" s="41" t="n"/>
      <c r="AS27" s="41" t="n"/>
      <c r="AT27" s="42" t="n"/>
      <c r="AU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V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W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X27" s="44" t="inlineStr">
        <is>
          <t>Scheduled fast catamaran Marmaris→Rhodes one-way ~€55 (Yeşil Marmaris Lines), ~45 min; €55 × 1.08 = $59.</t>
        </is>
      </c>
      <c r="AY27" s="44" t="n"/>
    </row>
    <row r="28">
      <c r="A28" s="29" t="inlineStr">
        <is>
          <t>Marti Turkey</t>
        </is>
      </c>
      <c r="B28" s="29" t="inlineStr">
        <is>
          <t>Turkey</t>
        </is>
      </c>
      <c r="C28" s="30" t="inlineStr">
        <is>
          <t>Antalya → Side</t>
        </is>
      </c>
      <c r="D28" s="31" t="n">
        <v>33</v>
      </c>
      <c r="E28" s="26" t="n">
        <v>50</v>
      </c>
      <c r="F28" s="32" t="inlineStr">
        <is>
          <t>T2</t>
        </is>
      </c>
      <c r="G28" s="32" t="inlineStr">
        <is>
          <t>med</t>
        </is>
      </c>
      <c r="H28" s="19" t="n">
        <v>1</v>
      </c>
      <c r="I28" s="33">
        <f>60*D28/cruise_kt</f>
        <v/>
      </c>
      <c r="J28" s="33">
        <f>I28+turn_min+dwell_min</f>
        <v/>
      </c>
      <c r="K28" s="34">
        <f>MIN(24,FLOOR(60*service_hr/J28,1))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/>
      <c r="AH28" s="32" t="n"/>
      <c r="AI28" s="32" t="n"/>
      <c r="AJ28" s="39" t="n">
        <v>0.1</v>
      </c>
      <c r="AK28" s="34">
        <f>IF(AG28="","",AG28*AJ28)</f>
        <v/>
      </c>
      <c r="AL28" s="34">
        <f>IF(OR(AG28="",R28=0),"",MIN(IF(AT28="",9.9E+99,AT28),FLOOR(AK28/R28,1)))</f>
        <v/>
      </c>
      <c r="AM28" s="38">
        <f>IF(AL28="","",AL28*T28)</f>
        <v/>
      </c>
      <c r="AN28" s="36">
        <f>IF(OR(AG28="",R28=0),"",MIN(IF(AT28="",9.9E+99,AT28),AK28/R28))</f>
        <v/>
      </c>
      <c r="AO28" s="38">
        <f>IF(AN28="","",AN28*T28)</f>
        <v/>
      </c>
      <c r="AP28" s="40" t="n"/>
      <c r="AQ28" s="32" t="inlineStr">
        <is>
          <t>Estimated</t>
        </is>
      </c>
      <c r="AR28" s="41" t="n"/>
      <c r="AS28" s="41" t="n"/>
      <c r="AT28" s="42" t="n"/>
      <c r="AU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V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W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X28" s="44" t="inlineStr">
        <is>
          <t>Side full-day boat cruise comparable ~$44-60/adult (Tripadvisor/GetYourGuide Side cruises); $50 premium per-seat anchor.</t>
        </is>
      </c>
      <c r="AY28" s="44" t="n"/>
    </row>
    <row r="29">
      <c r="A29" s="29" t="inlineStr">
        <is>
          <t>Marti Turkey</t>
        </is>
      </c>
      <c r="B29" s="29" t="inlineStr">
        <is>
          <t>Turkey</t>
        </is>
      </c>
      <c r="C29" s="30" t="inlineStr">
        <is>
          <t>İzmir → Çeşme</t>
        </is>
      </c>
      <c r="D29" s="31" t="n">
        <v>38</v>
      </c>
      <c r="E29" s="26" t="n"/>
      <c r="F29" s="32" t="n"/>
      <c r="G29" s="32" t="n"/>
      <c r="H29" s="19" t="n">
        <v>1</v>
      </c>
      <c r="I29" s="33">
        <f>60*D29/cruise_kt</f>
        <v/>
      </c>
      <c r="J29" s="33">
        <f>I29+turn_min+dwell_min</f>
        <v/>
      </c>
      <c r="K29" s="34">
        <f>MIN(24,FLOOR(60*service_hr/J29,1))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/>
      <c r="AH29" s="32" t="n"/>
      <c r="AI29" s="32" t="n"/>
      <c r="AJ29" s="39" t="n">
        <v>0.1</v>
      </c>
      <c r="AK29" s="34">
        <f>IF(AG29="","",AG29*AJ29)</f>
        <v/>
      </c>
      <c r="AL29" s="34">
        <f>IF(OR(AG29="",R29=0),"",MIN(IF(AT29="",9.9E+99,AT29),FLOOR(AK29/R29,1)))</f>
        <v/>
      </c>
      <c r="AM29" s="38">
        <f>IF(AL29="","",AL29*T29)</f>
        <v/>
      </c>
      <c r="AN29" s="36">
        <f>IF(OR(AG29="",R29=0),"",MIN(IF(AT29="",9.9E+99,AT29),AK29/R29))</f>
        <v/>
      </c>
      <c r="AO29" s="38">
        <f>IF(AN29="","",AN29*T29)</f>
        <v/>
      </c>
      <c r="AP29" s="40" t="n"/>
      <c r="AQ29" s="32" t="inlineStr">
        <is>
          <t>Estimated</t>
        </is>
      </c>
      <c r="AR29" s="41" t="n"/>
      <c r="AS29" s="41" t="n"/>
      <c r="AT29" s="42" t="n"/>
      <c r="AU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V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W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X29" s="44" t="n"/>
      <c r="AY29" s="44" t="n"/>
    </row>
    <row r="30">
      <c r="A30" s="29" t="inlineStr">
        <is>
          <t>Marti Turkey</t>
        </is>
      </c>
      <c r="B30" s="29" t="inlineStr">
        <is>
          <t>Turkey</t>
        </is>
      </c>
      <c r="C30" s="30" t="inlineStr">
        <is>
          <t>Fethiye → Rhodes (Greece)</t>
        </is>
      </c>
      <c r="D30" s="31" t="n">
        <v>42</v>
      </c>
      <c r="E30" s="26" t="n">
        <v>64</v>
      </c>
      <c r="F30" s="32" t="inlineStr">
        <is>
          <t>T2</t>
        </is>
      </c>
      <c r="G30" s="32" t="inlineStr">
        <is>
          <t>med</t>
        </is>
      </c>
      <c r="H30" s="19" t="n">
        <v>1</v>
      </c>
      <c r="I30" s="33">
        <f>60*D30/cruise_kt</f>
        <v/>
      </c>
      <c r="J30" s="33">
        <f>I30+turn_min+dwell_min</f>
        <v/>
      </c>
      <c r="K30" s="34">
        <f>MIN(15,FLOOR(60*service_hr/J30,1))</f>
        <v/>
      </c>
      <c r="L30" s="34">
        <f>ROUND(365*mech_uptime*H30,0)</f>
        <v/>
      </c>
      <c r="M30" s="35">
        <f>mech_uptime</f>
        <v/>
      </c>
      <c r="N30" s="35">
        <f>revleg_sel</f>
        <v/>
      </c>
      <c r="O30" s="34">
        <f>ROUND(K30*L30*revleg_sel,0)</f>
        <v/>
      </c>
      <c r="P30" s="36">
        <f>load_sel</f>
        <v/>
      </c>
      <c r="Q30" s="36">
        <f>pax_cap*P30</f>
        <v/>
      </c>
      <c r="R30" s="34">
        <f>Q30*O30</f>
        <v/>
      </c>
      <c r="S30" s="37">
        <f>E30*discount</f>
        <v/>
      </c>
      <c r="T30" s="38">
        <f>S30*R30</f>
        <v/>
      </c>
      <c r="U30" s="38">
        <f>(battery/range_nm)*D30*O30*VLOOKUP(B30,country_opex,3,FALSE)</f>
        <v/>
      </c>
      <c r="V30" s="38">
        <f>VLOOKUP(B30,country_opex,2,FALSE)*crew_factor</f>
        <v/>
      </c>
      <c r="W30" s="38">
        <f>VLOOKUP(B30,country_opex,5,FALSE)</f>
        <v/>
      </c>
      <c r="X30" s="38">
        <f>maint</f>
        <v/>
      </c>
      <c r="Y30" s="38">
        <f>VLOOKUP(B30,country_opex,7,FALSE)*ins_pct</f>
        <v/>
      </c>
      <c r="Z30" s="38">
        <f>charge_berth</f>
        <v/>
      </c>
      <c r="AA30" s="38">
        <f>U30+V30+W30+X30+Y30+Z30</f>
        <v/>
      </c>
      <c r="AB30" s="38">
        <f>VLOOKUP(B30,country_opex,7,FALSE)/dep_years</f>
        <v/>
      </c>
      <c r="AC30" s="38">
        <f>T30-AA30</f>
        <v/>
      </c>
      <c r="AD30" s="35">
        <f>IF(T30=0,"",AC30/T30)</f>
        <v/>
      </c>
      <c r="AE30" s="36">
        <f>IF(AC30&lt;=0,"",VLOOKUP(B30,country_opex,7,FALSE)/AC30)</f>
        <v/>
      </c>
      <c r="AF30" s="33">
        <f>((D30*O30/diesel_nmpg)*diesel_co2pg-(battery/range_nm)*D30*O30*VLOOKUP(B30,country_opex,4,FALSE))/1000</f>
        <v/>
      </c>
      <c r="AG30" s="31" t="n"/>
      <c r="AH30" s="32" t="n"/>
      <c r="AI30" s="32" t="n"/>
      <c r="AJ30" s="39" t="n">
        <v>0.1</v>
      </c>
      <c r="AK30" s="34">
        <f>IF(AG30="","",AG30*AJ30)</f>
        <v/>
      </c>
      <c r="AL30" s="34">
        <f>IF(OR(AG30="",R30=0),"",MIN(IF(AT30="",9.9E+99,AT30),FLOOR(AK30/R30,1)))</f>
        <v/>
      </c>
      <c r="AM30" s="38">
        <f>IF(AL30="","",AL30*T30)</f>
        <v/>
      </c>
      <c r="AN30" s="36">
        <f>IF(OR(AG30="",R30=0),"",MIN(IF(AT30="",9.9E+99,AT30),AK30/R30))</f>
        <v/>
      </c>
      <c r="AO30" s="38">
        <f>IF(AN30="","",AN30*T30)</f>
        <v/>
      </c>
      <c r="AP30" s="40" t="n"/>
      <c r="AQ30" s="32" t="inlineStr">
        <is>
          <t>Estimated</t>
        </is>
      </c>
      <c r="AR30" s="41" t="n"/>
      <c r="AS30" s="41" t="n"/>
      <c r="AT30" s="42" t="n"/>
      <c r="AU30" s="43">
        <f>IF(((S30*pax_cap*load_thin*ROUND(K30*L30*revleg_thin,0))-(((battery/range_nm)*D30*ROUND(K30*L30*revleg_thin,0)*VLOOKUP(B30,country_opex,3,FALSE))+V30+W30+X30+Y30+Z30))&lt;=0,"",VLOOKUP(B30,country_opex,7,FALSE)/((S30*pax_cap*load_thin*ROUND(K30*L30*revleg_thin,0))-(((battery/range_nm)*D30*ROUND(K30*L30*revleg_thin,0)*VLOOKUP(B30,country_opex,3,FALSE))+V30+W30+X30+Y30+Z30)))</f>
        <v/>
      </c>
      <c r="AV30" s="43">
        <f>IF(((S30*pax_cap*load_mid*ROUND(K30*L30*revleg_mid,0))-(((battery/range_nm)*D30*ROUND(K30*L30*revleg_mid,0)*VLOOKUP(B30,country_opex,3,FALSE))+V30+W30+X30+Y30+Z30))&lt;=0,"",VLOOKUP(B30,country_opex,7,FALSE)/((S30*pax_cap*load_mid*ROUND(K30*L30*revleg_mid,0))-(((battery/range_nm)*D30*ROUND(K30*L30*revleg_mid,0)*VLOOKUP(B30,country_opex,3,FALSE))+V30+W30+X30+Y30+Z30)))</f>
        <v/>
      </c>
      <c r="AW30" s="43">
        <f>IF(((S30*pax_cap*load_full*ROUND(K30*L30*revleg_full,0))-(((battery/range_nm)*D30*ROUND(K30*L30*revleg_full,0)*VLOOKUP(B30,country_opex,3,FALSE))+V30+W30+X30+Y30+Z30))&lt;=0,"",VLOOKUP(B30,country_opex,7,FALSE)/((S30*pax_cap*load_full*ROUND(K30*L30*revleg_full,0))-(((battery/range_nm)*D30*ROUND(K30*L30*revleg_full,0)*VLOOKUP(B30,country_opex,3,FALSE))+V30+W30+X30+Y30+Z30)))</f>
        <v/>
      </c>
      <c r="AX30" s="44" t="inlineStr">
        <is>
          <t>Fethiye→Rhodes fast catamaran from $64 one-way (Direct Ferries), ~1h40.</t>
        </is>
      </c>
      <c r="AY30" s="44" t="n"/>
    </row>
    <row r="31">
      <c r="A31" s="45" t="inlineStr">
        <is>
          <t>TOTAL / median</t>
        </is>
      </c>
      <c r="T31" s="46">
        <f>SUM(T4:T30)</f>
        <v/>
      </c>
      <c r="AC31" s="46">
        <f>SUM(AC4:AC30)</f>
        <v/>
      </c>
      <c r="AD31" s="47">
        <f>IF(T31=0,"",AC31/T31)</f>
        <v/>
      </c>
      <c r="AL31" s="48">
        <f>SUM(AL4:AL30)</f>
        <v/>
      </c>
      <c r="AM31" s="46">
        <f>SUM(AM4:AM30)</f>
        <v/>
      </c>
    </row>
    <row r="33">
      <c r="A33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34">
      <c r="A34" s="24" t="inlineStr">
        <is>
          <t>Market</t>
        </is>
      </c>
      <c r="B34" s="24" t="inlineStr">
        <is>
          <t>Fleet basis</t>
        </is>
      </c>
      <c r="C34" s="24" t="inlineStr">
        <is>
          <t>Raw vessels (sum)</t>
        </is>
      </c>
      <c r="D34" s="24" t="inlineStr">
        <is>
          <t>Fleet (rounded once)</t>
        </is>
      </c>
      <c r="E34" s="24" t="inlineStr">
        <is>
          <t>Market rev/yr (raw sum)</t>
        </is>
      </c>
    </row>
    <row r="35">
      <c r="A35" s="25" t="inlineStr">
        <is>
          <t>Marti Turkey</t>
        </is>
      </c>
      <c r="B35" s="13" t="inlineStr">
        <is>
          <t>grounded</t>
        </is>
      </c>
      <c r="C35" s="13" t="inlineStr">
        <is>
          <t>—</t>
        </is>
      </c>
      <c r="D35" s="49">
        <f>SUMIFS(AL4:AL30,A4:A30,"Marti Turkey",AP4:AP30,"=",AQ4:AQ30,"Grounded")</f>
        <v/>
      </c>
      <c r="E35" s="50">
        <f>SUMIFS(AM4:AM30,A4:A30,"Marti Turkey",AP4:AP30,"=",AQ4:AQ30,"Grounded")</f>
        <v/>
      </c>
    </row>
    <row r="36">
      <c r="A36" s="45" t="inlineStr">
        <is>
          <t>GROUNDED FLOOR (PUBLISHED)</t>
        </is>
      </c>
      <c r="D36" s="48">
        <f>SUM(D35:D35)</f>
        <v/>
      </c>
      <c r="E36" s="46">
        <f>SUM(E35:E35)</f>
        <v/>
      </c>
    </row>
    <row r="37">
      <c r="A37" s="20" t="inlineStr">
        <is>
          <t>ESTIMATED DEMAND (country-median cascade; held OUT of grounded floor)</t>
        </is>
      </c>
      <c r="D37" s="51">
        <f>SUMIF(AQ4:AQ30,"Estimated",AL4:AL30)</f>
        <v/>
      </c>
      <c r="E37" s="52">
        <f>SUMIF(AQ4:AQ30,"Estimated",AM4:AM30)</f>
        <v/>
      </c>
    </row>
  </sheetData>
  <mergeCells count="2">
    <mergeCell ref="A33:L3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0.1695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0.1695</v>
      </c>
      <c r="E11" s="14" t="inlineStr">
        <is>
          <t>New-entrant ~17%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(~17%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(~17%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3" t="inlineStr">
        <is>
          <t>Note</t>
        </is>
      </c>
      <c r="B26" s="54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2026-07-09T02:13:48Z</dcterms:created>
  <dcterms:modified xsi:type="dcterms:W3CDTF">2026-07-09T02:13:48Z</dcterms:modified>
</cp:coreProperties>
</file>