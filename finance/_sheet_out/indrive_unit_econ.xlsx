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Assumptions" sheetId="2" state="visible" r:id="rId2"/>
    <sheet name="Country opex" sheetId="3" state="visible" r:id="rId3"/>
    <sheet name="Economics holds" sheetId="4" state="visible" r:id="rId4"/>
    <sheet name="Corridor economics" sheetId="5" state="visible" r:id="rId5"/>
    <sheet name="Market sizing" sheetId="6" state="visible" r:id="rId6"/>
  </sheets>
  <definedNames>
    <definedName name="pax_cap">'Assumptions'!$B$5</definedName>
    <definedName name="range_nm">'Assumptions'!$B$6</definedName>
    <definedName name="cruise_kt">'Assumptions'!$B$7</definedName>
    <definedName name="capex">'Assumptions'!$B$8</definedName>
    <definedName name="battery">'Assumptions'!$B$9</definedName>
    <definedName name="maint">'Assumptions'!$B$10</definedName>
    <definedName name="dep_years">'Assumptions'!$B$11</definedName>
    <definedName name="diesel_nmpg">'Assumptions'!$B$12</definedName>
    <definedName name="service_hr">'Assumptions'!$B$16</definedName>
    <definedName name="turn_min">'Assumptions'!$B$17</definedName>
    <definedName name="dwell_min">'Assumptions'!$B$18</definedName>
    <definedName name="max_tpd">'Assumptions'!$B$19</definedName>
    <definedName name="crew_factor">'Assumptions'!$B$20</definedName>
    <definedName name="mech_uptime">'Assumptions'!$B$21</definedName>
    <definedName name="capture">'Assumptions'!$B$22</definedName>
    <definedName name="capture_captive">'Assumptions'!$B$23</definedName>
    <definedName name="discount">'Assumptions'!$B$24</definedName>
    <definedName name="diesel_co2pg">'Assumptions'!$B$25</definedName>
    <definedName name="ins_pct">'Assumptions'!$B$29</definedName>
    <definedName name="charge_berth">'Assumptions'!$B$30</definedName>
    <definedName name="korea_mid_load">'Assumptions'!$B$34</definedName>
    <definedName name="korea_mid_revleg">'Assumptions'!$B$35</definedName>
    <definedName name="korea_service_hr">'Assumptions'!$B$36</definedName>
    <definedName name="korea_turn_min">'Assumptions'!$B$37</definedName>
    <definedName name="korea_dwell_min">'Assumptions'!$B$38</definedName>
    <definedName name="korea_charge_range_nm">'Assumptions'!$B$39</definedName>
    <definedName name="korea_full_range_charge_min">'Assumptions'!$B$40</definedName>
    <definedName name="load_thin">'Assumptions'!$B$44</definedName>
    <definedName name="revleg_thin">'Assumptions'!$C$44</definedName>
    <definedName name="load_mid">'Assumptions'!$B$45</definedName>
    <definedName name="revleg_mid">'Assumptions'!$C$45</definedName>
    <definedName name="load_full">'Assumptions'!$B$46</definedName>
    <definedName name="revleg_full">'Assumptions'!$C$46</definedName>
    <definedName name="band_tbl">'Assumptions'!$A$44:$C$46</definedName>
    <definedName name="scenario">'Assumptions'!$B$48</definedName>
    <definedName name="load_sel">'Assumptions'!$B$49</definedName>
    <definedName name="revleg_sel">'Assumptions'!$B$50</definedName>
    <definedName name="country_opex">'Country opex'!$A$4:$G$5</definedName>
    <definedName name="som_floor_fleet">'Corridor economics'!$D$28</definedName>
    <definedName name="som_floor_rev">'Corridor economics'!$E$28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"/>
    <numFmt numFmtId="165" formatCode="0.0%"/>
    <numFmt numFmtId="166" formatCode="&quot;$&quot;#,##0.00"/>
    <numFmt numFmtId="167" formatCode="#,##0.0"/>
  </numFmts>
  <fonts count="11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name val="Consolas"/>
      <sz val="10"/>
    </font>
    <font>
      <b val="1"/>
      <color rgb="00FFFFFF"/>
      <sz val="12"/>
    </font>
    <font>
      <b val="1"/>
      <color rgb="00FFFFFF"/>
      <sz val="9"/>
    </font>
    <font>
      <color rgb="00555555"/>
      <sz val="9"/>
    </font>
    <font>
      <b val="1"/>
      <sz val="12"/>
    </font>
    <font>
      <sz val="9"/>
    </font>
    <font>
      <color rgb="00555555"/>
      <sz val="8"/>
    </font>
    <font>
      <color rgb="009C4500"/>
      <sz val="8"/>
    </font>
  </fonts>
  <fills count="9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CE6F1"/>
      </patternFill>
    </fill>
    <fill>
      <patternFill patternType="solid">
        <fgColor rgb="00FFF2CC"/>
      </patternFill>
    </fill>
    <fill>
      <patternFill patternType="solid">
        <fgColor rgb="00EAF3EA"/>
      </patternFill>
    </fill>
    <fill>
      <patternFill patternType="solid">
        <fgColor rgb="00FCE4D6"/>
      </patternFill>
    </fill>
    <fill>
      <patternFill patternType="solid">
        <fgColor rgb="002E5A88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0" fontId="4" fillId="2" borderId="0" pivotButton="0" quotePrefix="0" xfId="0"/>
    <xf numFmtId="0" fontId="4" fillId="7" borderId="0" pivotButton="0" quotePrefix="0" xfId="0"/>
    <xf numFmtId="0" fontId="5" fillId="7" borderId="1" applyAlignment="1" pivotButton="0" quotePrefix="0" xfId="0">
      <alignment horizontal="center" vertical="center"/>
    </xf>
    <xf numFmtId="0" fontId="0" fillId="0" borderId="1" pivotButton="0" quotePrefix="0" xfId="0"/>
    <xf numFmtId="3" fontId="2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top" wrapText="1"/>
    </xf>
    <xf numFmtId="164" fontId="2" fillId="4" borderId="1" applyAlignment="1" pivotButton="0" quotePrefix="0" xfId="0">
      <alignment horizontal="center" vertical="center"/>
    </xf>
    <xf numFmtId="4" fontId="2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0" fillId="4" borderId="1" applyAlignment="1" pivotButton="0" quotePrefix="0" xfId="0">
      <alignment horizontal="center" vertical="center"/>
    </xf>
    <xf numFmtId="0" fontId="2" fillId="6" borderId="1" pivotButton="0" quotePrefix="0" xfId="0"/>
    <xf numFmtId="0" fontId="7" fillId="6" borderId="1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4" fontId="0" fillId="5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 wrapText="1"/>
    </xf>
    <xf numFmtId="0" fontId="2" fillId="0" borderId="1" pivotButton="0" quotePrefix="0" xfId="0"/>
    <xf numFmtId="164" fontId="0" fillId="4" borderId="1" applyAlignment="1" pivotButton="0" quotePrefix="0" xfId="0">
      <alignment horizontal="center" vertical="center"/>
    </xf>
    <xf numFmtId="166" fontId="0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0" fontId="2" fillId="0" borderId="0" applyAlignment="1" pivotButton="0" quotePrefix="0" xfId="0">
      <alignment horizontal="right" vertical="center"/>
    </xf>
    <xf numFmtId="0" fontId="6" fillId="4" borderId="1" pivotButton="0" quotePrefix="0" xfId="0"/>
    <xf numFmtId="0" fontId="8" fillId="4" borderId="1" applyAlignment="1" pivotButton="0" quotePrefix="0" xfId="0">
      <alignment vertical="top" wrapText="1"/>
    </xf>
    <xf numFmtId="3" fontId="0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167" fontId="8" fillId="5" borderId="1" applyAlignment="1" pivotButton="0" quotePrefix="0" xfId="0">
      <alignment horizontal="center" vertical="center"/>
    </xf>
    <xf numFmtId="3" fontId="8" fillId="5" borderId="1" applyAlignment="1" pivotButton="0" quotePrefix="0" xfId="0">
      <alignment horizontal="center" vertical="center"/>
    </xf>
    <xf numFmtId="165" fontId="8" fillId="5" borderId="1" applyAlignment="1" pivotButton="0" quotePrefix="0" xfId="0">
      <alignment horizontal="center" vertical="center"/>
    </xf>
    <xf numFmtId="4" fontId="8" fillId="5" borderId="1" applyAlignment="1" pivotButton="0" quotePrefix="0" xfId="0">
      <alignment horizontal="center" vertical="center"/>
    </xf>
    <xf numFmtId="166" fontId="8" fillId="5" borderId="1" applyAlignment="1" pivotButton="0" quotePrefix="0" xfId="0">
      <alignment horizontal="center" vertical="center"/>
    </xf>
    <xf numFmtId="164" fontId="8" fillId="5" borderId="1" applyAlignment="1" pivotButton="0" quotePrefix="0" xfId="0">
      <alignment horizontal="center" vertical="center"/>
    </xf>
    <xf numFmtId="165" fontId="0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vertical="top" wrapText="1"/>
    </xf>
    <xf numFmtId="0" fontId="10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4" fontId="8" fillId="6" borderId="1" applyAlignment="1" pivotButton="0" quotePrefix="0" xfId="0">
      <alignment horizontal="center" vertical="center"/>
    </xf>
    <xf numFmtId="0" fontId="9" fillId="8" borderId="1" applyAlignment="1" pivotButton="0" quotePrefix="0" xfId="0">
      <alignment vertical="top" wrapText="1"/>
    </xf>
    <xf numFmtId="0" fontId="2" fillId="3" borderId="1" pivotButton="0" quotePrefix="0" xfId="0"/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center" vertical="center"/>
    </xf>
    <xf numFmtId="3" fontId="0" fillId="5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3" fontId="2" fillId="6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5" fontId="0" fillId="5" borderId="1" applyAlignment="1" pivotButton="0" quotePrefix="0" xfId="0">
      <alignment horizontal="center" vertical="center"/>
    </xf>
    <xf numFmtId="0" fontId="2" fillId="0" borderId="0" pivotButton="0" quotePrefix="0" xfId="0"/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0" customWidth="1" min="2" max="2"/>
  </cols>
  <sheetData>
    <row r="2" ht="34" customHeight="1">
      <c r="B2" s="1" t="inlineStr">
        <is>
          <t>Navier × Indrive — Corridor Unit Economics</t>
        </is>
      </c>
    </row>
    <row r="4">
      <c r="B4" s="2" t="inlineStr"/>
    </row>
    <row r="5">
      <c r="B5" s="3" t="inlineStr">
        <is>
          <t>What this is</t>
        </is>
      </c>
    </row>
    <row r="6">
      <c r="B6" s="2" t="inlineStr">
        <is>
          <t>A standalone, transparent unit-economics model for the per-seat electric-shuttle business on each partner corridor. Every output is a live formula you can click and trace back to one named assumption cell. Nothing is hardcoded.</t>
        </is>
      </c>
    </row>
    <row r="7">
      <c r="B7" s="2" t="inlineStr"/>
    </row>
    <row r="8">
      <c r="B8" s="3" t="inlineStr">
        <is>
          <t>The one equation (per boat, per year)</t>
        </is>
      </c>
    </row>
    <row r="9">
      <c r="B9" s="4" t="inlineStr">
        <is>
          <t>REVENUE = gross legs/day × operating days/yr × revenue-leg utilization × (pax capacity × seat occupancy) × Navier fare</t>
        </is>
      </c>
    </row>
    <row r="10">
      <c r="B10" s="5" t="inlineStr">
        <is>
          <t xml:space="preserve">    gross legs/day = FLOOR(service window min ÷ cycle time); South Korea cycle = one-way + 20 min turnaround + 10 min boarding + charge recovery</t>
        </is>
      </c>
    </row>
    <row r="11">
      <c r="B11" s="5" t="inlineStr">
        <is>
          <t xml:space="preserve">    South Korea charge recovery = distance_nm / 70 × 45 min — PLANNING PROXY requiring engineering validation; not a certified charge curve</t>
        </is>
      </c>
    </row>
    <row r="12">
      <c r="B12" s="5" t="inlineStr">
        <is>
          <t xml:space="preserve">    one-way time   = distance(nm) ÷ cruise speed(kt)</t>
        </is>
      </c>
    </row>
    <row r="13">
      <c r="B13" s="5" t="inlineStr">
        <is>
          <t xml:space="preserve">    operating days = 365 × mechanical uptime × weather factor</t>
        </is>
      </c>
    </row>
    <row r="14">
      <c r="B14" s="5" t="inlineStr">
        <is>
          <t xml:space="preserve">    Navier fare    = comparable premium transfer fare × discount (=1.0, market parity)</t>
        </is>
      </c>
    </row>
    <row r="15">
      <c r="B15" s="4" t="inlineStr">
        <is>
          <t>EBITDA  = REVENUE − OPEX</t>
        </is>
      </c>
    </row>
    <row r="16">
      <c r="B16" s="5" t="inlineStr">
        <is>
          <t xml:space="preserve">    OPEX = energy + crew + berth/port admin + maintenance + vessel insurance + fast-charge berth</t>
        </is>
      </c>
    </row>
    <row r="17">
      <c r="B17" s="4" t="inlineStr">
        <is>
          <t>PAYBACK = vessel CAPEX ÷ EBITDA</t>
        </is>
      </c>
    </row>
    <row r="18">
      <c r="B18" s="2" t="inlineStr"/>
    </row>
    <row r="19">
      <c r="B19" s="3" t="inlineStr">
        <is>
          <t>OPEX lines (per boat, per year — no double-counting)</t>
        </is>
      </c>
    </row>
    <row r="20">
      <c r="B20" s="2" t="inlineStr">
        <is>
          <t>Energy — variable propulsion cost: kWh on revenue sailings × local $/kWh (Country opex tab). Excludes utility demand charges.</t>
        </is>
      </c>
    </row>
    <row r="21">
      <c r="B21" s="2" t="inlineStr">
        <is>
          <t>Crew — fully-loaded captain + relief: local captain wage × crew FTE factor (Country opex + Assumptions).</t>
        </is>
      </c>
    </row>
    <row r="22">
      <c r="B22" s="2" t="inlineStr">
        <is>
          <t>Berth &amp; port admin — fixed annual berth, port fees, and local marine admin (Country opex tab). Excludes vessel H&amp;M+P&amp;I and fast-charge infrastructure.</t>
        </is>
      </c>
    </row>
    <row r="23">
      <c r="B23" s="2" t="inlineStr">
        <is>
          <t>Maintenance — vessel annual maintenance reserve (Assumptions tab).</t>
        </is>
      </c>
    </row>
    <row r="24">
      <c r="B24" s="2" t="inlineStr">
        <is>
          <t>Vessel insurance — commercial H&amp;M + P&amp;I as % of regional CAPEX (Assumptions % × Country opex CAPEX column).</t>
        </is>
      </c>
    </row>
    <row r="25">
      <c r="B25" s="2" t="inlineStr">
        <is>
          <t>Fast-charge berth — dedicated fast-charge berth slot + utility demand charges (Assumptions default; overridable per market). Separate from per-kWh energy and berth/port admin.</t>
        </is>
      </c>
    </row>
    <row r="26">
      <c r="B26" s="2" t="inlineStr"/>
    </row>
    <row r="27">
      <c r="B27" s="3" t="inlineStr">
        <is>
          <t>From demand pool to fleet &amp; market size</t>
        </is>
      </c>
    </row>
    <row r="28">
      <c r="B28" s="5" t="inlineStr">
        <is>
          <t>Navier serviceable rides/yr = corridor demand pool × capture rate (10% on contested corridors; ~90% on captive sole-operator transfer legs — see the per-row Capture % column)</t>
        </is>
      </c>
    </row>
    <row r="29">
      <c r="B29" s="2" t="inlineStr">
        <is>
          <t>Vessels supported = FLOOR(Navier rides/yr ÷ pax/yr per boat);  Market rev = vessels × rev/boat. The 'Market sizing' tab rolls these up into the SOM → SAM → TAM ladder.</t>
        </is>
      </c>
    </row>
    <row r="30">
      <c r="B30" s="2" t="inlineStr"/>
    </row>
    <row r="31">
      <c r="B31" s="3" t="inlineStr">
        <is>
          <t>The scenario toggle (what we flex)</t>
        </is>
      </c>
    </row>
    <row r="32">
      <c r="B32" s="2" t="inlineStr">
        <is>
          <t>'Corridor economics' has a SCENARIO cell = THIN / MID / FULL. It flexes seat occupancy and revenue-leg utilization as separate inputs. South Korea MID uses 65% for each, with gross legs/day schedule-derived and uncapped; thin/full occupancy bookends remain 45%/70%. Other countries retain their existing caps and bands. Payback THIN/MID/FULL columns always show all three at once.</t>
        </is>
      </c>
    </row>
    <row r="33">
      <c r="B33" s="2" t="inlineStr"/>
    </row>
    <row r="34">
      <c r="B34" s="3" t="inlineStr">
        <is>
          <t>Colour &amp; provenance legend</t>
        </is>
      </c>
    </row>
    <row r="35">
      <c r="B35" s="6" t="inlineStr">
        <is>
          <t xml:space="preserve">   Yellow = INPUTS you can change (fare, distance, demand, weather).</t>
        </is>
      </c>
    </row>
    <row r="36">
      <c r="B36" s="7" t="inlineStr">
        <is>
          <t xml:space="preserve">   Green  = COMPUTED by formula.</t>
        </is>
      </c>
    </row>
    <row r="37">
      <c r="B37" s="2" t="inlineStr">
        <is>
          <t xml:space="preserve">   Every fare &amp; demand figure carries a Source tier (T1 official → T5 modeled) + Confidence (high/med/low). Null beats a wrong number: no published pool → blank, not a guess.</t>
        </is>
      </c>
    </row>
    <row r="38">
      <c r="B38" s="8" t="inlineStr">
        <is>
          <t xml:space="preserve">   Economics holds: 3 corridor(s) are explicitly excluded; see the Economics holds tab. Missing country costs never borrow Singapore or another market.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2" customWidth="1" min="3" max="3"/>
    <col width="8" customWidth="1" min="4" max="4"/>
    <col width="9" customWidth="1" min="5" max="5"/>
    <col width="72" customWidth="1" min="6" max="6"/>
  </cols>
  <sheetData>
    <row r="1">
      <c r="A1" s="9" t="inlineStr">
        <is>
          <t>Assumptions — single source of truth (the engine references these named cells)</t>
        </is>
      </c>
    </row>
    <row r="3">
      <c r="A3" s="10" t="inlineStr">
        <is>
          <t>Vessel — N30 Pioneer II  (L1 global, commercial now)</t>
        </is>
      </c>
    </row>
    <row r="4">
      <c r="A4" s="11" t="inlineStr">
        <is>
          <t>Parameter</t>
        </is>
      </c>
      <c r="B4" s="11" t="inlineStr">
        <is>
          <t>Value</t>
        </is>
      </c>
      <c r="C4" s="11" t="inlineStr">
        <is>
          <t>Unit</t>
        </is>
      </c>
      <c r="D4" s="11" t="inlineStr">
        <is>
          <t>Tier</t>
        </is>
      </c>
      <c r="E4" s="11" t="inlineStr">
        <is>
          <t>Conf.</t>
        </is>
      </c>
      <c r="F4" s="11" t="inlineStr">
        <is>
          <t>Source / note</t>
        </is>
      </c>
    </row>
    <row r="5">
      <c r="A5" s="12" t="inlineStr">
        <is>
          <t>Passenger capacity</t>
        </is>
      </c>
      <c r="B5" s="13" t="n">
        <v>8</v>
      </c>
      <c r="C5" s="14" t="inlineStr">
        <is>
          <t>pax</t>
        </is>
      </c>
      <c r="D5" s="14" t="inlineStr">
        <is>
          <t>T1</t>
        </is>
      </c>
      <c r="E5" s="14" t="inlineStr">
        <is>
          <t>high</t>
        </is>
      </c>
      <c r="F5" s="15" t="inlineStr">
        <is>
          <t>Navier model: up to 8 pax where local rules allow (Jaideep set base case to 8, 2026-06-06)</t>
        </is>
      </c>
    </row>
    <row r="6">
      <c r="A6" s="12" t="inlineStr">
        <is>
          <t>Range</t>
        </is>
      </c>
      <c r="B6" s="13" t="n">
        <v>70</v>
      </c>
      <c r="C6" s="14" t="inlineStr">
        <is>
          <t>nm</t>
        </is>
      </c>
      <c r="D6" s="14" t="inlineStr">
        <is>
          <t>T1</t>
        </is>
      </c>
      <c r="E6" s="14" t="inlineStr">
        <is>
          <t>high</t>
        </is>
      </c>
      <c r="F6" s="15" t="inlineStr">
        <is>
          <t>Navier locked spec (KB)</t>
        </is>
      </c>
    </row>
    <row r="7">
      <c r="A7" s="12" t="inlineStr">
        <is>
          <t>Cruise speed</t>
        </is>
      </c>
      <c r="B7" s="13" t="n">
        <v>20</v>
      </c>
      <c r="C7" s="14" t="inlineStr">
        <is>
          <t>kt</t>
        </is>
      </c>
      <c r="D7" s="14" t="inlineStr">
        <is>
          <t>T1</t>
        </is>
      </c>
      <c r="E7" s="14" t="inlineStr">
        <is>
          <t>high</t>
        </is>
      </c>
      <c r="F7" s="15" t="inlineStr">
        <is>
          <t>Navier locked spec (cruise)</t>
        </is>
      </c>
    </row>
    <row r="8">
      <c r="A8" s="12" t="inlineStr">
        <is>
          <t>CAPEX (per vessel; US/EU base — ROW=$600K, see Country opex tab col G)</t>
        </is>
      </c>
      <c r="B8" s="16" t="n">
        <v>900000</v>
      </c>
      <c r="C8" s="14" t="inlineStr">
        <is>
          <t>USD</t>
        </is>
      </c>
      <c r="D8" s="14" t="inlineStr">
        <is>
          <t>T1</t>
        </is>
      </c>
      <c r="E8" s="14" t="inlineStr">
        <is>
          <t>high</t>
        </is>
      </c>
      <c r="F8" s="15" t="inlineStr">
        <is>
          <t>Navier price (LYFT ref model, ex tax/fees)</t>
        </is>
      </c>
    </row>
    <row r="9">
      <c r="A9" s="12" t="inlineStr">
        <is>
          <t>Battery</t>
        </is>
      </c>
      <c r="B9" s="13" t="n">
        <v>114</v>
      </c>
      <c r="C9" s="14" t="inlineStr">
        <is>
          <t>kWh</t>
        </is>
      </c>
      <c r="D9" s="14" t="inlineStr">
        <is>
          <t>T1</t>
        </is>
      </c>
      <c r="E9" s="14" t="inlineStr">
        <is>
          <t>high</t>
        </is>
      </c>
      <c r="F9" s="15" t="inlineStr">
        <is>
          <t>Navier data (LYFT ref model)</t>
        </is>
      </c>
    </row>
    <row r="10">
      <c r="A10" s="12" t="inlineStr">
        <is>
          <t>Annual maintenance</t>
        </is>
      </c>
      <c r="B10" s="16" t="n">
        <v>10000</v>
      </c>
      <c r="C10" s="14" t="inlineStr">
        <is>
          <t>USD/yr</t>
        </is>
      </c>
      <c r="D10" s="14" t="inlineStr">
        <is>
          <t>T1</t>
        </is>
      </c>
      <c r="E10" s="14" t="inlineStr">
        <is>
          <t>med</t>
        </is>
      </c>
      <c r="F10" s="15" t="inlineStr">
        <is>
          <t>Navier data (LYFT ref model)</t>
        </is>
      </c>
    </row>
    <row r="11">
      <c r="A11" s="12" t="inlineStr">
        <is>
          <t>Depreciation life</t>
        </is>
      </c>
      <c r="B11" s="13" t="n">
        <v>20</v>
      </c>
      <c r="C11" s="14" t="inlineStr">
        <is>
          <t>yr</t>
        </is>
      </c>
      <c r="D11" s="14" t="inlineStr">
        <is>
          <t>T2</t>
        </is>
      </c>
      <c r="E11" s="14" t="inlineStr">
        <is>
          <t>med</t>
        </is>
      </c>
      <c r="F11" s="15" t="inlineStr">
        <is>
          <t>Marine-vessel market best practice (Jaideep locked 2026-06-07): commercial passenger vessels straight-line over ~20-25yr useful life; corroborated by Sampriti founder Jan-2024 operating model (20yr). Was placeholder 10yr.</t>
        </is>
      </c>
    </row>
    <row r="12">
      <c r="A12" s="12" t="inlineStr">
        <is>
          <t>Diesel comparable economy</t>
        </is>
      </c>
      <c r="B12" s="17" t="n">
        <v>1.5</v>
      </c>
      <c r="C12" s="14" t="inlineStr">
        <is>
          <t>nm/gal</t>
        </is>
      </c>
      <c r="D12" s="14" t="inlineStr">
        <is>
          <t>T3</t>
        </is>
      </c>
      <c r="E12" s="14" t="inlineStr">
        <is>
          <t>med</t>
        </is>
      </c>
      <c r="F12" s="15" t="inlineStr">
        <is>
          <t>Navier + open web (LYFT ref model)</t>
        </is>
      </c>
    </row>
    <row r="14">
      <c r="A14" s="10" t="inlineStr">
        <is>
          <t>Operating defaults  (L1 global; overridable per market)</t>
        </is>
      </c>
    </row>
    <row r="15">
      <c r="A15" s="11" t="inlineStr">
        <is>
          <t>Parameter</t>
        </is>
      </c>
      <c r="B15" s="11" t="inlineStr">
        <is>
          <t>Value</t>
        </is>
      </c>
      <c r="C15" s="11" t="inlineStr">
        <is>
          <t>Unit</t>
        </is>
      </c>
      <c r="D15" s="11" t="inlineStr">
        <is>
          <t>Tier</t>
        </is>
      </c>
      <c r="E15" s="11" t="inlineStr">
        <is>
          <t>Conf.</t>
        </is>
      </c>
      <c r="F15" s="11" t="inlineStr">
        <is>
          <t>Source / note</t>
        </is>
      </c>
    </row>
    <row r="16">
      <c r="A16" s="12" t="inlineStr">
        <is>
          <t>Service window</t>
        </is>
      </c>
      <c r="B16" s="13" t="n">
        <v>12</v>
      </c>
      <c r="C16" s="14" t="inlineStr">
        <is>
          <t>hr/day</t>
        </is>
      </c>
      <c r="D16" s="14" t="inlineStr">
        <is>
          <t>T5</t>
        </is>
      </c>
      <c r="E16" s="14" t="inlineStr">
        <is>
          <t>low</t>
        </is>
      </c>
      <c r="F16" s="15" t="inlineStr">
        <is>
          <t>Modeled single-asset commercial service window (one extended crew day, water-taxi norm). Conservative vs 24h.</t>
        </is>
      </c>
    </row>
    <row r="17">
      <c r="A17" s="12" t="inlineStr">
        <is>
          <t>Turnaround / charge per leg</t>
        </is>
      </c>
      <c r="B17" s="13" t="n">
        <v>20</v>
      </c>
      <c r="C17" s="14" t="inlineStr">
        <is>
          <t>min</t>
        </is>
      </c>
      <c r="D17" s="14" t="inlineStr">
        <is>
          <t>T1</t>
        </is>
      </c>
      <c r="E17" s="14" t="inlineStr">
        <is>
          <t>med</t>
        </is>
      </c>
      <c r="F17" s="15" t="inlineStr">
        <is>
          <t>Navier fast-charge (LYFT ref ~20-30min)</t>
        </is>
      </c>
    </row>
    <row r="18">
      <c r="A18" s="12" t="inlineStr">
        <is>
          <t>Boarding / scheduling dwell per leg</t>
        </is>
      </c>
      <c r="B18" s="13" t="n">
        <v>10</v>
      </c>
      <c r="C18" s="14" t="inlineStr">
        <is>
          <t>min</t>
        </is>
      </c>
      <c r="D18" s="14" t="inlineStr">
        <is>
          <t>T3</t>
        </is>
      </c>
      <c r="E18" s="14" t="inlineStr">
        <is>
          <t>med</t>
        </is>
      </c>
      <c r="F18" s="15" t="inlineStr">
        <is>
          <t>Premium board/deboard + scheduling slack added to each cycle (Jaideep 2026-06-19).</t>
        </is>
      </c>
    </row>
    <row r="19">
      <c r="A19" s="12" t="inlineStr">
        <is>
          <t>Max revenue sailings/day (cap)</t>
        </is>
      </c>
      <c r="B19" s="13" t="n">
        <v>15</v>
      </c>
      <c r="C19" s="14" t="inlineStr">
        <is>
          <t>legs/day</t>
        </is>
      </c>
      <c r="D19" s="14" t="inlineStr">
        <is>
          <t>T3</t>
        </is>
      </c>
      <c r="E19" s="14" t="inlineStr">
        <is>
          <t>med</t>
        </is>
      </c>
      <c r="F19" s="15" t="inlineStr">
        <is>
          <t>Cap on revenue sailings/day — 15 across thin/mid/full scenarios (Jaideep 2026-06-21).</t>
        </is>
      </c>
    </row>
    <row r="20">
      <c r="A20" s="12" t="inlineStr">
        <is>
          <t>Crew FTE factor (x captain wage)</t>
        </is>
      </c>
      <c r="B20" s="17" t="n">
        <v>1.8</v>
      </c>
      <c r="C20" s="14" t="inlineStr">
        <is>
          <t>x</t>
        </is>
      </c>
      <c r="D20" s="14" t="inlineStr">
        <is>
          <t>T3</t>
        </is>
      </c>
      <c r="E20" s="14" t="inlineStr">
        <is>
          <t>med</t>
        </is>
      </c>
      <c r="F20" s="15" t="inlineStr">
        <is>
          <t>A captain can't run 7 days/wk; 1.8 FTE covers relief/leave/second-shift year-round (Jaideep 2026-06-19). Scales off localized captain wage.</t>
        </is>
      </c>
    </row>
    <row r="21">
      <c r="A21" s="12" t="inlineStr">
        <is>
          <t>Mechanical uptime</t>
        </is>
      </c>
      <c r="B21" s="18" t="n">
        <v>0.75</v>
      </c>
      <c r="C21" s="14" t="inlineStr">
        <is>
          <t>frac</t>
        </is>
      </c>
      <c r="D21" s="14" t="inlineStr">
        <is>
          <t>T4</t>
        </is>
      </c>
      <c r="E21" s="14" t="inlineStr">
        <is>
          <t>med</t>
        </is>
      </c>
      <c r="F21" s="15" t="inlineStr">
        <is>
          <t>Blade luxury aviation ~75-80% reliability uptime</t>
        </is>
      </c>
    </row>
    <row r="22">
      <c r="A22" s="12" t="inlineStr">
        <is>
          <t>Navier capture rate</t>
        </is>
      </c>
      <c r="B22" s="18" t="n">
        <v>0.1</v>
      </c>
      <c r="C22" s="14" t="inlineStr">
        <is>
          <t>frac</t>
        </is>
      </c>
      <c r="D22" s="14" t="inlineStr"/>
      <c r="E22" s="14" t="inlineStr">
        <is>
          <t>med</t>
        </is>
      </c>
      <c r="F22" s="15" t="inlineStr">
        <is>
          <t>Navier wins ~10% of a CONTESTED corridor demand pool (locked). Captive sole-operator transfer legs (captive:true / luxury_charter / hospitality archetypes) carry the captive rate instead — see per-row Capture %.</t>
        </is>
      </c>
    </row>
    <row r="23">
      <c r="A23" s="12" t="inlineStr">
        <is>
          <t>Captive capture rate (A′ corridors)</t>
        </is>
      </c>
      <c r="B23" s="18" t="n">
        <v>0.9</v>
      </c>
      <c r="C23" s="14" t="inlineStr">
        <is>
          <t>frac</t>
        </is>
      </c>
      <c r="D23" s="14" t="inlineStr"/>
      <c r="E23" s="14" t="inlineStr">
        <is>
          <t>med</t>
        </is>
      </c>
      <c r="F23" s="15" t="inlineStr">
        <is>
          <t>Sole-operator water-access-only transfer legs (captive:true or luxury_charter/hospitality archetype): Navier IS the transfer fleet — capture ~90%. Applied per-row in the Capture % column.</t>
        </is>
      </c>
    </row>
    <row r="24">
      <c r="A24" s="12" t="inlineStr">
        <is>
          <t>Discount factor (vs comparable fare)</t>
        </is>
      </c>
      <c r="B24" s="17" t="n">
        <v>1</v>
      </c>
      <c r="C24" s="14" t="inlineStr">
        <is>
          <t>frac</t>
        </is>
      </c>
      <c r="D24" s="14" t="inlineStr">
        <is>
          <t>T1</t>
        </is>
      </c>
      <c r="E24" s="14" t="inlineStr">
        <is>
          <t>high</t>
        </is>
      </c>
      <c r="F24" s="15" t="inlineStr">
        <is>
          <t>Market parity — better product, not cheaper (locked).</t>
        </is>
      </c>
    </row>
    <row r="25">
      <c r="A25" s="12" t="inlineStr">
        <is>
          <t>Diesel CO₂ per gallon</t>
        </is>
      </c>
      <c r="B25" s="17" t="n">
        <v>10.21</v>
      </c>
      <c r="C25" s="14" t="inlineStr">
        <is>
          <t>kg/gal</t>
        </is>
      </c>
      <c r="D25" s="14" t="inlineStr">
        <is>
          <t>T1</t>
        </is>
      </c>
      <c r="E25" s="14" t="inlineStr">
        <is>
          <t>high</t>
        </is>
      </c>
      <c r="F25" s="15" t="inlineStr">
        <is>
          <t>US EPA: 10.21 kg CO2 per gallon marine/diesel</t>
        </is>
      </c>
    </row>
    <row r="27">
      <c r="A27" s="10" t="inlineStr">
        <is>
          <t>OPEX defaults  (global vessel assumptions — country costs use exact-key rows only)</t>
        </is>
      </c>
    </row>
    <row r="28">
      <c r="A28" s="11" t="inlineStr">
        <is>
          <t>Parameter</t>
        </is>
      </c>
      <c r="B28" s="11" t="inlineStr">
        <is>
          <t>Value</t>
        </is>
      </c>
      <c r="C28" s="11" t="inlineStr">
        <is>
          <t>Unit</t>
        </is>
      </c>
      <c r="D28" s="11" t="inlineStr">
        <is>
          <t>Tier</t>
        </is>
      </c>
      <c r="E28" s="11" t="inlineStr">
        <is>
          <t>Conf.</t>
        </is>
      </c>
      <c r="F28" s="11" t="inlineStr">
        <is>
          <t>Source / note</t>
        </is>
      </c>
    </row>
    <row r="29">
      <c r="A29" s="12" t="inlineStr">
        <is>
          <t>Vessel insurance — H&amp;M + P&amp;I (% of CAPEX/yr)</t>
        </is>
      </c>
      <c r="B29" s="18" t="n">
        <v>0.025</v>
      </c>
      <c r="C29" s="14" t="inlineStr">
        <is>
          <t>frac</t>
        </is>
      </c>
      <c r="D29" s="14" t="inlineStr">
        <is>
          <t>T3</t>
        </is>
      </c>
      <c r="E29" s="14" t="inlineStr">
        <is>
          <t>med</t>
        </is>
      </c>
      <c r="F29" s="15" t="inlineStr">
        <is>
          <t>Commercial vessel H&amp;M + P&amp;I ~2.5%/yr of regional CAPEX. Separate from berth/port admin in Country opex (Jaideep 2026-06-19).. Multiplied by regional CAPEX (Country opex col G). Not included in berth/port admin.</t>
        </is>
      </c>
    </row>
    <row r="30">
      <c r="A30" s="12" t="inlineStr">
        <is>
          <t>Fast-charge berth &amp; demand charges (global default)</t>
        </is>
      </c>
      <c r="B30" s="16" t="n">
        <v>18000</v>
      </c>
      <c r="C30" s="14" t="inlineStr">
        <is>
          <t>USD/yr</t>
        </is>
      </c>
      <c r="D30" s="14" t="inlineStr">
        <is>
          <t>T3</t>
        </is>
      </c>
      <c r="E30" s="14" t="inlineStr">
        <is>
          <t>med</t>
        </is>
      </c>
      <c r="F30" s="15" t="inlineStr">
        <is>
          <t>Dedicated fast-charge berth slot + utility demand charges. Excludes per-kWh propulsion energy and berth/port admin (Jaideep 2026-06-19). L3-overridable per market.. Dedicated charge berth + utility demand charges. Excludes per-kWh propulsion energy and berth/port admin. L3-overridable per market.</t>
        </is>
      </c>
    </row>
    <row r="32">
      <c r="A32" s="10" t="inlineStr">
        <is>
          <t>South Korea schedule / capacity override  (country == 'South Korea' only)</t>
        </is>
      </c>
    </row>
    <row r="33">
      <c r="A33" s="11" t="inlineStr">
        <is>
          <t>Parameter</t>
        </is>
      </c>
      <c r="B33" s="11" t="inlineStr">
        <is>
          <t>Value</t>
        </is>
      </c>
      <c r="C33" s="11" t="inlineStr">
        <is>
          <t>Unit</t>
        </is>
      </c>
      <c r="D33" s="11" t="inlineStr">
        <is>
          <t>Tier</t>
        </is>
      </c>
      <c r="E33" s="11" t="inlineStr">
        <is>
          <t>Conf.</t>
        </is>
      </c>
      <c r="F33" s="11" t="inlineStr">
        <is>
          <t>Source / note</t>
        </is>
      </c>
    </row>
    <row r="34">
      <c r="A34" s="12" t="inlineStr">
        <is>
          <t>South Korea MID seat occupancy</t>
        </is>
      </c>
      <c r="B34" s="18" t="n">
        <v>0.65</v>
      </c>
      <c r="C34" s="14" t="inlineStr">
        <is>
          <t>share of seats</t>
        </is>
      </c>
      <c r="D34" s="14" t="inlineStr">
        <is>
          <t>T5</t>
        </is>
      </c>
      <c r="E34" s="14" t="inlineStr">
        <is>
          <t>med</t>
        </is>
      </c>
      <c r="F34" s="15" t="inlineStr">
        <is>
          <t>South Korea economics revision approved 2026-07-11; retained audit scenario.</t>
        </is>
      </c>
    </row>
    <row r="35">
      <c r="A35" s="12" t="inlineStr">
        <is>
          <t>South Korea MID revenue-leg utilization</t>
        </is>
      </c>
      <c r="B35" s="18" t="n">
        <v>0.65</v>
      </c>
      <c r="C35" s="14" t="inlineStr">
        <is>
          <t>share of gross legs</t>
        </is>
      </c>
      <c r="D35" s="14" t="inlineStr">
        <is>
          <t>T5</t>
        </is>
      </c>
      <c r="E35" s="14" t="inlineStr">
        <is>
          <t>med</t>
        </is>
      </c>
      <c r="F35" s="15" t="inlineStr">
        <is>
          <t>South Korea economics revision approved 2026-07-11; retained audit scenario.</t>
        </is>
      </c>
    </row>
    <row r="36">
      <c r="A36" s="12" t="inlineStr">
        <is>
          <t>South Korea service window</t>
        </is>
      </c>
      <c r="B36" s="13" t="n">
        <v>12</v>
      </c>
      <c r="C36" s="14" t="inlineStr">
        <is>
          <t>hr/day</t>
        </is>
      </c>
      <c r="D36" s="14" t="inlineStr">
        <is>
          <t>T5</t>
        </is>
      </c>
      <c r="E36" s="14" t="inlineStr">
        <is>
          <t>med</t>
        </is>
      </c>
      <c r="F36" s="15" t="inlineStr">
        <is>
          <t>Retained South Korea schedule audit, 2026-07-11.</t>
        </is>
      </c>
    </row>
    <row r="37">
      <c r="A37" s="12" t="inlineStr">
        <is>
          <t>South Korea turnaround</t>
        </is>
      </c>
      <c r="B37" s="13" t="n">
        <v>20</v>
      </c>
      <c r="C37" s="14" t="inlineStr">
        <is>
          <t>min/gross leg</t>
        </is>
      </c>
      <c r="D37" s="14" t="inlineStr">
        <is>
          <t>T5</t>
        </is>
      </c>
      <c r="E37" s="14" t="inlineStr">
        <is>
          <t>med</t>
        </is>
      </c>
      <c r="F37" s="15" t="inlineStr">
        <is>
          <t>Retained South Korea schedule audit, 2026-07-11.</t>
        </is>
      </c>
    </row>
    <row r="38">
      <c r="A38" s="12" t="inlineStr">
        <is>
          <t>South Korea boarding dwell</t>
        </is>
      </c>
      <c r="B38" s="13" t="n">
        <v>10</v>
      </c>
      <c r="C38" s="14" t="inlineStr">
        <is>
          <t>min/gross leg</t>
        </is>
      </c>
      <c r="D38" s="14" t="inlineStr">
        <is>
          <t>T3</t>
        </is>
      </c>
      <c r="E38" s="14" t="inlineStr">
        <is>
          <t>med</t>
        </is>
      </c>
      <c r="F38" s="15" t="inlineStr">
        <is>
          <t>Retained existing boarding/scheduling dwell; South Korea schedule audit, 2026-07-11.</t>
        </is>
      </c>
    </row>
    <row r="39">
      <c r="A39" s="12" t="inlineStr">
        <is>
          <t>South Korea charge-planning range basis</t>
        </is>
      </c>
      <c r="B39" s="13" t="n">
        <v>70</v>
      </c>
      <c r="C39" s="14" t="inlineStr">
        <is>
          <t>nm</t>
        </is>
      </c>
      <c r="D39" s="14" t="inlineStr">
        <is>
          <t>T5</t>
        </is>
      </c>
      <c r="E39" s="14" t="inlineStr">
        <is>
          <t>low-med</t>
        </is>
      </c>
      <c r="F39" s="15" t="inlineStr">
        <is>
          <t>Retained South Korea audit proxy based on Navier published 70-nm range and 45-minute DC fast-charge figures. Planning proxy requiring engineering validation; not a certified charge curve.</t>
        </is>
      </c>
    </row>
    <row r="40">
      <c r="A40" s="12" t="inlineStr">
        <is>
          <t>South Korea full-range charge-planning time</t>
        </is>
      </c>
      <c r="B40" s="13" t="n">
        <v>45</v>
      </c>
      <c r="C40" s="14" t="inlineStr">
        <is>
          <t>min</t>
        </is>
      </c>
      <c r="D40" s="14" t="inlineStr">
        <is>
          <t>T5</t>
        </is>
      </c>
      <c r="E40" s="14" t="inlineStr">
        <is>
          <t>low-med</t>
        </is>
      </c>
      <c r="F40" s="15" t="inlineStr">
        <is>
          <t>PLANNING PROXY: charge recovery = distance_nm / 70 × 45. Requires engineering validation; not a certified charge curve.</t>
        </is>
      </c>
    </row>
    <row r="42">
      <c r="A42" s="10" t="inlineStr">
        <is>
          <t>Utilization scenarios  (seat occupancy + revenue-leg utilization)</t>
        </is>
      </c>
    </row>
    <row r="43">
      <c r="A43" s="11" t="inlineStr">
        <is>
          <t>Scenario</t>
        </is>
      </c>
      <c r="B43" s="11" t="inlineStr">
        <is>
          <t>Seat occupancy</t>
        </is>
      </c>
      <c r="C43" s="11" t="inlineStr">
        <is>
          <t>Revenue-leg utilization</t>
        </is>
      </c>
      <c r="D43" s="11" t="inlineStr"/>
      <c r="E43" s="11" t="inlineStr"/>
      <c r="F43" s="11" t="inlineStr">
        <is>
          <t>Note</t>
        </is>
      </c>
    </row>
    <row r="44">
      <c r="A44" s="19" t="inlineStr">
        <is>
          <t>THIN</t>
        </is>
      </c>
      <c r="B44" s="20" t="n">
        <v>0.45</v>
      </c>
      <c r="C44" s="20" t="n">
        <v>0.55</v>
      </c>
      <c r="F44" s="15" t="inlineStr">
        <is>
          <t>thin/one-way/seasonal corridor — conservative floor</t>
        </is>
      </c>
    </row>
    <row r="45">
      <c r="A45" s="19" t="inlineStr">
        <is>
          <t>MID</t>
        </is>
      </c>
      <c r="B45" s="20" t="n">
        <v>0.55</v>
      </c>
      <c r="C45" s="20" t="n">
        <v>0.65</v>
      </c>
      <c r="F45" s="15" t="inlineStr">
        <is>
          <t>HEADLINE — realistic busy two-way corridor</t>
        </is>
      </c>
    </row>
    <row r="46">
      <c r="A46" s="19" t="inlineStr">
        <is>
          <t>FULL</t>
        </is>
      </c>
      <c r="B46" s="20" t="n">
        <v>0.7</v>
      </c>
      <c r="C46" s="20" t="n">
        <v>0.75</v>
      </c>
      <c r="F46" s="15" t="inlineStr">
        <is>
          <t>mature/dense corridor — optimistic ceiling</t>
        </is>
      </c>
    </row>
    <row r="48">
      <c r="A48" s="21" t="inlineStr">
        <is>
          <t>SCENARIO (toggle me)</t>
        </is>
      </c>
      <c r="B48" s="22" t="inlineStr">
        <is>
          <t>MID</t>
        </is>
      </c>
      <c r="C48" s="23" t="inlineStr">
        <is>
          <t>← set THIN / MID / FULL</t>
        </is>
      </c>
    </row>
    <row r="49">
      <c r="A49" s="12" t="inlineStr">
        <is>
          <t>Selected global seat occupancy</t>
        </is>
      </c>
      <c r="B49" s="24">
        <f>VLOOKUP(scenario,'Assumptions'!$A$44:$C$46,2,FALSE)</f>
        <v/>
      </c>
    </row>
    <row r="50">
      <c r="A50" s="12" t="inlineStr">
        <is>
          <t>Selected global revenue-leg utilization</t>
        </is>
      </c>
      <c r="B50" s="24">
        <f>VLOOKUP(scenario,'Assumptions'!$A$44:$C$46,3,FALSE)</f>
        <v/>
      </c>
    </row>
  </sheetData>
  <mergeCells count="6">
    <mergeCell ref="A42:F42"/>
    <mergeCell ref="A14:F14"/>
    <mergeCell ref="A1:F1"/>
    <mergeCell ref="A32:F32"/>
    <mergeCell ref="A27:F27"/>
    <mergeCell ref="A3:F3"/>
  </mergeCells>
  <dataValidations count="1">
    <dataValidation sqref="B48" showDropDown="0" showInputMessage="0" showErrorMessage="0" allowBlank="0" type="list">
      <formula1>"THIN,MID,FULL"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14" customWidth="1" min="4" max="4"/>
    <col width="14" customWidth="1" min="5" max="5"/>
    <col width="11" customWidth="1" min="6" max="6"/>
    <col width="14" customWidth="1" min="7" max="7"/>
    <col width="60" customWidth="1" min="8" max="8"/>
  </cols>
  <sheetData>
    <row r="1">
      <c r="A1" s="9" t="inlineStr">
        <is>
          <t>Country opex — localized inputs (crew, energy, berth admin, CAPEX)</t>
        </is>
      </c>
    </row>
    <row r="3">
      <c r="A3" s="25" t="inlineStr">
        <is>
          <t>Country</t>
        </is>
      </c>
      <c r="B3" s="25" t="inlineStr">
        <is>
          <t>Captain $/yr</t>
        </is>
      </c>
      <c r="C3" s="25" t="inlineStr">
        <is>
          <t>Energy $/kWh</t>
        </is>
      </c>
      <c r="D3" s="25" t="inlineStr">
        <is>
          <t>Grid CO₂ kg/kWh</t>
        </is>
      </c>
      <c r="E3" s="25" t="inlineStr">
        <is>
          <t>Berth &amp; port admin $/yr</t>
        </is>
      </c>
      <c r="F3" s="25" t="inlineStr">
        <is>
          <t>Cost index</t>
        </is>
      </c>
      <c r="G3" s="25" t="inlineStr">
        <is>
          <t>CAPEX $/vessel</t>
        </is>
      </c>
      <c r="H3" s="25" t="inlineStr">
        <is>
          <t>Source notes (crew | energy | berth admin)</t>
        </is>
      </c>
    </row>
    <row r="4">
      <c r="A4" s="26" t="inlineStr">
        <is>
          <t>Brazil</t>
        </is>
      </c>
      <c r="B4" s="27" t="n">
        <v>14000</v>
      </c>
      <c r="C4" s="28" t="n">
        <v>0.09</v>
      </c>
      <c r="D4" s="20" t="n">
        <v>0.5</v>
      </c>
      <c r="E4" s="27" t="n">
        <v>10000</v>
      </c>
      <c r="F4" s="20" t="n">
        <v>0.38</v>
      </c>
      <c r="G4" s="27" t="n">
        <v>600000</v>
      </c>
      <c r="H4" s="15" t="inlineStr">
        <is>
          <t>Minor Hotels seal preflight — modeled vs SG anchor | Minor Hotels seal preflight — national tariff avg | Modeled | CAPEX LB-243 US/EU=$900K else $600K</t>
        </is>
      </c>
    </row>
    <row r="5">
      <c r="A5" s="26" t="inlineStr">
        <is>
          <t>Egypt</t>
        </is>
      </c>
      <c r="B5" s="27" t="n">
        <v>12000</v>
      </c>
      <c r="C5" s="28" t="n">
        <v>0.06</v>
      </c>
      <c r="D5" s="20" t="n">
        <v>0.45</v>
      </c>
      <c r="E5" s="27" t="n">
        <v>8000</v>
      </c>
      <c r="F5" s="20" t="n">
        <v>0.3</v>
      </c>
      <c r="G5" s="27" t="n">
        <v>600000</v>
      </c>
      <c r="H5" s="15" t="inlineStr">
        <is>
          <t>Modeled from national maritime-wage / cost-of-living index vs SG anchor | Modeled from national commercial electricity tariff avg | Modeled berth/marina overhead vs SG anchor by cost index | CAPEX LB-243 US/EU=$900K else $600K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58" customWidth="1" min="2" max="2"/>
    <col width="20" customWidth="1" min="3" max="3"/>
    <col width="24" customWidth="1" min="4" max="4"/>
    <col width="86" customWidth="1" min="5" max="5"/>
  </cols>
  <sheetData>
    <row r="1">
      <c r="A1" s="9" t="inlineStr">
        <is>
          <t>Economics holds — excluded before model and sheet calculation</t>
        </is>
      </c>
    </row>
    <row r="3">
      <c r="A3" s="25" t="inlineStr">
        <is>
          <t>Market</t>
        </is>
      </c>
      <c r="B3" s="25" t="inlineStr">
        <is>
          <t>Corridor</t>
        </is>
      </c>
      <c r="C3" s="25" t="inlineStr">
        <is>
          <t>Route ID</t>
        </is>
      </c>
      <c r="D3" s="25" t="inlineStr">
        <is>
          <t>Country label</t>
        </is>
      </c>
      <c r="E3" s="25" t="inlineStr">
        <is>
          <t>Hold reason</t>
        </is>
      </c>
    </row>
    <row r="4">
      <c r="A4" s="29" t="inlineStr">
        <is>
          <t>Indrive Egypt</t>
        </is>
      </c>
      <c r="B4" s="15" t="inlineStr">
        <is>
          <t>Hurghada Marina → Sahl Hasheesh Marina</t>
        </is>
      </c>
      <c r="C4" s="15" t="inlineStr">
        <is>
          <t>rn-3d161664de08</t>
        </is>
      </c>
      <c r="D4" s="15" t="inlineStr">
        <is>
          <t>Egypt</t>
        </is>
      </c>
      <c r="E4" s="15" t="inlineStr">
        <is>
          <t>Exact canonical geometry exists, but an exact route-level annual one-way passenger count and locally comparable passenger fare have not both been supported for this route.</t>
        </is>
      </c>
    </row>
    <row r="5">
      <c r="A5" s="29" t="inlineStr">
        <is>
          <t>Indrive Egypt</t>
        </is>
      </c>
      <c r="B5" s="15" t="inlineStr">
        <is>
          <t>Hurghada Marina → Soma Bay Marina</t>
        </is>
      </c>
      <c r="C5" s="15" t="inlineStr">
        <is>
          <t>rn-173d32792c07</t>
        </is>
      </c>
      <c r="D5" s="15" t="inlineStr">
        <is>
          <t>Egypt</t>
        </is>
      </c>
      <c r="E5" s="15" t="inlineStr">
        <is>
          <t>Exact canonical geometry exists, but an exact route-level annual one-way passenger count and locally comparable passenger fare have not both been supported for this route.</t>
        </is>
      </c>
    </row>
    <row r="6">
      <c r="A6" s="29" t="inlineStr">
        <is>
          <t>Indrive Egypt</t>
        </is>
      </c>
      <c r="B6" s="15" t="inlineStr">
        <is>
          <t>Sharm Marina (Sharm El Maya / Old Market Harbour) → Sharks Bay Marina (purpose-built fast-boat terminal)</t>
        </is>
      </c>
      <c r="C6" s="15" t="inlineStr">
        <is>
          <t>rn-285fc16b29dc</t>
        </is>
      </c>
      <c r="D6" s="15" t="inlineStr">
        <is>
          <t>Egypt</t>
        </is>
      </c>
      <c r="E6" s="15" t="inlineStr">
        <is>
          <t>Exact canonical geometry exists, but an exact route-level annual one-way passenger count and locally comparable passenger fare have not both been supported for this route.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A29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3" customWidth="1" min="2" max="2"/>
    <col width="34" customWidth="1" min="3" max="3"/>
    <col width="8" customWidth="1" min="4" max="4"/>
    <col width="11" customWidth="1" min="5" max="5"/>
    <col width="7" customWidth="1" min="6" max="6"/>
    <col width="8" customWidth="1" min="7" max="7"/>
    <col width="9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8" customWidth="1" min="14" max="14"/>
    <col width="11" customWidth="1" min="15" max="15"/>
    <col width="10" customWidth="1" min="16" max="16"/>
    <col width="9" customWidth="1" min="17" max="17"/>
    <col width="8" customWidth="1" min="18" max="18"/>
    <col width="9" customWidth="1" min="19" max="19"/>
    <col width="9" customWidth="1" min="20" max="20"/>
    <col width="11" customWidth="1" min="21" max="21"/>
    <col width="10" customWidth="1" min="22" max="22"/>
    <col width="10" customWidth="1" min="23" max="23"/>
    <col width="12" customWidth="1" min="24" max="24"/>
    <col width="9" customWidth="1" min="25" max="25"/>
    <col width="12" customWidth="1" min="26" max="26"/>
    <col width="12" customWidth="1" min="27" max="27"/>
    <col width="11" customWidth="1" min="28" max="28"/>
    <col width="10" customWidth="1" min="29" max="29"/>
    <col width="11" customWidth="1" min="30" max="30"/>
    <col width="8" customWidth="1" min="31" max="31"/>
    <col width="9" customWidth="1" min="32" max="32"/>
    <col width="9" customWidth="1" min="33" max="33"/>
    <col width="12" customWidth="1" min="34" max="34"/>
    <col width="7" customWidth="1" min="35" max="35"/>
    <col width="8" customWidth="1" min="36" max="36"/>
    <col width="8" customWidth="1" min="37" max="37"/>
    <col width="10" customWidth="1" min="38" max="38"/>
    <col width="9" customWidth="1" min="39" max="39"/>
    <col width="13" customWidth="1" min="40" max="40"/>
    <col width="9" customWidth="1" min="41" max="41"/>
    <col width="13" customWidth="1" min="42" max="42"/>
    <col width="26" customWidth="1" min="43" max="43"/>
    <col width="14" customWidth="1" min="44" max="44"/>
    <col width="16" customWidth="1" min="45" max="45"/>
    <col width="16" customWidth="1" min="46" max="46"/>
    <col width="9" customWidth="1" min="47" max="47"/>
    <col width="9" customWidth="1" min="48" max="48"/>
    <col width="9" customWidth="1" min="49" max="49"/>
    <col width="9" customWidth="1" min="50" max="50"/>
    <col width="50" customWidth="1" min="51" max="51"/>
    <col width="50" customWidth="1" min="52" max="52"/>
    <col width="16" customWidth="1" min="53" max="53"/>
  </cols>
  <sheetData>
    <row r="1">
      <c r="A1" s="9" t="inlineStr">
        <is>
          <t>Navier × Indrive — Corridor economics (one boat, one year; MID = headline)</t>
        </is>
      </c>
      <c r="N1" s="30" t="inlineStr">
        <is>
          <t>SCENARIO:</t>
        </is>
      </c>
      <c r="O1" s="22">
        <f>scenario</f>
        <v/>
      </c>
      <c r="P1" s="23" t="inlineStr">
        <is>
          <t>(set on Assumptions tab)</t>
        </is>
      </c>
    </row>
    <row r="3" ht="42" customHeight="1">
      <c r="A3" s="25" t="inlineStr">
        <is>
          <t>Market</t>
        </is>
      </c>
      <c r="B3" s="25" t="inlineStr">
        <is>
          <t>Country</t>
        </is>
      </c>
      <c r="C3" s="25" t="inlineStr">
        <is>
          <t>Corridor</t>
        </is>
      </c>
      <c r="D3" s="25" t="inlineStr">
        <is>
          <t>Distance</t>
        </is>
      </c>
      <c r="E3" s="25" t="inlineStr">
        <is>
          <t>Premium fare $/pax</t>
        </is>
      </c>
      <c r="F3" s="25" t="inlineStr">
        <is>
          <t>Fare tier</t>
        </is>
      </c>
      <c r="G3" s="25" t="inlineStr">
        <is>
          <t>Fare conf.</t>
        </is>
      </c>
      <c r="H3" s="25" t="inlineStr">
        <is>
          <t>Weather factor</t>
        </is>
      </c>
      <c r="I3" s="25" t="inlineStr">
        <is>
          <t>One-way min</t>
        </is>
      </c>
      <c r="J3" s="25" t="inlineStr">
        <is>
          <t>Charge recovery min</t>
        </is>
      </c>
      <c r="K3" s="25" t="inlineStr">
        <is>
          <t>Cycle min</t>
        </is>
      </c>
      <c r="L3" s="25" t="inlineStr">
        <is>
          <t>Gross legs/day</t>
        </is>
      </c>
      <c r="M3" s="25" t="inlineStr">
        <is>
          <t>Op days/yr</t>
        </is>
      </c>
      <c r="N3" s="25" t="inlineStr">
        <is>
          <t>Mech uptime</t>
        </is>
      </c>
      <c r="O3" s="25" t="inlineStr">
        <is>
          <t>Revenue-leg utilization</t>
        </is>
      </c>
      <c r="P3" s="25" t="inlineStr">
        <is>
          <t>Revenue legs/yr</t>
        </is>
      </c>
      <c r="Q3" s="25" t="inlineStr">
        <is>
          <t>Seat occupancy</t>
        </is>
      </c>
      <c r="R3" s="25" t="inlineStr">
        <is>
          <t>Pax/trip</t>
        </is>
      </c>
      <c r="S3" s="25" t="inlineStr">
        <is>
          <t>Pax/yr</t>
        </is>
      </c>
      <c r="T3" s="25" t="inlineStr">
        <is>
          <t>Navier fare $</t>
        </is>
      </c>
      <c r="U3" s="25" t="inlineStr">
        <is>
          <t>Revenue/yr</t>
        </is>
      </c>
      <c r="V3" s="25" t="inlineStr">
        <is>
          <t>Energy/yr</t>
        </is>
      </c>
      <c r="W3" s="25" t="inlineStr">
        <is>
          <t>Crew/yr</t>
        </is>
      </c>
      <c r="X3" s="25" t="inlineStr">
        <is>
          <t>Berth &amp; port admin/yr</t>
        </is>
      </c>
      <c r="Y3" s="25" t="inlineStr">
        <is>
          <t>Maint/yr</t>
        </is>
      </c>
      <c r="Z3" s="25" t="inlineStr">
        <is>
          <t>Vessel insurance/yr</t>
        </is>
      </c>
      <c r="AA3" s="25" t="inlineStr">
        <is>
          <t>Fast-charge berth/yr</t>
        </is>
      </c>
      <c r="AB3" s="25" t="inlineStr">
        <is>
          <t>OPEX/yr</t>
        </is>
      </c>
      <c r="AC3" s="25" t="inlineStr">
        <is>
          <t>Deprec/yr</t>
        </is>
      </c>
      <c r="AD3" s="25" t="inlineStr">
        <is>
          <t>EBITDA/yr</t>
        </is>
      </c>
      <c r="AE3" s="25" t="inlineStr">
        <is>
          <t>Margin</t>
        </is>
      </c>
      <c r="AF3" s="25" t="inlineStr">
        <is>
          <t>Payback yr (sel)</t>
        </is>
      </c>
      <c r="AG3" s="25" t="inlineStr">
        <is>
          <t>CO₂ saved t/yr</t>
        </is>
      </c>
      <c r="AH3" s="25" t="inlineStr">
        <is>
          <t>Demand pool 1-way/yr</t>
        </is>
      </c>
      <c r="AI3" s="25" t="inlineStr">
        <is>
          <t>Demand tier</t>
        </is>
      </c>
      <c r="AJ3" s="25" t="inlineStr">
        <is>
          <t>Demand conf.</t>
        </is>
      </c>
      <c r="AK3" s="25" t="inlineStr">
        <is>
          <t>Capture %</t>
        </is>
      </c>
      <c r="AL3" s="25" t="inlineStr">
        <is>
          <t>Navier rides/yr</t>
        </is>
      </c>
      <c r="AM3" s="25" t="inlineStr">
        <is>
          <t>Vessels @capture</t>
        </is>
      </c>
      <c r="AN3" s="25" t="inlineStr">
        <is>
          <t>Market rev/yr</t>
        </is>
      </c>
      <c r="AO3" s="25" t="inlineStr">
        <is>
          <t>Vessels raw (unfloored)</t>
        </is>
      </c>
      <c r="AP3" s="25" t="inlineStr">
        <is>
          <t>Market rev/yr raw</t>
        </is>
      </c>
      <c r="AQ3" s="25" t="inlineStr">
        <is>
          <t>Subset of (excl. from market fleet)</t>
        </is>
      </c>
      <c r="AR3" s="25" t="inlineStr">
        <is>
          <t>Floor bucket (aggregate status)</t>
        </is>
      </c>
      <c r="AS3" s="25" t="inlineStr">
        <is>
          <t>Forward SAM (2030-dated; held OUT of grounded floor)</t>
        </is>
      </c>
      <c r="AT3" s="25" t="inlineStr">
        <is>
          <t>Upside tier (LB-99; held OUT of grounded floor)</t>
        </is>
      </c>
      <c r="AU3" s="25" t="inlineStr">
        <is>
          <t>Fleet ceiling (captive villas/25)</t>
        </is>
      </c>
      <c r="AV3" s="25" t="inlineStr">
        <is>
          <t>Payback THIN</t>
        </is>
      </c>
      <c r="AW3" s="25" t="inlineStr">
        <is>
          <t>Payback MID</t>
        </is>
      </c>
      <c r="AX3" s="25" t="inlineStr">
        <is>
          <t>Payback FULL</t>
        </is>
      </c>
      <c r="AY3" s="25" t="inlineStr">
        <is>
          <t>Fare source (provenance)</t>
        </is>
      </c>
      <c r="AZ3" s="25" t="inlineStr">
        <is>
          <t>Demand source (provenance)</t>
        </is>
      </c>
      <c r="BA3" s="25" t="inlineStr">
        <is>
          <t>Route ID</t>
        </is>
      </c>
    </row>
    <row r="4">
      <c r="A4" s="31" t="inlineStr">
        <is>
          <t>Indrive Brazil</t>
        </is>
      </c>
      <c r="B4" s="31" t="inlineStr">
        <is>
          <t>Brazil</t>
        </is>
      </c>
      <c r="C4" s="32" t="inlineStr">
        <is>
          <t>Terminal da Balsa Ponta da Praia (Santos) → Terminal da Balsa Guarujá (Av. Adhemar de Barros)</t>
        </is>
      </c>
      <c r="D4" s="33" t="n">
        <v>0.25</v>
      </c>
      <c r="E4" s="27" t="n">
        <v>12</v>
      </c>
      <c r="F4" s="34" t="inlineStr">
        <is>
          <t>T1</t>
        </is>
      </c>
      <c r="G4" s="34" t="inlineStr">
        <is>
          <t>high</t>
        </is>
      </c>
      <c r="H4" s="20" t="n">
        <v>1</v>
      </c>
      <c r="I4" s="35">
        <f>60*D4/cruise_kt</f>
        <v/>
      </c>
      <c r="J4" s="35">
        <f>IF(B4="South Korea",D4/korea_charge_range_nm*korea_full_range_charge_min,0)</f>
        <v/>
      </c>
      <c r="K4" s="35">
        <f>IF(B4="South Korea",I4+korea_turn_min+korea_dwell_min+J4,I4+turn_min+dwell_min)</f>
        <v/>
      </c>
      <c r="L4" s="36">
        <f>IF(B4="South Korea",FLOOR(60*korea_service_hr/K4,1),MIN(15,FLOOR(60*service_hr/K4,1)))</f>
        <v/>
      </c>
      <c r="M4" s="36">
        <f>IF(ABS(MOD(ABS((365*mech_uptime*H4)),1)-0.5)&lt;1E-9,2*ROUND((365*mech_uptime*H4)/2,0),ROUND((365*mech_uptime*H4),0))</f>
        <v/>
      </c>
      <c r="N4" s="37">
        <f>mech_uptime</f>
        <v/>
      </c>
      <c r="O4" s="37">
        <f>IF(AND(B4="South Korea",scenario="MID"),korea_mid_revleg,revleg_sel)</f>
        <v/>
      </c>
      <c r="P4" s="36">
        <f>IF(ABS(MOD(ABS((L4*M4*O4)),1)-0.5)&lt;1E-9,2*ROUND((L4*M4*O4)/2,0),ROUND((L4*M4*O4),0))</f>
        <v/>
      </c>
      <c r="Q4" s="37">
        <f>IF(AND(B4="South Korea",scenario="MID"),korea_mid_load,load_sel)</f>
        <v/>
      </c>
      <c r="R4" s="38">
        <f>pax_cap*Q4</f>
        <v/>
      </c>
      <c r="S4" s="36">
        <f>R4*P4</f>
        <v/>
      </c>
      <c r="T4" s="39">
        <f>E4*discount</f>
        <v/>
      </c>
      <c r="U4" s="40">
        <f>T4*S4</f>
        <v/>
      </c>
      <c r="V4" s="40">
        <f>(battery/range_nm)*D4*P4*VLOOKUP(B4,country_opex,3,FALSE)</f>
        <v/>
      </c>
      <c r="W4" s="40">
        <f>VLOOKUP(B4,country_opex,2,FALSE)*crew_factor</f>
        <v/>
      </c>
      <c r="X4" s="40">
        <f>VLOOKUP(B4,country_opex,5,FALSE)</f>
        <v/>
      </c>
      <c r="Y4" s="40">
        <f>maint</f>
        <v/>
      </c>
      <c r="Z4" s="40">
        <f>VLOOKUP(B4,country_opex,7,FALSE)*ins_pct</f>
        <v/>
      </c>
      <c r="AA4" s="40">
        <f>charge_berth</f>
        <v/>
      </c>
      <c r="AB4" s="40">
        <f>V4+W4+X4+Y4+Z4+AA4</f>
        <v/>
      </c>
      <c r="AC4" s="40">
        <f>VLOOKUP(B4,country_opex,7,FALSE)/dep_years</f>
        <v/>
      </c>
      <c r="AD4" s="40">
        <f>U4-AB4</f>
        <v/>
      </c>
      <c r="AE4" s="37">
        <f>IF(U4=0,"",AD4/U4)</f>
        <v/>
      </c>
      <c r="AF4" s="38">
        <f>IF(AD4&lt;=0,"",VLOOKUP(B4,country_opex,7,FALSE)/AD4)</f>
        <v/>
      </c>
      <c r="AG4" s="35">
        <f>((D4*P4/diesel_nmpg)*diesel_co2pg-(battery/range_nm)*D4*P4*VLOOKUP(B4,country_opex,4,FALSE))/1000</f>
        <v/>
      </c>
      <c r="AH4" s="33" t="n">
        <v>5584500</v>
      </c>
      <c r="AI4" s="34" t="inlineStr">
        <is>
          <t>T2/T3 (annualized from crossing-specific dailies)</t>
        </is>
      </c>
      <c r="AJ4" s="34" t="inlineStr">
        <is>
          <t>med</t>
        </is>
      </c>
      <c r="AK4" s="41" t="n">
        <v>0.1</v>
      </c>
      <c r="AL4" s="36">
        <f>IF(AH4="","",AH4*AK4)</f>
        <v/>
      </c>
      <c r="AM4" s="36">
        <f>IF(OR(AH4="",S4=0),"",MIN(IF(AU4="",9.9E+99,AU4),FLOOR(AL4/S4,1)))</f>
        <v/>
      </c>
      <c r="AN4" s="40">
        <f>IF(AM4="","",AM4*IF(ABS(MOD(ABS((U4)),1)-0.5)&lt;1E-9,2*ROUND((U4)/2,0),ROUND((U4),0)))</f>
        <v/>
      </c>
      <c r="AO4" s="38">
        <f>IF(OR(AH4="",S4=0),"",MIN(IF(AU4="",9.9E+99,AU4),AL4/S4))</f>
        <v/>
      </c>
      <c r="AP4" s="40">
        <f>IF(AO4="","",AO4*IF(B4="South Korea",IF(ABS(MOD(ABS((U4)),1)-0.5)&lt;1E-9,2*ROUND((U4)/2,0),ROUND((U4),0)),U4))</f>
        <v/>
      </c>
      <c r="AQ4" s="42" t="n"/>
      <c r="AR4" s="34" t="inlineStr">
        <is>
          <t>Grounded</t>
        </is>
      </c>
      <c r="AS4" s="43" t="n"/>
      <c r="AT4" s="43" t="n"/>
      <c r="AU4" s="44" t="n"/>
      <c r="AV4" s="45">
        <f>IF(((T4*pax_cap*load_thin*IF(ABS(MOD(ABS((L4*M4*revleg_thin)),1)-0.5)&lt;1E-9,2*ROUND((L4*M4*revleg_thin)/2,0),ROUND((L4*M4*revleg_thin),0)))-(((battery/range_nm)*D4*IF(ABS(MOD(ABS((L4*M4*revleg_thin)),1)-0.5)&lt;1E-9,2*ROUND((L4*M4*revleg_thin)/2,0),ROUND((L4*M4*revleg_thin),0))*VLOOKUP(B4,country_opex,3,FALSE))+W4+X4+Y4+Z4+AA4))&lt;=0,"",VLOOKUP(B4,country_opex,7,FALSE)/((T4*pax_cap*load_thin*IF(ABS(MOD(ABS((L4*M4*revleg_thin)),1)-0.5)&lt;1E-9,2*ROUND((L4*M4*revleg_thin)/2,0),ROUND((L4*M4*revleg_thin),0)))-(((battery/range_nm)*D4*IF(ABS(MOD(ABS((L4*M4*revleg_thin)),1)-0.5)&lt;1E-9,2*ROUND((L4*M4*revleg_thin)/2,0),ROUND((L4*M4*revleg_thin),0))*VLOOKUP(B4,country_opex,3,FALSE))+W4+X4+Y4+Z4+AA4)))</f>
        <v/>
      </c>
      <c r="AW4" s="45">
        <f>IF(((T4*pax_cap*IF(B4="South Korea",korea_mid_load,load_mid)*IF(ABS(MOD(ABS((L4*M4*IF(B4="South Korea",korea_mid_revleg,revleg_mid))),1)-0.5)&lt;1E-9,2*ROUND((L4*M4*IF(B4="South Korea",korea_mid_revleg,revleg_mid))/2,0),ROUND((L4*M4*IF(B4="South Korea",korea_mid_revleg,revleg_mid)),0)))-(((battery/range_nm)*D4*IF(ABS(MOD(ABS((L4*M4*IF(B4="South Korea",korea_mid_revleg,revleg_mid))),1)-0.5)&lt;1E-9,2*ROUND((L4*M4*IF(B4="South Korea",korea_mid_revleg,revleg_mid))/2,0),ROUND((L4*M4*IF(B4="South Korea",korea_mid_revleg,revleg_mid)),0))*VLOOKUP(B4,country_opex,3,FALSE))+W4+X4+Y4+Z4+AA4))&lt;=0,"",VLOOKUP(B4,country_opex,7,FALSE)/((T4*pax_cap*IF(B4="South Korea",korea_mid_load,load_mid)*IF(ABS(MOD(ABS((L4*M4*IF(B4="South Korea",korea_mid_revleg,revleg_mid))),1)-0.5)&lt;1E-9,2*ROUND((L4*M4*IF(B4="South Korea",korea_mid_revleg,revleg_mid))/2,0),ROUND((L4*M4*IF(B4="South Korea",korea_mid_revleg,revleg_mid)),0)))-(((battery/range_nm)*D4*IF(ABS(MOD(ABS((L4*M4*IF(B4="South Korea",korea_mid_revleg,revleg_mid))),1)-0.5)&lt;1E-9,2*ROUND((L4*M4*IF(B4="South Korea",korea_mid_revleg,revleg_mid))/2,0),ROUND((L4*M4*IF(B4="South Korea",korea_mid_revleg,revleg_mid)),0))*VLOOKUP(B4,country_opex,3,FALSE))+W4+X4+Y4+Z4+AA4)))</f>
        <v/>
      </c>
      <c r="AX4" s="45">
        <f>IF(((T4*pax_cap*load_full*IF(ABS(MOD(ABS((L4*M4*revleg_full)),1)-0.5)&lt;1E-9,2*ROUND((L4*M4*revleg_full)/2,0),ROUND((L4*M4*revleg_full),0)))-(((battery/range_nm)*D4*IF(ABS(MOD(ABS((L4*M4*revleg_full)),1)-0.5)&lt;1E-9,2*ROUND((L4*M4*revleg_full)/2,0),ROUND((L4*M4*revleg_full),0))*VLOOKUP(B4,country_opex,3,FALSE))+W4+X4+Y4+Z4+AA4))&lt;=0,"",VLOOKUP(B4,country_opex,7,FALSE)/((T4*pax_cap*load_full*IF(ABS(MOD(ABS((L4*M4*revleg_full)),1)-0.5)&lt;1E-9,2*ROUND((L4*M4*revleg_full)/2,0),ROUND((L4*M4*revleg_full),0)))-(((battery/range_nm)*D4*IF(ABS(MOD(ABS((L4*M4*revleg_full)),1)-0.5)&lt;1E-9,2*ROUND((L4*M4*revleg_full)/2,0),ROUND((L4*M4*revleg_full),0))*VLOOKUP(B4,country_opex,3,FALSE))+W4+X4+Y4+Z4+AA4)))</f>
        <v/>
      </c>
      <c r="AY4" s="46" t="inlineStr">
        <is>
          <t>Acqua Vias PPP terms / state announcement</t>
        </is>
      </c>
      <c r="AZ4" s="46" t="inlineStr">
        <is>
          <t>Crossing-specific daily counts: ~7.6k pedestrians + ~7.7k cyclists = 15,300/day (Travessia Santos–Guarujá, A Tribuna basis, corroborated by DH system datasheets: system-wide 57k users/day across 8 crossings, Santos–Guarujá the busiest).</t>
        </is>
      </c>
      <c r="BA4" s="34" t="inlineStr">
        <is>
          <t>rn-07cdabeba7a9</t>
        </is>
      </c>
    </row>
    <row r="5">
      <c r="A5" s="31" t="inlineStr">
        <is>
          <t>Indrive Brazil</t>
        </is>
      </c>
      <c r="B5" s="31" t="inlineStr">
        <is>
          <t>Brazil</t>
        </is>
      </c>
      <c r="C5" s="32" t="inlineStr">
        <is>
          <t>Terminal de Passageiros Santos Centro / Praça da República → Terminal de Passageiros Vicente de Carvalho (Guarujá)</t>
        </is>
      </c>
      <c r="D5" s="33" t="n">
        <v>0.66</v>
      </c>
      <c r="E5" s="27" t="n">
        <v>12</v>
      </c>
      <c r="F5" s="34" t="n"/>
      <c r="G5" s="34" t="n"/>
      <c r="H5" s="20" t="n">
        <v>1</v>
      </c>
      <c r="I5" s="35">
        <f>60*D5/cruise_kt</f>
        <v/>
      </c>
      <c r="J5" s="35">
        <f>IF(B5="South Korea",D5/korea_charge_range_nm*korea_full_range_charge_min,0)</f>
        <v/>
      </c>
      <c r="K5" s="35">
        <f>IF(B5="South Korea",I5+korea_turn_min+korea_dwell_min+J5,I5+turn_min+dwell_min)</f>
        <v/>
      </c>
      <c r="L5" s="36">
        <f>IF(B5="South Korea",FLOOR(60*korea_service_hr/K5,1),MIN(15,FLOOR(60*service_hr/K5,1)))</f>
        <v/>
      </c>
      <c r="M5" s="36">
        <f>IF(ABS(MOD(ABS((365*mech_uptime*H5)),1)-0.5)&lt;1E-9,2*ROUND((365*mech_uptime*H5)/2,0),ROUND((365*mech_uptime*H5),0))</f>
        <v/>
      </c>
      <c r="N5" s="37">
        <f>mech_uptime</f>
        <v/>
      </c>
      <c r="O5" s="37">
        <f>IF(AND(B5="South Korea",scenario="MID"),korea_mid_revleg,revleg_sel)</f>
        <v/>
      </c>
      <c r="P5" s="36">
        <f>IF(ABS(MOD(ABS((L5*M5*O5)),1)-0.5)&lt;1E-9,2*ROUND((L5*M5*O5)/2,0),ROUND((L5*M5*O5),0))</f>
        <v/>
      </c>
      <c r="Q5" s="37">
        <f>IF(AND(B5="South Korea",scenario="MID"),korea_mid_load,load_sel)</f>
        <v/>
      </c>
      <c r="R5" s="38">
        <f>pax_cap*Q5</f>
        <v/>
      </c>
      <c r="S5" s="36">
        <f>R5*P5</f>
        <v/>
      </c>
      <c r="T5" s="39">
        <f>E5*discount</f>
        <v/>
      </c>
      <c r="U5" s="40">
        <f>T5*S5</f>
        <v/>
      </c>
      <c r="V5" s="40">
        <f>(battery/range_nm)*D5*P5*VLOOKUP(B5,country_opex,3,FALSE)</f>
        <v/>
      </c>
      <c r="W5" s="40">
        <f>VLOOKUP(B5,country_opex,2,FALSE)*crew_factor</f>
        <v/>
      </c>
      <c r="X5" s="40">
        <f>VLOOKUP(B5,country_opex,5,FALSE)</f>
        <v/>
      </c>
      <c r="Y5" s="40">
        <f>maint</f>
        <v/>
      </c>
      <c r="Z5" s="40">
        <f>VLOOKUP(B5,country_opex,7,FALSE)*ins_pct</f>
        <v/>
      </c>
      <c r="AA5" s="40">
        <f>charge_berth</f>
        <v/>
      </c>
      <c r="AB5" s="40">
        <f>V5+W5+X5+Y5+Z5+AA5</f>
        <v/>
      </c>
      <c r="AC5" s="40">
        <f>VLOOKUP(B5,country_opex,7,FALSE)/dep_years</f>
        <v/>
      </c>
      <c r="AD5" s="40">
        <f>U5-AB5</f>
        <v/>
      </c>
      <c r="AE5" s="37">
        <f>IF(U5=0,"",AD5/U5)</f>
        <v/>
      </c>
      <c r="AF5" s="38">
        <f>IF(AD5&lt;=0,"",VLOOKUP(B5,country_opex,7,FALSE)/AD5)</f>
        <v/>
      </c>
      <c r="AG5" s="35">
        <f>((D5*P5/diesel_nmpg)*diesel_co2pg-(battery/range_nm)*D5*P5*VLOOKUP(B5,country_opex,4,FALSE))/1000</f>
        <v/>
      </c>
      <c r="AH5" s="33" t="n"/>
      <c r="AI5" s="34" t="n"/>
      <c r="AJ5" s="34" t="n"/>
      <c r="AK5" s="41" t="n">
        <v>0.1</v>
      </c>
      <c r="AL5" s="36">
        <f>IF(AH5="","",AH5*AK5)</f>
        <v/>
      </c>
      <c r="AM5" s="36">
        <f>IF(OR(AH5="",S5=0),"",MIN(IF(AU5="",9.9E+99,AU5),FLOOR(AL5/S5,1)))</f>
        <v/>
      </c>
      <c r="AN5" s="40">
        <f>IF(AM5="","",AM5*IF(ABS(MOD(ABS((U5)),1)-0.5)&lt;1E-9,2*ROUND((U5)/2,0),ROUND((U5),0)))</f>
        <v/>
      </c>
      <c r="AO5" s="38">
        <f>IF(OR(AH5="",S5=0),"",MIN(IF(AU5="",9.9E+99,AU5),AL5/S5))</f>
        <v/>
      </c>
      <c r="AP5" s="40">
        <f>IF(AO5="","",AO5*IF(B5="South Korea",IF(ABS(MOD(ABS((U5)),1)-0.5)&lt;1E-9,2*ROUND((U5)/2,0),ROUND((U5),0)),U5))</f>
        <v/>
      </c>
      <c r="AQ5" s="42" t="n"/>
      <c r="AR5" s="34" t="inlineStr">
        <is>
          <t>Estimated</t>
        </is>
      </c>
      <c r="AS5" s="43" t="n"/>
      <c r="AT5" s="43" t="n"/>
      <c r="AU5" s="44" t="n"/>
      <c r="AV5" s="45">
        <f>IF(((T5*pax_cap*load_thin*IF(ABS(MOD(ABS((L5*M5*revleg_thin)),1)-0.5)&lt;1E-9,2*ROUND((L5*M5*revleg_thin)/2,0),ROUND((L5*M5*revleg_thin),0)))-(((battery/range_nm)*D5*IF(ABS(MOD(ABS((L5*M5*revleg_thin)),1)-0.5)&lt;1E-9,2*ROUND((L5*M5*revleg_thin)/2,0),ROUND((L5*M5*revleg_thin),0))*VLOOKUP(B5,country_opex,3,FALSE))+W5+X5+Y5+Z5+AA5))&lt;=0,"",VLOOKUP(B5,country_opex,7,FALSE)/((T5*pax_cap*load_thin*IF(ABS(MOD(ABS((L5*M5*revleg_thin)),1)-0.5)&lt;1E-9,2*ROUND((L5*M5*revleg_thin)/2,0),ROUND((L5*M5*revleg_thin),0)))-(((battery/range_nm)*D5*IF(ABS(MOD(ABS((L5*M5*revleg_thin)),1)-0.5)&lt;1E-9,2*ROUND((L5*M5*revleg_thin)/2,0),ROUND((L5*M5*revleg_thin),0))*VLOOKUP(B5,country_opex,3,FALSE))+W5+X5+Y5+Z5+AA5)))</f>
        <v/>
      </c>
      <c r="AW5" s="45">
        <f>IF(((T5*pax_cap*IF(B5="South Korea",korea_mid_load,load_mid)*IF(ABS(MOD(ABS((L5*M5*IF(B5="South Korea",korea_mid_revleg,revleg_mid))),1)-0.5)&lt;1E-9,2*ROUND((L5*M5*IF(B5="South Korea",korea_mid_revleg,revleg_mid))/2,0),ROUND((L5*M5*IF(B5="South Korea",korea_mid_revleg,revleg_mid)),0)))-(((battery/range_nm)*D5*IF(ABS(MOD(ABS((L5*M5*IF(B5="South Korea",korea_mid_revleg,revleg_mid))),1)-0.5)&lt;1E-9,2*ROUND((L5*M5*IF(B5="South Korea",korea_mid_revleg,revleg_mid))/2,0),ROUND((L5*M5*IF(B5="South Korea",korea_mid_revleg,revleg_mid)),0))*VLOOKUP(B5,country_opex,3,FALSE))+W5+X5+Y5+Z5+AA5))&lt;=0,"",VLOOKUP(B5,country_opex,7,FALSE)/((T5*pax_cap*IF(B5="South Korea",korea_mid_load,load_mid)*IF(ABS(MOD(ABS((L5*M5*IF(B5="South Korea",korea_mid_revleg,revleg_mid))),1)-0.5)&lt;1E-9,2*ROUND((L5*M5*IF(B5="South Korea",korea_mid_revleg,revleg_mid))/2,0),ROUND((L5*M5*IF(B5="South Korea",korea_mid_revleg,revleg_mid)),0)))-(((battery/range_nm)*D5*IF(ABS(MOD(ABS((L5*M5*IF(B5="South Korea",korea_mid_revleg,revleg_mid))),1)-0.5)&lt;1E-9,2*ROUND((L5*M5*IF(B5="South Korea",korea_mid_revleg,revleg_mid))/2,0),ROUND((L5*M5*IF(B5="South Korea",korea_mid_revleg,revleg_mid)),0))*VLOOKUP(B5,country_opex,3,FALSE))+W5+X5+Y5+Z5+AA5)))</f>
        <v/>
      </c>
      <c r="AX5" s="45">
        <f>IF(((T5*pax_cap*load_full*IF(ABS(MOD(ABS((L5*M5*revleg_full)),1)-0.5)&lt;1E-9,2*ROUND((L5*M5*revleg_full)/2,0),ROUND((L5*M5*revleg_full),0)))-(((battery/range_nm)*D5*IF(ABS(MOD(ABS((L5*M5*revleg_full)),1)-0.5)&lt;1E-9,2*ROUND((L5*M5*revleg_full)/2,0),ROUND((L5*M5*revleg_full),0))*VLOOKUP(B5,country_opex,3,FALSE))+W5+X5+Y5+Z5+AA5))&lt;=0,"",VLOOKUP(B5,country_opex,7,FALSE)/((T5*pax_cap*load_full*IF(ABS(MOD(ABS((L5*M5*revleg_full)),1)-0.5)&lt;1E-9,2*ROUND((L5*M5*revleg_full)/2,0),ROUND((L5*M5*revleg_full),0)))-(((battery/range_nm)*D5*IF(ABS(MOD(ABS((L5*M5*revleg_full)),1)-0.5)&lt;1E-9,2*ROUND((L5*M5*revleg_full)/2,0),ROUND((L5*M5*revleg_full),0))*VLOOKUP(B5,country_opex,3,FALSE))+W5+X5+Y5+Z5+AA5)))</f>
        <v/>
      </c>
      <c r="AY5" s="46" t="n"/>
      <c r="AZ5" s="46" t="n"/>
      <c r="BA5" s="34" t="inlineStr">
        <is>
          <t>rn-3a67668a48a5</t>
        </is>
      </c>
    </row>
    <row r="6">
      <c r="A6" s="31" t="inlineStr">
        <is>
          <t>Indrive Brazil</t>
        </is>
      </c>
      <c r="B6" s="31" t="inlineStr">
        <is>
          <t>Brazil</t>
        </is>
      </c>
      <c r="C6" s="32" t="inlineStr">
        <is>
          <t>São Sebastião Ferry Terminal (Balsa) → Ilhabela Ferry Terminal (Barra Velha)</t>
        </is>
      </c>
      <c r="D6" s="33" t="n">
        <v>1.18</v>
      </c>
      <c r="E6" s="27" t="n">
        <v>15</v>
      </c>
      <c r="F6" s="34" t="inlineStr">
        <is>
          <t>T1</t>
        </is>
      </c>
      <c r="G6" s="34" t="inlineStr">
        <is>
          <t>high</t>
        </is>
      </c>
      <c r="H6" s="20" t="n">
        <v>1</v>
      </c>
      <c r="I6" s="35">
        <f>60*D6/cruise_kt</f>
        <v/>
      </c>
      <c r="J6" s="35">
        <f>IF(B6="South Korea",D6/korea_charge_range_nm*korea_full_range_charge_min,0)</f>
        <v/>
      </c>
      <c r="K6" s="35">
        <f>IF(B6="South Korea",I6+korea_turn_min+korea_dwell_min+J6,I6+turn_min+dwell_min)</f>
        <v/>
      </c>
      <c r="L6" s="36">
        <f>IF(B6="South Korea",FLOOR(60*korea_service_hr/K6,1),MIN(15,FLOOR(60*service_hr/K6,1)))</f>
        <v/>
      </c>
      <c r="M6" s="36">
        <f>IF(ABS(MOD(ABS((365*mech_uptime*H6)),1)-0.5)&lt;1E-9,2*ROUND((365*mech_uptime*H6)/2,0),ROUND((365*mech_uptime*H6),0))</f>
        <v/>
      </c>
      <c r="N6" s="37">
        <f>mech_uptime</f>
        <v/>
      </c>
      <c r="O6" s="37">
        <f>IF(AND(B6="South Korea",scenario="MID"),korea_mid_revleg,revleg_sel)</f>
        <v/>
      </c>
      <c r="P6" s="36">
        <f>IF(ABS(MOD(ABS((L6*M6*O6)),1)-0.5)&lt;1E-9,2*ROUND((L6*M6*O6)/2,0),ROUND((L6*M6*O6),0))</f>
        <v/>
      </c>
      <c r="Q6" s="37">
        <f>IF(AND(B6="South Korea",scenario="MID"),korea_mid_load,load_sel)</f>
        <v/>
      </c>
      <c r="R6" s="38">
        <f>pax_cap*Q6</f>
        <v/>
      </c>
      <c r="S6" s="36">
        <f>R6*P6</f>
        <v/>
      </c>
      <c r="T6" s="39">
        <f>E6*discount</f>
        <v/>
      </c>
      <c r="U6" s="40">
        <f>T6*S6</f>
        <v/>
      </c>
      <c r="V6" s="40">
        <f>(battery/range_nm)*D6*P6*VLOOKUP(B6,country_opex,3,FALSE)</f>
        <v/>
      </c>
      <c r="W6" s="40">
        <f>VLOOKUP(B6,country_opex,2,FALSE)*crew_factor</f>
        <v/>
      </c>
      <c r="X6" s="40">
        <f>VLOOKUP(B6,country_opex,5,FALSE)</f>
        <v/>
      </c>
      <c r="Y6" s="40">
        <f>maint</f>
        <v/>
      </c>
      <c r="Z6" s="40">
        <f>VLOOKUP(B6,country_opex,7,FALSE)*ins_pct</f>
        <v/>
      </c>
      <c r="AA6" s="40">
        <f>charge_berth</f>
        <v/>
      </c>
      <c r="AB6" s="40">
        <f>V6+W6+X6+Y6+Z6+AA6</f>
        <v/>
      </c>
      <c r="AC6" s="40">
        <f>VLOOKUP(B6,country_opex,7,FALSE)/dep_years</f>
        <v/>
      </c>
      <c r="AD6" s="40">
        <f>U6-AB6</f>
        <v/>
      </c>
      <c r="AE6" s="37">
        <f>IF(U6=0,"",AD6/U6)</f>
        <v/>
      </c>
      <c r="AF6" s="38">
        <f>IF(AD6&lt;=0,"",VLOOKUP(B6,country_opex,7,FALSE)/AD6)</f>
        <v/>
      </c>
      <c r="AG6" s="35">
        <f>((D6*P6/diesel_nmpg)*diesel_co2pg-(battery/range_nm)*D6*P6*VLOOKUP(B6,country_opex,4,FALSE))/1000</f>
        <v/>
      </c>
      <c r="AH6" s="33" t="n">
        <v>1493447</v>
      </c>
      <c r="AI6" s="34" t="inlineStr">
        <is>
          <t>T3 (modeled from T1 official inputs)</t>
        </is>
      </c>
      <c r="AJ6" s="34" t="inlineStr">
        <is>
          <t>med</t>
        </is>
      </c>
      <c r="AK6" s="41" t="n">
        <v>0.1</v>
      </c>
      <c r="AL6" s="36">
        <f>IF(AH6="","",AH6*AK6)</f>
        <v/>
      </c>
      <c r="AM6" s="36">
        <f>IF(OR(AH6="",S6=0),"",MIN(IF(AU6="",9.9E+99,AU6),FLOOR(AL6/S6,1)))</f>
        <v/>
      </c>
      <c r="AN6" s="40">
        <f>IF(AM6="","",AM6*IF(ABS(MOD(ABS((U6)),1)-0.5)&lt;1E-9,2*ROUND((U6)/2,0),ROUND((U6),0)))</f>
        <v/>
      </c>
      <c r="AO6" s="38">
        <f>IF(OR(AH6="",S6=0),"",MIN(IF(AU6="",9.9E+99,AU6),AL6/S6))</f>
        <v/>
      </c>
      <c r="AP6" s="40">
        <f>IF(AO6="","",AO6*IF(B6="South Korea",IF(ABS(MOD(ABS((U6)),1)-0.5)&lt;1E-9,2*ROUND((U6)/2,0),ROUND((U6),0)),U6))</f>
        <v/>
      </c>
      <c r="AQ6" s="42" t="n"/>
      <c r="AR6" s="34" t="inlineStr">
        <is>
          <t>Grounded</t>
        </is>
      </c>
      <c r="AS6" s="43" t="n"/>
      <c r="AT6" s="43" t="n"/>
      <c r="AU6" s="44" t="n"/>
      <c r="AV6" s="45">
        <f>IF(((T6*pax_cap*load_thin*IF(ABS(MOD(ABS((L6*M6*revleg_thin)),1)-0.5)&lt;1E-9,2*ROUND((L6*M6*revleg_thin)/2,0),ROUND((L6*M6*revleg_thin),0)))-(((battery/range_nm)*D6*IF(ABS(MOD(ABS((L6*M6*revleg_thin)),1)-0.5)&lt;1E-9,2*ROUND((L6*M6*revleg_thin)/2,0),ROUND((L6*M6*revleg_thin),0))*VLOOKUP(B6,country_opex,3,FALSE))+W6+X6+Y6+Z6+AA6))&lt;=0,"",VLOOKUP(B6,country_opex,7,FALSE)/((T6*pax_cap*load_thin*IF(ABS(MOD(ABS((L6*M6*revleg_thin)),1)-0.5)&lt;1E-9,2*ROUND((L6*M6*revleg_thin)/2,0),ROUND((L6*M6*revleg_thin),0)))-(((battery/range_nm)*D6*IF(ABS(MOD(ABS((L6*M6*revleg_thin)),1)-0.5)&lt;1E-9,2*ROUND((L6*M6*revleg_thin)/2,0),ROUND((L6*M6*revleg_thin),0))*VLOOKUP(B6,country_opex,3,FALSE))+W6+X6+Y6+Z6+AA6)))</f>
        <v/>
      </c>
      <c r="AW6" s="45">
        <f>IF(((T6*pax_cap*IF(B6="South Korea",korea_mid_load,load_mid)*IF(ABS(MOD(ABS((L6*M6*IF(B6="South Korea",korea_mid_revleg,revleg_mid))),1)-0.5)&lt;1E-9,2*ROUND((L6*M6*IF(B6="South Korea",korea_mid_revleg,revleg_mid))/2,0),ROUND((L6*M6*IF(B6="South Korea",korea_mid_revleg,revleg_mid)),0)))-(((battery/range_nm)*D6*IF(ABS(MOD(ABS((L6*M6*IF(B6="South Korea",korea_mid_revleg,revleg_mid))),1)-0.5)&lt;1E-9,2*ROUND((L6*M6*IF(B6="South Korea",korea_mid_revleg,revleg_mid))/2,0),ROUND((L6*M6*IF(B6="South Korea",korea_mid_revleg,revleg_mid)),0))*VLOOKUP(B6,country_opex,3,FALSE))+W6+X6+Y6+Z6+AA6))&lt;=0,"",VLOOKUP(B6,country_opex,7,FALSE)/((T6*pax_cap*IF(B6="South Korea",korea_mid_load,load_mid)*IF(ABS(MOD(ABS((L6*M6*IF(B6="South Korea",korea_mid_revleg,revleg_mid))),1)-0.5)&lt;1E-9,2*ROUND((L6*M6*IF(B6="South Korea",korea_mid_revleg,revleg_mid))/2,0),ROUND((L6*M6*IF(B6="South Korea",korea_mid_revleg,revleg_mid)),0)))-(((battery/range_nm)*D6*IF(ABS(MOD(ABS((L6*M6*IF(B6="South Korea",korea_mid_revleg,revleg_mid))),1)-0.5)&lt;1E-9,2*ROUND((L6*M6*IF(B6="South Korea",korea_mid_revleg,revleg_mid))/2,0),ROUND((L6*M6*IF(B6="South Korea",korea_mid_revleg,revleg_mid)),0))*VLOOKUP(B6,country_opex,3,FALSE))+W6+X6+Y6+Z6+AA6)))</f>
        <v/>
      </c>
      <c r="AX6" s="45">
        <f>IF(((T6*pax_cap*load_full*IF(ABS(MOD(ABS((L6*M6*revleg_full)),1)-0.5)&lt;1E-9,2*ROUND((L6*M6*revleg_full)/2,0),ROUND((L6*M6*revleg_full),0)))-(((battery/range_nm)*D6*IF(ABS(MOD(ABS((L6*M6*revleg_full)),1)-0.5)&lt;1E-9,2*ROUND((L6*M6*revleg_full)/2,0),ROUND((L6*M6*revleg_full),0))*VLOOKUP(B6,country_opex,3,FALSE))+W6+X6+Y6+Z6+AA6))&lt;=0,"",VLOOKUP(B6,country_opex,7,FALSE)/((T6*pax_cap*load_full*IF(ABS(MOD(ABS((L6*M6*revleg_full)),1)-0.5)&lt;1E-9,2*ROUND((L6*M6*revleg_full)/2,0),ROUND((L6*M6*revleg_full),0)))-(((battery/range_nm)*D6*IF(ABS(MOD(ABS((L6*M6*revleg_full)),1)-0.5)&lt;1E-9,2*ROUND((L6*M6*revleg_full)/2,0),ROUND((L6*M6*revleg_full),0))*VLOOKUP(B6,country_opex,3,FALSE))+W6+X6+Y6+Z6+AA6)))</f>
        <v/>
      </c>
      <c r="AY6" s="46" t="inlineStr">
        <is>
          <t>Prefeitura de Ilhabela Aquabus tariff + Jan-2025 decree</t>
        </is>
      </c>
      <c r="AZ6" s="46" t="inlineStr">
        <is>
          <t>Semil-SP official figures: H1-2024 system users 9,647,595 (8 litoral crossings); crossing share 15% of trips (Semil, Jul 2024); summer-operation mode split 593,073 ped+cyc of 1.15M users (15 Dec 2024–10 Mar 2025).</t>
        </is>
      </c>
      <c r="BA6" s="34" t="inlineStr">
        <is>
          <t>rn-1d1a798e7d82</t>
        </is>
      </c>
    </row>
    <row r="7">
      <c r="A7" s="31" t="inlineStr">
        <is>
          <t>Indrive Brazil</t>
        </is>
      </c>
      <c r="B7" s="31" t="inlineStr">
        <is>
          <t>Brazil</t>
        </is>
      </c>
      <c r="C7" s="32" t="inlineStr">
        <is>
          <t>Terminal Aquaviário Público de Pontal do Sul → Ilha do Mel — Trapiche de Encantadas</t>
        </is>
      </c>
      <c r="D7" s="33" t="n">
        <v>2.25</v>
      </c>
      <c r="E7" s="27" t="n">
        <v>12</v>
      </c>
      <c r="F7" s="34" t="n"/>
      <c r="G7" s="34" t="n"/>
      <c r="H7" s="20" t="n">
        <v>1</v>
      </c>
      <c r="I7" s="35">
        <f>60*D7/cruise_kt</f>
        <v/>
      </c>
      <c r="J7" s="35">
        <f>IF(B7="South Korea",D7/korea_charge_range_nm*korea_full_range_charge_min,0)</f>
        <v/>
      </c>
      <c r="K7" s="35">
        <f>IF(B7="South Korea",I7+korea_turn_min+korea_dwell_min+J7,I7+turn_min+dwell_min)</f>
        <v/>
      </c>
      <c r="L7" s="36">
        <f>IF(B7="South Korea",FLOOR(60*korea_service_hr/K7,1),MIN(15,FLOOR(60*service_hr/K7,1)))</f>
        <v/>
      </c>
      <c r="M7" s="36">
        <f>IF(ABS(MOD(ABS((365*mech_uptime*H7)),1)-0.5)&lt;1E-9,2*ROUND((365*mech_uptime*H7)/2,0),ROUND((365*mech_uptime*H7),0))</f>
        <v/>
      </c>
      <c r="N7" s="37">
        <f>mech_uptime</f>
        <v/>
      </c>
      <c r="O7" s="37">
        <f>IF(AND(B7="South Korea",scenario="MID"),korea_mid_revleg,revleg_sel)</f>
        <v/>
      </c>
      <c r="P7" s="36">
        <f>IF(ABS(MOD(ABS((L7*M7*O7)),1)-0.5)&lt;1E-9,2*ROUND((L7*M7*O7)/2,0),ROUND((L7*M7*O7),0))</f>
        <v/>
      </c>
      <c r="Q7" s="37">
        <f>IF(AND(B7="South Korea",scenario="MID"),korea_mid_load,load_sel)</f>
        <v/>
      </c>
      <c r="R7" s="38">
        <f>pax_cap*Q7</f>
        <v/>
      </c>
      <c r="S7" s="36">
        <f>R7*P7</f>
        <v/>
      </c>
      <c r="T7" s="39">
        <f>E7*discount</f>
        <v/>
      </c>
      <c r="U7" s="40">
        <f>T7*S7</f>
        <v/>
      </c>
      <c r="V7" s="40">
        <f>(battery/range_nm)*D7*P7*VLOOKUP(B7,country_opex,3,FALSE)</f>
        <v/>
      </c>
      <c r="W7" s="40">
        <f>VLOOKUP(B7,country_opex,2,FALSE)*crew_factor</f>
        <v/>
      </c>
      <c r="X7" s="40">
        <f>VLOOKUP(B7,country_opex,5,FALSE)</f>
        <v/>
      </c>
      <c r="Y7" s="40">
        <f>maint</f>
        <v/>
      </c>
      <c r="Z7" s="40">
        <f>VLOOKUP(B7,country_opex,7,FALSE)*ins_pct</f>
        <v/>
      </c>
      <c r="AA7" s="40">
        <f>charge_berth</f>
        <v/>
      </c>
      <c r="AB7" s="40">
        <f>V7+W7+X7+Y7+Z7+AA7</f>
        <v/>
      </c>
      <c r="AC7" s="40">
        <f>VLOOKUP(B7,country_opex,7,FALSE)/dep_years</f>
        <v/>
      </c>
      <c r="AD7" s="40">
        <f>U7-AB7</f>
        <v/>
      </c>
      <c r="AE7" s="37">
        <f>IF(U7=0,"",AD7/U7)</f>
        <v/>
      </c>
      <c r="AF7" s="38">
        <f>IF(AD7&lt;=0,"",VLOOKUP(B7,country_opex,7,FALSE)/AD7)</f>
        <v/>
      </c>
      <c r="AG7" s="35">
        <f>((D7*P7/diesel_nmpg)*diesel_co2pg-(battery/range_nm)*D7*P7*VLOOKUP(B7,country_opex,4,FALSE))/1000</f>
        <v/>
      </c>
      <c r="AH7" s="33" t="n"/>
      <c r="AI7" s="34" t="n"/>
      <c r="AJ7" s="34" t="n"/>
      <c r="AK7" s="41" t="n">
        <v>0.1</v>
      </c>
      <c r="AL7" s="36">
        <f>IF(AH7="","",AH7*AK7)</f>
        <v/>
      </c>
      <c r="AM7" s="36">
        <f>IF(OR(AH7="",S7=0),"",MIN(IF(AU7="",9.9E+99,AU7),FLOOR(AL7/S7,1)))</f>
        <v/>
      </c>
      <c r="AN7" s="40">
        <f>IF(AM7="","",AM7*IF(ABS(MOD(ABS((U7)),1)-0.5)&lt;1E-9,2*ROUND((U7)/2,0),ROUND((U7),0)))</f>
        <v/>
      </c>
      <c r="AO7" s="38">
        <f>IF(OR(AH7="",S7=0),"",MIN(IF(AU7="",9.9E+99,AU7),AL7/S7))</f>
        <v/>
      </c>
      <c r="AP7" s="40">
        <f>IF(AO7="","",AO7*IF(B7="South Korea",IF(ABS(MOD(ABS((U7)),1)-0.5)&lt;1E-9,2*ROUND((U7)/2,0),ROUND((U7),0)),U7))</f>
        <v/>
      </c>
      <c r="AQ7" s="42" t="n"/>
      <c r="AR7" s="34" t="inlineStr">
        <is>
          <t>Estimated</t>
        </is>
      </c>
      <c r="AS7" s="43" t="n"/>
      <c r="AT7" s="43" t="n"/>
      <c r="AU7" s="44" t="n"/>
      <c r="AV7" s="45">
        <f>IF(((T7*pax_cap*load_thin*IF(ABS(MOD(ABS((L7*M7*revleg_thin)),1)-0.5)&lt;1E-9,2*ROUND((L7*M7*revleg_thin)/2,0),ROUND((L7*M7*revleg_thin),0)))-(((battery/range_nm)*D7*IF(ABS(MOD(ABS((L7*M7*revleg_thin)),1)-0.5)&lt;1E-9,2*ROUND((L7*M7*revleg_thin)/2,0),ROUND((L7*M7*revleg_thin),0))*VLOOKUP(B7,country_opex,3,FALSE))+W7+X7+Y7+Z7+AA7))&lt;=0,"",VLOOKUP(B7,country_opex,7,FALSE)/((T7*pax_cap*load_thin*IF(ABS(MOD(ABS((L7*M7*revleg_thin)),1)-0.5)&lt;1E-9,2*ROUND((L7*M7*revleg_thin)/2,0),ROUND((L7*M7*revleg_thin),0)))-(((battery/range_nm)*D7*IF(ABS(MOD(ABS((L7*M7*revleg_thin)),1)-0.5)&lt;1E-9,2*ROUND((L7*M7*revleg_thin)/2,0),ROUND((L7*M7*revleg_thin),0))*VLOOKUP(B7,country_opex,3,FALSE))+W7+X7+Y7+Z7+AA7)))</f>
        <v/>
      </c>
      <c r="AW7" s="45">
        <f>IF(((T7*pax_cap*IF(B7="South Korea",korea_mid_load,load_mid)*IF(ABS(MOD(ABS((L7*M7*IF(B7="South Korea",korea_mid_revleg,revleg_mid))),1)-0.5)&lt;1E-9,2*ROUND((L7*M7*IF(B7="South Korea",korea_mid_revleg,revleg_mid))/2,0),ROUND((L7*M7*IF(B7="South Korea",korea_mid_revleg,revleg_mid)),0)))-(((battery/range_nm)*D7*IF(ABS(MOD(ABS((L7*M7*IF(B7="South Korea",korea_mid_revleg,revleg_mid))),1)-0.5)&lt;1E-9,2*ROUND((L7*M7*IF(B7="South Korea",korea_mid_revleg,revleg_mid))/2,0),ROUND((L7*M7*IF(B7="South Korea",korea_mid_revleg,revleg_mid)),0))*VLOOKUP(B7,country_opex,3,FALSE))+W7+X7+Y7+Z7+AA7))&lt;=0,"",VLOOKUP(B7,country_opex,7,FALSE)/((T7*pax_cap*IF(B7="South Korea",korea_mid_load,load_mid)*IF(ABS(MOD(ABS((L7*M7*IF(B7="South Korea",korea_mid_revleg,revleg_mid))),1)-0.5)&lt;1E-9,2*ROUND((L7*M7*IF(B7="South Korea",korea_mid_revleg,revleg_mid))/2,0),ROUND((L7*M7*IF(B7="South Korea",korea_mid_revleg,revleg_mid)),0)))-(((battery/range_nm)*D7*IF(ABS(MOD(ABS((L7*M7*IF(B7="South Korea",korea_mid_revleg,revleg_mid))),1)-0.5)&lt;1E-9,2*ROUND((L7*M7*IF(B7="South Korea",korea_mid_revleg,revleg_mid))/2,0),ROUND((L7*M7*IF(B7="South Korea",korea_mid_revleg,revleg_mid)),0))*VLOOKUP(B7,country_opex,3,FALSE))+W7+X7+Y7+Z7+AA7)))</f>
        <v/>
      </c>
      <c r="AX7" s="45">
        <f>IF(((T7*pax_cap*load_full*IF(ABS(MOD(ABS((L7*M7*revleg_full)),1)-0.5)&lt;1E-9,2*ROUND((L7*M7*revleg_full)/2,0),ROUND((L7*M7*revleg_full),0)))-(((battery/range_nm)*D7*IF(ABS(MOD(ABS((L7*M7*revleg_full)),1)-0.5)&lt;1E-9,2*ROUND((L7*M7*revleg_full)/2,0),ROUND((L7*M7*revleg_full),0))*VLOOKUP(B7,country_opex,3,FALSE))+W7+X7+Y7+Z7+AA7))&lt;=0,"",VLOOKUP(B7,country_opex,7,FALSE)/((T7*pax_cap*load_full*IF(ABS(MOD(ABS((L7*M7*revleg_full)),1)-0.5)&lt;1E-9,2*ROUND((L7*M7*revleg_full)/2,0),ROUND((L7*M7*revleg_full),0)))-(((battery/range_nm)*D7*IF(ABS(MOD(ABS((L7*M7*revleg_full)),1)-0.5)&lt;1E-9,2*ROUND((L7*M7*revleg_full)/2,0),ROUND((L7*M7*revleg_full),0))*VLOOKUP(B7,country_opex,3,FALSE))+W7+X7+Y7+Z7+AA7)))</f>
        <v/>
      </c>
      <c r="AY7" s="46" t="n"/>
      <c r="AZ7" s="46" t="n"/>
      <c r="BA7" s="34" t="inlineStr">
        <is>
          <t>rn-f405c4df3ed2</t>
        </is>
      </c>
    </row>
    <row r="8">
      <c r="A8" s="31" t="inlineStr">
        <is>
          <t>Indrive Brazil</t>
        </is>
      </c>
      <c r="B8" s="31" t="inlineStr">
        <is>
          <t>Brazil</t>
        </is>
      </c>
      <c r="C8" s="32" t="inlineStr">
        <is>
          <t>Praça XV Terminal (central Rio) → Arariboia Terminal (Niterói)</t>
        </is>
      </c>
      <c r="D8" s="33" t="n">
        <v>2.7</v>
      </c>
      <c r="E8" s="27" t="n">
        <v>28</v>
      </c>
      <c r="F8" s="34" t="inlineStr">
        <is>
          <t>T1/T2</t>
        </is>
      </c>
      <c r="G8" s="34" t="inlineStr">
        <is>
          <t>med-low</t>
        </is>
      </c>
      <c r="H8" s="20" t="n">
        <v>1</v>
      </c>
      <c r="I8" s="35">
        <f>60*D8/cruise_kt</f>
        <v/>
      </c>
      <c r="J8" s="35">
        <f>IF(B8="South Korea",D8/korea_charge_range_nm*korea_full_range_charge_min,0)</f>
        <v/>
      </c>
      <c r="K8" s="35">
        <f>IF(B8="South Korea",I8+korea_turn_min+korea_dwell_min+J8,I8+turn_min+dwell_min)</f>
        <v/>
      </c>
      <c r="L8" s="36">
        <f>IF(B8="South Korea",FLOOR(60*korea_service_hr/K8,1),MIN(15,FLOOR(60*service_hr/K8,1)))</f>
        <v/>
      </c>
      <c r="M8" s="36">
        <f>IF(ABS(MOD(ABS((365*mech_uptime*H8)),1)-0.5)&lt;1E-9,2*ROUND((365*mech_uptime*H8)/2,0),ROUND((365*mech_uptime*H8),0))</f>
        <v/>
      </c>
      <c r="N8" s="37">
        <f>mech_uptime</f>
        <v/>
      </c>
      <c r="O8" s="37">
        <f>IF(AND(B8="South Korea",scenario="MID"),korea_mid_revleg,revleg_sel)</f>
        <v/>
      </c>
      <c r="P8" s="36">
        <f>IF(ABS(MOD(ABS((L8*M8*O8)),1)-0.5)&lt;1E-9,2*ROUND((L8*M8*O8)/2,0),ROUND((L8*M8*O8),0))</f>
        <v/>
      </c>
      <c r="Q8" s="37">
        <f>IF(AND(B8="South Korea",scenario="MID"),korea_mid_load,load_sel)</f>
        <v/>
      </c>
      <c r="R8" s="38">
        <f>pax_cap*Q8</f>
        <v/>
      </c>
      <c r="S8" s="36">
        <f>R8*P8</f>
        <v/>
      </c>
      <c r="T8" s="39">
        <f>E8*discount</f>
        <v/>
      </c>
      <c r="U8" s="40">
        <f>T8*S8</f>
        <v/>
      </c>
      <c r="V8" s="40">
        <f>(battery/range_nm)*D8*P8*VLOOKUP(B8,country_opex,3,FALSE)</f>
        <v/>
      </c>
      <c r="W8" s="40">
        <f>VLOOKUP(B8,country_opex,2,FALSE)*crew_factor</f>
        <v/>
      </c>
      <c r="X8" s="40">
        <f>VLOOKUP(B8,country_opex,5,FALSE)</f>
        <v/>
      </c>
      <c r="Y8" s="40">
        <f>maint</f>
        <v/>
      </c>
      <c r="Z8" s="40">
        <f>VLOOKUP(B8,country_opex,7,FALSE)*ins_pct</f>
        <v/>
      </c>
      <c r="AA8" s="40">
        <f>charge_berth</f>
        <v/>
      </c>
      <c r="AB8" s="40">
        <f>V8+W8+X8+Y8+Z8+AA8</f>
        <v/>
      </c>
      <c r="AC8" s="40">
        <f>VLOOKUP(B8,country_opex,7,FALSE)/dep_years</f>
        <v/>
      </c>
      <c r="AD8" s="40">
        <f>U8-AB8</f>
        <v/>
      </c>
      <c r="AE8" s="37">
        <f>IF(U8=0,"",AD8/U8)</f>
        <v/>
      </c>
      <c r="AF8" s="38">
        <f>IF(AD8&lt;=0,"",VLOOKUP(B8,country_opex,7,FALSE)/AD8)</f>
        <v/>
      </c>
      <c r="AG8" s="35">
        <f>((D8*P8/diesel_nmpg)*diesel_co2pg-(battery/range_nm)*D8*P8*VLOOKUP(B8,country_opex,4,FALSE))/1000</f>
        <v/>
      </c>
      <c r="AH8" s="33" t="n">
        <v>10848719</v>
      </c>
      <c r="AI8" s="34" t="inlineStr">
        <is>
          <t>T1</t>
        </is>
      </c>
      <c r="AJ8" s="34" t="inlineStr">
        <is>
          <t>high</t>
        </is>
      </c>
      <c r="AK8" s="41" t="n">
        <v>0.1</v>
      </c>
      <c r="AL8" s="36">
        <f>IF(AH8="","",AH8*AK8)</f>
        <v/>
      </c>
      <c r="AM8" s="36">
        <f>IF(OR(AH8="",S8=0),"",MIN(IF(AU8="",9.9E+99,AU8),FLOOR(AL8/S8,1)))</f>
        <v/>
      </c>
      <c r="AN8" s="40">
        <f>IF(AM8="","",AM8*IF(ABS(MOD(ABS((U8)),1)-0.5)&lt;1E-9,2*ROUND((U8)/2,0),ROUND((U8),0)))</f>
        <v/>
      </c>
      <c r="AO8" s="38">
        <f>IF(OR(AH8="",S8=0),"",MIN(IF(AU8="",9.9E+99,AU8),AL8/S8))</f>
        <v/>
      </c>
      <c r="AP8" s="40">
        <f>IF(AO8="","",AO8*IF(B8="South Korea",IF(ABS(MOD(ABS((U8)),1)-0.5)&lt;1E-9,2*ROUND((U8)/2,0),ROUND((U8),0)),U8))</f>
        <v/>
      </c>
      <c r="AQ8" s="42" t="n"/>
      <c r="AR8" s="34" t="inlineStr">
        <is>
          <t>Grounded</t>
        </is>
      </c>
      <c r="AS8" s="43" t="n"/>
      <c r="AT8" s="43" t="n"/>
      <c r="AU8" s="44" t="n"/>
      <c r="AV8" s="45">
        <f>IF(((T8*pax_cap*load_thin*IF(ABS(MOD(ABS((L8*M8*revleg_thin)),1)-0.5)&lt;1E-9,2*ROUND((L8*M8*revleg_thin)/2,0),ROUND((L8*M8*revleg_thin),0)))-(((battery/range_nm)*D8*IF(ABS(MOD(ABS((L8*M8*revleg_thin)),1)-0.5)&lt;1E-9,2*ROUND((L8*M8*revleg_thin)/2,0),ROUND((L8*M8*revleg_thin),0))*VLOOKUP(B8,country_opex,3,FALSE))+W8+X8+Y8+Z8+AA8))&lt;=0,"",VLOOKUP(B8,country_opex,7,FALSE)/((T8*pax_cap*load_thin*IF(ABS(MOD(ABS((L8*M8*revleg_thin)),1)-0.5)&lt;1E-9,2*ROUND((L8*M8*revleg_thin)/2,0),ROUND((L8*M8*revleg_thin),0)))-(((battery/range_nm)*D8*IF(ABS(MOD(ABS((L8*M8*revleg_thin)),1)-0.5)&lt;1E-9,2*ROUND((L8*M8*revleg_thin)/2,0),ROUND((L8*M8*revleg_thin),0))*VLOOKUP(B8,country_opex,3,FALSE))+W8+X8+Y8+Z8+AA8)))</f>
        <v/>
      </c>
      <c r="AW8" s="45">
        <f>IF(((T8*pax_cap*IF(B8="South Korea",korea_mid_load,load_mid)*IF(ABS(MOD(ABS((L8*M8*IF(B8="South Korea",korea_mid_revleg,revleg_mid))),1)-0.5)&lt;1E-9,2*ROUND((L8*M8*IF(B8="South Korea",korea_mid_revleg,revleg_mid))/2,0),ROUND((L8*M8*IF(B8="South Korea",korea_mid_revleg,revleg_mid)),0)))-(((battery/range_nm)*D8*IF(ABS(MOD(ABS((L8*M8*IF(B8="South Korea",korea_mid_revleg,revleg_mid))),1)-0.5)&lt;1E-9,2*ROUND((L8*M8*IF(B8="South Korea",korea_mid_revleg,revleg_mid))/2,0),ROUND((L8*M8*IF(B8="South Korea",korea_mid_revleg,revleg_mid)),0))*VLOOKUP(B8,country_opex,3,FALSE))+W8+X8+Y8+Z8+AA8))&lt;=0,"",VLOOKUP(B8,country_opex,7,FALSE)/((T8*pax_cap*IF(B8="South Korea",korea_mid_load,load_mid)*IF(ABS(MOD(ABS((L8*M8*IF(B8="South Korea",korea_mid_revleg,revleg_mid))),1)-0.5)&lt;1E-9,2*ROUND((L8*M8*IF(B8="South Korea",korea_mid_revleg,revleg_mid))/2,0),ROUND((L8*M8*IF(B8="South Korea",korea_mid_revleg,revleg_mid)),0)))-(((battery/range_nm)*D8*IF(ABS(MOD(ABS((L8*M8*IF(B8="South Korea",korea_mid_revleg,revleg_mid))),1)-0.5)&lt;1E-9,2*ROUND((L8*M8*IF(B8="South Korea",korea_mid_revleg,revleg_mid))/2,0),ROUND((L8*M8*IF(B8="South Korea",korea_mid_revleg,revleg_mid)),0))*VLOOKUP(B8,country_opex,3,FALSE))+W8+X8+Y8+Z8+AA8)))</f>
        <v/>
      </c>
      <c r="AX8" s="45">
        <f>IF(((T8*pax_cap*load_full*IF(ABS(MOD(ABS((L8*M8*revleg_full)),1)-0.5)&lt;1E-9,2*ROUND((L8*M8*revleg_full)/2,0),ROUND((L8*M8*revleg_full),0)))-(((battery/range_nm)*D8*IF(ABS(MOD(ABS((L8*M8*revleg_full)),1)-0.5)&lt;1E-9,2*ROUND((L8*M8*revleg_full)/2,0),ROUND((L8*M8*revleg_full),0))*VLOOKUP(B8,country_opex,3,FALSE))+W8+X8+Y8+Z8+AA8))&lt;=0,"",VLOOKUP(B8,country_opex,7,FALSE)/((T8*pax_cap*load_full*IF(ABS(MOD(ABS((L8*M8*revleg_full)),1)-0.5)&lt;1E-9,2*ROUND((L8*M8*revleg_full)/2,0),ROUND((L8*M8*revleg_full),0)))-(((battery/range_nm)*D8*IF(ABS(MOD(ABS((L8*M8*revleg_full)),1)-0.5)&lt;1E-9,2*ROUND((L8*M8*revleg_full)/2,0),ROUND((L8*M8*revleg_full),0))*VLOOKUP(B8,country_opex,3,FALSE))+W8+X8+Y8+Z8+AA8)))</f>
        <v/>
      </c>
      <c r="AY8" s="46" t="inlineStr">
        <is>
          <t>https://barcasrio.com.br/linhas-horarios-e-tarifas/</t>
        </is>
      </c>
      <c r="AZ8" s="46" t="inlineStr">
        <is>
          <t>https://www2.agetransp.rj.gov.br/arquivos/operacao-servicos/relatorio-de-atividades/Relat%C3%B3rio%20Mensal%20de%20Atividades%20Janeiro%202024.pdf</t>
        </is>
      </c>
      <c r="BA8" s="34" t="inlineStr">
        <is>
          <t>rn-1886629dbf0c</t>
        </is>
      </c>
    </row>
    <row r="9">
      <c r="A9" s="31" t="inlineStr">
        <is>
          <t>Indrive Brazil</t>
        </is>
      </c>
      <c r="B9" s="31" t="inlineStr">
        <is>
          <t>Brazil</t>
        </is>
      </c>
      <c r="C9" s="32" t="inlineStr">
        <is>
          <t>Estação Governador Albuíno Azeredo (Aquaviário da Prainha, Vila Velha) → Estação Prefeito Setembrino Pelissari (Aquaviário da Praça do Papa, Vitória)</t>
        </is>
      </c>
      <c r="D9" s="33" t="n">
        <v>3.49</v>
      </c>
      <c r="E9" s="27" t="n">
        <v>20</v>
      </c>
      <c r="F9" s="34" t="inlineStr">
        <is>
          <t>T1</t>
        </is>
      </c>
      <c r="G9" s="34" t="inlineStr">
        <is>
          <t>high</t>
        </is>
      </c>
      <c r="H9" s="20" t="n">
        <v>1</v>
      </c>
      <c r="I9" s="35">
        <f>60*D9/cruise_kt</f>
        <v/>
      </c>
      <c r="J9" s="35">
        <f>IF(B9="South Korea",D9/korea_charge_range_nm*korea_full_range_charge_min,0)</f>
        <v/>
      </c>
      <c r="K9" s="35">
        <f>IF(B9="South Korea",I9+korea_turn_min+korea_dwell_min+J9,I9+turn_min+dwell_min)</f>
        <v/>
      </c>
      <c r="L9" s="36">
        <f>IF(B9="South Korea",FLOOR(60*korea_service_hr/K9,1),MIN(15,FLOOR(60*service_hr/K9,1)))</f>
        <v/>
      </c>
      <c r="M9" s="36">
        <f>IF(ABS(MOD(ABS((365*mech_uptime*H9)),1)-0.5)&lt;1E-9,2*ROUND((365*mech_uptime*H9)/2,0),ROUND((365*mech_uptime*H9),0))</f>
        <v/>
      </c>
      <c r="N9" s="37">
        <f>mech_uptime</f>
        <v/>
      </c>
      <c r="O9" s="37">
        <f>IF(AND(B9="South Korea",scenario="MID"),korea_mid_revleg,revleg_sel)</f>
        <v/>
      </c>
      <c r="P9" s="36">
        <f>IF(ABS(MOD(ABS((L9*M9*O9)),1)-0.5)&lt;1E-9,2*ROUND((L9*M9*O9)/2,0),ROUND((L9*M9*O9),0))</f>
        <v/>
      </c>
      <c r="Q9" s="37">
        <f>IF(AND(B9="South Korea",scenario="MID"),korea_mid_load,load_sel)</f>
        <v/>
      </c>
      <c r="R9" s="38">
        <f>pax_cap*Q9</f>
        <v/>
      </c>
      <c r="S9" s="36">
        <f>R9*P9</f>
        <v/>
      </c>
      <c r="T9" s="39">
        <f>E9*discount</f>
        <v/>
      </c>
      <c r="U9" s="40">
        <f>T9*S9</f>
        <v/>
      </c>
      <c r="V9" s="40">
        <f>(battery/range_nm)*D9*P9*VLOOKUP(B9,country_opex,3,FALSE)</f>
        <v/>
      </c>
      <c r="W9" s="40">
        <f>VLOOKUP(B9,country_opex,2,FALSE)*crew_factor</f>
        <v/>
      </c>
      <c r="X9" s="40">
        <f>VLOOKUP(B9,country_opex,5,FALSE)</f>
        <v/>
      </c>
      <c r="Y9" s="40">
        <f>maint</f>
        <v/>
      </c>
      <c r="Z9" s="40">
        <f>VLOOKUP(B9,country_opex,7,FALSE)*ins_pct</f>
        <v/>
      </c>
      <c r="AA9" s="40">
        <f>charge_berth</f>
        <v/>
      </c>
      <c r="AB9" s="40">
        <f>V9+W9+X9+Y9+Z9+AA9</f>
        <v/>
      </c>
      <c r="AC9" s="40">
        <f>VLOOKUP(B9,country_opex,7,FALSE)/dep_years</f>
        <v/>
      </c>
      <c r="AD9" s="40">
        <f>U9-AB9</f>
        <v/>
      </c>
      <c r="AE9" s="37">
        <f>IF(U9=0,"",AD9/U9)</f>
        <v/>
      </c>
      <c r="AF9" s="38">
        <f>IF(AD9&lt;=0,"",VLOOKUP(B9,country_opex,7,FALSE)/AD9)</f>
        <v/>
      </c>
      <c r="AG9" s="35">
        <f>((D9*P9/diesel_nmpg)*diesel_co2pg-(battery/range_nm)*D9*P9*VLOOKUP(B9,country_opex,4,FALSE))/1000</f>
        <v/>
      </c>
      <c r="AH9" s="33" t="n">
        <v>500000</v>
      </c>
      <c r="AI9" s="34" t="inlineStr">
        <is>
          <t>T1</t>
        </is>
      </c>
      <c r="AJ9" s="34" t="inlineStr">
        <is>
          <t>high</t>
        </is>
      </c>
      <c r="AK9" s="41" t="n">
        <v>0.1</v>
      </c>
      <c r="AL9" s="36">
        <f>IF(AH9="","",AH9*AK9)</f>
        <v/>
      </c>
      <c r="AM9" s="36">
        <f>IF(OR(AH9="",S9=0),"",MIN(IF(AU9="",9.9E+99,AU9),FLOOR(AL9/S9,1)))</f>
        <v/>
      </c>
      <c r="AN9" s="40">
        <f>IF(AM9="","",AM9*IF(ABS(MOD(ABS((U9)),1)-0.5)&lt;1E-9,2*ROUND((U9)/2,0),ROUND((U9),0)))</f>
        <v/>
      </c>
      <c r="AO9" s="38">
        <f>IF(OR(AH9="",S9=0),"",MIN(IF(AU9="",9.9E+99,AU9),AL9/S9))</f>
        <v/>
      </c>
      <c r="AP9" s="40">
        <f>IF(AO9="","",AO9*IF(B9="South Korea",IF(ABS(MOD(ABS((U9)),1)-0.5)&lt;1E-9,2*ROUND((U9)/2,0),ROUND((U9),0)),U9))</f>
        <v/>
      </c>
      <c r="AQ9" s="42" t="n"/>
      <c r="AR9" s="34" t="inlineStr">
        <is>
          <t>Grounded</t>
        </is>
      </c>
      <c r="AS9" s="43" t="n"/>
      <c r="AT9" s="43" t="n"/>
      <c r="AU9" s="44" t="n"/>
      <c r="AV9" s="45">
        <f>IF(((T9*pax_cap*load_thin*IF(ABS(MOD(ABS((L9*M9*revleg_thin)),1)-0.5)&lt;1E-9,2*ROUND((L9*M9*revleg_thin)/2,0),ROUND((L9*M9*revleg_thin),0)))-(((battery/range_nm)*D9*IF(ABS(MOD(ABS((L9*M9*revleg_thin)),1)-0.5)&lt;1E-9,2*ROUND((L9*M9*revleg_thin)/2,0),ROUND((L9*M9*revleg_thin),0))*VLOOKUP(B9,country_opex,3,FALSE))+W9+X9+Y9+Z9+AA9))&lt;=0,"",VLOOKUP(B9,country_opex,7,FALSE)/((T9*pax_cap*load_thin*IF(ABS(MOD(ABS((L9*M9*revleg_thin)),1)-0.5)&lt;1E-9,2*ROUND((L9*M9*revleg_thin)/2,0),ROUND((L9*M9*revleg_thin),0)))-(((battery/range_nm)*D9*IF(ABS(MOD(ABS((L9*M9*revleg_thin)),1)-0.5)&lt;1E-9,2*ROUND((L9*M9*revleg_thin)/2,0),ROUND((L9*M9*revleg_thin),0))*VLOOKUP(B9,country_opex,3,FALSE))+W9+X9+Y9+Z9+AA9)))</f>
        <v/>
      </c>
      <c r="AW9" s="45">
        <f>IF(((T9*pax_cap*IF(B9="South Korea",korea_mid_load,load_mid)*IF(ABS(MOD(ABS((L9*M9*IF(B9="South Korea",korea_mid_revleg,revleg_mid))),1)-0.5)&lt;1E-9,2*ROUND((L9*M9*IF(B9="South Korea",korea_mid_revleg,revleg_mid))/2,0),ROUND((L9*M9*IF(B9="South Korea",korea_mid_revleg,revleg_mid)),0)))-(((battery/range_nm)*D9*IF(ABS(MOD(ABS((L9*M9*IF(B9="South Korea",korea_mid_revleg,revleg_mid))),1)-0.5)&lt;1E-9,2*ROUND((L9*M9*IF(B9="South Korea",korea_mid_revleg,revleg_mid))/2,0),ROUND((L9*M9*IF(B9="South Korea",korea_mid_revleg,revleg_mid)),0))*VLOOKUP(B9,country_opex,3,FALSE))+W9+X9+Y9+Z9+AA9))&lt;=0,"",VLOOKUP(B9,country_opex,7,FALSE)/((T9*pax_cap*IF(B9="South Korea",korea_mid_load,load_mid)*IF(ABS(MOD(ABS((L9*M9*IF(B9="South Korea",korea_mid_revleg,revleg_mid))),1)-0.5)&lt;1E-9,2*ROUND((L9*M9*IF(B9="South Korea",korea_mid_revleg,revleg_mid))/2,0),ROUND((L9*M9*IF(B9="South Korea",korea_mid_revleg,revleg_mid)),0)))-(((battery/range_nm)*D9*IF(ABS(MOD(ABS((L9*M9*IF(B9="South Korea",korea_mid_revleg,revleg_mid))),1)-0.5)&lt;1E-9,2*ROUND((L9*M9*IF(B9="South Korea",korea_mid_revleg,revleg_mid))/2,0),ROUND((L9*M9*IF(B9="South Korea",korea_mid_revleg,revleg_mid)),0))*VLOOKUP(B9,country_opex,3,FALSE))+W9+X9+Y9+Z9+AA9)))</f>
        <v/>
      </c>
      <c r="AX9" s="45">
        <f>IF(((T9*pax_cap*load_full*IF(ABS(MOD(ABS((L9*M9*revleg_full)),1)-0.5)&lt;1E-9,2*ROUND((L9*M9*revleg_full)/2,0),ROUND((L9*M9*revleg_full),0)))-(((battery/range_nm)*D9*IF(ABS(MOD(ABS((L9*M9*revleg_full)),1)-0.5)&lt;1E-9,2*ROUND((L9*M9*revleg_full)/2,0),ROUND((L9*M9*revleg_full),0))*VLOOKUP(B9,country_opex,3,FALSE))+W9+X9+Y9+Z9+AA9))&lt;=0,"",VLOOKUP(B9,country_opex,7,FALSE)/((T9*pax_cap*load_full*IF(ABS(MOD(ABS((L9*M9*revleg_full)),1)-0.5)&lt;1E-9,2*ROUND((L9*M9*revleg_full)/2,0),ROUND((L9*M9*revleg_full),0)))-(((battery/range_nm)*D9*IF(ABS(MOD(ABS((L9*M9*revleg_full)),1)-0.5)&lt;1E-9,2*ROUND((L9*M9*revleg_full)/2,0),ROUND((L9*M9*revleg_full),0))*VLOOKUP(B9,country_opex,3,FALSE))+W9+X9+Y9+Z9+AA9)))</f>
        <v/>
      </c>
      <c r="AY9" s="46" t="inlineStr">
        <is>
          <t>CETURB-ES published tariff (R$5.10 ≈ US$1.01)</t>
        </is>
      </c>
      <c r="AZ9" s="46" t="inlineStr">
        <is>
          <t>SEMOBI official: 'Aquaviário comemora um ano de atividade com marca de 500 mil passageiros'; corroborated by SEP Mar-2026 (&gt;1.2M cumulative through Dec 2025 ⇒ ~500–550k/yr run-rate).</t>
        </is>
      </c>
      <c r="BA9" s="34" t="inlineStr">
        <is>
          <t>rn-1ff034e787c5</t>
        </is>
      </c>
    </row>
    <row r="10">
      <c r="A10" s="31" t="inlineStr">
        <is>
          <t>Indrive Brazil</t>
        </is>
      </c>
      <c r="B10" s="31" t="inlineStr">
        <is>
          <t>Brazil</t>
        </is>
      </c>
      <c r="C10" s="32" t="inlineStr">
        <is>
          <t>Terminal Aquaviário Público de Pontal do Sul → Ilha do Mel — Trapiche de Nova Brasília</t>
        </is>
      </c>
      <c r="D10" s="33" t="n">
        <v>3.82</v>
      </c>
      <c r="E10" s="27" t="n">
        <v>12</v>
      </c>
      <c r="F10" s="34" t="inlineStr">
        <is>
          <t>T1</t>
        </is>
      </c>
      <c r="G10" s="34" t="inlineStr">
        <is>
          <t>med</t>
        </is>
      </c>
      <c r="H10" s="20" t="n">
        <v>1</v>
      </c>
      <c r="I10" s="35">
        <f>60*D10/cruise_kt</f>
        <v/>
      </c>
      <c r="J10" s="35">
        <f>IF(B10="South Korea",D10/korea_charge_range_nm*korea_full_range_charge_min,0)</f>
        <v/>
      </c>
      <c r="K10" s="35">
        <f>IF(B10="South Korea",I10+korea_turn_min+korea_dwell_min+J10,I10+turn_min+dwell_min)</f>
        <v/>
      </c>
      <c r="L10" s="36">
        <f>IF(B10="South Korea",FLOOR(60*korea_service_hr/K10,1),MIN(15,FLOOR(60*service_hr/K10,1)))</f>
        <v/>
      </c>
      <c r="M10" s="36">
        <f>IF(ABS(MOD(ABS((365*mech_uptime*H10)),1)-0.5)&lt;1E-9,2*ROUND((365*mech_uptime*H10)/2,0),ROUND((365*mech_uptime*H10),0))</f>
        <v/>
      </c>
      <c r="N10" s="37">
        <f>mech_uptime</f>
        <v/>
      </c>
      <c r="O10" s="37">
        <f>IF(AND(B10="South Korea",scenario="MID"),korea_mid_revleg,revleg_sel)</f>
        <v/>
      </c>
      <c r="P10" s="36">
        <f>IF(ABS(MOD(ABS((L10*M10*O10)),1)-0.5)&lt;1E-9,2*ROUND((L10*M10*O10)/2,0),ROUND((L10*M10*O10),0))</f>
        <v/>
      </c>
      <c r="Q10" s="37">
        <f>IF(AND(B10="South Korea",scenario="MID"),korea_mid_load,load_sel)</f>
        <v/>
      </c>
      <c r="R10" s="38">
        <f>pax_cap*Q10</f>
        <v/>
      </c>
      <c r="S10" s="36">
        <f>R10*P10</f>
        <v/>
      </c>
      <c r="T10" s="39">
        <f>E10*discount</f>
        <v/>
      </c>
      <c r="U10" s="40">
        <f>T10*S10</f>
        <v/>
      </c>
      <c r="V10" s="40">
        <f>(battery/range_nm)*D10*P10*VLOOKUP(B10,country_opex,3,FALSE)</f>
        <v/>
      </c>
      <c r="W10" s="40">
        <f>VLOOKUP(B10,country_opex,2,FALSE)*crew_factor</f>
        <v/>
      </c>
      <c r="X10" s="40">
        <f>VLOOKUP(B10,country_opex,5,FALSE)</f>
        <v/>
      </c>
      <c r="Y10" s="40">
        <f>maint</f>
        <v/>
      </c>
      <c r="Z10" s="40">
        <f>VLOOKUP(B10,country_opex,7,FALSE)*ins_pct</f>
        <v/>
      </c>
      <c r="AA10" s="40">
        <f>charge_berth</f>
        <v/>
      </c>
      <c r="AB10" s="40">
        <f>V10+W10+X10+Y10+Z10+AA10</f>
        <v/>
      </c>
      <c r="AC10" s="40">
        <f>VLOOKUP(B10,country_opex,7,FALSE)/dep_years</f>
        <v/>
      </c>
      <c r="AD10" s="40">
        <f>U10-AB10</f>
        <v/>
      </c>
      <c r="AE10" s="37">
        <f>IF(U10=0,"",AD10/U10)</f>
        <v/>
      </c>
      <c r="AF10" s="38">
        <f>IF(AD10&lt;=0,"",VLOOKUP(B10,country_opex,7,FALSE)/AD10)</f>
        <v/>
      </c>
      <c r="AG10" s="35">
        <f>((D10*P10/diesel_nmpg)*diesel_co2pg-(battery/range_nm)*D10*P10*VLOOKUP(B10,country_opex,4,FALSE))/1000</f>
        <v/>
      </c>
      <c r="AH10" s="33" t="n">
        <v>383162</v>
      </c>
      <c r="AI10" s="34" t="inlineStr">
        <is>
          <t>T1/T2</t>
        </is>
      </c>
      <c r="AJ10" s="34" t="inlineStr">
        <is>
          <t>med-high</t>
        </is>
      </c>
      <c r="AK10" s="41" t="n">
        <v>0.1</v>
      </c>
      <c r="AL10" s="36">
        <f>IF(AH10="","",AH10*AK10)</f>
        <v/>
      </c>
      <c r="AM10" s="36">
        <f>IF(OR(AH10="",S10=0),"",MIN(IF(AU10="",9.9E+99,AU10),FLOOR(AL10/S10,1)))</f>
        <v/>
      </c>
      <c r="AN10" s="40">
        <f>IF(AM10="","",AM10*IF(ABS(MOD(ABS((U10)),1)-0.5)&lt;1E-9,2*ROUND((U10)/2,0),ROUND((U10),0)))</f>
        <v/>
      </c>
      <c r="AO10" s="38">
        <f>IF(OR(AH10="",S10=0),"",MIN(IF(AU10="",9.9E+99,AU10),AL10/S10))</f>
        <v/>
      </c>
      <c r="AP10" s="40">
        <f>IF(AO10="","",AO10*IF(B10="South Korea",IF(ABS(MOD(ABS((U10)),1)-0.5)&lt;1E-9,2*ROUND((U10)/2,0),ROUND((U10),0)),U10))</f>
        <v/>
      </c>
      <c r="AQ10" s="42" t="n"/>
      <c r="AR10" s="34" t="inlineStr">
        <is>
          <t>Grounded</t>
        </is>
      </c>
      <c r="AS10" s="43" t="n"/>
      <c r="AT10" s="43" t="n"/>
      <c r="AU10" s="44" t="n"/>
      <c r="AV10" s="45">
        <f>IF(((T10*pax_cap*load_thin*IF(ABS(MOD(ABS((L10*M10*revleg_thin)),1)-0.5)&lt;1E-9,2*ROUND((L10*M10*revleg_thin)/2,0),ROUND((L10*M10*revleg_thin),0)))-(((battery/range_nm)*D10*IF(ABS(MOD(ABS((L10*M10*revleg_thin)),1)-0.5)&lt;1E-9,2*ROUND((L10*M10*revleg_thin)/2,0),ROUND((L10*M10*revleg_thin),0))*VLOOKUP(B10,country_opex,3,FALSE))+W10+X10+Y10+Z10+AA10))&lt;=0,"",VLOOKUP(B10,country_opex,7,FALSE)/((T10*pax_cap*load_thin*IF(ABS(MOD(ABS((L10*M10*revleg_thin)),1)-0.5)&lt;1E-9,2*ROUND((L10*M10*revleg_thin)/2,0),ROUND((L10*M10*revleg_thin),0)))-(((battery/range_nm)*D10*IF(ABS(MOD(ABS((L10*M10*revleg_thin)),1)-0.5)&lt;1E-9,2*ROUND((L10*M10*revleg_thin)/2,0),ROUND((L10*M10*revleg_thin),0))*VLOOKUP(B10,country_opex,3,FALSE))+W10+X10+Y10+Z10+AA10)))</f>
        <v/>
      </c>
      <c r="AW10" s="45">
        <f>IF(((T10*pax_cap*IF(B10="South Korea",korea_mid_load,load_mid)*IF(ABS(MOD(ABS((L10*M10*IF(B10="South Korea",korea_mid_revleg,revleg_mid))),1)-0.5)&lt;1E-9,2*ROUND((L10*M10*IF(B10="South Korea",korea_mid_revleg,revleg_mid))/2,0),ROUND((L10*M10*IF(B10="South Korea",korea_mid_revleg,revleg_mid)),0)))-(((battery/range_nm)*D10*IF(ABS(MOD(ABS((L10*M10*IF(B10="South Korea",korea_mid_revleg,revleg_mid))),1)-0.5)&lt;1E-9,2*ROUND((L10*M10*IF(B10="South Korea",korea_mid_revleg,revleg_mid))/2,0),ROUND((L10*M10*IF(B10="South Korea",korea_mid_revleg,revleg_mid)),0))*VLOOKUP(B10,country_opex,3,FALSE))+W10+X10+Y10+Z10+AA10))&lt;=0,"",VLOOKUP(B10,country_opex,7,FALSE)/((T10*pax_cap*IF(B10="South Korea",korea_mid_load,load_mid)*IF(ABS(MOD(ABS((L10*M10*IF(B10="South Korea",korea_mid_revleg,revleg_mid))),1)-0.5)&lt;1E-9,2*ROUND((L10*M10*IF(B10="South Korea",korea_mid_revleg,revleg_mid))/2,0),ROUND((L10*M10*IF(B10="South Korea",korea_mid_revleg,revleg_mid)),0)))-(((battery/range_nm)*D10*IF(ABS(MOD(ABS((L10*M10*IF(B10="South Korea",korea_mid_revleg,revleg_mid))),1)-0.5)&lt;1E-9,2*ROUND((L10*M10*IF(B10="South Korea",korea_mid_revleg,revleg_mid))/2,0),ROUND((L10*M10*IF(B10="South Korea",korea_mid_revleg,revleg_mid)),0))*VLOOKUP(B10,country_opex,3,FALSE))+W10+X10+Y10+Z10+AA10)))</f>
        <v/>
      </c>
      <c r="AX10" s="45">
        <f>IF(((T10*pax_cap*load_full*IF(ABS(MOD(ABS((L10*M10*revleg_full)),1)-0.5)&lt;1E-9,2*ROUND((L10*M10*revleg_full)/2,0),ROUND((L10*M10*revleg_full),0)))-(((battery/range_nm)*D10*IF(ABS(MOD(ABS((L10*M10*revleg_full)),1)-0.5)&lt;1E-9,2*ROUND((L10*M10*revleg_full)/2,0),ROUND((L10*M10*revleg_full),0))*VLOOKUP(B10,country_opex,3,FALSE))+W10+X10+Y10+Z10+AA10))&lt;=0,"",VLOOKUP(B10,country_opex,7,FALSE)/((T10*pax_cap*load_full*IF(ABS(MOD(ABS((L10*M10*revleg_full)),1)-0.5)&lt;1E-9,2*ROUND((L10*M10*revleg_full)/2,0),ROUND((L10*M10*revleg_full),0)))-(((battery/range_nm)*D10*IF(ABS(MOD(ABS((L10*M10*revleg_full)),1)-0.5)&lt;1E-9,2*ROUND((L10*M10*revleg_full)/2,0),ROUND((L10*M10*revleg_full),0))*VLOOKUP(B10,country_opex,3,FALSE))+W10+X10+Y10+Z10+AA10)))</f>
        <v/>
      </c>
      <c r="AY10" s="46" t="inlineStr">
        <is>
          <t>AGEPAR homologated tariff table (Mar 2023); 2025/26 season market pricing</t>
        </is>
      </c>
      <c r="AZ10" s="46" t="inlineStr">
        <is>
          <t>Abaline (official crossing operators' association) via Gazeta do Povo; corroborated by IAT park visitation 247,020 (2025, most-visited state park in Paraná; +21% vs 2024).</t>
        </is>
      </c>
      <c r="BA10" s="34" t="inlineStr">
        <is>
          <t>rn-d0bee9173524</t>
        </is>
      </c>
    </row>
    <row r="11">
      <c r="A11" s="31" t="inlineStr">
        <is>
          <t>Indrive Brazil</t>
        </is>
      </c>
      <c r="B11" s="31" t="inlineStr">
        <is>
          <t>Brazil</t>
        </is>
      </c>
      <c r="C11" s="32" t="inlineStr">
        <is>
          <t>Terminal Turístico Náutico da Bahia (Comércio) → Terminal Marítimo de Mar Grande (Vera Cruz)</t>
        </is>
      </c>
      <c r="D11" s="33" t="n">
        <v>4.14</v>
      </c>
      <c r="E11" s="27" t="n">
        <v>15</v>
      </c>
      <c r="F11" s="34" t="n"/>
      <c r="G11" s="34" t="n"/>
      <c r="H11" s="20" t="n">
        <v>1</v>
      </c>
      <c r="I11" s="35">
        <f>60*D11/cruise_kt</f>
        <v/>
      </c>
      <c r="J11" s="35">
        <f>IF(B11="South Korea",D11/korea_charge_range_nm*korea_full_range_charge_min,0)</f>
        <v/>
      </c>
      <c r="K11" s="35">
        <f>IF(B11="South Korea",I11+korea_turn_min+korea_dwell_min+J11,I11+turn_min+dwell_min)</f>
        <v/>
      </c>
      <c r="L11" s="36">
        <f>IF(B11="South Korea",FLOOR(60*korea_service_hr/K11,1),MIN(15,FLOOR(60*service_hr/K11,1)))</f>
        <v/>
      </c>
      <c r="M11" s="36">
        <f>IF(ABS(MOD(ABS((365*mech_uptime*H11)),1)-0.5)&lt;1E-9,2*ROUND((365*mech_uptime*H11)/2,0),ROUND((365*mech_uptime*H11),0))</f>
        <v/>
      </c>
      <c r="N11" s="37">
        <f>mech_uptime</f>
        <v/>
      </c>
      <c r="O11" s="37">
        <f>IF(AND(B11="South Korea",scenario="MID"),korea_mid_revleg,revleg_sel)</f>
        <v/>
      </c>
      <c r="P11" s="36">
        <f>IF(ABS(MOD(ABS((L11*M11*O11)),1)-0.5)&lt;1E-9,2*ROUND((L11*M11*O11)/2,0),ROUND((L11*M11*O11),0))</f>
        <v/>
      </c>
      <c r="Q11" s="37">
        <f>IF(AND(B11="South Korea",scenario="MID"),korea_mid_load,load_sel)</f>
        <v/>
      </c>
      <c r="R11" s="38">
        <f>pax_cap*Q11</f>
        <v/>
      </c>
      <c r="S11" s="36">
        <f>R11*P11</f>
        <v/>
      </c>
      <c r="T11" s="39">
        <f>E11*discount</f>
        <v/>
      </c>
      <c r="U11" s="40">
        <f>T11*S11</f>
        <v/>
      </c>
      <c r="V11" s="40">
        <f>(battery/range_nm)*D11*P11*VLOOKUP(B11,country_opex,3,FALSE)</f>
        <v/>
      </c>
      <c r="W11" s="40">
        <f>VLOOKUP(B11,country_opex,2,FALSE)*crew_factor</f>
        <v/>
      </c>
      <c r="X11" s="40">
        <f>VLOOKUP(B11,country_opex,5,FALSE)</f>
        <v/>
      </c>
      <c r="Y11" s="40">
        <f>maint</f>
        <v/>
      </c>
      <c r="Z11" s="40">
        <f>VLOOKUP(B11,country_opex,7,FALSE)*ins_pct</f>
        <v/>
      </c>
      <c r="AA11" s="40">
        <f>charge_berth</f>
        <v/>
      </c>
      <c r="AB11" s="40">
        <f>V11+W11+X11+Y11+Z11+AA11</f>
        <v/>
      </c>
      <c r="AC11" s="40">
        <f>VLOOKUP(B11,country_opex,7,FALSE)/dep_years</f>
        <v/>
      </c>
      <c r="AD11" s="40">
        <f>U11-AB11</f>
        <v/>
      </c>
      <c r="AE11" s="37">
        <f>IF(U11=0,"",AD11/U11)</f>
        <v/>
      </c>
      <c r="AF11" s="38">
        <f>IF(AD11&lt;=0,"",VLOOKUP(B11,country_opex,7,FALSE)/AD11)</f>
        <v/>
      </c>
      <c r="AG11" s="35">
        <f>((D11*P11/diesel_nmpg)*diesel_co2pg-(battery/range_nm)*D11*P11*VLOOKUP(B11,country_opex,4,FALSE))/1000</f>
        <v/>
      </c>
      <c r="AH11" s="33" t="n"/>
      <c r="AI11" s="34" t="n"/>
      <c r="AJ11" s="34" t="n"/>
      <c r="AK11" s="41" t="n">
        <v>0.1</v>
      </c>
      <c r="AL11" s="36">
        <f>IF(AH11="","",AH11*AK11)</f>
        <v/>
      </c>
      <c r="AM11" s="36">
        <f>IF(OR(AH11="",S11=0),"",MIN(IF(AU11="",9.9E+99,AU11),FLOOR(AL11/S11,1)))</f>
        <v/>
      </c>
      <c r="AN11" s="40">
        <f>IF(AM11="","",AM11*IF(ABS(MOD(ABS((U11)),1)-0.5)&lt;1E-9,2*ROUND((U11)/2,0),ROUND((U11),0)))</f>
        <v/>
      </c>
      <c r="AO11" s="38">
        <f>IF(OR(AH11="",S11=0),"",MIN(IF(AU11="",9.9E+99,AU11),AL11/S11))</f>
        <v/>
      </c>
      <c r="AP11" s="40">
        <f>IF(AO11="","",AO11*IF(B11="South Korea",IF(ABS(MOD(ABS((U11)),1)-0.5)&lt;1E-9,2*ROUND((U11)/2,0),ROUND((U11),0)),U11))</f>
        <v/>
      </c>
      <c r="AQ11" s="42" t="n"/>
      <c r="AR11" s="34" t="inlineStr">
        <is>
          <t>Estimated</t>
        </is>
      </c>
      <c r="AS11" s="43" t="n"/>
      <c r="AT11" s="43" t="n"/>
      <c r="AU11" s="44" t="n"/>
      <c r="AV11" s="45">
        <f>IF(((T11*pax_cap*load_thin*IF(ABS(MOD(ABS((L11*M11*revleg_thin)),1)-0.5)&lt;1E-9,2*ROUND((L11*M11*revleg_thin)/2,0),ROUND((L11*M11*revleg_thin),0)))-(((battery/range_nm)*D11*IF(ABS(MOD(ABS((L11*M11*revleg_thin)),1)-0.5)&lt;1E-9,2*ROUND((L11*M11*revleg_thin)/2,0),ROUND((L11*M11*revleg_thin),0))*VLOOKUP(B11,country_opex,3,FALSE))+W11+X11+Y11+Z11+AA11))&lt;=0,"",VLOOKUP(B11,country_opex,7,FALSE)/((T11*pax_cap*load_thin*IF(ABS(MOD(ABS((L11*M11*revleg_thin)),1)-0.5)&lt;1E-9,2*ROUND((L11*M11*revleg_thin)/2,0),ROUND((L11*M11*revleg_thin),0)))-(((battery/range_nm)*D11*IF(ABS(MOD(ABS((L11*M11*revleg_thin)),1)-0.5)&lt;1E-9,2*ROUND((L11*M11*revleg_thin)/2,0),ROUND((L11*M11*revleg_thin),0))*VLOOKUP(B11,country_opex,3,FALSE))+W11+X11+Y11+Z11+AA11)))</f>
        <v/>
      </c>
      <c r="AW11" s="45">
        <f>IF(((T11*pax_cap*IF(B11="South Korea",korea_mid_load,load_mid)*IF(ABS(MOD(ABS((L11*M11*IF(B11="South Korea",korea_mid_revleg,revleg_mid))),1)-0.5)&lt;1E-9,2*ROUND((L11*M11*IF(B11="South Korea",korea_mid_revleg,revleg_mid))/2,0),ROUND((L11*M11*IF(B11="South Korea",korea_mid_revleg,revleg_mid)),0)))-(((battery/range_nm)*D11*IF(ABS(MOD(ABS((L11*M11*IF(B11="South Korea",korea_mid_revleg,revleg_mid))),1)-0.5)&lt;1E-9,2*ROUND((L11*M11*IF(B11="South Korea",korea_mid_revleg,revleg_mid))/2,0),ROUND((L11*M11*IF(B11="South Korea",korea_mid_revleg,revleg_mid)),0))*VLOOKUP(B11,country_opex,3,FALSE))+W11+X11+Y11+Z11+AA11))&lt;=0,"",VLOOKUP(B11,country_opex,7,FALSE)/((T11*pax_cap*IF(B11="South Korea",korea_mid_load,load_mid)*IF(ABS(MOD(ABS((L11*M11*IF(B11="South Korea",korea_mid_revleg,revleg_mid))),1)-0.5)&lt;1E-9,2*ROUND((L11*M11*IF(B11="South Korea",korea_mid_revleg,revleg_mid))/2,0),ROUND((L11*M11*IF(B11="South Korea",korea_mid_revleg,revleg_mid)),0)))-(((battery/range_nm)*D11*IF(ABS(MOD(ABS((L11*M11*IF(B11="South Korea",korea_mid_revleg,revleg_mid))),1)-0.5)&lt;1E-9,2*ROUND((L11*M11*IF(B11="South Korea",korea_mid_revleg,revleg_mid))/2,0),ROUND((L11*M11*IF(B11="South Korea",korea_mid_revleg,revleg_mid)),0))*VLOOKUP(B11,country_opex,3,FALSE))+W11+X11+Y11+Z11+AA11)))</f>
        <v/>
      </c>
      <c r="AX11" s="45">
        <f>IF(((T11*pax_cap*load_full*IF(ABS(MOD(ABS((L11*M11*revleg_full)),1)-0.5)&lt;1E-9,2*ROUND((L11*M11*revleg_full)/2,0),ROUND((L11*M11*revleg_full),0)))-(((battery/range_nm)*D11*IF(ABS(MOD(ABS((L11*M11*revleg_full)),1)-0.5)&lt;1E-9,2*ROUND((L11*M11*revleg_full)/2,0),ROUND((L11*M11*revleg_full),0))*VLOOKUP(B11,country_opex,3,FALSE))+W11+X11+Y11+Z11+AA11))&lt;=0,"",VLOOKUP(B11,country_opex,7,FALSE)/((T11*pax_cap*load_full*IF(ABS(MOD(ABS((L11*M11*revleg_full)),1)-0.5)&lt;1E-9,2*ROUND((L11*M11*revleg_full)/2,0),ROUND((L11*M11*revleg_full),0)))-(((battery/range_nm)*D11*IF(ABS(MOD(ABS((L11*M11*revleg_full)),1)-0.5)&lt;1E-9,2*ROUND((L11*M11*revleg_full)/2,0),ROUND((L11*M11*revleg_full),0))*VLOOKUP(B11,country_opex,3,FALSE))+W11+X11+Y11+Z11+AA11)))</f>
        <v/>
      </c>
      <c r="AY11" s="46" t="n"/>
      <c r="AZ11" s="46" t="n"/>
      <c r="BA11" s="34" t="inlineStr">
        <is>
          <t>rn-c6d5aa38e4dc</t>
        </is>
      </c>
    </row>
    <row r="12">
      <c r="A12" s="31" t="inlineStr">
        <is>
          <t>Indrive Brazil</t>
        </is>
      </c>
      <c r="B12" s="31" t="inlineStr">
        <is>
          <t>Brazil</t>
        </is>
      </c>
      <c r="C12" s="32" t="inlineStr">
        <is>
          <t>Praça XV Terminal (central Rio) → Charitas Terminal (Niterói, fast catamaran)</t>
        </is>
      </c>
      <c r="D12" s="33" t="n">
        <v>4.4</v>
      </c>
      <c r="E12" s="27" t="n">
        <v>28</v>
      </c>
      <c r="F12" s="34" t="inlineStr">
        <is>
          <t>T1/T2</t>
        </is>
      </c>
      <c r="G12" s="34" t="inlineStr">
        <is>
          <t>med-low</t>
        </is>
      </c>
      <c r="H12" s="20" t="n">
        <v>1</v>
      </c>
      <c r="I12" s="35">
        <f>60*D12/cruise_kt</f>
        <v/>
      </c>
      <c r="J12" s="35">
        <f>IF(B12="South Korea",D12/korea_charge_range_nm*korea_full_range_charge_min,0)</f>
        <v/>
      </c>
      <c r="K12" s="35">
        <f>IF(B12="South Korea",I12+korea_turn_min+korea_dwell_min+J12,I12+turn_min+dwell_min)</f>
        <v/>
      </c>
      <c r="L12" s="36">
        <f>IF(B12="South Korea",FLOOR(60*korea_service_hr/K12,1),MIN(15,FLOOR(60*service_hr/K12,1)))</f>
        <v/>
      </c>
      <c r="M12" s="36">
        <f>IF(ABS(MOD(ABS((365*mech_uptime*H12)),1)-0.5)&lt;1E-9,2*ROUND((365*mech_uptime*H12)/2,0),ROUND((365*mech_uptime*H12),0))</f>
        <v/>
      </c>
      <c r="N12" s="37">
        <f>mech_uptime</f>
        <v/>
      </c>
      <c r="O12" s="37">
        <f>IF(AND(B12="South Korea",scenario="MID"),korea_mid_revleg,revleg_sel)</f>
        <v/>
      </c>
      <c r="P12" s="36">
        <f>IF(ABS(MOD(ABS((L12*M12*O12)),1)-0.5)&lt;1E-9,2*ROUND((L12*M12*O12)/2,0),ROUND((L12*M12*O12),0))</f>
        <v/>
      </c>
      <c r="Q12" s="37">
        <f>IF(AND(B12="South Korea",scenario="MID"),korea_mid_load,load_sel)</f>
        <v/>
      </c>
      <c r="R12" s="38">
        <f>pax_cap*Q12</f>
        <v/>
      </c>
      <c r="S12" s="36">
        <f>R12*P12</f>
        <v/>
      </c>
      <c r="T12" s="39">
        <f>E12*discount</f>
        <v/>
      </c>
      <c r="U12" s="40">
        <f>T12*S12</f>
        <v/>
      </c>
      <c r="V12" s="40">
        <f>(battery/range_nm)*D12*P12*VLOOKUP(B12,country_opex,3,FALSE)</f>
        <v/>
      </c>
      <c r="W12" s="40">
        <f>VLOOKUP(B12,country_opex,2,FALSE)*crew_factor</f>
        <v/>
      </c>
      <c r="X12" s="40">
        <f>VLOOKUP(B12,country_opex,5,FALSE)</f>
        <v/>
      </c>
      <c r="Y12" s="40">
        <f>maint</f>
        <v/>
      </c>
      <c r="Z12" s="40">
        <f>VLOOKUP(B12,country_opex,7,FALSE)*ins_pct</f>
        <v/>
      </c>
      <c r="AA12" s="40">
        <f>charge_berth</f>
        <v/>
      </c>
      <c r="AB12" s="40">
        <f>V12+W12+X12+Y12+Z12+AA12</f>
        <v/>
      </c>
      <c r="AC12" s="40">
        <f>VLOOKUP(B12,country_opex,7,FALSE)/dep_years</f>
        <v/>
      </c>
      <c r="AD12" s="40">
        <f>U12-AB12</f>
        <v/>
      </c>
      <c r="AE12" s="37">
        <f>IF(U12=0,"",AD12/U12)</f>
        <v/>
      </c>
      <c r="AF12" s="38">
        <f>IF(AD12&lt;=0,"",VLOOKUP(B12,country_opex,7,FALSE)/AD12)</f>
        <v/>
      </c>
      <c r="AG12" s="35">
        <f>((D12*P12/diesel_nmpg)*diesel_co2pg-(battery/range_nm)*D12*P12*VLOOKUP(B12,country_opex,4,FALSE))/1000</f>
        <v/>
      </c>
      <c r="AH12" s="33" t="n">
        <v>825637</v>
      </c>
      <c r="AI12" s="34" t="inlineStr">
        <is>
          <t>T1</t>
        </is>
      </c>
      <c r="AJ12" s="34" t="inlineStr">
        <is>
          <t>high</t>
        </is>
      </c>
      <c r="AK12" s="41" t="n">
        <v>0.1</v>
      </c>
      <c r="AL12" s="36">
        <f>IF(AH12="","",AH12*AK12)</f>
        <v/>
      </c>
      <c r="AM12" s="36">
        <f>IF(OR(AH12="",S12=0),"",MIN(IF(AU12="",9.9E+99,AU12),FLOOR(AL12/S12,1)))</f>
        <v/>
      </c>
      <c r="AN12" s="40">
        <f>IF(AM12="","",AM12*IF(ABS(MOD(ABS((U12)),1)-0.5)&lt;1E-9,2*ROUND((U12)/2,0),ROUND((U12),0)))</f>
        <v/>
      </c>
      <c r="AO12" s="38">
        <f>IF(OR(AH12="",S12=0),"",MIN(IF(AU12="",9.9E+99,AU12),AL12/S12))</f>
        <v/>
      </c>
      <c r="AP12" s="40">
        <f>IF(AO12="","",AO12*IF(B12="South Korea",IF(ABS(MOD(ABS((U12)),1)-0.5)&lt;1E-9,2*ROUND((U12)/2,0),ROUND((U12),0)),U12))</f>
        <v/>
      </c>
      <c r="AQ12" s="42" t="n"/>
      <c r="AR12" s="34" t="inlineStr">
        <is>
          <t>Grounded</t>
        </is>
      </c>
      <c r="AS12" s="43" t="n"/>
      <c r="AT12" s="43" t="n"/>
      <c r="AU12" s="44" t="n"/>
      <c r="AV12" s="45">
        <f>IF(((T12*pax_cap*load_thin*IF(ABS(MOD(ABS((L12*M12*revleg_thin)),1)-0.5)&lt;1E-9,2*ROUND((L12*M12*revleg_thin)/2,0),ROUND((L12*M12*revleg_thin),0)))-(((battery/range_nm)*D12*IF(ABS(MOD(ABS((L12*M12*revleg_thin)),1)-0.5)&lt;1E-9,2*ROUND((L12*M12*revleg_thin)/2,0),ROUND((L12*M12*revleg_thin),0))*VLOOKUP(B12,country_opex,3,FALSE))+W12+X12+Y12+Z12+AA12))&lt;=0,"",VLOOKUP(B12,country_opex,7,FALSE)/((T12*pax_cap*load_thin*IF(ABS(MOD(ABS((L12*M12*revleg_thin)),1)-0.5)&lt;1E-9,2*ROUND((L12*M12*revleg_thin)/2,0),ROUND((L12*M12*revleg_thin),0)))-(((battery/range_nm)*D12*IF(ABS(MOD(ABS((L12*M12*revleg_thin)),1)-0.5)&lt;1E-9,2*ROUND((L12*M12*revleg_thin)/2,0),ROUND((L12*M12*revleg_thin),0))*VLOOKUP(B12,country_opex,3,FALSE))+W12+X12+Y12+Z12+AA12)))</f>
        <v/>
      </c>
      <c r="AW12" s="45">
        <f>IF(((T12*pax_cap*IF(B12="South Korea",korea_mid_load,load_mid)*IF(ABS(MOD(ABS((L12*M12*IF(B12="South Korea",korea_mid_revleg,revleg_mid))),1)-0.5)&lt;1E-9,2*ROUND((L12*M12*IF(B12="South Korea",korea_mid_revleg,revleg_mid))/2,0),ROUND((L12*M12*IF(B12="South Korea",korea_mid_revleg,revleg_mid)),0)))-(((battery/range_nm)*D12*IF(ABS(MOD(ABS((L12*M12*IF(B12="South Korea",korea_mid_revleg,revleg_mid))),1)-0.5)&lt;1E-9,2*ROUND((L12*M12*IF(B12="South Korea",korea_mid_revleg,revleg_mid))/2,0),ROUND((L12*M12*IF(B12="South Korea",korea_mid_revleg,revleg_mid)),0))*VLOOKUP(B12,country_opex,3,FALSE))+W12+X12+Y12+Z12+AA12))&lt;=0,"",VLOOKUP(B12,country_opex,7,FALSE)/((T12*pax_cap*IF(B12="South Korea",korea_mid_load,load_mid)*IF(ABS(MOD(ABS((L12*M12*IF(B12="South Korea",korea_mid_revleg,revleg_mid))),1)-0.5)&lt;1E-9,2*ROUND((L12*M12*IF(B12="South Korea",korea_mid_revleg,revleg_mid))/2,0),ROUND((L12*M12*IF(B12="South Korea",korea_mid_revleg,revleg_mid)),0)))-(((battery/range_nm)*D12*IF(ABS(MOD(ABS((L12*M12*IF(B12="South Korea",korea_mid_revleg,revleg_mid))),1)-0.5)&lt;1E-9,2*ROUND((L12*M12*IF(B12="South Korea",korea_mid_revleg,revleg_mid))/2,0),ROUND((L12*M12*IF(B12="South Korea",korea_mid_revleg,revleg_mid)),0))*VLOOKUP(B12,country_opex,3,FALSE))+W12+X12+Y12+Z12+AA12)))</f>
        <v/>
      </c>
      <c r="AX12" s="45">
        <f>IF(((T12*pax_cap*load_full*IF(ABS(MOD(ABS((L12*M12*revleg_full)),1)-0.5)&lt;1E-9,2*ROUND((L12*M12*revleg_full)/2,0),ROUND((L12*M12*revleg_full),0)))-(((battery/range_nm)*D12*IF(ABS(MOD(ABS((L12*M12*revleg_full)),1)-0.5)&lt;1E-9,2*ROUND((L12*M12*revleg_full)/2,0),ROUND((L12*M12*revleg_full),0))*VLOOKUP(B12,country_opex,3,FALSE))+W12+X12+Y12+Z12+AA12))&lt;=0,"",VLOOKUP(B12,country_opex,7,FALSE)/((T12*pax_cap*load_full*IF(ABS(MOD(ABS((L12*M12*revleg_full)),1)-0.5)&lt;1E-9,2*ROUND((L12*M12*revleg_full)/2,0),ROUND((L12*M12*revleg_full),0)))-(((battery/range_nm)*D12*IF(ABS(MOD(ABS((L12*M12*revleg_full)),1)-0.5)&lt;1E-9,2*ROUND((L12*M12*revleg_full)/2,0),ROUND((L12*M12*revleg_full),0))*VLOOKUP(B12,country_opex,3,FALSE))+W12+X12+Y12+Z12+AA12)))</f>
        <v/>
      </c>
      <c r="AY12" s="46" t="inlineStr">
        <is>
          <t>https://barcasrio.com.br/linhas-horarios-e-tarifas/</t>
        </is>
      </c>
      <c r="AZ12" s="46" t="inlineStr">
        <is>
          <t>https://www2.agetransp.rj.gov.br/arquivos/operacao-servicos/relatorio-de-atividades/Relat%C3%B3rio%20Mensal%20de%20Atividades%20Janeiro%202024.pdf</t>
        </is>
      </c>
      <c r="BA12" s="34" t="inlineStr">
        <is>
          <t>rn-80f0d0ebe0bd</t>
        </is>
      </c>
    </row>
    <row r="13">
      <c r="A13" s="31" t="inlineStr">
        <is>
          <t>Indrive Brazil</t>
        </is>
      </c>
      <c r="B13" s="31" t="inlineStr">
        <is>
          <t>Brazil</t>
        </is>
      </c>
      <c r="C13" s="32" t="inlineStr">
        <is>
          <t>Barreiros Terminal (Sao Jose / continent) → Miramar Terminal (Florianopolis island)</t>
        </is>
      </c>
      <c r="D13" s="33" t="n">
        <v>4.77</v>
      </c>
      <c r="E13" s="27" t="n">
        <v>20</v>
      </c>
      <c r="F13" s="34" t="n"/>
      <c r="G13" s="34" t="n"/>
      <c r="H13" s="20" t="n">
        <v>1</v>
      </c>
      <c r="I13" s="35">
        <f>60*D13/cruise_kt</f>
        <v/>
      </c>
      <c r="J13" s="35">
        <f>IF(B13="South Korea",D13/korea_charge_range_nm*korea_full_range_charge_min,0)</f>
        <v/>
      </c>
      <c r="K13" s="35">
        <f>IF(B13="South Korea",I13+korea_turn_min+korea_dwell_min+J13,I13+turn_min+dwell_min)</f>
        <v/>
      </c>
      <c r="L13" s="36">
        <f>IF(B13="South Korea",FLOOR(60*korea_service_hr/K13,1),MIN(15,FLOOR(60*service_hr/K13,1)))</f>
        <v/>
      </c>
      <c r="M13" s="36">
        <f>IF(ABS(MOD(ABS((365*mech_uptime*H13)),1)-0.5)&lt;1E-9,2*ROUND((365*mech_uptime*H13)/2,0),ROUND((365*mech_uptime*H13),0))</f>
        <v/>
      </c>
      <c r="N13" s="37">
        <f>mech_uptime</f>
        <v/>
      </c>
      <c r="O13" s="37">
        <f>IF(AND(B13="South Korea",scenario="MID"),korea_mid_revleg,revleg_sel)</f>
        <v/>
      </c>
      <c r="P13" s="36">
        <f>IF(ABS(MOD(ABS((L13*M13*O13)),1)-0.5)&lt;1E-9,2*ROUND((L13*M13*O13)/2,0),ROUND((L13*M13*O13),0))</f>
        <v/>
      </c>
      <c r="Q13" s="37">
        <f>IF(AND(B13="South Korea",scenario="MID"),korea_mid_load,load_sel)</f>
        <v/>
      </c>
      <c r="R13" s="38">
        <f>pax_cap*Q13</f>
        <v/>
      </c>
      <c r="S13" s="36">
        <f>R13*P13</f>
        <v/>
      </c>
      <c r="T13" s="39">
        <f>E13*discount</f>
        <v/>
      </c>
      <c r="U13" s="40">
        <f>T13*S13</f>
        <v/>
      </c>
      <c r="V13" s="40">
        <f>(battery/range_nm)*D13*P13*VLOOKUP(B13,country_opex,3,FALSE)</f>
        <v/>
      </c>
      <c r="W13" s="40">
        <f>VLOOKUP(B13,country_opex,2,FALSE)*crew_factor</f>
        <v/>
      </c>
      <c r="X13" s="40">
        <f>VLOOKUP(B13,country_opex,5,FALSE)</f>
        <v/>
      </c>
      <c r="Y13" s="40">
        <f>maint</f>
        <v/>
      </c>
      <c r="Z13" s="40">
        <f>VLOOKUP(B13,country_opex,7,FALSE)*ins_pct</f>
        <v/>
      </c>
      <c r="AA13" s="40">
        <f>charge_berth</f>
        <v/>
      </c>
      <c r="AB13" s="40">
        <f>V13+W13+X13+Y13+Z13+AA13</f>
        <v/>
      </c>
      <c r="AC13" s="40">
        <f>VLOOKUP(B13,country_opex,7,FALSE)/dep_years</f>
        <v/>
      </c>
      <c r="AD13" s="40">
        <f>U13-AB13</f>
        <v/>
      </c>
      <c r="AE13" s="37">
        <f>IF(U13=0,"",AD13/U13)</f>
        <v/>
      </c>
      <c r="AF13" s="38">
        <f>IF(AD13&lt;=0,"",VLOOKUP(B13,country_opex,7,FALSE)/AD13)</f>
        <v/>
      </c>
      <c r="AG13" s="35">
        <f>((D13*P13/diesel_nmpg)*diesel_co2pg-(battery/range_nm)*D13*P13*VLOOKUP(B13,country_opex,4,FALSE))/1000</f>
        <v/>
      </c>
      <c r="AH13" s="33" t="n">
        <v>3890964</v>
      </c>
      <c r="AI13" s="34" t="inlineStr">
        <is>
          <t>T3</t>
        </is>
      </c>
      <c r="AJ13" s="34" t="inlineStr">
        <is>
          <t>med-low</t>
        </is>
      </c>
      <c r="AK13" s="41" t="n">
        <v>0.1</v>
      </c>
      <c r="AL13" s="36">
        <f>IF(AH13="","",AH13*AK13)</f>
        <v/>
      </c>
      <c r="AM13" s="36">
        <f>IF(OR(AH13="",S13=0),"",MIN(IF(AU13="",9.9E+99,AU13),FLOOR(AL13/S13,1)))</f>
        <v/>
      </c>
      <c r="AN13" s="40">
        <f>IF(AM13="","",AM13*IF(ABS(MOD(ABS((U13)),1)-0.5)&lt;1E-9,2*ROUND((U13)/2,0),ROUND((U13),0)))</f>
        <v/>
      </c>
      <c r="AO13" s="38">
        <f>IF(OR(AH13="",S13=0),"",MIN(IF(AU13="",9.9E+99,AU13),AL13/S13))</f>
        <v/>
      </c>
      <c r="AP13" s="40">
        <f>IF(AO13="","",AO13*IF(B13="South Korea",IF(ABS(MOD(ABS((U13)),1)-0.5)&lt;1E-9,2*ROUND((U13)/2,0),ROUND((U13),0)),U13))</f>
        <v/>
      </c>
      <c r="AQ13" s="42" t="n"/>
      <c r="AR13" s="34" t="inlineStr">
        <is>
          <t>Grounded</t>
        </is>
      </c>
      <c r="AS13" s="43" t="n"/>
      <c r="AT13" s="43" t="n"/>
      <c r="AU13" s="44" t="n"/>
      <c r="AV13" s="45">
        <f>IF(((T13*pax_cap*load_thin*IF(ABS(MOD(ABS((L13*M13*revleg_thin)),1)-0.5)&lt;1E-9,2*ROUND((L13*M13*revleg_thin)/2,0),ROUND((L13*M13*revleg_thin),0)))-(((battery/range_nm)*D13*IF(ABS(MOD(ABS((L13*M13*revleg_thin)),1)-0.5)&lt;1E-9,2*ROUND((L13*M13*revleg_thin)/2,0),ROUND((L13*M13*revleg_thin),0))*VLOOKUP(B13,country_opex,3,FALSE))+W13+X13+Y13+Z13+AA13))&lt;=0,"",VLOOKUP(B13,country_opex,7,FALSE)/((T13*pax_cap*load_thin*IF(ABS(MOD(ABS((L13*M13*revleg_thin)),1)-0.5)&lt;1E-9,2*ROUND((L13*M13*revleg_thin)/2,0),ROUND((L13*M13*revleg_thin),0)))-(((battery/range_nm)*D13*IF(ABS(MOD(ABS((L13*M13*revleg_thin)),1)-0.5)&lt;1E-9,2*ROUND((L13*M13*revleg_thin)/2,0),ROUND((L13*M13*revleg_thin),0))*VLOOKUP(B13,country_opex,3,FALSE))+W13+X13+Y13+Z13+AA13)))</f>
        <v/>
      </c>
      <c r="AW13" s="45">
        <f>IF(((T13*pax_cap*IF(B13="South Korea",korea_mid_load,load_mid)*IF(ABS(MOD(ABS((L13*M13*IF(B13="South Korea",korea_mid_revleg,revleg_mid))),1)-0.5)&lt;1E-9,2*ROUND((L13*M13*IF(B13="South Korea",korea_mid_revleg,revleg_mid))/2,0),ROUND((L13*M13*IF(B13="South Korea",korea_mid_revleg,revleg_mid)),0)))-(((battery/range_nm)*D13*IF(ABS(MOD(ABS((L13*M13*IF(B13="South Korea",korea_mid_revleg,revleg_mid))),1)-0.5)&lt;1E-9,2*ROUND((L13*M13*IF(B13="South Korea",korea_mid_revleg,revleg_mid))/2,0),ROUND((L13*M13*IF(B13="South Korea",korea_mid_revleg,revleg_mid)),0))*VLOOKUP(B13,country_opex,3,FALSE))+W13+X13+Y13+Z13+AA13))&lt;=0,"",VLOOKUP(B13,country_opex,7,FALSE)/((T13*pax_cap*IF(B13="South Korea",korea_mid_load,load_mid)*IF(ABS(MOD(ABS((L13*M13*IF(B13="South Korea",korea_mid_revleg,revleg_mid))),1)-0.5)&lt;1E-9,2*ROUND((L13*M13*IF(B13="South Korea",korea_mid_revleg,revleg_mid))/2,0),ROUND((L13*M13*IF(B13="South Korea",korea_mid_revleg,revleg_mid)),0)))-(((battery/range_nm)*D13*IF(ABS(MOD(ABS((L13*M13*IF(B13="South Korea",korea_mid_revleg,revleg_mid))),1)-0.5)&lt;1E-9,2*ROUND((L13*M13*IF(B13="South Korea",korea_mid_revleg,revleg_mid))/2,0),ROUND((L13*M13*IF(B13="South Korea",korea_mid_revleg,revleg_mid)),0))*VLOOKUP(B13,country_opex,3,FALSE))+W13+X13+Y13+Z13+AA13)))</f>
        <v/>
      </c>
      <c r="AX13" s="45">
        <f>IF(((T13*pax_cap*load_full*IF(ABS(MOD(ABS((L13*M13*revleg_full)),1)-0.5)&lt;1E-9,2*ROUND((L13*M13*revleg_full)/2,0),ROUND((L13*M13*revleg_full),0)))-(((battery/range_nm)*D13*IF(ABS(MOD(ABS((L13*M13*revleg_full)),1)-0.5)&lt;1E-9,2*ROUND((L13*M13*revleg_full)/2,0),ROUND((L13*M13*revleg_full),0))*VLOOKUP(B13,country_opex,3,FALSE))+W13+X13+Y13+Z13+AA13))&lt;=0,"",VLOOKUP(B13,country_opex,7,FALSE)/((T13*pax_cap*load_full*IF(ABS(MOD(ABS((L13*M13*revleg_full)),1)-0.5)&lt;1E-9,2*ROUND((L13*M13*revleg_full)/2,0),ROUND((L13*M13*revleg_full),0)))-(((battery/range_nm)*D13*IF(ABS(MOD(ABS((L13*M13*revleg_full)),1)-0.5)&lt;1E-9,2*ROUND((L13*M13*revleg_full)/2,0),ROUND((L13*M13*revleg_full),0))*VLOOKUP(B13,country_opex,3,FALSE))+W13+X13+Y13+Z13+AA13)))</f>
        <v/>
      </c>
      <c r="AY13" s="46" t="n"/>
      <c r="AZ13" s="46" t="inlineStr">
        <is>
          <t>https://www.sie.sc.gov.br/webdocs/sie/doc-tecnicos/aquaviario/ (EVTE Aquaviario RMF, Relatorio 3 - Componente Demanda; SIE-SC + BID)</t>
        </is>
      </c>
      <c r="BA13" s="34" t="inlineStr">
        <is>
          <t>rn-36dcca92d821</t>
        </is>
      </c>
    </row>
    <row r="14">
      <c r="A14" s="31" t="inlineStr">
        <is>
          <t>Indrive Brazil</t>
        </is>
      </c>
      <c r="B14" s="31" t="inlineStr">
        <is>
          <t>Brazil</t>
        </is>
      </c>
      <c r="C14" s="32" t="inlineStr">
        <is>
          <t>Beira Mar Terminal (continent) → Miramar Terminal (Florianopolis island)</t>
        </is>
      </c>
      <c r="D14" s="33" t="n">
        <v>5.15</v>
      </c>
      <c r="E14" s="27" t="n">
        <v>20</v>
      </c>
      <c r="F14" s="34" t="n"/>
      <c r="G14" s="34" t="n"/>
      <c r="H14" s="20" t="n">
        <v>1</v>
      </c>
      <c r="I14" s="35">
        <f>60*D14/cruise_kt</f>
        <v/>
      </c>
      <c r="J14" s="35">
        <f>IF(B14="South Korea",D14/korea_charge_range_nm*korea_full_range_charge_min,0)</f>
        <v/>
      </c>
      <c r="K14" s="35">
        <f>IF(B14="South Korea",I14+korea_turn_min+korea_dwell_min+J14,I14+turn_min+dwell_min)</f>
        <v/>
      </c>
      <c r="L14" s="36">
        <f>IF(B14="South Korea",FLOOR(60*korea_service_hr/K14,1),MIN(15,FLOOR(60*service_hr/K14,1)))</f>
        <v/>
      </c>
      <c r="M14" s="36">
        <f>IF(ABS(MOD(ABS((365*mech_uptime*H14)),1)-0.5)&lt;1E-9,2*ROUND((365*mech_uptime*H14)/2,0),ROUND((365*mech_uptime*H14),0))</f>
        <v/>
      </c>
      <c r="N14" s="37">
        <f>mech_uptime</f>
        <v/>
      </c>
      <c r="O14" s="37">
        <f>IF(AND(B14="South Korea",scenario="MID"),korea_mid_revleg,revleg_sel)</f>
        <v/>
      </c>
      <c r="P14" s="36">
        <f>IF(ABS(MOD(ABS((L14*M14*O14)),1)-0.5)&lt;1E-9,2*ROUND((L14*M14*O14)/2,0),ROUND((L14*M14*O14),0))</f>
        <v/>
      </c>
      <c r="Q14" s="37">
        <f>IF(AND(B14="South Korea",scenario="MID"),korea_mid_load,load_sel)</f>
        <v/>
      </c>
      <c r="R14" s="38">
        <f>pax_cap*Q14</f>
        <v/>
      </c>
      <c r="S14" s="36">
        <f>R14*P14</f>
        <v/>
      </c>
      <c r="T14" s="39">
        <f>E14*discount</f>
        <v/>
      </c>
      <c r="U14" s="40">
        <f>T14*S14</f>
        <v/>
      </c>
      <c r="V14" s="40">
        <f>(battery/range_nm)*D14*P14*VLOOKUP(B14,country_opex,3,FALSE)</f>
        <v/>
      </c>
      <c r="W14" s="40">
        <f>VLOOKUP(B14,country_opex,2,FALSE)*crew_factor</f>
        <v/>
      </c>
      <c r="X14" s="40">
        <f>VLOOKUP(B14,country_opex,5,FALSE)</f>
        <v/>
      </c>
      <c r="Y14" s="40">
        <f>maint</f>
        <v/>
      </c>
      <c r="Z14" s="40">
        <f>VLOOKUP(B14,country_opex,7,FALSE)*ins_pct</f>
        <v/>
      </c>
      <c r="AA14" s="40">
        <f>charge_berth</f>
        <v/>
      </c>
      <c r="AB14" s="40">
        <f>V14+W14+X14+Y14+Z14+AA14</f>
        <v/>
      </c>
      <c r="AC14" s="40">
        <f>VLOOKUP(B14,country_opex,7,FALSE)/dep_years</f>
        <v/>
      </c>
      <c r="AD14" s="40">
        <f>U14-AB14</f>
        <v/>
      </c>
      <c r="AE14" s="37">
        <f>IF(U14=0,"",AD14/U14)</f>
        <v/>
      </c>
      <c r="AF14" s="38">
        <f>IF(AD14&lt;=0,"",VLOOKUP(B14,country_opex,7,FALSE)/AD14)</f>
        <v/>
      </c>
      <c r="AG14" s="35">
        <f>((D14*P14/diesel_nmpg)*diesel_co2pg-(battery/range_nm)*D14*P14*VLOOKUP(B14,country_opex,4,FALSE))/1000</f>
        <v/>
      </c>
      <c r="AH14" s="33" t="n">
        <v>6100556</v>
      </c>
      <c r="AI14" s="34" t="inlineStr">
        <is>
          <t>T3</t>
        </is>
      </c>
      <c r="AJ14" s="34" t="inlineStr">
        <is>
          <t>med-low</t>
        </is>
      </c>
      <c r="AK14" s="41" t="n">
        <v>0.1</v>
      </c>
      <c r="AL14" s="36">
        <f>IF(AH14="","",AH14*AK14)</f>
        <v/>
      </c>
      <c r="AM14" s="36">
        <f>IF(OR(AH14="",S14=0),"",MIN(IF(AU14="",9.9E+99,AU14),FLOOR(AL14/S14,1)))</f>
        <v/>
      </c>
      <c r="AN14" s="40">
        <f>IF(AM14="","",AM14*IF(ABS(MOD(ABS((U14)),1)-0.5)&lt;1E-9,2*ROUND((U14)/2,0),ROUND((U14),0)))</f>
        <v/>
      </c>
      <c r="AO14" s="38">
        <f>IF(OR(AH14="",S14=0),"",MIN(IF(AU14="",9.9E+99,AU14),AL14/S14))</f>
        <v/>
      </c>
      <c r="AP14" s="40">
        <f>IF(AO14="","",AO14*IF(B14="South Korea",IF(ABS(MOD(ABS((U14)),1)-0.5)&lt;1E-9,2*ROUND((U14)/2,0),ROUND((U14),0)),U14))</f>
        <v/>
      </c>
      <c r="AQ14" s="42" t="n"/>
      <c r="AR14" s="34" t="inlineStr">
        <is>
          <t>Grounded</t>
        </is>
      </c>
      <c r="AS14" s="43" t="n"/>
      <c r="AT14" s="43" t="n"/>
      <c r="AU14" s="44" t="n"/>
      <c r="AV14" s="45">
        <f>IF(((T14*pax_cap*load_thin*IF(ABS(MOD(ABS((L14*M14*revleg_thin)),1)-0.5)&lt;1E-9,2*ROUND((L14*M14*revleg_thin)/2,0),ROUND((L14*M14*revleg_thin),0)))-(((battery/range_nm)*D14*IF(ABS(MOD(ABS((L14*M14*revleg_thin)),1)-0.5)&lt;1E-9,2*ROUND((L14*M14*revleg_thin)/2,0),ROUND((L14*M14*revleg_thin),0))*VLOOKUP(B14,country_opex,3,FALSE))+W14+X14+Y14+Z14+AA14))&lt;=0,"",VLOOKUP(B14,country_opex,7,FALSE)/((T14*pax_cap*load_thin*IF(ABS(MOD(ABS((L14*M14*revleg_thin)),1)-0.5)&lt;1E-9,2*ROUND((L14*M14*revleg_thin)/2,0),ROUND((L14*M14*revleg_thin),0)))-(((battery/range_nm)*D14*IF(ABS(MOD(ABS((L14*M14*revleg_thin)),1)-0.5)&lt;1E-9,2*ROUND((L14*M14*revleg_thin)/2,0),ROUND((L14*M14*revleg_thin),0))*VLOOKUP(B14,country_opex,3,FALSE))+W14+X14+Y14+Z14+AA14)))</f>
        <v/>
      </c>
      <c r="AW14" s="45">
        <f>IF(((T14*pax_cap*IF(B14="South Korea",korea_mid_load,load_mid)*IF(ABS(MOD(ABS((L14*M14*IF(B14="South Korea",korea_mid_revleg,revleg_mid))),1)-0.5)&lt;1E-9,2*ROUND((L14*M14*IF(B14="South Korea",korea_mid_revleg,revleg_mid))/2,0),ROUND((L14*M14*IF(B14="South Korea",korea_mid_revleg,revleg_mid)),0)))-(((battery/range_nm)*D14*IF(ABS(MOD(ABS((L14*M14*IF(B14="South Korea",korea_mid_revleg,revleg_mid))),1)-0.5)&lt;1E-9,2*ROUND((L14*M14*IF(B14="South Korea",korea_mid_revleg,revleg_mid))/2,0),ROUND((L14*M14*IF(B14="South Korea",korea_mid_revleg,revleg_mid)),0))*VLOOKUP(B14,country_opex,3,FALSE))+W14+X14+Y14+Z14+AA14))&lt;=0,"",VLOOKUP(B14,country_opex,7,FALSE)/((T14*pax_cap*IF(B14="South Korea",korea_mid_load,load_mid)*IF(ABS(MOD(ABS((L14*M14*IF(B14="South Korea",korea_mid_revleg,revleg_mid))),1)-0.5)&lt;1E-9,2*ROUND((L14*M14*IF(B14="South Korea",korea_mid_revleg,revleg_mid))/2,0),ROUND((L14*M14*IF(B14="South Korea",korea_mid_revleg,revleg_mid)),0)))-(((battery/range_nm)*D14*IF(ABS(MOD(ABS((L14*M14*IF(B14="South Korea",korea_mid_revleg,revleg_mid))),1)-0.5)&lt;1E-9,2*ROUND((L14*M14*IF(B14="South Korea",korea_mid_revleg,revleg_mid))/2,0),ROUND((L14*M14*IF(B14="South Korea",korea_mid_revleg,revleg_mid)),0))*VLOOKUP(B14,country_opex,3,FALSE))+W14+X14+Y14+Z14+AA14)))</f>
        <v/>
      </c>
      <c r="AX14" s="45">
        <f>IF(((T14*pax_cap*load_full*IF(ABS(MOD(ABS((L14*M14*revleg_full)),1)-0.5)&lt;1E-9,2*ROUND((L14*M14*revleg_full)/2,0),ROUND((L14*M14*revleg_full),0)))-(((battery/range_nm)*D14*IF(ABS(MOD(ABS((L14*M14*revleg_full)),1)-0.5)&lt;1E-9,2*ROUND((L14*M14*revleg_full)/2,0),ROUND((L14*M14*revleg_full),0))*VLOOKUP(B14,country_opex,3,FALSE))+W14+X14+Y14+Z14+AA14))&lt;=0,"",VLOOKUP(B14,country_opex,7,FALSE)/((T14*pax_cap*load_full*IF(ABS(MOD(ABS((L14*M14*revleg_full)),1)-0.5)&lt;1E-9,2*ROUND((L14*M14*revleg_full)/2,0),ROUND((L14*M14*revleg_full),0)))-(((battery/range_nm)*D14*IF(ABS(MOD(ABS((L14*M14*revleg_full)),1)-0.5)&lt;1E-9,2*ROUND((L14*M14*revleg_full)/2,0),ROUND((L14*M14*revleg_full),0))*VLOOKUP(B14,country_opex,3,FALSE))+W14+X14+Y14+Z14+AA14)))</f>
        <v/>
      </c>
      <c r="AY14" s="46" t="n"/>
      <c r="AZ14" s="46" t="inlineStr">
        <is>
          <t>https://www.sie.sc.gov.br/webdocs/sie/doc-tecnicos/aquaviario/ (EVTE Aquaviario RMF, Relatorio 3 - Componente Demanda; SIE-SC + BID)</t>
        </is>
      </c>
      <c r="BA14" s="34" t="inlineStr">
        <is>
          <t>rn-7d157e1300da</t>
        </is>
      </c>
    </row>
    <row r="15">
      <c r="A15" s="31" t="inlineStr">
        <is>
          <t>Indrive Brazil</t>
        </is>
      </c>
      <c r="B15" s="31" t="inlineStr">
        <is>
          <t>Brazil</t>
        </is>
      </c>
      <c r="C15" s="32" t="inlineStr">
        <is>
          <t>Praça XV Terminal (central Rio) → Cocotá Terminal (Ilha do Governador)</t>
        </is>
      </c>
      <c r="D15" s="33" t="n">
        <v>6</v>
      </c>
      <c r="E15" s="27" t="n">
        <v>28</v>
      </c>
      <c r="F15" s="34" t="inlineStr">
        <is>
          <t>T1/T2</t>
        </is>
      </c>
      <c r="G15" s="34" t="inlineStr">
        <is>
          <t>med-low</t>
        </is>
      </c>
      <c r="H15" s="20" t="n">
        <v>1</v>
      </c>
      <c r="I15" s="35">
        <f>60*D15/cruise_kt</f>
        <v/>
      </c>
      <c r="J15" s="35">
        <f>IF(B15="South Korea",D15/korea_charge_range_nm*korea_full_range_charge_min,0)</f>
        <v/>
      </c>
      <c r="K15" s="35">
        <f>IF(B15="South Korea",I15+korea_turn_min+korea_dwell_min+J15,I15+turn_min+dwell_min)</f>
        <v/>
      </c>
      <c r="L15" s="36">
        <f>IF(B15="South Korea",FLOOR(60*korea_service_hr/K15,1),MIN(15,FLOOR(60*service_hr/K15,1)))</f>
        <v/>
      </c>
      <c r="M15" s="36">
        <f>IF(ABS(MOD(ABS((365*mech_uptime*H15)),1)-0.5)&lt;1E-9,2*ROUND((365*mech_uptime*H15)/2,0),ROUND((365*mech_uptime*H15),0))</f>
        <v/>
      </c>
      <c r="N15" s="37">
        <f>mech_uptime</f>
        <v/>
      </c>
      <c r="O15" s="37">
        <f>IF(AND(B15="South Korea",scenario="MID"),korea_mid_revleg,revleg_sel)</f>
        <v/>
      </c>
      <c r="P15" s="36">
        <f>IF(ABS(MOD(ABS((L15*M15*O15)),1)-0.5)&lt;1E-9,2*ROUND((L15*M15*O15)/2,0),ROUND((L15*M15*O15),0))</f>
        <v/>
      </c>
      <c r="Q15" s="37">
        <f>IF(AND(B15="South Korea",scenario="MID"),korea_mid_load,load_sel)</f>
        <v/>
      </c>
      <c r="R15" s="38">
        <f>pax_cap*Q15</f>
        <v/>
      </c>
      <c r="S15" s="36">
        <f>R15*P15</f>
        <v/>
      </c>
      <c r="T15" s="39">
        <f>E15*discount</f>
        <v/>
      </c>
      <c r="U15" s="40">
        <f>T15*S15</f>
        <v/>
      </c>
      <c r="V15" s="40">
        <f>(battery/range_nm)*D15*P15*VLOOKUP(B15,country_opex,3,FALSE)</f>
        <v/>
      </c>
      <c r="W15" s="40">
        <f>VLOOKUP(B15,country_opex,2,FALSE)*crew_factor</f>
        <v/>
      </c>
      <c r="X15" s="40">
        <f>VLOOKUP(B15,country_opex,5,FALSE)</f>
        <v/>
      </c>
      <c r="Y15" s="40">
        <f>maint</f>
        <v/>
      </c>
      <c r="Z15" s="40">
        <f>VLOOKUP(B15,country_opex,7,FALSE)*ins_pct</f>
        <v/>
      </c>
      <c r="AA15" s="40">
        <f>charge_berth</f>
        <v/>
      </c>
      <c r="AB15" s="40">
        <f>V15+W15+X15+Y15+Z15+AA15</f>
        <v/>
      </c>
      <c r="AC15" s="40">
        <f>VLOOKUP(B15,country_opex,7,FALSE)/dep_years</f>
        <v/>
      </c>
      <c r="AD15" s="40">
        <f>U15-AB15</f>
        <v/>
      </c>
      <c r="AE15" s="37">
        <f>IF(U15=0,"",AD15/U15)</f>
        <v/>
      </c>
      <c r="AF15" s="38">
        <f>IF(AD15&lt;=0,"",VLOOKUP(B15,country_opex,7,FALSE)/AD15)</f>
        <v/>
      </c>
      <c r="AG15" s="35">
        <f>((D15*P15/diesel_nmpg)*diesel_co2pg-(battery/range_nm)*D15*P15*VLOOKUP(B15,country_opex,4,FALSE))/1000</f>
        <v/>
      </c>
      <c r="AH15" s="33" t="n">
        <v>278607</v>
      </c>
      <c r="AI15" s="34" t="inlineStr">
        <is>
          <t>T1</t>
        </is>
      </c>
      <c r="AJ15" s="34" t="inlineStr">
        <is>
          <t>high</t>
        </is>
      </c>
      <c r="AK15" s="41" t="n">
        <v>0.1</v>
      </c>
      <c r="AL15" s="36">
        <f>IF(AH15="","",AH15*AK15)</f>
        <v/>
      </c>
      <c r="AM15" s="36">
        <f>IF(OR(AH15="",S15=0),"",MIN(IF(AU15="",9.9E+99,AU15),FLOOR(AL15/S15,1)))</f>
        <v/>
      </c>
      <c r="AN15" s="40">
        <f>IF(AM15="","",AM15*IF(ABS(MOD(ABS((U15)),1)-0.5)&lt;1E-9,2*ROUND((U15)/2,0),ROUND((U15),0)))</f>
        <v/>
      </c>
      <c r="AO15" s="38">
        <f>IF(OR(AH15="",S15=0),"",MIN(IF(AU15="",9.9E+99,AU15),AL15/S15))</f>
        <v/>
      </c>
      <c r="AP15" s="40">
        <f>IF(AO15="","",AO15*IF(B15="South Korea",IF(ABS(MOD(ABS((U15)),1)-0.5)&lt;1E-9,2*ROUND((U15)/2,0),ROUND((U15),0)),U15))</f>
        <v/>
      </c>
      <c r="AQ15" s="42" t="n"/>
      <c r="AR15" s="34" t="inlineStr">
        <is>
          <t>Grounded</t>
        </is>
      </c>
      <c r="AS15" s="43" t="n"/>
      <c r="AT15" s="43" t="n"/>
      <c r="AU15" s="44" t="n"/>
      <c r="AV15" s="45">
        <f>IF(((T15*pax_cap*load_thin*IF(ABS(MOD(ABS((L15*M15*revleg_thin)),1)-0.5)&lt;1E-9,2*ROUND((L15*M15*revleg_thin)/2,0),ROUND((L15*M15*revleg_thin),0)))-(((battery/range_nm)*D15*IF(ABS(MOD(ABS((L15*M15*revleg_thin)),1)-0.5)&lt;1E-9,2*ROUND((L15*M15*revleg_thin)/2,0),ROUND((L15*M15*revleg_thin),0))*VLOOKUP(B15,country_opex,3,FALSE))+W15+X15+Y15+Z15+AA15))&lt;=0,"",VLOOKUP(B15,country_opex,7,FALSE)/((T15*pax_cap*load_thin*IF(ABS(MOD(ABS((L15*M15*revleg_thin)),1)-0.5)&lt;1E-9,2*ROUND((L15*M15*revleg_thin)/2,0),ROUND((L15*M15*revleg_thin),0)))-(((battery/range_nm)*D15*IF(ABS(MOD(ABS((L15*M15*revleg_thin)),1)-0.5)&lt;1E-9,2*ROUND((L15*M15*revleg_thin)/2,0),ROUND((L15*M15*revleg_thin),0))*VLOOKUP(B15,country_opex,3,FALSE))+W15+X15+Y15+Z15+AA15)))</f>
        <v/>
      </c>
      <c r="AW15" s="45">
        <f>IF(((T15*pax_cap*IF(B15="South Korea",korea_mid_load,load_mid)*IF(ABS(MOD(ABS((L15*M15*IF(B15="South Korea",korea_mid_revleg,revleg_mid))),1)-0.5)&lt;1E-9,2*ROUND((L15*M15*IF(B15="South Korea",korea_mid_revleg,revleg_mid))/2,0),ROUND((L15*M15*IF(B15="South Korea",korea_mid_revleg,revleg_mid)),0)))-(((battery/range_nm)*D15*IF(ABS(MOD(ABS((L15*M15*IF(B15="South Korea",korea_mid_revleg,revleg_mid))),1)-0.5)&lt;1E-9,2*ROUND((L15*M15*IF(B15="South Korea",korea_mid_revleg,revleg_mid))/2,0),ROUND((L15*M15*IF(B15="South Korea",korea_mid_revleg,revleg_mid)),0))*VLOOKUP(B15,country_opex,3,FALSE))+W15+X15+Y15+Z15+AA15))&lt;=0,"",VLOOKUP(B15,country_opex,7,FALSE)/((T15*pax_cap*IF(B15="South Korea",korea_mid_load,load_mid)*IF(ABS(MOD(ABS((L15*M15*IF(B15="South Korea",korea_mid_revleg,revleg_mid))),1)-0.5)&lt;1E-9,2*ROUND((L15*M15*IF(B15="South Korea",korea_mid_revleg,revleg_mid))/2,0),ROUND((L15*M15*IF(B15="South Korea",korea_mid_revleg,revleg_mid)),0)))-(((battery/range_nm)*D15*IF(ABS(MOD(ABS((L15*M15*IF(B15="South Korea",korea_mid_revleg,revleg_mid))),1)-0.5)&lt;1E-9,2*ROUND((L15*M15*IF(B15="South Korea",korea_mid_revleg,revleg_mid))/2,0),ROUND((L15*M15*IF(B15="South Korea",korea_mid_revleg,revleg_mid)),0))*VLOOKUP(B15,country_opex,3,FALSE))+W15+X15+Y15+Z15+AA15)))</f>
        <v/>
      </c>
      <c r="AX15" s="45">
        <f>IF(((T15*pax_cap*load_full*IF(ABS(MOD(ABS((L15*M15*revleg_full)),1)-0.5)&lt;1E-9,2*ROUND((L15*M15*revleg_full)/2,0),ROUND((L15*M15*revleg_full),0)))-(((battery/range_nm)*D15*IF(ABS(MOD(ABS((L15*M15*revleg_full)),1)-0.5)&lt;1E-9,2*ROUND((L15*M15*revleg_full)/2,0),ROUND((L15*M15*revleg_full),0))*VLOOKUP(B15,country_opex,3,FALSE))+W15+X15+Y15+Z15+AA15))&lt;=0,"",VLOOKUP(B15,country_opex,7,FALSE)/((T15*pax_cap*load_full*IF(ABS(MOD(ABS((L15*M15*revleg_full)),1)-0.5)&lt;1E-9,2*ROUND((L15*M15*revleg_full)/2,0),ROUND((L15*M15*revleg_full),0)))-(((battery/range_nm)*D15*IF(ABS(MOD(ABS((L15*M15*revleg_full)),1)-0.5)&lt;1E-9,2*ROUND((L15*M15*revleg_full)/2,0),ROUND((L15*M15*revleg_full),0))*VLOOKUP(B15,country_opex,3,FALSE))+W15+X15+Y15+Z15+AA15)))</f>
        <v/>
      </c>
      <c r="AY15" s="46" t="inlineStr">
        <is>
          <t>https://barcasrio.com.br/linhas-horarios-e-tarifas/</t>
        </is>
      </c>
      <c r="AZ15" s="46" t="inlineStr">
        <is>
          <t>https://www2.agetransp.rj.gov.br/arquivos/operacao-servicos/relatorio-de-atividades/Relat%C3%B3rio%20Mensal%20de%20Atividades%20Janeiro%202024.pdf</t>
        </is>
      </c>
      <c r="BA15" s="34" t="inlineStr">
        <is>
          <t>rn-369ef0eb69d9</t>
        </is>
      </c>
    </row>
    <row r="16">
      <c r="A16" s="31" t="inlineStr">
        <is>
          <t>Indrive Brazil</t>
        </is>
      </c>
      <c r="B16" s="31" t="inlineStr">
        <is>
          <t>Brazil</t>
        </is>
      </c>
      <c r="C16" s="32" t="inlineStr">
        <is>
          <t>Terminal São Joaquim (Salvador ferry-boat) → Terminal Marítimo de Bom Despacho (Itaparica)</t>
        </is>
      </c>
      <c r="D16" s="33" t="n">
        <v>6.31</v>
      </c>
      <c r="E16" s="27" t="n">
        <v>15</v>
      </c>
      <c r="F16" s="34" t="inlineStr">
        <is>
          <t>T1</t>
        </is>
      </c>
      <c r="G16" s="34" t="inlineStr">
        <is>
          <t>high</t>
        </is>
      </c>
      <c r="H16" s="20" t="n">
        <v>1</v>
      </c>
      <c r="I16" s="35">
        <f>60*D16/cruise_kt</f>
        <v/>
      </c>
      <c r="J16" s="35">
        <f>IF(B16="South Korea",D16/korea_charge_range_nm*korea_full_range_charge_min,0)</f>
        <v/>
      </c>
      <c r="K16" s="35">
        <f>IF(B16="South Korea",I16+korea_turn_min+korea_dwell_min+J16,I16+turn_min+dwell_min)</f>
        <v/>
      </c>
      <c r="L16" s="36">
        <f>IF(B16="South Korea",FLOOR(60*korea_service_hr/K16,1),MIN(15,FLOOR(60*service_hr/K16,1)))</f>
        <v/>
      </c>
      <c r="M16" s="36">
        <f>IF(ABS(MOD(ABS((365*mech_uptime*H16)),1)-0.5)&lt;1E-9,2*ROUND((365*mech_uptime*H16)/2,0),ROUND((365*mech_uptime*H16),0))</f>
        <v/>
      </c>
      <c r="N16" s="37">
        <f>mech_uptime</f>
        <v/>
      </c>
      <c r="O16" s="37">
        <f>IF(AND(B16="South Korea",scenario="MID"),korea_mid_revleg,revleg_sel)</f>
        <v/>
      </c>
      <c r="P16" s="36">
        <f>IF(ABS(MOD(ABS((L16*M16*O16)),1)-0.5)&lt;1E-9,2*ROUND((L16*M16*O16)/2,0),ROUND((L16*M16*O16),0))</f>
        <v/>
      </c>
      <c r="Q16" s="37">
        <f>IF(AND(B16="South Korea",scenario="MID"),korea_mid_load,load_sel)</f>
        <v/>
      </c>
      <c r="R16" s="38">
        <f>pax_cap*Q16</f>
        <v/>
      </c>
      <c r="S16" s="36">
        <f>R16*P16</f>
        <v/>
      </c>
      <c r="T16" s="39">
        <f>E16*discount</f>
        <v/>
      </c>
      <c r="U16" s="40">
        <f>T16*S16</f>
        <v/>
      </c>
      <c r="V16" s="40">
        <f>(battery/range_nm)*D16*P16*VLOOKUP(B16,country_opex,3,FALSE)</f>
        <v/>
      </c>
      <c r="W16" s="40">
        <f>VLOOKUP(B16,country_opex,2,FALSE)*crew_factor</f>
        <v/>
      </c>
      <c r="X16" s="40">
        <f>VLOOKUP(B16,country_opex,5,FALSE)</f>
        <v/>
      </c>
      <c r="Y16" s="40">
        <f>maint</f>
        <v/>
      </c>
      <c r="Z16" s="40">
        <f>VLOOKUP(B16,country_opex,7,FALSE)*ins_pct</f>
        <v/>
      </c>
      <c r="AA16" s="40">
        <f>charge_berth</f>
        <v/>
      </c>
      <c r="AB16" s="40">
        <f>V16+W16+X16+Y16+Z16+AA16</f>
        <v/>
      </c>
      <c r="AC16" s="40">
        <f>VLOOKUP(B16,country_opex,7,FALSE)/dep_years</f>
        <v/>
      </c>
      <c r="AD16" s="40">
        <f>U16-AB16</f>
        <v/>
      </c>
      <c r="AE16" s="37">
        <f>IF(U16=0,"",AD16/U16)</f>
        <v/>
      </c>
      <c r="AF16" s="38">
        <f>IF(AD16&lt;=0,"",VLOOKUP(B16,country_opex,7,FALSE)/AD16)</f>
        <v/>
      </c>
      <c r="AG16" s="35">
        <f>((D16*P16/diesel_nmpg)*diesel_co2pg-(battery/range_nm)*D16*P16*VLOOKUP(B16,country_opex,4,FALSE))/1000</f>
        <v/>
      </c>
      <c r="AH16" s="33" t="n">
        <v>7490000</v>
      </c>
      <c r="AI16" s="34" t="inlineStr">
        <is>
          <t>T1/T2</t>
        </is>
      </c>
      <c r="AJ16" s="34" t="inlineStr">
        <is>
          <t>high</t>
        </is>
      </c>
      <c r="AK16" s="41" t="n">
        <v>0.1</v>
      </c>
      <c r="AL16" s="36">
        <f>IF(AH16="","",AH16*AK16)</f>
        <v/>
      </c>
      <c r="AM16" s="36">
        <f>IF(OR(AH16="",S16=0),"",MIN(IF(AU16="",9.9E+99,AU16),FLOOR(AL16/S16,1)))</f>
        <v/>
      </c>
      <c r="AN16" s="40">
        <f>IF(AM16="","",AM16*IF(ABS(MOD(ABS((U16)),1)-0.5)&lt;1E-9,2*ROUND((U16)/2,0),ROUND((U16),0)))</f>
        <v/>
      </c>
      <c r="AO16" s="38">
        <f>IF(OR(AH16="",S16=0),"",MIN(IF(AU16="",9.9E+99,AU16),AL16/S16))</f>
        <v/>
      </c>
      <c r="AP16" s="40">
        <f>IF(AO16="","",AO16*IF(B16="South Korea",IF(ABS(MOD(ABS((U16)),1)-0.5)&lt;1E-9,2*ROUND((U16)/2,0),ROUND((U16),0)),U16))</f>
        <v/>
      </c>
      <c r="AQ16" s="42" t="n"/>
      <c r="AR16" s="34" t="inlineStr">
        <is>
          <t>Grounded</t>
        </is>
      </c>
      <c r="AS16" s="43" t="n"/>
      <c r="AT16" s="43" t="n"/>
      <c r="AU16" s="44" t="n"/>
      <c r="AV16" s="45">
        <f>IF(((T16*pax_cap*load_thin*IF(ABS(MOD(ABS((L16*M16*revleg_thin)),1)-0.5)&lt;1E-9,2*ROUND((L16*M16*revleg_thin)/2,0),ROUND((L16*M16*revleg_thin),0)))-(((battery/range_nm)*D16*IF(ABS(MOD(ABS((L16*M16*revleg_thin)),1)-0.5)&lt;1E-9,2*ROUND((L16*M16*revleg_thin)/2,0),ROUND((L16*M16*revleg_thin),0))*VLOOKUP(B16,country_opex,3,FALSE))+W16+X16+Y16+Z16+AA16))&lt;=0,"",VLOOKUP(B16,country_opex,7,FALSE)/((T16*pax_cap*load_thin*IF(ABS(MOD(ABS((L16*M16*revleg_thin)),1)-0.5)&lt;1E-9,2*ROUND((L16*M16*revleg_thin)/2,0),ROUND((L16*M16*revleg_thin),0)))-(((battery/range_nm)*D16*IF(ABS(MOD(ABS((L16*M16*revleg_thin)),1)-0.5)&lt;1E-9,2*ROUND((L16*M16*revleg_thin)/2,0),ROUND((L16*M16*revleg_thin),0))*VLOOKUP(B16,country_opex,3,FALSE))+W16+X16+Y16+Z16+AA16)))</f>
        <v/>
      </c>
      <c r="AW16" s="45">
        <f>IF(((T16*pax_cap*IF(B16="South Korea",korea_mid_load,load_mid)*IF(ABS(MOD(ABS((L16*M16*IF(B16="South Korea",korea_mid_revleg,revleg_mid))),1)-0.5)&lt;1E-9,2*ROUND((L16*M16*IF(B16="South Korea",korea_mid_revleg,revleg_mid))/2,0),ROUND((L16*M16*IF(B16="South Korea",korea_mid_revleg,revleg_mid)),0)))-(((battery/range_nm)*D16*IF(ABS(MOD(ABS((L16*M16*IF(B16="South Korea",korea_mid_revleg,revleg_mid))),1)-0.5)&lt;1E-9,2*ROUND((L16*M16*IF(B16="South Korea",korea_mid_revleg,revleg_mid))/2,0),ROUND((L16*M16*IF(B16="South Korea",korea_mid_revleg,revleg_mid)),0))*VLOOKUP(B16,country_opex,3,FALSE))+W16+X16+Y16+Z16+AA16))&lt;=0,"",VLOOKUP(B16,country_opex,7,FALSE)/((T16*pax_cap*IF(B16="South Korea",korea_mid_load,load_mid)*IF(ABS(MOD(ABS((L16*M16*IF(B16="South Korea",korea_mid_revleg,revleg_mid))),1)-0.5)&lt;1E-9,2*ROUND((L16*M16*IF(B16="South Korea",korea_mid_revleg,revleg_mid))/2,0),ROUND((L16*M16*IF(B16="South Korea",korea_mid_revleg,revleg_mid)),0)))-(((battery/range_nm)*D16*IF(ABS(MOD(ABS((L16*M16*IF(B16="South Korea",korea_mid_revleg,revleg_mid))),1)-0.5)&lt;1E-9,2*ROUND((L16*M16*IF(B16="South Korea",korea_mid_revleg,revleg_mid))/2,0),ROUND((L16*M16*IF(B16="South Korea",korea_mid_revleg,revleg_mid)),0))*VLOOKUP(B16,country_opex,3,FALSE))+W16+X16+Y16+Z16+AA16)))</f>
        <v/>
      </c>
      <c r="AX16" s="45">
        <f>IF(((T16*pax_cap*load_full*IF(ABS(MOD(ABS((L16*M16*revleg_full)),1)-0.5)&lt;1E-9,2*ROUND((L16*M16*revleg_full)/2,0),ROUND((L16*M16*revleg_full),0)))-(((battery/range_nm)*D16*IF(ABS(MOD(ABS((L16*M16*revleg_full)),1)-0.5)&lt;1E-9,2*ROUND((L16*M16*revleg_full)/2,0),ROUND((L16*M16*revleg_full),0))*VLOOKUP(B16,country_opex,3,FALSE))+W16+X16+Y16+Z16+AA16))&lt;=0,"",VLOOKUP(B16,country_opex,7,FALSE)/((T16*pax_cap*load_full*IF(ABS(MOD(ABS((L16*M16*revleg_full)),1)-0.5)&lt;1E-9,2*ROUND((L16*M16*revleg_full)/2,0),ROUND((L16*M16*revleg_full),0)))-(((battery/range_nm)*D16*IF(ABS(MOD(ABS((L16*M16*revleg_full)),1)-0.5)&lt;1E-9,2*ROUND((L16*M16*revleg_full)/2,0),ROUND((L16*M16*revleg_full),0))*VLOOKUP(B16,country_opex,3,FALSE))+W16+X16+Y16+Z16+AA16)))</f>
        <v/>
      </c>
      <c r="AY16" s="46" t="inlineStr">
        <is>
          <t>AGERBA Resolução Nº 11 (2026-03-03) tariff table, in force 2026-03-06</t>
        </is>
      </c>
      <c r="AZ16" s="46" t="inlineStr">
        <is>
          <t>Ministério do Turismo figures released at the Salvador–Itaparica bridge groundbreaking (2026-07-01), via Diário do Turismo 2026-07-03; Jan–May 2026 = 3.42M (~8.2M annualized run-rate) corroborates.</t>
        </is>
      </c>
      <c r="BA16" s="34" t="inlineStr">
        <is>
          <t>rn-4aa1660ff921</t>
        </is>
      </c>
    </row>
    <row r="17">
      <c r="A17" s="31" t="inlineStr">
        <is>
          <t>Indrive Brazil</t>
        </is>
      </c>
      <c r="B17" s="31" t="inlineStr">
        <is>
          <t>Brazil</t>
        </is>
      </c>
      <c r="C17" s="32" t="inlineStr">
        <is>
          <t>Praça XV Terminal (central Rio) → Paquetá Island Terminal</t>
        </is>
      </c>
      <c r="D17" s="33" t="n">
        <v>9.199999999999999</v>
      </c>
      <c r="E17" s="27" t="n">
        <v>28</v>
      </c>
      <c r="F17" s="34" t="inlineStr">
        <is>
          <t>T1/T2</t>
        </is>
      </c>
      <c r="G17" s="34" t="inlineStr">
        <is>
          <t>med-low</t>
        </is>
      </c>
      <c r="H17" s="20" t="n">
        <v>1</v>
      </c>
      <c r="I17" s="35">
        <f>60*D17/cruise_kt</f>
        <v/>
      </c>
      <c r="J17" s="35">
        <f>IF(B17="South Korea",D17/korea_charge_range_nm*korea_full_range_charge_min,0)</f>
        <v/>
      </c>
      <c r="K17" s="35">
        <f>IF(B17="South Korea",I17+korea_turn_min+korea_dwell_min+J17,I17+turn_min+dwell_min)</f>
        <v/>
      </c>
      <c r="L17" s="36">
        <f>IF(B17="South Korea",FLOOR(60*korea_service_hr/K17,1),MIN(15,FLOOR(60*service_hr/K17,1)))</f>
        <v/>
      </c>
      <c r="M17" s="36">
        <f>IF(ABS(MOD(ABS((365*mech_uptime*H17)),1)-0.5)&lt;1E-9,2*ROUND((365*mech_uptime*H17)/2,0),ROUND((365*mech_uptime*H17),0))</f>
        <v/>
      </c>
      <c r="N17" s="37">
        <f>mech_uptime</f>
        <v/>
      </c>
      <c r="O17" s="37">
        <f>IF(AND(B17="South Korea",scenario="MID"),korea_mid_revleg,revleg_sel)</f>
        <v/>
      </c>
      <c r="P17" s="36">
        <f>IF(ABS(MOD(ABS((L17*M17*O17)),1)-0.5)&lt;1E-9,2*ROUND((L17*M17*O17)/2,0),ROUND((L17*M17*O17),0))</f>
        <v/>
      </c>
      <c r="Q17" s="37">
        <f>IF(AND(B17="South Korea",scenario="MID"),korea_mid_load,load_sel)</f>
        <v/>
      </c>
      <c r="R17" s="38">
        <f>pax_cap*Q17</f>
        <v/>
      </c>
      <c r="S17" s="36">
        <f>R17*P17</f>
        <v/>
      </c>
      <c r="T17" s="39">
        <f>E17*discount</f>
        <v/>
      </c>
      <c r="U17" s="40">
        <f>T17*S17</f>
        <v/>
      </c>
      <c r="V17" s="40">
        <f>(battery/range_nm)*D17*P17*VLOOKUP(B17,country_opex,3,FALSE)</f>
        <v/>
      </c>
      <c r="W17" s="40">
        <f>VLOOKUP(B17,country_opex,2,FALSE)*crew_factor</f>
        <v/>
      </c>
      <c r="X17" s="40">
        <f>VLOOKUP(B17,country_opex,5,FALSE)</f>
        <v/>
      </c>
      <c r="Y17" s="40">
        <f>maint</f>
        <v/>
      </c>
      <c r="Z17" s="40">
        <f>VLOOKUP(B17,country_opex,7,FALSE)*ins_pct</f>
        <v/>
      </c>
      <c r="AA17" s="40">
        <f>charge_berth</f>
        <v/>
      </c>
      <c r="AB17" s="40">
        <f>V17+W17+X17+Y17+Z17+AA17</f>
        <v/>
      </c>
      <c r="AC17" s="40">
        <f>VLOOKUP(B17,country_opex,7,FALSE)/dep_years</f>
        <v/>
      </c>
      <c r="AD17" s="40">
        <f>U17-AB17</f>
        <v/>
      </c>
      <c r="AE17" s="37">
        <f>IF(U17=0,"",AD17/U17)</f>
        <v/>
      </c>
      <c r="AF17" s="38">
        <f>IF(AD17&lt;=0,"",VLOOKUP(B17,country_opex,7,FALSE)/AD17)</f>
        <v/>
      </c>
      <c r="AG17" s="35">
        <f>((D17*P17/diesel_nmpg)*diesel_co2pg-(battery/range_nm)*D17*P17*VLOOKUP(B17,country_opex,4,FALSE))/1000</f>
        <v/>
      </c>
      <c r="AH17" s="33" t="n">
        <v>1170652</v>
      </c>
      <c r="AI17" s="34" t="inlineStr">
        <is>
          <t>T1</t>
        </is>
      </c>
      <c r="AJ17" s="34" t="inlineStr">
        <is>
          <t>high</t>
        </is>
      </c>
      <c r="AK17" s="41" t="n">
        <v>0.1</v>
      </c>
      <c r="AL17" s="36">
        <f>IF(AH17="","",AH17*AK17)</f>
        <v/>
      </c>
      <c r="AM17" s="36">
        <f>IF(OR(AH17="",S17=0),"",MIN(IF(AU17="",9.9E+99,AU17),FLOOR(AL17/S17,1)))</f>
        <v/>
      </c>
      <c r="AN17" s="40">
        <f>IF(AM17="","",AM17*IF(ABS(MOD(ABS((U17)),1)-0.5)&lt;1E-9,2*ROUND((U17)/2,0),ROUND((U17),0)))</f>
        <v/>
      </c>
      <c r="AO17" s="38">
        <f>IF(OR(AH17="",S17=0),"",MIN(IF(AU17="",9.9E+99,AU17),AL17/S17))</f>
        <v/>
      </c>
      <c r="AP17" s="40">
        <f>IF(AO17="","",AO17*IF(B17="South Korea",IF(ABS(MOD(ABS((U17)),1)-0.5)&lt;1E-9,2*ROUND((U17)/2,0),ROUND((U17),0)),U17))</f>
        <v/>
      </c>
      <c r="AQ17" s="42" t="n"/>
      <c r="AR17" s="34" t="inlineStr">
        <is>
          <t>Grounded</t>
        </is>
      </c>
      <c r="AS17" s="43" t="n"/>
      <c r="AT17" s="43" t="n"/>
      <c r="AU17" s="44" t="n"/>
      <c r="AV17" s="45">
        <f>IF(((T17*pax_cap*load_thin*IF(ABS(MOD(ABS((L17*M17*revleg_thin)),1)-0.5)&lt;1E-9,2*ROUND((L17*M17*revleg_thin)/2,0),ROUND((L17*M17*revleg_thin),0)))-(((battery/range_nm)*D17*IF(ABS(MOD(ABS((L17*M17*revleg_thin)),1)-0.5)&lt;1E-9,2*ROUND((L17*M17*revleg_thin)/2,0),ROUND((L17*M17*revleg_thin),0))*VLOOKUP(B17,country_opex,3,FALSE))+W17+X17+Y17+Z17+AA17))&lt;=0,"",VLOOKUP(B17,country_opex,7,FALSE)/((T17*pax_cap*load_thin*IF(ABS(MOD(ABS((L17*M17*revleg_thin)),1)-0.5)&lt;1E-9,2*ROUND((L17*M17*revleg_thin)/2,0),ROUND((L17*M17*revleg_thin),0)))-(((battery/range_nm)*D17*IF(ABS(MOD(ABS((L17*M17*revleg_thin)),1)-0.5)&lt;1E-9,2*ROUND((L17*M17*revleg_thin)/2,0),ROUND((L17*M17*revleg_thin),0))*VLOOKUP(B17,country_opex,3,FALSE))+W17+X17+Y17+Z17+AA17)))</f>
        <v/>
      </c>
      <c r="AW17" s="45">
        <f>IF(((T17*pax_cap*IF(B17="South Korea",korea_mid_load,load_mid)*IF(ABS(MOD(ABS((L17*M17*IF(B17="South Korea",korea_mid_revleg,revleg_mid))),1)-0.5)&lt;1E-9,2*ROUND((L17*M17*IF(B17="South Korea",korea_mid_revleg,revleg_mid))/2,0),ROUND((L17*M17*IF(B17="South Korea",korea_mid_revleg,revleg_mid)),0)))-(((battery/range_nm)*D17*IF(ABS(MOD(ABS((L17*M17*IF(B17="South Korea",korea_mid_revleg,revleg_mid))),1)-0.5)&lt;1E-9,2*ROUND((L17*M17*IF(B17="South Korea",korea_mid_revleg,revleg_mid))/2,0),ROUND((L17*M17*IF(B17="South Korea",korea_mid_revleg,revleg_mid)),0))*VLOOKUP(B17,country_opex,3,FALSE))+W17+X17+Y17+Z17+AA17))&lt;=0,"",VLOOKUP(B17,country_opex,7,FALSE)/((T17*pax_cap*IF(B17="South Korea",korea_mid_load,load_mid)*IF(ABS(MOD(ABS((L17*M17*IF(B17="South Korea",korea_mid_revleg,revleg_mid))),1)-0.5)&lt;1E-9,2*ROUND((L17*M17*IF(B17="South Korea",korea_mid_revleg,revleg_mid))/2,0),ROUND((L17*M17*IF(B17="South Korea",korea_mid_revleg,revleg_mid)),0)))-(((battery/range_nm)*D17*IF(ABS(MOD(ABS((L17*M17*IF(B17="South Korea",korea_mid_revleg,revleg_mid))),1)-0.5)&lt;1E-9,2*ROUND((L17*M17*IF(B17="South Korea",korea_mid_revleg,revleg_mid))/2,0),ROUND((L17*M17*IF(B17="South Korea",korea_mid_revleg,revleg_mid)),0))*VLOOKUP(B17,country_opex,3,FALSE))+W17+X17+Y17+Z17+AA17)))</f>
        <v/>
      </c>
      <c r="AX17" s="45">
        <f>IF(((T17*pax_cap*load_full*IF(ABS(MOD(ABS((L17*M17*revleg_full)),1)-0.5)&lt;1E-9,2*ROUND((L17*M17*revleg_full)/2,0),ROUND((L17*M17*revleg_full),0)))-(((battery/range_nm)*D17*IF(ABS(MOD(ABS((L17*M17*revleg_full)),1)-0.5)&lt;1E-9,2*ROUND((L17*M17*revleg_full)/2,0),ROUND((L17*M17*revleg_full),0))*VLOOKUP(B17,country_opex,3,FALSE))+W17+X17+Y17+Z17+AA17))&lt;=0,"",VLOOKUP(B17,country_opex,7,FALSE)/((T17*pax_cap*load_full*IF(ABS(MOD(ABS((L17*M17*revleg_full)),1)-0.5)&lt;1E-9,2*ROUND((L17*M17*revleg_full)/2,0),ROUND((L17*M17*revleg_full),0)))-(((battery/range_nm)*D17*IF(ABS(MOD(ABS((L17*M17*revleg_full)),1)-0.5)&lt;1E-9,2*ROUND((L17*M17*revleg_full)/2,0),ROUND((L17*M17*revleg_full),0))*VLOOKUP(B17,country_opex,3,FALSE))+W17+X17+Y17+Z17+AA17)))</f>
        <v/>
      </c>
      <c r="AY17" s="46" t="inlineStr">
        <is>
          <t>https://barcasrio.com.br/linhas-horarios-e-tarifas/</t>
        </is>
      </c>
      <c r="AZ17" s="46" t="inlineStr">
        <is>
          <t>https://www2.agetransp.rj.gov.br/arquivos/operacao-servicos/relatorio-de-atividades/Relat%C3%B3rio%20Mensal%20de%20Atividades%20Janeiro%202024.pdf</t>
        </is>
      </c>
      <c r="BA17" s="34" t="inlineStr">
        <is>
          <t>rn-00bb6ded4be5</t>
        </is>
      </c>
    </row>
    <row r="18">
      <c r="A18" s="31" t="inlineStr">
        <is>
          <t>Indrive Brazil</t>
        </is>
      </c>
      <c r="B18" s="31" t="inlineStr">
        <is>
          <t>Brazil</t>
        </is>
      </c>
      <c r="C18" s="32" t="inlineStr">
        <is>
          <t>Angra dos Reis Terminal (Costa Verde) → Abraão Terminal (Ilha Grande)</t>
        </is>
      </c>
      <c r="D18" s="33" t="n">
        <v>13</v>
      </c>
      <c r="E18" s="27" t="n">
        <v>30</v>
      </c>
      <c r="F18" s="34" t="inlineStr">
        <is>
          <t>T1</t>
        </is>
      </c>
      <c r="G18" s="34" t="inlineStr">
        <is>
          <t>high</t>
        </is>
      </c>
      <c r="H18" s="20" t="n">
        <v>1</v>
      </c>
      <c r="I18" s="35">
        <f>60*D18/cruise_kt</f>
        <v/>
      </c>
      <c r="J18" s="35">
        <f>IF(B18="South Korea",D18/korea_charge_range_nm*korea_full_range_charge_min,0)</f>
        <v/>
      </c>
      <c r="K18" s="35">
        <f>IF(B18="South Korea",I18+korea_turn_min+korea_dwell_min+J18,I18+turn_min+dwell_min)</f>
        <v/>
      </c>
      <c r="L18" s="36">
        <f>IF(B18="South Korea",FLOOR(60*korea_service_hr/K18,1),MIN(15,FLOOR(60*service_hr/K18,1)))</f>
        <v/>
      </c>
      <c r="M18" s="36">
        <f>IF(ABS(MOD(ABS((365*mech_uptime*H18)),1)-0.5)&lt;1E-9,2*ROUND((365*mech_uptime*H18)/2,0),ROUND((365*mech_uptime*H18),0))</f>
        <v/>
      </c>
      <c r="N18" s="37">
        <f>mech_uptime</f>
        <v/>
      </c>
      <c r="O18" s="37">
        <f>IF(AND(B18="South Korea",scenario="MID"),korea_mid_revleg,revleg_sel)</f>
        <v/>
      </c>
      <c r="P18" s="36">
        <f>IF(ABS(MOD(ABS((L18*M18*O18)),1)-0.5)&lt;1E-9,2*ROUND((L18*M18*O18)/2,0),ROUND((L18*M18*O18),0))</f>
        <v/>
      </c>
      <c r="Q18" s="37">
        <f>IF(AND(B18="South Korea",scenario="MID"),korea_mid_load,load_sel)</f>
        <v/>
      </c>
      <c r="R18" s="38">
        <f>pax_cap*Q18</f>
        <v/>
      </c>
      <c r="S18" s="36">
        <f>R18*P18</f>
        <v/>
      </c>
      <c r="T18" s="39">
        <f>E18*discount</f>
        <v/>
      </c>
      <c r="U18" s="40">
        <f>T18*S18</f>
        <v/>
      </c>
      <c r="V18" s="40">
        <f>(battery/range_nm)*D18*P18*VLOOKUP(B18,country_opex,3,FALSE)</f>
        <v/>
      </c>
      <c r="W18" s="40">
        <f>VLOOKUP(B18,country_opex,2,FALSE)*crew_factor</f>
        <v/>
      </c>
      <c r="X18" s="40">
        <f>VLOOKUP(B18,country_opex,5,FALSE)</f>
        <v/>
      </c>
      <c r="Y18" s="40">
        <f>maint</f>
        <v/>
      </c>
      <c r="Z18" s="40">
        <f>VLOOKUP(B18,country_opex,7,FALSE)*ins_pct</f>
        <v/>
      </c>
      <c r="AA18" s="40">
        <f>charge_berth</f>
        <v/>
      </c>
      <c r="AB18" s="40">
        <f>V18+W18+X18+Y18+Z18+AA18</f>
        <v/>
      </c>
      <c r="AC18" s="40">
        <f>VLOOKUP(B18,country_opex,7,FALSE)/dep_years</f>
        <v/>
      </c>
      <c r="AD18" s="40">
        <f>U18-AB18</f>
        <v/>
      </c>
      <c r="AE18" s="37">
        <f>IF(U18=0,"",AD18/U18)</f>
        <v/>
      </c>
      <c r="AF18" s="38">
        <f>IF(AD18&lt;=0,"",VLOOKUP(B18,country_opex,7,FALSE)/AD18)</f>
        <v/>
      </c>
      <c r="AG18" s="35">
        <f>((D18*P18/diesel_nmpg)*diesel_co2pg-(battery/range_nm)*D18*P18*VLOOKUP(B18,country_opex,4,FALSE))/1000</f>
        <v/>
      </c>
      <c r="AH18" s="33" t="n">
        <v>207993</v>
      </c>
      <c r="AI18" s="34" t="inlineStr">
        <is>
          <t>T1</t>
        </is>
      </c>
      <c r="AJ18" s="34" t="inlineStr">
        <is>
          <t>high</t>
        </is>
      </c>
      <c r="AK18" s="41" t="n">
        <v>0.1</v>
      </c>
      <c r="AL18" s="36">
        <f>IF(AH18="","",AH18*AK18)</f>
        <v/>
      </c>
      <c r="AM18" s="36">
        <f>IF(OR(AH18="",S18=0),"",MIN(IF(AU18="",9.9E+99,AU18),FLOOR(AL18/S18,1)))</f>
        <v/>
      </c>
      <c r="AN18" s="40">
        <f>IF(AM18="","",AM18*IF(ABS(MOD(ABS((U18)),1)-0.5)&lt;1E-9,2*ROUND((U18)/2,0),ROUND((U18),0)))</f>
        <v/>
      </c>
      <c r="AO18" s="38">
        <f>IF(OR(AH18="",S18=0),"",MIN(IF(AU18="",9.9E+99,AU18),AL18/S18))</f>
        <v/>
      </c>
      <c r="AP18" s="40">
        <f>IF(AO18="","",AO18*IF(B18="South Korea",IF(ABS(MOD(ABS((U18)),1)-0.5)&lt;1E-9,2*ROUND((U18)/2,0),ROUND((U18),0)),U18))</f>
        <v/>
      </c>
      <c r="AQ18" s="42" t="n"/>
      <c r="AR18" s="34" t="inlineStr">
        <is>
          <t>Grounded</t>
        </is>
      </c>
      <c r="AS18" s="43" t="n"/>
      <c r="AT18" s="43" t="n"/>
      <c r="AU18" s="44" t="n"/>
      <c r="AV18" s="45">
        <f>IF(((T18*pax_cap*load_thin*IF(ABS(MOD(ABS((L18*M18*revleg_thin)),1)-0.5)&lt;1E-9,2*ROUND((L18*M18*revleg_thin)/2,0),ROUND((L18*M18*revleg_thin),0)))-(((battery/range_nm)*D18*IF(ABS(MOD(ABS((L18*M18*revleg_thin)),1)-0.5)&lt;1E-9,2*ROUND((L18*M18*revleg_thin)/2,0),ROUND((L18*M18*revleg_thin),0))*VLOOKUP(B18,country_opex,3,FALSE))+W18+X18+Y18+Z18+AA18))&lt;=0,"",VLOOKUP(B18,country_opex,7,FALSE)/((T18*pax_cap*load_thin*IF(ABS(MOD(ABS((L18*M18*revleg_thin)),1)-0.5)&lt;1E-9,2*ROUND((L18*M18*revleg_thin)/2,0),ROUND((L18*M18*revleg_thin),0)))-(((battery/range_nm)*D18*IF(ABS(MOD(ABS((L18*M18*revleg_thin)),1)-0.5)&lt;1E-9,2*ROUND((L18*M18*revleg_thin)/2,0),ROUND((L18*M18*revleg_thin),0))*VLOOKUP(B18,country_opex,3,FALSE))+W18+X18+Y18+Z18+AA18)))</f>
        <v/>
      </c>
      <c r="AW18" s="45">
        <f>IF(((T18*pax_cap*IF(B18="South Korea",korea_mid_load,load_mid)*IF(ABS(MOD(ABS((L18*M18*IF(B18="South Korea",korea_mid_revleg,revleg_mid))),1)-0.5)&lt;1E-9,2*ROUND((L18*M18*IF(B18="South Korea",korea_mid_revleg,revleg_mid))/2,0),ROUND((L18*M18*IF(B18="South Korea",korea_mid_revleg,revleg_mid)),0)))-(((battery/range_nm)*D18*IF(ABS(MOD(ABS((L18*M18*IF(B18="South Korea",korea_mid_revleg,revleg_mid))),1)-0.5)&lt;1E-9,2*ROUND((L18*M18*IF(B18="South Korea",korea_mid_revleg,revleg_mid))/2,0),ROUND((L18*M18*IF(B18="South Korea",korea_mid_revleg,revleg_mid)),0))*VLOOKUP(B18,country_opex,3,FALSE))+W18+X18+Y18+Z18+AA18))&lt;=0,"",VLOOKUP(B18,country_opex,7,FALSE)/((T18*pax_cap*IF(B18="South Korea",korea_mid_load,load_mid)*IF(ABS(MOD(ABS((L18*M18*IF(B18="South Korea",korea_mid_revleg,revleg_mid))),1)-0.5)&lt;1E-9,2*ROUND((L18*M18*IF(B18="South Korea",korea_mid_revleg,revleg_mid))/2,0),ROUND((L18*M18*IF(B18="South Korea",korea_mid_revleg,revleg_mid)),0)))-(((battery/range_nm)*D18*IF(ABS(MOD(ABS((L18*M18*IF(B18="South Korea",korea_mid_revleg,revleg_mid))),1)-0.5)&lt;1E-9,2*ROUND((L18*M18*IF(B18="South Korea",korea_mid_revleg,revleg_mid))/2,0),ROUND((L18*M18*IF(B18="South Korea",korea_mid_revleg,revleg_mid)),0))*VLOOKUP(B18,country_opex,3,FALSE))+W18+X18+Y18+Z18+AA18)))</f>
        <v/>
      </c>
      <c r="AX18" s="45">
        <f>IF(((T18*pax_cap*load_full*IF(ABS(MOD(ABS((L18*M18*revleg_full)),1)-0.5)&lt;1E-9,2*ROUND((L18*M18*revleg_full)/2,0),ROUND((L18*M18*revleg_full),0)))-(((battery/range_nm)*D18*IF(ABS(MOD(ABS((L18*M18*revleg_full)),1)-0.5)&lt;1E-9,2*ROUND((L18*M18*revleg_full)/2,0),ROUND((L18*M18*revleg_full),0))*VLOOKUP(B18,country_opex,3,FALSE))+W18+X18+Y18+Z18+AA18))&lt;=0,"",VLOOKUP(B18,country_opex,7,FALSE)/((T18*pax_cap*load_full*IF(ABS(MOD(ABS((L18*M18*revleg_full)),1)-0.5)&lt;1E-9,2*ROUND((L18*M18*revleg_full)/2,0),ROUND((L18*M18*revleg_full),0)))-(((battery/range_nm)*D18*IF(ABS(MOD(ABS((L18*M18*revleg_full)),1)-0.5)&lt;1E-9,2*ROUND((L18*M18*revleg_full)/2,0),ROUND((L18*M18*revleg_full),0))*VLOOKUP(B18,country_opex,3,FALSE))+W18+X18+Y18+Z18+AA18)))</f>
        <v/>
      </c>
      <c r="AY18" s="46" t="inlineStr">
        <is>
          <t>AGETRANSP / CCR Barcas Costa Verde published tariff</t>
        </is>
      </c>
      <c r="AZ18" s="46" t="inlineStr">
        <is>
          <t>https://www2.agetransp.rj.gov.br/arquivos/operacao-servicos/relatorio-de-atividades/Relat%C3%B3rio%20Mensal%20de%20Atividades%20Janeiro%202024.pdf</t>
        </is>
      </c>
      <c r="BA18" s="34" t="inlineStr">
        <is>
          <t>rn-7ec802385553</t>
        </is>
      </c>
    </row>
    <row r="19">
      <c r="A19" s="31" t="inlineStr">
        <is>
          <t>Indrive Brazil</t>
        </is>
      </c>
      <c r="B19" s="31" t="inlineStr">
        <is>
          <t>Brazil</t>
        </is>
      </c>
      <c r="C19" s="32" t="inlineStr">
        <is>
          <t>Terminal Turístico Náutico da Bahia (Comércio) → Terminal Hidroviário de Morro de São Paulo (Cairu)</t>
        </is>
      </c>
      <c r="D19" s="33" t="n">
        <v>33.89</v>
      </c>
      <c r="E19" s="27" t="n">
        <v>30</v>
      </c>
      <c r="F19" s="34" t="n"/>
      <c r="G19" s="34" t="n"/>
      <c r="H19" s="20" t="n">
        <v>1</v>
      </c>
      <c r="I19" s="35">
        <f>60*D19/cruise_kt</f>
        <v/>
      </c>
      <c r="J19" s="35">
        <f>IF(B19="South Korea",D19/korea_charge_range_nm*korea_full_range_charge_min,0)</f>
        <v/>
      </c>
      <c r="K19" s="35">
        <f>IF(B19="South Korea",I19+korea_turn_min+korea_dwell_min+J19,I19+turn_min+dwell_min)</f>
        <v/>
      </c>
      <c r="L19" s="36">
        <f>IF(B19="South Korea",FLOOR(60*korea_service_hr/K19,1),MIN(15,FLOOR(60*service_hr/K19,1)))</f>
        <v/>
      </c>
      <c r="M19" s="36">
        <f>IF(ABS(MOD(ABS((365*mech_uptime*H19)),1)-0.5)&lt;1E-9,2*ROUND((365*mech_uptime*H19)/2,0),ROUND((365*mech_uptime*H19),0))</f>
        <v/>
      </c>
      <c r="N19" s="37">
        <f>mech_uptime</f>
        <v/>
      </c>
      <c r="O19" s="37">
        <f>IF(AND(B19="South Korea",scenario="MID"),korea_mid_revleg,revleg_sel)</f>
        <v/>
      </c>
      <c r="P19" s="36">
        <f>IF(ABS(MOD(ABS((L19*M19*O19)),1)-0.5)&lt;1E-9,2*ROUND((L19*M19*O19)/2,0),ROUND((L19*M19*O19),0))</f>
        <v/>
      </c>
      <c r="Q19" s="37">
        <f>IF(AND(B19="South Korea",scenario="MID"),korea_mid_load,load_sel)</f>
        <v/>
      </c>
      <c r="R19" s="38">
        <f>pax_cap*Q19</f>
        <v/>
      </c>
      <c r="S19" s="36">
        <f>R19*P19</f>
        <v/>
      </c>
      <c r="T19" s="39">
        <f>E19*discount</f>
        <v/>
      </c>
      <c r="U19" s="40">
        <f>T19*S19</f>
        <v/>
      </c>
      <c r="V19" s="40">
        <f>(battery/range_nm)*D19*P19*VLOOKUP(B19,country_opex,3,FALSE)</f>
        <v/>
      </c>
      <c r="W19" s="40">
        <f>VLOOKUP(B19,country_opex,2,FALSE)*crew_factor</f>
        <v/>
      </c>
      <c r="X19" s="40">
        <f>VLOOKUP(B19,country_opex,5,FALSE)</f>
        <v/>
      </c>
      <c r="Y19" s="40">
        <f>maint</f>
        <v/>
      </c>
      <c r="Z19" s="40">
        <f>VLOOKUP(B19,country_opex,7,FALSE)*ins_pct</f>
        <v/>
      </c>
      <c r="AA19" s="40">
        <f>charge_berth</f>
        <v/>
      </c>
      <c r="AB19" s="40">
        <f>V19+W19+X19+Y19+Z19+AA19</f>
        <v/>
      </c>
      <c r="AC19" s="40">
        <f>VLOOKUP(B19,country_opex,7,FALSE)/dep_years</f>
        <v/>
      </c>
      <c r="AD19" s="40">
        <f>U19-AB19</f>
        <v/>
      </c>
      <c r="AE19" s="37">
        <f>IF(U19=0,"",AD19/U19)</f>
        <v/>
      </c>
      <c r="AF19" s="38">
        <f>IF(AD19&lt;=0,"",VLOOKUP(B19,country_opex,7,FALSE)/AD19)</f>
        <v/>
      </c>
      <c r="AG19" s="35">
        <f>((D19*P19/diesel_nmpg)*diesel_co2pg-(battery/range_nm)*D19*P19*VLOOKUP(B19,country_opex,4,FALSE))/1000</f>
        <v/>
      </c>
      <c r="AH19" s="33" t="n"/>
      <c r="AI19" s="34" t="n"/>
      <c r="AJ19" s="34" t="n"/>
      <c r="AK19" s="41" t="n">
        <v>0.1</v>
      </c>
      <c r="AL19" s="36">
        <f>IF(AH19="","",AH19*AK19)</f>
        <v/>
      </c>
      <c r="AM19" s="36">
        <f>IF(OR(AH19="",S19=0),"",MIN(IF(AU19="",9.9E+99,AU19),FLOOR(AL19/S19,1)))</f>
        <v/>
      </c>
      <c r="AN19" s="40">
        <f>IF(AM19="","",AM19*IF(ABS(MOD(ABS((U19)),1)-0.5)&lt;1E-9,2*ROUND((U19)/2,0),ROUND((U19),0)))</f>
        <v/>
      </c>
      <c r="AO19" s="38">
        <f>IF(OR(AH19="",S19=0),"",MIN(IF(AU19="",9.9E+99,AU19),AL19/S19))</f>
        <v/>
      </c>
      <c r="AP19" s="40">
        <f>IF(AO19="","",AO19*IF(B19="South Korea",IF(ABS(MOD(ABS((U19)),1)-0.5)&lt;1E-9,2*ROUND((U19)/2,0),ROUND((U19),0)),U19))</f>
        <v/>
      </c>
      <c r="AQ19" s="42" t="n"/>
      <c r="AR19" s="34" t="inlineStr">
        <is>
          <t>Estimated</t>
        </is>
      </c>
      <c r="AS19" s="43" t="n"/>
      <c r="AT19" s="43" t="n"/>
      <c r="AU19" s="44" t="n"/>
      <c r="AV19" s="45">
        <f>IF(((T19*pax_cap*load_thin*IF(ABS(MOD(ABS((L19*M19*revleg_thin)),1)-0.5)&lt;1E-9,2*ROUND((L19*M19*revleg_thin)/2,0),ROUND((L19*M19*revleg_thin),0)))-(((battery/range_nm)*D19*IF(ABS(MOD(ABS((L19*M19*revleg_thin)),1)-0.5)&lt;1E-9,2*ROUND((L19*M19*revleg_thin)/2,0),ROUND((L19*M19*revleg_thin),0))*VLOOKUP(B19,country_opex,3,FALSE))+W19+X19+Y19+Z19+AA19))&lt;=0,"",VLOOKUP(B19,country_opex,7,FALSE)/((T19*pax_cap*load_thin*IF(ABS(MOD(ABS((L19*M19*revleg_thin)),1)-0.5)&lt;1E-9,2*ROUND((L19*M19*revleg_thin)/2,0),ROUND((L19*M19*revleg_thin),0)))-(((battery/range_nm)*D19*IF(ABS(MOD(ABS((L19*M19*revleg_thin)),1)-0.5)&lt;1E-9,2*ROUND((L19*M19*revleg_thin)/2,0),ROUND((L19*M19*revleg_thin),0))*VLOOKUP(B19,country_opex,3,FALSE))+W19+X19+Y19+Z19+AA19)))</f>
        <v/>
      </c>
      <c r="AW19" s="45">
        <f>IF(((T19*pax_cap*IF(B19="South Korea",korea_mid_load,load_mid)*IF(ABS(MOD(ABS((L19*M19*IF(B19="South Korea",korea_mid_revleg,revleg_mid))),1)-0.5)&lt;1E-9,2*ROUND((L19*M19*IF(B19="South Korea",korea_mid_revleg,revleg_mid))/2,0),ROUND((L19*M19*IF(B19="South Korea",korea_mid_revleg,revleg_mid)),0)))-(((battery/range_nm)*D19*IF(ABS(MOD(ABS((L19*M19*IF(B19="South Korea",korea_mid_revleg,revleg_mid))),1)-0.5)&lt;1E-9,2*ROUND((L19*M19*IF(B19="South Korea",korea_mid_revleg,revleg_mid))/2,0),ROUND((L19*M19*IF(B19="South Korea",korea_mid_revleg,revleg_mid)),0))*VLOOKUP(B19,country_opex,3,FALSE))+W19+X19+Y19+Z19+AA19))&lt;=0,"",VLOOKUP(B19,country_opex,7,FALSE)/((T19*pax_cap*IF(B19="South Korea",korea_mid_load,load_mid)*IF(ABS(MOD(ABS((L19*M19*IF(B19="South Korea",korea_mid_revleg,revleg_mid))),1)-0.5)&lt;1E-9,2*ROUND((L19*M19*IF(B19="South Korea",korea_mid_revleg,revleg_mid))/2,0),ROUND((L19*M19*IF(B19="South Korea",korea_mid_revleg,revleg_mid)),0)))-(((battery/range_nm)*D19*IF(ABS(MOD(ABS((L19*M19*IF(B19="South Korea",korea_mid_revleg,revleg_mid))),1)-0.5)&lt;1E-9,2*ROUND((L19*M19*IF(B19="South Korea",korea_mid_revleg,revleg_mid))/2,0),ROUND((L19*M19*IF(B19="South Korea",korea_mid_revleg,revleg_mid)),0))*VLOOKUP(B19,country_opex,3,FALSE))+W19+X19+Y19+Z19+AA19)))</f>
        <v/>
      </c>
      <c r="AX19" s="45">
        <f>IF(((T19*pax_cap*load_full*IF(ABS(MOD(ABS((L19*M19*revleg_full)),1)-0.5)&lt;1E-9,2*ROUND((L19*M19*revleg_full)/2,0),ROUND((L19*M19*revleg_full),0)))-(((battery/range_nm)*D19*IF(ABS(MOD(ABS((L19*M19*revleg_full)),1)-0.5)&lt;1E-9,2*ROUND((L19*M19*revleg_full)/2,0),ROUND((L19*M19*revleg_full),0))*VLOOKUP(B19,country_opex,3,FALSE))+W19+X19+Y19+Z19+AA19))&lt;=0,"",VLOOKUP(B19,country_opex,7,FALSE)/((T19*pax_cap*load_full*IF(ABS(MOD(ABS((L19*M19*revleg_full)),1)-0.5)&lt;1E-9,2*ROUND((L19*M19*revleg_full)/2,0),ROUND((L19*M19*revleg_full),0)))-(((battery/range_nm)*D19*IF(ABS(MOD(ABS((L19*M19*revleg_full)),1)-0.5)&lt;1E-9,2*ROUND((L19*M19*revleg_full)/2,0),ROUND((L19*M19*revleg_full),0))*VLOOKUP(B19,country_opex,3,FALSE))+W19+X19+Y19+Z19+AA19)))</f>
        <v/>
      </c>
      <c r="AY19" s="46" t="n"/>
      <c r="AZ19" s="46" t="n"/>
      <c r="BA19" s="34" t="inlineStr">
        <is>
          <t>rn-8dbc3663c115</t>
        </is>
      </c>
    </row>
    <row r="20">
      <c r="A20" s="31" t="inlineStr">
        <is>
          <t>Indrive Egypt</t>
        </is>
      </c>
      <c r="B20" s="31" t="inlineStr">
        <is>
          <t>Egypt</t>
        </is>
      </c>
      <c r="C20" s="32" t="inlineStr">
        <is>
          <t>Hurghada Marina → Giftun Island (Orange Bay / Mahmya)</t>
        </is>
      </c>
      <c r="D20" s="33" t="n">
        <v>6.6</v>
      </c>
      <c r="E20" s="27" t="n">
        <v>32</v>
      </c>
      <c r="F20" s="34" t="n"/>
      <c r="G20" s="34" t="n"/>
      <c r="H20" s="20" t="n">
        <v>1</v>
      </c>
      <c r="I20" s="35">
        <f>60*D20/cruise_kt</f>
        <v/>
      </c>
      <c r="J20" s="35">
        <f>IF(B20="South Korea",D20/korea_charge_range_nm*korea_full_range_charge_min,0)</f>
        <v/>
      </c>
      <c r="K20" s="35">
        <f>IF(B20="South Korea",I20+korea_turn_min+korea_dwell_min+J20,I20+turn_min+dwell_min)</f>
        <v/>
      </c>
      <c r="L20" s="36">
        <f>IF(B20="South Korea",FLOOR(60*korea_service_hr/K20,1),MIN(15,FLOOR(60*service_hr/K20,1)))</f>
        <v/>
      </c>
      <c r="M20" s="36">
        <f>IF(ABS(MOD(ABS((365*mech_uptime*H20)),1)-0.5)&lt;1E-9,2*ROUND((365*mech_uptime*H20)/2,0),ROUND((365*mech_uptime*H20),0))</f>
        <v/>
      </c>
      <c r="N20" s="37">
        <f>mech_uptime</f>
        <v/>
      </c>
      <c r="O20" s="37">
        <f>IF(AND(B20="South Korea",scenario="MID"),korea_mid_revleg,revleg_sel)</f>
        <v/>
      </c>
      <c r="P20" s="36">
        <f>IF(ABS(MOD(ABS((L20*M20*O20)),1)-0.5)&lt;1E-9,2*ROUND((L20*M20*O20)/2,0),ROUND((L20*M20*O20),0))</f>
        <v/>
      </c>
      <c r="Q20" s="37">
        <f>IF(AND(B20="South Korea",scenario="MID"),korea_mid_load,load_sel)</f>
        <v/>
      </c>
      <c r="R20" s="38">
        <f>pax_cap*Q20</f>
        <v/>
      </c>
      <c r="S20" s="36">
        <f>R20*P20</f>
        <v/>
      </c>
      <c r="T20" s="39">
        <f>E20*discount</f>
        <v/>
      </c>
      <c r="U20" s="40">
        <f>T20*S20</f>
        <v/>
      </c>
      <c r="V20" s="40">
        <f>(battery/range_nm)*D20*P20*VLOOKUP(B20,country_opex,3,FALSE)</f>
        <v/>
      </c>
      <c r="W20" s="40">
        <f>VLOOKUP(B20,country_opex,2,FALSE)*crew_factor</f>
        <v/>
      </c>
      <c r="X20" s="40">
        <f>VLOOKUP(B20,country_opex,5,FALSE)</f>
        <v/>
      </c>
      <c r="Y20" s="40">
        <f>maint</f>
        <v/>
      </c>
      <c r="Z20" s="40">
        <f>VLOOKUP(B20,country_opex,7,FALSE)*ins_pct</f>
        <v/>
      </c>
      <c r="AA20" s="40">
        <f>charge_berth</f>
        <v/>
      </c>
      <c r="AB20" s="40">
        <f>V20+W20+X20+Y20+Z20+AA20</f>
        <v/>
      </c>
      <c r="AC20" s="40">
        <f>VLOOKUP(B20,country_opex,7,FALSE)/dep_years</f>
        <v/>
      </c>
      <c r="AD20" s="40">
        <f>U20-AB20</f>
        <v/>
      </c>
      <c r="AE20" s="37">
        <f>IF(U20=0,"",AD20/U20)</f>
        <v/>
      </c>
      <c r="AF20" s="38">
        <f>IF(AD20&lt;=0,"",VLOOKUP(B20,country_opex,7,FALSE)/AD20)</f>
        <v/>
      </c>
      <c r="AG20" s="35">
        <f>((D20*P20/diesel_nmpg)*diesel_co2pg-(battery/range_nm)*D20*P20*VLOOKUP(B20,country_opex,4,FALSE))/1000</f>
        <v/>
      </c>
      <c r="AH20" s="33" t="n">
        <v>187512</v>
      </c>
      <c r="AI20" s="34" t="n"/>
      <c r="AJ20" s="34" t="n"/>
      <c r="AK20" s="41" t="n">
        <v>0.9</v>
      </c>
      <c r="AL20" s="36">
        <f>IF(AH20="","",AH20*AK20)</f>
        <v/>
      </c>
      <c r="AM20" s="36">
        <f>IF(OR(AH20="",S20=0),"",MIN(IF(AU20="",9.9E+99,AU20),FLOOR(AL20/S20,1)))</f>
        <v/>
      </c>
      <c r="AN20" s="40">
        <f>IF(AM20="","",AM20*IF(ABS(MOD(ABS((U20)),1)-0.5)&lt;1E-9,2*ROUND((U20)/2,0),ROUND((U20),0)))</f>
        <v/>
      </c>
      <c r="AO20" s="38">
        <f>IF(OR(AH20="",S20=0),"",MIN(IF(AU20="",9.9E+99,AU20),AL20/S20))</f>
        <v/>
      </c>
      <c r="AP20" s="40">
        <f>IF(AO20="","",AO20*IF(B20="South Korea",IF(ABS(MOD(ABS((U20)),1)-0.5)&lt;1E-9,2*ROUND((U20)/2,0),ROUND((U20),0)),U20))</f>
        <v/>
      </c>
      <c r="AQ20" s="42" t="n"/>
      <c r="AR20" s="34" t="inlineStr">
        <is>
          <t>Grounded</t>
        </is>
      </c>
      <c r="AS20" s="43" t="n"/>
      <c r="AT20" s="43" t="n"/>
      <c r="AU20" s="44" t="n"/>
      <c r="AV20" s="45">
        <f>IF(((T20*pax_cap*load_thin*IF(ABS(MOD(ABS((L20*M20*revleg_thin)),1)-0.5)&lt;1E-9,2*ROUND((L20*M20*revleg_thin)/2,0),ROUND((L20*M20*revleg_thin),0)))-(((battery/range_nm)*D20*IF(ABS(MOD(ABS((L20*M20*revleg_thin)),1)-0.5)&lt;1E-9,2*ROUND((L20*M20*revleg_thin)/2,0),ROUND((L20*M20*revleg_thin),0))*VLOOKUP(B20,country_opex,3,FALSE))+W20+X20+Y20+Z20+AA20))&lt;=0,"",VLOOKUP(B20,country_opex,7,FALSE)/((T20*pax_cap*load_thin*IF(ABS(MOD(ABS((L20*M20*revleg_thin)),1)-0.5)&lt;1E-9,2*ROUND((L20*M20*revleg_thin)/2,0),ROUND((L20*M20*revleg_thin),0)))-(((battery/range_nm)*D20*IF(ABS(MOD(ABS((L20*M20*revleg_thin)),1)-0.5)&lt;1E-9,2*ROUND((L20*M20*revleg_thin)/2,0),ROUND((L20*M20*revleg_thin),0))*VLOOKUP(B20,country_opex,3,FALSE))+W20+X20+Y20+Z20+AA20)))</f>
        <v/>
      </c>
      <c r="AW20" s="45">
        <f>IF(((T20*pax_cap*IF(B20="South Korea",korea_mid_load,load_mid)*IF(ABS(MOD(ABS((L20*M20*IF(B20="South Korea",korea_mid_revleg,revleg_mid))),1)-0.5)&lt;1E-9,2*ROUND((L20*M20*IF(B20="South Korea",korea_mid_revleg,revleg_mid))/2,0),ROUND((L20*M20*IF(B20="South Korea",korea_mid_revleg,revleg_mid)),0)))-(((battery/range_nm)*D20*IF(ABS(MOD(ABS((L20*M20*IF(B20="South Korea",korea_mid_revleg,revleg_mid))),1)-0.5)&lt;1E-9,2*ROUND((L20*M20*IF(B20="South Korea",korea_mid_revleg,revleg_mid))/2,0),ROUND((L20*M20*IF(B20="South Korea",korea_mid_revleg,revleg_mid)),0))*VLOOKUP(B20,country_opex,3,FALSE))+W20+X20+Y20+Z20+AA20))&lt;=0,"",VLOOKUP(B20,country_opex,7,FALSE)/((T20*pax_cap*IF(B20="South Korea",korea_mid_load,load_mid)*IF(ABS(MOD(ABS((L20*M20*IF(B20="South Korea",korea_mid_revleg,revleg_mid))),1)-0.5)&lt;1E-9,2*ROUND((L20*M20*IF(B20="South Korea",korea_mid_revleg,revleg_mid))/2,0),ROUND((L20*M20*IF(B20="South Korea",korea_mid_revleg,revleg_mid)),0)))-(((battery/range_nm)*D20*IF(ABS(MOD(ABS((L20*M20*IF(B20="South Korea",korea_mid_revleg,revleg_mid))),1)-0.5)&lt;1E-9,2*ROUND((L20*M20*IF(B20="South Korea",korea_mid_revleg,revleg_mid))/2,0),ROUND((L20*M20*IF(B20="South Korea",korea_mid_revleg,revleg_mid)),0))*VLOOKUP(B20,country_opex,3,FALSE))+W20+X20+Y20+Z20+AA20)))</f>
        <v/>
      </c>
      <c r="AX20" s="45">
        <f>IF(((T20*pax_cap*load_full*IF(ABS(MOD(ABS((L20*M20*revleg_full)),1)-0.5)&lt;1E-9,2*ROUND((L20*M20*revleg_full)/2,0),ROUND((L20*M20*revleg_full),0)))-(((battery/range_nm)*D20*IF(ABS(MOD(ABS((L20*M20*revleg_full)),1)-0.5)&lt;1E-9,2*ROUND((L20*M20*revleg_full)/2,0),ROUND((L20*M20*revleg_full),0))*VLOOKUP(B20,country_opex,3,FALSE))+W20+X20+Y20+Z20+AA20))&lt;=0,"",VLOOKUP(B20,country_opex,7,FALSE)/((T20*pax_cap*load_full*IF(ABS(MOD(ABS((L20*M20*revleg_full)),1)-0.5)&lt;1E-9,2*ROUND((L20*M20*revleg_full)/2,0),ROUND((L20*M20*revleg_full),0)))-(((battery/range_nm)*D20*IF(ABS(MOD(ABS((L20*M20*revleg_full)),1)-0.5)&lt;1E-9,2*ROUND((L20*M20*revleg_full)/2,0),ROUND((L20*M20*revleg_full),0))*VLOOKUP(B20,country_opex,3,FALSE))+W20+X20+Y20+Z20+AA20)))</f>
        <v/>
      </c>
      <c r="AY20" s="46" t="n"/>
      <c r="AZ20" s="46" t="n"/>
      <c r="BA20" s="34" t="inlineStr">
        <is>
          <t>rn-b06f6971ed47</t>
        </is>
      </c>
    </row>
    <row r="21">
      <c r="A21" s="31" t="inlineStr">
        <is>
          <t>Indrive Egypt</t>
        </is>
      </c>
      <c r="B21" s="31" t="inlineStr">
        <is>
          <t>Egypt</t>
        </is>
      </c>
      <c r="C21" s="32" t="inlineStr">
        <is>
          <t>Sharm Marina (Sharm El Maya / Old Market Harbour) → Ras Mohammed (reef jetty)</t>
        </is>
      </c>
      <c r="D21" s="33" t="n">
        <v>11.7</v>
      </c>
      <c r="E21" s="27" t="n">
        <v>50</v>
      </c>
      <c r="F21" s="34" t="n"/>
      <c r="G21" s="34" t="n"/>
      <c r="H21" s="20" t="n">
        <v>1</v>
      </c>
      <c r="I21" s="35">
        <f>60*D21/cruise_kt</f>
        <v/>
      </c>
      <c r="J21" s="35">
        <f>IF(B21="South Korea",D21/korea_charge_range_nm*korea_full_range_charge_min,0)</f>
        <v/>
      </c>
      <c r="K21" s="35">
        <f>IF(B21="South Korea",I21+korea_turn_min+korea_dwell_min+J21,I21+turn_min+dwell_min)</f>
        <v/>
      </c>
      <c r="L21" s="36">
        <f>IF(B21="South Korea",FLOOR(60*korea_service_hr/K21,1),MIN(15,FLOOR(60*service_hr/K21,1)))</f>
        <v/>
      </c>
      <c r="M21" s="36">
        <f>IF(ABS(MOD(ABS((365*mech_uptime*H21)),1)-0.5)&lt;1E-9,2*ROUND((365*mech_uptime*H21)/2,0),ROUND((365*mech_uptime*H21),0))</f>
        <v/>
      </c>
      <c r="N21" s="37">
        <f>mech_uptime</f>
        <v/>
      </c>
      <c r="O21" s="37">
        <f>IF(AND(B21="South Korea",scenario="MID"),korea_mid_revleg,revleg_sel)</f>
        <v/>
      </c>
      <c r="P21" s="36">
        <f>IF(ABS(MOD(ABS((L21*M21*O21)),1)-0.5)&lt;1E-9,2*ROUND((L21*M21*O21)/2,0),ROUND((L21*M21*O21),0))</f>
        <v/>
      </c>
      <c r="Q21" s="37">
        <f>IF(AND(B21="South Korea",scenario="MID"),korea_mid_load,load_sel)</f>
        <v/>
      </c>
      <c r="R21" s="38">
        <f>pax_cap*Q21</f>
        <v/>
      </c>
      <c r="S21" s="36">
        <f>R21*P21</f>
        <v/>
      </c>
      <c r="T21" s="39">
        <f>E21*discount</f>
        <v/>
      </c>
      <c r="U21" s="40">
        <f>T21*S21</f>
        <v/>
      </c>
      <c r="V21" s="40">
        <f>(battery/range_nm)*D21*P21*VLOOKUP(B21,country_opex,3,FALSE)</f>
        <v/>
      </c>
      <c r="W21" s="40">
        <f>VLOOKUP(B21,country_opex,2,FALSE)*crew_factor</f>
        <v/>
      </c>
      <c r="X21" s="40">
        <f>VLOOKUP(B21,country_opex,5,FALSE)</f>
        <v/>
      </c>
      <c r="Y21" s="40">
        <f>maint</f>
        <v/>
      </c>
      <c r="Z21" s="40">
        <f>VLOOKUP(B21,country_opex,7,FALSE)*ins_pct</f>
        <v/>
      </c>
      <c r="AA21" s="40">
        <f>charge_berth</f>
        <v/>
      </c>
      <c r="AB21" s="40">
        <f>V21+W21+X21+Y21+Z21+AA21</f>
        <v/>
      </c>
      <c r="AC21" s="40">
        <f>VLOOKUP(B21,country_opex,7,FALSE)/dep_years</f>
        <v/>
      </c>
      <c r="AD21" s="40">
        <f>U21-AB21</f>
        <v/>
      </c>
      <c r="AE21" s="37">
        <f>IF(U21=0,"",AD21/U21)</f>
        <v/>
      </c>
      <c r="AF21" s="38">
        <f>IF(AD21&lt;=0,"",VLOOKUP(B21,country_opex,7,FALSE)/AD21)</f>
        <v/>
      </c>
      <c r="AG21" s="35">
        <f>((D21*P21/diesel_nmpg)*diesel_co2pg-(battery/range_nm)*D21*P21*VLOOKUP(B21,country_opex,4,FALSE))/1000</f>
        <v/>
      </c>
      <c r="AH21" s="33" t="n">
        <v>50000</v>
      </c>
      <c r="AI21" s="34" t="n"/>
      <c r="AJ21" s="34" t="n"/>
      <c r="AK21" s="41" t="n">
        <v>0.9</v>
      </c>
      <c r="AL21" s="36">
        <f>IF(AH21="","",AH21*AK21)</f>
        <v/>
      </c>
      <c r="AM21" s="36">
        <f>IF(OR(AH21="",S21=0),"",MIN(IF(AU21="",9.9E+99,AU21),FLOOR(AL21/S21,1)))</f>
        <v/>
      </c>
      <c r="AN21" s="40">
        <f>IF(AM21="","",AM21*IF(ABS(MOD(ABS((U21)),1)-0.5)&lt;1E-9,2*ROUND((U21)/2,0),ROUND((U21),0)))</f>
        <v/>
      </c>
      <c r="AO21" s="38">
        <f>IF(OR(AH21="",S21=0),"",MIN(IF(AU21="",9.9E+99,AU21),AL21/S21))</f>
        <v/>
      </c>
      <c r="AP21" s="40">
        <f>IF(AO21="","",AO21*IF(B21="South Korea",IF(ABS(MOD(ABS((U21)),1)-0.5)&lt;1E-9,2*ROUND((U21)/2,0),ROUND((U21),0)),U21))</f>
        <v/>
      </c>
      <c r="AQ21" s="42" t="n"/>
      <c r="AR21" s="34" t="inlineStr">
        <is>
          <t>Grounded</t>
        </is>
      </c>
      <c r="AS21" s="43" t="n"/>
      <c r="AT21" s="43" t="n"/>
      <c r="AU21" s="44" t="n"/>
      <c r="AV21" s="45">
        <f>IF(((T21*pax_cap*load_thin*IF(ABS(MOD(ABS((L21*M21*revleg_thin)),1)-0.5)&lt;1E-9,2*ROUND((L21*M21*revleg_thin)/2,0),ROUND((L21*M21*revleg_thin),0)))-(((battery/range_nm)*D21*IF(ABS(MOD(ABS((L21*M21*revleg_thin)),1)-0.5)&lt;1E-9,2*ROUND((L21*M21*revleg_thin)/2,0),ROUND((L21*M21*revleg_thin),0))*VLOOKUP(B21,country_opex,3,FALSE))+W21+X21+Y21+Z21+AA21))&lt;=0,"",VLOOKUP(B21,country_opex,7,FALSE)/((T21*pax_cap*load_thin*IF(ABS(MOD(ABS((L21*M21*revleg_thin)),1)-0.5)&lt;1E-9,2*ROUND((L21*M21*revleg_thin)/2,0),ROUND((L21*M21*revleg_thin),0)))-(((battery/range_nm)*D21*IF(ABS(MOD(ABS((L21*M21*revleg_thin)),1)-0.5)&lt;1E-9,2*ROUND((L21*M21*revleg_thin)/2,0),ROUND((L21*M21*revleg_thin),0))*VLOOKUP(B21,country_opex,3,FALSE))+W21+X21+Y21+Z21+AA21)))</f>
        <v/>
      </c>
      <c r="AW21" s="45">
        <f>IF(((T21*pax_cap*IF(B21="South Korea",korea_mid_load,load_mid)*IF(ABS(MOD(ABS((L21*M21*IF(B21="South Korea",korea_mid_revleg,revleg_mid))),1)-0.5)&lt;1E-9,2*ROUND((L21*M21*IF(B21="South Korea",korea_mid_revleg,revleg_mid))/2,0),ROUND((L21*M21*IF(B21="South Korea",korea_mid_revleg,revleg_mid)),0)))-(((battery/range_nm)*D21*IF(ABS(MOD(ABS((L21*M21*IF(B21="South Korea",korea_mid_revleg,revleg_mid))),1)-0.5)&lt;1E-9,2*ROUND((L21*M21*IF(B21="South Korea",korea_mid_revleg,revleg_mid))/2,0),ROUND((L21*M21*IF(B21="South Korea",korea_mid_revleg,revleg_mid)),0))*VLOOKUP(B21,country_opex,3,FALSE))+W21+X21+Y21+Z21+AA21))&lt;=0,"",VLOOKUP(B21,country_opex,7,FALSE)/((T21*pax_cap*IF(B21="South Korea",korea_mid_load,load_mid)*IF(ABS(MOD(ABS((L21*M21*IF(B21="South Korea",korea_mid_revleg,revleg_mid))),1)-0.5)&lt;1E-9,2*ROUND((L21*M21*IF(B21="South Korea",korea_mid_revleg,revleg_mid))/2,0),ROUND((L21*M21*IF(B21="South Korea",korea_mid_revleg,revleg_mid)),0)))-(((battery/range_nm)*D21*IF(ABS(MOD(ABS((L21*M21*IF(B21="South Korea",korea_mid_revleg,revleg_mid))),1)-0.5)&lt;1E-9,2*ROUND((L21*M21*IF(B21="South Korea",korea_mid_revleg,revleg_mid))/2,0),ROUND((L21*M21*IF(B21="South Korea",korea_mid_revleg,revleg_mid)),0))*VLOOKUP(B21,country_opex,3,FALSE))+W21+X21+Y21+Z21+AA21)))</f>
        <v/>
      </c>
      <c r="AX21" s="45">
        <f>IF(((T21*pax_cap*load_full*IF(ABS(MOD(ABS((L21*M21*revleg_full)),1)-0.5)&lt;1E-9,2*ROUND((L21*M21*revleg_full)/2,0),ROUND((L21*M21*revleg_full),0)))-(((battery/range_nm)*D21*IF(ABS(MOD(ABS((L21*M21*revleg_full)),1)-0.5)&lt;1E-9,2*ROUND((L21*M21*revleg_full)/2,0),ROUND((L21*M21*revleg_full),0))*VLOOKUP(B21,country_opex,3,FALSE))+W21+X21+Y21+Z21+AA21))&lt;=0,"",VLOOKUP(B21,country_opex,7,FALSE)/((T21*pax_cap*load_full*IF(ABS(MOD(ABS((L21*M21*revleg_full)),1)-0.5)&lt;1E-9,2*ROUND((L21*M21*revleg_full)/2,0),ROUND((L21*M21*revleg_full),0)))-(((battery/range_nm)*D21*IF(ABS(MOD(ABS((L21*M21*revleg_full)),1)-0.5)&lt;1E-9,2*ROUND((L21*M21*revleg_full)/2,0),ROUND((L21*M21*revleg_full),0))*VLOOKUP(B21,country_opex,3,FALSE))+W21+X21+Y21+Z21+AA21)))</f>
        <v/>
      </c>
      <c r="AY21" s="46" t="n"/>
      <c r="AZ21" s="46" t="n"/>
      <c r="BA21" s="34" t="inlineStr">
        <is>
          <t>rn-c16a1627130f</t>
        </is>
      </c>
    </row>
    <row r="22">
      <c r="A22" s="47" t="inlineStr">
        <is>
          <t>TOTAL / median</t>
        </is>
      </c>
      <c r="U22" s="48">
        <f>SUM(U4:U21)</f>
        <v/>
      </c>
      <c r="AD22" s="48">
        <f>SUM(AD4:AD21)</f>
        <v/>
      </c>
      <c r="AE22" s="49">
        <f>IF(U22=0,"",AD22/U22)</f>
        <v/>
      </c>
      <c r="AM22" s="50">
        <f>SUM(AM4:AM21)</f>
        <v/>
      </c>
      <c r="AN22" s="48">
        <f>SUM(AN4:AN21)</f>
        <v/>
      </c>
    </row>
    <row r="24">
      <c r="A24" s="9" t="inlineStr">
        <is>
          <t>Market fleet build-up — grounded floor (network-sum of raw vessel fractions per market, rounded once; subset slices excluded; legacy per-corridor-floor totals above kept for reference)</t>
        </is>
      </c>
    </row>
    <row r="25">
      <c r="A25" s="25" t="inlineStr">
        <is>
          <t>Market</t>
        </is>
      </c>
      <c r="B25" s="25" t="inlineStr">
        <is>
          <t>Fleet basis</t>
        </is>
      </c>
      <c r="C25" s="25" t="inlineStr">
        <is>
          <t>Raw vessels (sum)</t>
        </is>
      </c>
      <c r="D25" s="25" t="inlineStr">
        <is>
          <t>Fleet (rounded once)</t>
        </is>
      </c>
      <c r="E25" s="25" t="inlineStr">
        <is>
          <t>Market rev/yr (raw sum)</t>
        </is>
      </c>
    </row>
    <row r="26">
      <c r="A26" s="26" t="inlineStr">
        <is>
          <t>Indrive Brazil</t>
        </is>
      </c>
      <c r="B26" s="14" t="inlineStr">
        <is>
          <t>per_corridor_floor</t>
        </is>
      </c>
      <c r="C26" s="14" t="inlineStr">
        <is>
          <t>—</t>
        </is>
      </c>
      <c r="D26" s="51">
        <f>SUMIFS(AM4:AM21,A4:A21,"Indrive Brazil",AQ4:AQ21,"=",AR4:AR21,"Grounded")</f>
        <v/>
      </c>
      <c r="E26" s="52">
        <f>SUMIFS(AN4:AN21,A4:A21,"Indrive Brazil",AQ4:AQ21,"=",AR4:AR21,"Grounded")</f>
        <v/>
      </c>
    </row>
    <row r="27">
      <c r="A27" s="26" t="inlineStr">
        <is>
          <t>Indrive Egypt</t>
        </is>
      </c>
      <c r="B27" s="14" t="inlineStr">
        <is>
          <t>two luxury-belt captive routes on labeled destination-pool demand at ~90% floor capture; three held</t>
        </is>
      </c>
      <c r="C27" s="14" t="inlineStr">
        <is>
          <t>—</t>
        </is>
      </c>
      <c r="D27" s="51">
        <f>SUMIFS(AM4:AM21,A4:A21,"Indrive Egypt",AQ4:AQ21,"=",AR4:AR21,"Grounded")</f>
        <v/>
      </c>
      <c r="E27" s="52">
        <f>SUMIFS(AN4:AN21,A4:A21,"Indrive Egypt",AQ4:AQ21,"=",AR4:AR21,"Grounded")</f>
        <v/>
      </c>
    </row>
    <row r="28">
      <c r="A28" s="47" t="inlineStr">
        <is>
          <t>GROUNDED FLOOR (PUBLISHED)</t>
        </is>
      </c>
      <c r="D28" s="50">
        <f>SUM(D26:D27)</f>
        <v/>
      </c>
      <c r="E28" s="48">
        <f>SUM(E26:E27)</f>
        <v/>
      </c>
    </row>
    <row r="29">
      <c r="A29" s="21" t="inlineStr">
        <is>
          <t>ESTIMATED DEMAND (country-median cascade; held OUT of grounded floor)</t>
        </is>
      </c>
      <c r="D29" s="53">
        <f>SUMIF(AR4:AR21,"Estimated",AM4:AM21)</f>
        <v/>
      </c>
      <c r="E29" s="54">
        <f>SUMIF(AR4:AR21,"Estimated",AN4:AN21)</f>
        <v/>
      </c>
    </row>
  </sheetData>
  <mergeCells count="2">
    <mergeCell ref="A24:L24"/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72" customWidth="1" min="5" max="5"/>
  </cols>
  <sheetData>
    <row r="1">
      <c r="A1" s="9" t="inlineStr">
        <is>
          <t>Market sizing — how the grounded floor builds into SOM → SAM → TAM</t>
        </is>
      </c>
    </row>
    <row r="3">
      <c r="A3" s="10" t="inlineStr">
        <is>
          <t>Growth multipliers (bands: low / MID / high)</t>
        </is>
      </c>
    </row>
    <row r="4">
      <c r="A4" s="11" t="inlineStr">
        <is>
          <t>Multiplier</t>
        </is>
      </c>
      <c r="B4" s="11" t="inlineStr">
        <is>
          <t>Low</t>
        </is>
      </c>
      <c r="C4" s="11" t="inlineStr">
        <is>
          <t>MID</t>
        </is>
      </c>
      <c r="D4" s="11" t="inlineStr">
        <is>
          <t>High</t>
        </is>
      </c>
      <c r="E4" s="11" t="inlineStr">
        <is>
          <t>What it means</t>
        </is>
      </c>
    </row>
    <row r="5">
      <c r="A5" s="26" t="inlineStr">
        <is>
          <t>Induced demand (k)</t>
        </is>
      </c>
      <c r="B5" s="20" t="n">
        <v>1.3</v>
      </c>
      <c r="C5" s="20" t="n">
        <v>1.8</v>
      </c>
      <c r="D5" s="20" t="n">
        <v>2.5</v>
      </c>
      <c r="E5" s="15" t="inlineStr">
        <is>
          <t>Faster/quieter product grows the crossing market beyond today's trips.</t>
        </is>
      </c>
    </row>
    <row r="6">
      <c r="A6" s="26" t="inlineStr">
        <is>
          <t>Mature capture rate (c)</t>
        </is>
      </c>
      <c r="B6" s="41" t="n">
        <v>0.15</v>
      </c>
      <c r="C6" s="41" t="n">
        <v>0.25</v>
      </c>
      <c r="D6" s="41" t="n">
        <v>0.4</v>
      </c>
      <c r="E6" s="15" t="inlineStr">
        <is>
          <t>Navier's corridor share once it is the established premium default (vs 10% floor).</t>
        </is>
      </c>
    </row>
    <row r="7">
      <c r="A7" s="26" t="inlineStr">
        <is>
          <t>Journey GMV multiple (m)</t>
        </is>
      </c>
      <c r="B7" s="20" t="n">
        <v>2</v>
      </c>
      <c r="C7" s="20" t="n">
        <v>3</v>
      </c>
      <c r="D7" s="20" t="n">
        <v>4</v>
      </c>
      <c r="E7" s="15" t="inlineStr">
        <is>
          <t>Whole island-journey wallet (transport+food+stay+experiences) as a multiple of the boat fare.</t>
        </is>
      </c>
    </row>
    <row r="8">
      <c r="A8" s="26" t="inlineStr">
        <is>
          <t>Greenfield network factor (g)</t>
        </is>
      </c>
      <c r="B8" s="20" t="n">
        <v>3.44</v>
      </c>
      <c r="C8" s="20" t="n">
        <v>4.9</v>
      </c>
      <c r="D8" s="20" t="n">
        <v>6.36</v>
      </c>
      <c r="E8" s="15" t="inlineStr">
        <is>
          <t>Width lever: addressable network vs the sourced subset (ID-based census).</t>
        </is>
      </c>
    </row>
    <row r="9">
      <c r="A9" s="26" t="inlineStr">
        <is>
          <t>Platform take rate</t>
        </is>
      </c>
      <c r="C9" s="41" t="n">
        <v>0.18</v>
      </c>
      <c r="E9" s="15" t="inlineStr">
        <is>
          <t>Super-app blended commission on journey GMV (derived line only).</t>
        </is>
      </c>
    </row>
    <row r="11">
      <c r="A11" s="26" t="inlineStr">
        <is>
          <t>SOM capture rate (floor)</t>
        </is>
      </c>
      <c r="C11" s="55">
        <f>som_floor_rev/(ROUND(SUMPRODUCT(--('Corridor economics'!$AR$4:$AR$21="Grounded"),'Corridor economics'!$AH$4:$AH$21,'Corridor economics'!$E$4:$E$21),0))</f>
        <v/>
      </c>
      <c r="E11" s="15" t="inlineStr">
        <is>
          <t>New-entrant ~11% share of today's pool (= the published floor).</t>
        </is>
      </c>
    </row>
    <row r="13">
      <c r="A13" s="10" t="inlineStr">
        <is>
          <t>The ladder (live off the corridor floor)</t>
        </is>
      </c>
    </row>
    <row r="14">
      <c r="A14" s="11" t="inlineStr">
        <is>
          <t>Rung</t>
        </is>
      </c>
      <c r="B14" s="11" t="inlineStr">
        <is>
          <t>Low</t>
        </is>
      </c>
      <c r="C14" s="11" t="inlineStr">
        <is>
          <t>MID</t>
        </is>
      </c>
      <c r="D14" s="11" t="inlineStr">
        <is>
          <t>High</t>
        </is>
      </c>
      <c r="E14" s="11" t="inlineStr">
        <is>
          <t>Definition</t>
        </is>
      </c>
    </row>
    <row r="15">
      <c r="A15" s="26" t="inlineStr">
        <is>
          <t>SOM floor — Navier transport rev/yr (PUBLISHED)</t>
        </is>
      </c>
      <c r="C15" s="52">
        <f>som_floor_rev</f>
        <v/>
      </c>
      <c r="E15" s="15" t="inlineStr">
        <is>
          <t>Live sum of grounded-floor corridor market-rev only (Floor bucket = Grounded; cascade-estimated rows held out). Matches growth.py _headline_anchor and deck TAM.</t>
        </is>
      </c>
    </row>
    <row r="16">
      <c r="A16" s="26" t="inlineStr">
        <is>
          <t>M_today — model comparable-fare transport pool on sourced corridors</t>
        </is>
      </c>
      <c r="C16" s="52">
        <f>ROUND(SUMPRODUCT(--('Corridor economics'!$AR$4:$AR$21="Grounded"),'Corridor economics'!$AH$4:$AH$21,'Corridor economics'!$E$4:$E$21),0)</f>
        <v/>
      </c>
      <c r="E16" s="15" t="inlineStr">
        <is>
          <t>Direct sum of sourced one-way demand × the disclosed model comparable fare on grounded corridors; includes any labelled premium re-fare applied above and is independent of display-rounded capture.</t>
        </is>
      </c>
    </row>
    <row r="18">
      <c r="A18" s="26" t="inlineStr">
        <is>
          <t>SOM full network (~11% capture, today, +greenfield)</t>
        </is>
      </c>
      <c r="B18" s="52">
        <f>$C$16*$C$11*$B$8</f>
        <v/>
      </c>
      <c r="C18" s="52">
        <f>$C$16*$C$11*$C$8</f>
        <v/>
      </c>
      <c r="D18" s="52">
        <f>$C$16*$C$11*$D$8</f>
        <v/>
      </c>
      <c r="E18" s="15" t="inlineStr">
        <is>
          <t>Floor posture (~11% captive capture, today's demand) extended across the whole mapped network.</t>
        </is>
      </c>
    </row>
    <row r="19">
      <c r="A19" s="26" t="inlineStr">
        <is>
          <t>SAM — sourced corridors only (depth, no greenfield)</t>
        </is>
      </c>
      <c r="B19" s="52">
        <f>$C$16*$B$5*$B$6</f>
        <v/>
      </c>
      <c r="C19" s="52">
        <f>$C$16*$C$5*$C$6</f>
        <v/>
      </c>
      <c r="D19" s="52">
        <f>$C$16*$D$5*$D$6</f>
        <v/>
      </c>
      <c r="E19" s="15" t="inlineStr">
        <is>
          <t>Matured network on the sourced corridors alone: induced demand × mature capture.</t>
        </is>
      </c>
    </row>
    <row r="20">
      <c r="A20" s="26" t="inlineStr">
        <is>
          <t>SAM — Navier transport rev @ full network (HEADLINE)</t>
        </is>
      </c>
      <c r="B20" s="52">
        <f>$C$16*$B$5*$B$6*$B$8</f>
        <v/>
      </c>
      <c r="C20" s="52">
        <f>$C$16*$C$5*$C$6*$C$8</f>
        <v/>
      </c>
      <c r="D20" s="52">
        <f>$C$16*$D$5*$D$6*$D$8</f>
        <v/>
      </c>
      <c r="E20" s="15" t="inlineStr">
        <is>
          <t>Matured across the full addressable network: induced × mature capture × greenfield width.</t>
        </is>
      </c>
    </row>
    <row r="21">
      <c r="A21" s="26" t="inlineStr">
        <is>
          <t>Marine mobility TAM — induced marine-transfer market (LB-110)</t>
        </is>
      </c>
      <c r="B21" s="52">
        <f>$C$16*$B$5*$B$8</f>
        <v/>
      </c>
      <c r="C21" s="52">
        <f>$C$16*$C$5*$C$8</f>
        <v/>
      </c>
      <c r="D21" s="52">
        <f>$C$16*$D$5*$D$8</f>
        <v/>
      </c>
      <c r="E21" s="15" t="inlineStr">
        <is>
          <t>SAM divided by leading-operator capture (= M_today × induced × greenfield). The full inducible water-transfer wallet at network maturity, before any capture constraint.</t>
        </is>
      </c>
    </row>
    <row r="22">
      <c r="A22" s="26" t="inlineStr">
        <is>
          <t>Journey GMV — induced crossing × multiple (was TAM journey GMV)</t>
        </is>
      </c>
      <c r="B22" s="52">
        <f>$C$16*$B$5*$B$7*$B$8</f>
        <v/>
      </c>
      <c r="C22" s="52">
        <f>$C$16*$C$5*$C$7*$C$8</f>
        <v/>
      </c>
      <c r="D22" s="52">
        <f>$C$16*$D$5*$D$7*$D$8</f>
        <v/>
      </c>
      <c r="E22" s="15" t="inlineStr">
        <is>
          <t>Whole-journey spend (transport+food+stay+experiences) across the induced crossing market on the full network. Marine TAM × journey GMV multiple.</t>
        </is>
      </c>
    </row>
    <row r="23">
      <c r="A23" s="26" t="inlineStr">
        <is>
          <t>Journey GMV routed through Navier network</t>
        </is>
      </c>
      <c r="B23" s="52">
        <f>$C$16*$B$5*$B$6*$B$7*$B$8</f>
        <v/>
      </c>
      <c r="C23" s="52">
        <f>$C$16*$C$5*$C$6*$C$7*$C$8</f>
        <v/>
      </c>
      <c r="D23" s="52">
        <f>$C$16*$D$5*$D$6*$D$7*$D$8</f>
        <v/>
      </c>
      <c r="E23" s="15" t="inlineStr">
        <is>
          <t>Journey GMV on Navier-carried trips only.</t>
        </is>
      </c>
    </row>
    <row r="24">
      <c r="A24" s="26" t="inlineStr">
        <is>
          <t>Partner platform revenue on Navier (LB-113 — on-Navier subset, not 18% of full Journey GMV)</t>
        </is>
      </c>
      <c r="B24" s="52">
        <f>$C$16*$B$5*$B$6*$B$7*$B$8*$C$9</f>
        <v/>
      </c>
      <c r="C24" s="52">
        <f>$C$16*$C$5*$C$6*$C$7*$C$8*$C$9</f>
        <v/>
      </c>
      <c r="D24" s="52">
        <f>$C$16*$D$5*$D$6*$D$7*$D$8*$C$9</f>
        <v/>
      </c>
      <c r="E24" s="15" t="inlineStr">
        <is>
          <t>The super-app's own commission — the number a platform partner cares about.</t>
        </is>
      </c>
    </row>
    <row r="26">
      <c r="A26" s="56" t="inlineStr">
        <is>
          <t>Note</t>
        </is>
      </c>
      <c r="B26" s="57" t="inlineStr">
        <is>
          <t>All rungs are one multiplication chain off M_today, which is live off the corridor floor. Change any input (a fare, a multiplier, the scenario) and the whole ladder moves. Bands (low/MID/high) are never single points; greenfield census is per-partner.</t>
        </is>
      </c>
    </row>
  </sheetData>
  <mergeCells count="4">
    <mergeCell ref="B26:E26"/>
    <mergeCell ref="A1:E1"/>
    <mergeCell ref="A13:E13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2026-07-19T23:21:02Z</dcterms:created>
  <dcterms:modified xsi:type="dcterms:W3CDTF">2026-07-19T23:21:02Z</dcterms:modified>
</cp:coreProperties>
</file>