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Indrive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3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  <row r="4">
      <c r="A4" s="26" t="inlineStr">
        <is>
          <t>Brazil</t>
        </is>
      </c>
      <c r="B4" s="27" t="n">
        <v>14000</v>
      </c>
      <c r="C4" s="28" t="n">
        <v>0.09</v>
      </c>
      <c r="D4" s="20" t="n">
        <v>0.5</v>
      </c>
      <c r="E4" s="27" t="n">
        <v>10000</v>
      </c>
      <c r="F4" s="20" t="n">
        <v>0.38</v>
      </c>
      <c r="G4" s="27" t="n">
        <v>600000</v>
      </c>
      <c r="H4" s="15" t="inlineStr">
        <is>
          <t>Minor Hotels seal preflight — modeled vs SG anchor | Minor Hotels seal preflight — national tariff avg | Modeled | CAPEX LB-243 US/EU=$900K else $600K</t>
        </is>
      </c>
    </row>
    <row r="5">
      <c r="A5" s="26" t="inlineStr">
        <is>
          <t>Egypt</t>
        </is>
      </c>
      <c r="B5" s="27" t="n">
        <v>12000</v>
      </c>
      <c r="C5" s="28" t="n">
        <v>0.06</v>
      </c>
      <c r="D5" s="20" t="n">
        <v>0.45</v>
      </c>
      <c r="E5" s="27" t="n">
        <v>8000</v>
      </c>
      <c r="F5" s="20" t="n">
        <v>0.3</v>
      </c>
      <c r="G5" s="27" t="n">
        <v>600000</v>
      </c>
      <c r="H5" s="15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9" t="inlineStr">
        <is>
          <t>Indrive Egypt</t>
        </is>
      </c>
      <c r="B4" s="15" t="inlineStr">
        <is>
          <t>Hurghada Marina → Sahl Hasheesh Marina</t>
        </is>
      </c>
      <c r="C4" s="15" t="inlineStr">
        <is>
          <t>rn-3d161664de08</t>
        </is>
      </c>
      <c r="D4" s="15" t="inlineStr">
        <is>
          <t>Egypt</t>
        </is>
      </c>
      <c r="E4" s="15" t="inlineStr">
        <is>
          <t>Exact canonical geometry exists, but an exact route-level annual one-way passenger count and locally comparable passenger fare have not both been supported for this route.</t>
        </is>
      </c>
    </row>
    <row r="5">
      <c r="A5" s="29" t="inlineStr">
        <is>
          <t>Indrive Egypt</t>
        </is>
      </c>
      <c r="B5" s="15" t="inlineStr">
        <is>
          <t>Hurghada Marina → Soma Bay Marina</t>
        </is>
      </c>
      <c r="C5" s="15" t="inlineStr">
        <is>
          <t>rn-173d32792c07</t>
        </is>
      </c>
      <c r="D5" s="15" t="inlineStr">
        <is>
          <t>Egypt</t>
        </is>
      </c>
      <c r="E5" s="15" t="inlineStr">
        <is>
          <t>Exact canonical geometry exists, but an exact route-level annual one-way passenger count and locally comparable passenger fare have not both been supported for this route.</t>
        </is>
      </c>
    </row>
    <row r="6">
      <c r="A6" s="29" t="inlineStr">
        <is>
          <t>Indrive Egypt</t>
        </is>
      </c>
      <c r="B6" s="15" t="inlineStr">
        <is>
          <t>Sharm Marina (Sharm El Maya / Old Market Harbour) → Sharks Bay Marina (purpose-built fast-boat terminal)</t>
        </is>
      </c>
      <c r="C6" s="15" t="inlineStr">
        <is>
          <t>rn-285fc16b29dc</t>
        </is>
      </c>
      <c r="D6" s="15" t="inlineStr">
        <is>
          <t>Egypt</t>
        </is>
      </c>
      <c r="E6" s="15" t="inlineStr">
        <is>
          <t>Exact canonical geometry exists, but an exact route-level annual one-way passenger count and locally comparable passenger fare have not both been supported for this route.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1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Indrive — Corridor economics (one boat, one year; MID = headline)</t>
        </is>
      </c>
      <c r="N1" s="30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31" t="inlineStr">
        <is>
          <t>Indrive Brazil</t>
        </is>
      </c>
      <c r="B4" s="31" t="inlineStr">
        <is>
          <t>Brazil</t>
        </is>
      </c>
      <c r="C4" s="32" t="inlineStr">
        <is>
          <t>Praça XV Terminal (central Rio) → Arariboia Terminal (Niterói)</t>
        </is>
      </c>
      <c r="D4" s="33" t="n">
        <v>2.7</v>
      </c>
      <c r="E4" s="27" t="n">
        <v>18</v>
      </c>
      <c r="F4" s="34" t="inlineStr">
        <is>
          <t>T1/T2</t>
        </is>
      </c>
      <c r="G4" s="34" t="inlineStr">
        <is>
          <t>med-low</t>
        </is>
      </c>
      <c r="H4" s="20" t="n">
        <v>1</v>
      </c>
      <c r="I4" s="35">
        <f>60*D4/cruise_kt</f>
        <v/>
      </c>
      <c r="J4" s="35">
        <f>IF(B4="South Korea",D4/korea_charge_range_nm*korea_full_range_charge_min,0)</f>
        <v/>
      </c>
      <c r="K4" s="35">
        <f>IF(B4="South Korea",I4+korea_turn_min+korea_dwell_min+J4,I4+turn_min+dwell_min)</f>
        <v/>
      </c>
      <c r="L4" s="36">
        <f>IF(B4="South Korea",FLOOR(60*korea_service_hr/K4,1),MIN(15,FLOOR(60*service_hr/K4,1)))</f>
        <v/>
      </c>
      <c r="M4" s="36">
        <f>IF(ABS(MOD(ABS((365*mech_uptime*H4)),1)-0.5)&lt;1E-9,2*ROUND((365*mech_uptime*H4)/2,0),ROUND((365*mech_uptime*H4),0))</f>
        <v/>
      </c>
      <c r="N4" s="37">
        <f>mech_uptime</f>
        <v/>
      </c>
      <c r="O4" s="37">
        <f>IF(AND(B4="South Korea",scenario="MID"),korea_mid_revleg,revleg_sel)</f>
        <v/>
      </c>
      <c r="P4" s="36">
        <f>IF(ABS(MOD(ABS((L4*M4*O4)),1)-0.5)&lt;1E-9,2*ROUND((L4*M4*O4)/2,0),ROUND((L4*M4*O4),0))</f>
        <v/>
      </c>
      <c r="Q4" s="37">
        <f>IF(AND(B4="South Korea",scenario="MID"),korea_mid_load,load_sel)</f>
        <v/>
      </c>
      <c r="R4" s="38">
        <f>pax_cap*Q4</f>
        <v/>
      </c>
      <c r="S4" s="36">
        <f>R4*P4</f>
        <v/>
      </c>
      <c r="T4" s="39">
        <f>E4*discount</f>
        <v/>
      </c>
      <c r="U4" s="40">
        <f>T4*S4</f>
        <v/>
      </c>
      <c r="V4" s="40">
        <f>(battery/range_nm)*D4*P4*VLOOKUP(B4,country_opex,3,FALSE)</f>
        <v/>
      </c>
      <c r="W4" s="40">
        <f>VLOOKUP(B4,country_opex,2,FALSE)*crew_factor</f>
        <v/>
      </c>
      <c r="X4" s="40">
        <f>VLOOKUP(B4,country_opex,5,FALSE)</f>
        <v/>
      </c>
      <c r="Y4" s="40">
        <f>maint</f>
        <v/>
      </c>
      <c r="Z4" s="40">
        <f>VLOOKUP(B4,country_opex,7,FALSE)*ins_pct</f>
        <v/>
      </c>
      <c r="AA4" s="40">
        <f>charge_berth</f>
        <v/>
      </c>
      <c r="AB4" s="40">
        <f>V4+W4+X4+Y4+Z4+AA4</f>
        <v/>
      </c>
      <c r="AC4" s="40">
        <f>VLOOKUP(B4,country_opex,7,FALSE)/dep_years</f>
        <v/>
      </c>
      <c r="AD4" s="40">
        <f>U4-AB4</f>
        <v/>
      </c>
      <c r="AE4" s="37">
        <f>IF(U4=0,"",AD4/U4)</f>
        <v/>
      </c>
      <c r="AF4" s="38">
        <f>IF(AD4&lt;=0,"",VLOOKUP(B4,country_opex,7,FALSE)/AD4)</f>
        <v/>
      </c>
      <c r="AG4" s="35">
        <f>((D4*P4/diesel_nmpg)*diesel_co2pg-(battery/range_nm)*D4*P4*VLOOKUP(B4,country_opex,4,FALSE))/1000</f>
        <v/>
      </c>
      <c r="AH4" s="33" t="n">
        <v>10848719</v>
      </c>
      <c r="AI4" s="34" t="inlineStr">
        <is>
          <t>T1</t>
        </is>
      </c>
      <c r="AJ4" s="34" t="inlineStr">
        <is>
          <t>high</t>
        </is>
      </c>
      <c r="AK4" s="41" t="n">
        <v>0.1</v>
      </c>
      <c r="AL4" s="36">
        <f>IF(AH4="","",AH4*AK4)</f>
        <v/>
      </c>
      <c r="AM4" s="36">
        <f>IF(OR(AH4="",S4=0),"",MIN(IF(AU4="",9.9E+99,AU4),FLOOR(AL4/S4,1)))</f>
        <v/>
      </c>
      <c r="AN4" s="40">
        <f>IF(AM4="","",AM4*IF(ABS(MOD(ABS((U4)),1)-0.5)&lt;1E-9,2*ROUND((U4)/2,0),ROUND((U4),0)))</f>
        <v/>
      </c>
      <c r="AO4" s="38">
        <f>IF(OR(AH4="",S4=0),"",MIN(IF(AU4="",9.9E+99,AU4),AL4/S4))</f>
        <v/>
      </c>
      <c r="AP4" s="40">
        <f>IF(AO4="","",AO4*IF(B4="South Korea",IF(ABS(MOD(ABS((U4)),1)-0.5)&lt;1E-9,2*ROUND((U4)/2,0),ROUND((U4),0)),U4))</f>
        <v/>
      </c>
      <c r="AQ4" s="42" t="n"/>
      <c r="AR4" s="34" t="inlineStr">
        <is>
          <t>Grounded</t>
        </is>
      </c>
      <c r="AS4" s="43" t="n"/>
      <c r="AT4" s="43" t="n"/>
      <c r="AU4" s="44" t="n"/>
      <c r="AV4" s="45">
        <f>IF(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&lt;=0,"",VLOOKUP(B4,country_opex,7,FALSE)/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)</f>
        <v/>
      </c>
      <c r="AW4" s="45">
        <f>IF(((T4*pax_cap*IF(B4="South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Korea",korea_mid_revleg,revleg_mid)),0))*VLOOKUP(B4,country_opex,3,FALSE))+W4+X4+Y4+Z4+AA4))&lt;=0,"",VLOOKUP(B4,country_opex,7,FALSE)/((T4*pax_cap*IF(B4="South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Korea",korea_mid_revleg,revleg_mid)),0))*VLOOKUP(B4,country_opex,3,FALSE))+W4+X4+Y4+Z4+AA4)))</f>
        <v/>
      </c>
      <c r="AX4" s="45">
        <f>IF(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&lt;=0,"",VLOOKUP(B4,country_opex,7,FALSE)/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)</f>
        <v/>
      </c>
      <c r="AY4" s="46" t="inlineStr">
        <is>
          <t>[LB-255 PREMIUM RE-FARE: subsidized comparable $0.9741 lifted to premium on-demand floor $18.0] https://barcasrio.com.br/linhas-horarios-e-tarifas/</t>
        </is>
      </c>
      <c r="AZ4" s="46" t="inlineStr">
        <is>
          <t>https://www2.agetransp.rj.gov.br/arquivos/operacao-servicos/relatorio-de-atividades/Relat%C3%B3rio%20Mensal%20de%20Atividades%20Janeiro%202024.pdf</t>
        </is>
      </c>
      <c r="BA4" s="34" t="inlineStr">
        <is>
          <t>rn-1886629dbf0c</t>
        </is>
      </c>
    </row>
    <row r="5">
      <c r="A5" s="31" t="inlineStr">
        <is>
          <t>Indrive Brazil</t>
        </is>
      </c>
      <c r="B5" s="31" t="inlineStr">
        <is>
          <t>Brazil</t>
        </is>
      </c>
      <c r="C5" s="32" t="inlineStr">
        <is>
          <t>Praça XV Terminal (central Rio) → Charitas Terminal (Niterói, fast catamaran)</t>
        </is>
      </c>
      <c r="D5" s="33" t="n">
        <v>4.4</v>
      </c>
      <c r="E5" s="27" t="n">
        <v>18</v>
      </c>
      <c r="F5" s="34" t="inlineStr">
        <is>
          <t>T1/T2</t>
        </is>
      </c>
      <c r="G5" s="34" t="inlineStr">
        <is>
          <t>med-low</t>
        </is>
      </c>
      <c r="H5" s="20" t="n">
        <v>1</v>
      </c>
      <c r="I5" s="35">
        <f>60*D5/cruise_kt</f>
        <v/>
      </c>
      <c r="J5" s="35">
        <f>IF(B5="South Korea",D5/korea_charge_range_nm*korea_full_range_charge_min,0)</f>
        <v/>
      </c>
      <c r="K5" s="35">
        <f>IF(B5="South Korea",I5+korea_turn_min+korea_dwell_min+J5,I5+turn_min+dwell_min)</f>
        <v/>
      </c>
      <c r="L5" s="36">
        <f>IF(B5="South Korea",FLOOR(60*korea_service_hr/K5,1),MIN(15,FLOOR(60*service_hr/K5,1)))</f>
        <v/>
      </c>
      <c r="M5" s="36">
        <f>IF(ABS(MOD(ABS((365*mech_uptime*H5)),1)-0.5)&lt;1E-9,2*ROUND((365*mech_uptime*H5)/2,0),ROUND((365*mech_uptime*H5),0))</f>
        <v/>
      </c>
      <c r="N5" s="37">
        <f>mech_uptime</f>
        <v/>
      </c>
      <c r="O5" s="37">
        <f>IF(AND(B5="South Korea",scenario="MID"),korea_mid_revleg,revleg_sel)</f>
        <v/>
      </c>
      <c r="P5" s="36">
        <f>IF(ABS(MOD(ABS((L5*M5*O5)),1)-0.5)&lt;1E-9,2*ROUND((L5*M5*O5)/2,0),ROUND((L5*M5*O5),0))</f>
        <v/>
      </c>
      <c r="Q5" s="37">
        <f>IF(AND(B5="South Korea",scenario="MID"),korea_mid_load,load_sel)</f>
        <v/>
      </c>
      <c r="R5" s="38">
        <f>pax_cap*Q5</f>
        <v/>
      </c>
      <c r="S5" s="36">
        <f>R5*P5</f>
        <v/>
      </c>
      <c r="T5" s="39">
        <f>E5*discount</f>
        <v/>
      </c>
      <c r="U5" s="40">
        <f>T5*S5</f>
        <v/>
      </c>
      <c r="V5" s="40">
        <f>(battery/range_nm)*D5*P5*VLOOKUP(B5,country_opex,3,FALSE)</f>
        <v/>
      </c>
      <c r="W5" s="40">
        <f>VLOOKUP(B5,country_opex,2,FALSE)*crew_factor</f>
        <v/>
      </c>
      <c r="X5" s="40">
        <f>VLOOKUP(B5,country_opex,5,FALSE)</f>
        <v/>
      </c>
      <c r="Y5" s="40">
        <f>maint</f>
        <v/>
      </c>
      <c r="Z5" s="40">
        <f>VLOOKUP(B5,country_opex,7,FALSE)*ins_pct</f>
        <v/>
      </c>
      <c r="AA5" s="40">
        <f>charge_berth</f>
        <v/>
      </c>
      <c r="AB5" s="40">
        <f>V5+W5+X5+Y5+Z5+AA5</f>
        <v/>
      </c>
      <c r="AC5" s="40">
        <f>VLOOKUP(B5,country_opex,7,FALSE)/dep_years</f>
        <v/>
      </c>
      <c r="AD5" s="40">
        <f>U5-AB5</f>
        <v/>
      </c>
      <c r="AE5" s="37">
        <f>IF(U5=0,"",AD5/U5)</f>
        <v/>
      </c>
      <c r="AF5" s="38">
        <f>IF(AD5&lt;=0,"",VLOOKUP(B5,country_opex,7,FALSE)/AD5)</f>
        <v/>
      </c>
      <c r="AG5" s="35">
        <f>((D5*P5/diesel_nmpg)*diesel_co2pg-(battery/range_nm)*D5*P5*VLOOKUP(B5,country_opex,4,FALSE))/1000</f>
        <v/>
      </c>
      <c r="AH5" s="33" t="n">
        <v>825637</v>
      </c>
      <c r="AI5" s="34" t="inlineStr">
        <is>
          <t>T1</t>
        </is>
      </c>
      <c r="AJ5" s="34" t="inlineStr">
        <is>
          <t>high</t>
        </is>
      </c>
      <c r="AK5" s="41" t="n">
        <v>0.1</v>
      </c>
      <c r="AL5" s="36">
        <f>IF(AH5="","",AH5*AK5)</f>
        <v/>
      </c>
      <c r="AM5" s="36">
        <f>IF(OR(AH5="",S5=0),"",MIN(IF(AU5="",9.9E+99,AU5),FLOOR(AL5/S5,1)))</f>
        <v/>
      </c>
      <c r="AN5" s="40">
        <f>IF(AM5="","",AM5*IF(ABS(MOD(ABS((U5)),1)-0.5)&lt;1E-9,2*ROUND((U5)/2,0),ROUND((U5),0)))</f>
        <v/>
      </c>
      <c r="AO5" s="38">
        <f>IF(OR(AH5="",S5=0),"",MIN(IF(AU5="",9.9E+99,AU5),AL5/S5))</f>
        <v/>
      </c>
      <c r="AP5" s="40">
        <f>IF(AO5="","",AO5*IF(B5="South Korea",IF(ABS(MOD(ABS((U5)),1)-0.5)&lt;1E-9,2*ROUND((U5)/2,0),ROUND((U5),0)),U5))</f>
        <v/>
      </c>
      <c r="AQ5" s="42" t="n"/>
      <c r="AR5" s="34" t="inlineStr">
        <is>
          <t>Grounded</t>
        </is>
      </c>
      <c r="AS5" s="43" t="n"/>
      <c r="AT5" s="43" t="n"/>
      <c r="AU5" s="44" t="n"/>
      <c r="AV5" s="45">
        <f>IF(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&lt;=0,"",VLOOKUP(B5,country_opex,7,FALSE)/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)</f>
        <v/>
      </c>
      <c r="AW5" s="45">
        <f>IF(((T5*pax_cap*IF(B5="South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Korea",korea_mid_revleg,revleg_mid)),0))*VLOOKUP(B5,country_opex,3,FALSE))+W5+X5+Y5+Z5+AA5))&lt;=0,"",VLOOKUP(B5,country_opex,7,FALSE)/((T5*pax_cap*IF(B5="South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Korea",korea_mid_revleg,revleg_mid)),0))*VLOOKUP(B5,country_opex,3,FALSE))+W5+X5+Y5+Z5+AA5)))</f>
        <v/>
      </c>
      <c r="AX5" s="45">
        <f>IF(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&lt;=0,"",VLOOKUP(B5,country_opex,7,FALSE)/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)</f>
        <v/>
      </c>
      <c r="AY5" s="46" t="inlineStr">
        <is>
          <t>[LB-255 PREMIUM RE-FARE: subsidized comparable $1.5001 lifted to premium on-demand floor $18.0] https://barcasrio.com.br/linhas-horarios-e-tarifas/</t>
        </is>
      </c>
      <c r="AZ5" s="46" t="inlineStr">
        <is>
          <t>https://www2.agetransp.rj.gov.br/arquivos/operacao-servicos/relatorio-de-atividades/Relat%C3%B3rio%20Mensal%20de%20Atividades%20Janeiro%202024.pdf</t>
        </is>
      </c>
      <c r="BA5" s="34" t="inlineStr">
        <is>
          <t>rn-80f0d0ebe0bd</t>
        </is>
      </c>
    </row>
    <row r="6">
      <c r="A6" s="31" t="inlineStr">
        <is>
          <t>Indrive Brazil</t>
        </is>
      </c>
      <c r="B6" s="31" t="inlineStr">
        <is>
          <t>Brazil</t>
        </is>
      </c>
      <c r="C6" s="32" t="inlineStr">
        <is>
          <t>Praça XV Terminal (central Rio) → Cocotá Terminal (Ilha do Governador)</t>
        </is>
      </c>
      <c r="D6" s="33" t="n">
        <v>6</v>
      </c>
      <c r="E6" s="27" t="n">
        <v>18</v>
      </c>
      <c r="F6" s="34" t="inlineStr">
        <is>
          <t>T1/T2</t>
        </is>
      </c>
      <c r="G6" s="34" t="inlineStr">
        <is>
          <t>med-low</t>
        </is>
      </c>
      <c r="H6" s="20" t="n">
        <v>1</v>
      </c>
      <c r="I6" s="35">
        <f>60*D6/cruise_kt</f>
        <v/>
      </c>
      <c r="J6" s="35">
        <f>IF(B6="South Korea",D6/korea_charge_range_nm*korea_full_range_charge_min,0)</f>
        <v/>
      </c>
      <c r="K6" s="35">
        <f>IF(B6="South Korea",I6+korea_turn_min+korea_dwell_min+J6,I6+turn_min+dwell_min)</f>
        <v/>
      </c>
      <c r="L6" s="36">
        <f>IF(B6="South Korea",FLOOR(60*korea_service_hr/K6,1),MIN(15,FLOOR(60*service_hr/K6,1)))</f>
        <v/>
      </c>
      <c r="M6" s="36">
        <f>IF(ABS(MOD(ABS((365*mech_uptime*H6)),1)-0.5)&lt;1E-9,2*ROUND((365*mech_uptime*H6)/2,0),ROUND((365*mech_uptime*H6),0))</f>
        <v/>
      </c>
      <c r="N6" s="37">
        <f>mech_uptime</f>
        <v/>
      </c>
      <c r="O6" s="37">
        <f>IF(AND(B6="South Korea",scenario="MID"),korea_mid_revleg,revleg_sel)</f>
        <v/>
      </c>
      <c r="P6" s="36">
        <f>IF(ABS(MOD(ABS((L6*M6*O6)),1)-0.5)&lt;1E-9,2*ROUND((L6*M6*O6)/2,0),ROUND((L6*M6*O6),0))</f>
        <v/>
      </c>
      <c r="Q6" s="37">
        <f>IF(AND(B6="South Korea",scenario="MID"),korea_mid_load,load_sel)</f>
        <v/>
      </c>
      <c r="R6" s="38">
        <f>pax_cap*Q6</f>
        <v/>
      </c>
      <c r="S6" s="36">
        <f>R6*P6</f>
        <v/>
      </c>
      <c r="T6" s="39">
        <f>E6*discount</f>
        <v/>
      </c>
      <c r="U6" s="40">
        <f>T6*S6</f>
        <v/>
      </c>
      <c r="V6" s="40">
        <f>(battery/range_nm)*D6*P6*VLOOKUP(B6,country_opex,3,FALSE)</f>
        <v/>
      </c>
      <c r="W6" s="40">
        <f>VLOOKUP(B6,country_opex,2,FALSE)*crew_factor</f>
        <v/>
      </c>
      <c r="X6" s="40">
        <f>VLOOKUP(B6,country_opex,5,FALSE)</f>
        <v/>
      </c>
      <c r="Y6" s="40">
        <f>maint</f>
        <v/>
      </c>
      <c r="Z6" s="40">
        <f>VLOOKUP(B6,country_opex,7,FALSE)*ins_pct</f>
        <v/>
      </c>
      <c r="AA6" s="40">
        <f>charge_berth</f>
        <v/>
      </c>
      <c r="AB6" s="40">
        <f>V6+W6+X6+Y6+Z6+AA6</f>
        <v/>
      </c>
      <c r="AC6" s="40">
        <f>VLOOKUP(B6,country_opex,7,FALSE)/dep_years</f>
        <v/>
      </c>
      <c r="AD6" s="40">
        <f>U6-AB6</f>
        <v/>
      </c>
      <c r="AE6" s="37">
        <f>IF(U6=0,"",AD6/U6)</f>
        <v/>
      </c>
      <c r="AF6" s="38">
        <f>IF(AD6&lt;=0,"",VLOOKUP(B6,country_opex,7,FALSE)/AD6)</f>
        <v/>
      </c>
      <c r="AG6" s="35">
        <f>((D6*P6/diesel_nmpg)*diesel_co2pg-(battery/range_nm)*D6*P6*VLOOKUP(B6,country_opex,4,FALSE))/1000</f>
        <v/>
      </c>
      <c r="AH6" s="33" t="n">
        <v>278607</v>
      </c>
      <c r="AI6" s="34" t="inlineStr">
        <is>
          <t>T1</t>
        </is>
      </c>
      <c r="AJ6" s="34" t="inlineStr">
        <is>
          <t>high</t>
        </is>
      </c>
      <c r="AK6" s="41" t="n">
        <v>0.1</v>
      </c>
      <c r="AL6" s="36">
        <f>IF(AH6="","",AH6*AK6)</f>
        <v/>
      </c>
      <c r="AM6" s="36">
        <f>IF(OR(AH6="",S6=0),"",MIN(IF(AU6="",9.9E+99,AU6),FLOOR(AL6/S6,1)))</f>
        <v/>
      </c>
      <c r="AN6" s="40">
        <f>IF(AM6="","",AM6*IF(ABS(MOD(ABS((U6)),1)-0.5)&lt;1E-9,2*ROUND((U6)/2,0),ROUND((U6),0)))</f>
        <v/>
      </c>
      <c r="AO6" s="38">
        <f>IF(OR(AH6="",S6=0),"",MIN(IF(AU6="",9.9E+99,AU6),AL6/S6))</f>
        <v/>
      </c>
      <c r="AP6" s="40">
        <f>IF(AO6="","",AO6*IF(B6="South Korea",IF(ABS(MOD(ABS((U6)),1)-0.5)&lt;1E-9,2*ROUND((U6)/2,0),ROUND((U6),0)),U6))</f>
        <v/>
      </c>
      <c r="AQ6" s="42" t="n"/>
      <c r="AR6" s="34" t="inlineStr">
        <is>
          <t>Grounded</t>
        </is>
      </c>
      <c r="AS6" s="43" t="n"/>
      <c r="AT6" s="43" t="n"/>
      <c r="AU6" s="44" t="n"/>
      <c r="AV6" s="45">
        <f>IF(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&lt;=0,"",VLOOKUP(B6,country_opex,7,FALSE)/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)</f>
        <v/>
      </c>
      <c r="AW6" s="45">
        <f>IF(((T6*pax_cap*IF(B6="South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Korea",korea_mid_revleg,revleg_mid)),0))*VLOOKUP(B6,country_opex,3,FALSE))+W6+X6+Y6+Z6+AA6))&lt;=0,"",VLOOKUP(B6,country_opex,7,FALSE)/((T6*pax_cap*IF(B6="South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Korea",korea_mid_revleg,revleg_mid)),0))*VLOOKUP(B6,country_opex,3,FALSE))+W6+X6+Y6+Z6+AA6)))</f>
        <v/>
      </c>
      <c r="AX6" s="45">
        <f>IF(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&lt;=0,"",VLOOKUP(B6,country_opex,7,FALSE)/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)</f>
        <v/>
      </c>
      <c r="AY6" s="46" t="inlineStr">
        <is>
          <t>[LB-255 PREMIUM RE-FARE: subsidized comparable $0.9741 lifted to premium on-demand floor $18.0] https://barcasrio.com.br/linhas-horarios-e-tarifas/</t>
        </is>
      </c>
      <c r="AZ6" s="46" t="inlineStr">
        <is>
          <t>https://www2.agetransp.rj.gov.br/arquivos/operacao-servicos/relatorio-de-atividades/Relat%C3%B3rio%20Mensal%20de%20Atividades%20Janeiro%202024.pdf</t>
        </is>
      </c>
      <c r="BA6" s="34" t="inlineStr">
        <is>
          <t>rn-369ef0eb69d9</t>
        </is>
      </c>
    </row>
    <row r="7">
      <c r="A7" s="31" t="inlineStr">
        <is>
          <t>Indrive Brazil</t>
        </is>
      </c>
      <c r="B7" s="31" t="inlineStr">
        <is>
          <t>Brazil</t>
        </is>
      </c>
      <c r="C7" s="32" t="inlineStr">
        <is>
          <t>Praça XV Terminal (central Rio) → Paquetá Island Terminal</t>
        </is>
      </c>
      <c r="D7" s="33" t="n">
        <v>9.199999999999999</v>
      </c>
      <c r="E7" s="27" t="n">
        <v>18</v>
      </c>
      <c r="F7" s="34" t="inlineStr">
        <is>
          <t>T1/T2</t>
        </is>
      </c>
      <c r="G7" s="34" t="inlineStr">
        <is>
          <t>med-low</t>
        </is>
      </c>
      <c r="H7" s="20" t="n">
        <v>1</v>
      </c>
      <c r="I7" s="35">
        <f>60*D7/cruise_kt</f>
        <v/>
      </c>
      <c r="J7" s="35">
        <f>IF(B7="South Korea",D7/korea_charge_range_nm*korea_full_range_charge_min,0)</f>
        <v/>
      </c>
      <c r="K7" s="35">
        <f>IF(B7="South Korea",I7+korea_turn_min+korea_dwell_min+J7,I7+turn_min+dwell_min)</f>
        <v/>
      </c>
      <c r="L7" s="36">
        <f>IF(B7="South Korea",FLOOR(60*korea_service_hr/K7,1),MIN(15,FLOOR(60*service_hr/K7,1)))</f>
        <v/>
      </c>
      <c r="M7" s="36">
        <f>IF(ABS(MOD(ABS((365*mech_uptime*H7)),1)-0.5)&lt;1E-9,2*ROUND((365*mech_uptime*H7)/2,0),ROUND((365*mech_uptime*H7),0))</f>
        <v/>
      </c>
      <c r="N7" s="37">
        <f>mech_uptime</f>
        <v/>
      </c>
      <c r="O7" s="37">
        <f>IF(AND(B7="South Korea",scenario="MID"),korea_mid_revleg,revleg_sel)</f>
        <v/>
      </c>
      <c r="P7" s="36">
        <f>IF(ABS(MOD(ABS((L7*M7*O7)),1)-0.5)&lt;1E-9,2*ROUND((L7*M7*O7)/2,0),ROUND((L7*M7*O7),0))</f>
        <v/>
      </c>
      <c r="Q7" s="37">
        <f>IF(AND(B7="South Korea",scenario="MID"),korea_mid_load,load_sel)</f>
        <v/>
      </c>
      <c r="R7" s="38">
        <f>pax_cap*Q7</f>
        <v/>
      </c>
      <c r="S7" s="36">
        <f>R7*P7</f>
        <v/>
      </c>
      <c r="T7" s="39">
        <f>E7*discount</f>
        <v/>
      </c>
      <c r="U7" s="40">
        <f>T7*S7</f>
        <v/>
      </c>
      <c r="V7" s="40">
        <f>(battery/range_nm)*D7*P7*VLOOKUP(B7,country_opex,3,FALSE)</f>
        <v/>
      </c>
      <c r="W7" s="40">
        <f>VLOOKUP(B7,country_opex,2,FALSE)*crew_factor</f>
        <v/>
      </c>
      <c r="X7" s="40">
        <f>VLOOKUP(B7,country_opex,5,FALSE)</f>
        <v/>
      </c>
      <c r="Y7" s="40">
        <f>maint</f>
        <v/>
      </c>
      <c r="Z7" s="40">
        <f>VLOOKUP(B7,country_opex,7,FALSE)*ins_pct</f>
        <v/>
      </c>
      <c r="AA7" s="40">
        <f>charge_berth</f>
        <v/>
      </c>
      <c r="AB7" s="40">
        <f>V7+W7+X7+Y7+Z7+AA7</f>
        <v/>
      </c>
      <c r="AC7" s="40">
        <f>VLOOKUP(B7,country_opex,7,FALSE)/dep_years</f>
        <v/>
      </c>
      <c r="AD7" s="40">
        <f>U7-AB7</f>
        <v/>
      </c>
      <c r="AE7" s="37">
        <f>IF(U7=0,"",AD7/U7)</f>
        <v/>
      </c>
      <c r="AF7" s="38">
        <f>IF(AD7&lt;=0,"",VLOOKUP(B7,country_opex,7,FALSE)/AD7)</f>
        <v/>
      </c>
      <c r="AG7" s="35">
        <f>((D7*P7/diesel_nmpg)*diesel_co2pg-(battery/range_nm)*D7*P7*VLOOKUP(B7,country_opex,4,FALSE))/1000</f>
        <v/>
      </c>
      <c r="AH7" s="33" t="n">
        <v>1170652</v>
      </c>
      <c r="AI7" s="34" t="inlineStr">
        <is>
          <t>T1</t>
        </is>
      </c>
      <c r="AJ7" s="34" t="inlineStr">
        <is>
          <t>high</t>
        </is>
      </c>
      <c r="AK7" s="41" t="n">
        <v>0.1</v>
      </c>
      <c r="AL7" s="36">
        <f>IF(AH7="","",AH7*AK7)</f>
        <v/>
      </c>
      <c r="AM7" s="36">
        <f>IF(OR(AH7="",S7=0),"",MIN(IF(AU7="",9.9E+99,AU7),FLOOR(AL7/S7,1)))</f>
        <v/>
      </c>
      <c r="AN7" s="40">
        <f>IF(AM7="","",AM7*IF(ABS(MOD(ABS((U7)),1)-0.5)&lt;1E-9,2*ROUND((U7)/2,0),ROUND((U7),0)))</f>
        <v/>
      </c>
      <c r="AO7" s="38">
        <f>IF(OR(AH7="",S7=0),"",MIN(IF(AU7="",9.9E+99,AU7),AL7/S7))</f>
        <v/>
      </c>
      <c r="AP7" s="40">
        <f>IF(AO7="","",AO7*IF(B7="South Korea",IF(ABS(MOD(ABS((U7)),1)-0.5)&lt;1E-9,2*ROUND((U7)/2,0),ROUND((U7),0)),U7))</f>
        <v/>
      </c>
      <c r="AQ7" s="42" t="n"/>
      <c r="AR7" s="34" t="inlineStr">
        <is>
          <t>Grounded</t>
        </is>
      </c>
      <c r="AS7" s="43" t="n"/>
      <c r="AT7" s="43" t="n"/>
      <c r="AU7" s="44" t="n"/>
      <c r="AV7" s="45">
        <f>IF(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&lt;=0,"",VLOOKUP(B7,country_opex,7,FALSE)/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)</f>
        <v/>
      </c>
      <c r="AW7" s="45">
        <f>IF(((T7*pax_cap*IF(B7="South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Korea",korea_mid_revleg,revleg_mid)),0))*VLOOKUP(B7,country_opex,3,FALSE))+W7+X7+Y7+Z7+AA7))&lt;=0,"",VLOOKUP(B7,country_opex,7,FALSE)/((T7*pax_cap*IF(B7="South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Korea",korea_mid_revleg,revleg_mid)),0))*VLOOKUP(B7,country_opex,3,FALSE))+W7+X7+Y7+Z7+AA7)))</f>
        <v/>
      </c>
      <c r="AX7" s="45">
        <f>IF(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&lt;=0,"",VLOOKUP(B7,country_opex,7,FALSE)/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)</f>
        <v/>
      </c>
      <c r="AY7" s="46" t="inlineStr">
        <is>
          <t>[LB-255 PREMIUM RE-FARE: subsidized comparable $0.9741 lifted to premium on-demand floor $18.0] https://barcasrio.com.br/linhas-horarios-e-tarifas/</t>
        </is>
      </c>
      <c r="AZ7" s="46" t="inlineStr">
        <is>
          <t>https://www2.agetransp.rj.gov.br/arquivos/operacao-servicos/relatorio-de-atividades/Relat%C3%B3rio%20Mensal%20de%20Atividades%20Janeiro%202024.pdf</t>
        </is>
      </c>
      <c r="BA7" s="34" t="inlineStr">
        <is>
          <t>rn-00bb6ded4be5</t>
        </is>
      </c>
    </row>
    <row r="8">
      <c r="A8" s="31" t="inlineStr">
        <is>
          <t>Indrive Egypt</t>
        </is>
      </c>
      <c r="B8" s="31" t="inlineStr">
        <is>
          <t>Egypt</t>
        </is>
      </c>
      <c r="C8" s="32" t="inlineStr">
        <is>
          <t>Hurghada Marina → Giftun Island (Orange Bay / Mahmya)</t>
        </is>
      </c>
      <c r="D8" s="33" t="n">
        <v>6.6</v>
      </c>
      <c r="E8" s="27" t="n">
        <v>32</v>
      </c>
      <c r="F8" s="34" t="n"/>
      <c r="G8" s="34" t="n"/>
      <c r="H8" s="20" t="n">
        <v>1</v>
      </c>
      <c r="I8" s="35">
        <f>60*D8/cruise_kt</f>
        <v/>
      </c>
      <c r="J8" s="35">
        <f>IF(B8="South Korea",D8/korea_charge_range_nm*korea_full_range_charge_min,0)</f>
        <v/>
      </c>
      <c r="K8" s="35">
        <f>IF(B8="South Korea",I8+korea_turn_min+korea_dwell_min+J8,I8+turn_min+dwell_min)</f>
        <v/>
      </c>
      <c r="L8" s="36">
        <f>IF(B8="South Korea",FLOOR(60*korea_service_hr/K8,1),MIN(15,FLOOR(60*service_hr/K8,1)))</f>
        <v/>
      </c>
      <c r="M8" s="36">
        <f>IF(ABS(MOD(ABS((365*mech_uptime*H8)),1)-0.5)&lt;1E-9,2*ROUND((365*mech_uptime*H8)/2,0),ROUND((365*mech_uptime*H8),0))</f>
        <v/>
      </c>
      <c r="N8" s="37">
        <f>mech_uptime</f>
        <v/>
      </c>
      <c r="O8" s="37">
        <f>IF(AND(B8="South Korea",scenario="MID"),korea_mid_revleg,revleg_sel)</f>
        <v/>
      </c>
      <c r="P8" s="36">
        <f>IF(ABS(MOD(ABS((L8*M8*O8)),1)-0.5)&lt;1E-9,2*ROUND((L8*M8*O8)/2,0),ROUND((L8*M8*O8),0))</f>
        <v/>
      </c>
      <c r="Q8" s="37">
        <f>IF(AND(B8="South Korea",scenario="MID"),korea_mid_load,load_sel)</f>
        <v/>
      </c>
      <c r="R8" s="38">
        <f>pax_cap*Q8</f>
        <v/>
      </c>
      <c r="S8" s="36">
        <f>R8*P8</f>
        <v/>
      </c>
      <c r="T8" s="39">
        <f>E8*discount</f>
        <v/>
      </c>
      <c r="U8" s="40">
        <f>T8*S8</f>
        <v/>
      </c>
      <c r="V8" s="40">
        <f>(battery/range_nm)*D8*P8*VLOOKUP(B8,country_opex,3,FALSE)</f>
        <v/>
      </c>
      <c r="W8" s="40">
        <f>VLOOKUP(B8,country_opex,2,FALSE)*crew_factor</f>
        <v/>
      </c>
      <c r="X8" s="40">
        <f>VLOOKUP(B8,country_opex,5,FALSE)</f>
        <v/>
      </c>
      <c r="Y8" s="40">
        <f>maint</f>
        <v/>
      </c>
      <c r="Z8" s="40">
        <f>VLOOKUP(B8,country_opex,7,FALSE)*ins_pct</f>
        <v/>
      </c>
      <c r="AA8" s="40">
        <f>charge_berth</f>
        <v/>
      </c>
      <c r="AB8" s="40">
        <f>V8+W8+X8+Y8+Z8+AA8</f>
        <v/>
      </c>
      <c r="AC8" s="40">
        <f>VLOOKUP(B8,country_opex,7,FALSE)/dep_years</f>
        <v/>
      </c>
      <c r="AD8" s="40">
        <f>U8-AB8</f>
        <v/>
      </c>
      <c r="AE8" s="37">
        <f>IF(U8=0,"",AD8/U8)</f>
        <v/>
      </c>
      <c r="AF8" s="38">
        <f>IF(AD8&lt;=0,"",VLOOKUP(B8,country_opex,7,FALSE)/AD8)</f>
        <v/>
      </c>
      <c r="AG8" s="35">
        <f>((D8*P8/diesel_nmpg)*diesel_co2pg-(battery/range_nm)*D8*P8*VLOOKUP(B8,country_opex,4,FALSE))/1000</f>
        <v/>
      </c>
      <c r="AH8" s="33" t="n">
        <v>187512</v>
      </c>
      <c r="AI8" s="34" t="n"/>
      <c r="AJ8" s="34" t="n"/>
      <c r="AK8" s="41" t="n">
        <v>0.9</v>
      </c>
      <c r="AL8" s="36">
        <f>IF(AH8="","",AH8*AK8)</f>
        <v/>
      </c>
      <c r="AM8" s="36">
        <f>IF(OR(AH8="",S8=0),"",MIN(IF(AU8="",9.9E+99,AU8),FLOOR(AL8/S8,1)))</f>
        <v/>
      </c>
      <c r="AN8" s="40">
        <f>IF(AM8="","",AM8*IF(ABS(MOD(ABS((U8)),1)-0.5)&lt;1E-9,2*ROUND((U8)/2,0),ROUND((U8),0)))</f>
        <v/>
      </c>
      <c r="AO8" s="38">
        <f>IF(OR(AH8="",S8=0),"",MIN(IF(AU8="",9.9E+99,AU8),AL8/S8))</f>
        <v/>
      </c>
      <c r="AP8" s="40">
        <f>IF(AO8="","",AO8*IF(B8="South Korea",IF(ABS(MOD(ABS((U8)),1)-0.5)&lt;1E-9,2*ROUND((U8)/2,0),ROUND((U8),0)),U8))</f>
        <v/>
      </c>
      <c r="AQ8" s="42" t="n"/>
      <c r="AR8" s="34" t="inlineStr">
        <is>
          <t>Grounded</t>
        </is>
      </c>
      <c r="AS8" s="43" t="n"/>
      <c r="AT8" s="43" t="n"/>
      <c r="AU8" s="44" t="n"/>
      <c r="AV8" s="45">
        <f>IF(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&lt;=0,"",VLOOKUP(B8,country_opex,7,FALSE)/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)</f>
        <v/>
      </c>
      <c r="AW8" s="45">
        <f>IF(((T8*pax_cap*IF(B8="South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Korea",korea_mid_revleg,revleg_mid)),0))*VLOOKUP(B8,country_opex,3,FALSE))+W8+X8+Y8+Z8+AA8))&lt;=0,"",VLOOKUP(B8,country_opex,7,FALSE)/((T8*pax_cap*IF(B8="South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Korea",korea_mid_revleg,revleg_mid)),0))*VLOOKUP(B8,country_opex,3,FALSE))+W8+X8+Y8+Z8+AA8)))</f>
        <v/>
      </c>
      <c r="AX8" s="45">
        <f>IF(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&lt;=0,"",VLOOKUP(B8,country_opex,7,FALSE)/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)</f>
        <v/>
      </c>
      <c r="AY8" s="46" t="n"/>
      <c r="AZ8" s="46" t="n"/>
      <c r="BA8" s="34" t="inlineStr">
        <is>
          <t>rn-b06f6971ed47</t>
        </is>
      </c>
    </row>
    <row r="9">
      <c r="A9" s="31" t="inlineStr">
        <is>
          <t>Indrive Egypt</t>
        </is>
      </c>
      <c r="B9" s="31" t="inlineStr">
        <is>
          <t>Egypt</t>
        </is>
      </c>
      <c r="C9" s="32" t="inlineStr">
        <is>
          <t>Sharm Marina (Sharm El Maya / Old Market Harbour) → Ras Mohammed (reef jetty)</t>
        </is>
      </c>
      <c r="D9" s="33" t="n">
        <v>11.7</v>
      </c>
      <c r="E9" s="27" t="n">
        <v>50</v>
      </c>
      <c r="F9" s="34" t="n"/>
      <c r="G9" s="34" t="n"/>
      <c r="H9" s="20" t="n">
        <v>1</v>
      </c>
      <c r="I9" s="35">
        <f>60*D9/cruise_kt</f>
        <v/>
      </c>
      <c r="J9" s="35">
        <f>IF(B9="South Korea",D9/korea_charge_range_nm*korea_full_range_charge_min,0)</f>
        <v/>
      </c>
      <c r="K9" s="35">
        <f>IF(B9="South Korea",I9+korea_turn_min+korea_dwell_min+J9,I9+turn_min+dwell_min)</f>
        <v/>
      </c>
      <c r="L9" s="36">
        <f>IF(B9="South Korea",FLOOR(60*korea_service_hr/K9,1),MIN(15,FLOOR(60*service_hr/K9,1)))</f>
        <v/>
      </c>
      <c r="M9" s="36">
        <f>IF(ABS(MOD(ABS((365*mech_uptime*H9)),1)-0.5)&lt;1E-9,2*ROUND((365*mech_uptime*H9)/2,0),ROUND((365*mech_uptime*H9),0))</f>
        <v/>
      </c>
      <c r="N9" s="37">
        <f>mech_uptime</f>
        <v/>
      </c>
      <c r="O9" s="37">
        <f>IF(AND(B9="South Korea",scenario="MID"),korea_mid_revleg,revleg_sel)</f>
        <v/>
      </c>
      <c r="P9" s="36">
        <f>IF(ABS(MOD(ABS((L9*M9*O9)),1)-0.5)&lt;1E-9,2*ROUND((L9*M9*O9)/2,0),ROUND((L9*M9*O9),0))</f>
        <v/>
      </c>
      <c r="Q9" s="37">
        <f>IF(AND(B9="South Korea",scenario="MID"),korea_mid_load,load_sel)</f>
        <v/>
      </c>
      <c r="R9" s="38">
        <f>pax_cap*Q9</f>
        <v/>
      </c>
      <c r="S9" s="36">
        <f>R9*P9</f>
        <v/>
      </c>
      <c r="T9" s="39">
        <f>E9*discount</f>
        <v/>
      </c>
      <c r="U9" s="40">
        <f>T9*S9</f>
        <v/>
      </c>
      <c r="V9" s="40">
        <f>(battery/range_nm)*D9*P9*VLOOKUP(B9,country_opex,3,FALSE)</f>
        <v/>
      </c>
      <c r="W9" s="40">
        <f>VLOOKUP(B9,country_opex,2,FALSE)*crew_factor</f>
        <v/>
      </c>
      <c r="X9" s="40">
        <f>VLOOKUP(B9,country_opex,5,FALSE)</f>
        <v/>
      </c>
      <c r="Y9" s="40">
        <f>maint</f>
        <v/>
      </c>
      <c r="Z9" s="40">
        <f>VLOOKUP(B9,country_opex,7,FALSE)*ins_pct</f>
        <v/>
      </c>
      <c r="AA9" s="40">
        <f>charge_berth</f>
        <v/>
      </c>
      <c r="AB9" s="40">
        <f>V9+W9+X9+Y9+Z9+AA9</f>
        <v/>
      </c>
      <c r="AC9" s="40">
        <f>VLOOKUP(B9,country_opex,7,FALSE)/dep_years</f>
        <v/>
      </c>
      <c r="AD9" s="40">
        <f>U9-AB9</f>
        <v/>
      </c>
      <c r="AE9" s="37">
        <f>IF(U9=0,"",AD9/U9)</f>
        <v/>
      </c>
      <c r="AF9" s="38">
        <f>IF(AD9&lt;=0,"",VLOOKUP(B9,country_opex,7,FALSE)/AD9)</f>
        <v/>
      </c>
      <c r="AG9" s="35">
        <f>((D9*P9/diesel_nmpg)*diesel_co2pg-(battery/range_nm)*D9*P9*VLOOKUP(B9,country_opex,4,FALSE))/1000</f>
        <v/>
      </c>
      <c r="AH9" s="33" t="n">
        <v>50000</v>
      </c>
      <c r="AI9" s="34" t="n"/>
      <c r="AJ9" s="34" t="n"/>
      <c r="AK9" s="41" t="n">
        <v>0.9</v>
      </c>
      <c r="AL9" s="36">
        <f>IF(AH9="","",AH9*AK9)</f>
        <v/>
      </c>
      <c r="AM9" s="36">
        <f>IF(OR(AH9="",S9=0),"",MIN(IF(AU9="",9.9E+99,AU9),FLOOR(AL9/S9,1)))</f>
        <v/>
      </c>
      <c r="AN9" s="40">
        <f>IF(AM9="","",AM9*IF(ABS(MOD(ABS((U9)),1)-0.5)&lt;1E-9,2*ROUND((U9)/2,0),ROUND((U9),0)))</f>
        <v/>
      </c>
      <c r="AO9" s="38">
        <f>IF(OR(AH9="",S9=0),"",MIN(IF(AU9="",9.9E+99,AU9),AL9/S9))</f>
        <v/>
      </c>
      <c r="AP9" s="40">
        <f>IF(AO9="","",AO9*IF(B9="South Korea",IF(ABS(MOD(ABS((U9)),1)-0.5)&lt;1E-9,2*ROUND((U9)/2,0),ROUND((U9),0)),U9))</f>
        <v/>
      </c>
      <c r="AQ9" s="42" t="n"/>
      <c r="AR9" s="34" t="inlineStr">
        <is>
          <t>Grounded</t>
        </is>
      </c>
      <c r="AS9" s="43" t="n"/>
      <c r="AT9" s="43" t="n"/>
      <c r="AU9" s="44" t="n"/>
      <c r="AV9" s="45">
        <f>IF(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&lt;=0,"",VLOOKUP(B9,country_opex,7,FALSE)/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)</f>
        <v/>
      </c>
      <c r="AW9" s="45">
        <f>IF(((T9*pax_cap*IF(B9="South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Korea",korea_mid_revleg,revleg_mid)),0))*VLOOKUP(B9,country_opex,3,FALSE))+W9+X9+Y9+Z9+AA9))&lt;=0,"",VLOOKUP(B9,country_opex,7,FALSE)/((T9*pax_cap*IF(B9="South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Korea",korea_mid_revleg,revleg_mid)),0))*VLOOKUP(B9,country_opex,3,FALSE))+W9+X9+Y9+Z9+AA9)))</f>
        <v/>
      </c>
      <c r="AX9" s="45">
        <f>IF(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&lt;=0,"",VLOOKUP(B9,country_opex,7,FALSE)/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)</f>
        <v/>
      </c>
      <c r="AY9" s="46" t="n"/>
      <c r="AZ9" s="46" t="n"/>
      <c r="BA9" s="34" t="inlineStr">
        <is>
          <t>rn-c16a1627130f</t>
        </is>
      </c>
    </row>
    <row r="10">
      <c r="A10" s="47" t="inlineStr">
        <is>
          <t>TOTAL / median</t>
        </is>
      </c>
      <c r="U10" s="48">
        <f>SUM(U4:U9)</f>
        <v/>
      </c>
      <c r="AD10" s="48">
        <f>SUM(AD4:AD9)</f>
        <v/>
      </c>
      <c r="AE10" s="49">
        <f>IF(U10=0,"",AD10/U10)</f>
        <v/>
      </c>
      <c r="AM10" s="50">
        <f>SUM(AM4:AM9)</f>
        <v/>
      </c>
      <c r="AN10" s="48">
        <f>SUM(AN4:AN9)</f>
        <v/>
      </c>
    </row>
    <row r="12">
      <c r="A12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3">
      <c r="A13" s="25" t="inlineStr">
        <is>
          <t>Market</t>
        </is>
      </c>
      <c r="B13" s="25" t="inlineStr">
        <is>
          <t>Fleet basis</t>
        </is>
      </c>
      <c r="C13" s="25" t="inlineStr">
        <is>
          <t>Raw vessels (sum)</t>
        </is>
      </c>
      <c r="D13" s="25" t="inlineStr">
        <is>
          <t>Fleet (rounded once)</t>
        </is>
      </c>
      <c r="E13" s="25" t="inlineStr">
        <is>
          <t>Market rev/yr (raw sum)</t>
        </is>
      </c>
    </row>
    <row r="14">
      <c r="A14" s="26" t="inlineStr">
        <is>
          <t>Indrive Brazil</t>
        </is>
      </c>
      <c r="B14" s="14" t="inlineStr">
        <is>
          <t>per_corridor_floor</t>
        </is>
      </c>
      <c r="C14" s="14" t="inlineStr">
        <is>
          <t>—</t>
        </is>
      </c>
      <c r="D14" s="51">
        <f>SUMIFS(AM4:AM9,A4:A9,"Indrive Brazil",AQ4:AQ9,"=",AR4:AR9,"Grounded")</f>
        <v/>
      </c>
      <c r="E14" s="52">
        <f>SUMIFS(AN4:AN9,A4:A9,"Indrive Brazil",AQ4:AQ9,"=",AR4:AR9,"Grounded")</f>
        <v/>
      </c>
    </row>
    <row r="15">
      <c r="A15" s="26" t="inlineStr">
        <is>
          <t>Indrive Egypt</t>
        </is>
      </c>
      <c r="B15" s="14" t="inlineStr">
        <is>
          <t>two luxury-belt captive routes on labeled destination-pool demand at ~90% floor capture; three held</t>
        </is>
      </c>
      <c r="C15" s="14" t="inlineStr">
        <is>
          <t>—</t>
        </is>
      </c>
      <c r="D15" s="51">
        <f>SUMIFS(AM4:AM9,A4:A9,"Indrive Egypt",AQ4:AQ9,"=",AR4:AR9,"Grounded")</f>
        <v/>
      </c>
      <c r="E15" s="52">
        <f>SUMIFS(AN4:AN9,A4:A9,"Indrive Egypt",AQ4:AQ9,"=",AR4:AR9,"Grounded")</f>
        <v/>
      </c>
    </row>
    <row r="16">
      <c r="A16" s="47" t="inlineStr">
        <is>
          <t>GROUNDED FLOOR (PUBLISHED)</t>
        </is>
      </c>
      <c r="D16" s="50">
        <f>SUM(D14:D15)</f>
        <v/>
      </c>
      <c r="E16" s="48">
        <f>SUM(E14:E15)</f>
        <v/>
      </c>
    </row>
  </sheetData>
  <mergeCells count="2">
    <mergeCell ref="A1:L1"/>
    <mergeCell ref="A12:L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26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26" t="inlineStr">
        <is>
          <t>Mature capture rate (c)</t>
        </is>
      </c>
      <c r="B6" s="41" t="n">
        <v>0.15</v>
      </c>
      <c r="C6" s="41" t="n">
        <v>0.25</v>
      </c>
      <c r="D6" s="41" t="n">
        <v>0.4</v>
      </c>
      <c r="E6" s="15" t="inlineStr">
        <is>
          <t>Navier's corridor share once it is the established premium default (vs 10% floor).</t>
        </is>
      </c>
    </row>
    <row r="7">
      <c r="A7" s="26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26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addressable network vs the sourced subset (ID-based census).</t>
        </is>
      </c>
    </row>
    <row r="9">
      <c r="A9" s="26" t="inlineStr">
        <is>
          <t>Platform take rate</t>
        </is>
      </c>
      <c r="C9" s="41" t="n">
        <v>0.18</v>
      </c>
      <c r="E9" s="15" t="inlineStr">
        <is>
          <t>Super-app blended commission on journey GMV (derived line only).</t>
        </is>
      </c>
    </row>
    <row r="11">
      <c r="A11" s="26" t="inlineStr">
        <is>
          <t>SOM capture rate (floor)</t>
        </is>
      </c>
      <c r="C11" s="53">
        <f>som_floor_rev/(ROUND(SUMPRODUCT(--('Corridor economics'!$AR$4:$AR$9="Grounded"),'Corridor economics'!$AH$4:$AH$9,'Corridor economics'!$E$4:$E$9),0))</f>
        <v/>
      </c>
      <c r="E11" s="15" t="inlineStr">
        <is>
          <t>New-entrant ~13%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26" t="inlineStr">
        <is>
          <t>SOM floor — Navier transport rev/yr (PUBLISHED)</t>
        </is>
      </c>
      <c r="C15" s="52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6" t="inlineStr">
        <is>
          <t>M_today — model comparable-fare transport pool on sourced corridors</t>
        </is>
      </c>
      <c r="C16" s="52">
        <f>ROUND(SUMPRODUCT(--('Corridor economics'!$AR$4:$AR$9="Grounded"),'Corridor economics'!$AH$4:$AH$9,'Corridor economics'!$E$4:$E$9),0)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26" t="inlineStr">
        <is>
          <t>SOM full network (~13% capture, today, +greenfield)</t>
        </is>
      </c>
      <c r="B18" s="52">
        <f>$C$16*$C$11*$B$8</f>
        <v/>
      </c>
      <c r="C18" s="52">
        <f>$C$16*$C$11*$C$8</f>
        <v/>
      </c>
      <c r="D18" s="52">
        <f>$C$16*$C$11*$D$8</f>
        <v/>
      </c>
      <c r="E18" s="15" t="inlineStr">
        <is>
          <t>Floor posture (~13% captive capture, today's demand) extended across the whole mapped network.</t>
        </is>
      </c>
    </row>
    <row r="19">
      <c r="A19" s="26" t="inlineStr">
        <is>
          <t>SAM — sourced corridors only (depth, no greenfield)</t>
        </is>
      </c>
      <c r="B19" s="52">
        <f>$C$16*$B$5*$B$6</f>
        <v/>
      </c>
      <c r="C19" s="52">
        <f>$C$16*$C$5*$C$6</f>
        <v/>
      </c>
      <c r="D19" s="52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26" t="inlineStr">
        <is>
          <t>SAM — Navier transport rev @ full network (HEADLINE)</t>
        </is>
      </c>
      <c r="B20" s="52">
        <f>$C$16*$B$5*$B$6*$B$8</f>
        <v/>
      </c>
      <c r="C20" s="52">
        <f>$C$16*$C$5*$C$6*$C$8</f>
        <v/>
      </c>
      <c r="D20" s="52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26" t="inlineStr">
        <is>
          <t>Marine mobility TAM — induced marine-transfer market (LB-110)</t>
        </is>
      </c>
      <c r="B21" s="52">
        <f>$C$16*$B$5*$B$8</f>
        <v/>
      </c>
      <c r="C21" s="52">
        <f>$C$16*$C$5*$C$8</f>
        <v/>
      </c>
      <c r="D21" s="52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6" t="inlineStr">
        <is>
          <t>Journey GMV — induced crossing × multiple (was TAM journey GMV)</t>
        </is>
      </c>
      <c r="B22" s="52">
        <f>$C$16*$B$5*$B$7*$B$8</f>
        <v/>
      </c>
      <c r="C22" s="52">
        <f>$C$16*$C$5*$C$7*$C$8</f>
        <v/>
      </c>
      <c r="D22" s="52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26" t="inlineStr">
        <is>
          <t>Journey GMV routed through Navier network</t>
        </is>
      </c>
      <c r="B23" s="52">
        <f>$C$16*$B$5*$B$6*$B$7*$B$8</f>
        <v/>
      </c>
      <c r="C23" s="52">
        <f>$C$16*$C$5*$C$6*$C$7*$C$8</f>
        <v/>
      </c>
      <c r="D23" s="52">
        <f>$C$16*$D$5*$D$6*$D$7*$D$8</f>
        <v/>
      </c>
      <c r="E23" s="15" t="inlineStr">
        <is>
          <t>Journey GMV on Navier-carried trips only.</t>
        </is>
      </c>
    </row>
    <row r="24">
      <c r="A24" s="26" t="inlineStr">
        <is>
          <t>Partner platform revenue on Navier (LB-113 — on-Navier subset, not 18% of full Journey GMV)</t>
        </is>
      </c>
      <c r="B24" s="52">
        <f>$C$16*$B$5*$B$6*$B$7*$B$8*$C$9</f>
        <v/>
      </c>
      <c r="C24" s="52">
        <f>$C$16*$C$5*$C$6*$C$7*$C$8*$C$9</f>
        <v/>
      </c>
      <c r="D24" s="52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54" t="inlineStr">
        <is>
          <t>Note</t>
        </is>
      </c>
      <c r="B26" s="55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2026-07-14T20:27:57Z</dcterms:created>
  <dcterms:modified xsi:type="dcterms:W3CDTF">2026-07-14T20:27:57Z</dcterms:modified>
</cp:coreProperties>
</file>