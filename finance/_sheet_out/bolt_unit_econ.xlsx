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opex'!$A$4:$G$21</definedName>
    <definedName name="som_floor_fleet">'Corridor economics'!$D$243</definedName>
    <definedName name="som_floor_rev">'Corridor economics'!$E$243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  <font>
      <b val="1"/>
      <i val="1"/>
      <sz val="9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6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 wrapText="1"/>
    </xf>
    <xf numFmtId="165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Bolt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  <row r="4">
      <c r="A4" s="26" t="inlineStr">
        <is>
          <t>Croatia</t>
        </is>
      </c>
      <c r="B4" s="27" t="n">
        <v>28000</v>
      </c>
      <c r="C4" s="28" t="n">
        <v>0.15</v>
      </c>
      <c r="D4" s="20" t="n">
        <v>0.2</v>
      </c>
      <c r="E4" s="27" t="n">
        <v>16000</v>
      </c>
      <c r="F4" s="20" t="n">
        <v>0.6</v>
      </c>
      <c r="G4" s="27" t="n">
        <v>900000</v>
      </c>
      <c r="H4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5">
      <c r="A5" s="26" t="inlineStr">
        <is>
          <t>Cyprus</t>
        </is>
      </c>
      <c r="B5" s="27" t="n">
        <v>34000</v>
      </c>
      <c r="C5" s="28" t="n">
        <v>0.26</v>
      </c>
      <c r="D5" s="20" t="n">
        <v>0.6</v>
      </c>
      <c r="E5" s="27" t="n">
        <v>22000</v>
      </c>
      <c r="F5" s="20" t="n">
        <v>0.72</v>
      </c>
      <c r="G5" s="27" t="n">
        <v>900000</v>
      </c>
      <c r="H5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6">
      <c r="A6" s="26" t="inlineStr">
        <is>
          <t>Egypt</t>
        </is>
      </c>
      <c r="B6" s="27" t="n">
        <v>12000</v>
      </c>
      <c r="C6" s="28" t="n">
        <v>0.06</v>
      </c>
      <c r="D6" s="20" t="n">
        <v>0.45</v>
      </c>
      <c r="E6" s="27" t="n">
        <v>8000</v>
      </c>
      <c r="F6" s="20" t="n">
        <v>0.3</v>
      </c>
      <c r="G6" s="27" t="n">
        <v>600000</v>
      </c>
      <c r="H6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7">
      <c r="A7" s="26" t="inlineStr">
        <is>
          <t>Estonia</t>
        </is>
      </c>
      <c r="B7" s="27" t="n">
        <v>30000</v>
      </c>
      <c r="C7" s="28" t="n">
        <v>0.16</v>
      </c>
      <c r="D7" s="20" t="n">
        <v>0.45</v>
      </c>
      <c r="E7" s="27" t="n">
        <v>14000</v>
      </c>
      <c r="F7" s="20" t="n">
        <v>0.65</v>
      </c>
      <c r="G7" s="27" t="n">
        <v>900000</v>
      </c>
      <c r="H7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8">
      <c r="A8" s="26" t="inlineStr">
        <is>
          <t>Finland</t>
        </is>
      </c>
      <c r="B8" s="27" t="n">
        <v>55000</v>
      </c>
      <c r="C8" s="28" t="n">
        <v>0.14</v>
      </c>
      <c r="D8" s="20" t="n">
        <v>0.08</v>
      </c>
      <c r="E8" s="27" t="n">
        <v>18000</v>
      </c>
      <c r="F8" s="20" t="n">
        <v>1.15</v>
      </c>
      <c r="G8" s="27" t="n">
        <v>900000</v>
      </c>
      <c r="H8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9">
      <c r="A9" s="26" t="inlineStr">
        <is>
          <t>France</t>
        </is>
      </c>
      <c r="B9" s="27" t="n">
        <v>55000</v>
      </c>
      <c r="C9" s="28" t="n">
        <v>0.2</v>
      </c>
      <c r="D9" s="20" t="n">
        <v>0.06</v>
      </c>
      <c r="E9" s="27" t="n">
        <v>30000</v>
      </c>
      <c r="F9" s="20" t="n">
        <v>1.15</v>
      </c>
      <c r="G9" s="27" t="n">
        <v>900000</v>
      </c>
      <c r="H9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0">
      <c r="A10" s="26" t="inlineStr">
        <is>
          <t>Greece</t>
        </is>
      </c>
      <c r="B10" s="27" t="n">
        <v>32000</v>
      </c>
      <c r="C10" s="28" t="n">
        <v>0.19</v>
      </c>
      <c r="D10" s="20" t="n">
        <v>0.4</v>
      </c>
      <c r="E10" s="27" t="n">
        <v>18000</v>
      </c>
      <c r="F10" s="20" t="n">
        <v>0.7</v>
      </c>
      <c r="G10" s="27" t="n">
        <v>900000</v>
      </c>
      <c r="H10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1">
      <c r="A11" s="26" t="inlineStr">
        <is>
          <t>Ireland</t>
        </is>
      </c>
      <c r="B11" s="27" t="n">
        <v>55000</v>
      </c>
      <c r="C11" s="28" t="n">
        <v>0.27</v>
      </c>
      <c r="D11" s="20" t="n">
        <v>0.33</v>
      </c>
      <c r="E11" s="27" t="n">
        <v>22000</v>
      </c>
      <c r="F11" s="20" t="n">
        <v>1.15</v>
      </c>
      <c r="G11" s="27" t="n">
        <v>900000</v>
      </c>
      <c r="H11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2">
      <c r="A12" s="26" t="inlineStr">
        <is>
          <t>Israel</t>
        </is>
      </c>
      <c r="B12" s="27" t="n">
        <v>50000</v>
      </c>
      <c r="C12" s="28" t="n">
        <v>0.16</v>
      </c>
      <c r="D12" s="20" t="n">
        <v>0.55</v>
      </c>
      <c r="E12" s="27" t="n">
        <v>20000</v>
      </c>
      <c r="F12" s="20" t="n">
        <v>1.05</v>
      </c>
      <c r="G12" s="27" t="n">
        <v>600000</v>
      </c>
      <c r="H12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3">
      <c r="A13" s="26" t="inlineStr">
        <is>
          <t>Italy</t>
        </is>
      </c>
      <c r="B13" s="27" t="n">
        <v>48000</v>
      </c>
      <c r="C13" s="28" t="n">
        <v>0.28</v>
      </c>
      <c r="D13" s="20" t="n">
        <v>0.33</v>
      </c>
      <c r="E13" s="27" t="n">
        <v>26000</v>
      </c>
      <c r="F13" s="20" t="n">
        <v>1</v>
      </c>
      <c r="G13" s="27" t="n">
        <v>900000</v>
      </c>
      <c r="H13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4">
      <c r="A14" s="26" t="inlineStr">
        <is>
          <t>Lebanon</t>
        </is>
      </c>
      <c r="B14" s="27" t="n">
        <v>20000</v>
      </c>
      <c r="C14" s="28" t="n">
        <v>0.2</v>
      </c>
      <c r="D14" s="20" t="n">
        <v>0.6</v>
      </c>
      <c r="E14" s="27" t="n">
        <v>12000</v>
      </c>
      <c r="F14" s="20" t="n">
        <v>0.45</v>
      </c>
      <c r="G14" s="27" t="n">
        <v>600000</v>
      </c>
      <c r="H14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5">
      <c r="A15" s="26" t="inlineStr">
        <is>
          <t>Portugal</t>
        </is>
      </c>
      <c r="B15" s="27" t="n">
        <v>30000</v>
      </c>
      <c r="C15" s="28" t="n">
        <v>0.18</v>
      </c>
      <c r="D15" s="20" t="n">
        <v>0.2</v>
      </c>
      <c r="E15" s="27" t="n">
        <v>16000</v>
      </c>
      <c r="F15" s="20" t="n">
        <v>0.65</v>
      </c>
      <c r="G15" s="27" t="n">
        <v>900000</v>
      </c>
      <c r="H15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6">
      <c r="A16" s="26" t="inlineStr">
        <is>
          <t>Qatar</t>
        </is>
      </c>
      <c r="B16" s="27" t="n">
        <v>43000</v>
      </c>
      <c r="C16" s="28" t="n">
        <v>0.036</v>
      </c>
      <c r="D16" s="20" t="n">
        <v>0.49</v>
      </c>
      <c r="E16" s="27" t="n">
        <v>20000</v>
      </c>
      <c r="F16" s="20" t="n">
        <v>0.7</v>
      </c>
      <c r="G16" s="27" t="n">
        <v>600000</v>
      </c>
      <c r="H16" s="15" t="inlineStr">
        <is>
          <t>GCC expat marine crew (Doha). Naukrigulf: yacht captain Qatar QAR 6,000-18,518/mo, avg QAR 10,333/mo (~$2,840); Indeed Qatar boat captain avg QAR 50,795/yr (low-side local base, ~$14k); Facebook/MCA ad: 38m-yacht captain $15k/mo (superyacht high-side, excluded). Deckhand: Doha job ads QAR 2,300/mo + food (Facebook 2026), Indeed boat/yacht crew up to QAR 4,500/mo. Blended 1 commercial tourism-boat captain (~QAR 10,000/mo ~$2,750) + deckhand (~QAR 3,000/mo ~$825) fully-loaded incl visa/accommodation ~= QAR 156k = ~$43k/vessel/yr @QAR 3.64 (pegged). Highest GCC wage market (GDP/cap top of GCC); just above Saudi $42k / UAE $40k, below Singapore $48k. | HEAVILY SUBSIDIZED - cheapest commercial power in the set. Kahramaa commercial tariff slabs: QAR 0.09/kWh first 4,000 kWh/mo, QAR 0.12 for 4,001-15,000, QAR 0.14 above 15,000 (Kahramaa tariff schedule). GlobalPetrolPrices business QAR 0.130/kWh = $0.036 (Sep 2025). Anchored $0.036. Floor (low slab QAR 0.09) ~$0.025, ceiling (top slab QAR 0.14) ~$0.038. @QAR 3.64 (pegged). Well below Saudi $0.074 / Bahrain $0.08 / UAE $0.085. | Modeled berth+insurance+admin/vessel/yr. Doha premium marina set: Lusail Marina, The Pearl (Ronautica) marinas, Old Doha Port Mina District superyacht marina - high-cost GCC marine ops comparable to Dubai. Between Saudi $18k and UAE $22k, ~= Singapore $20k. Tagged low. | CAPEX LB-243 US/EU=$900K else $600K</t>
        </is>
      </c>
    </row>
    <row r="17">
      <c r="A17" s="26" t="inlineStr">
        <is>
          <t>Romania</t>
        </is>
      </c>
      <c r="B17" s="27" t="n">
        <v>22000</v>
      </c>
      <c r="C17" s="28" t="n">
        <v>0.16</v>
      </c>
      <c r="D17" s="20" t="n">
        <v>0.26</v>
      </c>
      <c r="E17" s="27" t="n">
        <v>12000</v>
      </c>
      <c r="F17" s="20" t="n">
        <v>0.5</v>
      </c>
      <c r="G17" s="27" t="n">
        <v>900000</v>
      </c>
      <c r="H17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18">
      <c r="A18" s="26" t="inlineStr">
        <is>
          <t>Saudi Arabia</t>
        </is>
      </c>
      <c r="B18" s="27" t="n">
        <v>42000</v>
      </c>
      <c r="C18" s="28" t="n">
        <v>0.074</v>
      </c>
      <c r="D18" s="20" t="n">
        <v>0.57</v>
      </c>
      <c r="E18" s="27" t="n">
        <v>18000</v>
      </c>
      <c r="F18" s="20" t="n">
        <v>0.68</v>
      </c>
      <c r="G18" s="27" t="n">
        <v>600000</v>
      </c>
      <c r="H18" s="15" t="inlineStr">
        <is>
          <t>GCC expat marine crew. Job ads (Instagram/Facebook 2026): yacht/boat captain SAR 7,000-10,000/mo (~$1,870-2,670/mo); ERI SalaryExpert boat captain avg SAR 203,728/yr (~$54k, high-side single qualified). Blended 1 commercial tourism-boat captain (~SAR 8,500/mo) + deckhand (~SAR 3,500/mo) fully-loaded (housing/food/visa typically provided) ~= SAR 157k = ~$42k/vessel/yr @3.75. High-income GCC; just below Singapore $48k. | HEAVILY SUBSIDIZED. SEC/SERA commercial tariff: SAR 0.22/kWh up to 6,000 kWh/mo, SAR 0.32 above (clenergize/SEC 2025). GlobalPetrolPrices business SAR 0.277 = $0.074 (Sep 2025). Anchored $0.074. Floor (low-band) ~$0.059, ceiling (high-band SAR 0.32) ~$0.085. @SAR 3.75 (pegged). | Modeled berth+insurance+admin/vessel/yr. New premium Red Sea Global / NEOM marinas (Shura, Sindalah 86-berth) are high-cost GCC marine ops; above Taiwan $14k, below Singapore $20k. Tagged low. | CAPEX LB-243 US/EU=$900K else $600K</t>
        </is>
      </c>
    </row>
    <row r="19">
      <c r="A19" s="26" t="inlineStr">
        <is>
          <t>Spain</t>
        </is>
      </c>
      <c r="B19" s="27" t="n">
        <v>38000</v>
      </c>
      <c r="C19" s="28" t="n">
        <v>0.18</v>
      </c>
      <c r="D19" s="20" t="n">
        <v>0.19</v>
      </c>
      <c r="E19" s="27" t="n">
        <v>20000</v>
      </c>
      <c r="F19" s="20" t="n">
        <v>0.8</v>
      </c>
      <c r="G19" s="27" t="n">
        <v>900000</v>
      </c>
      <c r="H19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20">
      <c r="A20" s="26" t="inlineStr">
        <is>
          <t>Sweden</t>
        </is>
      </c>
      <c r="B20" s="27" t="n">
        <v>58000</v>
      </c>
      <c r="C20" s="28" t="n">
        <v>0.13</v>
      </c>
      <c r="D20" s="20" t="n">
        <v>0.04</v>
      </c>
      <c r="E20" s="27" t="n">
        <v>22000</v>
      </c>
      <c r="F20" s="20" t="n">
        <v>1.2</v>
      </c>
      <c r="G20" s="27" t="n">
        <v>900000</v>
      </c>
      <c r="H20" s="15" t="inlineStr">
        <is>
          <t>Modeled from national maritime-wage / cost-of-living index vs SG anchor | Modeled from national commercial electricity tariff avg | Modeled berth/marina overhead vs SG anchor by cost index | CAPEX LB-243 US/EU=$900K else $600K</t>
        </is>
      </c>
    </row>
    <row r="21">
      <c r="A21" s="26" t="inlineStr">
        <is>
          <t>United Arab Emirates</t>
        </is>
      </c>
      <c r="B21" s="27" t="n">
        <v>40000</v>
      </c>
      <c r="C21" s="28" t="n">
        <v>0.08500000000000001</v>
      </c>
      <c r="D21" s="20" t="n">
        <v>0.4</v>
      </c>
      <c r="E21" s="27" t="n">
        <v>22000</v>
      </c>
      <c r="F21" s="20" t="n">
        <v>0.74</v>
      </c>
      <c r="G21" s="27" t="n">
        <v>600000</v>
      </c>
      <c r="H21" s="15" t="inlineStr">
        <is>
          <t>GCC expat marine crew (Dubai). Dubai yacht-group ads: captain AED 5,000-10,000/mo, deckhand AED 2,000-3,500/mo; Morgan &amp; Mallet GCC guide captain $4,200-7,200/mo, deckhand $1,550-2,300/mo. Blended 1 commercial tourism-boat captain (~AED 8,000/mo ~$2,180) + deckhand (~AED 3,000/mo ~$817) fully-loaded incl visa/accommodation/insurance ~= ~$40k/vessel/yr @AED 3.6725. High-income GCC; between Saudi $42k and Bahrain $36k. | DEWA commercial slab tariff AED 0.23/0.28/0.32 per kWh + ~6 fils fuel surcharge (DEWA 2025); utilitybilluae.com business band AED 0.20-0.38/kWh. Effective commercial ~AED 0.30-0.33 = ~$0.082-0.090 @AED 3.6725. Abu Dhabi (ADDC) commercial cheaper. Blended UAE commercial ~$0.085. Subsidized like other GCC but above Saudi $0.074. | Modeled berth+insurance+admin/vessel/yr. Dubai premium marinas (Dubai Marina, Dubai Harbour, Bluewaters) are among the most expensive GCC marine ops; above Saudi $18k and Singapore $20k. Tagged low.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9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26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Bolt — Corridor economics (one boat, one year; MID = headline)</t>
        </is>
      </c>
      <c r="N1" s="30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31" t="inlineStr">
        <is>
          <t>Bolt Croatia</t>
        </is>
      </c>
      <c r="B4" s="31" t="inlineStr">
        <is>
          <t>Croatia</t>
        </is>
      </c>
      <c r="C4" s="32" t="inlineStr">
        <is>
          <t>Split → Trogir (via Čiovo)</t>
        </is>
      </c>
      <c r="D4" s="33" t="n">
        <v>8</v>
      </c>
      <c r="E4" s="27" t="n">
        <v>10.8</v>
      </c>
      <c r="F4" s="34" t="inlineStr">
        <is>
          <t>T2</t>
        </is>
      </c>
      <c r="G4" s="34" t="inlineStr">
        <is>
          <t>med</t>
        </is>
      </c>
      <c r="H4" s="20" t="n">
        <v>1</v>
      </c>
      <c r="I4" s="35">
        <f>60*D4/cruise_kt</f>
        <v/>
      </c>
      <c r="J4" s="35">
        <f>IF(B4="South Korea",D4/korea_charge_range_nm*korea_full_range_charge_min,0)</f>
        <v/>
      </c>
      <c r="K4" s="35">
        <f>IF(B4="South Korea",I4+korea_turn_min+korea_dwell_min+J4,I4+turn_min+dwell_min)</f>
        <v/>
      </c>
      <c r="L4" s="36">
        <f>IF(B4="South Korea",FLOOR(60*korea_service_hr/K4,1),MIN(24,FLOOR(60*service_hr/K4,1)))</f>
        <v/>
      </c>
      <c r="M4" s="36">
        <f>IF(ABS(MOD(ABS((365*mech_uptime*H4)),1)-0.5)&lt;1E-9,2*ROUND((365*mech_uptime*H4)/2,0),ROUND((365*mech_uptime*H4),0))</f>
        <v/>
      </c>
      <c r="N4" s="37">
        <f>mech_uptime</f>
        <v/>
      </c>
      <c r="O4" s="37">
        <f>IF(AND(B4="South Korea",scenario="MID"),korea_mid_revleg,revleg_sel)</f>
        <v/>
      </c>
      <c r="P4" s="36">
        <f>IF(ABS(MOD(ABS((L4*M4*O4)),1)-0.5)&lt;1E-9,2*ROUND((L4*M4*O4)/2,0),ROUND((L4*M4*O4),0))</f>
        <v/>
      </c>
      <c r="Q4" s="37">
        <f>IF(AND(B4="South Korea",scenario="MID"),korea_mid_load,load_sel)</f>
        <v/>
      </c>
      <c r="R4" s="38">
        <f>pax_cap*Q4</f>
        <v/>
      </c>
      <c r="S4" s="36">
        <f>R4*P4</f>
        <v/>
      </c>
      <c r="T4" s="39">
        <f>E4*discount</f>
        <v/>
      </c>
      <c r="U4" s="40">
        <f>T4*S4</f>
        <v/>
      </c>
      <c r="V4" s="40">
        <f>(battery/range_nm)*D4*P4*VLOOKUP(B4,country_opex,3,FALSE)</f>
        <v/>
      </c>
      <c r="W4" s="40">
        <f>VLOOKUP(B4,country_opex,2,FALSE)*crew_factor</f>
        <v/>
      </c>
      <c r="X4" s="40">
        <f>VLOOKUP(B4,country_opex,5,FALSE)</f>
        <v/>
      </c>
      <c r="Y4" s="40">
        <f>maint</f>
        <v/>
      </c>
      <c r="Z4" s="40">
        <f>VLOOKUP(B4,country_opex,7,FALSE)*ins_pct</f>
        <v/>
      </c>
      <c r="AA4" s="40">
        <f>charge_berth</f>
        <v/>
      </c>
      <c r="AB4" s="40">
        <f>V4+W4+X4+Y4+Z4+AA4</f>
        <v/>
      </c>
      <c r="AC4" s="40">
        <f>VLOOKUP(B4,country_opex,7,FALSE)/dep_years</f>
        <v/>
      </c>
      <c r="AD4" s="40">
        <f>U4-AB4</f>
        <v/>
      </c>
      <c r="AE4" s="37">
        <f>IF(U4=0,"",AD4/U4)</f>
        <v/>
      </c>
      <c r="AF4" s="38">
        <f>IF(AD4&lt;=0,"",VLOOKUP(B4,country_opex,7,FALSE)/AD4)</f>
        <v/>
      </c>
      <c r="AG4" s="35">
        <f>((D4*P4/diesel_nmpg)*diesel_co2pg-(battery/range_nm)*D4*P4*VLOOKUP(B4,country_opex,4,FALSE))/1000</f>
        <v/>
      </c>
      <c r="AH4" s="33" t="n"/>
      <c r="AI4" s="34" t="n"/>
      <c r="AJ4" s="34" t="n"/>
      <c r="AK4" s="41" t="n">
        <v>0.1</v>
      </c>
      <c r="AL4" s="36">
        <f>IF(AH4="","",AH4*AK4)</f>
        <v/>
      </c>
      <c r="AM4" s="36">
        <f>IF(OR(AH4="",S4=0),"",MIN(IF(AU4="",9.9E+99,AU4),FLOOR(AL4/S4,1)))</f>
        <v/>
      </c>
      <c r="AN4" s="40">
        <f>IF(AM4="","",AM4*IF(ABS(MOD(ABS((U4)),1)-0.5)&lt;1E-9,2*ROUND((U4)/2,0),ROUND((U4),0)))</f>
        <v/>
      </c>
      <c r="AO4" s="38">
        <f>IF(OR(AH4="",S4=0),"",MIN(IF(AU4="",9.9E+99,AU4),AL4/S4))</f>
        <v/>
      </c>
      <c r="AP4" s="40">
        <f>IF(AO4="","",AO4*IF(B4="South Korea",IF(ABS(MOD(ABS((U4)),1)-0.5)&lt;1E-9,2*ROUND((U4)/2,0),ROUND((U4),0)),U4))</f>
        <v/>
      </c>
      <c r="AQ4" s="42" t="n"/>
      <c r="AR4" s="34" t="inlineStr">
        <is>
          <t>Estimated</t>
        </is>
      </c>
      <c r="AS4" s="43" t="n"/>
      <c r="AT4" s="43" t="n"/>
      <c r="AU4" s="44" t="n"/>
      <c r="AV4" s="45">
        <f>IF(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&lt;=0,"",VLOOKUP(B4,country_opex,7,FALSE)/((T4*pax_cap*load_thin*IF(ABS(MOD(ABS((L4*M4*revleg_thin)),1)-0.5)&lt;1E-9,2*ROUND((L4*M4*revleg_thin)/2,0),ROUND((L4*M4*revleg_thin),0)))-(((battery/range_nm)*D4*IF(ABS(MOD(ABS((L4*M4*revleg_thin)),1)-0.5)&lt;1E-9,2*ROUND((L4*M4*revleg_thin)/2,0),ROUND((L4*M4*revleg_thin),0))*VLOOKUP(B4,country_opex,3,FALSE))+W4+X4+Y4+Z4+AA4)))</f>
        <v/>
      </c>
      <c r="AW4" s="45">
        <f>IF(((T4*pax_cap*IF(B4="South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Korea",korea_mid_revleg,revleg_mid)),0))*VLOOKUP(B4,country_opex,3,FALSE))+W4+X4+Y4+Z4+AA4))&lt;=0,"",VLOOKUP(B4,country_opex,7,FALSE)/((T4*pax_cap*IF(B4="South Korea",korea_mid_load,load_mid)*IF(ABS(MOD(ABS((L4*M4*IF(B4="South Korea",korea_mid_revleg,revleg_mid))),1)-0.5)&lt;1E-9,2*ROUND((L4*M4*IF(B4="South Korea",korea_mid_revleg,revleg_mid))/2,0),ROUND((L4*M4*IF(B4="South Korea",korea_mid_revleg,revleg_mid)),0)))-(((battery/range_nm)*D4*IF(ABS(MOD(ABS((L4*M4*IF(B4="South Korea",korea_mid_revleg,revleg_mid))),1)-0.5)&lt;1E-9,2*ROUND((L4*M4*IF(B4="South Korea",korea_mid_revleg,revleg_mid))/2,0),ROUND((L4*M4*IF(B4="South Korea",korea_mid_revleg,revleg_mid)),0))*VLOOKUP(B4,country_opex,3,FALSE))+W4+X4+Y4+Z4+AA4)))</f>
        <v/>
      </c>
      <c r="AX4" s="45">
        <f>IF(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&lt;=0,"",VLOOKUP(B4,country_opex,7,FALSE)/((T4*pax_cap*load_full*IF(ABS(MOD(ABS((L4*M4*revleg_full)),1)-0.5)&lt;1E-9,2*ROUND((L4*M4*revleg_full)/2,0),ROUND((L4*M4*revleg_full),0)))-(((battery/range_nm)*D4*IF(ABS(MOD(ABS((L4*M4*revleg_full)),1)-0.5)&lt;1E-9,2*ROUND((L4*M4*revleg_full)/2,0),ROUND((L4*M4*revleg_full),0))*VLOOKUP(B4,country_opex,3,FALSE))+W4+X4+Y4+Z4+AA4)))</f>
        <v/>
      </c>
      <c r="AY4" s="46" t="inlineStr">
        <is>
          <t>PREMIUM/scheduled per-seat: Bura Line Split-&gt;Trogir EUR 10 adult (60 min). EUR 10 x 1.08 = $10.8.</t>
        </is>
      </c>
      <c r="AZ4" s="46" t="n"/>
      <c r="BA4" s="34" t="n"/>
    </row>
    <row r="5">
      <c r="A5" s="31" t="inlineStr">
        <is>
          <t>Bolt Croatia</t>
        </is>
      </c>
      <c r="B5" s="31" t="inlineStr">
        <is>
          <t>Croatia</t>
        </is>
      </c>
      <c r="C5" s="32" t="inlineStr">
        <is>
          <t>Dubrovnik → Elaphiti Islands (Lopud / Šipan / Koločep)</t>
        </is>
      </c>
      <c r="D5" s="33" t="n">
        <v>8</v>
      </c>
      <c r="E5" s="27" t="n">
        <v>45.4</v>
      </c>
      <c r="F5" s="34" t="inlineStr">
        <is>
          <t>T2</t>
        </is>
      </c>
      <c r="G5" s="34" t="inlineStr">
        <is>
          <t>med</t>
        </is>
      </c>
      <c r="H5" s="20" t="n">
        <v>1</v>
      </c>
      <c r="I5" s="35">
        <f>60*D5/cruise_kt</f>
        <v/>
      </c>
      <c r="J5" s="35">
        <f>IF(B5="South Korea",D5/korea_charge_range_nm*korea_full_range_charge_min,0)</f>
        <v/>
      </c>
      <c r="K5" s="35">
        <f>IF(B5="South Korea",I5+korea_turn_min+korea_dwell_min+J5,I5+turn_min+dwell_min)</f>
        <v/>
      </c>
      <c r="L5" s="36">
        <f>IF(B5="South Korea",FLOOR(60*korea_service_hr/K5,1),MIN(15,FLOOR(60*service_hr/K5,1)))</f>
        <v/>
      </c>
      <c r="M5" s="36">
        <f>IF(ABS(MOD(ABS((365*mech_uptime*H5)),1)-0.5)&lt;1E-9,2*ROUND((365*mech_uptime*H5)/2,0),ROUND((365*mech_uptime*H5),0))</f>
        <v/>
      </c>
      <c r="N5" s="37">
        <f>mech_uptime</f>
        <v/>
      </c>
      <c r="O5" s="37">
        <f>IF(AND(B5="South Korea",scenario="MID"),korea_mid_revleg,revleg_sel)</f>
        <v/>
      </c>
      <c r="P5" s="36">
        <f>IF(ABS(MOD(ABS((L5*M5*O5)),1)-0.5)&lt;1E-9,2*ROUND((L5*M5*O5)/2,0),ROUND((L5*M5*O5),0))</f>
        <v/>
      </c>
      <c r="Q5" s="37">
        <f>IF(AND(B5="South Korea",scenario="MID"),korea_mid_load,load_sel)</f>
        <v/>
      </c>
      <c r="R5" s="38">
        <f>pax_cap*Q5</f>
        <v/>
      </c>
      <c r="S5" s="36">
        <f>R5*P5</f>
        <v/>
      </c>
      <c r="T5" s="39">
        <f>E5*discount</f>
        <v/>
      </c>
      <c r="U5" s="40">
        <f>T5*S5</f>
        <v/>
      </c>
      <c r="V5" s="40">
        <f>(battery/range_nm)*D5*P5*VLOOKUP(B5,country_opex,3,FALSE)</f>
        <v/>
      </c>
      <c r="W5" s="40">
        <f>VLOOKUP(B5,country_opex,2,FALSE)*crew_factor</f>
        <v/>
      </c>
      <c r="X5" s="40">
        <f>VLOOKUP(B5,country_opex,5,FALSE)</f>
        <v/>
      </c>
      <c r="Y5" s="40">
        <f>maint</f>
        <v/>
      </c>
      <c r="Z5" s="40">
        <f>VLOOKUP(B5,country_opex,7,FALSE)*ins_pct</f>
        <v/>
      </c>
      <c r="AA5" s="40">
        <f>charge_berth</f>
        <v/>
      </c>
      <c r="AB5" s="40">
        <f>V5+W5+X5+Y5+Z5+AA5</f>
        <v/>
      </c>
      <c r="AC5" s="40">
        <f>VLOOKUP(B5,country_opex,7,FALSE)/dep_years</f>
        <v/>
      </c>
      <c r="AD5" s="40">
        <f>U5-AB5</f>
        <v/>
      </c>
      <c r="AE5" s="37">
        <f>IF(U5=0,"",AD5/U5)</f>
        <v/>
      </c>
      <c r="AF5" s="38">
        <f>IF(AD5&lt;=0,"",VLOOKUP(B5,country_opex,7,FALSE)/AD5)</f>
        <v/>
      </c>
      <c r="AG5" s="35">
        <f>((D5*P5/diesel_nmpg)*diesel_co2pg-(battery/range_nm)*D5*P5*VLOOKUP(B5,country_opex,4,FALSE))/1000</f>
        <v/>
      </c>
      <c r="AH5" s="33" t="n"/>
      <c r="AI5" s="34" t="n"/>
      <c r="AJ5" s="34" t="n"/>
      <c r="AK5" s="41" t="n">
        <v>0.1</v>
      </c>
      <c r="AL5" s="36">
        <f>IF(AH5="","",AH5*AK5)</f>
        <v/>
      </c>
      <c r="AM5" s="36">
        <f>IF(OR(AH5="",S5=0),"",MIN(IF(AU5="",9.9E+99,AU5),FLOOR(AL5/S5,1)))</f>
        <v/>
      </c>
      <c r="AN5" s="40">
        <f>IF(AM5="","",AM5*IF(ABS(MOD(ABS((U5)),1)-0.5)&lt;1E-9,2*ROUND((U5)/2,0),ROUND((U5),0)))</f>
        <v/>
      </c>
      <c r="AO5" s="38">
        <f>IF(OR(AH5="",S5=0),"",MIN(IF(AU5="",9.9E+99,AU5),AL5/S5))</f>
        <v/>
      </c>
      <c r="AP5" s="40">
        <f>IF(AO5="","",AO5*IF(B5="South Korea",IF(ABS(MOD(ABS((U5)),1)-0.5)&lt;1E-9,2*ROUND((U5)/2,0),ROUND((U5),0)),U5))</f>
        <v/>
      </c>
      <c r="AQ5" s="42" t="n"/>
      <c r="AR5" s="34" t="inlineStr">
        <is>
          <t>Estimated</t>
        </is>
      </c>
      <c r="AS5" s="43" t="n"/>
      <c r="AT5" s="43" t="n"/>
      <c r="AU5" s="44" t="n"/>
      <c r="AV5" s="45">
        <f>IF(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&lt;=0,"",VLOOKUP(B5,country_opex,7,FALSE)/((T5*pax_cap*load_thin*IF(ABS(MOD(ABS((L5*M5*revleg_thin)),1)-0.5)&lt;1E-9,2*ROUND((L5*M5*revleg_thin)/2,0),ROUND((L5*M5*revleg_thin),0)))-(((battery/range_nm)*D5*IF(ABS(MOD(ABS((L5*M5*revleg_thin)),1)-0.5)&lt;1E-9,2*ROUND((L5*M5*revleg_thin)/2,0),ROUND((L5*M5*revleg_thin),0))*VLOOKUP(B5,country_opex,3,FALSE))+W5+X5+Y5+Z5+AA5)))</f>
        <v/>
      </c>
      <c r="AW5" s="45">
        <f>IF(((T5*pax_cap*IF(B5="South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Korea",korea_mid_revleg,revleg_mid)),0))*VLOOKUP(B5,country_opex,3,FALSE))+W5+X5+Y5+Z5+AA5))&lt;=0,"",VLOOKUP(B5,country_opex,7,FALSE)/((T5*pax_cap*IF(B5="South Korea",korea_mid_load,load_mid)*IF(ABS(MOD(ABS((L5*M5*IF(B5="South Korea",korea_mid_revleg,revleg_mid))),1)-0.5)&lt;1E-9,2*ROUND((L5*M5*IF(B5="South Korea",korea_mid_revleg,revleg_mid))/2,0),ROUND((L5*M5*IF(B5="South Korea",korea_mid_revleg,revleg_mid)),0)))-(((battery/range_nm)*D5*IF(ABS(MOD(ABS((L5*M5*IF(B5="South Korea",korea_mid_revleg,revleg_mid))),1)-0.5)&lt;1E-9,2*ROUND((L5*M5*IF(B5="South Korea",korea_mid_revleg,revleg_mid))/2,0),ROUND((L5*M5*IF(B5="South Korea",korea_mid_revleg,revleg_mid)),0))*VLOOKUP(B5,country_opex,3,FALSE))+W5+X5+Y5+Z5+AA5)))</f>
        <v/>
      </c>
      <c r="AX5" s="45">
        <f>IF(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&lt;=0,"",VLOOKUP(B5,country_opex,7,FALSE)/((T5*pax_cap*load_full*IF(ABS(MOD(ABS((L5*M5*revleg_full)),1)-0.5)&lt;1E-9,2*ROUND((L5*M5*revleg_full)/2,0),ROUND((L5*M5*revleg_full),0)))-(((battery/range_nm)*D5*IF(ABS(MOD(ABS((L5*M5*revleg_full)),1)-0.5)&lt;1E-9,2*ROUND((L5*M5*revleg_full)/2,0),ROUND((L5*M5*revleg_full),0))*VLOOKUP(B5,country_opex,3,FALSE))+W5+X5+Y5+Z5+AA5)))</f>
        <v/>
      </c>
      <c r="AY5" s="46" t="inlineStr">
        <is>
          <t>PREMIUM tier: half-day Elaphiti speedboat/day-trip per-seat EUR 35-50 (machupicchu.org/getyourguide listings); midpoint ~EUR 42 x 1.08 = $45.4. (This is the tourist premium tier; the Jadrolinija local line is the commuter floor below.)</t>
        </is>
      </c>
      <c r="AZ5" s="46" t="n"/>
      <c r="BA5" s="34" t="n"/>
    </row>
    <row r="6">
      <c r="A6" s="31" t="inlineStr">
        <is>
          <t>Bolt Croatia</t>
        </is>
      </c>
      <c r="B6" s="31" t="inlineStr">
        <is>
          <t>Croatia</t>
        </is>
      </c>
      <c r="C6" s="32" t="inlineStr">
        <is>
          <t>Split → Šolta (Rogač)</t>
        </is>
      </c>
      <c r="D6" s="33" t="n">
        <v>9</v>
      </c>
      <c r="E6" s="27" t="n">
        <v>7.6</v>
      </c>
      <c r="F6" s="34" t="inlineStr">
        <is>
          <t>T2</t>
        </is>
      </c>
      <c r="G6" s="34" t="inlineStr">
        <is>
          <t>med</t>
        </is>
      </c>
      <c r="H6" s="20" t="n">
        <v>1</v>
      </c>
      <c r="I6" s="35">
        <f>60*D6/cruise_kt</f>
        <v/>
      </c>
      <c r="J6" s="35">
        <f>IF(B6="South Korea",D6/korea_charge_range_nm*korea_full_range_charge_min,0)</f>
        <v/>
      </c>
      <c r="K6" s="35">
        <f>IF(B6="South Korea",I6+korea_turn_min+korea_dwell_min+J6,I6+turn_min+dwell_min)</f>
        <v/>
      </c>
      <c r="L6" s="36">
        <f>IF(B6="South Korea",FLOOR(60*korea_service_hr/K6,1),MIN(15,FLOOR(60*service_hr/K6,1)))</f>
        <v/>
      </c>
      <c r="M6" s="36">
        <f>IF(ABS(MOD(ABS((365*mech_uptime*H6)),1)-0.5)&lt;1E-9,2*ROUND((365*mech_uptime*H6)/2,0),ROUND((365*mech_uptime*H6),0))</f>
        <v/>
      </c>
      <c r="N6" s="37">
        <f>mech_uptime</f>
        <v/>
      </c>
      <c r="O6" s="37">
        <f>IF(AND(B6="South Korea",scenario="MID"),korea_mid_revleg,revleg_sel)</f>
        <v/>
      </c>
      <c r="P6" s="36">
        <f>IF(ABS(MOD(ABS((L6*M6*O6)),1)-0.5)&lt;1E-9,2*ROUND((L6*M6*O6)/2,0),ROUND((L6*M6*O6),0))</f>
        <v/>
      </c>
      <c r="Q6" s="37">
        <f>IF(AND(B6="South Korea",scenario="MID"),korea_mid_load,load_sel)</f>
        <v/>
      </c>
      <c r="R6" s="38">
        <f>pax_cap*Q6</f>
        <v/>
      </c>
      <c r="S6" s="36">
        <f>R6*P6</f>
        <v/>
      </c>
      <c r="T6" s="39">
        <f>E6*discount</f>
        <v/>
      </c>
      <c r="U6" s="40">
        <f>T6*S6</f>
        <v/>
      </c>
      <c r="V6" s="40">
        <f>(battery/range_nm)*D6*P6*VLOOKUP(B6,country_opex,3,FALSE)</f>
        <v/>
      </c>
      <c r="W6" s="40">
        <f>VLOOKUP(B6,country_opex,2,FALSE)*crew_factor</f>
        <v/>
      </c>
      <c r="X6" s="40">
        <f>VLOOKUP(B6,country_opex,5,FALSE)</f>
        <v/>
      </c>
      <c r="Y6" s="40">
        <f>maint</f>
        <v/>
      </c>
      <c r="Z6" s="40">
        <f>VLOOKUP(B6,country_opex,7,FALSE)*ins_pct</f>
        <v/>
      </c>
      <c r="AA6" s="40">
        <f>charge_berth</f>
        <v/>
      </c>
      <c r="AB6" s="40">
        <f>V6+W6+X6+Y6+Z6+AA6</f>
        <v/>
      </c>
      <c r="AC6" s="40">
        <f>VLOOKUP(B6,country_opex,7,FALSE)/dep_years</f>
        <v/>
      </c>
      <c r="AD6" s="40">
        <f>U6-AB6</f>
        <v/>
      </c>
      <c r="AE6" s="37">
        <f>IF(U6=0,"",AD6/U6)</f>
        <v/>
      </c>
      <c r="AF6" s="38">
        <f>IF(AD6&lt;=0,"",VLOOKUP(B6,country_opex,7,FALSE)/AD6)</f>
        <v/>
      </c>
      <c r="AG6" s="35">
        <f>((D6*P6/diesel_nmpg)*diesel_co2pg-(battery/range_nm)*D6*P6*VLOOKUP(B6,country_opex,4,FALSE))/1000</f>
        <v/>
      </c>
      <c r="AH6" s="33" t="n"/>
      <c r="AI6" s="34" t="n"/>
      <c r="AJ6" s="34" t="n"/>
      <c r="AK6" s="41" t="n">
        <v>0.1</v>
      </c>
      <c r="AL6" s="36">
        <f>IF(AH6="","",AH6*AK6)</f>
        <v/>
      </c>
      <c r="AM6" s="36">
        <f>IF(OR(AH6="",S6=0),"",MIN(IF(AU6="",9.9E+99,AU6),FLOOR(AL6/S6,1)))</f>
        <v/>
      </c>
      <c r="AN6" s="40">
        <f>IF(AM6="","",AM6*IF(ABS(MOD(ABS((U6)),1)-0.5)&lt;1E-9,2*ROUND((U6)/2,0),ROUND((U6),0)))</f>
        <v/>
      </c>
      <c r="AO6" s="38">
        <f>IF(OR(AH6="",S6=0),"",MIN(IF(AU6="",9.9E+99,AU6),AL6/S6))</f>
        <v/>
      </c>
      <c r="AP6" s="40">
        <f>IF(AO6="","",AO6*IF(B6="South Korea",IF(ABS(MOD(ABS((U6)),1)-0.5)&lt;1E-9,2*ROUND((U6)/2,0),ROUND((U6),0)),U6))</f>
        <v/>
      </c>
      <c r="AQ6" s="42" t="n"/>
      <c r="AR6" s="34" t="inlineStr">
        <is>
          <t>Estimated</t>
        </is>
      </c>
      <c r="AS6" s="43" t="n"/>
      <c r="AT6" s="43" t="n"/>
      <c r="AU6" s="44" t="n"/>
      <c r="AV6" s="45">
        <f>IF(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&lt;=0,"",VLOOKUP(B6,country_opex,7,FALSE)/((T6*pax_cap*load_thin*IF(ABS(MOD(ABS((L6*M6*revleg_thin)),1)-0.5)&lt;1E-9,2*ROUND((L6*M6*revleg_thin)/2,0),ROUND((L6*M6*revleg_thin),0)))-(((battery/range_nm)*D6*IF(ABS(MOD(ABS((L6*M6*revleg_thin)),1)-0.5)&lt;1E-9,2*ROUND((L6*M6*revleg_thin)/2,0),ROUND((L6*M6*revleg_thin),0))*VLOOKUP(B6,country_opex,3,FALSE))+W6+X6+Y6+Z6+AA6)))</f>
        <v/>
      </c>
      <c r="AW6" s="45">
        <f>IF(((T6*pax_cap*IF(B6="South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Korea",korea_mid_revleg,revleg_mid)),0))*VLOOKUP(B6,country_opex,3,FALSE))+W6+X6+Y6+Z6+AA6))&lt;=0,"",VLOOKUP(B6,country_opex,7,FALSE)/((T6*pax_cap*IF(B6="South Korea",korea_mid_load,load_mid)*IF(ABS(MOD(ABS((L6*M6*IF(B6="South Korea",korea_mid_revleg,revleg_mid))),1)-0.5)&lt;1E-9,2*ROUND((L6*M6*IF(B6="South Korea",korea_mid_revleg,revleg_mid))/2,0),ROUND((L6*M6*IF(B6="South Korea",korea_mid_revleg,revleg_mid)),0)))-(((battery/range_nm)*D6*IF(ABS(MOD(ABS((L6*M6*IF(B6="South Korea",korea_mid_revleg,revleg_mid))),1)-0.5)&lt;1E-9,2*ROUND((L6*M6*IF(B6="South Korea",korea_mid_revleg,revleg_mid))/2,0),ROUND((L6*M6*IF(B6="South Korea",korea_mid_revleg,revleg_mid)),0))*VLOOKUP(B6,country_opex,3,FALSE))+W6+X6+Y6+Z6+AA6)))</f>
        <v/>
      </c>
      <c r="AX6" s="45">
        <f>IF(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&lt;=0,"",VLOOKUP(B6,country_opex,7,FALSE)/((T6*pax_cap*load_full*IF(ABS(MOD(ABS((L6*M6*revleg_full)),1)-0.5)&lt;1E-9,2*ROUND((L6*M6*revleg_full)/2,0),ROUND((L6*M6*revleg_full),0)))-(((battery/range_nm)*D6*IF(ABS(MOD(ABS((L6*M6*revleg_full)),1)-0.5)&lt;1E-9,2*ROUND((L6*M6*revleg_full)/2,0),ROUND((L6*M6*revleg_full),0))*VLOOKUP(B6,country_opex,3,FALSE))+W6+X6+Y6+Z6+AA6)))</f>
        <v/>
      </c>
      <c r="AY6" s="46" t="inlineStr">
        <is>
          <t>Split-Rogač is a commuter island line with no separate premium tourist catamaran tier -&gt; premium ~= scheduled fare. Jadrolinija catamaran/ferry adult ~EUR 5.70-7; modeled ~EUR 7 x 1.08 = $7.6 (LOW premium spread; essentially a commuter corridor).</t>
        </is>
      </c>
      <c r="AZ6" s="46" t="n"/>
      <c r="BA6" s="34" t="n"/>
    </row>
    <row r="7">
      <c r="A7" s="31" t="inlineStr">
        <is>
          <t>Bolt Croatia</t>
        </is>
      </c>
      <c r="B7" s="31" t="inlineStr">
        <is>
          <t>Croatia</t>
        </is>
      </c>
      <c r="C7" s="32" t="inlineStr">
        <is>
          <t>Dubrovnik → Cavtat</t>
        </is>
      </c>
      <c r="D7" s="33" t="n">
        <v>9</v>
      </c>
      <c r="E7" s="27" t="n">
        <v>10.8</v>
      </c>
      <c r="F7" s="34" t="inlineStr">
        <is>
          <t>T2</t>
        </is>
      </c>
      <c r="G7" s="34" t="inlineStr">
        <is>
          <t>med</t>
        </is>
      </c>
      <c r="H7" s="20" t="n">
        <v>1</v>
      </c>
      <c r="I7" s="35">
        <f>60*D7/cruise_kt</f>
        <v/>
      </c>
      <c r="J7" s="35">
        <f>IF(B7="South Korea",D7/korea_charge_range_nm*korea_full_range_charge_min,0)</f>
        <v/>
      </c>
      <c r="K7" s="35">
        <f>IF(B7="South Korea",I7+korea_turn_min+korea_dwell_min+J7,I7+turn_min+dwell_min)</f>
        <v/>
      </c>
      <c r="L7" s="36">
        <f>IF(B7="South Korea",FLOOR(60*korea_service_hr/K7,1),MIN(24,FLOOR(60*service_hr/K7,1)))</f>
        <v/>
      </c>
      <c r="M7" s="36">
        <f>IF(ABS(MOD(ABS((365*mech_uptime*H7)),1)-0.5)&lt;1E-9,2*ROUND((365*mech_uptime*H7)/2,0),ROUND((365*mech_uptime*H7),0))</f>
        <v/>
      </c>
      <c r="N7" s="37">
        <f>mech_uptime</f>
        <v/>
      </c>
      <c r="O7" s="37">
        <f>IF(AND(B7="South Korea",scenario="MID"),korea_mid_revleg,revleg_sel)</f>
        <v/>
      </c>
      <c r="P7" s="36">
        <f>IF(ABS(MOD(ABS((L7*M7*O7)),1)-0.5)&lt;1E-9,2*ROUND((L7*M7*O7)/2,0),ROUND((L7*M7*O7),0))</f>
        <v/>
      </c>
      <c r="Q7" s="37">
        <f>IF(AND(B7="South Korea",scenario="MID"),korea_mid_load,load_sel)</f>
        <v/>
      </c>
      <c r="R7" s="38">
        <f>pax_cap*Q7</f>
        <v/>
      </c>
      <c r="S7" s="36">
        <f>R7*P7</f>
        <v/>
      </c>
      <c r="T7" s="39">
        <f>E7*discount</f>
        <v/>
      </c>
      <c r="U7" s="40">
        <f>T7*S7</f>
        <v/>
      </c>
      <c r="V7" s="40">
        <f>(battery/range_nm)*D7*P7*VLOOKUP(B7,country_opex,3,FALSE)</f>
        <v/>
      </c>
      <c r="W7" s="40">
        <f>VLOOKUP(B7,country_opex,2,FALSE)*crew_factor</f>
        <v/>
      </c>
      <c r="X7" s="40">
        <f>VLOOKUP(B7,country_opex,5,FALSE)</f>
        <v/>
      </c>
      <c r="Y7" s="40">
        <f>maint</f>
        <v/>
      </c>
      <c r="Z7" s="40">
        <f>VLOOKUP(B7,country_opex,7,FALSE)*ins_pct</f>
        <v/>
      </c>
      <c r="AA7" s="40">
        <f>charge_berth</f>
        <v/>
      </c>
      <c r="AB7" s="40">
        <f>V7+W7+X7+Y7+Z7+AA7</f>
        <v/>
      </c>
      <c r="AC7" s="40">
        <f>VLOOKUP(B7,country_opex,7,FALSE)/dep_years</f>
        <v/>
      </c>
      <c r="AD7" s="40">
        <f>U7-AB7</f>
        <v/>
      </c>
      <c r="AE7" s="37">
        <f>IF(U7=0,"",AD7/U7)</f>
        <v/>
      </c>
      <c r="AF7" s="38">
        <f>IF(AD7&lt;=0,"",VLOOKUP(B7,country_opex,7,FALSE)/AD7)</f>
        <v/>
      </c>
      <c r="AG7" s="35">
        <f>((D7*P7/diesel_nmpg)*diesel_co2pg-(battery/range_nm)*D7*P7*VLOOKUP(B7,country_opex,4,FALSE))/1000</f>
        <v/>
      </c>
      <c r="AH7" s="33" t="n">
        <v>179000</v>
      </c>
      <c r="AI7" s="34" t="n"/>
      <c r="AJ7" s="34" t="n"/>
      <c r="AK7" s="41" t="n">
        <v>0.1</v>
      </c>
      <c r="AL7" s="36">
        <f>IF(AH7="","",AH7*AK7)</f>
        <v/>
      </c>
      <c r="AM7" s="36">
        <f>IF(OR(AH7="",S7=0),"",MIN(IF(AU7="",9.9E+99,AU7),FLOOR(AL7/S7,1)))</f>
        <v/>
      </c>
      <c r="AN7" s="40">
        <f>IF(AM7="","",AM7*IF(ABS(MOD(ABS((U7)),1)-0.5)&lt;1E-9,2*ROUND((U7)/2,0),ROUND((U7),0)))</f>
        <v/>
      </c>
      <c r="AO7" s="38">
        <f>IF(OR(AH7="",S7=0),"",MIN(IF(AU7="",9.9E+99,AU7),AL7/S7))</f>
        <v/>
      </c>
      <c r="AP7" s="40">
        <f>IF(AO7="","",AO7*IF(B7="South Korea",IF(ABS(MOD(ABS((U7)),1)-0.5)&lt;1E-9,2*ROUND((U7)/2,0),ROUND((U7),0)),U7))</f>
        <v/>
      </c>
      <c r="AQ7" s="42" t="n"/>
      <c r="AR7" s="34" t="inlineStr">
        <is>
          <t>Grounded</t>
        </is>
      </c>
      <c r="AS7" s="43" t="n"/>
      <c r="AT7" s="43" t="n"/>
      <c r="AU7" s="44" t="n"/>
      <c r="AV7" s="45">
        <f>IF(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&lt;=0,"",VLOOKUP(B7,country_opex,7,FALSE)/((T7*pax_cap*load_thin*IF(ABS(MOD(ABS((L7*M7*revleg_thin)),1)-0.5)&lt;1E-9,2*ROUND((L7*M7*revleg_thin)/2,0),ROUND((L7*M7*revleg_thin),0)))-(((battery/range_nm)*D7*IF(ABS(MOD(ABS((L7*M7*revleg_thin)),1)-0.5)&lt;1E-9,2*ROUND((L7*M7*revleg_thin)/2,0),ROUND((L7*M7*revleg_thin),0))*VLOOKUP(B7,country_opex,3,FALSE))+W7+X7+Y7+Z7+AA7)))</f>
        <v/>
      </c>
      <c r="AW7" s="45">
        <f>IF(((T7*pax_cap*IF(B7="South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Korea",korea_mid_revleg,revleg_mid)),0))*VLOOKUP(B7,country_opex,3,FALSE))+W7+X7+Y7+Z7+AA7))&lt;=0,"",VLOOKUP(B7,country_opex,7,FALSE)/((T7*pax_cap*IF(B7="South Korea",korea_mid_load,load_mid)*IF(ABS(MOD(ABS((L7*M7*IF(B7="South Korea",korea_mid_revleg,revleg_mid))),1)-0.5)&lt;1E-9,2*ROUND((L7*M7*IF(B7="South Korea",korea_mid_revleg,revleg_mid))/2,0),ROUND((L7*M7*IF(B7="South Korea",korea_mid_revleg,revleg_mid)),0)))-(((battery/range_nm)*D7*IF(ABS(MOD(ABS((L7*M7*IF(B7="South Korea",korea_mid_revleg,revleg_mid))),1)-0.5)&lt;1E-9,2*ROUND((L7*M7*IF(B7="South Korea",korea_mid_revleg,revleg_mid))/2,0),ROUND((L7*M7*IF(B7="South Korea",korea_mid_revleg,revleg_mid)),0))*VLOOKUP(B7,country_opex,3,FALSE))+W7+X7+Y7+Z7+AA7)))</f>
        <v/>
      </c>
      <c r="AX7" s="45">
        <f>IF(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&lt;=0,"",VLOOKUP(B7,country_opex,7,FALSE)/((T7*pax_cap*load_full*IF(ABS(MOD(ABS((L7*M7*revleg_full)),1)-0.5)&lt;1E-9,2*ROUND((L7*M7*revleg_full)/2,0),ROUND((L7*M7*revleg_full),0)))-(((battery/range_nm)*D7*IF(ABS(MOD(ABS((L7*M7*revleg_full)),1)-0.5)&lt;1E-9,2*ROUND((L7*M7*revleg_full)/2,0),ROUND((L7*M7*revleg_full),0))*VLOOKUP(B7,country_opex,3,FALSE))+W7+X7+Y7+Z7+AA7)))</f>
        <v/>
      </c>
      <c r="AY7" s="46" t="inlineStr">
        <is>
          <t>Scheduled water-taxi/boat Dubrovnik&lt;-&gt;Cavtat ~EUR 9-10 one-way (regular service via Mlini/Srebreno). EUR 10 x 1.08 = $10.8.</t>
        </is>
      </c>
      <c r="AZ7" s="46" t="n"/>
      <c r="BA7" s="34" t="n"/>
    </row>
    <row r="8">
      <c r="A8" s="31" t="inlineStr">
        <is>
          <t>Bolt Croatia</t>
        </is>
      </c>
      <c r="B8" s="31" t="inlineStr">
        <is>
          <t>Croatia</t>
        </is>
      </c>
      <c r="C8" s="32" t="inlineStr">
        <is>
          <t>Dubrovnik Airport (Čilipi) → Dubrovnik / Cavtat (resort transfer)</t>
        </is>
      </c>
      <c r="D8" s="33" t="n">
        <v>10</v>
      </c>
      <c r="E8" s="27" t="n"/>
      <c r="F8" s="34" t="n"/>
      <c r="G8" s="34" t="n"/>
      <c r="H8" s="20" t="n">
        <v>1</v>
      </c>
      <c r="I8" s="35">
        <f>60*D8/cruise_kt</f>
        <v/>
      </c>
      <c r="J8" s="35">
        <f>IF(B8="South Korea",D8/korea_charge_range_nm*korea_full_range_charge_min,0)</f>
        <v/>
      </c>
      <c r="K8" s="35">
        <f>IF(B8="South Korea",I8+korea_turn_min+korea_dwell_min+J8,I8+turn_min+dwell_min)</f>
        <v/>
      </c>
      <c r="L8" s="36">
        <f>IF(B8="South Korea",FLOOR(60*korea_service_hr/K8,1),MIN(15,FLOOR(60*service_hr/K8,1)))</f>
        <v/>
      </c>
      <c r="M8" s="36">
        <f>IF(ABS(MOD(ABS((365*mech_uptime*H8)),1)-0.5)&lt;1E-9,2*ROUND((365*mech_uptime*H8)/2,0),ROUND((365*mech_uptime*H8),0))</f>
        <v/>
      </c>
      <c r="N8" s="37">
        <f>mech_uptime</f>
        <v/>
      </c>
      <c r="O8" s="37">
        <f>IF(AND(B8="South Korea",scenario="MID"),korea_mid_revleg,revleg_sel)</f>
        <v/>
      </c>
      <c r="P8" s="36">
        <f>IF(ABS(MOD(ABS((L8*M8*O8)),1)-0.5)&lt;1E-9,2*ROUND((L8*M8*O8)/2,0),ROUND((L8*M8*O8),0))</f>
        <v/>
      </c>
      <c r="Q8" s="37">
        <f>IF(AND(B8="South Korea",scenario="MID"),korea_mid_load,load_sel)</f>
        <v/>
      </c>
      <c r="R8" s="38">
        <f>pax_cap*Q8</f>
        <v/>
      </c>
      <c r="S8" s="36">
        <f>R8*P8</f>
        <v/>
      </c>
      <c r="T8" s="39">
        <f>E8*discount</f>
        <v/>
      </c>
      <c r="U8" s="40">
        <f>T8*S8</f>
        <v/>
      </c>
      <c r="V8" s="40">
        <f>(battery/range_nm)*D8*P8*VLOOKUP(B8,country_opex,3,FALSE)</f>
        <v/>
      </c>
      <c r="W8" s="40">
        <f>VLOOKUP(B8,country_opex,2,FALSE)*crew_factor</f>
        <v/>
      </c>
      <c r="X8" s="40">
        <f>VLOOKUP(B8,country_opex,5,FALSE)</f>
        <v/>
      </c>
      <c r="Y8" s="40">
        <f>maint</f>
        <v/>
      </c>
      <c r="Z8" s="40">
        <f>VLOOKUP(B8,country_opex,7,FALSE)*ins_pct</f>
        <v/>
      </c>
      <c r="AA8" s="40">
        <f>charge_berth</f>
        <v/>
      </c>
      <c r="AB8" s="40">
        <f>V8+W8+X8+Y8+Z8+AA8</f>
        <v/>
      </c>
      <c r="AC8" s="40">
        <f>VLOOKUP(B8,country_opex,7,FALSE)/dep_years</f>
        <v/>
      </c>
      <c r="AD8" s="40">
        <f>U8-AB8</f>
        <v/>
      </c>
      <c r="AE8" s="37">
        <f>IF(U8=0,"",AD8/U8)</f>
        <v/>
      </c>
      <c r="AF8" s="38">
        <f>IF(AD8&lt;=0,"",VLOOKUP(B8,country_opex,7,FALSE)/AD8)</f>
        <v/>
      </c>
      <c r="AG8" s="35">
        <f>((D8*P8/diesel_nmpg)*diesel_co2pg-(battery/range_nm)*D8*P8*VLOOKUP(B8,country_opex,4,FALSE))/1000</f>
        <v/>
      </c>
      <c r="AH8" s="33" t="n"/>
      <c r="AI8" s="34" t="n"/>
      <c r="AJ8" s="34" t="n"/>
      <c r="AK8" s="41" t="n">
        <v>0.1</v>
      </c>
      <c r="AL8" s="36">
        <f>IF(AH8="","",AH8*AK8)</f>
        <v/>
      </c>
      <c r="AM8" s="36">
        <f>IF(OR(AH8="",S8=0),"",MIN(IF(AU8="",9.9E+99,AU8),FLOOR(AL8/S8,1)))</f>
        <v/>
      </c>
      <c r="AN8" s="40">
        <f>IF(AM8="","",AM8*IF(ABS(MOD(ABS((U8)),1)-0.5)&lt;1E-9,2*ROUND((U8)/2,0),ROUND((U8),0)))</f>
        <v/>
      </c>
      <c r="AO8" s="38">
        <f>IF(OR(AH8="",S8=0),"",MIN(IF(AU8="",9.9E+99,AU8),AL8/S8))</f>
        <v/>
      </c>
      <c r="AP8" s="40">
        <f>IF(AO8="","",AO8*IF(B8="South Korea",IF(ABS(MOD(ABS((U8)),1)-0.5)&lt;1E-9,2*ROUND((U8)/2,0),ROUND((U8),0)),U8))</f>
        <v/>
      </c>
      <c r="AQ8" s="42" t="n"/>
      <c r="AR8" s="34" t="inlineStr">
        <is>
          <t>Estimated</t>
        </is>
      </c>
      <c r="AS8" s="43" t="n"/>
      <c r="AT8" s="43" t="n"/>
      <c r="AU8" s="44" t="n"/>
      <c r="AV8" s="45">
        <f>IF(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&lt;=0,"",VLOOKUP(B8,country_opex,7,FALSE)/((T8*pax_cap*load_thin*IF(ABS(MOD(ABS((L8*M8*revleg_thin)),1)-0.5)&lt;1E-9,2*ROUND((L8*M8*revleg_thin)/2,0),ROUND((L8*M8*revleg_thin),0)))-(((battery/range_nm)*D8*IF(ABS(MOD(ABS((L8*M8*revleg_thin)),1)-0.5)&lt;1E-9,2*ROUND((L8*M8*revleg_thin)/2,0),ROUND((L8*M8*revleg_thin),0))*VLOOKUP(B8,country_opex,3,FALSE))+W8+X8+Y8+Z8+AA8)))</f>
        <v/>
      </c>
      <c r="AW8" s="45">
        <f>IF(((T8*pax_cap*IF(B8="South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Korea",korea_mid_revleg,revleg_mid)),0))*VLOOKUP(B8,country_opex,3,FALSE))+W8+X8+Y8+Z8+AA8))&lt;=0,"",VLOOKUP(B8,country_opex,7,FALSE)/((T8*pax_cap*IF(B8="South Korea",korea_mid_load,load_mid)*IF(ABS(MOD(ABS((L8*M8*IF(B8="South Korea",korea_mid_revleg,revleg_mid))),1)-0.5)&lt;1E-9,2*ROUND((L8*M8*IF(B8="South Korea",korea_mid_revleg,revleg_mid))/2,0),ROUND((L8*M8*IF(B8="South Korea",korea_mid_revleg,revleg_mid)),0)))-(((battery/range_nm)*D8*IF(ABS(MOD(ABS((L8*M8*IF(B8="South Korea",korea_mid_revleg,revleg_mid))),1)-0.5)&lt;1E-9,2*ROUND((L8*M8*IF(B8="South Korea",korea_mid_revleg,revleg_mid))/2,0),ROUND((L8*M8*IF(B8="South Korea",korea_mid_revleg,revleg_mid)),0))*VLOOKUP(B8,country_opex,3,FALSE))+W8+X8+Y8+Z8+AA8)))</f>
        <v/>
      </c>
      <c r="AX8" s="45">
        <f>IF(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&lt;=0,"",VLOOKUP(B8,country_opex,7,FALSE)/((T8*pax_cap*load_full*IF(ABS(MOD(ABS((L8*M8*revleg_full)),1)-0.5)&lt;1E-9,2*ROUND((L8*M8*revleg_full)/2,0),ROUND((L8*M8*revleg_full),0)))-(((battery/range_nm)*D8*IF(ABS(MOD(ABS((L8*M8*revleg_full)),1)-0.5)&lt;1E-9,2*ROUND((L8*M8*revleg_full)/2,0),ROUND((L8*M8*revleg_full),0))*VLOOKUP(B8,country_opex,3,FALSE))+W8+X8+Y8+Z8+AA8)))</f>
        <v/>
      </c>
      <c r="AY8" s="46" t="n"/>
      <c r="AZ8" s="46" t="n"/>
      <c r="BA8" s="34" t="n"/>
    </row>
    <row r="9">
      <c r="A9" s="31" t="inlineStr">
        <is>
          <t>Bolt Croatia</t>
        </is>
      </c>
      <c r="B9" s="31" t="inlineStr">
        <is>
          <t>Croatia</t>
        </is>
      </c>
      <c r="C9" s="32" t="inlineStr">
        <is>
          <t>Split → Brač (Bol)</t>
        </is>
      </c>
      <c r="D9" s="33" t="n">
        <v>12</v>
      </c>
      <c r="E9" s="27" t="n">
        <v>23.5</v>
      </c>
      <c r="F9" s="34" t="inlineStr">
        <is>
          <t>T2</t>
        </is>
      </c>
      <c r="G9" s="34" t="inlineStr">
        <is>
          <t>med</t>
        </is>
      </c>
      <c r="H9" s="20" t="n">
        <v>1</v>
      </c>
      <c r="I9" s="35">
        <f>60*D9/cruise_kt</f>
        <v/>
      </c>
      <c r="J9" s="35">
        <f>IF(B9="South Korea",D9/korea_charge_range_nm*korea_full_range_charge_min,0)</f>
        <v/>
      </c>
      <c r="K9" s="35">
        <f>IF(B9="South Korea",I9+korea_turn_min+korea_dwell_min+J9,I9+turn_min+dwell_min)</f>
        <v/>
      </c>
      <c r="L9" s="36">
        <f>IF(B9="South Korea",FLOOR(60*korea_service_hr/K9,1),MIN(15,FLOOR(60*service_hr/K9,1)))</f>
        <v/>
      </c>
      <c r="M9" s="36">
        <f>IF(ABS(MOD(ABS((365*mech_uptime*H9)),1)-0.5)&lt;1E-9,2*ROUND((365*mech_uptime*H9)/2,0),ROUND((365*mech_uptime*H9),0))</f>
        <v/>
      </c>
      <c r="N9" s="37">
        <f>mech_uptime</f>
        <v/>
      </c>
      <c r="O9" s="37">
        <f>IF(AND(B9="South Korea",scenario="MID"),korea_mid_revleg,revleg_sel)</f>
        <v/>
      </c>
      <c r="P9" s="36">
        <f>IF(ABS(MOD(ABS((L9*M9*O9)),1)-0.5)&lt;1E-9,2*ROUND((L9*M9*O9)/2,0),ROUND((L9*M9*O9),0))</f>
        <v/>
      </c>
      <c r="Q9" s="37">
        <f>IF(AND(B9="South Korea",scenario="MID"),korea_mid_load,load_sel)</f>
        <v/>
      </c>
      <c r="R9" s="38">
        <f>pax_cap*Q9</f>
        <v/>
      </c>
      <c r="S9" s="36">
        <f>R9*P9</f>
        <v/>
      </c>
      <c r="T9" s="39">
        <f>E9*discount</f>
        <v/>
      </c>
      <c r="U9" s="40">
        <f>T9*S9</f>
        <v/>
      </c>
      <c r="V9" s="40">
        <f>(battery/range_nm)*D9*P9*VLOOKUP(B9,country_opex,3,FALSE)</f>
        <v/>
      </c>
      <c r="W9" s="40">
        <f>VLOOKUP(B9,country_opex,2,FALSE)*crew_factor</f>
        <v/>
      </c>
      <c r="X9" s="40">
        <f>VLOOKUP(B9,country_opex,5,FALSE)</f>
        <v/>
      </c>
      <c r="Y9" s="40">
        <f>maint</f>
        <v/>
      </c>
      <c r="Z9" s="40">
        <f>VLOOKUP(B9,country_opex,7,FALSE)*ins_pct</f>
        <v/>
      </c>
      <c r="AA9" s="40">
        <f>charge_berth</f>
        <v/>
      </c>
      <c r="AB9" s="40">
        <f>V9+W9+X9+Y9+Z9+AA9</f>
        <v/>
      </c>
      <c r="AC9" s="40">
        <f>VLOOKUP(B9,country_opex,7,FALSE)/dep_years</f>
        <v/>
      </c>
      <c r="AD9" s="40">
        <f>U9-AB9</f>
        <v/>
      </c>
      <c r="AE9" s="37">
        <f>IF(U9=0,"",AD9/U9)</f>
        <v/>
      </c>
      <c r="AF9" s="38">
        <f>IF(AD9&lt;=0,"",VLOOKUP(B9,country_opex,7,FALSE)/AD9)</f>
        <v/>
      </c>
      <c r="AG9" s="35">
        <f>((D9*P9/diesel_nmpg)*diesel_co2pg-(battery/range_nm)*D9*P9*VLOOKUP(B9,country_opex,4,FALSE))/1000</f>
        <v/>
      </c>
      <c r="AH9" s="33" t="n">
        <v>400000</v>
      </c>
      <c r="AI9" s="34" t="n"/>
      <c r="AJ9" s="34" t="n"/>
      <c r="AK9" s="41" t="n">
        <v>0.1</v>
      </c>
      <c r="AL9" s="36">
        <f>IF(AH9="","",AH9*AK9)</f>
        <v/>
      </c>
      <c r="AM9" s="36">
        <f>IF(OR(AH9="",S9=0),"",MIN(IF(AU9="",9.9E+99,AU9),FLOOR(AL9/S9,1)))</f>
        <v/>
      </c>
      <c r="AN9" s="40">
        <f>IF(AM9="","",AM9*IF(ABS(MOD(ABS((U9)),1)-0.5)&lt;1E-9,2*ROUND((U9)/2,0),ROUND((U9),0)))</f>
        <v/>
      </c>
      <c r="AO9" s="38">
        <f>IF(OR(AH9="",S9=0),"",MIN(IF(AU9="",9.9E+99,AU9),AL9/S9))</f>
        <v/>
      </c>
      <c r="AP9" s="40">
        <f>IF(AO9="","",AO9*IF(B9="South Korea",IF(ABS(MOD(ABS((U9)),1)-0.5)&lt;1E-9,2*ROUND((U9)/2,0),ROUND((U9),0)),U9))</f>
        <v/>
      </c>
      <c r="AQ9" s="42" t="n"/>
      <c r="AR9" s="34" t="inlineStr">
        <is>
          <t>Grounded</t>
        </is>
      </c>
      <c r="AS9" s="43" t="n"/>
      <c r="AT9" s="43" t="n"/>
      <c r="AU9" s="44" t="n"/>
      <c r="AV9" s="45">
        <f>IF(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&lt;=0,"",VLOOKUP(B9,country_opex,7,FALSE)/((T9*pax_cap*load_thin*IF(ABS(MOD(ABS((L9*M9*revleg_thin)),1)-0.5)&lt;1E-9,2*ROUND((L9*M9*revleg_thin)/2,0),ROUND((L9*M9*revleg_thin),0)))-(((battery/range_nm)*D9*IF(ABS(MOD(ABS((L9*M9*revleg_thin)),1)-0.5)&lt;1E-9,2*ROUND((L9*M9*revleg_thin)/2,0),ROUND((L9*M9*revleg_thin),0))*VLOOKUP(B9,country_opex,3,FALSE))+W9+X9+Y9+Z9+AA9)))</f>
        <v/>
      </c>
      <c r="AW9" s="45">
        <f>IF(((T9*pax_cap*IF(B9="South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Korea",korea_mid_revleg,revleg_mid)),0))*VLOOKUP(B9,country_opex,3,FALSE))+W9+X9+Y9+Z9+AA9))&lt;=0,"",VLOOKUP(B9,country_opex,7,FALSE)/((T9*pax_cap*IF(B9="South Korea",korea_mid_load,load_mid)*IF(ABS(MOD(ABS((L9*M9*IF(B9="South Korea",korea_mid_revleg,revleg_mid))),1)-0.5)&lt;1E-9,2*ROUND((L9*M9*IF(B9="South Korea",korea_mid_revleg,revleg_mid))/2,0),ROUND((L9*M9*IF(B9="South Korea",korea_mid_revleg,revleg_mid)),0)))-(((battery/range_nm)*D9*IF(ABS(MOD(ABS((L9*M9*IF(B9="South Korea",korea_mid_revleg,revleg_mid))),1)-0.5)&lt;1E-9,2*ROUND((L9*M9*IF(B9="South Korea",korea_mid_revleg,revleg_mid))/2,0),ROUND((L9*M9*IF(B9="South Korea",korea_mid_revleg,revleg_mid)),0))*VLOOKUP(B9,country_opex,3,FALSE))+W9+X9+Y9+Z9+AA9)))</f>
        <v/>
      </c>
      <c r="AX9" s="45">
        <f>IF(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&lt;=0,"",VLOOKUP(B9,country_opex,7,FALSE)/((T9*pax_cap*load_full*IF(ABS(MOD(ABS((L9*M9*revleg_full)),1)-0.5)&lt;1E-9,2*ROUND((L9*M9*revleg_full)/2,0),ROUND((L9*M9*revleg_full),0)))-(((battery/range_nm)*D9*IF(ABS(MOD(ABS((L9*M9*revleg_full)),1)-0.5)&lt;1E-9,2*ROUND((L9*M9*revleg_full)/2,0),ROUND((L9*M9*revleg_full),0))*VLOOKUP(B9,country_opex,3,FALSE))+W9+X9+Y9+Z9+AA9)))</f>
        <v/>
      </c>
      <c r="AY9" s="46" t="inlineStr">
        <is>
          <t>PREMIUM tier: seasonal fast catamaran Split-&gt;Bol adult EUR 20-23 (Jadrolinija Split-Bol-Jelsa EUR 20; Krilo/Jadrolinija from EUR 23). Midpoint ~EUR 21.7 x 1.08 = $23.5.</t>
        </is>
      </c>
      <c r="AZ9" s="46" t="n"/>
      <c r="BA9" s="34" t="n"/>
    </row>
    <row r="10">
      <c r="A10" s="31" t="inlineStr">
        <is>
          <t>Bolt Croatia</t>
        </is>
      </c>
      <c r="B10" s="31" t="inlineStr">
        <is>
          <t>Croatia</t>
        </is>
      </c>
      <c r="C10" s="32" t="inlineStr">
        <is>
          <t>Split Airport (Resnik / Trogir) → Split / Brač / Hvar (resort &amp; island transfer)</t>
        </is>
      </c>
      <c r="D10" s="33" t="n">
        <v>12</v>
      </c>
      <c r="E10" s="27" t="n">
        <v>27</v>
      </c>
      <c r="F10" s="34" t="inlineStr">
        <is>
          <t>T2</t>
        </is>
      </c>
      <c r="G10" s="34" t="inlineStr">
        <is>
          <t>med</t>
        </is>
      </c>
      <c r="H10" s="20" t="n">
        <v>1</v>
      </c>
      <c r="I10" s="35">
        <f>60*D10/cruise_kt</f>
        <v/>
      </c>
      <c r="J10" s="35">
        <f>IF(B10="South Korea",D10/korea_charge_range_nm*korea_full_range_charge_min,0)</f>
        <v/>
      </c>
      <c r="K10" s="35">
        <f>IF(B10="South Korea",I10+korea_turn_min+korea_dwell_min+J10,I10+turn_min+dwell_min)</f>
        <v/>
      </c>
      <c r="L10" s="36">
        <f>IF(B10="South Korea",FLOOR(60*korea_service_hr/K10,1),MIN(15,FLOOR(60*service_hr/K10,1)))</f>
        <v/>
      </c>
      <c r="M10" s="36">
        <f>IF(ABS(MOD(ABS((365*mech_uptime*H10)),1)-0.5)&lt;1E-9,2*ROUND((365*mech_uptime*H10)/2,0),ROUND((365*mech_uptime*H10),0))</f>
        <v/>
      </c>
      <c r="N10" s="37">
        <f>mech_uptime</f>
        <v/>
      </c>
      <c r="O10" s="37">
        <f>IF(AND(B10="South Korea",scenario="MID"),korea_mid_revleg,revleg_sel)</f>
        <v/>
      </c>
      <c r="P10" s="36">
        <f>IF(ABS(MOD(ABS((L10*M10*O10)),1)-0.5)&lt;1E-9,2*ROUND((L10*M10*O10)/2,0),ROUND((L10*M10*O10),0))</f>
        <v/>
      </c>
      <c r="Q10" s="37">
        <f>IF(AND(B10="South Korea",scenario="MID"),korea_mid_load,load_sel)</f>
        <v/>
      </c>
      <c r="R10" s="38">
        <f>pax_cap*Q10</f>
        <v/>
      </c>
      <c r="S10" s="36">
        <f>R10*P10</f>
        <v/>
      </c>
      <c r="T10" s="39">
        <f>E10*discount</f>
        <v/>
      </c>
      <c r="U10" s="40">
        <f>T10*S10</f>
        <v/>
      </c>
      <c r="V10" s="40">
        <f>(battery/range_nm)*D10*P10*VLOOKUP(B10,country_opex,3,FALSE)</f>
        <v/>
      </c>
      <c r="W10" s="40">
        <f>VLOOKUP(B10,country_opex,2,FALSE)*crew_factor</f>
        <v/>
      </c>
      <c r="X10" s="40">
        <f>VLOOKUP(B10,country_opex,5,FALSE)</f>
        <v/>
      </c>
      <c r="Y10" s="40">
        <f>maint</f>
        <v/>
      </c>
      <c r="Z10" s="40">
        <f>VLOOKUP(B10,country_opex,7,FALSE)*ins_pct</f>
        <v/>
      </c>
      <c r="AA10" s="40">
        <f>charge_berth</f>
        <v/>
      </c>
      <c r="AB10" s="40">
        <f>V10+W10+X10+Y10+Z10+AA10</f>
        <v/>
      </c>
      <c r="AC10" s="40">
        <f>VLOOKUP(B10,country_opex,7,FALSE)/dep_years</f>
        <v/>
      </c>
      <c r="AD10" s="40">
        <f>U10-AB10</f>
        <v/>
      </c>
      <c r="AE10" s="37">
        <f>IF(U10=0,"",AD10/U10)</f>
        <v/>
      </c>
      <c r="AF10" s="38">
        <f>IF(AD10&lt;=0,"",VLOOKUP(B10,country_opex,7,FALSE)/AD10)</f>
        <v/>
      </c>
      <c r="AG10" s="35">
        <f>((D10*P10/diesel_nmpg)*diesel_co2pg-(battery/range_nm)*D10*P10*VLOOKUP(B10,country_opex,4,FALSE))/1000</f>
        <v/>
      </c>
      <c r="AH10" s="33" t="n"/>
      <c r="AI10" s="34" t="n"/>
      <c r="AJ10" s="34" t="n"/>
      <c r="AK10" s="41" t="n">
        <v>0.1</v>
      </c>
      <c r="AL10" s="36">
        <f>IF(AH10="","",AH10*AK10)</f>
        <v/>
      </c>
      <c r="AM10" s="36">
        <f>IF(OR(AH10="",S10=0),"",MIN(IF(AU10="",9.9E+99,AU10),FLOOR(AL10/S10,1)))</f>
        <v/>
      </c>
      <c r="AN10" s="40">
        <f>IF(AM10="","",AM10*IF(ABS(MOD(ABS((U10)),1)-0.5)&lt;1E-9,2*ROUND((U10)/2,0),ROUND((U10),0)))</f>
        <v/>
      </c>
      <c r="AO10" s="38">
        <f>IF(OR(AH10="",S10=0),"",MIN(IF(AU10="",9.9E+99,AU10),AL10/S10))</f>
        <v/>
      </c>
      <c r="AP10" s="40">
        <f>IF(AO10="","",AO10*IF(B10="South Korea",IF(ABS(MOD(ABS((U10)),1)-0.5)&lt;1E-9,2*ROUND((U10)/2,0),ROUND((U10),0)),U10))</f>
        <v/>
      </c>
      <c r="AQ10" s="42" t="n"/>
      <c r="AR10" s="34" t="inlineStr">
        <is>
          <t>Estimated</t>
        </is>
      </c>
      <c r="AS10" s="43" t="n"/>
      <c r="AT10" s="43" t="n"/>
      <c r="AU10" s="44" t="n"/>
      <c r="AV10" s="45">
        <f>IF(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&lt;=0,"",VLOOKUP(B10,country_opex,7,FALSE)/((T10*pax_cap*load_thin*IF(ABS(MOD(ABS((L10*M10*revleg_thin)),1)-0.5)&lt;1E-9,2*ROUND((L10*M10*revleg_thin)/2,0),ROUND((L10*M10*revleg_thin),0)))-(((battery/range_nm)*D10*IF(ABS(MOD(ABS((L10*M10*revleg_thin)),1)-0.5)&lt;1E-9,2*ROUND((L10*M10*revleg_thin)/2,0),ROUND((L10*M10*revleg_thin),0))*VLOOKUP(B10,country_opex,3,FALSE))+W10+X10+Y10+Z10+AA10)))</f>
        <v/>
      </c>
      <c r="AW10" s="45">
        <f>IF(((T10*pax_cap*IF(B10="South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Korea",korea_mid_revleg,revleg_mid)),0))*VLOOKUP(B10,country_opex,3,FALSE))+W10+X10+Y10+Z10+AA10))&lt;=0,"",VLOOKUP(B10,country_opex,7,FALSE)/((T10*pax_cap*IF(B10="South Korea",korea_mid_load,load_mid)*IF(ABS(MOD(ABS((L10*M10*IF(B10="South Korea",korea_mid_revleg,revleg_mid))),1)-0.5)&lt;1E-9,2*ROUND((L10*M10*IF(B10="South Korea",korea_mid_revleg,revleg_mid))/2,0),ROUND((L10*M10*IF(B10="South Korea",korea_mid_revleg,revleg_mid)),0)))-(((battery/range_nm)*D10*IF(ABS(MOD(ABS((L10*M10*IF(B10="South Korea",korea_mid_revleg,revleg_mid))),1)-0.5)&lt;1E-9,2*ROUND((L10*M10*IF(B10="South Korea",korea_mid_revleg,revleg_mid))/2,0),ROUND((L10*M10*IF(B10="South Korea",korea_mid_revleg,revleg_mid)),0))*VLOOKUP(B10,country_opex,3,FALSE))+W10+X10+Y10+Z10+AA10)))</f>
        <v/>
      </c>
      <c r="AX10" s="45">
        <f>IF(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&lt;=0,"",VLOOKUP(B10,country_opex,7,FALSE)/((T10*pax_cap*load_full*IF(ABS(MOD(ABS((L10*M10*revleg_full)),1)-0.5)&lt;1E-9,2*ROUND((L10*M10*revleg_full)/2,0),ROUND((L10*M10*revleg_full),0)))-(((battery/range_nm)*D10*IF(ABS(MOD(ABS((L10*M10*revleg_full)),1)-0.5)&lt;1E-9,2*ROUND((L10*M10*revleg_full)/2,0),ROUND((L10*M10*revleg_full),0))*VLOOKUP(B10,country_opex,3,FALSE))+W10+X10+Y10+Z10+AA10)))</f>
        <v/>
      </c>
      <c r="AY10" s="46" t="inlineStr">
        <is>
          <t>Charter-divided per-seat: private speedboat Split Airport-&gt;island ~EUR 250/boat for up to ~10-12 pax (GetMyBoat) -&gt; ~EUR 25/seat x 1.08 = $27.0. (Premium transfer product, not a scheduled liner.)</t>
        </is>
      </c>
      <c r="AZ10" s="46" t="n"/>
      <c r="BA10" s="34" t="n"/>
    </row>
    <row r="11">
      <c r="A11" s="31" t="inlineStr">
        <is>
          <t>Bolt Croatia</t>
        </is>
      </c>
      <c r="B11" s="31" t="inlineStr">
        <is>
          <t>Croatia</t>
        </is>
      </c>
      <c r="C11" s="32" t="inlineStr">
        <is>
          <t>Zadar (Murter / Biograd gateway) → Kornati National Park</t>
        </is>
      </c>
      <c r="D11" s="33" t="n">
        <v>20</v>
      </c>
      <c r="E11" s="27" t="n">
        <v>75.59999999999999</v>
      </c>
      <c r="F11" s="34" t="inlineStr">
        <is>
          <t>T2</t>
        </is>
      </c>
      <c r="G11" s="34" t="inlineStr">
        <is>
          <t>med</t>
        </is>
      </c>
      <c r="H11" s="20" t="n">
        <v>1</v>
      </c>
      <c r="I11" s="35">
        <f>60*D11/cruise_kt</f>
        <v/>
      </c>
      <c r="J11" s="35">
        <f>IF(B11="South Korea",D11/korea_charge_range_nm*korea_full_range_charge_min,0)</f>
        <v/>
      </c>
      <c r="K11" s="35">
        <f>IF(B11="South Korea",I11+korea_turn_min+korea_dwell_min+J11,I11+turn_min+dwell_min)</f>
        <v/>
      </c>
      <c r="L11" s="36">
        <f>IF(B11="South Korea",FLOOR(60*korea_service_hr/K11,1),MIN(15,FLOOR(60*service_hr/K11,1)))</f>
        <v/>
      </c>
      <c r="M11" s="36">
        <f>IF(ABS(MOD(ABS((365*mech_uptime*H11)),1)-0.5)&lt;1E-9,2*ROUND((365*mech_uptime*H11)/2,0),ROUND((365*mech_uptime*H11),0))</f>
        <v/>
      </c>
      <c r="N11" s="37">
        <f>mech_uptime</f>
        <v/>
      </c>
      <c r="O11" s="37">
        <f>IF(AND(B11="South Korea",scenario="MID"),korea_mid_revleg,revleg_sel)</f>
        <v/>
      </c>
      <c r="P11" s="36">
        <f>IF(ABS(MOD(ABS((L11*M11*O11)),1)-0.5)&lt;1E-9,2*ROUND((L11*M11*O11)/2,0),ROUND((L11*M11*O11),0))</f>
        <v/>
      </c>
      <c r="Q11" s="37">
        <f>IF(AND(B11="South Korea",scenario="MID"),korea_mid_load,load_sel)</f>
        <v/>
      </c>
      <c r="R11" s="38">
        <f>pax_cap*Q11</f>
        <v/>
      </c>
      <c r="S11" s="36">
        <f>R11*P11</f>
        <v/>
      </c>
      <c r="T11" s="39">
        <f>E11*discount</f>
        <v/>
      </c>
      <c r="U11" s="40">
        <f>T11*S11</f>
        <v/>
      </c>
      <c r="V11" s="40">
        <f>(battery/range_nm)*D11*P11*VLOOKUP(B11,country_opex,3,FALSE)</f>
        <v/>
      </c>
      <c r="W11" s="40">
        <f>VLOOKUP(B11,country_opex,2,FALSE)*crew_factor</f>
        <v/>
      </c>
      <c r="X11" s="40">
        <f>VLOOKUP(B11,country_opex,5,FALSE)</f>
        <v/>
      </c>
      <c r="Y11" s="40">
        <f>maint</f>
        <v/>
      </c>
      <c r="Z11" s="40">
        <f>VLOOKUP(B11,country_opex,7,FALSE)*ins_pct</f>
        <v/>
      </c>
      <c r="AA11" s="40">
        <f>charge_berth</f>
        <v/>
      </c>
      <c r="AB11" s="40">
        <f>V11+W11+X11+Y11+Z11+AA11</f>
        <v/>
      </c>
      <c r="AC11" s="40">
        <f>VLOOKUP(B11,country_opex,7,FALSE)/dep_years</f>
        <v/>
      </c>
      <c r="AD11" s="40">
        <f>U11-AB11</f>
        <v/>
      </c>
      <c r="AE11" s="37">
        <f>IF(U11=0,"",AD11/U11)</f>
        <v/>
      </c>
      <c r="AF11" s="38">
        <f>IF(AD11&lt;=0,"",VLOOKUP(B11,country_opex,7,FALSE)/AD11)</f>
        <v/>
      </c>
      <c r="AG11" s="35">
        <f>((D11*P11/diesel_nmpg)*diesel_co2pg-(battery/range_nm)*D11*P11*VLOOKUP(B11,country_opex,4,FALSE))/1000</f>
        <v/>
      </c>
      <c r="AH11" s="33" t="n">
        <v>110000</v>
      </c>
      <c r="AI11" s="34" t="n"/>
      <c r="AJ11" s="34" t="n"/>
      <c r="AK11" s="41" t="n">
        <v>0.1</v>
      </c>
      <c r="AL11" s="36">
        <f>IF(AH11="","",AH11*AK11)</f>
        <v/>
      </c>
      <c r="AM11" s="36">
        <f>IF(OR(AH11="",S11=0),"",MIN(IF(AU11="",9.9E+99,AU11),FLOOR(AL11/S11,1)))</f>
        <v/>
      </c>
      <c r="AN11" s="40">
        <f>IF(AM11="","",AM11*IF(ABS(MOD(ABS((U11)),1)-0.5)&lt;1E-9,2*ROUND((U11)/2,0),ROUND((U11),0)))</f>
        <v/>
      </c>
      <c r="AO11" s="38">
        <f>IF(OR(AH11="",S11=0),"",MIN(IF(AU11="",9.9E+99,AU11),AL11/S11))</f>
        <v/>
      </c>
      <c r="AP11" s="40">
        <f>IF(AO11="","",AO11*IF(B11="South Korea",IF(ABS(MOD(ABS((U11)),1)-0.5)&lt;1E-9,2*ROUND((U11)/2,0),ROUND((U11),0)),U11))</f>
        <v/>
      </c>
      <c r="AQ11" s="42" t="n"/>
      <c r="AR11" s="34" t="inlineStr">
        <is>
          <t>Grounded</t>
        </is>
      </c>
      <c r="AS11" s="43" t="n"/>
      <c r="AT11" s="43" t="n"/>
      <c r="AU11" s="44" t="n"/>
      <c r="AV11" s="45">
        <f>IF(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&lt;=0,"",VLOOKUP(B11,country_opex,7,FALSE)/((T11*pax_cap*load_thin*IF(ABS(MOD(ABS((L11*M11*revleg_thin)),1)-0.5)&lt;1E-9,2*ROUND((L11*M11*revleg_thin)/2,0),ROUND((L11*M11*revleg_thin),0)))-(((battery/range_nm)*D11*IF(ABS(MOD(ABS((L11*M11*revleg_thin)),1)-0.5)&lt;1E-9,2*ROUND((L11*M11*revleg_thin)/2,0),ROUND((L11*M11*revleg_thin),0))*VLOOKUP(B11,country_opex,3,FALSE))+W11+X11+Y11+Z11+AA11)))</f>
        <v/>
      </c>
      <c r="AW11" s="45">
        <f>IF(((T11*pax_cap*IF(B11="South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Korea",korea_mid_revleg,revleg_mid)),0))*VLOOKUP(B11,country_opex,3,FALSE))+W11+X11+Y11+Z11+AA11))&lt;=0,"",VLOOKUP(B11,country_opex,7,FALSE)/((T11*pax_cap*IF(B11="South Korea",korea_mid_load,load_mid)*IF(ABS(MOD(ABS((L11*M11*IF(B11="South Korea",korea_mid_revleg,revleg_mid))),1)-0.5)&lt;1E-9,2*ROUND((L11*M11*IF(B11="South Korea",korea_mid_revleg,revleg_mid))/2,0),ROUND((L11*M11*IF(B11="South Korea",korea_mid_revleg,revleg_mid)),0)))-(((battery/range_nm)*D11*IF(ABS(MOD(ABS((L11*M11*IF(B11="South Korea",korea_mid_revleg,revleg_mid))),1)-0.5)&lt;1E-9,2*ROUND((L11*M11*IF(B11="South Korea",korea_mid_revleg,revleg_mid))/2,0),ROUND((L11*M11*IF(B11="South Korea",korea_mid_revleg,revleg_mid)),0))*VLOOKUP(B11,country_opex,3,FALSE))+W11+X11+Y11+Z11+AA11)))</f>
        <v/>
      </c>
      <c r="AX11" s="45">
        <f>IF(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&lt;=0,"",VLOOKUP(B11,country_opex,7,FALSE)/((T11*pax_cap*load_full*IF(ABS(MOD(ABS((L11*M11*revleg_full)),1)-0.5)&lt;1E-9,2*ROUND((L11*M11*revleg_full)/2,0),ROUND((L11*M11*revleg_full),0)))-(((battery/range_nm)*D11*IF(ABS(MOD(ABS((L11*M11*revleg_full)),1)-0.5)&lt;1E-9,2*ROUND((L11*M11*revleg_full)/2,0),ROUND((L11*M11*revleg_full),0))*VLOOKUP(B11,country_opex,3,FALSE))+W11+X11+Y11+Z11+AA11)))</f>
        <v/>
      </c>
      <c r="AY11" s="46" t="inlineStr">
        <is>
          <t>PREMIUM tier: full-day Kornati boat excursion per-seat ~EUR 70 (typical EUR 60-90, often incl. NP entry + lunch) from Zadar/Murter/Biograd. EUR 70 x 1.08 = $75.6. NOTE: this bundles park entry + sometimes lunch, so it overstates a pure point-to-point fast-craft seat; no scheduled liner exists to Kornati.</t>
        </is>
      </c>
      <c r="AZ11" s="46" t="n"/>
      <c r="BA11" s="34" t="n"/>
    </row>
    <row r="12">
      <c r="A12" s="31" t="inlineStr">
        <is>
          <t>Bolt Croatia</t>
        </is>
      </c>
      <c r="B12" s="31" t="inlineStr">
        <is>
          <t>Croatia</t>
        </is>
      </c>
      <c r="C12" s="32" t="inlineStr">
        <is>
          <t>Split → Hvar</t>
        </is>
      </c>
      <c r="D12" s="33" t="n">
        <v>22</v>
      </c>
      <c r="E12" s="27" t="n">
        <v>27</v>
      </c>
      <c r="F12" s="34" t="inlineStr">
        <is>
          <t>T2</t>
        </is>
      </c>
      <c r="G12" s="34" t="inlineStr">
        <is>
          <t>med</t>
        </is>
      </c>
      <c r="H12" s="20" t="n">
        <v>1</v>
      </c>
      <c r="I12" s="35">
        <f>60*D12/cruise_kt</f>
        <v/>
      </c>
      <c r="J12" s="35">
        <f>IF(B12="South Korea",D12/korea_charge_range_nm*korea_full_range_charge_min,0)</f>
        <v/>
      </c>
      <c r="K12" s="35">
        <f>IF(B12="South Korea",I12+korea_turn_min+korea_dwell_min+J12,I12+turn_min+dwell_min)</f>
        <v/>
      </c>
      <c r="L12" s="36">
        <f>IF(B12="South Korea",FLOOR(60*korea_service_hr/K12,1),MIN(15,FLOOR(60*service_hr/K12,1)))</f>
        <v/>
      </c>
      <c r="M12" s="36">
        <f>IF(ABS(MOD(ABS((365*mech_uptime*H12)),1)-0.5)&lt;1E-9,2*ROUND((365*mech_uptime*H12)/2,0),ROUND((365*mech_uptime*H12),0))</f>
        <v/>
      </c>
      <c r="N12" s="37">
        <f>mech_uptime</f>
        <v/>
      </c>
      <c r="O12" s="37">
        <f>IF(AND(B12="South Korea",scenario="MID"),korea_mid_revleg,revleg_sel)</f>
        <v/>
      </c>
      <c r="P12" s="36">
        <f>IF(ABS(MOD(ABS((L12*M12*O12)),1)-0.5)&lt;1E-9,2*ROUND((L12*M12*O12)/2,0),ROUND((L12*M12*O12),0))</f>
        <v/>
      </c>
      <c r="Q12" s="37">
        <f>IF(AND(B12="South Korea",scenario="MID"),korea_mid_load,load_sel)</f>
        <v/>
      </c>
      <c r="R12" s="38">
        <f>pax_cap*Q12</f>
        <v/>
      </c>
      <c r="S12" s="36">
        <f>R12*P12</f>
        <v/>
      </c>
      <c r="T12" s="39">
        <f>E12*discount</f>
        <v/>
      </c>
      <c r="U12" s="40">
        <f>T12*S12</f>
        <v/>
      </c>
      <c r="V12" s="40">
        <f>(battery/range_nm)*D12*P12*VLOOKUP(B12,country_opex,3,FALSE)</f>
        <v/>
      </c>
      <c r="W12" s="40">
        <f>VLOOKUP(B12,country_opex,2,FALSE)*crew_factor</f>
        <v/>
      </c>
      <c r="X12" s="40">
        <f>VLOOKUP(B12,country_opex,5,FALSE)</f>
        <v/>
      </c>
      <c r="Y12" s="40">
        <f>maint</f>
        <v/>
      </c>
      <c r="Z12" s="40">
        <f>VLOOKUP(B12,country_opex,7,FALSE)*ins_pct</f>
        <v/>
      </c>
      <c r="AA12" s="40">
        <f>charge_berth</f>
        <v/>
      </c>
      <c r="AB12" s="40">
        <f>V12+W12+X12+Y12+Z12+AA12</f>
        <v/>
      </c>
      <c r="AC12" s="40">
        <f>VLOOKUP(B12,country_opex,7,FALSE)/dep_years</f>
        <v/>
      </c>
      <c r="AD12" s="40">
        <f>U12-AB12</f>
        <v/>
      </c>
      <c r="AE12" s="37">
        <f>IF(U12=0,"",AD12/U12)</f>
        <v/>
      </c>
      <c r="AF12" s="38">
        <f>IF(AD12&lt;=0,"",VLOOKUP(B12,country_opex,7,FALSE)/AD12)</f>
        <v/>
      </c>
      <c r="AG12" s="35">
        <f>((D12*P12/diesel_nmpg)*diesel_co2pg-(battery/range_nm)*D12*P12*VLOOKUP(B12,country_opex,4,FALSE))/1000</f>
        <v/>
      </c>
      <c r="AH12" s="33" t="n">
        <v>550000</v>
      </c>
      <c r="AI12" s="34" t="n"/>
      <c r="AJ12" s="34" t="n"/>
      <c r="AK12" s="41" t="n">
        <v>0.1</v>
      </c>
      <c r="AL12" s="36">
        <f>IF(AH12="","",AH12*AK12)</f>
        <v/>
      </c>
      <c r="AM12" s="36">
        <f>IF(OR(AH12="",S12=0),"",MIN(IF(AU12="",9.9E+99,AU12),FLOOR(AL12/S12,1)))</f>
        <v/>
      </c>
      <c r="AN12" s="40">
        <f>IF(AM12="","",AM12*IF(ABS(MOD(ABS((U12)),1)-0.5)&lt;1E-9,2*ROUND((U12)/2,0),ROUND((U12),0)))</f>
        <v/>
      </c>
      <c r="AO12" s="38">
        <f>IF(OR(AH12="",S12=0),"",MIN(IF(AU12="",9.9E+99,AU12),AL12/S12))</f>
        <v/>
      </c>
      <c r="AP12" s="40">
        <f>IF(AO12="","",AO12*IF(B12="South Korea",IF(ABS(MOD(ABS((U12)),1)-0.5)&lt;1E-9,2*ROUND((U12)/2,0),ROUND((U12),0)),U12))</f>
        <v/>
      </c>
      <c r="AQ12" s="42" t="n"/>
      <c r="AR12" s="34" t="inlineStr">
        <is>
          <t>Grounded</t>
        </is>
      </c>
      <c r="AS12" s="43" t="n"/>
      <c r="AT12" s="43" t="n"/>
      <c r="AU12" s="44" t="n"/>
      <c r="AV12" s="45">
        <f>IF(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&lt;=0,"",VLOOKUP(B12,country_opex,7,FALSE)/((T12*pax_cap*load_thin*IF(ABS(MOD(ABS((L12*M12*revleg_thin)),1)-0.5)&lt;1E-9,2*ROUND((L12*M12*revleg_thin)/2,0),ROUND((L12*M12*revleg_thin),0)))-(((battery/range_nm)*D12*IF(ABS(MOD(ABS((L12*M12*revleg_thin)),1)-0.5)&lt;1E-9,2*ROUND((L12*M12*revleg_thin)/2,0),ROUND((L12*M12*revleg_thin),0))*VLOOKUP(B12,country_opex,3,FALSE))+W12+X12+Y12+Z12+AA12)))</f>
        <v/>
      </c>
      <c r="AW12" s="45">
        <f>IF(((T12*pax_cap*IF(B12="South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Korea",korea_mid_revleg,revleg_mid)),0))*VLOOKUP(B12,country_opex,3,FALSE))+W12+X12+Y12+Z12+AA12))&lt;=0,"",VLOOKUP(B12,country_opex,7,FALSE)/((T12*pax_cap*IF(B12="South Korea",korea_mid_load,load_mid)*IF(ABS(MOD(ABS((L12*M12*IF(B12="South Korea",korea_mid_revleg,revleg_mid))),1)-0.5)&lt;1E-9,2*ROUND((L12*M12*IF(B12="South Korea",korea_mid_revleg,revleg_mid))/2,0),ROUND((L12*M12*IF(B12="South Korea",korea_mid_revleg,revleg_mid)),0)))-(((battery/range_nm)*D12*IF(ABS(MOD(ABS((L12*M12*IF(B12="South Korea",korea_mid_revleg,revleg_mid))),1)-0.5)&lt;1E-9,2*ROUND((L12*M12*IF(B12="South Korea",korea_mid_revleg,revleg_mid))/2,0),ROUND((L12*M12*IF(B12="South Korea",korea_mid_revleg,revleg_mid)),0))*VLOOKUP(B12,country_opex,3,FALSE))+W12+X12+Y12+Z12+AA12)))</f>
        <v/>
      </c>
      <c r="AX12" s="45">
        <f>IF(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&lt;=0,"",VLOOKUP(B12,country_opex,7,FALSE)/((T12*pax_cap*load_full*IF(ABS(MOD(ABS((L12*M12*revleg_full)),1)-0.5)&lt;1E-9,2*ROUND((L12*M12*revleg_full)/2,0),ROUND((L12*M12*revleg_full),0)))-(((battery/range_nm)*D12*IF(ABS(MOD(ABS((L12*M12*revleg_full)),1)-0.5)&lt;1E-9,2*ROUND((L12*M12*revleg_full)/2,0),ROUND((L12*M12*revleg_full),0))*VLOOKUP(B12,country_opex,3,FALSE))+W12+X12+Y12+Z12+AA12)))</f>
        <v/>
      </c>
      <c r="AY12" s="46" t="inlineStr">
        <is>
          <t>PREMIUM tier: scheduled fast tourist catamaran Split-&gt;Hvar Town adult ~EUR 25 (Kapetan Luka 'Krilo', TP Line, Adriatic Fast Ferries, Jadrolinija fast cat). EUR 25 x 1.08 = $27.0.</t>
        </is>
      </c>
      <c r="AZ12" s="46" t="n"/>
      <c r="BA12" s="34" t="n"/>
    </row>
    <row r="13">
      <c r="A13" s="31" t="inlineStr">
        <is>
          <t>Bolt Croatia</t>
        </is>
      </c>
      <c r="B13" s="31" t="inlineStr">
        <is>
          <t>Croatia</t>
        </is>
      </c>
      <c r="C13" s="32" t="inlineStr">
        <is>
          <t>Dubrovnik → Mljet (Polače / Sobra)</t>
        </is>
      </c>
      <c r="D13" s="33" t="n">
        <v>22</v>
      </c>
      <c r="E13" s="27" t="n">
        <v>21.6</v>
      </c>
      <c r="F13" s="34" t="inlineStr">
        <is>
          <t>T2</t>
        </is>
      </c>
      <c r="G13" s="34" t="inlineStr">
        <is>
          <t>med</t>
        </is>
      </c>
      <c r="H13" s="20" t="n">
        <v>1</v>
      </c>
      <c r="I13" s="35">
        <f>60*D13/cruise_kt</f>
        <v/>
      </c>
      <c r="J13" s="35">
        <f>IF(B13="South Korea",D13/korea_charge_range_nm*korea_full_range_charge_min,0)</f>
        <v/>
      </c>
      <c r="K13" s="35">
        <f>IF(B13="South Korea",I13+korea_turn_min+korea_dwell_min+J13,I13+turn_min+dwell_min)</f>
        <v/>
      </c>
      <c r="L13" s="36">
        <f>IF(B13="South Korea",FLOOR(60*korea_service_hr/K13,1),MIN(15,FLOOR(60*service_hr/K13,1)))</f>
        <v/>
      </c>
      <c r="M13" s="36">
        <f>IF(ABS(MOD(ABS((365*mech_uptime*H13)),1)-0.5)&lt;1E-9,2*ROUND((365*mech_uptime*H13)/2,0),ROUND((365*mech_uptime*H13),0))</f>
        <v/>
      </c>
      <c r="N13" s="37">
        <f>mech_uptime</f>
        <v/>
      </c>
      <c r="O13" s="37">
        <f>IF(AND(B13="South Korea",scenario="MID"),korea_mid_revleg,revleg_sel)</f>
        <v/>
      </c>
      <c r="P13" s="36">
        <f>IF(ABS(MOD(ABS((L13*M13*O13)),1)-0.5)&lt;1E-9,2*ROUND((L13*M13*O13)/2,0),ROUND((L13*M13*O13),0))</f>
        <v/>
      </c>
      <c r="Q13" s="37">
        <f>IF(AND(B13="South Korea",scenario="MID"),korea_mid_load,load_sel)</f>
        <v/>
      </c>
      <c r="R13" s="38">
        <f>pax_cap*Q13</f>
        <v/>
      </c>
      <c r="S13" s="36">
        <f>R13*P13</f>
        <v/>
      </c>
      <c r="T13" s="39">
        <f>E13*discount</f>
        <v/>
      </c>
      <c r="U13" s="40">
        <f>T13*S13</f>
        <v/>
      </c>
      <c r="V13" s="40">
        <f>(battery/range_nm)*D13*P13*VLOOKUP(B13,country_opex,3,FALSE)</f>
        <v/>
      </c>
      <c r="W13" s="40">
        <f>VLOOKUP(B13,country_opex,2,FALSE)*crew_factor</f>
        <v/>
      </c>
      <c r="X13" s="40">
        <f>VLOOKUP(B13,country_opex,5,FALSE)</f>
        <v/>
      </c>
      <c r="Y13" s="40">
        <f>maint</f>
        <v/>
      </c>
      <c r="Z13" s="40">
        <f>VLOOKUP(B13,country_opex,7,FALSE)*ins_pct</f>
        <v/>
      </c>
      <c r="AA13" s="40">
        <f>charge_berth</f>
        <v/>
      </c>
      <c r="AB13" s="40">
        <f>V13+W13+X13+Y13+Z13+AA13</f>
        <v/>
      </c>
      <c r="AC13" s="40">
        <f>VLOOKUP(B13,country_opex,7,FALSE)/dep_years</f>
        <v/>
      </c>
      <c r="AD13" s="40">
        <f>U13-AB13</f>
        <v/>
      </c>
      <c r="AE13" s="37">
        <f>IF(U13=0,"",AD13/U13)</f>
        <v/>
      </c>
      <c r="AF13" s="38">
        <f>IF(AD13&lt;=0,"",VLOOKUP(B13,country_opex,7,FALSE)/AD13)</f>
        <v/>
      </c>
      <c r="AG13" s="35">
        <f>((D13*P13/diesel_nmpg)*diesel_co2pg-(battery/range_nm)*D13*P13*VLOOKUP(B13,country_opex,4,FALSE))/1000</f>
        <v/>
      </c>
      <c r="AH13" s="33" t="n">
        <v>125000</v>
      </c>
      <c r="AI13" s="34" t="n"/>
      <c r="AJ13" s="34" t="n"/>
      <c r="AK13" s="41" t="n">
        <v>0.1</v>
      </c>
      <c r="AL13" s="36">
        <f>IF(AH13="","",AH13*AK13)</f>
        <v/>
      </c>
      <c r="AM13" s="36">
        <f>IF(OR(AH13="",S13=0),"",MIN(IF(AU13="",9.9E+99,AU13),FLOOR(AL13/S13,1)))</f>
        <v/>
      </c>
      <c r="AN13" s="40">
        <f>IF(AM13="","",AM13*IF(ABS(MOD(ABS((U13)),1)-0.5)&lt;1E-9,2*ROUND((U13)/2,0),ROUND((U13),0)))</f>
        <v/>
      </c>
      <c r="AO13" s="38">
        <f>IF(OR(AH13="",S13=0),"",MIN(IF(AU13="",9.9E+99,AU13),AL13/S13))</f>
        <v/>
      </c>
      <c r="AP13" s="40">
        <f>IF(AO13="","",AO13*IF(B13="South Korea",IF(ABS(MOD(ABS((U13)),1)-0.5)&lt;1E-9,2*ROUND((U13)/2,0),ROUND((U13),0)),U13))</f>
        <v/>
      </c>
      <c r="AQ13" s="42" t="n"/>
      <c r="AR13" s="34" t="inlineStr">
        <is>
          <t>Grounded</t>
        </is>
      </c>
      <c r="AS13" s="43" t="n"/>
      <c r="AT13" s="43" t="n"/>
      <c r="AU13" s="44" t="n"/>
      <c r="AV13" s="45">
        <f>IF(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&lt;=0,"",VLOOKUP(B13,country_opex,7,FALSE)/((T13*pax_cap*load_thin*IF(ABS(MOD(ABS((L13*M13*revleg_thin)),1)-0.5)&lt;1E-9,2*ROUND((L13*M13*revleg_thin)/2,0),ROUND((L13*M13*revleg_thin),0)))-(((battery/range_nm)*D13*IF(ABS(MOD(ABS((L13*M13*revleg_thin)),1)-0.5)&lt;1E-9,2*ROUND((L13*M13*revleg_thin)/2,0),ROUND((L13*M13*revleg_thin),0))*VLOOKUP(B13,country_opex,3,FALSE))+W13+X13+Y13+Z13+AA13)))</f>
        <v/>
      </c>
      <c r="AW13" s="45">
        <f>IF(((T13*pax_cap*IF(B13="South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Korea",korea_mid_revleg,revleg_mid)),0))*VLOOKUP(B13,country_opex,3,FALSE))+W13+X13+Y13+Z13+AA13))&lt;=0,"",VLOOKUP(B13,country_opex,7,FALSE)/((T13*pax_cap*IF(B13="South Korea",korea_mid_load,load_mid)*IF(ABS(MOD(ABS((L13*M13*IF(B13="South Korea",korea_mid_revleg,revleg_mid))),1)-0.5)&lt;1E-9,2*ROUND((L13*M13*IF(B13="South Korea",korea_mid_revleg,revleg_mid))/2,0),ROUND((L13*M13*IF(B13="South Korea",korea_mid_revleg,revleg_mid)),0)))-(((battery/range_nm)*D13*IF(ABS(MOD(ABS((L13*M13*IF(B13="South Korea",korea_mid_revleg,revleg_mid))),1)-0.5)&lt;1E-9,2*ROUND((L13*M13*IF(B13="South Korea",korea_mid_revleg,revleg_mid))/2,0),ROUND((L13*M13*IF(B13="South Korea",korea_mid_revleg,revleg_mid)),0))*VLOOKUP(B13,country_opex,3,FALSE))+W13+X13+Y13+Z13+AA13)))</f>
        <v/>
      </c>
      <c r="AX13" s="45">
        <f>IF(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&lt;=0,"",VLOOKUP(B13,country_opex,7,FALSE)/((T13*pax_cap*load_full*IF(ABS(MOD(ABS((L13*M13*revleg_full)),1)-0.5)&lt;1E-9,2*ROUND((L13*M13*revleg_full)/2,0),ROUND((L13*M13*revleg_full),0)))-(((battery/range_nm)*D13*IF(ABS(MOD(ABS((L13*M13*revleg_full)),1)-0.5)&lt;1E-9,2*ROUND((L13*M13*revleg_full)/2,0),ROUND((L13*M13*revleg_full),0))*VLOOKUP(B13,country_opex,3,FALSE))+W13+X13+Y13+Z13+AA13)))</f>
        <v/>
      </c>
      <c r="AY13" s="46" t="inlineStr">
        <is>
          <t>PREMIUM tier: TP Line/Krilo catamaran Dubrovnik-&gt;Polače peak adult ~EUR 20 (summer range to EUR 20). EUR 20 x 1.08 = $21.6.</t>
        </is>
      </c>
      <c r="AZ13" s="46" t="n"/>
      <c r="BA13" s="34" t="n"/>
    </row>
    <row r="14">
      <c r="A14" s="31" t="inlineStr">
        <is>
          <t>Bolt Croatia</t>
        </is>
      </c>
      <c r="B14" s="31" t="inlineStr">
        <is>
          <t>Croatia</t>
        </is>
      </c>
      <c r="C14" s="32" t="inlineStr">
        <is>
          <t>Hvar (Hvar Town) → Korčula (Korčula Town)</t>
        </is>
      </c>
      <c r="D14" s="33" t="n">
        <v>30</v>
      </c>
      <c r="E14" s="27" t="n">
        <v>27</v>
      </c>
      <c r="F14" s="34" t="inlineStr">
        <is>
          <t>T2</t>
        </is>
      </c>
      <c r="G14" s="34" t="inlineStr">
        <is>
          <t>med</t>
        </is>
      </c>
      <c r="H14" s="20" t="n">
        <v>1</v>
      </c>
      <c r="I14" s="35">
        <f>60*D14/cruise_kt</f>
        <v/>
      </c>
      <c r="J14" s="35">
        <f>IF(B14="South Korea",D14/korea_charge_range_nm*korea_full_range_charge_min,0)</f>
        <v/>
      </c>
      <c r="K14" s="35">
        <f>IF(B14="South Korea",I14+korea_turn_min+korea_dwell_min+J14,I14+turn_min+dwell_min)</f>
        <v/>
      </c>
      <c r="L14" s="36">
        <f>IF(B14="South Korea",FLOOR(60*korea_service_hr/K14,1),MIN(15,FLOOR(60*service_hr/K14,1)))</f>
        <v/>
      </c>
      <c r="M14" s="36">
        <f>IF(ABS(MOD(ABS((365*mech_uptime*H14)),1)-0.5)&lt;1E-9,2*ROUND((365*mech_uptime*H14)/2,0),ROUND((365*mech_uptime*H14),0))</f>
        <v/>
      </c>
      <c r="N14" s="37">
        <f>mech_uptime</f>
        <v/>
      </c>
      <c r="O14" s="37">
        <f>IF(AND(B14="South Korea",scenario="MID"),korea_mid_revleg,revleg_sel)</f>
        <v/>
      </c>
      <c r="P14" s="36">
        <f>IF(ABS(MOD(ABS((L14*M14*O14)),1)-0.5)&lt;1E-9,2*ROUND((L14*M14*O14)/2,0),ROUND((L14*M14*O14),0))</f>
        <v/>
      </c>
      <c r="Q14" s="37">
        <f>IF(AND(B14="South Korea",scenario="MID"),korea_mid_load,load_sel)</f>
        <v/>
      </c>
      <c r="R14" s="38">
        <f>pax_cap*Q14</f>
        <v/>
      </c>
      <c r="S14" s="36">
        <f>R14*P14</f>
        <v/>
      </c>
      <c r="T14" s="39">
        <f>E14*discount</f>
        <v/>
      </c>
      <c r="U14" s="40">
        <f>T14*S14</f>
        <v/>
      </c>
      <c r="V14" s="40">
        <f>(battery/range_nm)*D14*P14*VLOOKUP(B14,country_opex,3,FALSE)</f>
        <v/>
      </c>
      <c r="W14" s="40">
        <f>VLOOKUP(B14,country_opex,2,FALSE)*crew_factor</f>
        <v/>
      </c>
      <c r="X14" s="40">
        <f>VLOOKUP(B14,country_opex,5,FALSE)</f>
        <v/>
      </c>
      <c r="Y14" s="40">
        <f>maint</f>
        <v/>
      </c>
      <c r="Z14" s="40">
        <f>VLOOKUP(B14,country_opex,7,FALSE)*ins_pct</f>
        <v/>
      </c>
      <c r="AA14" s="40">
        <f>charge_berth</f>
        <v/>
      </c>
      <c r="AB14" s="40">
        <f>V14+W14+X14+Y14+Z14+AA14</f>
        <v/>
      </c>
      <c r="AC14" s="40">
        <f>VLOOKUP(B14,country_opex,7,FALSE)/dep_years</f>
        <v/>
      </c>
      <c r="AD14" s="40">
        <f>U14-AB14</f>
        <v/>
      </c>
      <c r="AE14" s="37">
        <f>IF(U14=0,"",AD14/U14)</f>
        <v/>
      </c>
      <c r="AF14" s="38">
        <f>IF(AD14&lt;=0,"",VLOOKUP(B14,country_opex,7,FALSE)/AD14)</f>
        <v/>
      </c>
      <c r="AG14" s="35">
        <f>((D14*P14/diesel_nmpg)*diesel_co2pg-(battery/range_nm)*D14*P14*VLOOKUP(B14,country_opex,4,FALSE))/1000</f>
        <v/>
      </c>
      <c r="AH14" s="33" t="n"/>
      <c r="AI14" s="34" t="n"/>
      <c r="AJ14" s="34" t="n"/>
      <c r="AK14" s="41" t="n">
        <v>0.1</v>
      </c>
      <c r="AL14" s="36">
        <f>IF(AH14="","",AH14*AK14)</f>
        <v/>
      </c>
      <c r="AM14" s="36">
        <f>IF(OR(AH14="",S14=0),"",MIN(IF(AU14="",9.9E+99,AU14),FLOOR(AL14/S14,1)))</f>
        <v/>
      </c>
      <c r="AN14" s="40">
        <f>IF(AM14="","",AM14*IF(ABS(MOD(ABS((U14)),1)-0.5)&lt;1E-9,2*ROUND((U14)/2,0),ROUND((U14),0)))</f>
        <v/>
      </c>
      <c r="AO14" s="38">
        <f>IF(OR(AH14="",S14=0),"",MIN(IF(AU14="",9.9E+99,AU14),AL14/S14))</f>
        <v/>
      </c>
      <c r="AP14" s="40">
        <f>IF(AO14="","",AO14*IF(B14="South Korea",IF(ABS(MOD(ABS((U14)),1)-0.5)&lt;1E-9,2*ROUND((U14)/2,0),ROUND((U14),0)),U14))</f>
        <v/>
      </c>
      <c r="AQ14" s="42" t="n"/>
      <c r="AR14" s="34" t="inlineStr">
        <is>
          <t>Estimated</t>
        </is>
      </c>
      <c r="AS14" s="43" t="n"/>
      <c r="AT14" s="43" t="n"/>
      <c r="AU14" s="44" t="n"/>
      <c r="AV14" s="45">
        <f>IF(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&lt;=0,"",VLOOKUP(B14,country_opex,7,FALSE)/((T14*pax_cap*load_thin*IF(ABS(MOD(ABS((L14*M14*revleg_thin)),1)-0.5)&lt;1E-9,2*ROUND((L14*M14*revleg_thin)/2,0),ROUND((L14*M14*revleg_thin),0)))-(((battery/range_nm)*D14*IF(ABS(MOD(ABS((L14*M14*revleg_thin)),1)-0.5)&lt;1E-9,2*ROUND((L14*M14*revleg_thin)/2,0),ROUND((L14*M14*revleg_thin),0))*VLOOKUP(B14,country_opex,3,FALSE))+W14+X14+Y14+Z14+AA14)))</f>
        <v/>
      </c>
      <c r="AW14" s="45">
        <f>IF(((T14*pax_cap*IF(B14="South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Korea",korea_mid_revleg,revleg_mid)),0))*VLOOKUP(B14,country_opex,3,FALSE))+W14+X14+Y14+Z14+AA14))&lt;=0,"",VLOOKUP(B14,country_opex,7,FALSE)/((T14*pax_cap*IF(B14="South Korea",korea_mid_load,load_mid)*IF(ABS(MOD(ABS((L14*M14*IF(B14="South Korea",korea_mid_revleg,revleg_mid))),1)-0.5)&lt;1E-9,2*ROUND((L14*M14*IF(B14="South Korea",korea_mid_revleg,revleg_mid))/2,0),ROUND((L14*M14*IF(B14="South Korea",korea_mid_revleg,revleg_mid)),0)))-(((battery/range_nm)*D14*IF(ABS(MOD(ABS((L14*M14*IF(B14="South Korea",korea_mid_revleg,revleg_mid))),1)-0.5)&lt;1E-9,2*ROUND((L14*M14*IF(B14="South Korea",korea_mid_revleg,revleg_mid))/2,0),ROUND((L14*M14*IF(B14="South Korea",korea_mid_revleg,revleg_mid)),0))*VLOOKUP(B14,country_opex,3,FALSE))+W14+X14+Y14+Z14+AA14)))</f>
        <v/>
      </c>
      <c r="AX14" s="45">
        <f>IF(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&lt;=0,"",VLOOKUP(B14,country_opex,7,FALSE)/((T14*pax_cap*load_full*IF(ABS(MOD(ABS((L14*M14*revleg_full)),1)-0.5)&lt;1E-9,2*ROUND((L14*M14*revleg_full)/2,0),ROUND((L14*M14*revleg_full),0)))-(((battery/range_nm)*D14*IF(ABS(MOD(ABS((L14*M14*revleg_full)),1)-0.5)&lt;1E-9,2*ROUND((L14*M14*revleg_full)/2,0),ROUND((L14*M14*revleg_full),0))*VLOOKUP(B14,country_opex,3,FALSE))+W14+X14+Y14+Z14+AA14)))</f>
        <v/>
      </c>
      <c r="AY14" s="46" t="inlineStr">
        <is>
          <t>PREMIUM tier: Krilo/Kapetan Luka &amp; TP Line catamaran Hvar-&gt;Korčula top foot fare ~EUR 25 (range EUR 5.84-25). EUR 25 x 1.08 = $27.0.</t>
        </is>
      </c>
      <c r="AZ14" s="46" t="n"/>
      <c r="BA14" s="34" t="n"/>
    </row>
    <row r="15">
      <c r="A15" s="31" t="inlineStr">
        <is>
          <t>Bolt Croatia</t>
        </is>
      </c>
      <c r="B15" s="31" t="inlineStr">
        <is>
          <t>Croatia</t>
        </is>
      </c>
      <c r="C15" s="32" t="inlineStr">
        <is>
          <t>Split → Vis</t>
        </is>
      </c>
      <c r="D15" s="33" t="n">
        <v>31</v>
      </c>
      <c r="E15" s="27" t="n">
        <v>30.2</v>
      </c>
      <c r="F15" s="34" t="inlineStr">
        <is>
          <t>T2</t>
        </is>
      </c>
      <c r="G15" s="34" t="inlineStr">
        <is>
          <t>med</t>
        </is>
      </c>
      <c r="H15" s="20" t="n">
        <v>1</v>
      </c>
      <c r="I15" s="35">
        <f>60*D15/cruise_kt</f>
        <v/>
      </c>
      <c r="J15" s="35">
        <f>IF(B15="South Korea",D15/korea_charge_range_nm*korea_full_range_charge_min,0)</f>
        <v/>
      </c>
      <c r="K15" s="35">
        <f>IF(B15="South Korea",I15+korea_turn_min+korea_dwell_min+J15,I15+turn_min+dwell_min)</f>
        <v/>
      </c>
      <c r="L15" s="36">
        <f>IF(B15="South Korea",FLOOR(60*korea_service_hr/K15,1),MIN(15,FLOOR(60*service_hr/K15,1)))</f>
        <v/>
      </c>
      <c r="M15" s="36">
        <f>IF(ABS(MOD(ABS((365*mech_uptime*H15)),1)-0.5)&lt;1E-9,2*ROUND((365*mech_uptime*H15)/2,0),ROUND((365*mech_uptime*H15),0))</f>
        <v/>
      </c>
      <c r="N15" s="37">
        <f>mech_uptime</f>
        <v/>
      </c>
      <c r="O15" s="37">
        <f>IF(AND(B15="South Korea",scenario="MID"),korea_mid_revleg,revleg_sel)</f>
        <v/>
      </c>
      <c r="P15" s="36">
        <f>IF(ABS(MOD(ABS((L15*M15*O15)),1)-0.5)&lt;1E-9,2*ROUND((L15*M15*O15)/2,0),ROUND((L15*M15*O15),0))</f>
        <v/>
      </c>
      <c r="Q15" s="37">
        <f>IF(AND(B15="South Korea",scenario="MID"),korea_mid_load,load_sel)</f>
        <v/>
      </c>
      <c r="R15" s="38">
        <f>pax_cap*Q15</f>
        <v/>
      </c>
      <c r="S15" s="36">
        <f>R15*P15</f>
        <v/>
      </c>
      <c r="T15" s="39">
        <f>E15*discount</f>
        <v/>
      </c>
      <c r="U15" s="40">
        <f>T15*S15</f>
        <v/>
      </c>
      <c r="V15" s="40">
        <f>(battery/range_nm)*D15*P15*VLOOKUP(B15,country_opex,3,FALSE)</f>
        <v/>
      </c>
      <c r="W15" s="40">
        <f>VLOOKUP(B15,country_opex,2,FALSE)*crew_factor</f>
        <v/>
      </c>
      <c r="X15" s="40">
        <f>VLOOKUP(B15,country_opex,5,FALSE)</f>
        <v/>
      </c>
      <c r="Y15" s="40">
        <f>maint</f>
        <v/>
      </c>
      <c r="Z15" s="40">
        <f>VLOOKUP(B15,country_opex,7,FALSE)*ins_pct</f>
        <v/>
      </c>
      <c r="AA15" s="40">
        <f>charge_berth</f>
        <v/>
      </c>
      <c r="AB15" s="40">
        <f>V15+W15+X15+Y15+Z15+AA15</f>
        <v/>
      </c>
      <c r="AC15" s="40">
        <f>VLOOKUP(B15,country_opex,7,FALSE)/dep_years</f>
        <v/>
      </c>
      <c r="AD15" s="40">
        <f>U15-AB15</f>
        <v/>
      </c>
      <c r="AE15" s="37">
        <f>IF(U15=0,"",AD15/U15)</f>
        <v/>
      </c>
      <c r="AF15" s="38">
        <f>IF(AD15&lt;=0,"",VLOOKUP(B15,country_opex,7,FALSE)/AD15)</f>
        <v/>
      </c>
      <c r="AG15" s="35">
        <f>((D15*P15/diesel_nmpg)*diesel_co2pg-(battery/range_nm)*D15*P15*VLOOKUP(B15,country_opex,4,FALSE))/1000</f>
        <v/>
      </c>
      <c r="AH15" s="33" t="n">
        <v>46000</v>
      </c>
      <c r="AI15" s="34" t="n"/>
      <c r="AJ15" s="34" t="n"/>
      <c r="AK15" s="41" t="n">
        <v>0.1</v>
      </c>
      <c r="AL15" s="36">
        <f>IF(AH15="","",AH15*AK15)</f>
        <v/>
      </c>
      <c r="AM15" s="36">
        <f>IF(OR(AH15="",S15=0),"",MIN(IF(AU15="",9.9E+99,AU15),FLOOR(AL15/S15,1)))</f>
        <v/>
      </c>
      <c r="AN15" s="40">
        <f>IF(AM15="","",AM15*IF(ABS(MOD(ABS((U15)),1)-0.5)&lt;1E-9,2*ROUND((U15)/2,0),ROUND((U15),0)))</f>
        <v/>
      </c>
      <c r="AO15" s="38">
        <f>IF(OR(AH15="",S15=0),"",MIN(IF(AU15="",9.9E+99,AU15),AL15/S15))</f>
        <v/>
      </c>
      <c r="AP15" s="40">
        <f>IF(AO15="","",AO15*IF(B15="South Korea",IF(ABS(MOD(ABS((U15)),1)-0.5)&lt;1E-9,2*ROUND((U15)/2,0),ROUND((U15),0)),U15))</f>
        <v/>
      </c>
      <c r="AQ15" s="42" t="n"/>
      <c r="AR15" s="34" t="inlineStr">
        <is>
          <t>Grounded</t>
        </is>
      </c>
      <c r="AS15" s="43" t="n"/>
      <c r="AT15" s="43" t="n"/>
      <c r="AU15" s="44" t="n"/>
      <c r="AV15" s="45">
        <f>IF(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&lt;=0,"",VLOOKUP(B15,country_opex,7,FALSE)/((T15*pax_cap*load_thin*IF(ABS(MOD(ABS((L15*M15*revleg_thin)),1)-0.5)&lt;1E-9,2*ROUND((L15*M15*revleg_thin)/2,0),ROUND((L15*M15*revleg_thin),0)))-(((battery/range_nm)*D15*IF(ABS(MOD(ABS((L15*M15*revleg_thin)),1)-0.5)&lt;1E-9,2*ROUND((L15*M15*revleg_thin)/2,0),ROUND((L15*M15*revleg_thin),0))*VLOOKUP(B15,country_opex,3,FALSE))+W15+X15+Y15+Z15+AA15)))</f>
        <v/>
      </c>
      <c r="AW15" s="45">
        <f>IF(((T15*pax_cap*IF(B15="South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Korea",korea_mid_revleg,revleg_mid)),0))*VLOOKUP(B15,country_opex,3,FALSE))+W15+X15+Y15+Z15+AA15))&lt;=0,"",VLOOKUP(B15,country_opex,7,FALSE)/((T15*pax_cap*IF(B15="South Korea",korea_mid_load,load_mid)*IF(ABS(MOD(ABS((L15*M15*IF(B15="South Korea",korea_mid_revleg,revleg_mid))),1)-0.5)&lt;1E-9,2*ROUND((L15*M15*IF(B15="South Korea",korea_mid_revleg,revleg_mid))/2,0),ROUND((L15*M15*IF(B15="South Korea",korea_mid_revleg,revleg_mid)),0)))-(((battery/range_nm)*D15*IF(ABS(MOD(ABS((L15*M15*IF(B15="South Korea",korea_mid_revleg,revleg_mid))),1)-0.5)&lt;1E-9,2*ROUND((L15*M15*IF(B15="South Korea",korea_mid_revleg,revleg_mid))/2,0),ROUND((L15*M15*IF(B15="South Korea",korea_mid_revleg,revleg_mid)),0))*VLOOKUP(B15,country_opex,3,FALSE))+W15+X15+Y15+Z15+AA15)))</f>
        <v/>
      </c>
      <c r="AX15" s="45">
        <f>IF(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&lt;=0,"",VLOOKUP(B15,country_opex,7,FALSE)/((T15*pax_cap*load_full*IF(ABS(MOD(ABS((L15*M15*revleg_full)),1)-0.5)&lt;1E-9,2*ROUND((L15*M15*revleg_full)/2,0),ROUND((L15*M15*revleg_full),0)))-(((battery/range_nm)*D15*IF(ABS(MOD(ABS((L15*M15*revleg_full)),1)-0.5)&lt;1E-9,2*ROUND((L15*M15*revleg_full)/2,0),ROUND((L15*M15*revleg_full),0))*VLOOKUP(B15,country_opex,3,FALSE))+W15+X15+Y15+Z15+AA15)))</f>
        <v/>
      </c>
      <c r="AY15" s="46" t="inlineStr">
        <is>
          <t>PREMIUM tier: Kapetan Luka 'Krilo'/Jadrolinija fast catamaran Split-&gt;Vis, top foot fare ~EUR 28 (range EUR 6.50-28). EUR 28 x 1.08 = $30.2.</t>
        </is>
      </c>
      <c r="AZ15" s="46" t="n"/>
      <c r="BA15" s="34" t="n"/>
    </row>
    <row r="16">
      <c r="A16" s="31" t="inlineStr">
        <is>
          <t>Bolt Croatia</t>
        </is>
      </c>
      <c r="B16" s="31" t="inlineStr">
        <is>
          <t>Croatia</t>
        </is>
      </c>
      <c r="C16" s="32" t="inlineStr">
        <is>
          <t>Split → Korčula (Korčula Town)</t>
        </is>
      </c>
      <c r="D16" s="33" t="n">
        <v>40</v>
      </c>
      <c r="E16" s="27" t="n">
        <v>32.4</v>
      </c>
      <c r="F16" s="34" t="inlineStr">
        <is>
          <t>T2</t>
        </is>
      </c>
      <c r="G16" s="34" t="inlineStr">
        <is>
          <t>med</t>
        </is>
      </c>
      <c r="H16" s="20" t="n">
        <v>1</v>
      </c>
      <c r="I16" s="35">
        <f>60*D16/cruise_kt</f>
        <v/>
      </c>
      <c r="J16" s="35">
        <f>IF(B16="South Korea",D16/korea_charge_range_nm*korea_full_range_charge_min,0)</f>
        <v/>
      </c>
      <c r="K16" s="35">
        <f>IF(B16="South Korea",I16+korea_turn_min+korea_dwell_min+J16,I16+turn_min+dwell_min)</f>
        <v/>
      </c>
      <c r="L16" s="36">
        <f>IF(B16="South Korea",FLOOR(60*korea_service_hr/K16,1),MIN(15,FLOOR(60*service_hr/K16,1)))</f>
        <v/>
      </c>
      <c r="M16" s="36">
        <f>IF(ABS(MOD(ABS((365*mech_uptime*H16)),1)-0.5)&lt;1E-9,2*ROUND((365*mech_uptime*H16)/2,0),ROUND((365*mech_uptime*H16),0))</f>
        <v/>
      </c>
      <c r="N16" s="37">
        <f>mech_uptime</f>
        <v/>
      </c>
      <c r="O16" s="37">
        <f>IF(AND(B16="South Korea",scenario="MID"),korea_mid_revleg,revleg_sel)</f>
        <v/>
      </c>
      <c r="P16" s="36">
        <f>IF(ABS(MOD(ABS((L16*M16*O16)),1)-0.5)&lt;1E-9,2*ROUND((L16*M16*O16)/2,0),ROUND((L16*M16*O16),0))</f>
        <v/>
      </c>
      <c r="Q16" s="37">
        <f>IF(AND(B16="South Korea",scenario="MID"),korea_mid_load,load_sel)</f>
        <v/>
      </c>
      <c r="R16" s="38">
        <f>pax_cap*Q16</f>
        <v/>
      </c>
      <c r="S16" s="36">
        <f>R16*P16</f>
        <v/>
      </c>
      <c r="T16" s="39">
        <f>E16*discount</f>
        <v/>
      </c>
      <c r="U16" s="40">
        <f>T16*S16</f>
        <v/>
      </c>
      <c r="V16" s="40">
        <f>(battery/range_nm)*D16*P16*VLOOKUP(B16,country_opex,3,FALSE)</f>
        <v/>
      </c>
      <c r="W16" s="40">
        <f>VLOOKUP(B16,country_opex,2,FALSE)*crew_factor</f>
        <v/>
      </c>
      <c r="X16" s="40">
        <f>VLOOKUP(B16,country_opex,5,FALSE)</f>
        <v/>
      </c>
      <c r="Y16" s="40">
        <f>maint</f>
        <v/>
      </c>
      <c r="Z16" s="40">
        <f>VLOOKUP(B16,country_opex,7,FALSE)*ins_pct</f>
        <v/>
      </c>
      <c r="AA16" s="40">
        <f>charge_berth</f>
        <v/>
      </c>
      <c r="AB16" s="40">
        <f>V16+W16+X16+Y16+Z16+AA16</f>
        <v/>
      </c>
      <c r="AC16" s="40">
        <f>VLOOKUP(B16,country_opex,7,FALSE)/dep_years</f>
        <v/>
      </c>
      <c r="AD16" s="40">
        <f>U16-AB16</f>
        <v/>
      </c>
      <c r="AE16" s="37">
        <f>IF(U16=0,"",AD16/U16)</f>
        <v/>
      </c>
      <c r="AF16" s="38">
        <f>IF(AD16&lt;=0,"",VLOOKUP(B16,country_opex,7,FALSE)/AD16)</f>
        <v/>
      </c>
      <c r="AG16" s="35">
        <f>((D16*P16/diesel_nmpg)*diesel_co2pg-(battery/range_nm)*D16*P16*VLOOKUP(B16,country_opex,4,FALSE))/1000</f>
        <v/>
      </c>
      <c r="AH16" s="33" t="n">
        <v>183000</v>
      </c>
      <c r="AI16" s="34" t="n"/>
      <c r="AJ16" s="34" t="n"/>
      <c r="AK16" s="41" t="n">
        <v>0.1</v>
      </c>
      <c r="AL16" s="36">
        <f>IF(AH16="","",AH16*AK16)</f>
        <v/>
      </c>
      <c r="AM16" s="36">
        <f>IF(OR(AH16="",S16=0),"",MIN(IF(AU16="",9.9E+99,AU16),FLOOR(AL16/S16,1)))</f>
        <v/>
      </c>
      <c r="AN16" s="40">
        <f>IF(AM16="","",AM16*IF(ABS(MOD(ABS((U16)),1)-0.5)&lt;1E-9,2*ROUND((U16)/2,0),ROUND((U16),0)))</f>
        <v/>
      </c>
      <c r="AO16" s="38">
        <f>IF(OR(AH16="",S16=0),"",MIN(IF(AU16="",9.9E+99,AU16),AL16/S16))</f>
        <v/>
      </c>
      <c r="AP16" s="40">
        <f>IF(AO16="","",AO16*IF(B16="South Korea",IF(ABS(MOD(ABS((U16)),1)-0.5)&lt;1E-9,2*ROUND((U16)/2,0),ROUND((U16),0)),U16))</f>
        <v/>
      </c>
      <c r="AQ16" s="42" t="n"/>
      <c r="AR16" s="34" t="inlineStr">
        <is>
          <t>Grounded</t>
        </is>
      </c>
      <c r="AS16" s="43" t="n"/>
      <c r="AT16" s="43" t="n"/>
      <c r="AU16" s="44" t="n"/>
      <c r="AV16" s="45">
        <f>IF(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&lt;=0,"",VLOOKUP(B16,country_opex,7,FALSE)/((T16*pax_cap*load_thin*IF(ABS(MOD(ABS((L16*M16*revleg_thin)),1)-0.5)&lt;1E-9,2*ROUND((L16*M16*revleg_thin)/2,0),ROUND((L16*M16*revleg_thin),0)))-(((battery/range_nm)*D16*IF(ABS(MOD(ABS((L16*M16*revleg_thin)),1)-0.5)&lt;1E-9,2*ROUND((L16*M16*revleg_thin)/2,0),ROUND((L16*M16*revleg_thin),0))*VLOOKUP(B16,country_opex,3,FALSE))+W16+X16+Y16+Z16+AA16)))</f>
        <v/>
      </c>
      <c r="AW16" s="45">
        <f>IF(((T16*pax_cap*IF(B16="South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Korea",korea_mid_revleg,revleg_mid)),0))*VLOOKUP(B16,country_opex,3,FALSE))+W16+X16+Y16+Z16+AA16))&lt;=0,"",VLOOKUP(B16,country_opex,7,FALSE)/((T16*pax_cap*IF(B16="South Korea",korea_mid_load,load_mid)*IF(ABS(MOD(ABS((L16*M16*IF(B16="South Korea",korea_mid_revleg,revleg_mid))),1)-0.5)&lt;1E-9,2*ROUND((L16*M16*IF(B16="South Korea",korea_mid_revleg,revleg_mid))/2,0),ROUND((L16*M16*IF(B16="South Korea",korea_mid_revleg,revleg_mid)),0)))-(((battery/range_nm)*D16*IF(ABS(MOD(ABS((L16*M16*IF(B16="South Korea",korea_mid_revleg,revleg_mid))),1)-0.5)&lt;1E-9,2*ROUND((L16*M16*IF(B16="South Korea",korea_mid_revleg,revleg_mid))/2,0),ROUND((L16*M16*IF(B16="South Korea",korea_mid_revleg,revleg_mid)),0))*VLOOKUP(B16,country_opex,3,FALSE))+W16+X16+Y16+Z16+AA16)))</f>
        <v/>
      </c>
      <c r="AX16" s="45">
        <f>IF(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&lt;=0,"",VLOOKUP(B16,country_opex,7,FALSE)/((T16*pax_cap*load_full*IF(ABS(MOD(ABS((L16*M16*revleg_full)),1)-0.5)&lt;1E-9,2*ROUND((L16*M16*revleg_full)/2,0),ROUND((L16*M16*revleg_full),0)))-(((battery/range_nm)*D16*IF(ABS(MOD(ABS((L16*M16*revleg_full)),1)-0.5)&lt;1E-9,2*ROUND((L16*M16*revleg_full)/2,0),ROUND((L16*M16*revleg_full),0))*VLOOKUP(B16,country_opex,3,FALSE))+W16+X16+Y16+Z16+AA16)))</f>
        <v/>
      </c>
      <c r="AY16" s="46" t="inlineStr">
        <is>
          <t>PREMIUM tier: high-season fast catamaran Split-&gt;Korčula adult up to EUR 30 (Krilo/TP Line). EUR 30 x 1.08 = $32.4.</t>
        </is>
      </c>
      <c r="AZ16" s="46" t="n"/>
      <c r="BA16" s="34" t="n"/>
    </row>
    <row r="17">
      <c r="A17" s="31" t="inlineStr">
        <is>
          <t>Bolt Croatia</t>
        </is>
      </c>
      <c r="B17" s="31" t="inlineStr">
        <is>
          <t>Croatia</t>
        </is>
      </c>
      <c r="C17" s="32" t="inlineStr">
        <is>
          <t>Dubrovnik → Kotor (Montenegro)</t>
        </is>
      </c>
      <c r="D17" s="33" t="n">
        <v>40</v>
      </c>
      <c r="E17" s="27" t="n"/>
      <c r="F17" s="34" t="n"/>
      <c r="G17" s="34" t="n"/>
      <c r="H17" s="20" t="n">
        <v>1</v>
      </c>
      <c r="I17" s="35">
        <f>60*D17/cruise_kt</f>
        <v/>
      </c>
      <c r="J17" s="35">
        <f>IF(B17="South Korea",D17/korea_charge_range_nm*korea_full_range_charge_min,0)</f>
        <v/>
      </c>
      <c r="K17" s="35">
        <f>IF(B17="South Korea",I17+korea_turn_min+korea_dwell_min+J17,I17+turn_min+dwell_min)</f>
        <v/>
      </c>
      <c r="L17" s="36">
        <f>IF(B17="South Korea",FLOOR(60*korea_service_hr/K17,1),MIN(15,FLOOR(60*service_hr/K17,1)))</f>
        <v/>
      </c>
      <c r="M17" s="36">
        <f>IF(ABS(MOD(ABS((365*mech_uptime*H17)),1)-0.5)&lt;1E-9,2*ROUND((365*mech_uptime*H17)/2,0),ROUND((365*mech_uptime*H17),0))</f>
        <v/>
      </c>
      <c r="N17" s="37">
        <f>mech_uptime</f>
        <v/>
      </c>
      <c r="O17" s="37">
        <f>IF(AND(B17="South Korea",scenario="MID"),korea_mid_revleg,revleg_sel)</f>
        <v/>
      </c>
      <c r="P17" s="36">
        <f>IF(ABS(MOD(ABS((L17*M17*O17)),1)-0.5)&lt;1E-9,2*ROUND((L17*M17*O17)/2,0),ROUND((L17*M17*O17),0))</f>
        <v/>
      </c>
      <c r="Q17" s="37">
        <f>IF(AND(B17="South Korea",scenario="MID"),korea_mid_load,load_sel)</f>
        <v/>
      </c>
      <c r="R17" s="38">
        <f>pax_cap*Q17</f>
        <v/>
      </c>
      <c r="S17" s="36">
        <f>R17*P17</f>
        <v/>
      </c>
      <c r="T17" s="39">
        <f>E17*discount</f>
        <v/>
      </c>
      <c r="U17" s="40">
        <f>T17*S17</f>
        <v/>
      </c>
      <c r="V17" s="40">
        <f>(battery/range_nm)*D17*P17*VLOOKUP(B17,country_opex,3,FALSE)</f>
        <v/>
      </c>
      <c r="W17" s="40">
        <f>VLOOKUP(B17,country_opex,2,FALSE)*crew_factor</f>
        <v/>
      </c>
      <c r="X17" s="40">
        <f>VLOOKUP(B17,country_opex,5,FALSE)</f>
        <v/>
      </c>
      <c r="Y17" s="40">
        <f>maint</f>
        <v/>
      </c>
      <c r="Z17" s="40">
        <f>VLOOKUP(B17,country_opex,7,FALSE)*ins_pct</f>
        <v/>
      </c>
      <c r="AA17" s="40">
        <f>charge_berth</f>
        <v/>
      </c>
      <c r="AB17" s="40">
        <f>V17+W17+X17+Y17+Z17+AA17</f>
        <v/>
      </c>
      <c r="AC17" s="40">
        <f>VLOOKUP(B17,country_opex,7,FALSE)/dep_years</f>
        <v/>
      </c>
      <c r="AD17" s="40">
        <f>U17-AB17</f>
        <v/>
      </c>
      <c r="AE17" s="37">
        <f>IF(U17=0,"",AD17/U17)</f>
        <v/>
      </c>
      <c r="AF17" s="38">
        <f>IF(AD17&lt;=0,"",VLOOKUP(B17,country_opex,7,FALSE)/AD17)</f>
        <v/>
      </c>
      <c r="AG17" s="35">
        <f>((D17*P17/diesel_nmpg)*diesel_co2pg-(battery/range_nm)*D17*P17*VLOOKUP(B17,country_opex,4,FALSE))/1000</f>
        <v/>
      </c>
      <c r="AH17" s="33" t="n"/>
      <c r="AI17" s="34" t="n"/>
      <c r="AJ17" s="34" t="n"/>
      <c r="AK17" s="41" t="n">
        <v>0.1</v>
      </c>
      <c r="AL17" s="36">
        <f>IF(AH17="","",AH17*AK17)</f>
        <v/>
      </c>
      <c r="AM17" s="36">
        <f>IF(OR(AH17="",S17=0),"",MIN(IF(AU17="",9.9E+99,AU17),FLOOR(AL17/S17,1)))</f>
        <v/>
      </c>
      <c r="AN17" s="40">
        <f>IF(AM17="","",AM17*IF(ABS(MOD(ABS((U17)),1)-0.5)&lt;1E-9,2*ROUND((U17)/2,0),ROUND((U17),0)))</f>
        <v/>
      </c>
      <c r="AO17" s="38">
        <f>IF(OR(AH17="",S17=0),"",MIN(IF(AU17="",9.9E+99,AU17),AL17/S17))</f>
        <v/>
      </c>
      <c r="AP17" s="40">
        <f>IF(AO17="","",AO17*IF(B17="South Korea",IF(ABS(MOD(ABS((U17)),1)-0.5)&lt;1E-9,2*ROUND((U17)/2,0),ROUND((U17),0)),U17))</f>
        <v/>
      </c>
      <c r="AQ17" s="42" t="n"/>
      <c r="AR17" s="34" t="inlineStr">
        <is>
          <t>Estimated</t>
        </is>
      </c>
      <c r="AS17" s="43" t="n"/>
      <c r="AT17" s="43" t="n"/>
      <c r="AU17" s="44" t="n"/>
      <c r="AV17" s="45">
        <f>IF(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&lt;=0,"",VLOOKUP(B17,country_opex,7,FALSE)/((T17*pax_cap*load_thin*IF(ABS(MOD(ABS((L17*M17*revleg_thin)),1)-0.5)&lt;1E-9,2*ROUND((L17*M17*revleg_thin)/2,0),ROUND((L17*M17*revleg_thin),0)))-(((battery/range_nm)*D17*IF(ABS(MOD(ABS((L17*M17*revleg_thin)),1)-0.5)&lt;1E-9,2*ROUND((L17*M17*revleg_thin)/2,0),ROUND((L17*M17*revleg_thin),0))*VLOOKUP(B17,country_opex,3,FALSE))+W17+X17+Y17+Z17+AA17)))</f>
        <v/>
      </c>
      <c r="AW17" s="45">
        <f>IF(((T17*pax_cap*IF(B17="South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Korea",korea_mid_revleg,revleg_mid)),0))*VLOOKUP(B17,country_opex,3,FALSE))+W17+X17+Y17+Z17+AA17))&lt;=0,"",VLOOKUP(B17,country_opex,7,FALSE)/((T17*pax_cap*IF(B17="South Korea",korea_mid_load,load_mid)*IF(ABS(MOD(ABS((L17*M17*IF(B17="South Korea",korea_mid_revleg,revleg_mid))),1)-0.5)&lt;1E-9,2*ROUND((L17*M17*IF(B17="South Korea",korea_mid_revleg,revleg_mid))/2,0),ROUND((L17*M17*IF(B17="South Korea",korea_mid_revleg,revleg_mid)),0)))-(((battery/range_nm)*D17*IF(ABS(MOD(ABS((L17*M17*IF(B17="South Korea",korea_mid_revleg,revleg_mid))),1)-0.5)&lt;1E-9,2*ROUND((L17*M17*IF(B17="South Korea",korea_mid_revleg,revleg_mid))/2,0),ROUND((L17*M17*IF(B17="South Korea",korea_mid_revleg,revleg_mid)),0))*VLOOKUP(B17,country_opex,3,FALSE))+W17+X17+Y17+Z17+AA17)))</f>
        <v/>
      </c>
      <c r="AX17" s="45">
        <f>IF(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&lt;=0,"",VLOOKUP(B17,country_opex,7,FALSE)/((T17*pax_cap*load_full*IF(ABS(MOD(ABS((L17*M17*revleg_full)),1)-0.5)&lt;1E-9,2*ROUND((L17*M17*revleg_full)/2,0),ROUND((L17*M17*revleg_full),0)))-(((battery/range_nm)*D17*IF(ABS(MOD(ABS((L17*M17*revleg_full)),1)-0.5)&lt;1E-9,2*ROUND((L17*M17*revleg_full)/2,0),ROUND((L17*M17*revleg_full),0))*VLOOKUP(B17,country_opex,3,FALSE))+W17+X17+Y17+Z17+AA17)))</f>
        <v/>
      </c>
      <c r="AY17" s="46" t="n"/>
      <c r="AZ17" s="46" t="n"/>
      <c r="BA17" s="34" t="n"/>
    </row>
    <row r="18">
      <c r="A18" s="31" t="inlineStr">
        <is>
          <t>Bolt Croatia</t>
        </is>
      </c>
      <c r="B18" s="31" t="inlineStr">
        <is>
          <t>Croatia</t>
        </is>
      </c>
      <c r="C18" s="32" t="inlineStr">
        <is>
          <t>Dubrovnik → Korčula (Korčula Town)</t>
        </is>
      </c>
      <c r="D18" s="33" t="n">
        <v>47</v>
      </c>
      <c r="E18" s="27" t="n">
        <v>32.4</v>
      </c>
      <c r="F18" s="34" t="inlineStr">
        <is>
          <t>T2</t>
        </is>
      </c>
      <c r="G18" s="34" t="inlineStr">
        <is>
          <t>med</t>
        </is>
      </c>
      <c r="H18" s="20" t="n">
        <v>1</v>
      </c>
      <c r="I18" s="35">
        <f>60*D18/cruise_kt</f>
        <v/>
      </c>
      <c r="J18" s="35">
        <f>IF(B18="South Korea",D18/korea_charge_range_nm*korea_full_range_charge_min,0)</f>
        <v/>
      </c>
      <c r="K18" s="35">
        <f>IF(B18="South Korea",I18+korea_turn_min+korea_dwell_min+J18,I18+turn_min+dwell_min)</f>
        <v/>
      </c>
      <c r="L18" s="36">
        <f>IF(B18="South Korea",FLOOR(60*korea_service_hr/K18,1),MIN(15,FLOOR(60*service_hr/K18,1)))</f>
        <v/>
      </c>
      <c r="M18" s="36">
        <f>IF(ABS(MOD(ABS((365*mech_uptime*H18)),1)-0.5)&lt;1E-9,2*ROUND((365*mech_uptime*H18)/2,0),ROUND((365*mech_uptime*H18),0))</f>
        <v/>
      </c>
      <c r="N18" s="37">
        <f>mech_uptime</f>
        <v/>
      </c>
      <c r="O18" s="37">
        <f>IF(AND(B18="South Korea",scenario="MID"),korea_mid_revleg,revleg_sel)</f>
        <v/>
      </c>
      <c r="P18" s="36">
        <f>IF(ABS(MOD(ABS((L18*M18*O18)),1)-0.5)&lt;1E-9,2*ROUND((L18*M18*O18)/2,0),ROUND((L18*M18*O18),0))</f>
        <v/>
      </c>
      <c r="Q18" s="37">
        <f>IF(AND(B18="South Korea",scenario="MID"),korea_mid_load,load_sel)</f>
        <v/>
      </c>
      <c r="R18" s="38">
        <f>pax_cap*Q18</f>
        <v/>
      </c>
      <c r="S18" s="36">
        <f>R18*P18</f>
        <v/>
      </c>
      <c r="T18" s="39">
        <f>E18*discount</f>
        <v/>
      </c>
      <c r="U18" s="40">
        <f>T18*S18</f>
        <v/>
      </c>
      <c r="V18" s="40">
        <f>(battery/range_nm)*D18*P18*VLOOKUP(B18,country_opex,3,FALSE)</f>
        <v/>
      </c>
      <c r="W18" s="40">
        <f>VLOOKUP(B18,country_opex,2,FALSE)*crew_factor</f>
        <v/>
      </c>
      <c r="X18" s="40">
        <f>VLOOKUP(B18,country_opex,5,FALSE)</f>
        <v/>
      </c>
      <c r="Y18" s="40">
        <f>maint</f>
        <v/>
      </c>
      <c r="Z18" s="40">
        <f>VLOOKUP(B18,country_opex,7,FALSE)*ins_pct</f>
        <v/>
      </c>
      <c r="AA18" s="40">
        <f>charge_berth</f>
        <v/>
      </c>
      <c r="AB18" s="40">
        <f>V18+W18+X18+Y18+Z18+AA18</f>
        <v/>
      </c>
      <c r="AC18" s="40">
        <f>VLOOKUP(B18,country_opex,7,FALSE)/dep_years</f>
        <v/>
      </c>
      <c r="AD18" s="40">
        <f>U18-AB18</f>
        <v/>
      </c>
      <c r="AE18" s="37">
        <f>IF(U18=0,"",AD18/U18)</f>
        <v/>
      </c>
      <c r="AF18" s="38">
        <f>IF(AD18&lt;=0,"",VLOOKUP(B18,country_opex,7,FALSE)/AD18)</f>
        <v/>
      </c>
      <c r="AG18" s="35">
        <f>((D18*P18/diesel_nmpg)*diesel_co2pg-(battery/range_nm)*D18*P18*VLOOKUP(B18,country_opex,4,FALSE))/1000</f>
        <v/>
      </c>
      <c r="AH18" s="33" t="n"/>
      <c r="AI18" s="34" t="n"/>
      <c r="AJ18" s="34" t="n"/>
      <c r="AK18" s="41" t="n">
        <v>0.1</v>
      </c>
      <c r="AL18" s="36">
        <f>IF(AH18="","",AH18*AK18)</f>
        <v/>
      </c>
      <c r="AM18" s="36">
        <f>IF(OR(AH18="",S18=0),"",MIN(IF(AU18="",9.9E+99,AU18),FLOOR(AL18/S18,1)))</f>
        <v/>
      </c>
      <c r="AN18" s="40">
        <f>IF(AM18="","",AM18*IF(ABS(MOD(ABS((U18)),1)-0.5)&lt;1E-9,2*ROUND((U18)/2,0),ROUND((U18),0)))</f>
        <v/>
      </c>
      <c r="AO18" s="38">
        <f>IF(OR(AH18="",S18=0),"",MIN(IF(AU18="",9.9E+99,AU18),AL18/S18))</f>
        <v/>
      </c>
      <c r="AP18" s="40">
        <f>IF(AO18="","",AO18*IF(B18="South Korea",IF(ABS(MOD(ABS((U18)),1)-0.5)&lt;1E-9,2*ROUND((U18)/2,0),ROUND((U18),0)),U18))</f>
        <v/>
      </c>
      <c r="AQ18" s="42" t="n"/>
      <c r="AR18" s="34" t="inlineStr">
        <is>
          <t>Estimated</t>
        </is>
      </c>
      <c r="AS18" s="43" t="n"/>
      <c r="AT18" s="43" t="n"/>
      <c r="AU18" s="44" t="n"/>
      <c r="AV18" s="45">
        <f>IF(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&lt;=0,"",VLOOKUP(B18,country_opex,7,FALSE)/((T18*pax_cap*load_thin*IF(ABS(MOD(ABS((L18*M18*revleg_thin)),1)-0.5)&lt;1E-9,2*ROUND((L18*M18*revleg_thin)/2,0),ROUND((L18*M18*revleg_thin),0)))-(((battery/range_nm)*D18*IF(ABS(MOD(ABS((L18*M18*revleg_thin)),1)-0.5)&lt;1E-9,2*ROUND((L18*M18*revleg_thin)/2,0),ROUND((L18*M18*revleg_thin),0))*VLOOKUP(B18,country_opex,3,FALSE))+W18+X18+Y18+Z18+AA18)))</f>
        <v/>
      </c>
      <c r="AW18" s="45">
        <f>IF(((T18*pax_cap*IF(B18="South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Korea",korea_mid_revleg,revleg_mid)),0))*VLOOKUP(B18,country_opex,3,FALSE))+W18+X18+Y18+Z18+AA18))&lt;=0,"",VLOOKUP(B18,country_opex,7,FALSE)/((T18*pax_cap*IF(B18="South Korea",korea_mid_load,load_mid)*IF(ABS(MOD(ABS((L18*M18*IF(B18="South Korea",korea_mid_revleg,revleg_mid))),1)-0.5)&lt;1E-9,2*ROUND((L18*M18*IF(B18="South Korea",korea_mid_revleg,revleg_mid))/2,0),ROUND((L18*M18*IF(B18="South Korea",korea_mid_revleg,revleg_mid)),0)))-(((battery/range_nm)*D18*IF(ABS(MOD(ABS((L18*M18*IF(B18="South Korea",korea_mid_revleg,revleg_mid))),1)-0.5)&lt;1E-9,2*ROUND((L18*M18*IF(B18="South Korea",korea_mid_revleg,revleg_mid))/2,0),ROUND((L18*M18*IF(B18="South Korea",korea_mid_revleg,revleg_mid)),0))*VLOOKUP(B18,country_opex,3,FALSE))+W18+X18+Y18+Z18+AA18)))</f>
        <v/>
      </c>
      <c r="AX18" s="45">
        <f>IF(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&lt;=0,"",VLOOKUP(B18,country_opex,7,FALSE)/((T18*pax_cap*load_full*IF(ABS(MOD(ABS((L18*M18*revleg_full)),1)-0.5)&lt;1E-9,2*ROUND((L18*M18*revleg_full)/2,0),ROUND((L18*M18*revleg_full),0)))-(((battery/range_nm)*D18*IF(ABS(MOD(ABS((L18*M18*revleg_full)),1)-0.5)&lt;1E-9,2*ROUND((L18*M18*revleg_full)/2,0),ROUND((L18*M18*revleg_full),0))*VLOOKUP(B18,country_opex,3,FALSE))+W18+X18+Y18+Z18+AA18)))</f>
        <v/>
      </c>
      <c r="AY18" s="46" t="inlineStr">
        <is>
          <t>PREMIUM tier: high-season catamaran Dubrovnik-&gt;Korčula adult up to EUR 30 (TP Line/Krilo). EUR 30 x 1.08 = $32.4.</t>
        </is>
      </c>
      <c r="AZ18" s="46" t="n"/>
      <c r="BA18" s="34" t="n"/>
    </row>
    <row r="19">
      <c r="A19" s="31" t="inlineStr">
        <is>
          <t>Bolt Cyprus</t>
        </is>
      </c>
      <c r="B19" s="31" t="inlineStr">
        <is>
          <t>Cyprus</t>
        </is>
      </c>
      <c r="C19" s="32" t="inlineStr">
        <is>
          <t>Ayia Napa → Protaras</t>
        </is>
      </c>
      <c r="D19" s="33" t="n">
        <v>7</v>
      </c>
      <c r="E19" s="27" t="n">
        <v>32</v>
      </c>
      <c r="F19" s="34" t="inlineStr">
        <is>
          <t>T2</t>
        </is>
      </c>
      <c r="G19" s="34" t="inlineStr">
        <is>
          <t>med</t>
        </is>
      </c>
      <c r="H19" s="20" t="n">
        <v>1</v>
      </c>
      <c r="I19" s="35">
        <f>60*D19/cruise_kt</f>
        <v/>
      </c>
      <c r="J19" s="35">
        <f>IF(B19="South Korea",D19/korea_charge_range_nm*korea_full_range_charge_min,0)</f>
        <v/>
      </c>
      <c r="K19" s="35">
        <f>IF(B19="South Korea",I19+korea_turn_min+korea_dwell_min+J19,I19+turn_min+dwell_min)</f>
        <v/>
      </c>
      <c r="L19" s="36">
        <f>IF(B19="South Korea",FLOOR(60*korea_service_hr/K19,1),MIN(24,FLOOR(60*service_hr/K19,1)))</f>
        <v/>
      </c>
      <c r="M19" s="36">
        <f>IF(ABS(MOD(ABS((365*mech_uptime*H19)),1)-0.5)&lt;1E-9,2*ROUND((365*mech_uptime*H19)/2,0),ROUND((365*mech_uptime*H19),0))</f>
        <v/>
      </c>
      <c r="N19" s="37">
        <f>mech_uptime</f>
        <v/>
      </c>
      <c r="O19" s="37">
        <f>IF(AND(B19="South Korea",scenario="MID"),korea_mid_revleg,revleg_sel)</f>
        <v/>
      </c>
      <c r="P19" s="36">
        <f>IF(ABS(MOD(ABS((L19*M19*O19)),1)-0.5)&lt;1E-9,2*ROUND((L19*M19*O19)/2,0),ROUND((L19*M19*O19),0))</f>
        <v/>
      </c>
      <c r="Q19" s="37">
        <f>IF(AND(B19="South Korea",scenario="MID"),korea_mid_load,load_sel)</f>
        <v/>
      </c>
      <c r="R19" s="38">
        <f>pax_cap*Q19</f>
        <v/>
      </c>
      <c r="S19" s="36">
        <f>R19*P19</f>
        <v/>
      </c>
      <c r="T19" s="39">
        <f>E19*discount</f>
        <v/>
      </c>
      <c r="U19" s="40">
        <f>T19*S19</f>
        <v/>
      </c>
      <c r="V19" s="40">
        <f>(battery/range_nm)*D19*P19*VLOOKUP(B19,country_opex,3,FALSE)</f>
        <v/>
      </c>
      <c r="W19" s="40">
        <f>VLOOKUP(B19,country_opex,2,FALSE)*crew_factor</f>
        <v/>
      </c>
      <c r="X19" s="40">
        <f>VLOOKUP(B19,country_opex,5,FALSE)</f>
        <v/>
      </c>
      <c r="Y19" s="40">
        <f>maint</f>
        <v/>
      </c>
      <c r="Z19" s="40">
        <f>VLOOKUP(B19,country_opex,7,FALSE)*ins_pct</f>
        <v/>
      </c>
      <c r="AA19" s="40">
        <f>charge_berth</f>
        <v/>
      </c>
      <c r="AB19" s="40">
        <f>V19+W19+X19+Y19+Z19+AA19</f>
        <v/>
      </c>
      <c r="AC19" s="40">
        <f>VLOOKUP(B19,country_opex,7,FALSE)/dep_years</f>
        <v/>
      </c>
      <c r="AD19" s="40">
        <f>U19-AB19</f>
        <v/>
      </c>
      <c r="AE19" s="37">
        <f>IF(U19=0,"",AD19/U19)</f>
        <v/>
      </c>
      <c r="AF19" s="38">
        <f>IF(AD19&lt;=0,"",VLOOKUP(B19,country_opex,7,FALSE)/AD19)</f>
        <v/>
      </c>
      <c r="AG19" s="35">
        <f>((D19*P19/diesel_nmpg)*diesel_co2pg-(battery/range_nm)*D19*P19*VLOOKUP(B19,country_opex,4,FALSE))/1000</f>
        <v/>
      </c>
      <c r="AH19" s="33" t="n"/>
      <c r="AI19" s="34" t="n"/>
      <c r="AJ19" s="34" t="n"/>
      <c r="AK19" s="41" t="n">
        <v>0.1</v>
      </c>
      <c r="AL19" s="36">
        <f>IF(AH19="","",AH19*AK19)</f>
        <v/>
      </c>
      <c r="AM19" s="36">
        <f>IF(OR(AH19="",S19=0),"",MIN(IF(AU19="",9.9E+99,AU19),FLOOR(AL19/S19,1)))</f>
        <v/>
      </c>
      <c r="AN19" s="40">
        <f>IF(AM19="","",AM19*IF(ABS(MOD(ABS((U19)),1)-0.5)&lt;1E-9,2*ROUND((U19)/2,0),ROUND((U19),0)))</f>
        <v/>
      </c>
      <c r="AO19" s="38">
        <f>IF(OR(AH19="",S19=0),"",MIN(IF(AU19="",9.9E+99,AU19),AL19/S19))</f>
        <v/>
      </c>
      <c r="AP19" s="40">
        <f>IF(AO19="","",AO19*IF(B19="South Korea",IF(ABS(MOD(ABS((U19)),1)-0.5)&lt;1E-9,2*ROUND((U19)/2,0),ROUND((U19),0)),U19))</f>
        <v/>
      </c>
      <c r="AQ19" s="42" t="n"/>
      <c r="AR19" s="34" t="inlineStr">
        <is>
          <t>Estimated</t>
        </is>
      </c>
      <c r="AS19" s="43" t="n"/>
      <c r="AT19" s="43" t="n"/>
      <c r="AU19" s="44" t="n"/>
      <c r="AV19" s="45">
        <f>IF(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&lt;=0,"",VLOOKUP(B19,country_opex,7,FALSE)/((T19*pax_cap*load_thin*IF(ABS(MOD(ABS((L19*M19*revleg_thin)),1)-0.5)&lt;1E-9,2*ROUND((L19*M19*revleg_thin)/2,0),ROUND((L19*M19*revleg_thin),0)))-(((battery/range_nm)*D19*IF(ABS(MOD(ABS((L19*M19*revleg_thin)),1)-0.5)&lt;1E-9,2*ROUND((L19*M19*revleg_thin)/2,0),ROUND((L19*M19*revleg_thin),0))*VLOOKUP(B19,country_opex,3,FALSE))+W19+X19+Y19+Z19+AA19)))</f>
        <v/>
      </c>
      <c r="AW19" s="45">
        <f>IF(((T19*pax_cap*IF(B19="South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Korea",korea_mid_revleg,revleg_mid)),0))*VLOOKUP(B19,country_opex,3,FALSE))+W19+X19+Y19+Z19+AA19))&lt;=0,"",VLOOKUP(B19,country_opex,7,FALSE)/((T19*pax_cap*IF(B19="South Korea",korea_mid_load,load_mid)*IF(ABS(MOD(ABS((L19*M19*IF(B19="South Korea",korea_mid_revleg,revleg_mid))),1)-0.5)&lt;1E-9,2*ROUND((L19*M19*IF(B19="South Korea",korea_mid_revleg,revleg_mid))/2,0),ROUND((L19*M19*IF(B19="South Korea",korea_mid_revleg,revleg_mid)),0)))-(((battery/range_nm)*D19*IF(ABS(MOD(ABS((L19*M19*IF(B19="South Korea",korea_mid_revleg,revleg_mid))),1)-0.5)&lt;1E-9,2*ROUND((L19*M19*IF(B19="South Korea",korea_mid_revleg,revleg_mid))/2,0),ROUND((L19*M19*IF(B19="South Korea",korea_mid_revleg,revleg_mid)),0))*VLOOKUP(B19,country_opex,3,FALSE))+W19+X19+Y19+Z19+AA19)))</f>
        <v/>
      </c>
      <c r="AX19" s="45">
        <f>IF(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&lt;=0,"",VLOOKUP(B19,country_opex,7,FALSE)/((T19*pax_cap*load_full*IF(ABS(MOD(ABS((L19*M19*revleg_full)),1)-0.5)&lt;1E-9,2*ROUND((L19*M19*revleg_full)/2,0),ROUND((L19*M19*revleg_full),0)))-(((battery/range_nm)*D19*IF(ABS(MOD(ABS((L19*M19*revleg_full)),1)-0.5)&lt;1E-9,2*ROUND((L19*M19*revleg_full)/2,0),ROUND((L19*M19*revleg_full),0))*VLOOKUP(B19,country_opex,3,FALSE))+W19+X19+Y19+Z19+AA19)))</f>
        <v/>
      </c>
      <c r="AY19" s="46" t="inlineStr">
        <is>
          <t>PREMIUM tier (sea analogue) = scheduled Ayia Napa/Protaras Cape Greco cruise per-seat ~EUR 30/pax (~$32); semi-private EUR 99/pax (MedCruises) as charter context.</t>
        </is>
      </c>
      <c r="AZ19" s="46" t="n"/>
      <c r="BA19" s="34" t="n"/>
    </row>
    <row r="20">
      <c r="A20" s="31" t="inlineStr">
        <is>
          <t>Bolt Cyprus</t>
        </is>
      </c>
      <c r="B20" s="31" t="inlineStr">
        <is>
          <t>Cyprus</t>
        </is>
      </c>
      <c r="C20" s="32" t="inlineStr">
        <is>
          <t>Paphos Airport (PFO) → Paphos resorts (Coral Bay)</t>
        </is>
      </c>
      <c r="D20" s="33" t="n">
        <v>12</v>
      </c>
      <c r="E20" s="27" t="n">
        <v>32</v>
      </c>
      <c r="F20" s="34" t="inlineStr">
        <is>
          <t>T2</t>
        </is>
      </c>
      <c r="G20" s="34" t="inlineStr">
        <is>
          <t>med</t>
        </is>
      </c>
      <c r="H20" s="20" t="n">
        <v>1</v>
      </c>
      <c r="I20" s="35">
        <f>60*D20/cruise_kt</f>
        <v/>
      </c>
      <c r="J20" s="35">
        <f>IF(B20="South Korea",D20/korea_charge_range_nm*korea_full_range_charge_min,0)</f>
        <v/>
      </c>
      <c r="K20" s="35">
        <f>IF(B20="South Korea",I20+korea_turn_min+korea_dwell_min+J20,I20+turn_min+dwell_min)</f>
        <v/>
      </c>
      <c r="L20" s="36">
        <f>IF(B20="South Korea",FLOOR(60*korea_service_hr/K20,1),MIN(15,FLOOR(60*service_hr/K20,1)))</f>
        <v/>
      </c>
      <c r="M20" s="36">
        <f>IF(ABS(MOD(ABS((365*mech_uptime*H20)),1)-0.5)&lt;1E-9,2*ROUND((365*mech_uptime*H20)/2,0),ROUND((365*mech_uptime*H20),0))</f>
        <v/>
      </c>
      <c r="N20" s="37">
        <f>mech_uptime</f>
        <v/>
      </c>
      <c r="O20" s="37">
        <f>IF(AND(B20="South Korea",scenario="MID"),korea_mid_revleg,revleg_sel)</f>
        <v/>
      </c>
      <c r="P20" s="36">
        <f>IF(ABS(MOD(ABS((L20*M20*O20)),1)-0.5)&lt;1E-9,2*ROUND((L20*M20*O20)/2,0),ROUND((L20*M20*O20),0))</f>
        <v/>
      </c>
      <c r="Q20" s="37">
        <f>IF(AND(B20="South Korea",scenario="MID"),korea_mid_load,load_sel)</f>
        <v/>
      </c>
      <c r="R20" s="38">
        <f>pax_cap*Q20</f>
        <v/>
      </c>
      <c r="S20" s="36">
        <f>R20*P20</f>
        <v/>
      </c>
      <c r="T20" s="39">
        <f>E20*discount</f>
        <v/>
      </c>
      <c r="U20" s="40">
        <f>T20*S20</f>
        <v/>
      </c>
      <c r="V20" s="40">
        <f>(battery/range_nm)*D20*P20*VLOOKUP(B20,country_opex,3,FALSE)</f>
        <v/>
      </c>
      <c r="W20" s="40">
        <f>VLOOKUP(B20,country_opex,2,FALSE)*crew_factor</f>
        <v/>
      </c>
      <c r="X20" s="40">
        <f>VLOOKUP(B20,country_opex,5,FALSE)</f>
        <v/>
      </c>
      <c r="Y20" s="40">
        <f>maint</f>
        <v/>
      </c>
      <c r="Z20" s="40">
        <f>VLOOKUP(B20,country_opex,7,FALSE)*ins_pct</f>
        <v/>
      </c>
      <c r="AA20" s="40">
        <f>charge_berth</f>
        <v/>
      </c>
      <c r="AB20" s="40">
        <f>V20+W20+X20+Y20+Z20+AA20</f>
        <v/>
      </c>
      <c r="AC20" s="40">
        <f>VLOOKUP(B20,country_opex,7,FALSE)/dep_years</f>
        <v/>
      </c>
      <c r="AD20" s="40">
        <f>U20-AB20</f>
        <v/>
      </c>
      <c r="AE20" s="37">
        <f>IF(U20=0,"",AD20/U20)</f>
        <v/>
      </c>
      <c r="AF20" s="38">
        <f>IF(AD20&lt;=0,"",VLOOKUP(B20,country_opex,7,FALSE)/AD20)</f>
        <v/>
      </c>
      <c r="AG20" s="35">
        <f>((D20*P20/diesel_nmpg)*diesel_co2pg-(battery/range_nm)*D20*P20*VLOOKUP(B20,country_opex,4,FALSE))/1000</f>
        <v/>
      </c>
      <c r="AH20" s="33" t="n">
        <v>40000</v>
      </c>
      <c r="AI20" s="34" t="n"/>
      <c r="AJ20" s="34" t="n"/>
      <c r="AK20" s="41" t="n">
        <v>0.1</v>
      </c>
      <c r="AL20" s="36">
        <f>IF(AH20="","",AH20*AK20)</f>
        <v/>
      </c>
      <c r="AM20" s="36">
        <f>IF(OR(AH20="",S20=0),"",MIN(IF(AU20="",9.9E+99,AU20),FLOOR(AL20/S20,1)))</f>
        <v/>
      </c>
      <c r="AN20" s="40">
        <f>IF(AM20="","",AM20*IF(ABS(MOD(ABS((U20)),1)-0.5)&lt;1E-9,2*ROUND((U20)/2,0),ROUND((U20),0)))</f>
        <v/>
      </c>
      <c r="AO20" s="38">
        <f>IF(OR(AH20="",S20=0),"",MIN(IF(AU20="",9.9E+99,AU20),AL20/S20))</f>
        <v/>
      </c>
      <c r="AP20" s="40">
        <f>IF(AO20="","",AO20*IF(B20="South Korea",IF(ABS(MOD(ABS((U20)),1)-0.5)&lt;1E-9,2*ROUND((U20)/2,0),ROUND((U20),0)),U20))</f>
        <v/>
      </c>
      <c r="AQ20" s="42" t="n"/>
      <c r="AR20" s="34" t="inlineStr">
        <is>
          <t>Estimated</t>
        </is>
      </c>
      <c r="AS20" s="43" t="n"/>
      <c r="AT20" s="43" t="n"/>
      <c r="AU20" s="44" t="n"/>
      <c r="AV20" s="45">
        <f>IF(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&lt;=0,"",VLOOKUP(B20,country_opex,7,FALSE)/((T20*pax_cap*load_thin*IF(ABS(MOD(ABS((L20*M20*revleg_thin)),1)-0.5)&lt;1E-9,2*ROUND((L20*M20*revleg_thin)/2,0),ROUND((L20*M20*revleg_thin),0)))-(((battery/range_nm)*D20*IF(ABS(MOD(ABS((L20*M20*revleg_thin)),1)-0.5)&lt;1E-9,2*ROUND((L20*M20*revleg_thin)/2,0),ROUND((L20*M20*revleg_thin),0))*VLOOKUP(B20,country_opex,3,FALSE))+W20+X20+Y20+Z20+AA20)))</f>
        <v/>
      </c>
      <c r="AW20" s="45">
        <f>IF(((T20*pax_cap*IF(B20="South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Korea",korea_mid_revleg,revleg_mid)),0))*VLOOKUP(B20,country_opex,3,FALSE))+W20+X20+Y20+Z20+AA20))&lt;=0,"",VLOOKUP(B20,country_opex,7,FALSE)/((T20*pax_cap*IF(B20="South Korea",korea_mid_load,load_mid)*IF(ABS(MOD(ABS((L20*M20*IF(B20="South Korea",korea_mid_revleg,revleg_mid))),1)-0.5)&lt;1E-9,2*ROUND((L20*M20*IF(B20="South Korea",korea_mid_revleg,revleg_mid))/2,0),ROUND((L20*M20*IF(B20="South Korea",korea_mid_revleg,revleg_mid)),0)))-(((battery/range_nm)*D20*IF(ABS(MOD(ABS((L20*M20*IF(B20="South Korea",korea_mid_revleg,revleg_mid))),1)-0.5)&lt;1E-9,2*ROUND((L20*M20*IF(B20="South Korea",korea_mid_revleg,revleg_mid))/2,0),ROUND((L20*M20*IF(B20="South Korea",korea_mid_revleg,revleg_mid)),0))*VLOOKUP(B20,country_opex,3,FALSE))+W20+X20+Y20+Z20+AA20)))</f>
        <v/>
      </c>
      <c r="AX20" s="45">
        <f>IF(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&lt;=0,"",VLOOKUP(B20,country_opex,7,FALSE)/((T20*pax_cap*load_full*IF(ABS(MOD(ABS((L20*M20*revleg_full)),1)-0.5)&lt;1E-9,2*ROUND((L20*M20*revleg_full)/2,0),ROUND((L20*M20*revleg_full),0)))-(((battery/range_nm)*D20*IF(ABS(MOD(ABS((L20*M20*revleg_full)),1)-0.5)&lt;1E-9,2*ROUND((L20*M20*revleg_full)/2,0),ROUND((L20*M20*revleg_full),0))*VLOOKUP(B20,country_opex,3,FALSE))+W20+X20+Y20+Z20+AA20)))</f>
        <v/>
      </c>
      <c r="AY20" s="46" t="inlineStr">
        <is>
          <t>PREMIUM tier (sea analogue) = Paphos Harbour scheduled sea-cruise / glass-bottom-boat per-seat ~EUR 30/pax (~$32); premium shared road transfer PFO&lt;-&gt;Paphos ~EUR 20-30 as cross-check.</t>
        </is>
      </c>
      <c r="AZ20" s="46" t="n"/>
      <c r="BA20" s="34" t="n"/>
    </row>
    <row r="21">
      <c r="A21" s="31" t="inlineStr">
        <is>
          <t>Bolt Cyprus</t>
        </is>
      </c>
      <c r="B21" s="31" t="inlineStr">
        <is>
          <t>Cyprus</t>
        </is>
      </c>
      <c r="C21" s="32" t="inlineStr">
        <is>
          <t>Larnaca → Ayia Napa</t>
        </is>
      </c>
      <c r="D21" s="33" t="n">
        <v>19</v>
      </c>
      <c r="E21" s="27" t="n">
        <v>32</v>
      </c>
      <c r="F21" s="34" t="inlineStr">
        <is>
          <t>T2</t>
        </is>
      </c>
      <c r="G21" s="34" t="inlineStr">
        <is>
          <t>med</t>
        </is>
      </c>
      <c r="H21" s="20" t="n">
        <v>1</v>
      </c>
      <c r="I21" s="35">
        <f>60*D21/cruise_kt</f>
        <v/>
      </c>
      <c r="J21" s="35">
        <f>IF(B21="South Korea",D21/korea_charge_range_nm*korea_full_range_charge_min,0)</f>
        <v/>
      </c>
      <c r="K21" s="35">
        <f>IF(B21="South Korea",I21+korea_turn_min+korea_dwell_min+J21,I21+turn_min+dwell_min)</f>
        <v/>
      </c>
      <c r="L21" s="36">
        <f>IF(B21="South Korea",FLOOR(60*korea_service_hr/K21,1),MIN(24,FLOOR(60*service_hr/K21,1)))</f>
        <v/>
      </c>
      <c r="M21" s="36">
        <f>IF(ABS(MOD(ABS((365*mech_uptime*H21)),1)-0.5)&lt;1E-9,2*ROUND((365*mech_uptime*H21)/2,0),ROUND((365*mech_uptime*H21),0))</f>
        <v/>
      </c>
      <c r="N21" s="37">
        <f>mech_uptime</f>
        <v/>
      </c>
      <c r="O21" s="37">
        <f>IF(AND(B21="South Korea",scenario="MID"),korea_mid_revleg,revleg_sel)</f>
        <v/>
      </c>
      <c r="P21" s="36">
        <f>IF(ABS(MOD(ABS((L21*M21*O21)),1)-0.5)&lt;1E-9,2*ROUND((L21*M21*O21)/2,0),ROUND((L21*M21*O21),0))</f>
        <v/>
      </c>
      <c r="Q21" s="37">
        <f>IF(AND(B21="South Korea",scenario="MID"),korea_mid_load,load_sel)</f>
        <v/>
      </c>
      <c r="R21" s="38">
        <f>pax_cap*Q21</f>
        <v/>
      </c>
      <c r="S21" s="36">
        <f>R21*P21</f>
        <v/>
      </c>
      <c r="T21" s="39">
        <f>E21*discount</f>
        <v/>
      </c>
      <c r="U21" s="40">
        <f>T21*S21</f>
        <v/>
      </c>
      <c r="V21" s="40">
        <f>(battery/range_nm)*D21*P21*VLOOKUP(B21,country_opex,3,FALSE)</f>
        <v/>
      </c>
      <c r="W21" s="40">
        <f>VLOOKUP(B21,country_opex,2,FALSE)*crew_factor</f>
        <v/>
      </c>
      <c r="X21" s="40">
        <f>VLOOKUP(B21,country_opex,5,FALSE)</f>
        <v/>
      </c>
      <c r="Y21" s="40">
        <f>maint</f>
        <v/>
      </c>
      <c r="Z21" s="40">
        <f>VLOOKUP(B21,country_opex,7,FALSE)*ins_pct</f>
        <v/>
      </c>
      <c r="AA21" s="40">
        <f>charge_berth</f>
        <v/>
      </c>
      <c r="AB21" s="40">
        <f>V21+W21+X21+Y21+Z21+AA21</f>
        <v/>
      </c>
      <c r="AC21" s="40">
        <f>VLOOKUP(B21,country_opex,7,FALSE)/dep_years</f>
        <v/>
      </c>
      <c r="AD21" s="40">
        <f>U21-AB21</f>
        <v/>
      </c>
      <c r="AE21" s="37">
        <f>IF(U21=0,"",AD21/U21)</f>
        <v/>
      </c>
      <c r="AF21" s="38">
        <f>IF(AD21&lt;=0,"",VLOOKUP(B21,country_opex,7,FALSE)/AD21)</f>
        <v/>
      </c>
      <c r="AG21" s="35">
        <f>((D21*P21/diesel_nmpg)*diesel_co2pg-(battery/range_nm)*D21*P21*VLOOKUP(B21,country_opex,4,FALSE))/1000</f>
        <v/>
      </c>
      <c r="AH21" s="33" t="n"/>
      <c r="AI21" s="34" t="n"/>
      <c r="AJ21" s="34" t="n"/>
      <c r="AK21" s="41" t="n">
        <v>0.1</v>
      </c>
      <c r="AL21" s="36">
        <f>IF(AH21="","",AH21*AK21)</f>
        <v/>
      </c>
      <c r="AM21" s="36">
        <f>IF(OR(AH21="",S21=0),"",MIN(IF(AU21="",9.9E+99,AU21),FLOOR(AL21/S21,1)))</f>
        <v/>
      </c>
      <c r="AN21" s="40">
        <f>IF(AM21="","",AM21*IF(ABS(MOD(ABS((U21)),1)-0.5)&lt;1E-9,2*ROUND((U21)/2,0),ROUND((U21),0)))</f>
        <v/>
      </c>
      <c r="AO21" s="38">
        <f>IF(OR(AH21="",S21=0),"",MIN(IF(AU21="",9.9E+99,AU21),AL21/S21))</f>
        <v/>
      </c>
      <c r="AP21" s="40">
        <f>IF(AO21="","",AO21*IF(B21="South Korea",IF(ABS(MOD(ABS((U21)),1)-0.5)&lt;1E-9,2*ROUND((U21)/2,0),ROUND((U21),0)),U21))</f>
        <v/>
      </c>
      <c r="AQ21" s="42" t="n"/>
      <c r="AR21" s="34" t="inlineStr">
        <is>
          <t>Estimated</t>
        </is>
      </c>
      <c r="AS21" s="43" t="n"/>
      <c r="AT21" s="43" t="n"/>
      <c r="AU21" s="44" t="n"/>
      <c r="AV21" s="45">
        <f>IF(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&lt;=0,"",VLOOKUP(B21,country_opex,7,FALSE)/((T21*pax_cap*load_thin*IF(ABS(MOD(ABS((L21*M21*revleg_thin)),1)-0.5)&lt;1E-9,2*ROUND((L21*M21*revleg_thin)/2,0),ROUND((L21*M21*revleg_thin),0)))-(((battery/range_nm)*D21*IF(ABS(MOD(ABS((L21*M21*revleg_thin)),1)-0.5)&lt;1E-9,2*ROUND((L21*M21*revleg_thin)/2,0),ROUND((L21*M21*revleg_thin),0))*VLOOKUP(B21,country_opex,3,FALSE))+W21+X21+Y21+Z21+AA21)))</f>
        <v/>
      </c>
      <c r="AW21" s="45">
        <f>IF(((T21*pax_cap*IF(B21="South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Korea",korea_mid_revleg,revleg_mid)),0))*VLOOKUP(B21,country_opex,3,FALSE))+W21+X21+Y21+Z21+AA21))&lt;=0,"",VLOOKUP(B21,country_opex,7,FALSE)/((T21*pax_cap*IF(B21="South Korea",korea_mid_load,load_mid)*IF(ABS(MOD(ABS((L21*M21*IF(B21="South Korea",korea_mid_revleg,revleg_mid))),1)-0.5)&lt;1E-9,2*ROUND((L21*M21*IF(B21="South Korea",korea_mid_revleg,revleg_mid))/2,0),ROUND((L21*M21*IF(B21="South Korea",korea_mid_revleg,revleg_mid)),0)))-(((battery/range_nm)*D21*IF(ABS(MOD(ABS((L21*M21*IF(B21="South Korea",korea_mid_revleg,revleg_mid))),1)-0.5)&lt;1E-9,2*ROUND((L21*M21*IF(B21="South Korea",korea_mid_revleg,revleg_mid))/2,0),ROUND((L21*M21*IF(B21="South Korea",korea_mid_revleg,revleg_mid)),0))*VLOOKUP(B21,country_opex,3,FALSE))+W21+X21+Y21+Z21+AA21)))</f>
        <v/>
      </c>
      <c r="AX21" s="45">
        <f>IF(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&lt;=0,"",VLOOKUP(B21,country_opex,7,FALSE)/((T21*pax_cap*load_full*IF(ABS(MOD(ABS((L21*M21*revleg_full)),1)-0.5)&lt;1E-9,2*ROUND((L21*M21*revleg_full)/2,0),ROUND((L21*M21*revleg_full),0)))-(((battery/range_nm)*D21*IF(ABS(MOD(ABS((L21*M21*revleg_full)),1)-0.5)&lt;1E-9,2*ROUND((L21*M21*revleg_full)/2,0),ROUND((L21*M21*revleg_full),0))*VLOOKUP(B21,country_opex,3,FALSE))+W21+X21+Y21+Z21+AA21)))</f>
        <v/>
      </c>
      <c r="AY21" s="46" t="inlineStr">
        <is>
          <t>PREMIUM tier (sea analogue) = scheduled Ayia Napa leisure sea-cruise per-seat EUR 25-35/pax (e.g. 'The Cyprus Boat' EUR 25-35; loveayianapa cruise EUR 20); EUR 30 mid x 1.08 = ~$32/seat. Semi-private charter EUR 99/pax (MedCruises) recorded as charter context, not the modeled tier.</t>
        </is>
      </c>
      <c r="AZ21" s="46" t="n"/>
      <c r="BA21" s="34" t="n"/>
    </row>
    <row r="22">
      <c r="A22" s="31" t="inlineStr">
        <is>
          <t>Bolt Cyprus</t>
        </is>
      </c>
      <c r="B22" s="31" t="inlineStr">
        <is>
          <t>Cyprus</t>
        </is>
      </c>
      <c r="C22" s="32" t="inlineStr">
        <is>
          <t>Larnaca Airport (LCA) → Ayia Napa</t>
        </is>
      </c>
      <c r="D22" s="33" t="n">
        <v>20</v>
      </c>
      <c r="E22" s="27" t="n">
        <v>38</v>
      </c>
      <c r="F22" s="34" t="inlineStr">
        <is>
          <t>T2</t>
        </is>
      </c>
      <c r="G22" s="34" t="inlineStr">
        <is>
          <t>med</t>
        </is>
      </c>
      <c r="H22" s="20" t="n">
        <v>1</v>
      </c>
      <c r="I22" s="35">
        <f>60*D22/cruise_kt</f>
        <v/>
      </c>
      <c r="J22" s="35">
        <f>IF(B22="South Korea",D22/korea_charge_range_nm*korea_full_range_charge_min,0)</f>
        <v/>
      </c>
      <c r="K22" s="35">
        <f>IF(B22="South Korea",I22+korea_turn_min+korea_dwell_min+J22,I22+turn_min+dwell_min)</f>
        <v/>
      </c>
      <c r="L22" s="36">
        <f>IF(B22="South Korea",FLOOR(60*korea_service_hr/K22,1),MIN(15,FLOOR(60*service_hr/K22,1)))</f>
        <v/>
      </c>
      <c r="M22" s="36">
        <f>IF(ABS(MOD(ABS((365*mech_uptime*H22)),1)-0.5)&lt;1E-9,2*ROUND((365*mech_uptime*H22)/2,0),ROUND((365*mech_uptime*H22),0))</f>
        <v/>
      </c>
      <c r="N22" s="37">
        <f>mech_uptime</f>
        <v/>
      </c>
      <c r="O22" s="37">
        <f>IF(AND(B22="South Korea",scenario="MID"),korea_mid_revleg,revleg_sel)</f>
        <v/>
      </c>
      <c r="P22" s="36">
        <f>IF(ABS(MOD(ABS((L22*M22*O22)),1)-0.5)&lt;1E-9,2*ROUND((L22*M22*O22)/2,0),ROUND((L22*M22*O22),0))</f>
        <v/>
      </c>
      <c r="Q22" s="37">
        <f>IF(AND(B22="South Korea",scenario="MID"),korea_mid_load,load_sel)</f>
        <v/>
      </c>
      <c r="R22" s="38">
        <f>pax_cap*Q22</f>
        <v/>
      </c>
      <c r="S22" s="36">
        <f>R22*P22</f>
        <v/>
      </c>
      <c r="T22" s="39">
        <f>E22*discount</f>
        <v/>
      </c>
      <c r="U22" s="40">
        <f>T22*S22</f>
        <v/>
      </c>
      <c r="V22" s="40">
        <f>(battery/range_nm)*D22*P22*VLOOKUP(B22,country_opex,3,FALSE)</f>
        <v/>
      </c>
      <c r="W22" s="40">
        <f>VLOOKUP(B22,country_opex,2,FALSE)*crew_factor</f>
        <v/>
      </c>
      <c r="X22" s="40">
        <f>VLOOKUP(B22,country_opex,5,FALSE)</f>
        <v/>
      </c>
      <c r="Y22" s="40">
        <f>maint</f>
        <v/>
      </c>
      <c r="Z22" s="40">
        <f>VLOOKUP(B22,country_opex,7,FALSE)*ins_pct</f>
        <v/>
      </c>
      <c r="AA22" s="40">
        <f>charge_berth</f>
        <v/>
      </c>
      <c r="AB22" s="40">
        <f>V22+W22+X22+Y22+Z22+AA22</f>
        <v/>
      </c>
      <c r="AC22" s="40">
        <f>VLOOKUP(B22,country_opex,7,FALSE)/dep_years</f>
        <v/>
      </c>
      <c r="AD22" s="40">
        <f>U22-AB22</f>
        <v/>
      </c>
      <c r="AE22" s="37">
        <f>IF(U22=0,"",AD22/U22)</f>
        <v/>
      </c>
      <c r="AF22" s="38">
        <f>IF(AD22&lt;=0,"",VLOOKUP(B22,country_opex,7,FALSE)/AD22)</f>
        <v/>
      </c>
      <c r="AG22" s="35">
        <f>((D22*P22/diesel_nmpg)*diesel_co2pg-(battery/range_nm)*D22*P22*VLOOKUP(B22,country_opex,4,FALSE))/1000</f>
        <v/>
      </c>
      <c r="AH22" s="33" t="n">
        <v>28000</v>
      </c>
      <c r="AI22" s="34" t="n"/>
      <c r="AJ22" s="34" t="n"/>
      <c r="AK22" s="41" t="n">
        <v>0.1</v>
      </c>
      <c r="AL22" s="36">
        <f>IF(AH22="","",AH22*AK22)</f>
        <v/>
      </c>
      <c r="AM22" s="36">
        <f>IF(OR(AH22="",S22=0),"",MIN(IF(AU22="",9.9E+99,AU22),FLOOR(AL22/S22,1)))</f>
        <v/>
      </c>
      <c r="AN22" s="40">
        <f>IF(AM22="","",AM22*IF(ABS(MOD(ABS((U22)),1)-0.5)&lt;1E-9,2*ROUND((U22)/2,0),ROUND((U22),0)))</f>
        <v/>
      </c>
      <c r="AO22" s="38">
        <f>IF(OR(AH22="",S22=0),"",MIN(IF(AU22="",9.9E+99,AU22),AL22/S22))</f>
        <v/>
      </c>
      <c r="AP22" s="40">
        <f>IF(AO22="","",AO22*IF(B22="South Korea",IF(ABS(MOD(ABS((U22)),1)-0.5)&lt;1E-9,2*ROUND((U22)/2,0),ROUND((U22),0)),U22))</f>
        <v/>
      </c>
      <c r="AQ22" s="42" t="n"/>
      <c r="AR22" s="34" t="inlineStr">
        <is>
          <t>Estimated</t>
        </is>
      </c>
      <c r="AS22" s="43" t="n"/>
      <c r="AT22" s="43" t="n"/>
      <c r="AU22" s="44" t="n"/>
      <c r="AV22" s="45">
        <f>IF(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&lt;=0,"",VLOOKUP(B22,country_opex,7,FALSE)/((T22*pax_cap*load_thin*IF(ABS(MOD(ABS((L22*M22*revleg_thin)),1)-0.5)&lt;1E-9,2*ROUND((L22*M22*revleg_thin)/2,0),ROUND((L22*M22*revleg_thin),0)))-(((battery/range_nm)*D22*IF(ABS(MOD(ABS((L22*M22*revleg_thin)),1)-0.5)&lt;1E-9,2*ROUND((L22*M22*revleg_thin)/2,0),ROUND((L22*M22*revleg_thin),0))*VLOOKUP(B22,country_opex,3,FALSE))+W22+X22+Y22+Z22+AA22)))</f>
        <v/>
      </c>
      <c r="AW22" s="45">
        <f>IF(((T22*pax_cap*IF(B22="South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Korea",korea_mid_revleg,revleg_mid)),0))*VLOOKUP(B22,country_opex,3,FALSE))+W22+X22+Y22+Z22+AA22))&lt;=0,"",VLOOKUP(B22,country_opex,7,FALSE)/((T22*pax_cap*IF(B22="South Korea",korea_mid_load,load_mid)*IF(ABS(MOD(ABS((L22*M22*IF(B22="South Korea",korea_mid_revleg,revleg_mid))),1)-0.5)&lt;1E-9,2*ROUND((L22*M22*IF(B22="South Korea",korea_mid_revleg,revleg_mid))/2,0),ROUND((L22*M22*IF(B22="South Korea",korea_mid_revleg,revleg_mid)),0)))-(((battery/range_nm)*D22*IF(ABS(MOD(ABS((L22*M22*IF(B22="South Korea",korea_mid_revleg,revleg_mid))),1)-0.5)&lt;1E-9,2*ROUND((L22*M22*IF(B22="South Korea",korea_mid_revleg,revleg_mid))/2,0),ROUND((L22*M22*IF(B22="South Korea",korea_mid_revleg,revleg_mid)),0))*VLOOKUP(B22,country_opex,3,FALSE))+W22+X22+Y22+Z22+AA22)))</f>
        <v/>
      </c>
      <c r="AX22" s="45">
        <f>IF(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&lt;=0,"",VLOOKUP(B22,country_opex,7,FALSE)/((T22*pax_cap*load_full*IF(ABS(MOD(ABS((L22*M22*revleg_full)),1)-0.5)&lt;1E-9,2*ROUND((L22*M22*revleg_full)/2,0),ROUND((L22*M22*revleg_full),0)))-(((battery/range_nm)*D22*IF(ABS(MOD(ABS((L22*M22*revleg_full)),1)-0.5)&lt;1E-9,2*ROUND((L22*M22*revleg_full)/2,0),ROUND((L22*M22*revleg_full),0))*VLOOKUP(B22,country_opex,3,FALSE))+W22+X22+Y22+Z22+AA22)))</f>
        <v/>
      </c>
      <c r="AY22" s="46" t="inlineStr">
        <is>
          <t>PREMIUM tier = premium shared airport transfer LCA&lt;-&gt;Ayia Napa EUR 30-40 each way (Rome2Rio 'fastest, EUR 30-40, 41 min'); EUR 35 mid x 1.08 = ~$38/seat. Closest road analogue to a premium per-seat sea transfer.</t>
        </is>
      </c>
      <c r="AZ22" s="46" t="n"/>
      <c r="BA22" s="34" t="n"/>
    </row>
    <row r="23">
      <c r="A23" s="31" t="inlineStr">
        <is>
          <t>Bolt Cyprus</t>
        </is>
      </c>
      <c r="B23" s="31" t="inlineStr">
        <is>
          <t>Cyprus</t>
        </is>
      </c>
      <c r="C23" s="32" t="inlineStr">
        <is>
          <t>Larnaca → Protaras</t>
        </is>
      </c>
      <c r="D23" s="33" t="n">
        <v>23</v>
      </c>
      <c r="E23" s="27" t="n">
        <v>32</v>
      </c>
      <c r="F23" s="34" t="inlineStr">
        <is>
          <t>T2</t>
        </is>
      </c>
      <c r="G23" s="34" t="inlineStr">
        <is>
          <t>med</t>
        </is>
      </c>
      <c r="H23" s="20" t="n">
        <v>1</v>
      </c>
      <c r="I23" s="35">
        <f>60*D23/cruise_kt</f>
        <v/>
      </c>
      <c r="J23" s="35">
        <f>IF(B23="South Korea",D23/korea_charge_range_nm*korea_full_range_charge_min,0)</f>
        <v/>
      </c>
      <c r="K23" s="35">
        <f>IF(B23="South Korea",I23+korea_turn_min+korea_dwell_min+J23,I23+turn_min+dwell_min)</f>
        <v/>
      </c>
      <c r="L23" s="36">
        <f>IF(B23="South Korea",FLOOR(60*korea_service_hr/K23,1),MIN(24,FLOOR(60*service_hr/K23,1)))</f>
        <v/>
      </c>
      <c r="M23" s="36">
        <f>IF(ABS(MOD(ABS((365*mech_uptime*H23)),1)-0.5)&lt;1E-9,2*ROUND((365*mech_uptime*H23)/2,0),ROUND((365*mech_uptime*H23),0))</f>
        <v/>
      </c>
      <c r="N23" s="37">
        <f>mech_uptime</f>
        <v/>
      </c>
      <c r="O23" s="37">
        <f>IF(AND(B23="South Korea",scenario="MID"),korea_mid_revleg,revleg_sel)</f>
        <v/>
      </c>
      <c r="P23" s="36">
        <f>IF(ABS(MOD(ABS((L23*M23*O23)),1)-0.5)&lt;1E-9,2*ROUND((L23*M23*O23)/2,0),ROUND((L23*M23*O23),0))</f>
        <v/>
      </c>
      <c r="Q23" s="37">
        <f>IF(AND(B23="South Korea",scenario="MID"),korea_mid_load,load_sel)</f>
        <v/>
      </c>
      <c r="R23" s="38">
        <f>pax_cap*Q23</f>
        <v/>
      </c>
      <c r="S23" s="36">
        <f>R23*P23</f>
        <v/>
      </c>
      <c r="T23" s="39">
        <f>E23*discount</f>
        <v/>
      </c>
      <c r="U23" s="40">
        <f>T23*S23</f>
        <v/>
      </c>
      <c r="V23" s="40">
        <f>(battery/range_nm)*D23*P23*VLOOKUP(B23,country_opex,3,FALSE)</f>
        <v/>
      </c>
      <c r="W23" s="40">
        <f>VLOOKUP(B23,country_opex,2,FALSE)*crew_factor</f>
        <v/>
      </c>
      <c r="X23" s="40">
        <f>VLOOKUP(B23,country_opex,5,FALSE)</f>
        <v/>
      </c>
      <c r="Y23" s="40">
        <f>maint</f>
        <v/>
      </c>
      <c r="Z23" s="40">
        <f>VLOOKUP(B23,country_opex,7,FALSE)*ins_pct</f>
        <v/>
      </c>
      <c r="AA23" s="40">
        <f>charge_berth</f>
        <v/>
      </c>
      <c r="AB23" s="40">
        <f>V23+W23+X23+Y23+Z23+AA23</f>
        <v/>
      </c>
      <c r="AC23" s="40">
        <f>VLOOKUP(B23,country_opex,7,FALSE)/dep_years</f>
        <v/>
      </c>
      <c r="AD23" s="40">
        <f>U23-AB23</f>
        <v/>
      </c>
      <c r="AE23" s="37">
        <f>IF(U23=0,"",AD23/U23)</f>
        <v/>
      </c>
      <c r="AF23" s="38">
        <f>IF(AD23&lt;=0,"",VLOOKUP(B23,country_opex,7,FALSE)/AD23)</f>
        <v/>
      </c>
      <c r="AG23" s="35">
        <f>((D23*P23/diesel_nmpg)*diesel_co2pg-(battery/range_nm)*D23*P23*VLOOKUP(B23,country_opex,4,FALSE))/1000</f>
        <v/>
      </c>
      <c r="AH23" s="33" t="n"/>
      <c r="AI23" s="34" t="n"/>
      <c r="AJ23" s="34" t="n"/>
      <c r="AK23" s="41" t="n">
        <v>0.1</v>
      </c>
      <c r="AL23" s="36">
        <f>IF(AH23="","",AH23*AK23)</f>
        <v/>
      </c>
      <c r="AM23" s="36">
        <f>IF(OR(AH23="",S23=0),"",MIN(IF(AU23="",9.9E+99,AU23),FLOOR(AL23/S23,1)))</f>
        <v/>
      </c>
      <c r="AN23" s="40">
        <f>IF(AM23="","",AM23*IF(ABS(MOD(ABS((U23)),1)-0.5)&lt;1E-9,2*ROUND((U23)/2,0),ROUND((U23),0)))</f>
        <v/>
      </c>
      <c r="AO23" s="38">
        <f>IF(OR(AH23="",S23=0),"",MIN(IF(AU23="",9.9E+99,AU23),AL23/S23))</f>
        <v/>
      </c>
      <c r="AP23" s="40">
        <f>IF(AO23="","",AO23*IF(B23="South Korea",IF(ABS(MOD(ABS((U23)),1)-0.5)&lt;1E-9,2*ROUND((U23)/2,0),ROUND((U23),0)),U23))</f>
        <v/>
      </c>
      <c r="AQ23" s="42" t="n"/>
      <c r="AR23" s="34" t="inlineStr">
        <is>
          <t>Estimated</t>
        </is>
      </c>
      <c r="AS23" s="43" t="n"/>
      <c r="AT23" s="43" t="n"/>
      <c r="AU23" s="44" t="n"/>
      <c r="AV23" s="45">
        <f>IF(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&lt;=0,"",VLOOKUP(B23,country_opex,7,FALSE)/((T23*pax_cap*load_thin*IF(ABS(MOD(ABS((L23*M23*revleg_thin)),1)-0.5)&lt;1E-9,2*ROUND((L23*M23*revleg_thin)/2,0),ROUND((L23*M23*revleg_thin),0)))-(((battery/range_nm)*D23*IF(ABS(MOD(ABS((L23*M23*revleg_thin)),1)-0.5)&lt;1E-9,2*ROUND((L23*M23*revleg_thin)/2,0),ROUND((L23*M23*revleg_thin),0))*VLOOKUP(B23,country_opex,3,FALSE))+W23+X23+Y23+Z23+AA23)))</f>
        <v/>
      </c>
      <c r="AW23" s="45">
        <f>IF(((T23*pax_cap*IF(B23="South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Korea",korea_mid_revleg,revleg_mid)),0))*VLOOKUP(B23,country_opex,3,FALSE))+W23+X23+Y23+Z23+AA23))&lt;=0,"",VLOOKUP(B23,country_opex,7,FALSE)/((T23*pax_cap*IF(B23="South Korea",korea_mid_load,load_mid)*IF(ABS(MOD(ABS((L23*M23*IF(B23="South Korea",korea_mid_revleg,revleg_mid))),1)-0.5)&lt;1E-9,2*ROUND((L23*M23*IF(B23="South Korea",korea_mid_revleg,revleg_mid))/2,0),ROUND((L23*M23*IF(B23="South Korea",korea_mid_revleg,revleg_mid)),0)))-(((battery/range_nm)*D23*IF(ABS(MOD(ABS((L23*M23*IF(B23="South Korea",korea_mid_revleg,revleg_mid))),1)-0.5)&lt;1E-9,2*ROUND((L23*M23*IF(B23="South Korea",korea_mid_revleg,revleg_mid))/2,0),ROUND((L23*M23*IF(B23="South Korea",korea_mid_revleg,revleg_mid)),0))*VLOOKUP(B23,country_opex,3,FALSE))+W23+X23+Y23+Z23+AA23)))</f>
        <v/>
      </c>
      <c r="AX23" s="45">
        <f>IF(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&lt;=0,"",VLOOKUP(B23,country_opex,7,FALSE)/((T23*pax_cap*load_full*IF(ABS(MOD(ABS((L23*M23*revleg_full)),1)-0.5)&lt;1E-9,2*ROUND((L23*M23*revleg_full)/2,0),ROUND((L23*M23*revleg_full),0)))-(((battery/range_nm)*D23*IF(ABS(MOD(ABS((L23*M23*revleg_full)),1)-0.5)&lt;1E-9,2*ROUND((L23*M23*revleg_full)/2,0),ROUND((L23*M23*revleg_full),0))*VLOOKUP(B23,country_opex,3,FALSE))+W23+X23+Y23+Z23+AA23)))</f>
        <v/>
      </c>
      <c r="AY23" s="46" t="inlineStr">
        <is>
          <t>PREMIUM tier (sea analogue) = Protaras/Ayia Napa scheduled sea-cruise per-seat ~EUR 30/pax (~$32). Yellow Boat Cruises / semi-private EUR 99 as charter context.</t>
        </is>
      </c>
      <c r="AZ23" s="46" t="n"/>
      <c r="BA23" s="34" t="n"/>
    </row>
    <row r="24">
      <c r="A24" s="31" t="inlineStr">
        <is>
          <t>Bolt Cyprus</t>
        </is>
      </c>
      <c r="B24" s="31" t="inlineStr">
        <is>
          <t>Cyprus</t>
        </is>
      </c>
      <c r="C24" s="32" t="inlineStr">
        <is>
          <t>Limassol Marina → Larnaca Marina</t>
        </is>
      </c>
      <c r="D24" s="33" t="n">
        <v>35</v>
      </c>
      <c r="E24" s="27" t="n">
        <v>38</v>
      </c>
      <c r="F24" s="34" t="inlineStr">
        <is>
          <t>T2</t>
        </is>
      </c>
      <c r="G24" s="34" t="inlineStr">
        <is>
          <t>med</t>
        </is>
      </c>
      <c r="H24" s="20" t="n">
        <v>1</v>
      </c>
      <c r="I24" s="35">
        <f>60*D24/cruise_kt</f>
        <v/>
      </c>
      <c r="J24" s="35">
        <f>IF(B24="South Korea",D24/korea_charge_range_nm*korea_full_range_charge_min,0)</f>
        <v/>
      </c>
      <c r="K24" s="35">
        <f>IF(B24="South Korea",I24+korea_turn_min+korea_dwell_min+J24,I24+turn_min+dwell_min)</f>
        <v/>
      </c>
      <c r="L24" s="36">
        <f>IF(B24="South Korea",FLOOR(60*korea_service_hr/K24,1),MIN(15,FLOOR(60*service_hr/K24,1)))</f>
        <v/>
      </c>
      <c r="M24" s="36">
        <f>IF(ABS(MOD(ABS((365*mech_uptime*H24)),1)-0.5)&lt;1E-9,2*ROUND((365*mech_uptime*H24)/2,0),ROUND((365*mech_uptime*H24),0))</f>
        <v/>
      </c>
      <c r="N24" s="37">
        <f>mech_uptime</f>
        <v/>
      </c>
      <c r="O24" s="37">
        <f>IF(AND(B24="South Korea",scenario="MID"),korea_mid_revleg,revleg_sel)</f>
        <v/>
      </c>
      <c r="P24" s="36">
        <f>IF(ABS(MOD(ABS((L24*M24*O24)),1)-0.5)&lt;1E-9,2*ROUND((L24*M24*O24)/2,0),ROUND((L24*M24*O24),0))</f>
        <v/>
      </c>
      <c r="Q24" s="37">
        <f>IF(AND(B24="South Korea",scenario="MID"),korea_mid_load,load_sel)</f>
        <v/>
      </c>
      <c r="R24" s="38">
        <f>pax_cap*Q24</f>
        <v/>
      </c>
      <c r="S24" s="36">
        <f>R24*P24</f>
        <v/>
      </c>
      <c r="T24" s="39">
        <f>E24*discount</f>
        <v/>
      </c>
      <c r="U24" s="40">
        <f>T24*S24</f>
        <v/>
      </c>
      <c r="V24" s="40">
        <f>(battery/range_nm)*D24*P24*VLOOKUP(B24,country_opex,3,FALSE)</f>
        <v/>
      </c>
      <c r="W24" s="40">
        <f>VLOOKUP(B24,country_opex,2,FALSE)*crew_factor</f>
        <v/>
      </c>
      <c r="X24" s="40">
        <f>VLOOKUP(B24,country_opex,5,FALSE)</f>
        <v/>
      </c>
      <c r="Y24" s="40">
        <f>maint</f>
        <v/>
      </c>
      <c r="Z24" s="40">
        <f>VLOOKUP(B24,country_opex,7,FALSE)*ins_pct</f>
        <v/>
      </c>
      <c r="AA24" s="40">
        <f>charge_berth</f>
        <v/>
      </c>
      <c r="AB24" s="40">
        <f>V24+W24+X24+Y24+Z24+AA24</f>
        <v/>
      </c>
      <c r="AC24" s="40">
        <f>VLOOKUP(B24,country_opex,7,FALSE)/dep_years</f>
        <v/>
      </c>
      <c r="AD24" s="40">
        <f>U24-AB24</f>
        <v/>
      </c>
      <c r="AE24" s="37">
        <f>IF(U24=0,"",AD24/U24)</f>
        <v/>
      </c>
      <c r="AF24" s="38">
        <f>IF(AD24&lt;=0,"",VLOOKUP(B24,country_opex,7,FALSE)/AD24)</f>
        <v/>
      </c>
      <c r="AG24" s="35">
        <f>((D24*P24/diesel_nmpg)*diesel_co2pg-(battery/range_nm)*D24*P24*VLOOKUP(B24,country_opex,4,FALSE))/1000</f>
        <v/>
      </c>
      <c r="AH24" s="33" t="n">
        <v>99000</v>
      </c>
      <c r="AI24" s="34" t="n"/>
      <c r="AJ24" s="34" t="n"/>
      <c r="AK24" s="41" t="n">
        <v>0.1</v>
      </c>
      <c r="AL24" s="36">
        <f>IF(AH24="","",AH24*AK24)</f>
        <v/>
      </c>
      <c r="AM24" s="36">
        <f>IF(OR(AH24="",S24=0),"",MIN(IF(AU24="",9.9E+99,AU24),FLOOR(AL24/S24,1)))</f>
        <v/>
      </c>
      <c r="AN24" s="40">
        <f>IF(AM24="","",AM24*IF(ABS(MOD(ABS((U24)),1)-0.5)&lt;1E-9,2*ROUND((U24)/2,0),ROUND((U24),0)))</f>
        <v/>
      </c>
      <c r="AO24" s="38">
        <f>IF(OR(AH24="",S24=0),"",MIN(IF(AU24="",9.9E+99,AU24),AL24/S24))</f>
        <v/>
      </c>
      <c r="AP24" s="40">
        <f>IF(AO24="","",AO24*IF(B24="South Korea",IF(ABS(MOD(ABS((U24)),1)-0.5)&lt;1E-9,2*ROUND((U24)/2,0),ROUND((U24),0)),U24))</f>
        <v/>
      </c>
      <c r="AQ24" s="42" t="n"/>
      <c r="AR24" s="34" t="inlineStr">
        <is>
          <t>Upside tier</t>
        </is>
      </c>
      <c r="AS24" s="43" t="n"/>
      <c r="AT24" s="43" t="inlineStr">
        <is>
          <t>modal_shift_greenfield</t>
        </is>
      </c>
      <c r="AU24" s="44" t="n"/>
      <c r="AV24" s="45">
        <f>IF(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&lt;=0,"",VLOOKUP(B24,country_opex,7,FALSE)/((T24*pax_cap*load_thin*IF(ABS(MOD(ABS((L24*M24*revleg_thin)),1)-0.5)&lt;1E-9,2*ROUND((L24*M24*revleg_thin)/2,0),ROUND((L24*M24*revleg_thin),0)))-(((battery/range_nm)*D24*IF(ABS(MOD(ABS((L24*M24*revleg_thin)),1)-0.5)&lt;1E-9,2*ROUND((L24*M24*revleg_thin)/2,0),ROUND((L24*M24*revleg_thin),0))*VLOOKUP(B24,country_opex,3,FALSE))+W24+X24+Y24+Z24+AA24)))</f>
        <v/>
      </c>
      <c r="AW24" s="45">
        <f>IF(((T24*pax_cap*IF(B24="South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Korea",korea_mid_revleg,revleg_mid)),0))*VLOOKUP(B24,country_opex,3,FALSE))+W24+X24+Y24+Z24+AA24))&lt;=0,"",VLOOKUP(B24,country_opex,7,FALSE)/((T24*pax_cap*IF(B24="South Korea",korea_mid_load,load_mid)*IF(ABS(MOD(ABS((L24*M24*IF(B24="South Korea",korea_mid_revleg,revleg_mid))),1)-0.5)&lt;1E-9,2*ROUND((L24*M24*IF(B24="South Korea",korea_mid_revleg,revleg_mid))/2,0),ROUND((L24*M24*IF(B24="South Korea",korea_mid_revleg,revleg_mid)),0)))-(((battery/range_nm)*D24*IF(ABS(MOD(ABS((L24*M24*IF(B24="South Korea",korea_mid_revleg,revleg_mid))),1)-0.5)&lt;1E-9,2*ROUND((L24*M24*IF(B24="South Korea",korea_mid_revleg,revleg_mid))/2,0),ROUND((L24*M24*IF(B24="South Korea",korea_mid_revleg,revleg_mid)),0))*VLOOKUP(B24,country_opex,3,FALSE))+W24+X24+Y24+Z24+AA24)))</f>
        <v/>
      </c>
      <c r="AX24" s="45">
        <f>IF(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&lt;=0,"",VLOOKUP(B24,country_opex,7,FALSE)/((T24*pax_cap*load_full*IF(ABS(MOD(ABS((L24*M24*revleg_full)),1)-0.5)&lt;1E-9,2*ROUND((L24*M24*revleg_full)/2,0),ROUND((L24*M24*revleg_full),0)))-(((battery/range_nm)*D24*IF(ABS(MOD(ABS((L24*M24*revleg_full)),1)-0.5)&lt;1E-9,2*ROUND((L24*M24*revleg_full)/2,0),ROUND((L24*M24*revleg_full),0))*VLOOKUP(B24,country_opex,3,FALSE))+W24+X24+Y24+Z24+AA24)))</f>
        <v/>
      </c>
      <c r="AY24" s="46" t="inlineStr">
        <is>
          <t>PREMIUM tier = premium shared airport/city transfer Limassol&lt;-&gt;Larnaca ~EUR 30-40 each way (Rome2Rio), EUR 35 mid x 1.08 = ~$38/seat. Closest road analogue to a premium per-seat sea shuttle; magnitude matches the Dubai $40.8 RTA convention. No scheduled-marine fare exists (no water-taxi/ferry line).</t>
        </is>
      </c>
      <c r="AZ24" s="46" t="n"/>
      <c r="BA24" s="34" t="n"/>
    </row>
    <row r="25">
      <c r="A25" s="31" t="inlineStr">
        <is>
          <t>Bolt Cyprus</t>
        </is>
      </c>
      <c r="B25" s="31" t="inlineStr">
        <is>
          <t>Cyprus</t>
        </is>
      </c>
      <c r="C25" s="32" t="inlineStr">
        <is>
          <t>Larnaca Airport (LCA) → Limassol</t>
        </is>
      </c>
      <c r="D25" s="33" t="n">
        <v>35</v>
      </c>
      <c r="E25" s="27" t="n">
        <v>38</v>
      </c>
      <c r="F25" s="34" t="inlineStr">
        <is>
          <t>T2</t>
        </is>
      </c>
      <c r="G25" s="34" t="inlineStr">
        <is>
          <t>med</t>
        </is>
      </c>
      <c r="H25" s="20" t="n">
        <v>1</v>
      </c>
      <c r="I25" s="35">
        <f>60*D25/cruise_kt</f>
        <v/>
      </c>
      <c r="J25" s="35">
        <f>IF(B25="South Korea",D25/korea_charge_range_nm*korea_full_range_charge_min,0)</f>
        <v/>
      </c>
      <c r="K25" s="35">
        <f>IF(B25="South Korea",I25+korea_turn_min+korea_dwell_min+J25,I25+turn_min+dwell_min)</f>
        <v/>
      </c>
      <c r="L25" s="36">
        <f>IF(B25="South Korea",FLOOR(60*korea_service_hr/K25,1),MIN(15,FLOOR(60*service_hr/K25,1)))</f>
        <v/>
      </c>
      <c r="M25" s="36">
        <f>IF(ABS(MOD(ABS((365*mech_uptime*H25)),1)-0.5)&lt;1E-9,2*ROUND((365*mech_uptime*H25)/2,0),ROUND((365*mech_uptime*H25),0))</f>
        <v/>
      </c>
      <c r="N25" s="37">
        <f>mech_uptime</f>
        <v/>
      </c>
      <c r="O25" s="37">
        <f>IF(AND(B25="South Korea",scenario="MID"),korea_mid_revleg,revleg_sel)</f>
        <v/>
      </c>
      <c r="P25" s="36">
        <f>IF(ABS(MOD(ABS((L25*M25*O25)),1)-0.5)&lt;1E-9,2*ROUND((L25*M25*O25)/2,0),ROUND((L25*M25*O25),0))</f>
        <v/>
      </c>
      <c r="Q25" s="37">
        <f>IF(AND(B25="South Korea",scenario="MID"),korea_mid_load,load_sel)</f>
        <v/>
      </c>
      <c r="R25" s="38">
        <f>pax_cap*Q25</f>
        <v/>
      </c>
      <c r="S25" s="36">
        <f>R25*P25</f>
        <v/>
      </c>
      <c r="T25" s="39">
        <f>E25*discount</f>
        <v/>
      </c>
      <c r="U25" s="40">
        <f>T25*S25</f>
        <v/>
      </c>
      <c r="V25" s="40">
        <f>(battery/range_nm)*D25*P25*VLOOKUP(B25,country_opex,3,FALSE)</f>
        <v/>
      </c>
      <c r="W25" s="40">
        <f>VLOOKUP(B25,country_opex,2,FALSE)*crew_factor</f>
        <v/>
      </c>
      <c r="X25" s="40">
        <f>VLOOKUP(B25,country_opex,5,FALSE)</f>
        <v/>
      </c>
      <c r="Y25" s="40">
        <f>maint</f>
        <v/>
      </c>
      <c r="Z25" s="40">
        <f>VLOOKUP(B25,country_opex,7,FALSE)*ins_pct</f>
        <v/>
      </c>
      <c r="AA25" s="40">
        <f>charge_berth</f>
        <v/>
      </c>
      <c r="AB25" s="40">
        <f>V25+W25+X25+Y25+Z25+AA25</f>
        <v/>
      </c>
      <c r="AC25" s="40">
        <f>VLOOKUP(B25,country_opex,7,FALSE)/dep_years</f>
        <v/>
      </c>
      <c r="AD25" s="40">
        <f>U25-AB25</f>
        <v/>
      </c>
      <c r="AE25" s="37">
        <f>IF(U25=0,"",AD25/U25)</f>
        <v/>
      </c>
      <c r="AF25" s="38">
        <f>IF(AD25&lt;=0,"",VLOOKUP(B25,country_opex,7,FALSE)/AD25)</f>
        <v/>
      </c>
      <c r="AG25" s="35">
        <f>((D25*P25/diesel_nmpg)*diesel_co2pg-(battery/range_nm)*D25*P25*VLOOKUP(B25,country_opex,4,FALSE))/1000</f>
        <v/>
      </c>
      <c r="AH25" s="33" t="n"/>
      <c r="AI25" s="34" t="n"/>
      <c r="AJ25" s="34" t="n"/>
      <c r="AK25" s="41" t="n">
        <v>0.1</v>
      </c>
      <c r="AL25" s="36">
        <f>IF(AH25="","",AH25*AK25)</f>
        <v/>
      </c>
      <c r="AM25" s="36">
        <f>IF(OR(AH25="",S25=0),"",MIN(IF(AU25="",9.9E+99,AU25),FLOOR(AL25/S25,1)))</f>
        <v/>
      </c>
      <c r="AN25" s="40">
        <f>IF(AM25="","",AM25*IF(ABS(MOD(ABS((U25)),1)-0.5)&lt;1E-9,2*ROUND((U25)/2,0),ROUND((U25),0)))</f>
        <v/>
      </c>
      <c r="AO25" s="38">
        <f>IF(OR(AH25="",S25=0),"",MIN(IF(AU25="",9.9E+99,AU25),AL25/S25))</f>
        <v/>
      </c>
      <c r="AP25" s="40">
        <f>IF(AO25="","",AO25*IF(B25="South Korea",IF(ABS(MOD(ABS((U25)),1)-0.5)&lt;1E-9,2*ROUND((U25)/2,0),ROUND((U25),0)),U25))</f>
        <v/>
      </c>
      <c r="AQ25" s="42" t="n"/>
      <c r="AR25" s="34" t="inlineStr">
        <is>
          <t>Estimated</t>
        </is>
      </c>
      <c r="AS25" s="43" t="n"/>
      <c r="AT25" s="43" t="n"/>
      <c r="AU25" s="44" t="n"/>
      <c r="AV25" s="45">
        <f>IF(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&lt;=0,"",VLOOKUP(B25,country_opex,7,FALSE)/((T25*pax_cap*load_thin*IF(ABS(MOD(ABS((L25*M25*revleg_thin)),1)-0.5)&lt;1E-9,2*ROUND((L25*M25*revleg_thin)/2,0),ROUND((L25*M25*revleg_thin),0)))-(((battery/range_nm)*D25*IF(ABS(MOD(ABS((L25*M25*revleg_thin)),1)-0.5)&lt;1E-9,2*ROUND((L25*M25*revleg_thin)/2,0),ROUND((L25*M25*revleg_thin),0))*VLOOKUP(B25,country_opex,3,FALSE))+W25+X25+Y25+Z25+AA25)))</f>
        <v/>
      </c>
      <c r="AW25" s="45">
        <f>IF(((T25*pax_cap*IF(B25="South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Korea",korea_mid_revleg,revleg_mid)),0))*VLOOKUP(B25,country_opex,3,FALSE))+W25+X25+Y25+Z25+AA25))&lt;=0,"",VLOOKUP(B25,country_opex,7,FALSE)/((T25*pax_cap*IF(B25="South Korea",korea_mid_load,load_mid)*IF(ABS(MOD(ABS((L25*M25*IF(B25="South Korea",korea_mid_revleg,revleg_mid))),1)-0.5)&lt;1E-9,2*ROUND((L25*M25*IF(B25="South Korea",korea_mid_revleg,revleg_mid))/2,0),ROUND((L25*M25*IF(B25="South Korea",korea_mid_revleg,revleg_mid)),0)))-(((battery/range_nm)*D25*IF(ABS(MOD(ABS((L25*M25*IF(B25="South Korea",korea_mid_revleg,revleg_mid))),1)-0.5)&lt;1E-9,2*ROUND((L25*M25*IF(B25="South Korea",korea_mid_revleg,revleg_mid))/2,0),ROUND((L25*M25*IF(B25="South Korea",korea_mid_revleg,revleg_mid)),0))*VLOOKUP(B25,country_opex,3,FALSE))+W25+X25+Y25+Z25+AA25)))</f>
        <v/>
      </c>
      <c r="AX25" s="45">
        <f>IF(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&lt;=0,"",VLOOKUP(B25,country_opex,7,FALSE)/((T25*pax_cap*load_full*IF(ABS(MOD(ABS((L25*M25*revleg_full)),1)-0.5)&lt;1E-9,2*ROUND((L25*M25*revleg_full)/2,0),ROUND((L25*M25*revleg_full),0)))-(((battery/range_nm)*D25*IF(ABS(MOD(ABS((L25*M25*revleg_full)),1)-0.5)&lt;1E-9,2*ROUND((L25*M25*revleg_full)/2,0),ROUND((L25*M25*revleg_full),0))*VLOOKUP(B25,country_opex,3,FALSE))+W25+X25+Y25+Z25+AA25)))</f>
        <v/>
      </c>
      <c r="AY25" s="46" t="inlineStr">
        <is>
          <t>PREMIUM tier = premium shared airport transfer LCA&lt;-&gt;Limassol EUR 30-40 each way (Rome2Rio), ~$38/seat. Same anchor as the Limassol-&gt;Larnaca corridor.</t>
        </is>
      </c>
      <c r="AZ25" s="46" t="n"/>
      <c r="BA25" s="34" t="n"/>
    </row>
    <row r="26">
      <c r="A26" s="31" t="inlineStr">
        <is>
          <t>Bolt Cyprus</t>
        </is>
      </c>
      <c r="B26" s="31" t="inlineStr">
        <is>
          <t>Cyprus</t>
        </is>
      </c>
      <c r="C26" s="32" t="inlineStr">
        <is>
          <t>Limassol → Paphos</t>
        </is>
      </c>
      <c r="D26" s="33" t="n">
        <v>40</v>
      </c>
      <c r="E26" s="27" t="n">
        <v>20</v>
      </c>
      <c r="F26" s="34" t="inlineStr">
        <is>
          <t>T2</t>
        </is>
      </c>
      <c r="G26" s="34" t="inlineStr">
        <is>
          <t>med</t>
        </is>
      </c>
      <c r="H26" s="20" t="n">
        <v>1</v>
      </c>
      <c r="I26" s="35">
        <f>60*D26/cruise_kt</f>
        <v/>
      </c>
      <c r="J26" s="35">
        <f>IF(B26="South Korea",D26/korea_charge_range_nm*korea_full_range_charge_min,0)</f>
        <v/>
      </c>
      <c r="K26" s="35">
        <f>IF(B26="South Korea",I26+korea_turn_min+korea_dwell_min+J26,I26+turn_min+dwell_min)</f>
        <v/>
      </c>
      <c r="L26" s="36">
        <f>IF(B26="South Korea",FLOOR(60*korea_service_hr/K26,1),MIN(24,FLOOR(60*service_hr/K26,1)))</f>
        <v/>
      </c>
      <c r="M26" s="36">
        <f>IF(ABS(MOD(ABS((365*mech_uptime*H26)),1)-0.5)&lt;1E-9,2*ROUND((365*mech_uptime*H26)/2,0),ROUND((365*mech_uptime*H26),0))</f>
        <v/>
      </c>
      <c r="N26" s="37">
        <f>mech_uptime</f>
        <v/>
      </c>
      <c r="O26" s="37">
        <f>IF(AND(B26="South Korea",scenario="MID"),korea_mid_revleg,revleg_sel)</f>
        <v/>
      </c>
      <c r="P26" s="36">
        <f>IF(ABS(MOD(ABS((L26*M26*O26)),1)-0.5)&lt;1E-9,2*ROUND((L26*M26*O26)/2,0),ROUND((L26*M26*O26),0))</f>
        <v/>
      </c>
      <c r="Q26" s="37">
        <f>IF(AND(B26="South Korea",scenario="MID"),korea_mid_load,load_sel)</f>
        <v/>
      </c>
      <c r="R26" s="38">
        <f>pax_cap*Q26</f>
        <v/>
      </c>
      <c r="S26" s="36">
        <f>R26*P26</f>
        <v/>
      </c>
      <c r="T26" s="39">
        <f>E26*discount</f>
        <v/>
      </c>
      <c r="U26" s="40">
        <f>T26*S26</f>
        <v/>
      </c>
      <c r="V26" s="40">
        <f>(battery/range_nm)*D26*P26*VLOOKUP(B26,country_opex,3,FALSE)</f>
        <v/>
      </c>
      <c r="W26" s="40">
        <f>VLOOKUP(B26,country_opex,2,FALSE)*crew_factor</f>
        <v/>
      </c>
      <c r="X26" s="40">
        <f>VLOOKUP(B26,country_opex,5,FALSE)</f>
        <v/>
      </c>
      <c r="Y26" s="40">
        <f>maint</f>
        <v/>
      </c>
      <c r="Z26" s="40">
        <f>VLOOKUP(B26,country_opex,7,FALSE)*ins_pct</f>
        <v/>
      </c>
      <c r="AA26" s="40">
        <f>charge_berth</f>
        <v/>
      </c>
      <c r="AB26" s="40">
        <f>V26+W26+X26+Y26+Z26+AA26</f>
        <v/>
      </c>
      <c r="AC26" s="40">
        <f>VLOOKUP(B26,country_opex,7,FALSE)/dep_years</f>
        <v/>
      </c>
      <c r="AD26" s="40">
        <f>U26-AB26</f>
        <v/>
      </c>
      <c r="AE26" s="37">
        <f>IF(U26=0,"",AD26/U26)</f>
        <v/>
      </c>
      <c r="AF26" s="38">
        <f>IF(AD26&lt;=0,"",VLOOKUP(B26,country_opex,7,FALSE)/AD26)</f>
        <v/>
      </c>
      <c r="AG26" s="35">
        <f>((D26*P26/diesel_nmpg)*diesel_co2pg-(battery/range_nm)*D26*P26*VLOOKUP(B26,country_opex,4,FALSE))/1000</f>
        <v/>
      </c>
      <c r="AH26" s="33" t="n"/>
      <c r="AI26" s="34" t="n"/>
      <c r="AJ26" s="34" t="n"/>
      <c r="AK26" s="41" t="n">
        <v>0.1</v>
      </c>
      <c r="AL26" s="36">
        <f>IF(AH26="","",AH26*AK26)</f>
        <v/>
      </c>
      <c r="AM26" s="36">
        <f>IF(OR(AH26="",S26=0),"",MIN(IF(AU26="",9.9E+99,AU26),FLOOR(AL26/S26,1)))</f>
        <v/>
      </c>
      <c r="AN26" s="40">
        <f>IF(AM26="","",AM26*IF(ABS(MOD(ABS((U26)),1)-0.5)&lt;1E-9,2*ROUND((U26)/2,0),ROUND((U26),0)))</f>
        <v/>
      </c>
      <c r="AO26" s="38">
        <f>IF(OR(AH26="",S26=0),"",MIN(IF(AU26="",9.9E+99,AU26),AL26/S26))</f>
        <v/>
      </c>
      <c r="AP26" s="40">
        <f>IF(AO26="","",AO26*IF(B26="South Korea",IF(ABS(MOD(ABS((U26)),1)-0.5)&lt;1E-9,2*ROUND((U26)/2,0),ROUND((U26),0)),U26))</f>
        <v/>
      </c>
      <c r="AQ26" s="42" t="n"/>
      <c r="AR26" s="34" t="inlineStr">
        <is>
          <t>Estimated</t>
        </is>
      </c>
      <c r="AS26" s="43" t="n"/>
      <c r="AT26" s="43" t="n"/>
      <c r="AU26" s="44" t="n"/>
      <c r="AV26" s="45">
        <f>IF(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&lt;=0,"",VLOOKUP(B26,country_opex,7,FALSE)/((T26*pax_cap*load_thin*IF(ABS(MOD(ABS((L26*M26*revleg_thin)),1)-0.5)&lt;1E-9,2*ROUND((L26*M26*revleg_thin)/2,0),ROUND((L26*M26*revleg_thin),0)))-(((battery/range_nm)*D26*IF(ABS(MOD(ABS((L26*M26*revleg_thin)),1)-0.5)&lt;1E-9,2*ROUND((L26*M26*revleg_thin)/2,0),ROUND((L26*M26*revleg_thin),0))*VLOOKUP(B26,country_opex,3,FALSE))+W26+X26+Y26+Z26+AA26)))</f>
        <v/>
      </c>
      <c r="AW26" s="45">
        <f>IF(((T26*pax_cap*IF(B26="South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Korea",korea_mid_revleg,revleg_mid)),0))*VLOOKUP(B26,country_opex,3,FALSE))+W26+X26+Y26+Z26+AA26))&lt;=0,"",VLOOKUP(B26,country_opex,7,FALSE)/((T26*pax_cap*IF(B26="South Korea",korea_mid_load,load_mid)*IF(ABS(MOD(ABS((L26*M26*IF(B26="South Korea",korea_mid_revleg,revleg_mid))),1)-0.5)&lt;1E-9,2*ROUND((L26*M26*IF(B26="South Korea",korea_mid_revleg,revleg_mid))/2,0),ROUND((L26*M26*IF(B26="South Korea",korea_mid_revleg,revleg_mid)),0)))-(((battery/range_nm)*D26*IF(ABS(MOD(ABS((L26*M26*IF(B26="South Korea",korea_mid_revleg,revleg_mid))),1)-0.5)&lt;1E-9,2*ROUND((L26*M26*IF(B26="South Korea",korea_mid_revleg,revleg_mid))/2,0),ROUND((L26*M26*IF(B26="South Korea",korea_mid_revleg,revleg_mid)),0))*VLOOKUP(B26,country_opex,3,FALSE))+W26+X26+Y26+Z26+AA26)))</f>
        <v/>
      </c>
      <c r="AX26" s="45">
        <f>IF(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&lt;=0,"",VLOOKUP(B26,country_opex,7,FALSE)/((T26*pax_cap*load_full*IF(ABS(MOD(ABS((L26*M26*revleg_full)),1)-0.5)&lt;1E-9,2*ROUND((L26*M26*revleg_full)/2,0),ROUND((L26*M26*revleg_full),0)))-(((battery/range_nm)*D26*IF(ABS(MOD(ABS((L26*M26*revleg_full)),1)-0.5)&lt;1E-9,2*ROUND((L26*M26*revleg_full)/2,0),ROUND((L26*M26*revleg_full),0))*VLOOKUP(B26,country_opex,3,FALSE))+W26+X26+Y26+Z26+AA26)))</f>
        <v/>
      </c>
      <c r="AY26" s="46" t="inlineStr">
        <is>
          <t>PREMIUM tier (road analogue) = private taxi/transfer Limassol&lt;-&gt;Paphos EUR 70-80/car divided ~4 pax (~EUR 18-20/seat) and shared shuttle EUR 10-18/pax; EUR 18.5 mid x 1.08 = ~$20/seat. No scheduled-marine fare exists.</t>
        </is>
      </c>
      <c r="AZ26" s="46" t="n"/>
      <c r="BA26" s="34" t="n"/>
    </row>
    <row r="27">
      <c r="A27" s="31" t="inlineStr">
        <is>
          <t>Bolt Cyprus</t>
        </is>
      </c>
      <c r="B27" s="31" t="inlineStr">
        <is>
          <t>Cyprus</t>
        </is>
      </c>
      <c r="C27" s="32" t="inlineStr">
        <is>
          <t>Limassol → Ayia Napa</t>
        </is>
      </c>
      <c r="D27" s="33" t="n">
        <v>52</v>
      </c>
      <c r="E27" s="27" t="n">
        <v>38</v>
      </c>
      <c r="F27" s="34" t="inlineStr">
        <is>
          <t>T2</t>
        </is>
      </c>
      <c r="G27" s="34" t="inlineStr">
        <is>
          <t>med</t>
        </is>
      </c>
      <c r="H27" s="20" t="n">
        <v>1</v>
      </c>
      <c r="I27" s="35">
        <f>60*D27/cruise_kt</f>
        <v/>
      </c>
      <c r="J27" s="35">
        <f>IF(B27="South Korea",D27/korea_charge_range_nm*korea_full_range_charge_min,0)</f>
        <v/>
      </c>
      <c r="K27" s="35">
        <f>IF(B27="South Korea",I27+korea_turn_min+korea_dwell_min+J27,I27+turn_min+dwell_min)</f>
        <v/>
      </c>
      <c r="L27" s="36">
        <f>IF(B27="South Korea",FLOOR(60*korea_service_hr/K27,1),MIN(24,FLOOR(60*service_hr/K27,1)))</f>
        <v/>
      </c>
      <c r="M27" s="36">
        <f>IF(ABS(MOD(ABS((365*mech_uptime*H27)),1)-0.5)&lt;1E-9,2*ROUND((365*mech_uptime*H27)/2,0),ROUND((365*mech_uptime*H27),0))</f>
        <v/>
      </c>
      <c r="N27" s="37">
        <f>mech_uptime</f>
        <v/>
      </c>
      <c r="O27" s="37">
        <f>IF(AND(B27="South Korea",scenario="MID"),korea_mid_revleg,revleg_sel)</f>
        <v/>
      </c>
      <c r="P27" s="36">
        <f>IF(ABS(MOD(ABS((L27*M27*O27)),1)-0.5)&lt;1E-9,2*ROUND((L27*M27*O27)/2,0),ROUND((L27*M27*O27),0))</f>
        <v/>
      </c>
      <c r="Q27" s="37">
        <f>IF(AND(B27="South Korea",scenario="MID"),korea_mid_load,load_sel)</f>
        <v/>
      </c>
      <c r="R27" s="38">
        <f>pax_cap*Q27</f>
        <v/>
      </c>
      <c r="S27" s="36">
        <f>R27*P27</f>
        <v/>
      </c>
      <c r="T27" s="39">
        <f>E27*discount</f>
        <v/>
      </c>
      <c r="U27" s="40">
        <f>T27*S27</f>
        <v/>
      </c>
      <c r="V27" s="40">
        <f>(battery/range_nm)*D27*P27*VLOOKUP(B27,country_opex,3,FALSE)</f>
        <v/>
      </c>
      <c r="W27" s="40">
        <f>VLOOKUP(B27,country_opex,2,FALSE)*crew_factor</f>
        <v/>
      </c>
      <c r="X27" s="40">
        <f>VLOOKUP(B27,country_opex,5,FALSE)</f>
        <v/>
      </c>
      <c r="Y27" s="40">
        <f>maint</f>
        <v/>
      </c>
      <c r="Z27" s="40">
        <f>VLOOKUP(B27,country_opex,7,FALSE)*ins_pct</f>
        <v/>
      </c>
      <c r="AA27" s="40">
        <f>charge_berth</f>
        <v/>
      </c>
      <c r="AB27" s="40">
        <f>V27+W27+X27+Y27+Z27+AA27</f>
        <v/>
      </c>
      <c r="AC27" s="40">
        <f>VLOOKUP(B27,country_opex,7,FALSE)/dep_years</f>
        <v/>
      </c>
      <c r="AD27" s="40">
        <f>U27-AB27</f>
        <v/>
      </c>
      <c r="AE27" s="37">
        <f>IF(U27=0,"",AD27/U27)</f>
        <v/>
      </c>
      <c r="AF27" s="38">
        <f>IF(AD27&lt;=0,"",VLOOKUP(B27,country_opex,7,FALSE)/AD27)</f>
        <v/>
      </c>
      <c r="AG27" s="35">
        <f>((D27*P27/diesel_nmpg)*diesel_co2pg-(battery/range_nm)*D27*P27*VLOOKUP(B27,country_opex,4,FALSE))/1000</f>
        <v/>
      </c>
      <c r="AH27" s="33" t="n"/>
      <c r="AI27" s="34" t="n"/>
      <c r="AJ27" s="34" t="n"/>
      <c r="AK27" s="41" t="n">
        <v>0.1</v>
      </c>
      <c r="AL27" s="36">
        <f>IF(AH27="","",AH27*AK27)</f>
        <v/>
      </c>
      <c r="AM27" s="36">
        <f>IF(OR(AH27="",S27=0),"",MIN(IF(AU27="",9.9E+99,AU27),FLOOR(AL27/S27,1)))</f>
        <v/>
      </c>
      <c r="AN27" s="40">
        <f>IF(AM27="","",AM27*IF(ABS(MOD(ABS((U27)),1)-0.5)&lt;1E-9,2*ROUND((U27)/2,0),ROUND((U27),0)))</f>
        <v/>
      </c>
      <c r="AO27" s="38">
        <f>IF(OR(AH27="",S27=0),"",MIN(IF(AU27="",9.9E+99,AU27),AL27/S27))</f>
        <v/>
      </c>
      <c r="AP27" s="40">
        <f>IF(AO27="","",AO27*IF(B27="South Korea",IF(ABS(MOD(ABS((U27)),1)-0.5)&lt;1E-9,2*ROUND((U27)/2,0),ROUND((U27),0)),U27))</f>
        <v/>
      </c>
      <c r="AQ27" s="42" t="n"/>
      <c r="AR27" s="34" t="inlineStr">
        <is>
          <t>Estimated</t>
        </is>
      </c>
      <c r="AS27" s="43" t="n"/>
      <c r="AT27" s="43" t="n"/>
      <c r="AU27" s="44" t="n"/>
      <c r="AV27" s="45">
        <f>IF(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&lt;=0,"",VLOOKUP(B27,country_opex,7,FALSE)/((T27*pax_cap*load_thin*IF(ABS(MOD(ABS((L27*M27*revleg_thin)),1)-0.5)&lt;1E-9,2*ROUND((L27*M27*revleg_thin)/2,0),ROUND((L27*M27*revleg_thin),0)))-(((battery/range_nm)*D27*IF(ABS(MOD(ABS((L27*M27*revleg_thin)),1)-0.5)&lt;1E-9,2*ROUND((L27*M27*revleg_thin)/2,0),ROUND((L27*M27*revleg_thin),0))*VLOOKUP(B27,country_opex,3,FALSE))+W27+X27+Y27+Z27+AA27)))</f>
        <v/>
      </c>
      <c r="AW27" s="45">
        <f>IF(((T27*pax_cap*IF(B27="South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Korea",korea_mid_revleg,revleg_mid)),0))*VLOOKUP(B27,country_opex,3,FALSE))+W27+X27+Y27+Z27+AA27))&lt;=0,"",VLOOKUP(B27,country_opex,7,FALSE)/((T27*pax_cap*IF(B27="South Korea",korea_mid_load,load_mid)*IF(ABS(MOD(ABS((L27*M27*IF(B27="South Korea",korea_mid_revleg,revleg_mid))),1)-0.5)&lt;1E-9,2*ROUND((L27*M27*IF(B27="South Korea",korea_mid_revleg,revleg_mid))/2,0),ROUND((L27*M27*IF(B27="South Korea",korea_mid_revleg,revleg_mid)),0)))-(((battery/range_nm)*D27*IF(ABS(MOD(ABS((L27*M27*IF(B27="South Korea",korea_mid_revleg,revleg_mid))),1)-0.5)&lt;1E-9,2*ROUND((L27*M27*IF(B27="South Korea",korea_mid_revleg,revleg_mid))/2,0),ROUND((L27*M27*IF(B27="South Korea",korea_mid_revleg,revleg_mid)),0))*VLOOKUP(B27,country_opex,3,FALSE))+W27+X27+Y27+Z27+AA27)))</f>
        <v/>
      </c>
      <c r="AX27" s="45">
        <f>IF(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&lt;=0,"",VLOOKUP(B27,country_opex,7,FALSE)/((T27*pax_cap*load_full*IF(ABS(MOD(ABS((L27*M27*revleg_full)),1)-0.5)&lt;1E-9,2*ROUND((L27*M27*revleg_full)/2,0),ROUND((L27*M27*revleg_full),0)))-(((battery/range_nm)*D27*IF(ABS(MOD(ABS((L27*M27*revleg_full)),1)-0.5)&lt;1E-9,2*ROUND((L27*M27*revleg_full)/2,0),ROUND((L27*M27*revleg_full),0))*VLOOKUP(B27,country_opex,3,FALSE))+W27+X27+Y27+Z27+AA27)))</f>
        <v/>
      </c>
      <c r="AY27" s="46" t="inlineStr">
        <is>
          <t>PREMIUM tier (sea analogue, distance-scaled) = ~EUR 35/pax (~$38), between the Ayia Napa cruise tier (EUR 30) and a longer-haul premium; indicative given no scheduled service. Private long transfer Limassol-&gt;Ayia Napa ~EUR 100-120/car as charter context.</t>
        </is>
      </c>
      <c r="AZ27" s="46" t="n"/>
      <c r="BA27" s="34" t="n"/>
    </row>
    <row r="28">
      <c r="A28" s="31" t="inlineStr">
        <is>
          <t>Bolt Egypt</t>
        </is>
      </c>
      <c r="B28" s="31" t="inlineStr">
        <is>
          <t>Egypt</t>
        </is>
      </c>
      <c r="C28" s="32" t="inlineStr">
        <is>
          <t>El Gouna (internal lagoon) → El Gouna Downtown / Abu Tig</t>
        </is>
      </c>
      <c r="D28" s="33" t="n">
        <v>2</v>
      </c>
      <c r="E28" s="27" t="n">
        <v>18</v>
      </c>
      <c r="F28" s="34" t="inlineStr">
        <is>
          <t>T2</t>
        </is>
      </c>
      <c r="G28" s="34" t="inlineStr">
        <is>
          <t>med</t>
        </is>
      </c>
      <c r="H28" s="20" t="n">
        <v>1</v>
      </c>
      <c r="I28" s="35">
        <f>60*D28/cruise_kt</f>
        <v/>
      </c>
      <c r="J28" s="35">
        <f>IF(B28="South Korea",D28/korea_charge_range_nm*korea_full_range_charge_min,0)</f>
        <v/>
      </c>
      <c r="K28" s="35">
        <f>IF(B28="South Korea",I28+korea_turn_min+korea_dwell_min+J28,I28+turn_min+dwell_min)</f>
        <v/>
      </c>
      <c r="L28" s="36">
        <f>IF(B28="South Korea",FLOOR(60*korea_service_hr/K28,1),MIN(15,FLOOR(60*service_hr/K28,1)))</f>
        <v/>
      </c>
      <c r="M28" s="36">
        <f>IF(ABS(MOD(ABS((365*mech_uptime*H28)),1)-0.5)&lt;1E-9,2*ROUND((365*mech_uptime*H28)/2,0),ROUND((365*mech_uptime*H28),0))</f>
        <v/>
      </c>
      <c r="N28" s="37">
        <f>mech_uptime</f>
        <v/>
      </c>
      <c r="O28" s="37">
        <f>IF(AND(B28="South Korea",scenario="MID"),korea_mid_revleg,revleg_sel)</f>
        <v/>
      </c>
      <c r="P28" s="36">
        <f>IF(ABS(MOD(ABS((L28*M28*O28)),1)-0.5)&lt;1E-9,2*ROUND((L28*M28*O28)/2,0),ROUND((L28*M28*O28),0))</f>
        <v/>
      </c>
      <c r="Q28" s="37">
        <f>IF(AND(B28="South Korea",scenario="MID"),korea_mid_load,load_sel)</f>
        <v/>
      </c>
      <c r="R28" s="38">
        <f>pax_cap*Q28</f>
        <v/>
      </c>
      <c r="S28" s="36">
        <f>R28*P28</f>
        <v/>
      </c>
      <c r="T28" s="39">
        <f>E28*discount</f>
        <v/>
      </c>
      <c r="U28" s="40">
        <f>T28*S28</f>
        <v/>
      </c>
      <c r="V28" s="40">
        <f>(battery/range_nm)*D28*P28*VLOOKUP(B28,country_opex,3,FALSE)</f>
        <v/>
      </c>
      <c r="W28" s="40">
        <f>VLOOKUP(B28,country_opex,2,FALSE)*crew_factor</f>
        <v/>
      </c>
      <c r="X28" s="40">
        <f>VLOOKUP(B28,country_opex,5,FALSE)</f>
        <v/>
      </c>
      <c r="Y28" s="40">
        <f>maint</f>
        <v/>
      </c>
      <c r="Z28" s="40">
        <f>VLOOKUP(B28,country_opex,7,FALSE)*ins_pct</f>
        <v/>
      </c>
      <c r="AA28" s="40">
        <f>charge_berth</f>
        <v/>
      </c>
      <c r="AB28" s="40">
        <f>V28+W28+X28+Y28+Z28+AA28</f>
        <v/>
      </c>
      <c r="AC28" s="40">
        <f>VLOOKUP(B28,country_opex,7,FALSE)/dep_years</f>
        <v/>
      </c>
      <c r="AD28" s="40">
        <f>U28-AB28</f>
        <v/>
      </c>
      <c r="AE28" s="37">
        <f>IF(U28=0,"",AD28/U28)</f>
        <v/>
      </c>
      <c r="AF28" s="38">
        <f>IF(AD28&lt;=0,"",VLOOKUP(B28,country_opex,7,FALSE)/AD28)</f>
        <v/>
      </c>
      <c r="AG28" s="35">
        <f>((D28*P28/diesel_nmpg)*diesel_co2pg-(battery/range_nm)*D28*P28*VLOOKUP(B28,country_opex,4,FALSE))/1000</f>
        <v/>
      </c>
      <c r="AH28" s="33" t="n"/>
      <c r="AI28" s="34" t="n"/>
      <c r="AJ28" s="34" t="n"/>
      <c r="AK28" s="41" t="n">
        <v>0.1</v>
      </c>
      <c r="AL28" s="36">
        <f>IF(AH28="","",AH28*AK28)</f>
        <v/>
      </c>
      <c r="AM28" s="36">
        <f>IF(OR(AH28="",S28=0),"",MIN(IF(AU28="",9.9E+99,AU28),FLOOR(AL28/S28,1)))</f>
        <v/>
      </c>
      <c r="AN28" s="40">
        <f>IF(AM28="","",AM28*IF(ABS(MOD(ABS((U28)),1)-0.5)&lt;1E-9,2*ROUND((U28)/2,0),ROUND((U28),0)))</f>
        <v/>
      </c>
      <c r="AO28" s="38">
        <f>IF(OR(AH28="",S28=0),"",MIN(IF(AU28="",9.9E+99,AU28),AL28/S28))</f>
        <v/>
      </c>
      <c r="AP28" s="40">
        <f>IF(AO28="","",AO28*IF(B28="South Korea",IF(ABS(MOD(ABS((U28)),1)-0.5)&lt;1E-9,2*ROUND((U28)/2,0),ROUND((U28),0)),U28))</f>
        <v/>
      </c>
      <c r="AQ28" s="42" t="n"/>
      <c r="AR28" s="34" t="inlineStr">
        <is>
          <t>Estimated</t>
        </is>
      </c>
      <c r="AS28" s="43" t="n"/>
      <c r="AT28" s="43" t="n"/>
      <c r="AU28" s="44" t="n"/>
      <c r="AV28" s="45">
        <f>IF(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&lt;=0,"",VLOOKUP(B28,country_opex,7,FALSE)/((T28*pax_cap*load_thin*IF(ABS(MOD(ABS((L28*M28*revleg_thin)),1)-0.5)&lt;1E-9,2*ROUND((L28*M28*revleg_thin)/2,0),ROUND((L28*M28*revleg_thin),0)))-(((battery/range_nm)*D28*IF(ABS(MOD(ABS((L28*M28*revleg_thin)),1)-0.5)&lt;1E-9,2*ROUND((L28*M28*revleg_thin)/2,0),ROUND((L28*M28*revleg_thin),0))*VLOOKUP(B28,country_opex,3,FALSE))+W28+X28+Y28+Z28+AA28)))</f>
        <v/>
      </c>
      <c r="AW28" s="45">
        <f>IF(((T28*pax_cap*IF(B28="South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Korea",korea_mid_revleg,revleg_mid)),0))*VLOOKUP(B28,country_opex,3,FALSE))+W28+X28+Y28+Z28+AA28))&lt;=0,"",VLOOKUP(B28,country_opex,7,FALSE)/((T28*pax_cap*IF(B28="South Korea",korea_mid_load,load_mid)*IF(ABS(MOD(ABS((L28*M28*IF(B28="South Korea",korea_mid_revleg,revleg_mid))),1)-0.5)&lt;1E-9,2*ROUND((L28*M28*IF(B28="South Korea",korea_mid_revleg,revleg_mid))/2,0),ROUND((L28*M28*IF(B28="South Korea",korea_mid_revleg,revleg_mid)),0)))-(((battery/range_nm)*D28*IF(ABS(MOD(ABS((L28*M28*IF(B28="South Korea",korea_mid_revleg,revleg_mid))),1)-0.5)&lt;1E-9,2*ROUND((L28*M28*IF(B28="South Korea",korea_mid_revleg,revleg_mid))/2,0),ROUND((L28*M28*IF(B28="South Korea",korea_mid_revleg,revleg_mid)),0))*VLOOKUP(B28,country_opex,3,FALSE))+W28+X28+Y28+Z28+AA28)))</f>
        <v/>
      </c>
      <c r="AX28" s="45">
        <f>IF(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&lt;=0,"",VLOOKUP(B28,country_opex,7,FALSE)/((T28*pax_cap*load_full*IF(ABS(MOD(ABS((L28*M28*revleg_full)),1)-0.5)&lt;1E-9,2*ROUND((L28*M28*revleg_full)/2,0),ROUND((L28*M28*revleg_full),0)))-(((battery/range_nm)*D28*IF(ABS(MOD(ABS((L28*M28*revleg_full)),1)-0.5)&lt;1E-9,2*ROUND((L28*M28*revleg_full)/2,0),ROUND((L28*M28*revleg_full),0))*VLOOKUP(B28,country_opex,3,FALSE))+W28+X28+Y28+Z28+AA28)))</f>
        <v/>
      </c>
      <c r="AY28" s="46" t="inlineStr">
        <is>
          <t>[LB-255 PREMIUM RE-FARE: subsidized comparable $5.0 lifted to premium on-demand floor $18.0] PREMIUM-floor internal water-taxi tier: El Gouna lagoon boat-taxi short hop ~150-250 EGP (~$3-5). Internal-resort micro-corridor; below the open-sea premium tier.</t>
        </is>
      </c>
      <c r="AZ28" s="46" t="n"/>
      <c r="BA28" s="34" t="n"/>
    </row>
    <row r="29">
      <c r="A29" s="31" t="inlineStr">
        <is>
          <t>Bolt Egypt</t>
        </is>
      </c>
      <c r="B29" s="31" t="inlineStr">
        <is>
          <t>Egypt</t>
        </is>
      </c>
      <c r="C29" s="32" t="inlineStr">
        <is>
          <t>Cairo - Maadi → Cairo - Zamalek / Downtown</t>
        </is>
      </c>
      <c r="D29" s="33" t="n">
        <v>6</v>
      </c>
      <c r="E29" s="27" t="n">
        <v>18</v>
      </c>
      <c r="F29" s="34" t="inlineStr">
        <is>
          <t>T2</t>
        </is>
      </c>
      <c r="G29" s="34" t="inlineStr">
        <is>
          <t>med</t>
        </is>
      </c>
      <c r="H29" s="20" t="n">
        <v>1</v>
      </c>
      <c r="I29" s="35">
        <f>60*D29/cruise_kt</f>
        <v/>
      </c>
      <c r="J29" s="35">
        <f>IF(B29="South Korea",D29/korea_charge_range_nm*korea_full_range_charge_min,0)</f>
        <v/>
      </c>
      <c r="K29" s="35">
        <f>IF(B29="South Korea",I29+korea_turn_min+korea_dwell_min+J29,I29+turn_min+dwell_min)</f>
        <v/>
      </c>
      <c r="L29" s="36">
        <f>IF(B29="South Korea",FLOOR(60*korea_service_hr/K29,1),MIN(24,FLOOR(60*service_hr/K29,1)))</f>
        <v/>
      </c>
      <c r="M29" s="36">
        <f>IF(ABS(MOD(ABS((365*mech_uptime*H29)),1)-0.5)&lt;1E-9,2*ROUND((365*mech_uptime*H29)/2,0),ROUND((365*mech_uptime*H29),0))</f>
        <v/>
      </c>
      <c r="N29" s="37">
        <f>mech_uptime</f>
        <v/>
      </c>
      <c r="O29" s="37">
        <f>IF(AND(B29="South Korea",scenario="MID"),korea_mid_revleg,revleg_sel)</f>
        <v/>
      </c>
      <c r="P29" s="36">
        <f>IF(ABS(MOD(ABS((L29*M29*O29)),1)-0.5)&lt;1E-9,2*ROUND((L29*M29*O29)/2,0),ROUND((L29*M29*O29),0))</f>
        <v/>
      </c>
      <c r="Q29" s="37">
        <f>IF(AND(B29="South Korea",scenario="MID"),korea_mid_load,load_sel)</f>
        <v/>
      </c>
      <c r="R29" s="38">
        <f>pax_cap*Q29</f>
        <v/>
      </c>
      <c r="S29" s="36">
        <f>R29*P29</f>
        <v/>
      </c>
      <c r="T29" s="39">
        <f>E29*discount</f>
        <v/>
      </c>
      <c r="U29" s="40">
        <f>T29*S29</f>
        <v/>
      </c>
      <c r="V29" s="40">
        <f>(battery/range_nm)*D29*P29*VLOOKUP(B29,country_opex,3,FALSE)</f>
        <v/>
      </c>
      <c r="W29" s="40">
        <f>VLOOKUP(B29,country_opex,2,FALSE)*crew_factor</f>
        <v/>
      </c>
      <c r="X29" s="40">
        <f>VLOOKUP(B29,country_opex,5,FALSE)</f>
        <v/>
      </c>
      <c r="Y29" s="40">
        <f>maint</f>
        <v/>
      </c>
      <c r="Z29" s="40">
        <f>VLOOKUP(B29,country_opex,7,FALSE)*ins_pct</f>
        <v/>
      </c>
      <c r="AA29" s="40">
        <f>charge_berth</f>
        <v/>
      </c>
      <c r="AB29" s="40">
        <f>V29+W29+X29+Y29+Z29+AA29</f>
        <v/>
      </c>
      <c r="AC29" s="40">
        <f>VLOOKUP(B29,country_opex,7,FALSE)/dep_years</f>
        <v/>
      </c>
      <c r="AD29" s="40">
        <f>U29-AB29</f>
        <v/>
      </c>
      <c r="AE29" s="37">
        <f>IF(U29=0,"",AD29/U29)</f>
        <v/>
      </c>
      <c r="AF29" s="38">
        <f>IF(AD29&lt;=0,"",VLOOKUP(B29,country_opex,7,FALSE)/AD29)</f>
        <v/>
      </c>
      <c r="AG29" s="35">
        <f>((D29*P29/diesel_nmpg)*diesel_co2pg-(battery/range_nm)*D29*P29*VLOOKUP(B29,country_opex,4,FALSE))/1000</f>
        <v/>
      </c>
      <c r="AH29" s="33" t="n"/>
      <c r="AI29" s="34" t="n"/>
      <c r="AJ29" s="34" t="n"/>
      <c r="AK29" s="41" t="n">
        <v>0.1</v>
      </c>
      <c r="AL29" s="36">
        <f>IF(AH29="","",AH29*AK29)</f>
        <v/>
      </c>
      <c r="AM29" s="36">
        <f>IF(OR(AH29="",S29=0),"",MIN(IF(AU29="",9.9E+99,AU29),FLOOR(AL29/S29,1)))</f>
        <v/>
      </c>
      <c r="AN29" s="40">
        <f>IF(AM29="","",AM29*IF(ABS(MOD(ABS((U29)),1)-0.5)&lt;1E-9,2*ROUND((U29)/2,0),ROUND((U29),0)))</f>
        <v/>
      </c>
      <c r="AO29" s="38">
        <f>IF(OR(AH29="",S29=0),"",MIN(IF(AU29="",9.9E+99,AU29),AL29/S29))</f>
        <v/>
      </c>
      <c r="AP29" s="40">
        <f>IF(AO29="","",AO29*IF(B29="South Korea",IF(ABS(MOD(ABS((U29)),1)-0.5)&lt;1E-9,2*ROUND((U29)/2,0),ROUND((U29),0)),U29))</f>
        <v/>
      </c>
      <c r="AQ29" s="42" t="n"/>
      <c r="AR29" s="34" t="inlineStr">
        <is>
          <t>Estimated</t>
        </is>
      </c>
      <c r="AS29" s="43" t="n"/>
      <c r="AT29" s="43" t="n"/>
      <c r="AU29" s="44" t="n"/>
      <c r="AV29" s="45">
        <f>IF(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&lt;=0,"",VLOOKUP(B29,country_opex,7,FALSE)/((T29*pax_cap*load_thin*IF(ABS(MOD(ABS((L29*M29*revleg_thin)),1)-0.5)&lt;1E-9,2*ROUND((L29*M29*revleg_thin)/2,0),ROUND((L29*M29*revleg_thin),0)))-(((battery/range_nm)*D29*IF(ABS(MOD(ABS((L29*M29*revleg_thin)),1)-0.5)&lt;1E-9,2*ROUND((L29*M29*revleg_thin)/2,0),ROUND((L29*M29*revleg_thin),0))*VLOOKUP(B29,country_opex,3,FALSE))+W29+X29+Y29+Z29+AA29)))</f>
        <v/>
      </c>
      <c r="AW29" s="45">
        <f>IF(((T29*pax_cap*IF(B29="South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Korea",korea_mid_revleg,revleg_mid)),0))*VLOOKUP(B29,country_opex,3,FALSE))+W29+X29+Y29+Z29+AA29))&lt;=0,"",VLOOKUP(B29,country_opex,7,FALSE)/((T29*pax_cap*IF(B29="South Korea",korea_mid_load,load_mid)*IF(ABS(MOD(ABS((L29*M29*IF(B29="South Korea",korea_mid_revleg,revleg_mid))),1)-0.5)&lt;1E-9,2*ROUND((L29*M29*IF(B29="South Korea",korea_mid_revleg,revleg_mid))/2,0),ROUND((L29*M29*IF(B29="South Korea",korea_mid_revleg,revleg_mid)),0)))-(((battery/range_nm)*D29*IF(ABS(MOD(ABS((L29*M29*IF(B29="South Korea",korea_mid_revleg,revleg_mid))),1)-0.5)&lt;1E-9,2*ROUND((L29*M29*IF(B29="South Korea",korea_mid_revleg,revleg_mid))/2,0),ROUND((L29*M29*IF(B29="South Korea",korea_mid_revleg,revleg_mid)),0))*VLOOKUP(B29,country_opex,3,FALSE))+W29+X29+Y29+Z29+AA29)))</f>
        <v/>
      </c>
      <c r="AX29" s="45">
        <f>IF(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&lt;=0,"",VLOOKUP(B29,country_opex,7,FALSE)/((T29*pax_cap*load_full*IF(ABS(MOD(ABS((L29*M29*revleg_full)),1)-0.5)&lt;1E-9,2*ROUND((L29*M29*revleg_full)/2,0),ROUND((L29*M29*revleg_full),0)))-(((battery/range_nm)*D29*IF(ABS(MOD(ABS((L29*M29*revleg_full)),1)-0.5)&lt;1E-9,2*ROUND((L29*M29*revleg_full)/2,0),ROUND((L29*M29*revleg_full),0))*VLOOKUP(B29,country_opex,3,FALSE))+W29+X29+Y29+Z29+AA29)))</f>
        <v/>
      </c>
      <c r="AY29" s="46" t="inlineStr">
        <is>
          <t>[LB-255 PREMIUM RE-FARE: subsidized comparable $5.1 lifted to premium on-demand floor $18.0] PREMIUM tier = Nile Taxi premium speedboat seat ~250 EGP (~$5.1); range 100-300 EGP/pax (Memphis Tours; US News ~200 EGP ~$4/pax). Private hire ~$110 charter recorded as charter context only.</t>
        </is>
      </c>
      <c r="AZ29" s="46" t="n"/>
      <c r="BA29" s="34" t="n"/>
    </row>
    <row r="30">
      <c r="A30" s="31" t="inlineStr">
        <is>
          <t>Bolt Egypt</t>
        </is>
      </c>
      <c r="B30" s="31" t="inlineStr">
        <is>
          <t>Egypt</t>
        </is>
      </c>
      <c r="C30" s="32" t="inlineStr">
        <is>
          <t>Hurghada → Giftun Island (Orange Bay / Mahmya)</t>
        </is>
      </c>
      <c r="D30" s="33" t="n">
        <v>9</v>
      </c>
      <c r="E30" s="27" t="n">
        <v>32</v>
      </c>
      <c r="F30" s="34" t="inlineStr">
        <is>
          <t>T2</t>
        </is>
      </c>
      <c r="G30" s="34" t="inlineStr">
        <is>
          <t>med</t>
        </is>
      </c>
      <c r="H30" s="20" t="n">
        <v>1</v>
      </c>
      <c r="I30" s="35">
        <f>60*D30/cruise_kt</f>
        <v/>
      </c>
      <c r="J30" s="35">
        <f>IF(B30="South Korea",D30/korea_charge_range_nm*korea_full_range_charge_min,0)</f>
        <v/>
      </c>
      <c r="K30" s="35">
        <f>IF(B30="South Korea",I30+korea_turn_min+korea_dwell_min+J30,I30+turn_min+dwell_min)</f>
        <v/>
      </c>
      <c r="L30" s="36">
        <f>IF(B30="South Korea",FLOOR(60*korea_service_hr/K30,1),MIN(15,FLOOR(60*service_hr/K30,1)))</f>
        <v/>
      </c>
      <c r="M30" s="36">
        <f>IF(ABS(MOD(ABS((365*mech_uptime*H30)),1)-0.5)&lt;1E-9,2*ROUND((365*mech_uptime*H30)/2,0),ROUND((365*mech_uptime*H30),0))</f>
        <v/>
      </c>
      <c r="N30" s="37">
        <f>mech_uptime</f>
        <v/>
      </c>
      <c r="O30" s="37">
        <f>IF(AND(B30="South Korea",scenario="MID"),korea_mid_revleg,revleg_sel)</f>
        <v/>
      </c>
      <c r="P30" s="36">
        <f>IF(ABS(MOD(ABS((L30*M30*O30)),1)-0.5)&lt;1E-9,2*ROUND((L30*M30*O30)/2,0),ROUND((L30*M30*O30),0))</f>
        <v/>
      </c>
      <c r="Q30" s="37">
        <f>IF(AND(B30="South Korea",scenario="MID"),korea_mid_load,load_sel)</f>
        <v/>
      </c>
      <c r="R30" s="38">
        <f>pax_cap*Q30</f>
        <v/>
      </c>
      <c r="S30" s="36">
        <f>R30*P30</f>
        <v/>
      </c>
      <c r="T30" s="39">
        <f>E30*discount</f>
        <v/>
      </c>
      <c r="U30" s="40">
        <f>T30*S30</f>
        <v/>
      </c>
      <c r="V30" s="40">
        <f>(battery/range_nm)*D30*P30*VLOOKUP(B30,country_opex,3,FALSE)</f>
        <v/>
      </c>
      <c r="W30" s="40">
        <f>VLOOKUP(B30,country_opex,2,FALSE)*crew_factor</f>
        <v/>
      </c>
      <c r="X30" s="40">
        <f>VLOOKUP(B30,country_opex,5,FALSE)</f>
        <v/>
      </c>
      <c r="Y30" s="40">
        <f>maint</f>
        <v/>
      </c>
      <c r="Z30" s="40">
        <f>VLOOKUP(B30,country_opex,7,FALSE)*ins_pct</f>
        <v/>
      </c>
      <c r="AA30" s="40">
        <f>charge_berth</f>
        <v/>
      </c>
      <c r="AB30" s="40">
        <f>V30+W30+X30+Y30+Z30+AA30</f>
        <v/>
      </c>
      <c r="AC30" s="40">
        <f>VLOOKUP(B30,country_opex,7,FALSE)/dep_years</f>
        <v/>
      </c>
      <c r="AD30" s="40">
        <f>U30-AB30</f>
        <v/>
      </c>
      <c r="AE30" s="37">
        <f>IF(U30=0,"",AD30/U30)</f>
        <v/>
      </c>
      <c r="AF30" s="38">
        <f>IF(AD30&lt;=0,"",VLOOKUP(B30,country_opex,7,FALSE)/AD30)</f>
        <v/>
      </c>
      <c r="AG30" s="35">
        <f>((D30*P30/diesel_nmpg)*diesel_co2pg-(battery/range_nm)*D30*P30*VLOOKUP(B30,country_opex,4,FALSE))/1000</f>
        <v/>
      </c>
      <c r="AH30" s="33" t="n">
        <v>1204586</v>
      </c>
      <c r="AI30" s="34" t="n"/>
      <c r="AJ30" s="34" t="n"/>
      <c r="AK30" s="41" t="n">
        <v>0.1</v>
      </c>
      <c r="AL30" s="36">
        <f>IF(AH30="","",AH30*AK30)</f>
        <v/>
      </c>
      <c r="AM30" s="36">
        <f>IF(OR(AH30="",S30=0),"",MIN(IF(AU30="",9.9E+99,AU30),FLOOR(AL30/S30,1)))</f>
        <v/>
      </c>
      <c r="AN30" s="40">
        <f>IF(AM30="","",AM30*IF(ABS(MOD(ABS((U30)),1)-0.5)&lt;1E-9,2*ROUND((U30)/2,0),ROUND((U30),0)))</f>
        <v/>
      </c>
      <c r="AO30" s="38">
        <f>IF(OR(AH30="",S30=0),"",MIN(IF(AU30="",9.9E+99,AU30),AL30/S30))</f>
        <v/>
      </c>
      <c r="AP30" s="40">
        <f>IF(AO30="","",AO30*IF(B30="South Korea",IF(ABS(MOD(ABS((U30)),1)-0.5)&lt;1E-9,2*ROUND((U30)/2,0),ROUND((U30),0)),U30))</f>
        <v/>
      </c>
      <c r="AQ30" s="42" t="n"/>
      <c r="AR30" s="34" t="inlineStr">
        <is>
          <t>Grounded</t>
        </is>
      </c>
      <c r="AS30" s="43" t="n"/>
      <c r="AT30" s="43" t="n"/>
      <c r="AU30" s="44" t="n"/>
      <c r="AV30" s="45">
        <f>IF(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&lt;=0,"",VLOOKUP(B30,country_opex,7,FALSE)/((T30*pax_cap*load_thin*IF(ABS(MOD(ABS((L30*M30*revleg_thin)),1)-0.5)&lt;1E-9,2*ROUND((L30*M30*revleg_thin)/2,0),ROUND((L30*M30*revleg_thin),0)))-(((battery/range_nm)*D30*IF(ABS(MOD(ABS((L30*M30*revleg_thin)),1)-0.5)&lt;1E-9,2*ROUND((L30*M30*revleg_thin)/2,0),ROUND((L30*M30*revleg_thin),0))*VLOOKUP(B30,country_opex,3,FALSE))+W30+X30+Y30+Z30+AA30)))</f>
        <v/>
      </c>
      <c r="AW30" s="45">
        <f>IF(((T30*pax_cap*IF(B30="South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Korea",korea_mid_revleg,revleg_mid)),0))*VLOOKUP(B30,country_opex,3,FALSE))+W30+X30+Y30+Z30+AA30))&lt;=0,"",VLOOKUP(B30,country_opex,7,FALSE)/((T30*pax_cap*IF(B30="South Korea",korea_mid_load,load_mid)*IF(ABS(MOD(ABS((L30*M30*IF(B30="South Korea",korea_mid_revleg,revleg_mid))),1)-0.5)&lt;1E-9,2*ROUND((L30*M30*IF(B30="South Korea",korea_mid_revleg,revleg_mid))/2,0),ROUND((L30*M30*IF(B30="South Korea",korea_mid_revleg,revleg_mid)),0)))-(((battery/range_nm)*D30*IF(ABS(MOD(ABS((L30*M30*IF(B30="South Korea",korea_mid_revleg,revleg_mid))),1)-0.5)&lt;1E-9,2*ROUND((L30*M30*IF(B30="South Korea",korea_mid_revleg,revleg_mid))/2,0),ROUND((L30*M30*IF(B30="South Korea",korea_mid_revleg,revleg_mid)),0))*VLOOKUP(B30,country_opex,3,FALSE))+W30+X30+Y30+Z30+AA30)))</f>
        <v/>
      </c>
      <c r="AX30" s="45">
        <f>IF(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&lt;=0,"",VLOOKUP(B30,country_opex,7,FALSE)/((T30*pax_cap*load_full*IF(ABS(MOD(ABS((L30*M30*revleg_full)),1)-0.5)&lt;1E-9,2*ROUND((L30*M30*revleg_full)/2,0),ROUND((L30*M30*revleg_full),0)))-(((battery/range_nm)*D30*IF(ABS(MOD(ABS((L30*M30*revleg_full)),1)-0.5)&lt;1E-9,2*ROUND((L30*M30*revleg_full)/2,0),ROUND((L30*M30*revleg_full),0))*VLOOKUP(B30,country_opex,3,FALSE))+W30+X30+Y30+Z30+AA30)))</f>
        <v/>
      </c>
      <c r="AY30" s="46" t="inlineStr">
        <is>
          <t>PREMIUM tier = scheduled island day-trip per-seat EUR ~30 (~$32); shared/regular boat day-trips run EUR 15-30/pax (egyptra from EUR 15; GetYourGuide/Marriott activities). Speedboat upgrade priced higher; private Mahmya from $99 recorded as charter context only.</t>
        </is>
      </c>
      <c r="AZ30" s="46" t="n"/>
      <c r="BA30" s="34" t="n"/>
    </row>
    <row r="31">
      <c r="A31" s="31" t="inlineStr">
        <is>
          <t>Bolt Egypt</t>
        </is>
      </c>
      <c r="B31" s="31" t="inlineStr">
        <is>
          <t>Egypt</t>
        </is>
      </c>
      <c r="C31" s="32" t="inlineStr">
        <is>
          <t>Hurghada → Sahl Hasheesh</t>
        </is>
      </c>
      <c r="D31" s="33" t="n">
        <v>10</v>
      </c>
      <c r="E31" s="27" t="n">
        <v>40.8</v>
      </c>
      <c r="F31" s="34" t="inlineStr">
        <is>
          <t>T2</t>
        </is>
      </c>
      <c r="G31" s="34" t="inlineStr">
        <is>
          <t>med</t>
        </is>
      </c>
      <c r="H31" s="20" t="n">
        <v>1</v>
      </c>
      <c r="I31" s="35">
        <f>60*D31/cruise_kt</f>
        <v/>
      </c>
      <c r="J31" s="35">
        <f>IF(B31="South Korea",D31/korea_charge_range_nm*korea_full_range_charge_min,0)</f>
        <v/>
      </c>
      <c r="K31" s="35">
        <f>IF(B31="South Korea",I31+korea_turn_min+korea_dwell_min+J31,I31+turn_min+dwell_min)</f>
        <v/>
      </c>
      <c r="L31" s="36">
        <f>IF(B31="South Korea",FLOOR(60*korea_service_hr/K31,1),MIN(15,FLOOR(60*service_hr/K31,1)))</f>
        <v/>
      </c>
      <c r="M31" s="36">
        <f>IF(ABS(MOD(ABS((365*mech_uptime*H31)),1)-0.5)&lt;1E-9,2*ROUND((365*mech_uptime*H31)/2,0),ROUND((365*mech_uptime*H31),0))</f>
        <v/>
      </c>
      <c r="N31" s="37">
        <f>mech_uptime</f>
        <v/>
      </c>
      <c r="O31" s="37">
        <f>IF(AND(B31="South Korea",scenario="MID"),korea_mid_revleg,revleg_sel)</f>
        <v/>
      </c>
      <c r="P31" s="36">
        <f>IF(ABS(MOD(ABS((L31*M31*O31)),1)-0.5)&lt;1E-9,2*ROUND((L31*M31*O31)/2,0),ROUND((L31*M31*O31),0))</f>
        <v/>
      </c>
      <c r="Q31" s="37">
        <f>IF(AND(B31="South Korea",scenario="MID"),korea_mid_load,load_sel)</f>
        <v/>
      </c>
      <c r="R31" s="38">
        <f>pax_cap*Q31</f>
        <v/>
      </c>
      <c r="S31" s="36">
        <f>R31*P31</f>
        <v/>
      </c>
      <c r="T31" s="39">
        <f>E31*discount</f>
        <v/>
      </c>
      <c r="U31" s="40">
        <f>T31*S31</f>
        <v/>
      </c>
      <c r="V31" s="40">
        <f>(battery/range_nm)*D31*P31*VLOOKUP(B31,country_opex,3,FALSE)</f>
        <v/>
      </c>
      <c r="W31" s="40">
        <f>VLOOKUP(B31,country_opex,2,FALSE)*crew_factor</f>
        <v/>
      </c>
      <c r="X31" s="40">
        <f>VLOOKUP(B31,country_opex,5,FALSE)</f>
        <v/>
      </c>
      <c r="Y31" s="40">
        <f>maint</f>
        <v/>
      </c>
      <c r="Z31" s="40">
        <f>VLOOKUP(B31,country_opex,7,FALSE)*ins_pct</f>
        <v/>
      </c>
      <c r="AA31" s="40">
        <f>charge_berth</f>
        <v/>
      </c>
      <c r="AB31" s="40">
        <f>V31+W31+X31+Y31+Z31+AA31</f>
        <v/>
      </c>
      <c r="AC31" s="40">
        <f>VLOOKUP(B31,country_opex,7,FALSE)/dep_years</f>
        <v/>
      </c>
      <c r="AD31" s="40">
        <f>U31-AB31</f>
        <v/>
      </c>
      <c r="AE31" s="37">
        <f>IF(U31=0,"",AD31/U31)</f>
        <v/>
      </c>
      <c r="AF31" s="38">
        <f>IF(AD31&lt;=0,"",VLOOKUP(B31,country_opex,7,FALSE)/AD31)</f>
        <v/>
      </c>
      <c r="AG31" s="35">
        <f>((D31*P31/diesel_nmpg)*diesel_co2pg-(battery/range_nm)*D31*P31*VLOOKUP(B31,country_opex,4,FALSE))/1000</f>
        <v/>
      </c>
      <c r="AH31" s="33" t="n"/>
      <c r="AI31" s="34" t="n"/>
      <c r="AJ31" s="34" t="n"/>
      <c r="AK31" s="41" t="n">
        <v>0.1</v>
      </c>
      <c r="AL31" s="36">
        <f>IF(AH31="","",AH31*AK31)</f>
        <v/>
      </c>
      <c r="AM31" s="36">
        <f>IF(OR(AH31="",S31=0),"",MIN(IF(AU31="",9.9E+99,AU31),FLOOR(AL31/S31,1)))</f>
        <v/>
      </c>
      <c r="AN31" s="40">
        <f>IF(AM31="","",AM31*IF(ABS(MOD(ABS((U31)),1)-0.5)&lt;1E-9,2*ROUND((U31)/2,0),ROUND((U31),0)))</f>
        <v/>
      </c>
      <c r="AO31" s="38">
        <f>IF(OR(AH31="",S31=0),"",MIN(IF(AU31="",9.9E+99,AU31),AL31/S31))</f>
        <v/>
      </c>
      <c r="AP31" s="40">
        <f>IF(AO31="","",AO31*IF(B31="South Korea",IF(ABS(MOD(ABS((U31)),1)-0.5)&lt;1E-9,2*ROUND((U31)/2,0),ROUND((U31),0)),U31))</f>
        <v/>
      </c>
      <c r="AQ31" s="42" t="n"/>
      <c r="AR31" s="34" t="inlineStr">
        <is>
          <t>Estimated</t>
        </is>
      </c>
      <c r="AS31" s="43" t="n"/>
      <c r="AT31" s="43" t="n"/>
      <c r="AU31" s="44" t="n"/>
      <c r="AV31" s="45">
        <f>IF(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&lt;=0,"",VLOOKUP(B31,country_opex,7,FALSE)/((T31*pax_cap*load_thin*IF(ABS(MOD(ABS((L31*M31*revleg_thin)),1)-0.5)&lt;1E-9,2*ROUND((L31*M31*revleg_thin)/2,0),ROUND((L31*M31*revleg_thin),0)))-(((battery/range_nm)*D31*IF(ABS(MOD(ABS((L31*M31*revleg_thin)),1)-0.5)&lt;1E-9,2*ROUND((L31*M31*revleg_thin)/2,0),ROUND((L31*M31*revleg_thin),0))*VLOOKUP(B31,country_opex,3,FALSE))+W31+X31+Y31+Z31+AA31)))</f>
        <v/>
      </c>
      <c r="AW31" s="45">
        <f>IF(((T31*pax_cap*IF(B31="South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Korea",korea_mid_revleg,revleg_mid)),0))*VLOOKUP(B31,country_opex,3,FALSE))+W31+X31+Y31+Z31+AA31))&lt;=0,"",VLOOKUP(B31,country_opex,7,FALSE)/((T31*pax_cap*IF(B31="South Korea",korea_mid_load,load_mid)*IF(ABS(MOD(ABS((L31*M31*IF(B31="South Korea",korea_mid_revleg,revleg_mid))),1)-0.5)&lt;1E-9,2*ROUND((L31*M31*IF(B31="South Korea",korea_mid_revleg,revleg_mid))/2,0),ROUND((L31*M31*IF(B31="South Korea",korea_mid_revleg,revleg_mid)),0)))-(((battery/range_nm)*D31*IF(ABS(MOD(ABS((L31*M31*IF(B31="South Korea",korea_mid_revleg,revleg_mid))),1)-0.5)&lt;1E-9,2*ROUND((L31*M31*IF(B31="South Korea",korea_mid_revleg,revleg_mid))/2,0),ROUND((L31*M31*IF(B31="South Korea",korea_mid_revleg,revleg_mid)),0))*VLOOKUP(B31,country_opex,3,FALSE))+W31+X31+Y31+Z31+AA31)))</f>
        <v/>
      </c>
      <c r="AX31" s="45">
        <f>IF(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&lt;=0,"",VLOOKUP(B31,country_opex,7,FALSE)/((T31*pax_cap*load_full*IF(ABS(MOD(ABS((L31*M31*revleg_full)),1)-0.5)&lt;1E-9,2*ROUND((L31*M31*revleg_full)/2,0),ROUND((L31*M31*revleg_full),0)))-(((battery/range_nm)*D31*IF(ABS(MOD(ABS((L31*M31*revleg_full)),1)-0.5)&lt;1E-9,2*ROUND((L31*M31*revleg_full)/2,0),ROUND((L31*M31*revleg_full),0))*VLOOKUP(B31,country_opex,3,FALSE))+W31+X31+Y31+Z31+AA31)))</f>
        <v/>
      </c>
      <c r="AY31" s="46" t="inlineStr">
        <is>
          <t>PREMIUM tier proxy = Dubai RTA convention $40.8/seat (same premium resort-transfer tier as El Gouna). No Egypt-native scheduled water-taxi fare on this leg published.</t>
        </is>
      </c>
      <c r="AZ31" s="46" t="n"/>
      <c r="BA31" s="34" t="n"/>
    </row>
    <row r="32">
      <c r="A32" s="31" t="inlineStr">
        <is>
          <t>Bolt Egypt</t>
        </is>
      </c>
      <c r="B32" s="31" t="inlineStr">
        <is>
          <t>Egypt</t>
        </is>
      </c>
      <c r="C32" s="32" t="inlineStr">
        <is>
          <t>Greater Cairo - Maspero (Downtown) → Greater Cairo - Warraq / El Qanater</t>
        </is>
      </c>
      <c r="D32" s="33" t="n">
        <v>13</v>
      </c>
      <c r="E32" s="27" t="n">
        <v>18</v>
      </c>
      <c r="F32" s="34" t="inlineStr">
        <is>
          <t>T2</t>
        </is>
      </c>
      <c r="G32" s="34" t="inlineStr">
        <is>
          <t>med</t>
        </is>
      </c>
      <c r="H32" s="20" t="n">
        <v>1</v>
      </c>
      <c r="I32" s="35">
        <f>60*D32/cruise_kt</f>
        <v/>
      </c>
      <c r="J32" s="35">
        <f>IF(B32="South Korea",D32/korea_charge_range_nm*korea_full_range_charge_min,0)</f>
        <v/>
      </c>
      <c r="K32" s="35">
        <f>IF(B32="South Korea",I32+korea_turn_min+korea_dwell_min+J32,I32+turn_min+dwell_min)</f>
        <v/>
      </c>
      <c r="L32" s="36">
        <f>IF(B32="South Korea",FLOOR(60*korea_service_hr/K32,1),MIN(24,FLOOR(60*service_hr/K32,1)))</f>
        <v/>
      </c>
      <c r="M32" s="36">
        <f>IF(ABS(MOD(ABS((365*mech_uptime*H32)),1)-0.5)&lt;1E-9,2*ROUND((365*mech_uptime*H32)/2,0),ROUND((365*mech_uptime*H32),0))</f>
        <v/>
      </c>
      <c r="N32" s="37">
        <f>mech_uptime</f>
        <v/>
      </c>
      <c r="O32" s="37">
        <f>IF(AND(B32="South Korea",scenario="MID"),korea_mid_revleg,revleg_sel)</f>
        <v/>
      </c>
      <c r="P32" s="36">
        <f>IF(ABS(MOD(ABS((L32*M32*O32)),1)-0.5)&lt;1E-9,2*ROUND((L32*M32*O32)/2,0),ROUND((L32*M32*O32),0))</f>
        <v/>
      </c>
      <c r="Q32" s="37">
        <f>IF(AND(B32="South Korea",scenario="MID"),korea_mid_load,load_sel)</f>
        <v/>
      </c>
      <c r="R32" s="38">
        <f>pax_cap*Q32</f>
        <v/>
      </c>
      <c r="S32" s="36">
        <f>R32*P32</f>
        <v/>
      </c>
      <c r="T32" s="39">
        <f>E32*discount</f>
        <v/>
      </c>
      <c r="U32" s="40">
        <f>T32*S32</f>
        <v/>
      </c>
      <c r="V32" s="40">
        <f>(battery/range_nm)*D32*P32*VLOOKUP(B32,country_opex,3,FALSE)</f>
        <v/>
      </c>
      <c r="W32" s="40">
        <f>VLOOKUP(B32,country_opex,2,FALSE)*crew_factor</f>
        <v/>
      </c>
      <c r="X32" s="40">
        <f>VLOOKUP(B32,country_opex,5,FALSE)</f>
        <v/>
      </c>
      <c r="Y32" s="40">
        <f>maint</f>
        <v/>
      </c>
      <c r="Z32" s="40">
        <f>VLOOKUP(B32,country_opex,7,FALSE)*ins_pct</f>
        <v/>
      </c>
      <c r="AA32" s="40">
        <f>charge_berth</f>
        <v/>
      </c>
      <c r="AB32" s="40">
        <f>V32+W32+X32+Y32+Z32+AA32</f>
        <v/>
      </c>
      <c r="AC32" s="40">
        <f>VLOOKUP(B32,country_opex,7,FALSE)/dep_years</f>
        <v/>
      </c>
      <c r="AD32" s="40">
        <f>U32-AB32</f>
        <v/>
      </c>
      <c r="AE32" s="37">
        <f>IF(U32=0,"",AD32/U32)</f>
        <v/>
      </c>
      <c r="AF32" s="38">
        <f>IF(AD32&lt;=0,"",VLOOKUP(B32,country_opex,7,FALSE)/AD32)</f>
        <v/>
      </c>
      <c r="AG32" s="35">
        <f>((D32*P32/diesel_nmpg)*diesel_co2pg-(battery/range_nm)*D32*P32*VLOOKUP(B32,country_opex,4,FALSE))/1000</f>
        <v/>
      </c>
      <c r="AH32" s="33" t="n"/>
      <c r="AI32" s="34" t="n"/>
      <c r="AJ32" s="34" t="n"/>
      <c r="AK32" s="41" t="n">
        <v>0.1</v>
      </c>
      <c r="AL32" s="36">
        <f>IF(AH32="","",AH32*AK32)</f>
        <v/>
      </c>
      <c r="AM32" s="36">
        <f>IF(OR(AH32="",S32=0),"",MIN(IF(AU32="",9.9E+99,AU32),FLOOR(AL32/S32,1)))</f>
        <v/>
      </c>
      <c r="AN32" s="40">
        <f>IF(AM32="","",AM32*IF(ABS(MOD(ABS((U32)),1)-0.5)&lt;1E-9,2*ROUND((U32)/2,0),ROUND((U32),0)))</f>
        <v/>
      </c>
      <c r="AO32" s="38">
        <f>IF(OR(AH32="",S32=0),"",MIN(IF(AU32="",9.9E+99,AU32),AL32/S32))</f>
        <v/>
      </c>
      <c r="AP32" s="40">
        <f>IF(AO32="","",AO32*IF(B32="South Korea",IF(ABS(MOD(ABS((U32)),1)-0.5)&lt;1E-9,2*ROUND((U32)/2,0),ROUND((U32),0)),U32))</f>
        <v/>
      </c>
      <c r="AQ32" s="42" t="n"/>
      <c r="AR32" s="34" t="inlineStr">
        <is>
          <t>Estimated</t>
        </is>
      </c>
      <c r="AS32" s="43" t="n"/>
      <c r="AT32" s="43" t="n"/>
      <c r="AU32" s="44" t="n"/>
      <c r="AV32" s="45">
        <f>IF(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&lt;=0,"",VLOOKUP(B32,country_opex,7,FALSE)/((T32*pax_cap*load_thin*IF(ABS(MOD(ABS((L32*M32*revleg_thin)),1)-0.5)&lt;1E-9,2*ROUND((L32*M32*revleg_thin)/2,0),ROUND((L32*M32*revleg_thin),0)))-(((battery/range_nm)*D32*IF(ABS(MOD(ABS((L32*M32*revleg_thin)),1)-0.5)&lt;1E-9,2*ROUND((L32*M32*revleg_thin)/2,0),ROUND((L32*M32*revleg_thin),0))*VLOOKUP(B32,country_opex,3,FALSE))+W32+X32+Y32+Z32+AA32)))</f>
        <v/>
      </c>
      <c r="AW32" s="45">
        <f>IF(((T32*pax_cap*IF(B32="South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Korea",korea_mid_revleg,revleg_mid)),0))*VLOOKUP(B32,country_opex,3,FALSE))+W32+X32+Y32+Z32+AA32))&lt;=0,"",VLOOKUP(B32,country_opex,7,FALSE)/((T32*pax_cap*IF(B32="South Korea",korea_mid_load,load_mid)*IF(ABS(MOD(ABS((L32*M32*IF(B32="South Korea",korea_mid_revleg,revleg_mid))),1)-0.5)&lt;1E-9,2*ROUND((L32*M32*IF(B32="South Korea",korea_mid_revleg,revleg_mid))/2,0),ROUND((L32*M32*IF(B32="South Korea",korea_mid_revleg,revleg_mid)),0)))-(((battery/range_nm)*D32*IF(ABS(MOD(ABS((L32*M32*IF(B32="South Korea",korea_mid_revleg,revleg_mid))),1)-0.5)&lt;1E-9,2*ROUND((L32*M32*IF(B32="South Korea",korea_mid_revleg,revleg_mid))/2,0),ROUND((L32*M32*IF(B32="South Korea",korea_mid_revleg,revleg_mid)),0))*VLOOKUP(B32,country_opex,3,FALSE))+W32+X32+Y32+Z32+AA32)))</f>
        <v/>
      </c>
      <c r="AX32" s="45">
        <f>IF(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&lt;=0,"",VLOOKUP(B32,country_opex,7,FALSE)/((T32*pax_cap*load_full*IF(ABS(MOD(ABS((L32*M32*revleg_full)),1)-0.5)&lt;1E-9,2*ROUND((L32*M32*revleg_full)/2,0),ROUND((L32*M32*revleg_full),0)))-(((battery/range_nm)*D32*IF(ABS(MOD(ABS((L32*M32*revleg_full)),1)-0.5)&lt;1E-9,2*ROUND((L32*M32*revleg_full)/2,0),ROUND((L32*M32*revleg_full),0))*VLOOKUP(B32,country_opex,3,FALSE))+W32+X32+Y32+Z32+AA32)))</f>
        <v/>
      </c>
      <c r="AY32" s="46" t="inlineStr">
        <is>
          <t>[LB-255 PREMIUM RE-FARE: subsidized comparable $0.2 lifted to premium on-demand floor $18.0] Public river-bus fare ~5-10 EGP (~$0.10-0.20) - the COMMUTER FLOOR, not a premium tier. Recorded as ladder context; Navier would model a premium speedboat tier on this O-D closer to the Nile Taxi ~$5 level if served.</t>
        </is>
      </c>
      <c r="AZ32" s="46" t="n"/>
      <c r="BA32" s="34" t="n"/>
    </row>
    <row r="33">
      <c r="A33" s="31" t="inlineStr">
        <is>
          <t>Bolt Egypt</t>
        </is>
      </c>
      <c r="B33" s="31" t="inlineStr">
        <is>
          <t>Egypt</t>
        </is>
      </c>
      <c r="C33" s="32" t="inlineStr">
        <is>
          <t>Hurghada → El Gouna</t>
        </is>
      </c>
      <c r="D33" s="33" t="n">
        <v>14</v>
      </c>
      <c r="E33" s="27" t="n">
        <v>40.8</v>
      </c>
      <c r="F33" s="34" t="inlineStr">
        <is>
          <t>T2</t>
        </is>
      </c>
      <c r="G33" s="34" t="inlineStr">
        <is>
          <t>med</t>
        </is>
      </c>
      <c r="H33" s="20" t="n">
        <v>1</v>
      </c>
      <c r="I33" s="35">
        <f>60*D33/cruise_kt</f>
        <v/>
      </c>
      <c r="J33" s="35">
        <f>IF(B33="South Korea",D33/korea_charge_range_nm*korea_full_range_charge_min,0)</f>
        <v/>
      </c>
      <c r="K33" s="35">
        <f>IF(B33="South Korea",I33+korea_turn_min+korea_dwell_min+J33,I33+turn_min+dwell_min)</f>
        <v/>
      </c>
      <c r="L33" s="36">
        <f>IF(B33="South Korea",FLOOR(60*korea_service_hr/K33,1),MIN(15,FLOOR(60*service_hr/K33,1)))</f>
        <v/>
      </c>
      <c r="M33" s="36">
        <f>IF(ABS(MOD(ABS((365*mech_uptime*H33)),1)-0.5)&lt;1E-9,2*ROUND((365*mech_uptime*H33)/2,0),ROUND((365*mech_uptime*H33),0))</f>
        <v/>
      </c>
      <c r="N33" s="37">
        <f>mech_uptime</f>
        <v/>
      </c>
      <c r="O33" s="37">
        <f>IF(AND(B33="South Korea",scenario="MID"),korea_mid_revleg,revleg_sel)</f>
        <v/>
      </c>
      <c r="P33" s="36">
        <f>IF(ABS(MOD(ABS((L33*M33*O33)),1)-0.5)&lt;1E-9,2*ROUND((L33*M33*O33)/2,0),ROUND((L33*M33*O33),0))</f>
        <v/>
      </c>
      <c r="Q33" s="37">
        <f>IF(AND(B33="South Korea",scenario="MID"),korea_mid_load,load_sel)</f>
        <v/>
      </c>
      <c r="R33" s="38">
        <f>pax_cap*Q33</f>
        <v/>
      </c>
      <c r="S33" s="36">
        <f>R33*P33</f>
        <v/>
      </c>
      <c r="T33" s="39">
        <f>E33*discount</f>
        <v/>
      </c>
      <c r="U33" s="40">
        <f>T33*S33</f>
        <v/>
      </c>
      <c r="V33" s="40">
        <f>(battery/range_nm)*D33*P33*VLOOKUP(B33,country_opex,3,FALSE)</f>
        <v/>
      </c>
      <c r="W33" s="40">
        <f>VLOOKUP(B33,country_opex,2,FALSE)*crew_factor</f>
        <v/>
      </c>
      <c r="X33" s="40">
        <f>VLOOKUP(B33,country_opex,5,FALSE)</f>
        <v/>
      </c>
      <c r="Y33" s="40">
        <f>maint</f>
        <v/>
      </c>
      <c r="Z33" s="40">
        <f>VLOOKUP(B33,country_opex,7,FALSE)*ins_pct</f>
        <v/>
      </c>
      <c r="AA33" s="40">
        <f>charge_berth</f>
        <v/>
      </c>
      <c r="AB33" s="40">
        <f>V33+W33+X33+Y33+Z33+AA33</f>
        <v/>
      </c>
      <c r="AC33" s="40">
        <f>VLOOKUP(B33,country_opex,7,FALSE)/dep_years</f>
        <v/>
      </c>
      <c r="AD33" s="40">
        <f>U33-AB33</f>
        <v/>
      </c>
      <c r="AE33" s="37">
        <f>IF(U33=0,"",AD33/U33)</f>
        <v/>
      </c>
      <c r="AF33" s="38">
        <f>IF(AD33&lt;=0,"",VLOOKUP(B33,country_opex,7,FALSE)/AD33)</f>
        <v/>
      </c>
      <c r="AG33" s="35">
        <f>((D33*P33/diesel_nmpg)*diesel_co2pg-(battery/range_nm)*D33*P33*VLOOKUP(B33,country_opex,4,FALSE))/1000</f>
        <v/>
      </c>
      <c r="AH33" s="33" t="n">
        <v>10402</v>
      </c>
      <c r="AI33" s="34" t="n"/>
      <c r="AJ33" s="34" t="n"/>
      <c r="AK33" s="41" t="n">
        <v>0.1</v>
      </c>
      <c r="AL33" s="36">
        <f>IF(AH33="","",AH33*AK33)</f>
        <v/>
      </c>
      <c r="AM33" s="36">
        <f>IF(OR(AH33="",S33=0),"",MIN(IF(AU33="",9.9E+99,AU33),FLOOR(AL33/S33,1)))</f>
        <v/>
      </c>
      <c r="AN33" s="40">
        <f>IF(AM33="","",AM33*IF(ABS(MOD(ABS((U33)),1)-0.5)&lt;1E-9,2*ROUND((U33)/2,0),ROUND((U33),0)))</f>
        <v/>
      </c>
      <c r="AO33" s="38">
        <f>IF(OR(AH33="",S33=0),"",MIN(IF(AU33="",9.9E+99,AU33),AL33/S33))</f>
        <v/>
      </c>
      <c r="AP33" s="40">
        <f>IF(AO33="","",AO33*IF(B33="South Korea",IF(ABS(MOD(ABS((U33)),1)-0.5)&lt;1E-9,2*ROUND((U33)/2,0),ROUND((U33),0)),U33))</f>
        <v/>
      </c>
      <c r="AQ33" s="42" t="n"/>
      <c r="AR33" s="34" t="inlineStr">
        <is>
          <t>Upside tier</t>
        </is>
      </c>
      <c r="AS33" s="43" t="n"/>
      <c r="AT33" s="43" t="inlineStr">
        <is>
          <t>modal_shift_greenfield</t>
        </is>
      </c>
      <c r="AU33" s="44" t="n"/>
      <c r="AV33" s="45">
        <f>IF(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&lt;=0,"",VLOOKUP(B33,country_opex,7,FALSE)/((T33*pax_cap*load_thin*IF(ABS(MOD(ABS((L33*M33*revleg_thin)),1)-0.5)&lt;1E-9,2*ROUND((L33*M33*revleg_thin)/2,0),ROUND((L33*M33*revleg_thin),0)))-(((battery/range_nm)*D33*IF(ABS(MOD(ABS((L33*M33*revleg_thin)),1)-0.5)&lt;1E-9,2*ROUND((L33*M33*revleg_thin)/2,0),ROUND((L33*M33*revleg_thin),0))*VLOOKUP(B33,country_opex,3,FALSE))+W33+X33+Y33+Z33+AA33)))</f>
        <v/>
      </c>
      <c r="AW33" s="45">
        <f>IF(((T33*pax_cap*IF(B33="South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Korea",korea_mid_revleg,revleg_mid)),0))*VLOOKUP(B33,country_opex,3,FALSE))+W33+X33+Y33+Z33+AA33))&lt;=0,"",VLOOKUP(B33,country_opex,7,FALSE)/((T33*pax_cap*IF(B33="South Korea",korea_mid_load,load_mid)*IF(ABS(MOD(ABS((L33*M33*IF(B33="South Korea",korea_mid_revleg,revleg_mid))),1)-0.5)&lt;1E-9,2*ROUND((L33*M33*IF(B33="South Korea",korea_mid_revleg,revleg_mid))/2,0),ROUND((L33*M33*IF(B33="South Korea",korea_mid_revleg,revleg_mid)),0)))-(((battery/range_nm)*D33*IF(ABS(MOD(ABS((L33*M33*IF(B33="South Korea",korea_mid_revleg,revleg_mid))),1)-0.5)&lt;1E-9,2*ROUND((L33*M33*IF(B33="South Korea",korea_mid_revleg,revleg_mid))/2,0),ROUND((L33*M33*IF(B33="South Korea",korea_mid_revleg,revleg_mid)),0))*VLOOKUP(B33,country_opex,3,FALSE))+W33+X33+Y33+Z33+AA33)))</f>
        <v/>
      </c>
      <c r="AX33" s="45">
        <f>IF(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&lt;=0,"",VLOOKUP(B33,country_opex,7,FALSE)/((T33*pax_cap*load_full*IF(ABS(MOD(ABS((L33*M33*revleg_full)),1)-0.5)&lt;1E-9,2*ROUND((L33*M33*revleg_full)/2,0),ROUND((L33*M33*revleg_full),0)))-(((battery/range_nm)*D33*IF(ABS(MOD(ABS((L33*M33*revleg_full)),1)-0.5)&lt;1E-9,2*ROUND((L33*M33*revleg_full)/2,0),ROUND((L33*M33*revleg_full),0))*VLOOKUP(B33,country_opex,3,FALSE))+W33+X33+Y33+Z33+AA33)))</f>
        <v/>
      </c>
      <c r="AY33" s="46" t="inlineStr">
        <is>
          <t>Kept from prior registry = Dubai RTA premium water-taxi convention $40.8/seat (placeholder premium tier; no Egypt-native scheduled Hurghada&lt;-&gt;El Gouna water-taxi fare published - current link is private transfer/taxi by road). FLAG: convention placeholder, not an Egypt-sourced marine fare.</t>
        </is>
      </c>
      <c r="AZ33" s="46" t="n"/>
      <c r="BA33" s="34" t="inlineStr">
        <is>
          <t>gcn-6f2754b63b-yango</t>
        </is>
      </c>
    </row>
    <row r="34">
      <c r="A34" s="31" t="inlineStr">
        <is>
          <t>Bolt Egypt</t>
        </is>
      </c>
      <c r="B34" s="31" t="inlineStr">
        <is>
          <t>Egypt</t>
        </is>
      </c>
      <c r="C34" s="32" t="inlineStr">
        <is>
          <t>Sharm El Sheikh → Ras Mohammed / Tiran reefs</t>
        </is>
      </c>
      <c r="D34" s="33" t="n">
        <v>16</v>
      </c>
      <c r="E34" s="27" t="n">
        <v>50</v>
      </c>
      <c r="F34" s="34" t="inlineStr">
        <is>
          <t>T2</t>
        </is>
      </c>
      <c r="G34" s="34" t="inlineStr">
        <is>
          <t>med</t>
        </is>
      </c>
      <c r="H34" s="20" t="n">
        <v>1</v>
      </c>
      <c r="I34" s="35">
        <f>60*D34/cruise_kt</f>
        <v/>
      </c>
      <c r="J34" s="35">
        <f>IF(B34="South Korea",D34/korea_charge_range_nm*korea_full_range_charge_min,0)</f>
        <v/>
      </c>
      <c r="K34" s="35">
        <f>IF(B34="South Korea",I34+korea_turn_min+korea_dwell_min+J34,I34+turn_min+dwell_min)</f>
        <v/>
      </c>
      <c r="L34" s="36">
        <f>IF(B34="South Korea",FLOOR(60*korea_service_hr/K34,1),MIN(15,FLOOR(60*service_hr/K34,1)))</f>
        <v/>
      </c>
      <c r="M34" s="36">
        <f>IF(ABS(MOD(ABS((365*mech_uptime*H34)),1)-0.5)&lt;1E-9,2*ROUND((365*mech_uptime*H34)/2,0),ROUND((365*mech_uptime*H34),0))</f>
        <v/>
      </c>
      <c r="N34" s="37">
        <f>mech_uptime</f>
        <v/>
      </c>
      <c r="O34" s="37">
        <f>IF(AND(B34="South Korea",scenario="MID"),korea_mid_revleg,revleg_sel)</f>
        <v/>
      </c>
      <c r="P34" s="36">
        <f>IF(ABS(MOD(ABS((L34*M34*O34)),1)-0.5)&lt;1E-9,2*ROUND((L34*M34*O34)/2,0),ROUND((L34*M34*O34),0))</f>
        <v/>
      </c>
      <c r="Q34" s="37">
        <f>IF(AND(B34="South Korea",scenario="MID"),korea_mid_load,load_sel)</f>
        <v/>
      </c>
      <c r="R34" s="38">
        <f>pax_cap*Q34</f>
        <v/>
      </c>
      <c r="S34" s="36">
        <f>R34*P34</f>
        <v/>
      </c>
      <c r="T34" s="39">
        <f>E34*discount</f>
        <v/>
      </c>
      <c r="U34" s="40">
        <f>T34*S34</f>
        <v/>
      </c>
      <c r="V34" s="40">
        <f>(battery/range_nm)*D34*P34*VLOOKUP(B34,country_opex,3,FALSE)</f>
        <v/>
      </c>
      <c r="W34" s="40">
        <f>VLOOKUP(B34,country_opex,2,FALSE)*crew_factor</f>
        <v/>
      </c>
      <c r="X34" s="40">
        <f>VLOOKUP(B34,country_opex,5,FALSE)</f>
        <v/>
      </c>
      <c r="Y34" s="40">
        <f>maint</f>
        <v/>
      </c>
      <c r="Z34" s="40">
        <f>VLOOKUP(B34,country_opex,7,FALSE)*ins_pct</f>
        <v/>
      </c>
      <c r="AA34" s="40">
        <f>charge_berth</f>
        <v/>
      </c>
      <c r="AB34" s="40">
        <f>V34+W34+X34+Y34+Z34+AA34</f>
        <v/>
      </c>
      <c r="AC34" s="40">
        <f>VLOOKUP(B34,country_opex,7,FALSE)/dep_years</f>
        <v/>
      </c>
      <c r="AD34" s="40">
        <f>U34-AB34</f>
        <v/>
      </c>
      <c r="AE34" s="37">
        <f>IF(U34=0,"",AD34/U34)</f>
        <v/>
      </c>
      <c r="AF34" s="38">
        <f>IF(AD34&lt;=0,"",VLOOKUP(B34,country_opex,7,FALSE)/AD34)</f>
        <v/>
      </c>
      <c r="AG34" s="35">
        <f>((D34*P34/diesel_nmpg)*diesel_co2pg-(battery/range_nm)*D34*P34*VLOOKUP(B34,country_opex,4,FALSE))/1000</f>
        <v/>
      </c>
      <c r="AH34" s="33" t="n">
        <v>50000</v>
      </c>
      <c r="AI34" s="34" t="n"/>
      <c r="AJ34" s="34" t="n"/>
      <c r="AK34" s="41" t="n">
        <v>0.1</v>
      </c>
      <c r="AL34" s="36">
        <f>IF(AH34="","",AH34*AK34)</f>
        <v/>
      </c>
      <c r="AM34" s="36">
        <f>IF(OR(AH34="",S34=0),"",MIN(IF(AU34="",9.9E+99,AU34),FLOOR(AL34/S34,1)))</f>
        <v/>
      </c>
      <c r="AN34" s="40">
        <f>IF(AM34="","",AM34*IF(ABS(MOD(ABS((U34)),1)-0.5)&lt;1E-9,2*ROUND((U34)/2,0),ROUND((U34),0)))</f>
        <v/>
      </c>
      <c r="AO34" s="38">
        <f>IF(OR(AH34="",S34=0),"",MIN(IF(AU34="",9.9E+99,AU34),AL34/S34))</f>
        <v/>
      </c>
      <c r="AP34" s="40">
        <f>IF(AO34="","",AO34*IF(B34="South Korea",IF(ABS(MOD(ABS((U34)),1)-0.5)&lt;1E-9,2*ROUND((U34)/2,0),ROUND((U34),0)),U34))</f>
        <v/>
      </c>
      <c r="AQ34" s="42" t="n"/>
      <c r="AR34" s="34" t="inlineStr">
        <is>
          <t>Estimated</t>
        </is>
      </c>
      <c r="AS34" s="43" t="n"/>
      <c r="AT34" s="43" t="n"/>
      <c r="AU34" s="44" t="n"/>
      <c r="AV34" s="45">
        <f>IF(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&lt;=0,"",VLOOKUP(B34,country_opex,7,FALSE)/((T34*pax_cap*load_thin*IF(ABS(MOD(ABS((L34*M34*revleg_thin)),1)-0.5)&lt;1E-9,2*ROUND((L34*M34*revleg_thin)/2,0),ROUND((L34*M34*revleg_thin),0)))-(((battery/range_nm)*D34*IF(ABS(MOD(ABS((L34*M34*revleg_thin)),1)-0.5)&lt;1E-9,2*ROUND((L34*M34*revleg_thin)/2,0),ROUND((L34*M34*revleg_thin),0))*VLOOKUP(B34,country_opex,3,FALSE))+W34+X34+Y34+Z34+AA34)))</f>
        <v/>
      </c>
      <c r="AW34" s="45">
        <f>IF(((T34*pax_cap*IF(B34="South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Korea",korea_mid_revleg,revleg_mid)),0))*VLOOKUP(B34,country_opex,3,FALSE))+W34+X34+Y34+Z34+AA34))&lt;=0,"",VLOOKUP(B34,country_opex,7,FALSE)/((T34*pax_cap*IF(B34="South Korea",korea_mid_load,load_mid)*IF(ABS(MOD(ABS((L34*M34*IF(B34="South Korea",korea_mid_revleg,revleg_mid))),1)-0.5)&lt;1E-9,2*ROUND((L34*M34*IF(B34="South Korea",korea_mid_revleg,revleg_mid))/2,0),ROUND((L34*M34*IF(B34="South Korea",korea_mid_revleg,revleg_mid)),0)))-(((battery/range_nm)*D34*IF(ABS(MOD(ABS((L34*M34*IF(B34="South Korea",korea_mid_revleg,revleg_mid))),1)-0.5)&lt;1E-9,2*ROUND((L34*M34*IF(B34="South Korea",korea_mid_revleg,revleg_mid))/2,0),ROUND((L34*M34*IF(B34="South Korea",korea_mid_revleg,revleg_mid)),0))*VLOOKUP(B34,country_opex,3,FALSE))+W34+X34+Y34+Z34+AA34)))</f>
        <v/>
      </c>
      <c r="AX34" s="45">
        <f>IF(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&lt;=0,"",VLOOKUP(B34,country_opex,7,FALSE)/((T34*pax_cap*load_full*IF(ABS(MOD(ABS((L34*M34*revleg_full)),1)-0.5)&lt;1E-9,2*ROUND((L34*M34*revleg_full)/2,0),ROUND((L34*M34*revleg_full),0)))-(((battery/range_nm)*D34*IF(ABS(MOD(ABS((L34*M34*revleg_full)),1)-0.5)&lt;1E-9,2*ROUND((L34*M34*revleg_full)/2,0),ROUND((L34*M34*revleg_full),0))*VLOOKUP(B34,country_opex,3,FALSE))+W34+X34+Y34+Z34+AA34)))</f>
        <v/>
      </c>
      <c r="AY34" s="46" t="inlineStr">
        <is>
          <t>PREMIUM tier = VIP/premium Ras Mohammed + White Island boat sea-trip ~$52/adult (Tripadvisor VIP boat); standard scheduled boat day-trips from EUR 24 (~$26). Modeled premium tier ~$50.</t>
        </is>
      </c>
      <c r="AZ34" s="46" t="n"/>
      <c r="BA34" s="34" t="n"/>
    </row>
    <row r="35">
      <c r="A35" s="31" t="inlineStr">
        <is>
          <t>Bolt Egypt</t>
        </is>
      </c>
      <c r="B35" s="31" t="inlineStr">
        <is>
          <t>Egypt</t>
        </is>
      </c>
      <c r="C35" s="32" t="inlineStr">
        <is>
          <t>Hurghada → Soma Bay</t>
        </is>
      </c>
      <c r="D35" s="33" t="n">
        <v>25</v>
      </c>
      <c r="E35" s="27" t="n">
        <v>40.8</v>
      </c>
      <c r="F35" s="34" t="inlineStr">
        <is>
          <t>T2</t>
        </is>
      </c>
      <c r="G35" s="34" t="inlineStr">
        <is>
          <t>med</t>
        </is>
      </c>
      <c r="H35" s="20" t="n">
        <v>1</v>
      </c>
      <c r="I35" s="35">
        <f>60*D35/cruise_kt</f>
        <v/>
      </c>
      <c r="J35" s="35">
        <f>IF(B35="South Korea",D35/korea_charge_range_nm*korea_full_range_charge_min,0)</f>
        <v/>
      </c>
      <c r="K35" s="35">
        <f>IF(B35="South Korea",I35+korea_turn_min+korea_dwell_min+J35,I35+turn_min+dwell_min)</f>
        <v/>
      </c>
      <c r="L35" s="36">
        <f>IF(B35="South Korea",FLOOR(60*korea_service_hr/K35,1),MIN(15,FLOOR(60*service_hr/K35,1)))</f>
        <v/>
      </c>
      <c r="M35" s="36">
        <f>IF(ABS(MOD(ABS((365*mech_uptime*H35)),1)-0.5)&lt;1E-9,2*ROUND((365*mech_uptime*H35)/2,0),ROUND((365*mech_uptime*H35),0))</f>
        <v/>
      </c>
      <c r="N35" s="37">
        <f>mech_uptime</f>
        <v/>
      </c>
      <c r="O35" s="37">
        <f>IF(AND(B35="South Korea",scenario="MID"),korea_mid_revleg,revleg_sel)</f>
        <v/>
      </c>
      <c r="P35" s="36">
        <f>IF(ABS(MOD(ABS((L35*M35*O35)),1)-0.5)&lt;1E-9,2*ROUND((L35*M35*O35)/2,0),ROUND((L35*M35*O35),0))</f>
        <v/>
      </c>
      <c r="Q35" s="37">
        <f>IF(AND(B35="South Korea",scenario="MID"),korea_mid_load,load_sel)</f>
        <v/>
      </c>
      <c r="R35" s="38">
        <f>pax_cap*Q35</f>
        <v/>
      </c>
      <c r="S35" s="36">
        <f>R35*P35</f>
        <v/>
      </c>
      <c r="T35" s="39">
        <f>E35*discount</f>
        <v/>
      </c>
      <c r="U35" s="40">
        <f>T35*S35</f>
        <v/>
      </c>
      <c r="V35" s="40">
        <f>(battery/range_nm)*D35*P35*VLOOKUP(B35,country_opex,3,FALSE)</f>
        <v/>
      </c>
      <c r="W35" s="40">
        <f>VLOOKUP(B35,country_opex,2,FALSE)*crew_factor</f>
        <v/>
      </c>
      <c r="X35" s="40">
        <f>VLOOKUP(B35,country_opex,5,FALSE)</f>
        <v/>
      </c>
      <c r="Y35" s="40">
        <f>maint</f>
        <v/>
      </c>
      <c r="Z35" s="40">
        <f>VLOOKUP(B35,country_opex,7,FALSE)*ins_pct</f>
        <v/>
      </c>
      <c r="AA35" s="40">
        <f>charge_berth</f>
        <v/>
      </c>
      <c r="AB35" s="40">
        <f>V35+W35+X35+Y35+Z35+AA35</f>
        <v/>
      </c>
      <c r="AC35" s="40">
        <f>VLOOKUP(B35,country_opex,7,FALSE)/dep_years</f>
        <v/>
      </c>
      <c r="AD35" s="40">
        <f>U35-AB35</f>
        <v/>
      </c>
      <c r="AE35" s="37">
        <f>IF(U35=0,"",AD35/U35)</f>
        <v/>
      </c>
      <c r="AF35" s="38">
        <f>IF(AD35&lt;=0,"",VLOOKUP(B35,country_opex,7,FALSE)/AD35)</f>
        <v/>
      </c>
      <c r="AG35" s="35">
        <f>((D35*P35/diesel_nmpg)*diesel_co2pg-(battery/range_nm)*D35*P35*VLOOKUP(B35,country_opex,4,FALSE))/1000</f>
        <v/>
      </c>
      <c r="AH35" s="33" t="n">
        <v>6935</v>
      </c>
      <c r="AI35" s="34" t="n"/>
      <c r="AJ35" s="34" t="n"/>
      <c r="AK35" s="41" t="n">
        <v>0.1</v>
      </c>
      <c r="AL35" s="36">
        <f>IF(AH35="","",AH35*AK35)</f>
        <v/>
      </c>
      <c r="AM35" s="36">
        <f>IF(OR(AH35="",S35=0),"",MIN(IF(AU35="",9.9E+99,AU35),FLOOR(AL35/S35,1)))</f>
        <v/>
      </c>
      <c r="AN35" s="40">
        <f>IF(AM35="","",AM35*IF(ABS(MOD(ABS((U35)),1)-0.5)&lt;1E-9,2*ROUND((U35)/2,0),ROUND((U35),0)))</f>
        <v/>
      </c>
      <c r="AO35" s="38">
        <f>IF(OR(AH35="",S35=0),"",MIN(IF(AU35="",9.9E+99,AU35),AL35/S35))</f>
        <v/>
      </c>
      <c r="AP35" s="40">
        <f>IF(AO35="","",AO35*IF(B35="South Korea",IF(ABS(MOD(ABS((U35)),1)-0.5)&lt;1E-9,2*ROUND((U35)/2,0),ROUND((U35),0)),U35))</f>
        <v/>
      </c>
      <c r="AQ35" s="42" t="n"/>
      <c r="AR35" s="34" t="inlineStr">
        <is>
          <t>Estimated</t>
        </is>
      </c>
      <c r="AS35" s="43" t="n"/>
      <c r="AT35" s="43" t="n"/>
      <c r="AU35" s="44" t="n"/>
      <c r="AV35" s="45">
        <f>IF(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&lt;=0,"",VLOOKUP(B35,country_opex,7,FALSE)/((T35*pax_cap*load_thin*IF(ABS(MOD(ABS((L35*M35*revleg_thin)),1)-0.5)&lt;1E-9,2*ROUND((L35*M35*revleg_thin)/2,0),ROUND((L35*M35*revleg_thin),0)))-(((battery/range_nm)*D35*IF(ABS(MOD(ABS((L35*M35*revleg_thin)),1)-0.5)&lt;1E-9,2*ROUND((L35*M35*revleg_thin)/2,0),ROUND((L35*M35*revleg_thin),0))*VLOOKUP(B35,country_opex,3,FALSE))+W35+X35+Y35+Z35+AA35)))</f>
        <v/>
      </c>
      <c r="AW35" s="45">
        <f>IF(((T35*pax_cap*IF(B35="South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Korea",korea_mid_revleg,revleg_mid)),0))*VLOOKUP(B35,country_opex,3,FALSE))+W35+X35+Y35+Z35+AA35))&lt;=0,"",VLOOKUP(B35,country_opex,7,FALSE)/((T35*pax_cap*IF(B35="South Korea",korea_mid_load,load_mid)*IF(ABS(MOD(ABS((L35*M35*IF(B35="South Korea",korea_mid_revleg,revleg_mid))),1)-0.5)&lt;1E-9,2*ROUND((L35*M35*IF(B35="South Korea",korea_mid_revleg,revleg_mid))/2,0),ROUND((L35*M35*IF(B35="South Korea",korea_mid_revleg,revleg_mid)),0)))-(((battery/range_nm)*D35*IF(ABS(MOD(ABS((L35*M35*IF(B35="South Korea",korea_mid_revleg,revleg_mid))),1)-0.5)&lt;1E-9,2*ROUND((L35*M35*IF(B35="South Korea",korea_mid_revleg,revleg_mid))/2,0),ROUND((L35*M35*IF(B35="South Korea",korea_mid_revleg,revleg_mid)),0))*VLOOKUP(B35,country_opex,3,FALSE))+W35+X35+Y35+Z35+AA35)))</f>
        <v/>
      </c>
      <c r="AX35" s="45">
        <f>IF(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&lt;=0,"",VLOOKUP(B35,country_opex,7,FALSE)/((T35*pax_cap*load_full*IF(ABS(MOD(ABS((L35*M35*revleg_full)),1)-0.5)&lt;1E-9,2*ROUND((L35*M35*revleg_full)/2,0),ROUND((L35*M35*revleg_full),0)))-(((battery/range_nm)*D35*IF(ABS(MOD(ABS((L35*M35*revleg_full)),1)-0.5)&lt;1E-9,2*ROUND((L35*M35*revleg_full)/2,0),ROUND((L35*M35*revleg_full),0))*VLOOKUP(B35,country_opex,3,FALSE))+W35+X35+Y35+Z35+AA35)))</f>
        <v/>
      </c>
      <c r="AY35" s="46" t="inlineStr">
        <is>
          <t>PREMIUM tier proxy = Dubai RTA convention $40.8/seat (premium resort-transfer tier). No scheduled Egypt-native marine fare on this leg.</t>
        </is>
      </c>
      <c r="AZ35" s="46" t="n"/>
      <c r="BA35" s="34" t="n"/>
    </row>
    <row r="36">
      <c r="A36" s="31" t="inlineStr">
        <is>
          <t>Bolt Egypt</t>
        </is>
      </c>
      <c r="B36" s="31" t="inlineStr">
        <is>
          <t>Egypt</t>
        </is>
      </c>
      <c r="C36" s="32" t="inlineStr">
        <is>
          <t>Sharm El Sheikh → Dahab</t>
        </is>
      </c>
      <c r="D36" s="33" t="n">
        <v>28</v>
      </c>
      <c r="E36" s="27" t="n">
        <v>15</v>
      </c>
      <c r="F36" s="34" t="inlineStr">
        <is>
          <t>T2</t>
        </is>
      </c>
      <c r="G36" s="34" t="inlineStr">
        <is>
          <t>med</t>
        </is>
      </c>
      <c r="H36" s="20" t="n">
        <v>1</v>
      </c>
      <c r="I36" s="35">
        <f>60*D36/cruise_kt</f>
        <v/>
      </c>
      <c r="J36" s="35">
        <f>IF(B36="South Korea",D36/korea_charge_range_nm*korea_full_range_charge_min,0)</f>
        <v/>
      </c>
      <c r="K36" s="35">
        <f>IF(B36="South Korea",I36+korea_turn_min+korea_dwell_min+J36,I36+turn_min+dwell_min)</f>
        <v/>
      </c>
      <c r="L36" s="36">
        <f>IF(B36="South Korea",FLOOR(60*korea_service_hr/K36,1),MIN(24,FLOOR(60*service_hr/K36,1)))</f>
        <v/>
      </c>
      <c r="M36" s="36">
        <f>IF(ABS(MOD(ABS((365*mech_uptime*H36)),1)-0.5)&lt;1E-9,2*ROUND((365*mech_uptime*H36)/2,0),ROUND((365*mech_uptime*H36),0))</f>
        <v/>
      </c>
      <c r="N36" s="37">
        <f>mech_uptime</f>
        <v/>
      </c>
      <c r="O36" s="37">
        <f>IF(AND(B36="South Korea",scenario="MID"),korea_mid_revleg,revleg_sel)</f>
        <v/>
      </c>
      <c r="P36" s="36">
        <f>IF(ABS(MOD(ABS((L36*M36*O36)),1)-0.5)&lt;1E-9,2*ROUND((L36*M36*O36)/2,0),ROUND((L36*M36*O36),0))</f>
        <v/>
      </c>
      <c r="Q36" s="37">
        <f>IF(AND(B36="South Korea",scenario="MID"),korea_mid_load,load_sel)</f>
        <v/>
      </c>
      <c r="R36" s="38">
        <f>pax_cap*Q36</f>
        <v/>
      </c>
      <c r="S36" s="36">
        <f>R36*P36</f>
        <v/>
      </c>
      <c r="T36" s="39">
        <f>E36*discount</f>
        <v/>
      </c>
      <c r="U36" s="40">
        <f>T36*S36</f>
        <v/>
      </c>
      <c r="V36" s="40">
        <f>(battery/range_nm)*D36*P36*VLOOKUP(B36,country_opex,3,FALSE)</f>
        <v/>
      </c>
      <c r="W36" s="40">
        <f>VLOOKUP(B36,country_opex,2,FALSE)*crew_factor</f>
        <v/>
      </c>
      <c r="X36" s="40">
        <f>VLOOKUP(B36,country_opex,5,FALSE)</f>
        <v/>
      </c>
      <c r="Y36" s="40">
        <f>maint</f>
        <v/>
      </c>
      <c r="Z36" s="40">
        <f>VLOOKUP(B36,country_opex,7,FALSE)*ins_pct</f>
        <v/>
      </c>
      <c r="AA36" s="40">
        <f>charge_berth</f>
        <v/>
      </c>
      <c r="AB36" s="40">
        <f>V36+W36+X36+Y36+Z36+AA36</f>
        <v/>
      </c>
      <c r="AC36" s="40">
        <f>VLOOKUP(B36,country_opex,7,FALSE)/dep_years</f>
        <v/>
      </c>
      <c r="AD36" s="40">
        <f>U36-AB36</f>
        <v/>
      </c>
      <c r="AE36" s="37">
        <f>IF(U36=0,"",AD36/U36)</f>
        <v/>
      </c>
      <c r="AF36" s="38">
        <f>IF(AD36&lt;=0,"",VLOOKUP(B36,country_opex,7,FALSE)/AD36)</f>
        <v/>
      </c>
      <c r="AG36" s="35">
        <f>((D36*P36/diesel_nmpg)*diesel_co2pg-(battery/range_nm)*D36*P36*VLOOKUP(B36,country_opex,4,FALSE))/1000</f>
        <v/>
      </c>
      <c r="AH36" s="33" t="n"/>
      <c r="AI36" s="34" t="n"/>
      <c r="AJ36" s="34" t="n"/>
      <c r="AK36" s="41" t="n">
        <v>0.1</v>
      </c>
      <c r="AL36" s="36">
        <f>IF(AH36="","",AH36*AK36)</f>
        <v/>
      </c>
      <c r="AM36" s="36">
        <f>IF(OR(AH36="",S36=0),"",MIN(IF(AU36="",9.9E+99,AU36),FLOOR(AL36/S36,1)))</f>
        <v/>
      </c>
      <c r="AN36" s="40">
        <f>IF(AM36="","",AM36*IF(ABS(MOD(ABS((U36)),1)-0.5)&lt;1E-9,2*ROUND((U36)/2,0),ROUND((U36),0)))</f>
        <v/>
      </c>
      <c r="AO36" s="38">
        <f>IF(OR(AH36="",S36=0),"",MIN(IF(AU36="",9.9E+99,AU36),AL36/S36))</f>
        <v/>
      </c>
      <c r="AP36" s="40">
        <f>IF(AO36="","",AO36*IF(B36="South Korea",IF(ABS(MOD(ABS((U36)),1)-0.5)&lt;1E-9,2*ROUND((U36)/2,0),ROUND((U36),0)),U36))</f>
        <v/>
      </c>
      <c r="AQ36" s="42" t="n"/>
      <c r="AR36" s="34" t="inlineStr">
        <is>
          <t>Estimated</t>
        </is>
      </c>
      <c r="AS36" s="43" t="n"/>
      <c r="AT36" s="43" t="n"/>
      <c r="AU36" s="44" t="n"/>
      <c r="AV36" s="45">
        <f>IF(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&lt;=0,"",VLOOKUP(B36,country_opex,7,FALSE)/((T36*pax_cap*load_thin*IF(ABS(MOD(ABS((L36*M36*revleg_thin)),1)-0.5)&lt;1E-9,2*ROUND((L36*M36*revleg_thin)/2,0),ROUND((L36*M36*revleg_thin),0)))-(((battery/range_nm)*D36*IF(ABS(MOD(ABS((L36*M36*revleg_thin)),1)-0.5)&lt;1E-9,2*ROUND((L36*M36*revleg_thin)/2,0),ROUND((L36*M36*revleg_thin),0))*VLOOKUP(B36,country_opex,3,FALSE))+W36+X36+Y36+Z36+AA36)))</f>
        <v/>
      </c>
      <c r="AW36" s="45">
        <f>IF(((T36*pax_cap*IF(B36="South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Korea",korea_mid_revleg,revleg_mid)),0))*VLOOKUP(B36,country_opex,3,FALSE))+W36+X36+Y36+Z36+AA36))&lt;=0,"",VLOOKUP(B36,country_opex,7,FALSE)/((T36*pax_cap*IF(B36="South Korea",korea_mid_load,load_mid)*IF(ABS(MOD(ABS((L36*M36*IF(B36="South Korea",korea_mid_revleg,revleg_mid))),1)-0.5)&lt;1E-9,2*ROUND((L36*M36*IF(B36="South Korea",korea_mid_revleg,revleg_mid))/2,0),ROUND((L36*M36*IF(B36="South Korea",korea_mid_revleg,revleg_mid)),0)))-(((battery/range_nm)*D36*IF(ABS(MOD(ABS((L36*M36*IF(B36="South Korea",korea_mid_revleg,revleg_mid))),1)-0.5)&lt;1E-9,2*ROUND((L36*M36*IF(B36="South Korea",korea_mid_revleg,revleg_mid))/2,0),ROUND((L36*M36*IF(B36="South Korea",korea_mid_revleg,revleg_mid)),0))*VLOOKUP(B36,country_opex,3,FALSE))+W36+X36+Y36+Z36+AA36)))</f>
        <v/>
      </c>
      <c r="AX36" s="45">
        <f>IF(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&lt;=0,"",VLOOKUP(B36,country_opex,7,FALSE)/((T36*pax_cap*load_full*IF(ABS(MOD(ABS((L36*M36*revleg_full)),1)-0.5)&lt;1E-9,2*ROUND((L36*M36*revleg_full)/2,0),ROUND((L36*M36*revleg_full),0)))-(((battery/range_nm)*D36*IF(ABS(MOD(ABS((L36*M36*revleg_full)),1)-0.5)&lt;1E-9,2*ROUND((L36*M36*revleg_full)/2,0),ROUND((L36*M36*revleg_full),0))*VLOOKUP(B36,country_opex,3,FALSE))+W36+X36+Y36+Z36+AA36)))</f>
        <v/>
      </c>
      <c r="AY36" s="46" t="inlineStr">
        <is>
          <t>PREMIUM tier (road analogue) = private transfer Sharm&lt;-&gt;Dahab ~1400-1500 EGP/car (~$29-31) divided ~4 pax (~$7.5/seat) up to premium per-seat ~$15; no scheduled marine fare exists.</t>
        </is>
      </c>
      <c r="AZ36" s="46" t="n"/>
      <c r="BA36" s="34" t="n"/>
    </row>
    <row r="37">
      <c r="A37" s="31" t="inlineStr">
        <is>
          <t>Bolt Egypt</t>
        </is>
      </c>
      <c r="B37" s="31" t="inlineStr">
        <is>
          <t>Egypt</t>
        </is>
      </c>
      <c r="C37" s="32" t="inlineStr">
        <is>
          <t>Hurghada / El Gouna → Sharm El Sheikh</t>
        </is>
      </c>
      <c r="D37" s="33" t="n">
        <v>49.8</v>
      </c>
      <c r="E37" s="27" t="n">
        <v>110</v>
      </c>
      <c r="F37" s="34" t="inlineStr">
        <is>
          <t>T2</t>
        </is>
      </c>
      <c r="G37" s="34" t="inlineStr">
        <is>
          <t>med</t>
        </is>
      </c>
      <c r="H37" s="20" t="n">
        <v>1</v>
      </c>
      <c r="I37" s="35">
        <f>60*D37/cruise_kt</f>
        <v/>
      </c>
      <c r="J37" s="35">
        <f>IF(B37="South Korea",D37/korea_charge_range_nm*korea_full_range_charge_min,0)</f>
        <v/>
      </c>
      <c r="K37" s="35">
        <f>IF(B37="South Korea",I37+korea_turn_min+korea_dwell_min+J37,I37+turn_min+dwell_min)</f>
        <v/>
      </c>
      <c r="L37" s="36">
        <f>IF(B37="South Korea",FLOOR(60*korea_service_hr/K37,1),MIN(15,FLOOR(60*service_hr/K37,1)))</f>
        <v/>
      </c>
      <c r="M37" s="36">
        <f>IF(ABS(MOD(ABS((365*mech_uptime*H37)),1)-0.5)&lt;1E-9,2*ROUND((365*mech_uptime*H37)/2,0),ROUND((365*mech_uptime*H37),0))</f>
        <v/>
      </c>
      <c r="N37" s="37">
        <f>mech_uptime</f>
        <v/>
      </c>
      <c r="O37" s="37">
        <f>IF(AND(B37="South Korea",scenario="MID"),korea_mid_revleg,revleg_sel)</f>
        <v/>
      </c>
      <c r="P37" s="36">
        <f>IF(ABS(MOD(ABS((L37*M37*O37)),1)-0.5)&lt;1E-9,2*ROUND((L37*M37*O37)/2,0),ROUND((L37*M37*O37),0))</f>
        <v/>
      </c>
      <c r="Q37" s="37">
        <f>IF(AND(B37="South Korea",scenario="MID"),korea_mid_load,load_sel)</f>
        <v/>
      </c>
      <c r="R37" s="38">
        <f>pax_cap*Q37</f>
        <v/>
      </c>
      <c r="S37" s="36">
        <f>R37*P37</f>
        <v/>
      </c>
      <c r="T37" s="39">
        <f>E37*discount</f>
        <v/>
      </c>
      <c r="U37" s="40">
        <f>T37*S37</f>
        <v/>
      </c>
      <c r="V37" s="40">
        <f>(battery/range_nm)*D37*P37*VLOOKUP(B37,country_opex,3,FALSE)</f>
        <v/>
      </c>
      <c r="W37" s="40">
        <f>VLOOKUP(B37,country_opex,2,FALSE)*crew_factor</f>
        <v/>
      </c>
      <c r="X37" s="40">
        <f>VLOOKUP(B37,country_opex,5,FALSE)</f>
        <v/>
      </c>
      <c r="Y37" s="40">
        <f>maint</f>
        <v/>
      </c>
      <c r="Z37" s="40">
        <f>VLOOKUP(B37,country_opex,7,FALSE)*ins_pct</f>
        <v/>
      </c>
      <c r="AA37" s="40">
        <f>charge_berth</f>
        <v/>
      </c>
      <c r="AB37" s="40">
        <f>V37+W37+X37+Y37+Z37+AA37</f>
        <v/>
      </c>
      <c r="AC37" s="40">
        <f>VLOOKUP(B37,country_opex,7,FALSE)/dep_years</f>
        <v/>
      </c>
      <c r="AD37" s="40">
        <f>U37-AB37</f>
        <v/>
      </c>
      <c r="AE37" s="37">
        <f>IF(U37=0,"",AD37/U37)</f>
        <v/>
      </c>
      <c r="AF37" s="38">
        <f>IF(AD37&lt;=0,"",VLOOKUP(B37,country_opex,7,FALSE)/AD37)</f>
        <v/>
      </c>
      <c r="AG37" s="35">
        <f>((D37*P37/diesel_nmpg)*diesel_co2pg-(battery/range_nm)*D37*P37*VLOOKUP(B37,country_opex,4,FALSE))/1000</f>
        <v/>
      </c>
      <c r="AH37" s="33" t="n"/>
      <c r="AI37" s="34" t="inlineStr">
        <is>
          <t>T5</t>
        </is>
      </c>
      <c r="AJ37" s="34" t="inlineStr">
        <is>
          <t>low</t>
        </is>
      </c>
      <c r="AK37" s="41" t="n">
        <v>0.1</v>
      </c>
      <c r="AL37" s="36">
        <f>IF(AH37="","",AH37*AK37)</f>
        <v/>
      </c>
      <c r="AM37" s="36">
        <f>IF(OR(AH37="",S37=0),"",MIN(IF(AU37="",9.9E+99,AU37),FLOOR(AL37/S37,1)))</f>
        <v/>
      </c>
      <c r="AN37" s="40">
        <f>IF(AM37="","",AM37*IF(ABS(MOD(ABS((U37)),1)-0.5)&lt;1E-9,2*ROUND((U37)/2,0),ROUND((U37),0)))</f>
        <v/>
      </c>
      <c r="AO37" s="38">
        <f>IF(OR(AH37="",S37=0),"",MIN(IF(AU37="",9.9E+99,AU37),AL37/S37))</f>
        <v/>
      </c>
      <c r="AP37" s="40">
        <f>IF(AO37="","",AO37*IF(B37="South Korea",IF(ABS(MOD(ABS((U37)),1)-0.5)&lt;1E-9,2*ROUND((U37)/2,0),ROUND((U37),0)),U37))</f>
        <v/>
      </c>
      <c r="AQ37" s="42" t="n"/>
      <c r="AR37" s="34" t="inlineStr">
        <is>
          <t>Upside tier</t>
        </is>
      </c>
      <c r="AS37" s="43" t="n"/>
      <c r="AT37" s="43" t="inlineStr">
        <is>
          <t>modal_shift_greenfield</t>
        </is>
      </c>
      <c r="AU37" s="44" t="n"/>
      <c r="AV37" s="45">
        <f>IF(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&lt;=0,"",VLOOKUP(B37,country_opex,7,FALSE)/((T37*pax_cap*load_thin*IF(ABS(MOD(ABS((L37*M37*revleg_thin)),1)-0.5)&lt;1E-9,2*ROUND((L37*M37*revleg_thin)/2,0),ROUND((L37*M37*revleg_thin),0)))-(((battery/range_nm)*D37*IF(ABS(MOD(ABS((L37*M37*revleg_thin)),1)-0.5)&lt;1E-9,2*ROUND((L37*M37*revleg_thin)/2,0),ROUND((L37*M37*revleg_thin),0))*VLOOKUP(B37,country_opex,3,FALSE))+W37+X37+Y37+Z37+AA37)))</f>
        <v/>
      </c>
      <c r="AW37" s="45">
        <f>IF(((T37*pax_cap*IF(B37="South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Korea",korea_mid_revleg,revleg_mid)),0))*VLOOKUP(B37,country_opex,3,FALSE))+W37+X37+Y37+Z37+AA37))&lt;=0,"",VLOOKUP(B37,country_opex,7,FALSE)/((T37*pax_cap*IF(B37="South Korea",korea_mid_load,load_mid)*IF(ABS(MOD(ABS((L37*M37*IF(B37="South Korea",korea_mid_revleg,revleg_mid))),1)-0.5)&lt;1E-9,2*ROUND((L37*M37*IF(B37="South Korea",korea_mid_revleg,revleg_mid))/2,0),ROUND((L37*M37*IF(B37="South Korea",korea_mid_revleg,revleg_mid)),0)))-(((battery/range_nm)*D37*IF(ABS(MOD(ABS((L37*M37*IF(B37="South Korea",korea_mid_revleg,revleg_mid))),1)-0.5)&lt;1E-9,2*ROUND((L37*M37*IF(B37="South Korea",korea_mid_revleg,revleg_mid))/2,0),ROUND((L37*M37*IF(B37="South Korea",korea_mid_revleg,revleg_mid)),0))*VLOOKUP(B37,country_opex,3,FALSE))+W37+X37+Y37+Z37+AA37)))</f>
        <v/>
      </c>
      <c r="AX37" s="45">
        <f>IF(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&lt;=0,"",VLOOKUP(B37,country_opex,7,FALSE)/((T37*pax_cap*load_full*IF(ABS(MOD(ABS((L37*M37*revleg_full)),1)-0.5)&lt;1E-9,2*ROUND((L37*M37*revleg_full)/2,0),ROUND((L37*M37*revleg_full),0)))-(((battery/range_nm)*D37*IF(ABS(MOD(ABS((L37*M37*revleg_full)),1)-0.5)&lt;1E-9,2*ROUND((L37*M37*revleg_full)/2,0),ROUND((L37*M37*revleg_full),0))*VLOOKUP(B37,country_opex,3,FALSE))+W37+X37+Y37+Z37+AA37)))</f>
        <v/>
      </c>
      <c r="AY37" s="46" t="inlineStr">
        <is>
          <t>Kept from prior registry = $110/seat (historic fast-ferry premium fare level / cross-gulf premium tier). FLAG: legacy/aspirational - no active service.</t>
        </is>
      </c>
      <c r="AZ37" s="46" t="inlineStr">
        <is>
          <t>tourism</t>
        </is>
      </c>
      <c r="BA37" s="34" t="inlineStr">
        <is>
          <t>gcn-73d7e2f19c-bolt</t>
        </is>
      </c>
    </row>
    <row r="38">
      <c r="A38" s="31" t="inlineStr">
        <is>
          <t>Bolt Estonia</t>
        </is>
      </c>
      <c r="B38" s="31" t="inlineStr">
        <is>
          <t>Estonia</t>
        </is>
      </c>
      <c r="C38" s="32" t="inlineStr">
        <is>
          <t>Tallinn Old City Harbour → Pirita Marina</t>
        </is>
      </c>
      <c r="D38" s="33" t="n">
        <v>4.5</v>
      </c>
      <c r="E38" s="27" t="n"/>
      <c r="F38" s="34" t="inlineStr">
        <is>
          <t>T5</t>
        </is>
      </c>
      <c r="G38" s="34" t="inlineStr">
        <is>
          <t>low</t>
        </is>
      </c>
      <c r="H38" s="20" t="n">
        <v>1</v>
      </c>
      <c r="I38" s="35">
        <f>60*D38/cruise_kt</f>
        <v/>
      </c>
      <c r="J38" s="35">
        <f>IF(B38="South Korea",D38/korea_charge_range_nm*korea_full_range_charge_min,0)</f>
        <v/>
      </c>
      <c r="K38" s="35">
        <f>IF(B38="South Korea",I38+korea_turn_min+korea_dwell_min+J38,I38+turn_min+dwell_min)</f>
        <v/>
      </c>
      <c r="L38" s="36">
        <f>IF(B38="South Korea",FLOOR(60*korea_service_hr/K38,1),MIN(24,FLOOR(60*service_hr/K38,1)))</f>
        <v/>
      </c>
      <c r="M38" s="36">
        <f>IF(ABS(MOD(ABS((365*mech_uptime*H38)),1)-0.5)&lt;1E-9,2*ROUND((365*mech_uptime*H38)/2,0),ROUND((365*mech_uptime*H38),0))</f>
        <v/>
      </c>
      <c r="N38" s="37">
        <f>mech_uptime</f>
        <v/>
      </c>
      <c r="O38" s="37">
        <f>IF(AND(B38="South Korea",scenario="MID"),korea_mid_revleg,revleg_sel)</f>
        <v/>
      </c>
      <c r="P38" s="36">
        <f>IF(ABS(MOD(ABS((L38*M38*O38)),1)-0.5)&lt;1E-9,2*ROUND((L38*M38*O38)/2,0),ROUND((L38*M38*O38),0))</f>
        <v/>
      </c>
      <c r="Q38" s="37">
        <f>IF(AND(B38="South Korea",scenario="MID"),korea_mid_load,load_sel)</f>
        <v/>
      </c>
      <c r="R38" s="38">
        <f>pax_cap*Q38</f>
        <v/>
      </c>
      <c r="S38" s="36">
        <f>R38*P38</f>
        <v/>
      </c>
      <c r="T38" s="39">
        <f>E38*discount</f>
        <v/>
      </c>
      <c r="U38" s="40">
        <f>T38*S38</f>
        <v/>
      </c>
      <c r="V38" s="40">
        <f>(battery/range_nm)*D38*P38*VLOOKUP(B38,country_opex,3,FALSE)</f>
        <v/>
      </c>
      <c r="W38" s="40">
        <f>VLOOKUP(B38,country_opex,2,FALSE)*crew_factor</f>
        <v/>
      </c>
      <c r="X38" s="40">
        <f>VLOOKUP(B38,country_opex,5,FALSE)</f>
        <v/>
      </c>
      <c r="Y38" s="40">
        <f>maint</f>
        <v/>
      </c>
      <c r="Z38" s="40">
        <f>VLOOKUP(B38,country_opex,7,FALSE)*ins_pct</f>
        <v/>
      </c>
      <c r="AA38" s="40">
        <f>charge_berth</f>
        <v/>
      </c>
      <c r="AB38" s="40">
        <f>V38+W38+X38+Y38+Z38+AA38</f>
        <v/>
      </c>
      <c r="AC38" s="40">
        <f>VLOOKUP(B38,country_opex,7,FALSE)/dep_years</f>
        <v/>
      </c>
      <c r="AD38" s="40">
        <f>U38-AB38</f>
        <v/>
      </c>
      <c r="AE38" s="37">
        <f>IF(U38=0,"",AD38/U38)</f>
        <v/>
      </c>
      <c r="AF38" s="38">
        <f>IF(AD38&lt;=0,"",VLOOKUP(B38,country_opex,7,FALSE)/AD38)</f>
        <v/>
      </c>
      <c r="AG38" s="35">
        <f>((D38*P38/diesel_nmpg)*diesel_co2pg-(battery/range_nm)*D38*P38*VLOOKUP(B38,country_opex,4,FALSE))/1000</f>
        <v/>
      </c>
      <c r="AH38" s="33" t="n"/>
      <c r="AI38" s="34" t="inlineStr">
        <is>
          <t>T5</t>
        </is>
      </c>
      <c r="AJ38" s="34" t="inlineStr">
        <is>
          <t>low</t>
        </is>
      </c>
      <c r="AK38" s="41" t="n">
        <v>0.1</v>
      </c>
      <c r="AL38" s="36">
        <f>IF(AH38="","",AH38*AK38)</f>
        <v/>
      </c>
      <c r="AM38" s="36">
        <f>IF(OR(AH38="",S38=0),"",MIN(IF(AU38="",9.9E+99,AU38),FLOOR(AL38/S38,1)))</f>
        <v/>
      </c>
      <c r="AN38" s="40">
        <f>IF(AM38="","",AM38*IF(ABS(MOD(ABS((U38)),1)-0.5)&lt;1E-9,2*ROUND((U38)/2,0),ROUND((U38),0)))</f>
        <v/>
      </c>
      <c r="AO38" s="38">
        <f>IF(OR(AH38="",S38=0),"",MIN(IF(AU38="",9.9E+99,AU38),AL38/S38))</f>
        <v/>
      </c>
      <c r="AP38" s="40">
        <f>IF(AO38="","",AO38*IF(B38="South Korea",IF(ABS(MOD(ABS((U38)),1)-0.5)&lt;1E-9,2*ROUND((U38)/2,0),ROUND((U38),0)),U38))</f>
        <v/>
      </c>
      <c r="AQ38" s="42" t="n"/>
      <c r="AR38" s="34" t="inlineStr">
        <is>
          <t>Estimated</t>
        </is>
      </c>
      <c r="AS38" s="43" t="n"/>
      <c r="AT38" s="43" t="n"/>
      <c r="AU38" s="44" t="n"/>
      <c r="AV38" s="45">
        <f>IF(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&lt;=0,"",VLOOKUP(B38,country_opex,7,FALSE)/((T38*pax_cap*load_thin*IF(ABS(MOD(ABS((L38*M38*revleg_thin)),1)-0.5)&lt;1E-9,2*ROUND((L38*M38*revleg_thin)/2,0),ROUND((L38*M38*revleg_thin),0)))-(((battery/range_nm)*D38*IF(ABS(MOD(ABS((L38*M38*revleg_thin)),1)-0.5)&lt;1E-9,2*ROUND((L38*M38*revleg_thin)/2,0),ROUND((L38*M38*revleg_thin),0))*VLOOKUP(B38,country_opex,3,FALSE))+W38+X38+Y38+Z38+AA38)))</f>
        <v/>
      </c>
      <c r="AW38" s="45">
        <f>IF(((T38*pax_cap*IF(B38="South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Korea",korea_mid_revleg,revleg_mid)),0))*VLOOKUP(B38,country_opex,3,FALSE))+W38+X38+Y38+Z38+AA38))&lt;=0,"",VLOOKUP(B38,country_opex,7,FALSE)/((T38*pax_cap*IF(B38="South Korea",korea_mid_load,load_mid)*IF(ABS(MOD(ABS((L38*M38*IF(B38="South Korea",korea_mid_revleg,revleg_mid))),1)-0.5)&lt;1E-9,2*ROUND((L38*M38*IF(B38="South Korea",korea_mid_revleg,revleg_mid))/2,0),ROUND((L38*M38*IF(B38="South Korea",korea_mid_revleg,revleg_mid)),0)))-(((battery/range_nm)*D38*IF(ABS(MOD(ABS((L38*M38*IF(B38="South Korea",korea_mid_revleg,revleg_mid))),1)-0.5)&lt;1E-9,2*ROUND((L38*M38*IF(B38="South Korea",korea_mid_revleg,revleg_mid))/2,0),ROUND((L38*M38*IF(B38="South Korea",korea_mid_revleg,revleg_mid)),0))*VLOOKUP(B38,country_opex,3,FALSE))+W38+X38+Y38+Z38+AA38)))</f>
        <v/>
      </c>
      <c r="AX38" s="45">
        <f>IF(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&lt;=0,"",VLOOKUP(B38,country_opex,7,FALSE)/((T38*pax_cap*load_full*IF(ABS(MOD(ABS((L38*M38*revleg_full)),1)-0.5)&lt;1E-9,2*ROUND((L38*M38*revleg_full)/2,0),ROUND((L38*M38*revleg_full),0)))-(((battery/range_nm)*D38*IF(ABS(MOD(ABS((L38*M38*revleg_full)),1)-0.5)&lt;1E-9,2*ROUND((L38*M38*revleg_full)/2,0),ROUND((L38*M38*revleg_full),0))*VLOOKUP(B38,country_opex,3,FALSE))+W38+X38+Y38+Z38+AA38)))</f>
        <v/>
      </c>
      <c r="AY38" s="46" t="inlineStr">
        <is>
          <t>TBD — Tier-B headline placeholder</t>
        </is>
      </c>
      <c r="AZ38" s="46" t="inlineStr">
        <is>
          <t>TBD — Tier-B headline placeholder</t>
        </is>
      </c>
      <c r="BA38" s="34" t="n"/>
    </row>
    <row r="39">
      <c r="A39" s="31" t="inlineStr">
        <is>
          <t>Bolt Estonia</t>
        </is>
      </c>
      <c r="B39" s="31" t="inlineStr">
        <is>
          <t>Estonia</t>
        </is>
      </c>
      <c r="C39" s="32" t="inlineStr">
        <is>
          <t>Tallinn → Prangli</t>
        </is>
      </c>
      <c r="D39" s="33" t="n">
        <v>5</v>
      </c>
      <c r="E39" s="27" t="n">
        <v>6.5</v>
      </c>
      <c r="F39" s="34" t="inlineStr">
        <is>
          <t>T2</t>
        </is>
      </c>
      <c r="G39" s="34" t="inlineStr">
        <is>
          <t>med</t>
        </is>
      </c>
      <c r="H39" s="20" t="n">
        <v>1</v>
      </c>
      <c r="I39" s="35">
        <f>60*D39/cruise_kt</f>
        <v/>
      </c>
      <c r="J39" s="35">
        <f>IF(B39="South Korea",D39/korea_charge_range_nm*korea_full_range_charge_min,0)</f>
        <v/>
      </c>
      <c r="K39" s="35">
        <f>IF(B39="South Korea",I39+korea_turn_min+korea_dwell_min+J39,I39+turn_min+dwell_min)</f>
        <v/>
      </c>
      <c r="L39" s="36">
        <f>IF(B39="South Korea",FLOOR(60*korea_service_hr/K39,1),MIN(15,FLOOR(60*service_hr/K39,1)))</f>
        <v/>
      </c>
      <c r="M39" s="36">
        <f>IF(ABS(MOD(ABS((365*mech_uptime*H39)),1)-0.5)&lt;1E-9,2*ROUND((365*mech_uptime*H39)/2,0),ROUND((365*mech_uptime*H39),0))</f>
        <v/>
      </c>
      <c r="N39" s="37">
        <f>mech_uptime</f>
        <v/>
      </c>
      <c r="O39" s="37">
        <f>IF(AND(B39="South Korea",scenario="MID"),korea_mid_revleg,revleg_sel)</f>
        <v/>
      </c>
      <c r="P39" s="36">
        <f>IF(ABS(MOD(ABS((L39*M39*O39)),1)-0.5)&lt;1E-9,2*ROUND((L39*M39*O39)/2,0),ROUND((L39*M39*O39),0))</f>
        <v/>
      </c>
      <c r="Q39" s="37">
        <f>IF(AND(B39="South Korea",scenario="MID"),korea_mid_load,load_sel)</f>
        <v/>
      </c>
      <c r="R39" s="38">
        <f>pax_cap*Q39</f>
        <v/>
      </c>
      <c r="S39" s="36">
        <f>R39*P39</f>
        <v/>
      </c>
      <c r="T39" s="39">
        <f>E39*discount</f>
        <v/>
      </c>
      <c r="U39" s="40">
        <f>T39*S39</f>
        <v/>
      </c>
      <c r="V39" s="40">
        <f>(battery/range_nm)*D39*P39*VLOOKUP(B39,country_opex,3,FALSE)</f>
        <v/>
      </c>
      <c r="W39" s="40">
        <f>VLOOKUP(B39,country_opex,2,FALSE)*crew_factor</f>
        <v/>
      </c>
      <c r="X39" s="40">
        <f>VLOOKUP(B39,country_opex,5,FALSE)</f>
        <v/>
      </c>
      <c r="Y39" s="40">
        <f>maint</f>
        <v/>
      </c>
      <c r="Z39" s="40">
        <f>VLOOKUP(B39,country_opex,7,FALSE)*ins_pct</f>
        <v/>
      </c>
      <c r="AA39" s="40">
        <f>charge_berth</f>
        <v/>
      </c>
      <c r="AB39" s="40">
        <f>V39+W39+X39+Y39+Z39+AA39</f>
        <v/>
      </c>
      <c r="AC39" s="40">
        <f>VLOOKUP(B39,country_opex,7,FALSE)/dep_years</f>
        <v/>
      </c>
      <c r="AD39" s="40">
        <f>U39-AB39</f>
        <v/>
      </c>
      <c r="AE39" s="37">
        <f>IF(U39=0,"",AD39/U39)</f>
        <v/>
      </c>
      <c r="AF39" s="38">
        <f>IF(AD39&lt;=0,"",VLOOKUP(B39,country_opex,7,FALSE)/AD39)</f>
        <v/>
      </c>
      <c r="AG39" s="35">
        <f>((D39*P39/diesel_nmpg)*diesel_co2pg-(battery/range_nm)*D39*P39*VLOOKUP(B39,country_opex,4,FALSE))/1000</f>
        <v/>
      </c>
      <c r="AH39" s="33" t="n">
        <v>4500</v>
      </c>
      <c r="AI39" s="34" t="n"/>
      <c r="AJ39" s="34" t="inlineStr">
        <is>
          <t>med</t>
        </is>
      </c>
      <c r="AK39" s="41" t="n">
        <v>0.25</v>
      </c>
      <c r="AL39" s="36">
        <f>IF(AH39="","",AH39*AK39)</f>
        <v/>
      </c>
      <c r="AM39" s="36">
        <f>IF(OR(AH39="",S39=0),"",MIN(IF(AU39="",9.9E+99,AU39),FLOOR(AL39/S39,1)))</f>
        <v/>
      </c>
      <c r="AN39" s="40">
        <f>IF(AM39="","",AM39*IF(ABS(MOD(ABS((U39)),1)-0.5)&lt;1E-9,2*ROUND((U39)/2,0),ROUND((U39),0)))</f>
        <v/>
      </c>
      <c r="AO39" s="38">
        <f>IF(OR(AH39="",S39=0),"",MIN(IF(AU39="",9.9E+99,AU39),AL39/S39))</f>
        <v/>
      </c>
      <c r="AP39" s="40">
        <f>IF(AO39="","",AO39*IF(B39="South Korea",IF(ABS(MOD(ABS((U39)),1)-0.5)&lt;1E-9,2*ROUND((U39)/2,0),ROUND((U39),0)),U39))</f>
        <v/>
      </c>
      <c r="AQ39" s="42" t="n"/>
      <c r="AR39" s="34" t="inlineStr">
        <is>
          <t>Estimated</t>
        </is>
      </c>
      <c r="AS39" s="43" t="n"/>
      <c r="AT39" s="43" t="n"/>
      <c r="AU39" s="44" t="n"/>
      <c r="AV39" s="45">
        <f>IF(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&lt;=0,"",VLOOKUP(B39,country_opex,7,FALSE)/((T39*pax_cap*load_thin*IF(ABS(MOD(ABS((L39*M39*revleg_thin)),1)-0.5)&lt;1E-9,2*ROUND((L39*M39*revleg_thin)/2,0),ROUND((L39*M39*revleg_thin),0)))-(((battery/range_nm)*D39*IF(ABS(MOD(ABS((L39*M39*revleg_thin)),1)-0.5)&lt;1E-9,2*ROUND((L39*M39*revleg_thin)/2,0),ROUND((L39*M39*revleg_thin),0))*VLOOKUP(B39,country_opex,3,FALSE))+W39+X39+Y39+Z39+AA39)))</f>
        <v/>
      </c>
      <c r="AW39" s="45">
        <f>IF(((T39*pax_cap*IF(B39="South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Korea",korea_mid_revleg,revleg_mid)),0))*VLOOKUP(B39,country_opex,3,FALSE))+W39+X39+Y39+Z39+AA39))&lt;=0,"",VLOOKUP(B39,country_opex,7,FALSE)/((T39*pax_cap*IF(B39="South Korea",korea_mid_load,load_mid)*IF(ABS(MOD(ABS((L39*M39*IF(B39="South Korea",korea_mid_revleg,revleg_mid))),1)-0.5)&lt;1E-9,2*ROUND((L39*M39*IF(B39="South Korea",korea_mid_revleg,revleg_mid))/2,0),ROUND((L39*M39*IF(B39="South Korea",korea_mid_revleg,revleg_mid)),0)))-(((battery/range_nm)*D39*IF(ABS(MOD(ABS((L39*M39*IF(B39="South Korea",korea_mid_revleg,revleg_mid))),1)-0.5)&lt;1E-9,2*ROUND((L39*M39*IF(B39="South Korea",korea_mid_revleg,revleg_mid))/2,0),ROUND((L39*M39*IF(B39="South Korea",korea_mid_revleg,revleg_mid)),0))*VLOOKUP(B39,country_opex,3,FALSE))+W39+X39+Y39+Z39+AA39)))</f>
        <v/>
      </c>
      <c r="AX39" s="45">
        <f>IF(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&lt;=0,"",VLOOKUP(B39,country_opex,7,FALSE)/((T39*pax_cap*load_full*IF(ABS(MOD(ABS((L39*M39*revleg_full)),1)-0.5)&lt;1E-9,2*ROUND((L39*M39*revleg_full)/2,0),ROUND((L39*M39*revleg_full),0)))-(((battery/range_nm)*D39*IF(ABS(MOD(ABS((L39*M39*revleg_full)),1)-0.5)&lt;1E-9,2*ROUND((L39*M39*revleg_full)/2,0),ROUND((L39*M39*revleg_full),0))*VLOOKUP(B39,country_opex,3,FALSE))+W39+X39+Y39+Z39+AA39)))</f>
        <v/>
      </c>
      <c r="AY39" s="46" t="inlineStr">
        <is>
          <t>Wrango ferry Leppneeme&lt;-&gt;Kelnase adult EUR 6 one-way (Viimsi municipality). EUR 6 x 1.08 = $6.5.</t>
        </is>
      </c>
      <c r="AZ39" s="46" t="n"/>
      <c r="BA39" s="34" t="n"/>
    </row>
    <row r="40">
      <c r="A40" s="31" t="inlineStr">
        <is>
          <t>Bolt Estonia</t>
        </is>
      </c>
      <c r="B40" s="31" t="inlineStr">
        <is>
          <t>Estonia</t>
        </is>
      </c>
      <c r="C40" s="32" t="inlineStr">
        <is>
          <t>Tallinn → Viimsi</t>
        </is>
      </c>
      <c r="D40" s="33" t="n">
        <v>5</v>
      </c>
      <c r="E40" s="27" t="n"/>
      <c r="F40" s="34" t="n"/>
      <c r="G40" s="34" t="n"/>
      <c r="H40" s="20" t="n">
        <v>1</v>
      </c>
      <c r="I40" s="35">
        <f>60*D40/cruise_kt</f>
        <v/>
      </c>
      <c r="J40" s="35">
        <f>IF(B40="South Korea",D40/korea_charge_range_nm*korea_full_range_charge_min,0)</f>
        <v/>
      </c>
      <c r="K40" s="35">
        <f>IF(B40="South Korea",I40+korea_turn_min+korea_dwell_min+J40,I40+turn_min+dwell_min)</f>
        <v/>
      </c>
      <c r="L40" s="36">
        <f>IF(B40="South Korea",FLOOR(60*korea_service_hr/K40,1),MIN(24,FLOOR(60*service_hr/K40,1)))</f>
        <v/>
      </c>
      <c r="M40" s="36">
        <f>IF(ABS(MOD(ABS((365*mech_uptime*H40)),1)-0.5)&lt;1E-9,2*ROUND((365*mech_uptime*H40)/2,0),ROUND((365*mech_uptime*H40),0))</f>
        <v/>
      </c>
      <c r="N40" s="37">
        <f>mech_uptime</f>
        <v/>
      </c>
      <c r="O40" s="37">
        <f>IF(AND(B40="South Korea",scenario="MID"),korea_mid_revleg,revleg_sel)</f>
        <v/>
      </c>
      <c r="P40" s="36">
        <f>IF(ABS(MOD(ABS((L40*M40*O40)),1)-0.5)&lt;1E-9,2*ROUND((L40*M40*O40)/2,0),ROUND((L40*M40*O40),0))</f>
        <v/>
      </c>
      <c r="Q40" s="37">
        <f>IF(AND(B40="South Korea",scenario="MID"),korea_mid_load,load_sel)</f>
        <v/>
      </c>
      <c r="R40" s="38">
        <f>pax_cap*Q40</f>
        <v/>
      </c>
      <c r="S40" s="36">
        <f>R40*P40</f>
        <v/>
      </c>
      <c r="T40" s="39">
        <f>E40*discount</f>
        <v/>
      </c>
      <c r="U40" s="40">
        <f>T40*S40</f>
        <v/>
      </c>
      <c r="V40" s="40">
        <f>(battery/range_nm)*D40*P40*VLOOKUP(B40,country_opex,3,FALSE)</f>
        <v/>
      </c>
      <c r="W40" s="40">
        <f>VLOOKUP(B40,country_opex,2,FALSE)*crew_factor</f>
        <v/>
      </c>
      <c r="X40" s="40">
        <f>VLOOKUP(B40,country_opex,5,FALSE)</f>
        <v/>
      </c>
      <c r="Y40" s="40">
        <f>maint</f>
        <v/>
      </c>
      <c r="Z40" s="40">
        <f>VLOOKUP(B40,country_opex,7,FALSE)*ins_pct</f>
        <v/>
      </c>
      <c r="AA40" s="40">
        <f>charge_berth</f>
        <v/>
      </c>
      <c r="AB40" s="40">
        <f>V40+W40+X40+Y40+Z40+AA40</f>
        <v/>
      </c>
      <c r="AC40" s="40">
        <f>VLOOKUP(B40,country_opex,7,FALSE)/dep_years</f>
        <v/>
      </c>
      <c r="AD40" s="40">
        <f>U40-AB40</f>
        <v/>
      </c>
      <c r="AE40" s="37">
        <f>IF(U40=0,"",AD40/U40)</f>
        <v/>
      </c>
      <c r="AF40" s="38">
        <f>IF(AD40&lt;=0,"",VLOOKUP(B40,country_opex,7,FALSE)/AD40)</f>
        <v/>
      </c>
      <c r="AG40" s="35">
        <f>((D40*P40/diesel_nmpg)*diesel_co2pg-(battery/range_nm)*D40*P40*VLOOKUP(B40,country_opex,4,FALSE))/1000</f>
        <v/>
      </c>
      <c r="AH40" s="33" t="n"/>
      <c r="AI40" s="34" t="n"/>
      <c r="AJ40" s="34" t="n"/>
      <c r="AK40" s="41" t="n">
        <v>0.1</v>
      </c>
      <c r="AL40" s="36">
        <f>IF(AH40="","",AH40*AK40)</f>
        <v/>
      </c>
      <c r="AM40" s="36">
        <f>IF(OR(AH40="",S40=0),"",MIN(IF(AU40="",9.9E+99,AU40),FLOOR(AL40/S40,1)))</f>
        <v/>
      </c>
      <c r="AN40" s="40">
        <f>IF(AM40="","",AM40*IF(ABS(MOD(ABS((U40)),1)-0.5)&lt;1E-9,2*ROUND((U40)/2,0),ROUND((U40),0)))</f>
        <v/>
      </c>
      <c r="AO40" s="38">
        <f>IF(OR(AH40="",S40=0),"",MIN(IF(AU40="",9.9E+99,AU40),AL40/S40))</f>
        <v/>
      </c>
      <c r="AP40" s="40">
        <f>IF(AO40="","",AO40*IF(B40="South Korea",IF(ABS(MOD(ABS((U40)),1)-0.5)&lt;1E-9,2*ROUND((U40)/2,0),ROUND((U40),0)),U40))</f>
        <v/>
      </c>
      <c r="AQ40" s="42" t="n"/>
      <c r="AR40" s="34" t="inlineStr">
        <is>
          <t>Estimated</t>
        </is>
      </c>
      <c r="AS40" s="43" t="n"/>
      <c r="AT40" s="43" t="n"/>
      <c r="AU40" s="44" t="n"/>
      <c r="AV40" s="45">
        <f>IF(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&lt;=0,"",VLOOKUP(B40,country_opex,7,FALSE)/((T40*pax_cap*load_thin*IF(ABS(MOD(ABS((L40*M40*revleg_thin)),1)-0.5)&lt;1E-9,2*ROUND((L40*M40*revleg_thin)/2,0),ROUND((L40*M40*revleg_thin),0)))-(((battery/range_nm)*D40*IF(ABS(MOD(ABS((L40*M40*revleg_thin)),1)-0.5)&lt;1E-9,2*ROUND((L40*M40*revleg_thin)/2,0),ROUND((L40*M40*revleg_thin),0))*VLOOKUP(B40,country_opex,3,FALSE))+W40+X40+Y40+Z40+AA40)))</f>
        <v/>
      </c>
      <c r="AW40" s="45">
        <f>IF(((T40*pax_cap*IF(B40="South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Korea",korea_mid_revleg,revleg_mid)),0))*VLOOKUP(B40,country_opex,3,FALSE))+W40+X40+Y40+Z40+AA40))&lt;=0,"",VLOOKUP(B40,country_opex,7,FALSE)/((T40*pax_cap*IF(B40="South Korea",korea_mid_load,load_mid)*IF(ABS(MOD(ABS((L40*M40*IF(B40="South Korea",korea_mid_revleg,revleg_mid))),1)-0.5)&lt;1E-9,2*ROUND((L40*M40*IF(B40="South Korea",korea_mid_revleg,revleg_mid))/2,0),ROUND((L40*M40*IF(B40="South Korea",korea_mid_revleg,revleg_mid)),0)))-(((battery/range_nm)*D40*IF(ABS(MOD(ABS((L40*M40*IF(B40="South Korea",korea_mid_revleg,revleg_mid))),1)-0.5)&lt;1E-9,2*ROUND((L40*M40*IF(B40="South Korea",korea_mid_revleg,revleg_mid))/2,0),ROUND((L40*M40*IF(B40="South Korea",korea_mid_revleg,revleg_mid)),0))*VLOOKUP(B40,country_opex,3,FALSE))+W40+X40+Y40+Z40+AA40)))</f>
        <v/>
      </c>
      <c r="AX40" s="45">
        <f>IF(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&lt;=0,"",VLOOKUP(B40,country_opex,7,FALSE)/((T40*pax_cap*load_full*IF(ABS(MOD(ABS((L40*M40*revleg_full)),1)-0.5)&lt;1E-9,2*ROUND((L40*M40*revleg_full)/2,0),ROUND((L40*M40*revleg_full),0)))-(((battery/range_nm)*D40*IF(ABS(MOD(ABS((L40*M40*revleg_full)),1)-0.5)&lt;1E-9,2*ROUND((L40*M40*revleg_full)/2,0),ROUND((L40*M40*revleg_full),0))*VLOOKUP(B40,country_opex,3,FALSE))+W40+X40+Y40+Z40+AA40)))</f>
        <v/>
      </c>
      <c r="AY40" s="46" t="n"/>
      <c r="AZ40" s="46" t="n"/>
      <c r="BA40" s="34" t="n"/>
    </row>
    <row r="41">
      <c r="A41" s="31" t="inlineStr">
        <is>
          <t>Bolt Estonia</t>
        </is>
      </c>
      <c r="B41" s="31" t="inlineStr">
        <is>
          <t>Estonia</t>
        </is>
      </c>
      <c r="C41" s="32" t="inlineStr">
        <is>
          <t>Tallinn → Kakumäe</t>
        </is>
      </c>
      <c r="D41" s="33" t="n">
        <v>6</v>
      </c>
      <c r="E41" s="27" t="n"/>
      <c r="F41" s="34" t="n"/>
      <c r="G41" s="34" t="n"/>
      <c r="H41" s="20" t="n">
        <v>1</v>
      </c>
      <c r="I41" s="35">
        <f>60*D41/cruise_kt</f>
        <v/>
      </c>
      <c r="J41" s="35">
        <f>IF(B41="South Korea",D41/korea_charge_range_nm*korea_full_range_charge_min,0)</f>
        <v/>
      </c>
      <c r="K41" s="35">
        <f>IF(B41="South Korea",I41+korea_turn_min+korea_dwell_min+J41,I41+turn_min+dwell_min)</f>
        <v/>
      </c>
      <c r="L41" s="36">
        <f>IF(B41="South Korea",FLOOR(60*korea_service_hr/K41,1),MIN(24,FLOOR(60*service_hr/K41,1)))</f>
        <v/>
      </c>
      <c r="M41" s="36">
        <f>IF(ABS(MOD(ABS((365*mech_uptime*H41)),1)-0.5)&lt;1E-9,2*ROUND((365*mech_uptime*H41)/2,0),ROUND((365*mech_uptime*H41),0))</f>
        <v/>
      </c>
      <c r="N41" s="37">
        <f>mech_uptime</f>
        <v/>
      </c>
      <c r="O41" s="37">
        <f>IF(AND(B41="South Korea",scenario="MID"),korea_mid_revleg,revleg_sel)</f>
        <v/>
      </c>
      <c r="P41" s="36">
        <f>IF(ABS(MOD(ABS((L41*M41*O41)),1)-0.5)&lt;1E-9,2*ROUND((L41*M41*O41)/2,0),ROUND((L41*M41*O41),0))</f>
        <v/>
      </c>
      <c r="Q41" s="37">
        <f>IF(AND(B41="South Korea",scenario="MID"),korea_mid_load,load_sel)</f>
        <v/>
      </c>
      <c r="R41" s="38">
        <f>pax_cap*Q41</f>
        <v/>
      </c>
      <c r="S41" s="36">
        <f>R41*P41</f>
        <v/>
      </c>
      <c r="T41" s="39">
        <f>E41*discount</f>
        <v/>
      </c>
      <c r="U41" s="40">
        <f>T41*S41</f>
        <v/>
      </c>
      <c r="V41" s="40">
        <f>(battery/range_nm)*D41*P41*VLOOKUP(B41,country_opex,3,FALSE)</f>
        <v/>
      </c>
      <c r="W41" s="40">
        <f>VLOOKUP(B41,country_opex,2,FALSE)*crew_factor</f>
        <v/>
      </c>
      <c r="X41" s="40">
        <f>VLOOKUP(B41,country_opex,5,FALSE)</f>
        <v/>
      </c>
      <c r="Y41" s="40">
        <f>maint</f>
        <v/>
      </c>
      <c r="Z41" s="40">
        <f>VLOOKUP(B41,country_opex,7,FALSE)*ins_pct</f>
        <v/>
      </c>
      <c r="AA41" s="40">
        <f>charge_berth</f>
        <v/>
      </c>
      <c r="AB41" s="40">
        <f>V41+W41+X41+Y41+Z41+AA41</f>
        <v/>
      </c>
      <c r="AC41" s="40">
        <f>VLOOKUP(B41,country_opex,7,FALSE)/dep_years</f>
        <v/>
      </c>
      <c r="AD41" s="40">
        <f>U41-AB41</f>
        <v/>
      </c>
      <c r="AE41" s="37">
        <f>IF(U41=0,"",AD41/U41)</f>
        <v/>
      </c>
      <c r="AF41" s="38">
        <f>IF(AD41&lt;=0,"",VLOOKUP(B41,country_opex,7,FALSE)/AD41)</f>
        <v/>
      </c>
      <c r="AG41" s="35">
        <f>((D41*P41/diesel_nmpg)*diesel_co2pg-(battery/range_nm)*D41*P41*VLOOKUP(B41,country_opex,4,FALSE))/1000</f>
        <v/>
      </c>
      <c r="AH41" s="33" t="n"/>
      <c r="AI41" s="34" t="n"/>
      <c r="AJ41" s="34" t="n"/>
      <c r="AK41" s="41" t="n">
        <v>0.1</v>
      </c>
      <c r="AL41" s="36">
        <f>IF(AH41="","",AH41*AK41)</f>
        <v/>
      </c>
      <c r="AM41" s="36">
        <f>IF(OR(AH41="",S41=0),"",MIN(IF(AU41="",9.9E+99,AU41),FLOOR(AL41/S41,1)))</f>
        <v/>
      </c>
      <c r="AN41" s="40">
        <f>IF(AM41="","",AM41*IF(ABS(MOD(ABS((U41)),1)-0.5)&lt;1E-9,2*ROUND((U41)/2,0),ROUND((U41),0)))</f>
        <v/>
      </c>
      <c r="AO41" s="38">
        <f>IF(OR(AH41="",S41=0),"",MIN(IF(AU41="",9.9E+99,AU41),AL41/S41))</f>
        <v/>
      </c>
      <c r="AP41" s="40">
        <f>IF(AO41="","",AO41*IF(B41="South Korea",IF(ABS(MOD(ABS((U41)),1)-0.5)&lt;1E-9,2*ROUND((U41)/2,0),ROUND((U41),0)),U41))</f>
        <v/>
      </c>
      <c r="AQ41" s="42" t="n"/>
      <c r="AR41" s="34" t="inlineStr">
        <is>
          <t>Estimated</t>
        </is>
      </c>
      <c r="AS41" s="43" t="n"/>
      <c r="AT41" s="43" t="n"/>
      <c r="AU41" s="44" t="n"/>
      <c r="AV41" s="45">
        <f>IF(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&lt;=0,"",VLOOKUP(B41,country_opex,7,FALSE)/((T41*pax_cap*load_thin*IF(ABS(MOD(ABS((L41*M41*revleg_thin)),1)-0.5)&lt;1E-9,2*ROUND((L41*M41*revleg_thin)/2,0),ROUND((L41*M41*revleg_thin),0)))-(((battery/range_nm)*D41*IF(ABS(MOD(ABS((L41*M41*revleg_thin)),1)-0.5)&lt;1E-9,2*ROUND((L41*M41*revleg_thin)/2,0),ROUND((L41*M41*revleg_thin),0))*VLOOKUP(B41,country_opex,3,FALSE))+W41+X41+Y41+Z41+AA41)))</f>
        <v/>
      </c>
      <c r="AW41" s="45">
        <f>IF(((T41*pax_cap*IF(B41="South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Korea",korea_mid_revleg,revleg_mid)),0))*VLOOKUP(B41,country_opex,3,FALSE))+W41+X41+Y41+Z41+AA41))&lt;=0,"",VLOOKUP(B41,country_opex,7,FALSE)/((T41*pax_cap*IF(B41="South Korea",korea_mid_load,load_mid)*IF(ABS(MOD(ABS((L41*M41*IF(B41="South Korea",korea_mid_revleg,revleg_mid))),1)-0.5)&lt;1E-9,2*ROUND((L41*M41*IF(B41="South Korea",korea_mid_revleg,revleg_mid))/2,0),ROUND((L41*M41*IF(B41="South Korea",korea_mid_revleg,revleg_mid)),0)))-(((battery/range_nm)*D41*IF(ABS(MOD(ABS((L41*M41*IF(B41="South Korea",korea_mid_revleg,revleg_mid))),1)-0.5)&lt;1E-9,2*ROUND((L41*M41*IF(B41="South Korea",korea_mid_revleg,revleg_mid))/2,0),ROUND((L41*M41*IF(B41="South Korea",korea_mid_revleg,revleg_mid)),0))*VLOOKUP(B41,country_opex,3,FALSE))+W41+X41+Y41+Z41+AA41)))</f>
        <v/>
      </c>
      <c r="AX41" s="45">
        <f>IF(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&lt;=0,"",VLOOKUP(B41,country_opex,7,FALSE)/((T41*pax_cap*load_full*IF(ABS(MOD(ABS((L41*M41*revleg_full)),1)-0.5)&lt;1E-9,2*ROUND((L41*M41*revleg_full)/2,0),ROUND((L41*M41*revleg_full),0)))-(((battery/range_nm)*D41*IF(ABS(MOD(ABS((L41*M41*revleg_full)),1)-0.5)&lt;1E-9,2*ROUND((L41*M41*revleg_full)/2,0),ROUND((L41*M41*revleg_full),0))*VLOOKUP(B41,country_opex,3,FALSE))+W41+X41+Y41+Z41+AA41)))</f>
        <v/>
      </c>
      <c r="AY41" s="46" t="n"/>
      <c r="AZ41" s="46" t="n"/>
      <c r="BA41" s="34" t="n"/>
    </row>
    <row r="42">
      <c r="A42" s="31" t="inlineStr">
        <is>
          <t>Bolt Estonia</t>
        </is>
      </c>
      <c r="B42" s="31" t="inlineStr">
        <is>
          <t>Estonia</t>
        </is>
      </c>
      <c r="C42" s="32" t="inlineStr">
        <is>
          <t>Tallinn → Aegna</t>
        </is>
      </c>
      <c r="D42" s="33" t="n">
        <v>7</v>
      </c>
      <c r="E42" s="27" t="n">
        <v>6.5</v>
      </c>
      <c r="F42" s="34" t="inlineStr">
        <is>
          <t>T2</t>
        </is>
      </c>
      <c r="G42" s="34" t="inlineStr">
        <is>
          <t>med</t>
        </is>
      </c>
      <c r="H42" s="20" t="n">
        <v>1</v>
      </c>
      <c r="I42" s="35">
        <f>60*D42/cruise_kt</f>
        <v/>
      </c>
      <c r="J42" s="35">
        <f>IF(B42="South Korea",D42/korea_charge_range_nm*korea_full_range_charge_min,0)</f>
        <v/>
      </c>
      <c r="K42" s="35">
        <f>IF(B42="South Korea",I42+korea_turn_min+korea_dwell_min+J42,I42+turn_min+dwell_min)</f>
        <v/>
      </c>
      <c r="L42" s="36">
        <f>IF(B42="South Korea",FLOOR(60*korea_service_hr/K42,1),MIN(15,FLOOR(60*service_hr/K42,1)))</f>
        <v/>
      </c>
      <c r="M42" s="36">
        <f>IF(ABS(MOD(ABS((365*mech_uptime*H42)),1)-0.5)&lt;1E-9,2*ROUND((365*mech_uptime*H42)/2,0),ROUND((365*mech_uptime*H42),0))</f>
        <v/>
      </c>
      <c r="N42" s="37">
        <f>mech_uptime</f>
        <v/>
      </c>
      <c r="O42" s="37">
        <f>IF(AND(B42="South Korea",scenario="MID"),korea_mid_revleg,revleg_sel)</f>
        <v/>
      </c>
      <c r="P42" s="36">
        <f>IF(ABS(MOD(ABS((L42*M42*O42)),1)-0.5)&lt;1E-9,2*ROUND((L42*M42*O42)/2,0),ROUND((L42*M42*O42),0))</f>
        <v/>
      </c>
      <c r="Q42" s="37">
        <f>IF(AND(B42="South Korea",scenario="MID"),korea_mid_load,load_sel)</f>
        <v/>
      </c>
      <c r="R42" s="38">
        <f>pax_cap*Q42</f>
        <v/>
      </c>
      <c r="S42" s="36">
        <f>R42*P42</f>
        <v/>
      </c>
      <c r="T42" s="39">
        <f>E42*discount</f>
        <v/>
      </c>
      <c r="U42" s="40">
        <f>T42*S42</f>
        <v/>
      </c>
      <c r="V42" s="40">
        <f>(battery/range_nm)*D42*P42*VLOOKUP(B42,country_opex,3,FALSE)</f>
        <v/>
      </c>
      <c r="W42" s="40">
        <f>VLOOKUP(B42,country_opex,2,FALSE)*crew_factor</f>
        <v/>
      </c>
      <c r="X42" s="40">
        <f>VLOOKUP(B42,country_opex,5,FALSE)</f>
        <v/>
      </c>
      <c r="Y42" s="40">
        <f>maint</f>
        <v/>
      </c>
      <c r="Z42" s="40">
        <f>VLOOKUP(B42,country_opex,7,FALSE)*ins_pct</f>
        <v/>
      </c>
      <c r="AA42" s="40">
        <f>charge_berth</f>
        <v/>
      </c>
      <c r="AB42" s="40">
        <f>V42+W42+X42+Y42+Z42+AA42</f>
        <v/>
      </c>
      <c r="AC42" s="40">
        <f>VLOOKUP(B42,country_opex,7,FALSE)/dep_years</f>
        <v/>
      </c>
      <c r="AD42" s="40">
        <f>U42-AB42</f>
        <v/>
      </c>
      <c r="AE42" s="37">
        <f>IF(U42=0,"",AD42/U42)</f>
        <v/>
      </c>
      <c r="AF42" s="38">
        <f>IF(AD42&lt;=0,"",VLOOKUP(B42,country_opex,7,FALSE)/AD42)</f>
        <v/>
      </c>
      <c r="AG42" s="35">
        <f>((D42*P42/diesel_nmpg)*diesel_co2pg-(battery/range_nm)*D42*P42*VLOOKUP(B42,country_opex,4,FALSE))/1000</f>
        <v/>
      </c>
      <c r="AH42" s="33" t="n">
        <v>3300</v>
      </c>
      <c r="AI42" s="34" t="n"/>
      <c r="AJ42" s="34" t="inlineStr">
        <is>
          <t>med</t>
        </is>
      </c>
      <c r="AK42" s="41" t="n">
        <v>0.25</v>
      </c>
      <c r="AL42" s="36">
        <f>IF(AH42="","",AH42*AK42)</f>
        <v/>
      </c>
      <c r="AM42" s="36">
        <f>IF(OR(AH42="",S42=0),"",MIN(IF(AU42="",9.9E+99,AU42),FLOOR(AL42/S42,1)))</f>
        <v/>
      </c>
      <c r="AN42" s="40">
        <f>IF(AM42="","",AM42*IF(ABS(MOD(ABS((U42)),1)-0.5)&lt;1E-9,2*ROUND((U42)/2,0),ROUND((U42),0)))</f>
        <v/>
      </c>
      <c r="AO42" s="38">
        <f>IF(OR(AH42="",S42=0),"",MIN(IF(AU42="",9.9E+99,AU42),AL42/S42))</f>
        <v/>
      </c>
      <c r="AP42" s="40">
        <f>IF(AO42="","",AO42*IF(B42="South Korea",IF(ABS(MOD(ABS((U42)),1)-0.5)&lt;1E-9,2*ROUND((U42)/2,0),ROUND((U42),0)),U42))</f>
        <v/>
      </c>
      <c r="AQ42" s="42" t="n"/>
      <c r="AR42" s="34" t="inlineStr">
        <is>
          <t>Estimated</t>
        </is>
      </c>
      <c r="AS42" s="43" t="n"/>
      <c r="AT42" s="43" t="n"/>
      <c r="AU42" s="44" t="n"/>
      <c r="AV42" s="45">
        <f>IF(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&lt;=0,"",VLOOKUP(B42,country_opex,7,FALSE)/((T42*pax_cap*load_thin*IF(ABS(MOD(ABS((L42*M42*revleg_thin)),1)-0.5)&lt;1E-9,2*ROUND((L42*M42*revleg_thin)/2,0),ROUND((L42*M42*revleg_thin),0)))-(((battery/range_nm)*D42*IF(ABS(MOD(ABS((L42*M42*revleg_thin)),1)-0.5)&lt;1E-9,2*ROUND((L42*M42*revleg_thin)/2,0),ROUND((L42*M42*revleg_thin),0))*VLOOKUP(B42,country_opex,3,FALSE))+W42+X42+Y42+Z42+AA42)))</f>
        <v/>
      </c>
      <c r="AW42" s="45">
        <f>IF(((T42*pax_cap*IF(B42="South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Korea",korea_mid_revleg,revleg_mid)),0))*VLOOKUP(B42,country_opex,3,FALSE))+W42+X42+Y42+Z42+AA42))&lt;=0,"",VLOOKUP(B42,country_opex,7,FALSE)/((T42*pax_cap*IF(B42="South Korea",korea_mid_load,load_mid)*IF(ABS(MOD(ABS((L42*M42*IF(B42="South Korea",korea_mid_revleg,revleg_mid))),1)-0.5)&lt;1E-9,2*ROUND((L42*M42*IF(B42="South Korea",korea_mid_revleg,revleg_mid))/2,0),ROUND((L42*M42*IF(B42="South Korea",korea_mid_revleg,revleg_mid)),0)))-(((battery/range_nm)*D42*IF(ABS(MOD(ABS((L42*M42*IF(B42="South Korea",korea_mid_revleg,revleg_mid))),1)-0.5)&lt;1E-9,2*ROUND((L42*M42*IF(B42="South Korea",korea_mid_revleg,revleg_mid))/2,0),ROUND((L42*M42*IF(B42="South Korea",korea_mid_revleg,revleg_mid)),0))*VLOOKUP(B42,country_opex,3,FALSE))+W42+X42+Y42+Z42+AA42)))</f>
        <v/>
      </c>
      <c r="AX42" s="45">
        <f>IF(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&lt;=0,"",VLOOKUP(B42,country_opex,7,FALSE)/((T42*pax_cap*load_full*IF(ABS(MOD(ABS((L42*M42*revleg_full)),1)-0.5)&lt;1E-9,2*ROUND((L42*M42*revleg_full)/2,0),ROUND((L42*M42*revleg_full),0)))-(((battery/range_nm)*D42*IF(ABS(MOD(ABS((L42*M42*revleg_full)),1)-0.5)&lt;1E-9,2*ROUND((L42*M42*revleg_full)/2,0),ROUND((L42*M42*revleg_full),0))*VLOOKUP(B42,country_opex,3,FALSE))+W42+X42+Y42+Z42+AA42)))</f>
        <v/>
      </c>
      <c r="AY42" s="46" t="inlineStr">
        <is>
          <t>Sunlines Tallinn-&gt;Aegna adult scheduled fare ~EUR 6 one-way (Rome2Rio cites EUR 5; FB users ~EUR 8 round-trip). EUR 6 x 1.08 = $6.5. No premium fast-craft tier exists above this on so short a hop.</t>
        </is>
      </c>
      <c r="AZ42" s="46" t="n"/>
      <c r="BA42" s="34" t="n"/>
    </row>
    <row r="43">
      <c r="A43" s="31" t="inlineStr">
        <is>
          <t>Bolt Estonia</t>
        </is>
      </c>
      <c r="B43" s="31" t="inlineStr">
        <is>
          <t>Estonia</t>
        </is>
      </c>
      <c r="C43" s="32" t="inlineStr">
        <is>
          <t>Tallinn → Naissaar</t>
        </is>
      </c>
      <c r="D43" s="33" t="n">
        <v>11</v>
      </c>
      <c r="E43" s="27" t="n">
        <v>10.8</v>
      </c>
      <c r="F43" s="34" t="inlineStr">
        <is>
          <t>T2</t>
        </is>
      </c>
      <c r="G43" s="34" t="inlineStr">
        <is>
          <t>med</t>
        </is>
      </c>
      <c r="H43" s="20" t="n">
        <v>1</v>
      </c>
      <c r="I43" s="35">
        <f>60*D43/cruise_kt</f>
        <v/>
      </c>
      <c r="J43" s="35">
        <f>IF(B43="South Korea",D43/korea_charge_range_nm*korea_full_range_charge_min,0)</f>
        <v/>
      </c>
      <c r="K43" s="35">
        <f>IF(B43="South Korea",I43+korea_turn_min+korea_dwell_min+J43,I43+turn_min+dwell_min)</f>
        <v/>
      </c>
      <c r="L43" s="36">
        <f>IF(B43="South Korea",FLOOR(60*korea_service_hr/K43,1),MIN(15,FLOOR(60*service_hr/K43,1)))</f>
        <v/>
      </c>
      <c r="M43" s="36">
        <f>IF(ABS(MOD(ABS((365*mech_uptime*H43)),1)-0.5)&lt;1E-9,2*ROUND((365*mech_uptime*H43)/2,0),ROUND((365*mech_uptime*H43),0))</f>
        <v/>
      </c>
      <c r="N43" s="37">
        <f>mech_uptime</f>
        <v/>
      </c>
      <c r="O43" s="37">
        <f>IF(AND(B43="South Korea",scenario="MID"),korea_mid_revleg,revleg_sel)</f>
        <v/>
      </c>
      <c r="P43" s="36">
        <f>IF(ABS(MOD(ABS((L43*M43*O43)),1)-0.5)&lt;1E-9,2*ROUND((L43*M43*O43)/2,0),ROUND((L43*M43*O43),0))</f>
        <v/>
      </c>
      <c r="Q43" s="37">
        <f>IF(AND(B43="South Korea",scenario="MID"),korea_mid_load,load_sel)</f>
        <v/>
      </c>
      <c r="R43" s="38">
        <f>pax_cap*Q43</f>
        <v/>
      </c>
      <c r="S43" s="36">
        <f>R43*P43</f>
        <v/>
      </c>
      <c r="T43" s="39">
        <f>E43*discount</f>
        <v/>
      </c>
      <c r="U43" s="40">
        <f>T43*S43</f>
        <v/>
      </c>
      <c r="V43" s="40">
        <f>(battery/range_nm)*D43*P43*VLOOKUP(B43,country_opex,3,FALSE)</f>
        <v/>
      </c>
      <c r="W43" s="40">
        <f>VLOOKUP(B43,country_opex,2,FALSE)*crew_factor</f>
        <v/>
      </c>
      <c r="X43" s="40">
        <f>VLOOKUP(B43,country_opex,5,FALSE)</f>
        <v/>
      </c>
      <c r="Y43" s="40">
        <f>maint</f>
        <v/>
      </c>
      <c r="Z43" s="40">
        <f>VLOOKUP(B43,country_opex,7,FALSE)*ins_pct</f>
        <v/>
      </c>
      <c r="AA43" s="40">
        <f>charge_berth</f>
        <v/>
      </c>
      <c r="AB43" s="40">
        <f>V43+W43+X43+Y43+Z43+AA43</f>
        <v/>
      </c>
      <c r="AC43" s="40">
        <f>VLOOKUP(B43,country_opex,7,FALSE)/dep_years</f>
        <v/>
      </c>
      <c r="AD43" s="40">
        <f>U43-AB43</f>
        <v/>
      </c>
      <c r="AE43" s="37">
        <f>IF(U43=0,"",AD43/U43)</f>
        <v/>
      </c>
      <c r="AF43" s="38">
        <f>IF(AD43&lt;=0,"",VLOOKUP(B43,country_opex,7,FALSE)/AD43)</f>
        <v/>
      </c>
      <c r="AG43" s="35">
        <f>((D43*P43/diesel_nmpg)*diesel_co2pg-(battery/range_nm)*D43*P43*VLOOKUP(B43,country_opex,4,FALSE))/1000</f>
        <v/>
      </c>
      <c r="AH43" s="33" t="n">
        <v>50000</v>
      </c>
      <c r="AI43" s="34" t="n"/>
      <c r="AJ43" s="34" t="n"/>
      <c r="AK43" s="41" t="n">
        <v>0.1</v>
      </c>
      <c r="AL43" s="36">
        <f>IF(AH43="","",AH43*AK43)</f>
        <v/>
      </c>
      <c r="AM43" s="36">
        <f>IF(OR(AH43="",S43=0),"",MIN(IF(AU43="",9.9E+99,AU43),FLOOR(AL43/S43,1)))</f>
        <v/>
      </c>
      <c r="AN43" s="40">
        <f>IF(AM43="","",AM43*IF(ABS(MOD(ABS((U43)),1)-0.5)&lt;1E-9,2*ROUND((U43)/2,0),ROUND((U43),0)))</f>
        <v/>
      </c>
      <c r="AO43" s="38">
        <f>IF(OR(AH43="",S43=0),"",MIN(IF(AU43="",9.9E+99,AU43),AL43/S43))</f>
        <v/>
      </c>
      <c r="AP43" s="40">
        <f>IF(AO43="","",AO43*IF(B43="South Korea",IF(ABS(MOD(ABS((U43)),1)-0.5)&lt;1E-9,2*ROUND((U43)/2,0),ROUND((U43),0)),U43))</f>
        <v/>
      </c>
      <c r="AQ43" s="42" t="n"/>
      <c r="AR43" s="34" t="inlineStr">
        <is>
          <t>Estimated</t>
        </is>
      </c>
      <c r="AS43" s="43" t="n"/>
      <c r="AT43" s="43" t="n"/>
      <c r="AU43" s="44" t="n"/>
      <c r="AV43" s="45">
        <f>IF(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&lt;=0,"",VLOOKUP(B43,country_opex,7,FALSE)/((T43*pax_cap*load_thin*IF(ABS(MOD(ABS((L43*M43*revleg_thin)),1)-0.5)&lt;1E-9,2*ROUND((L43*M43*revleg_thin)/2,0),ROUND((L43*M43*revleg_thin),0)))-(((battery/range_nm)*D43*IF(ABS(MOD(ABS((L43*M43*revleg_thin)),1)-0.5)&lt;1E-9,2*ROUND((L43*M43*revleg_thin)/2,0),ROUND((L43*M43*revleg_thin),0))*VLOOKUP(B43,country_opex,3,FALSE))+W43+X43+Y43+Z43+AA43)))</f>
        <v/>
      </c>
      <c r="AW43" s="45">
        <f>IF(((T43*pax_cap*IF(B43="South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Korea",korea_mid_revleg,revleg_mid)),0))*VLOOKUP(B43,country_opex,3,FALSE))+W43+X43+Y43+Z43+AA43))&lt;=0,"",VLOOKUP(B43,country_opex,7,FALSE)/((T43*pax_cap*IF(B43="South Korea",korea_mid_load,load_mid)*IF(ABS(MOD(ABS((L43*M43*IF(B43="South Korea",korea_mid_revleg,revleg_mid))),1)-0.5)&lt;1E-9,2*ROUND((L43*M43*IF(B43="South Korea",korea_mid_revleg,revleg_mid))/2,0),ROUND((L43*M43*IF(B43="South Korea",korea_mid_revleg,revleg_mid)),0)))-(((battery/range_nm)*D43*IF(ABS(MOD(ABS((L43*M43*IF(B43="South Korea",korea_mid_revleg,revleg_mid))),1)-0.5)&lt;1E-9,2*ROUND((L43*M43*IF(B43="South Korea",korea_mid_revleg,revleg_mid))/2,0),ROUND((L43*M43*IF(B43="South Korea",korea_mid_revleg,revleg_mid)),0))*VLOOKUP(B43,country_opex,3,FALSE))+W43+X43+Y43+Z43+AA43)))</f>
        <v/>
      </c>
      <c r="AX43" s="45">
        <f>IF(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&lt;=0,"",VLOOKUP(B43,country_opex,7,FALSE)/((T43*pax_cap*load_full*IF(ABS(MOD(ABS((L43*M43*revleg_full)),1)-0.5)&lt;1E-9,2*ROUND((L43*M43*revleg_full)/2,0),ROUND((L43*M43*revleg_full),0)))-(((battery/range_nm)*D43*IF(ABS(MOD(ABS((L43*M43*revleg_full)),1)-0.5)&lt;1E-9,2*ROUND((L43*M43*revleg_full)/2,0),ROUND((L43*M43*revleg_full),0))*VLOOKUP(B43,country_opex,3,FALSE))+W43+X43+Y43+Z43+AA43)))</f>
        <v/>
      </c>
      <c r="AY43" s="46" t="inlineStr">
        <is>
          <t>Sunlines 'Strande' (300 pax) adult scheduled fare EUR 10 one-way / EUR 20 round-trip, departing Linnahall 11:00. EUR 10 x 1.08 = $10.8.</t>
        </is>
      </c>
      <c r="AZ43" s="46" t="n"/>
      <c r="BA43" s="34" t="n"/>
    </row>
    <row r="44">
      <c r="A44" s="31" t="inlineStr">
        <is>
          <t>Bolt Estonia</t>
        </is>
      </c>
      <c r="B44" s="31" t="inlineStr">
        <is>
          <t>Estonia</t>
        </is>
      </c>
      <c r="C44" s="32" t="inlineStr">
        <is>
          <t>Tallinn → Helsinki</t>
        </is>
      </c>
      <c r="D44" s="33" t="n">
        <v>43</v>
      </c>
      <c r="E44" s="27" t="n">
        <v>27</v>
      </c>
      <c r="F44" s="34" t="inlineStr">
        <is>
          <t>T2</t>
        </is>
      </c>
      <c r="G44" s="34" t="inlineStr">
        <is>
          <t>med</t>
        </is>
      </c>
      <c r="H44" s="20" t="n">
        <v>1</v>
      </c>
      <c r="I44" s="35">
        <f>60*D44/cruise_kt</f>
        <v/>
      </c>
      <c r="J44" s="35">
        <f>IF(B44="South Korea",D44/korea_charge_range_nm*korea_full_range_charge_min,0)</f>
        <v/>
      </c>
      <c r="K44" s="35">
        <f>IF(B44="South Korea",I44+korea_turn_min+korea_dwell_min+J44,I44+turn_min+dwell_min)</f>
        <v/>
      </c>
      <c r="L44" s="36">
        <f>IF(B44="South Korea",FLOOR(60*korea_service_hr/K44,1),MIN(15,FLOOR(60*service_hr/K44,1)))</f>
        <v/>
      </c>
      <c r="M44" s="36">
        <f>IF(ABS(MOD(ABS((365*mech_uptime*H44)),1)-0.5)&lt;1E-9,2*ROUND((365*mech_uptime*H44)/2,0),ROUND((365*mech_uptime*H44),0))</f>
        <v/>
      </c>
      <c r="N44" s="37">
        <f>mech_uptime</f>
        <v/>
      </c>
      <c r="O44" s="37">
        <f>IF(AND(B44="South Korea",scenario="MID"),korea_mid_revleg,revleg_sel)</f>
        <v/>
      </c>
      <c r="P44" s="36">
        <f>IF(ABS(MOD(ABS((L44*M44*O44)),1)-0.5)&lt;1E-9,2*ROUND((L44*M44*O44)/2,0),ROUND((L44*M44*O44),0))</f>
        <v/>
      </c>
      <c r="Q44" s="37">
        <f>IF(AND(B44="South Korea",scenario="MID"),korea_mid_load,load_sel)</f>
        <v/>
      </c>
      <c r="R44" s="38">
        <f>pax_cap*Q44</f>
        <v/>
      </c>
      <c r="S44" s="36">
        <f>R44*P44</f>
        <v/>
      </c>
      <c r="T44" s="39">
        <f>E44*discount</f>
        <v/>
      </c>
      <c r="U44" s="40">
        <f>T44*S44</f>
        <v/>
      </c>
      <c r="V44" s="40">
        <f>(battery/range_nm)*D44*P44*VLOOKUP(B44,country_opex,3,FALSE)</f>
        <v/>
      </c>
      <c r="W44" s="40">
        <f>VLOOKUP(B44,country_opex,2,FALSE)*crew_factor</f>
        <v/>
      </c>
      <c r="X44" s="40">
        <f>VLOOKUP(B44,country_opex,5,FALSE)</f>
        <v/>
      </c>
      <c r="Y44" s="40">
        <f>maint</f>
        <v/>
      </c>
      <c r="Z44" s="40">
        <f>VLOOKUP(B44,country_opex,7,FALSE)*ins_pct</f>
        <v/>
      </c>
      <c r="AA44" s="40">
        <f>charge_berth</f>
        <v/>
      </c>
      <c r="AB44" s="40">
        <f>V44+W44+X44+Y44+Z44+AA44</f>
        <v/>
      </c>
      <c r="AC44" s="40">
        <f>VLOOKUP(B44,country_opex,7,FALSE)/dep_years</f>
        <v/>
      </c>
      <c r="AD44" s="40">
        <f>U44-AB44</f>
        <v/>
      </c>
      <c r="AE44" s="37">
        <f>IF(U44=0,"",AD44/U44)</f>
        <v/>
      </c>
      <c r="AF44" s="38">
        <f>IF(AD44&lt;=0,"",VLOOKUP(B44,country_opex,7,FALSE)/AD44)</f>
        <v/>
      </c>
      <c r="AG44" s="35">
        <f>((D44*P44/diesel_nmpg)*diesel_co2pg-(battery/range_nm)*D44*P44*VLOOKUP(B44,country_opex,4,FALSE))/1000</f>
        <v/>
      </c>
      <c r="AH44" s="33" t="n">
        <v>750000</v>
      </c>
      <c r="AI44" s="34" t="n"/>
      <c r="AJ44" s="34" t="inlineStr">
        <is>
          <t>med</t>
        </is>
      </c>
      <c r="AK44" s="41" t="n">
        <v>0.25</v>
      </c>
      <c r="AL44" s="36">
        <f>IF(AH44="","",AH44*AK44)</f>
        <v/>
      </c>
      <c r="AM44" s="36">
        <f>IF(OR(AH44="",S44=0),"",MIN(IF(AU44="",9.9E+99,AU44),FLOOR(AL44/S44,1)))</f>
        <v/>
      </c>
      <c r="AN44" s="40">
        <f>IF(AM44="","",AM44*IF(ABS(MOD(ABS((U44)),1)-0.5)&lt;1E-9,2*ROUND((U44)/2,0),ROUND((U44),0)))</f>
        <v/>
      </c>
      <c r="AO44" s="38">
        <f>IF(OR(AH44="",S44=0),"",MIN(IF(AU44="",9.9E+99,AU44),AL44/S44))</f>
        <v/>
      </c>
      <c r="AP44" s="40">
        <f>IF(AO44="","",AO44*IF(B44="South Korea",IF(ABS(MOD(ABS((U44)),1)-0.5)&lt;1E-9,2*ROUND((U44)/2,0),ROUND((U44),0)),U44))</f>
        <v/>
      </c>
      <c r="AQ44" s="42" t="n"/>
      <c r="AR44" s="34" t="inlineStr">
        <is>
          <t>Grounded</t>
        </is>
      </c>
      <c r="AS44" s="43" t="n"/>
      <c r="AT44" s="43" t="n"/>
      <c r="AU44" s="44" t="n"/>
      <c r="AV44" s="45">
        <f>IF(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&lt;=0,"",VLOOKUP(B44,country_opex,7,FALSE)/((T44*pax_cap*load_thin*IF(ABS(MOD(ABS((L44*M44*revleg_thin)),1)-0.5)&lt;1E-9,2*ROUND((L44*M44*revleg_thin)/2,0),ROUND((L44*M44*revleg_thin),0)))-(((battery/range_nm)*D44*IF(ABS(MOD(ABS((L44*M44*revleg_thin)),1)-0.5)&lt;1E-9,2*ROUND((L44*M44*revleg_thin)/2,0),ROUND((L44*M44*revleg_thin),0))*VLOOKUP(B44,country_opex,3,FALSE))+W44+X44+Y44+Z44+AA44)))</f>
        <v/>
      </c>
      <c r="AW44" s="45">
        <f>IF(((T44*pax_cap*IF(B44="South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Korea",korea_mid_revleg,revleg_mid)),0))*VLOOKUP(B44,country_opex,3,FALSE))+W44+X44+Y44+Z44+AA44))&lt;=0,"",VLOOKUP(B44,country_opex,7,FALSE)/((T44*pax_cap*IF(B44="South Korea",korea_mid_load,load_mid)*IF(ABS(MOD(ABS((L44*M44*IF(B44="South Korea",korea_mid_revleg,revleg_mid))),1)-0.5)&lt;1E-9,2*ROUND((L44*M44*IF(B44="South Korea",korea_mid_revleg,revleg_mid))/2,0),ROUND((L44*M44*IF(B44="South Korea",korea_mid_revleg,revleg_mid)),0)))-(((battery/range_nm)*D44*IF(ABS(MOD(ABS((L44*M44*IF(B44="South Korea",korea_mid_revleg,revleg_mid))),1)-0.5)&lt;1E-9,2*ROUND((L44*M44*IF(B44="South Korea",korea_mid_revleg,revleg_mid))/2,0),ROUND((L44*M44*IF(B44="South Korea",korea_mid_revleg,revleg_mid)),0))*VLOOKUP(B44,country_opex,3,FALSE))+W44+X44+Y44+Z44+AA44)))</f>
        <v/>
      </c>
      <c r="AX44" s="45">
        <f>IF(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&lt;=0,"",VLOOKUP(B44,country_opex,7,FALSE)/((T44*pax_cap*load_full*IF(ABS(MOD(ABS((L44*M44*revleg_full)),1)-0.5)&lt;1E-9,2*ROUND((L44*M44*revleg_full)/2,0),ROUND((L44*M44*revleg_full),0)))-(((battery/range_nm)*D44*IF(ABS(MOD(ABS((L44*M44*revleg_full)),1)-0.5)&lt;1E-9,2*ROUND((L44*M44*revleg_full)/2,0),ROUND((L44*M44*revleg_full),0))*VLOOKUP(B44,country_opex,3,FALSE))+W44+X44+Y44+Z44+AA44)))</f>
        <v/>
      </c>
      <c r="AY44" s="46" t="inlineStr">
        <is>
          <t>PREMIUM tier: standard adult walk-up fast-ferry seat ~EUR 25 (range EUR 18-35 by season/operator/advance; Tallink Megastar/MyStar, Viking from EUR 18, Eckero). EUR 25 x 1.08 = $27.0.</t>
        </is>
      </c>
      <c r="AZ44" s="46" t="n"/>
      <c r="BA44" s="34" t="n"/>
    </row>
    <row r="45">
      <c r="A45" s="31" t="inlineStr">
        <is>
          <t>Bolt Finland</t>
        </is>
      </c>
      <c r="B45" s="31" t="inlineStr">
        <is>
          <t>Finland</t>
        </is>
      </c>
      <c r="C45" s="32" t="inlineStr">
        <is>
          <t>Helsinki → Lonna</t>
        </is>
      </c>
      <c r="D45" s="33" t="n">
        <v>1.2</v>
      </c>
      <c r="E45" s="27" t="n">
        <v>8.640000000000001</v>
      </c>
      <c r="F45" s="34" t="inlineStr">
        <is>
          <t>T2</t>
        </is>
      </c>
      <c r="G45" s="34" t="inlineStr">
        <is>
          <t>med</t>
        </is>
      </c>
      <c r="H45" s="20" t="n">
        <v>1</v>
      </c>
      <c r="I45" s="35">
        <f>60*D45/cruise_kt</f>
        <v/>
      </c>
      <c r="J45" s="35">
        <f>IF(B45="South Korea",D45/korea_charge_range_nm*korea_full_range_charge_min,0)</f>
        <v/>
      </c>
      <c r="K45" s="35">
        <f>IF(B45="South Korea",I45+korea_turn_min+korea_dwell_min+J45,I45+turn_min+dwell_min)</f>
        <v/>
      </c>
      <c r="L45" s="36">
        <f>IF(B45="South Korea",FLOOR(60*korea_service_hr/K45,1),MIN(15,FLOOR(60*service_hr/K45,1)))</f>
        <v/>
      </c>
      <c r="M45" s="36">
        <f>IF(ABS(MOD(ABS((365*mech_uptime*H45)),1)-0.5)&lt;1E-9,2*ROUND((365*mech_uptime*H45)/2,0),ROUND((365*mech_uptime*H45),0))</f>
        <v/>
      </c>
      <c r="N45" s="37">
        <f>mech_uptime</f>
        <v/>
      </c>
      <c r="O45" s="37">
        <f>IF(AND(B45="South Korea",scenario="MID"),korea_mid_revleg,revleg_sel)</f>
        <v/>
      </c>
      <c r="P45" s="36">
        <f>IF(ABS(MOD(ABS((L45*M45*O45)),1)-0.5)&lt;1E-9,2*ROUND((L45*M45*O45)/2,0),ROUND((L45*M45*O45),0))</f>
        <v/>
      </c>
      <c r="Q45" s="37">
        <f>IF(AND(B45="South Korea",scenario="MID"),korea_mid_load,load_sel)</f>
        <v/>
      </c>
      <c r="R45" s="38">
        <f>pax_cap*Q45</f>
        <v/>
      </c>
      <c r="S45" s="36">
        <f>R45*P45</f>
        <v/>
      </c>
      <c r="T45" s="39">
        <f>E45*discount</f>
        <v/>
      </c>
      <c r="U45" s="40">
        <f>T45*S45</f>
        <v/>
      </c>
      <c r="V45" s="40">
        <f>(battery/range_nm)*D45*P45*VLOOKUP(B45,country_opex,3,FALSE)</f>
        <v/>
      </c>
      <c r="W45" s="40">
        <f>VLOOKUP(B45,country_opex,2,FALSE)*crew_factor</f>
        <v/>
      </c>
      <c r="X45" s="40">
        <f>VLOOKUP(B45,country_opex,5,FALSE)</f>
        <v/>
      </c>
      <c r="Y45" s="40">
        <f>maint</f>
        <v/>
      </c>
      <c r="Z45" s="40">
        <f>VLOOKUP(B45,country_opex,7,FALSE)*ins_pct</f>
        <v/>
      </c>
      <c r="AA45" s="40">
        <f>charge_berth</f>
        <v/>
      </c>
      <c r="AB45" s="40">
        <f>V45+W45+X45+Y45+Z45+AA45</f>
        <v/>
      </c>
      <c r="AC45" s="40">
        <f>VLOOKUP(B45,country_opex,7,FALSE)/dep_years</f>
        <v/>
      </c>
      <c r="AD45" s="40">
        <f>U45-AB45</f>
        <v/>
      </c>
      <c r="AE45" s="37">
        <f>IF(U45=0,"",AD45/U45)</f>
        <v/>
      </c>
      <c r="AF45" s="38">
        <f>IF(AD45&lt;=0,"",VLOOKUP(B45,country_opex,7,FALSE)/AD45)</f>
        <v/>
      </c>
      <c r="AG45" s="35">
        <f>((D45*P45/diesel_nmpg)*diesel_co2pg-(battery/range_nm)*D45*P45*VLOOKUP(B45,country_opex,4,FALSE))/1000</f>
        <v/>
      </c>
      <c r="AH45" s="33" t="n"/>
      <c r="AI45" s="34" t="n"/>
      <c r="AJ45" s="34" t="n"/>
      <c r="AK45" s="41" t="n">
        <v>0.1</v>
      </c>
      <c r="AL45" s="36">
        <f>IF(AH45="","",AH45*AK45)</f>
        <v/>
      </c>
      <c r="AM45" s="36">
        <f>IF(OR(AH45="",S45=0),"",MIN(IF(AU45="",9.9E+99,AU45),FLOOR(AL45/S45,1)))</f>
        <v/>
      </c>
      <c r="AN45" s="40">
        <f>IF(AM45="","",AM45*IF(ABS(MOD(ABS((U45)),1)-0.5)&lt;1E-9,2*ROUND((U45)/2,0),ROUND((U45),0)))</f>
        <v/>
      </c>
      <c r="AO45" s="38">
        <f>IF(OR(AH45="",S45=0),"",MIN(IF(AU45="",9.9E+99,AU45),AL45/S45))</f>
        <v/>
      </c>
      <c r="AP45" s="40">
        <f>IF(AO45="","",AO45*IF(B45="South Korea",IF(ABS(MOD(ABS((U45)),1)-0.5)&lt;1E-9,2*ROUND((U45)/2,0),ROUND((U45),0)),U45))</f>
        <v/>
      </c>
      <c r="AQ45" s="42" t="n"/>
      <c r="AR45" s="34" t="inlineStr">
        <is>
          <t>Estimated</t>
        </is>
      </c>
      <c r="AS45" s="43" t="n"/>
      <c r="AT45" s="43" t="n"/>
      <c r="AU45" s="44" t="n"/>
      <c r="AV45" s="45">
        <f>IF(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&lt;=0,"",VLOOKUP(B45,country_opex,7,FALSE)/((T45*pax_cap*load_thin*IF(ABS(MOD(ABS((L45*M45*revleg_thin)),1)-0.5)&lt;1E-9,2*ROUND((L45*M45*revleg_thin)/2,0),ROUND((L45*M45*revleg_thin),0)))-(((battery/range_nm)*D45*IF(ABS(MOD(ABS((L45*M45*revleg_thin)),1)-0.5)&lt;1E-9,2*ROUND((L45*M45*revleg_thin)/2,0),ROUND((L45*M45*revleg_thin),0))*VLOOKUP(B45,country_opex,3,FALSE))+W45+X45+Y45+Z45+AA45)))</f>
        <v/>
      </c>
      <c r="AW45" s="45">
        <f>IF(((T45*pax_cap*IF(B45="South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Korea",korea_mid_revleg,revleg_mid)),0))*VLOOKUP(B45,country_opex,3,FALSE))+W45+X45+Y45+Z45+AA45))&lt;=0,"",VLOOKUP(B45,country_opex,7,FALSE)/((T45*pax_cap*IF(B45="South Korea",korea_mid_load,load_mid)*IF(ABS(MOD(ABS((L45*M45*IF(B45="South Korea",korea_mid_revleg,revleg_mid))),1)-0.5)&lt;1E-9,2*ROUND((L45*M45*IF(B45="South Korea",korea_mid_revleg,revleg_mid))/2,0),ROUND((L45*M45*IF(B45="South Korea",korea_mid_revleg,revleg_mid)),0)))-(((battery/range_nm)*D45*IF(ABS(MOD(ABS((L45*M45*IF(B45="South Korea",korea_mid_revleg,revleg_mid))),1)-0.5)&lt;1E-9,2*ROUND((L45*M45*IF(B45="South Korea",korea_mid_revleg,revleg_mid))/2,0),ROUND((L45*M45*IF(B45="South Korea",korea_mid_revleg,revleg_mid)),0))*VLOOKUP(B45,country_opex,3,FALSE))+W45+X45+Y45+Z45+AA45)))</f>
        <v/>
      </c>
      <c r="AX45" s="45">
        <f>IF(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&lt;=0,"",VLOOKUP(B45,country_opex,7,FALSE)/((T45*pax_cap*load_full*IF(ABS(MOD(ABS((L45*M45*revleg_full)),1)-0.5)&lt;1E-9,2*ROUND((L45*M45*revleg_full)/2,0),ROUND((L45*M45*revleg_full),0)))-(((battery/range_nm)*D45*IF(ABS(MOD(ABS((L45*M45*revleg_full)),1)-0.5)&lt;1E-9,2*ROUND((L45*M45*revleg_full)/2,0),ROUND((L45*M45*revleg_full),0))*VLOOKUP(B45,country_opex,3,FALSE))+W45+X45+Y45+Z45+AA45)))</f>
        <v/>
      </c>
      <c r="AY45" s="46" t="inlineStr">
        <is>
          <t>JT-Line Kauppatori-&gt;Lonna adult fare EUR 8 (Rome2Rio; 10 min). EUR 8 x 1.08 = $8.64.</t>
        </is>
      </c>
      <c r="AZ45" s="46" t="n"/>
      <c r="BA45" s="34" t="n"/>
    </row>
    <row r="46">
      <c r="A46" s="31" t="inlineStr">
        <is>
          <t>Bolt Finland</t>
        </is>
      </c>
      <c r="B46" s="31" t="inlineStr">
        <is>
          <t>Finland</t>
        </is>
      </c>
      <c r="C46" s="32" t="inlineStr">
        <is>
          <t>Helsinki Market Square → Suomenlinna</t>
        </is>
      </c>
      <c r="D46" s="33" t="n">
        <v>1.5</v>
      </c>
      <c r="E46" s="27" t="n">
        <v>8.640000000000001</v>
      </c>
      <c r="F46" s="34" t="inlineStr">
        <is>
          <t>T2</t>
        </is>
      </c>
      <c r="G46" s="34" t="inlineStr">
        <is>
          <t>med</t>
        </is>
      </c>
      <c r="H46" s="20" t="n">
        <v>1</v>
      </c>
      <c r="I46" s="35">
        <f>60*D46/cruise_kt</f>
        <v/>
      </c>
      <c r="J46" s="35">
        <f>IF(B46="South Korea",D46/korea_charge_range_nm*korea_full_range_charge_min,0)</f>
        <v/>
      </c>
      <c r="K46" s="35">
        <f>IF(B46="South Korea",I46+korea_turn_min+korea_dwell_min+J46,I46+turn_min+dwell_min)</f>
        <v/>
      </c>
      <c r="L46" s="36">
        <f>IF(B46="South Korea",FLOOR(60*korea_service_hr/K46,1),MIN(15,FLOOR(60*service_hr/K46,1)))</f>
        <v/>
      </c>
      <c r="M46" s="36">
        <f>IF(ABS(MOD(ABS((365*mech_uptime*H46)),1)-0.5)&lt;1E-9,2*ROUND((365*mech_uptime*H46)/2,0),ROUND((365*mech_uptime*H46),0))</f>
        <v/>
      </c>
      <c r="N46" s="37">
        <f>mech_uptime</f>
        <v/>
      </c>
      <c r="O46" s="37">
        <f>IF(AND(B46="South Korea",scenario="MID"),korea_mid_revleg,revleg_sel)</f>
        <v/>
      </c>
      <c r="P46" s="36">
        <f>IF(ABS(MOD(ABS((L46*M46*O46)),1)-0.5)&lt;1E-9,2*ROUND((L46*M46*O46)/2,0),ROUND((L46*M46*O46),0))</f>
        <v/>
      </c>
      <c r="Q46" s="37">
        <f>IF(AND(B46="South Korea",scenario="MID"),korea_mid_load,load_sel)</f>
        <v/>
      </c>
      <c r="R46" s="38">
        <f>pax_cap*Q46</f>
        <v/>
      </c>
      <c r="S46" s="36">
        <f>R46*P46</f>
        <v/>
      </c>
      <c r="T46" s="39">
        <f>E46*discount</f>
        <v/>
      </c>
      <c r="U46" s="40">
        <f>T46*S46</f>
        <v/>
      </c>
      <c r="V46" s="40">
        <f>(battery/range_nm)*D46*P46*VLOOKUP(B46,country_opex,3,FALSE)</f>
        <v/>
      </c>
      <c r="W46" s="40">
        <f>VLOOKUP(B46,country_opex,2,FALSE)*crew_factor</f>
        <v/>
      </c>
      <c r="X46" s="40">
        <f>VLOOKUP(B46,country_opex,5,FALSE)</f>
        <v/>
      </c>
      <c r="Y46" s="40">
        <f>maint</f>
        <v/>
      </c>
      <c r="Z46" s="40">
        <f>VLOOKUP(B46,country_opex,7,FALSE)*ins_pct</f>
        <v/>
      </c>
      <c r="AA46" s="40">
        <f>charge_berth</f>
        <v/>
      </c>
      <c r="AB46" s="40">
        <f>V46+W46+X46+Y46+Z46+AA46</f>
        <v/>
      </c>
      <c r="AC46" s="40">
        <f>VLOOKUP(B46,country_opex,7,FALSE)/dep_years</f>
        <v/>
      </c>
      <c r="AD46" s="40">
        <f>U46-AB46</f>
        <v/>
      </c>
      <c r="AE46" s="37">
        <f>IF(U46=0,"",AD46/U46)</f>
        <v/>
      </c>
      <c r="AF46" s="38">
        <f>IF(AD46&lt;=0,"",VLOOKUP(B46,country_opex,7,FALSE)/AD46)</f>
        <v/>
      </c>
      <c r="AG46" s="35">
        <f>((D46*P46/diesel_nmpg)*diesel_co2pg-(battery/range_nm)*D46*P46*VLOOKUP(B46,country_opex,4,FALSE))/1000</f>
        <v/>
      </c>
      <c r="AH46" s="33" t="n">
        <v>1000000</v>
      </c>
      <c r="AI46" s="34" t="n"/>
      <c r="AJ46" s="34" t="n"/>
      <c r="AK46" s="41" t="n">
        <v>0.1</v>
      </c>
      <c r="AL46" s="36">
        <f>IF(AH46="","",AH46*AK46)</f>
        <v/>
      </c>
      <c r="AM46" s="36">
        <f>IF(OR(AH46="",S46=0),"",MIN(IF(AU46="",9.9E+99,AU46),FLOOR(AL46/S46,1)))</f>
        <v/>
      </c>
      <c r="AN46" s="40">
        <f>IF(AM46="","",AM46*IF(ABS(MOD(ABS((U46)),1)-0.5)&lt;1E-9,2*ROUND((U46)/2,0),ROUND((U46),0)))</f>
        <v/>
      </c>
      <c r="AO46" s="38">
        <f>IF(OR(AH46="",S46=0),"",MIN(IF(AU46="",9.9E+99,AU46),AL46/S46))</f>
        <v/>
      </c>
      <c r="AP46" s="40">
        <f>IF(AO46="","",AO46*IF(B46="South Korea",IF(ABS(MOD(ABS((U46)),1)-0.5)&lt;1E-9,2*ROUND((U46)/2,0),ROUND((U46),0)),U46))</f>
        <v/>
      </c>
      <c r="AQ46" s="42" t="n"/>
      <c r="AR46" s="34" t="inlineStr">
        <is>
          <t>Grounded</t>
        </is>
      </c>
      <c r="AS46" s="43" t="n"/>
      <c r="AT46" s="43" t="n"/>
      <c r="AU46" s="44" t="n"/>
      <c r="AV46" s="45">
        <f>IF(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&lt;=0,"",VLOOKUP(B46,country_opex,7,FALSE)/((T46*pax_cap*load_thin*IF(ABS(MOD(ABS((L46*M46*revleg_thin)),1)-0.5)&lt;1E-9,2*ROUND((L46*M46*revleg_thin)/2,0),ROUND((L46*M46*revleg_thin),0)))-(((battery/range_nm)*D46*IF(ABS(MOD(ABS((L46*M46*revleg_thin)),1)-0.5)&lt;1E-9,2*ROUND((L46*M46*revleg_thin)/2,0),ROUND((L46*M46*revleg_thin),0))*VLOOKUP(B46,country_opex,3,FALSE))+W46+X46+Y46+Z46+AA46)))</f>
        <v/>
      </c>
      <c r="AW46" s="45">
        <f>IF(((T46*pax_cap*IF(B46="South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Korea",korea_mid_revleg,revleg_mid)),0))*VLOOKUP(B46,country_opex,3,FALSE))+W46+X46+Y46+Z46+AA46))&lt;=0,"",VLOOKUP(B46,country_opex,7,FALSE)/((T46*pax_cap*IF(B46="South Korea",korea_mid_load,load_mid)*IF(ABS(MOD(ABS((L46*M46*IF(B46="South Korea",korea_mid_revleg,revleg_mid))),1)-0.5)&lt;1E-9,2*ROUND((L46*M46*IF(B46="South Korea",korea_mid_revleg,revleg_mid))/2,0),ROUND((L46*M46*IF(B46="South Korea",korea_mid_revleg,revleg_mid)),0)))-(((battery/range_nm)*D46*IF(ABS(MOD(ABS((L46*M46*IF(B46="South Korea",korea_mid_revleg,revleg_mid))),1)-0.5)&lt;1E-9,2*ROUND((L46*M46*IF(B46="South Korea",korea_mid_revleg,revleg_mid))/2,0),ROUND((L46*M46*IF(B46="South Korea",korea_mid_revleg,revleg_mid)),0))*VLOOKUP(B46,country_opex,3,FALSE))+W46+X46+Y46+Z46+AA46)))</f>
        <v/>
      </c>
      <c r="AX46" s="45">
        <f>IF(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&lt;=0,"",VLOOKUP(B46,country_opex,7,FALSE)/((T46*pax_cap*load_full*IF(ABS(MOD(ABS((L46*M46*revleg_full)),1)-0.5)&lt;1E-9,2*ROUND((L46*M46*revleg_full)/2,0),ROUND((L46*M46*revleg_full),0)))-(((battery/range_nm)*D46*IF(ABS(MOD(ABS((L46*M46*revleg_full)),1)-0.5)&lt;1E-9,2*ROUND((L46*M46*revleg_full)/2,0),ROUND((L46*M46*revleg_full),0))*VLOOKUP(B46,country_opex,3,FALSE))+W46+X46+Y46+Z46+AA46)))</f>
        <v/>
      </c>
      <c r="AY46" s="46" t="inlineStr">
        <is>
          <t>PREMIUM leisure tier: JT-Line-style adult archipelago ferry seat ~EUR 8 (the comparable premium per-seat on the Helsinki island web; JT-Line ran a Market Square-&gt;Suomenlinna waterbus at this tier until 2022). EUR 8 x 1.08 = $8.64.</t>
        </is>
      </c>
      <c r="AZ46" s="46" t="n"/>
      <c r="BA46" s="34" t="n"/>
    </row>
    <row r="47">
      <c r="A47" s="31" t="inlineStr">
        <is>
          <t>Bolt Finland</t>
        </is>
      </c>
      <c r="B47" s="31" t="inlineStr">
        <is>
          <t>Finland</t>
        </is>
      </c>
      <c r="C47" s="32" t="inlineStr">
        <is>
          <t>Helsinki → Pihlajasaari</t>
        </is>
      </c>
      <c r="D47" s="33" t="n">
        <v>1.5</v>
      </c>
      <c r="E47" s="27" t="n">
        <v>8.640000000000001</v>
      </c>
      <c r="F47" s="34" t="inlineStr">
        <is>
          <t>T2</t>
        </is>
      </c>
      <c r="G47" s="34" t="inlineStr">
        <is>
          <t>med</t>
        </is>
      </c>
      <c r="H47" s="20" t="n">
        <v>1</v>
      </c>
      <c r="I47" s="35">
        <f>60*D47/cruise_kt</f>
        <v/>
      </c>
      <c r="J47" s="35">
        <f>IF(B47="South Korea",D47/korea_charge_range_nm*korea_full_range_charge_min,0)</f>
        <v/>
      </c>
      <c r="K47" s="35">
        <f>IF(B47="South Korea",I47+korea_turn_min+korea_dwell_min+J47,I47+turn_min+dwell_min)</f>
        <v/>
      </c>
      <c r="L47" s="36">
        <f>IF(B47="South Korea",FLOOR(60*korea_service_hr/K47,1),MIN(15,FLOOR(60*service_hr/K47,1)))</f>
        <v/>
      </c>
      <c r="M47" s="36">
        <f>IF(ABS(MOD(ABS((365*mech_uptime*H47)),1)-0.5)&lt;1E-9,2*ROUND((365*mech_uptime*H47)/2,0),ROUND((365*mech_uptime*H47),0))</f>
        <v/>
      </c>
      <c r="N47" s="37">
        <f>mech_uptime</f>
        <v/>
      </c>
      <c r="O47" s="37">
        <f>IF(AND(B47="South Korea",scenario="MID"),korea_mid_revleg,revleg_sel)</f>
        <v/>
      </c>
      <c r="P47" s="36">
        <f>IF(ABS(MOD(ABS((L47*M47*O47)),1)-0.5)&lt;1E-9,2*ROUND((L47*M47*O47)/2,0),ROUND((L47*M47*O47),0))</f>
        <v/>
      </c>
      <c r="Q47" s="37">
        <f>IF(AND(B47="South Korea",scenario="MID"),korea_mid_load,load_sel)</f>
        <v/>
      </c>
      <c r="R47" s="38">
        <f>pax_cap*Q47</f>
        <v/>
      </c>
      <c r="S47" s="36">
        <f>R47*P47</f>
        <v/>
      </c>
      <c r="T47" s="39">
        <f>E47*discount</f>
        <v/>
      </c>
      <c r="U47" s="40">
        <f>T47*S47</f>
        <v/>
      </c>
      <c r="V47" s="40">
        <f>(battery/range_nm)*D47*P47*VLOOKUP(B47,country_opex,3,FALSE)</f>
        <v/>
      </c>
      <c r="W47" s="40">
        <f>VLOOKUP(B47,country_opex,2,FALSE)*crew_factor</f>
        <v/>
      </c>
      <c r="X47" s="40">
        <f>VLOOKUP(B47,country_opex,5,FALSE)</f>
        <v/>
      </c>
      <c r="Y47" s="40">
        <f>maint</f>
        <v/>
      </c>
      <c r="Z47" s="40">
        <f>VLOOKUP(B47,country_opex,7,FALSE)*ins_pct</f>
        <v/>
      </c>
      <c r="AA47" s="40">
        <f>charge_berth</f>
        <v/>
      </c>
      <c r="AB47" s="40">
        <f>V47+W47+X47+Y47+Z47+AA47</f>
        <v/>
      </c>
      <c r="AC47" s="40">
        <f>VLOOKUP(B47,country_opex,7,FALSE)/dep_years</f>
        <v/>
      </c>
      <c r="AD47" s="40">
        <f>U47-AB47</f>
        <v/>
      </c>
      <c r="AE47" s="37">
        <f>IF(U47=0,"",AD47/U47)</f>
        <v/>
      </c>
      <c r="AF47" s="38">
        <f>IF(AD47&lt;=0,"",VLOOKUP(B47,country_opex,7,FALSE)/AD47)</f>
        <v/>
      </c>
      <c r="AG47" s="35">
        <f>((D47*P47/diesel_nmpg)*diesel_co2pg-(battery/range_nm)*D47*P47*VLOOKUP(B47,country_opex,4,FALSE))/1000</f>
        <v/>
      </c>
      <c r="AH47" s="33" t="n"/>
      <c r="AI47" s="34" t="n"/>
      <c r="AJ47" s="34" t="n"/>
      <c r="AK47" s="41" t="n">
        <v>0.1</v>
      </c>
      <c r="AL47" s="36">
        <f>IF(AH47="","",AH47*AK47)</f>
        <v/>
      </c>
      <c r="AM47" s="36">
        <f>IF(OR(AH47="",S47=0),"",MIN(IF(AU47="",9.9E+99,AU47),FLOOR(AL47/S47,1)))</f>
        <v/>
      </c>
      <c r="AN47" s="40">
        <f>IF(AM47="","",AM47*IF(ABS(MOD(ABS((U47)),1)-0.5)&lt;1E-9,2*ROUND((U47)/2,0),ROUND((U47),0)))</f>
        <v/>
      </c>
      <c r="AO47" s="38">
        <f>IF(OR(AH47="",S47=0),"",MIN(IF(AU47="",9.9E+99,AU47),AL47/S47))</f>
        <v/>
      </c>
      <c r="AP47" s="40">
        <f>IF(AO47="","",AO47*IF(B47="South Korea",IF(ABS(MOD(ABS((U47)),1)-0.5)&lt;1E-9,2*ROUND((U47)/2,0),ROUND((U47),0)),U47))</f>
        <v/>
      </c>
      <c r="AQ47" s="42" t="n"/>
      <c r="AR47" s="34" t="inlineStr">
        <is>
          <t>Estimated</t>
        </is>
      </c>
      <c r="AS47" s="43" t="n"/>
      <c r="AT47" s="43" t="n"/>
      <c r="AU47" s="44" t="n"/>
      <c r="AV47" s="45">
        <f>IF(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&lt;=0,"",VLOOKUP(B47,country_opex,7,FALSE)/((T47*pax_cap*load_thin*IF(ABS(MOD(ABS((L47*M47*revleg_thin)),1)-0.5)&lt;1E-9,2*ROUND((L47*M47*revleg_thin)/2,0),ROUND((L47*M47*revleg_thin),0)))-(((battery/range_nm)*D47*IF(ABS(MOD(ABS((L47*M47*revleg_thin)),1)-0.5)&lt;1E-9,2*ROUND((L47*M47*revleg_thin)/2,0),ROUND((L47*M47*revleg_thin),0))*VLOOKUP(B47,country_opex,3,FALSE))+W47+X47+Y47+Z47+AA47)))</f>
        <v/>
      </c>
      <c r="AW47" s="45">
        <f>IF(((T47*pax_cap*IF(B47="South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Korea",korea_mid_revleg,revleg_mid)),0))*VLOOKUP(B47,country_opex,3,FALSE))+W47+X47+Y47+Z47+AA47))&lt;=0,"",VLOOKUP(B47,country_opex,7,FALSE)/((T47*pax_cap*IF(B47="South Korea",korea_mid_load,load_mid)*IF(ABS(MOD(ABS((L47*M47*IF(B47="South Korea",korea_mid_revleg,revleg_mid))),1)-0.5)&lt;1E-9,2*ROUND((L47*M47*IF(B47="South Korea",korea_mid_revleg,revleg_mid))/2,0),ROUND((L47*M47*IF(B47="South Korea",korea_mid_revleg,revleg_mid)),0)))-(((battery/range_nm)*D47*IF(ABS(MOD(ABS((L47*M47*IF(B47="South Korea",korea_mid_revleg,revleg_mid))),1)-0.5)&lt;1E-9,2*ROUND((L47*M47*IF(B47="South Korea",korea_mid_revleg,revleg_mid))/2,0),ROUND((L47*M47*IF(B47="South Korea",korea_mid_revleg,revleg_mid)),0))*VLOOKUP(B47,country_opex,3,FALSE))+W47+X47+Y47+Z47+AA47)))</f>
        <v/>
      </c>
      <c r="AX47" s="45">
        <f>IF(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&lt;=0,"",VLOOKUP(B47,country_opex,7,FALSE)/((T47*pax_cap*load_full*IF(ABS(MOD(ABS((L47*M47*revleg_full)),1)-0.5)&lt;1E-9,2*ROUND((L47*M47*revleg_full)/2,0),ROUND((L47*M47*revleg_full),0)))-(((battery/range_nm)*D47*IF(ABS(MOD(ABS((L47*M47*revleg_full)),1)-0.5)&lt;1E-9,2*ROUND((L47*M47*revleg_full)/2,0),ROUND((L47*M47*revleg_full),0))*VLOOKUP(B47,country_opex,3,FALSE))+W47+X47+Y47+Z47+AA47)))</f>
        <v/>
      </c>
      <c r="AY47" s="46" t="inlineStr">
        <is>
          <t>JT-Line adult ferry seat EUR 8 (Summer 2026; EUR 9 quoted 2024). EUR 8 x 1.08 = $8.64.</t>
        </is>
      </c>
      <c r="AZ47" s="46" t="n"/>
      <c r="BA47" s="34" t="n"/>
    </row>
    <row r="48">
      <c r="A48" s="31" t="inlineStr">
        <is>
          <t>Bolt Finland</t>
        </is>
      </c>
      <c r="B48" s="31" t="inlineStr">
        <is>
          <t>Finland</t>
        </is>
      </c>
      <c r="C48" s="32" t="inlineStr">
        <is>
          <t>Helsinki → Korkeasaari (Zoo island)</t>
        </is>
      </c>
      <c r="D48" s="33" t="n">
        <v>2</v>
      </c>
      <c r="E48" s="27" t="n">
        <v>8.640000000000001</v>
      </c>
      <c r="F48" s="34" t="inlineStr">
        <is>
          <t>T2</t>
        </is>
      </c>
      <c r="G48" s="34" t="inlineStr">
        <is>
          <t>med</t>
        </is>
      </c>
      <c r="H48" s="20" t="n">
        <v>1</v>
      </c>
      <c r="I48" s="35">
        <f>60*D48/cruise_kt</f>
        <v/>
      </c>
      <c r="J48" s="35">
        <f>IF(B48="South Korea",D48/korea_charge_range_nm*korea_full_range_charge_min,0)</f>
        <v/>
      </c>
      <c r="K48" s="35">
        <f>IF(B48="South Korea",I48+korea_turn_min+korea_dwell_min+J48,I48+turn_min+dwell_min)</f>
        <v/>
      </c>
      <c r="L48" s="36">
        <f>IF(B48="South Korea",FLOOR(60*korea_service_hr/K48,1),MIN(15,FLOOR(60*service_hr/K48,1)))</f>
        <v/>
      </c>
      <c r="M48" s="36">
        <f>IF(ABS(MOD(ABS((365*mech_uptime*H48)),1)-0.5)&lt;1E-9,2*ROUND((365*mech_uptime*H48)/2,0),ROUND((365*mech_uptime*H48),0))</f>
        <v/>
      </c>
      <c r="N48" s="37">
        <f>mech_uptime</f>
        <v/>
      </c>
      <c r="O48" s="37">
        <f>IF(AND(B48="South Korea",scenario="MID"),korea_mid_revleg,revleg_sel)</f>
        <v/>
      </c>
      <c r="P48" s="36">
        <f>IF(ABS(MOD(ABS((L48*M48*O48)),1)-0.5)&lt;1E-9,2*ROUND((L48*M48*O48)/2,0),ROUND((L48*M48*O48),0))</f>
        <v/>
      </c>
      <c r="Q48" s="37">
        <f>IF(AND(B48="South Korea",scenario="MID"),korea_mid_load,load_sel)</f>
        <v/>
      </c>
      <c r="R48" s="38">
        <f>pax_cap*Q48</f>
        <v/>
      </c>
      <c r="S48" s="36">
        <f>R48*P48</f>
        <v/>
      </c>
      <c r="T48" s="39">
        <f>E48*discount</f>
        <v/>
      </c>
      <c r="U48" s="40">
        <f>T48*S48</f>
        <v/>
      </c>
      <c r="V48" s="40">
        <f>(battery/range_nm)*D48*P48*VLOOKUP(B48,country_opex,3,FALSE)</f>
        <v/>
      </c>
      <c r="W48" s="40">
        <f>VLOOKUP(B48,country_opex,2,FALSE)*crew_factor</f>
        <v/>
      </c>
      <c r="X48" s="40">
        <f>VLOOKUP(B48,country_opex,5,FALSE)</f>
        <v/>
      </c>
      <c r="Y48" s="40">
        <f>maint</f>
        <v/>
      </c>
      <c r="Z48" s="40">
        <f>VLOOKUP(B48,country_opex,7,FALSE)*ins_pct</f>
        <v/>
      </c>
      <c r="AA48" s="40">
        <f>charge_berth</f>
        <v/>
      </c>
      <c r="AB48" s="40">
        <f>V48+W48+X48+Y48+Z48+AA48</f>
        <v/>
      </c>
      <c r="AC48" s="40">
        <f>VLOOKUP(B48,country_opex,7,FALSE)/dep_years</f>
        <v/>
      </c>
      <c r="AD48" s="40">
        <f>U48-AB48</f>
        <v/>
      </c>
      <c r="AE48" s="37">
        <f>IF(U48=0,"",AD48/U48)</f>
        <v/>
      </c>
      <c r="AF48" s="38">
        <f>IF(AD48&lt;=0,"",VLOOKUP(B48,country_opex,7,FALSE)/AD48)</f>
        <v/>
      </c>
      <c r="AG48" s="35">
        <f>((D48*P48/diesel_nmpg)*diesel_co2pg-(battery/range_nm)*D48*P48*VLOOKUP(B48,country_opex,4,FALSE))/1000</f>
        <v/>
      </c>
      <c r="AH48" s="33" t="n">
        <v>500000</v>
      </c>
      <c r="AI48" s="34" t="n"/>
      <c r="AJ48" s="34" t="n"/>
      <c r="AK48" s="41" t="n">
        <v>0.1</v>
      </c>
      <c r="AL48" s="36">
        <f>IF(AH48="","",AH48*AK48)</f>
        <v/>
      </c>
      <c r="AM48" s="36">
        <f>IF(OR(AH48="",S48=0),"",MIN(IF(AU48="",9.9E+99,AU48),FLOOR(AL48/S48,1)))</f>
        <v/>
      </c>
      <c r="AN48" s="40">
        <f>IF(AM48="","",AM48*IF(ABS(MOD(ABS((U48)),1)-0.5)&lt;1E-9,2*ROUND((U48)/2,0),ROUND((U48),0)))</f>
        <v/>
      </c>
      <c r="AO48" s="38">
        <f>IF(OR(AH48="",S48=0),"",MIN(IF(AU48="",9.9E+99,AU48),AL48/S48))</f>
        <v/>
      </c>
      <c r="AP48" s="40">
        <f>IF(AO48="","",AO48*IF(B48="South Korea",IF(ABS(MOD(ABS((U48)),1)-0.5)&lt;1E-9,2*ROUND((U48)/2,0),ROUND((U48),0)),U48))</f>
        <v/>
      </c>
      <c r="AQ48" s="42" t="n"/>
      <c r="AR48" s="34" t="inlineStr">
        <is>
          <t>Grounded</t>
        </is>
      </c>
      <c r="AS48" s="43" t="n"/>
      <c r="AT48" s="43" t="n"/>
      <c r="AU48" s="44" t="n"/>
      <c r="AV48" s="45">
        <f>IF(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&lt;=0,"",VLOOKUP(B48,country_opex,7,FALSE)/((T48*pax_cap*load_thin*IF(ABS(MOD(ABS((L48*M48*revleg_thin)),1)-0.5)&lt;1E-9,2*ROUND((L48*M48*revleg_thin)/2,0),ROUND((L48*M48*revleg_thin),0)))-(((battery/range_nm)*D48*IF(ABS(MOD(ABS((L48*M48*revleg_thin)),1)-0.5)&lt;1E-9,2*ROUND((L48*M48*revleg_thin)/2,0),ROUND((L48*M48*revleg_thin),0))*VLOOKUP(B48,country_opex,3,FALSE))+W48+X48+Y48+Z48+AA48)))</f>
        <v/>
      </c>
      <c r="AW48" s="45">
        <f>IF(((T48*pax_cap*IF(B48="South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Korea",korea_mid_revleg,revleg_mid)),0))*VLOOKUP(B48,country_opex,3,FALSE))+W48+X48+Y48+Z48+AA48))&lt;=0,"",VLOOKUP(B48,country_opex,7,FALSE)/((T48*pax_cap*IF(B48="South Korea",korea_mid_load,load_mid)*IF(ABS(MOD(ABS((L48*M48*IF(B48="South Korea",korea_mid_revleg,revleg_mid))),1)-0.5)&lt;1E-9,2*ROUND((L48*M48*IF(B48="South Korea",korea_mid_revleg,revleg_mid))/2,0),ROUND((L48*M48*IF(B48="South Korea",korea_mid_revleg,revleg_mid)),0)))-(((battery/range_nm)*D48*IF(ABS(MOD(ABS((L48*M48*IF(B48="South Korea",korea_mid_revleg,revleg_mid))),1)-0.5)&lt;1E-9,2*ROUND((L48*M48*IF(B48="South Korea",korea_mid_revleg,revleg_mid))/2,0),ROUND((L48*M48*IF(B48="South Korea",korea_mid_revleg,revleg_mid)),0))*VLOOKUP(B48,country_opex,3,FALSE))+W48+X48+Y48+Z48+AA48)))</f>
        <v/>
      </c>
      <c r="AX48" s="45">
        <f>IF(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&lt;=0,"",VLOOKUP(B48,country_opex,7,FALSE)/((T48*pax_cap*load_full*IF(ABS(MOD(ABS((L48*M48*revleg_full)),1)-0.5)&lt;1E-9,2*ROUND((L48*M48*revleg_full)/2,0),ROUND((L48*M48*revleg_full),0)))-(((battery/range_nm)*D48*IF(ABS(MOD(ABS((L48*M48*revleg_full)),1)-0.5)&lt;1E-9,2*ROUND((L48*M48*revleg_full)/2,0),ROUND((L48*M48*revleg_full),0))*VLOOKUP(B48,country_opex,3,FALSE))+W48+X48+Y48+Z48+AA48)))</f>
        <v/>
      </c>
      <c r="AY48" s="46" t="inlineStr">
        <is>
          <t>Seasonal Market Square-&gt;Korkeasaari ferry adult seat ~EUR 8 (archipelago leisure tier; zoo admission separate). EUR 8 x 1.08 = $8.64.</t>
        </is>
      </c>
      <c r="AZ48" s="46" t="n"/>
      <c r="BA48" s="34" t="n"/>
    </row>
    <row r="49">
      <c r="A49" s="31" t="inlineStr">
        <is>
          <t>Bolt Finland</t>
        </is>
      </c>
      <c r="B49" s="31" t="inlineStr">
        <is>
          <t>Finland</t>
        </is>
      </c>
      <c r="C49" s="32" t="inlineStr">
        <is>
          <t>Helsinki → Kruunuvuorenranta (Laajasalo)</t>
        </is>
      </c>
      <c r="D49" s="33" t="n">
        <v>2</v>
      </c>
      <c r="E49" s="27" t="n">
        <v>18</v>
      </c>
      <c r="F49" s="34" t="inlineStr">
        <is>
          <t>T2</t>
        </is>
      </c>
      <c r="G49" s="34" t="inlineStr">
        <is>
          <t>med</t>
        </is>
      </c>
      <c r="H49" s="20" t="n">
        <v>1</v>
      </c>
      <c r="I49" s="35">
        <f>60*D49/cruise_kt</f>
        <v/>
      </c>
      <c r="J49" s="35">
        <f>IF(B49="South Korea",D49/korea_charge_range_nm*korea_full_range_charge_min,0)</f>
        <v/>
      </c>
      <c r="K49" s="35">
        <f>IF(B49="South Korea",I49+korea_turn_min+korea_dwell_min+J49,I49+turn_min+dwell_min)</f>
        <v/>
      </c>
      <c r="L49" s="36">
        <f>IF(B49="South Korea",FLOOR(60*korea_service_hr/K49,1),MIN(24,FLOOR(60*service_hr/K49,1)))</f>
        <v/>
      </c>
      <c r="M49" s="36">
        <f>IF(ABS(MOD(ABS((365*mech_uptime*H49)),1)-0.5)&lt;1E-9,2*ROUND((365*mech_uptime*H49)/2,0),ROUND((365*mech_uptime*H49),0))</f>
        <v/>
      </c>
      <c r="N49" s="37">
        <f>mech_uptime</f>
        <v/>
      </c>
      <c r="O49" s="37">
        <f>IF(AND(B49="South Korea",scenario="MID"),korea_mid_revleg,revleg_sel)</f>
        <v/>
      </c>
      <c r="P49" s="36">
        <f>IF(ABS(MOD(ABS((L49*M49*O49)),1)-0.5)&lt;1E-9,2*ROUND((L49*M49*O49)/2,0),ROUND((L49*M49*O49),0))</f>
        <v/>
      </c>
      <c r="Q49" s="37">
        <f>IF(AND(B49="South Korea",scenario="MID"),korea_mid_load,load_sel)</f>
        <v/>
      </c>
      <c r="R49" s="38">
        <f>pax_cap*Q49</f>
        <v/>
      </c>
      <c r="S49" s="36">
        <f>R49*P49</f>
        <v/>
      </c>
      <c r="T49" s="39">
        <f>E49*discount</f>
        <v/>
      </c>
      <c r="U49" s="40">
        <f>T49*S49</f>
        <v/>
      </c>
      <c r="V49" s="40">
        <f>(battery/range_nm)*D49*P49*VLOOKUP(B49,country_opex,3,FALSE)</f>
        <v/>
      </c>
      <c r="W49" s="40">
        <f>VLOOKUP(B49,country_opex,2,FALSE)*crew_factor</f>
        <v/>
      </c>
      <c r="X49" s="40">
        <f>VLOOKUP(B49,country_opex,5,FALSE)</f>
        <v/>
      </c>
      <c r="Y49" s="40">
        <f>maint</f>
        <v/>
      </c>
      <c r="Z49" s="40">
        <f>VLOOKUP(B49,country_opex,7,FALSE)*ins_pct</f>
        <v/>
      </c>
      <c r="AA49" s="40">
        <f>charge_berth</f>
        <v/>
      </c>
      <c r="AB49" s="40">
        <f>V49+W49+X49+Y49+Z49+AA49</f>
        <v/>
      </c>
      <c r="AC49" s="40">
        <f>VLOOKUP(B49,country_opex,7,FALSE)/dep_years</f>
        <v/>
      </c>
      <c r="AD49" s="40">
        <f>U49-AB49</f>
        <v/>
      </c>
      <c r="AE49" s="37">
        <f>IF(U49=0,"",AD49/U49)</f>
        <v/>
      </c>
      <c r="AF49" s="38">
        <f>IF(AD49&lt;=0,"",VLOOKUP(B49,country_opex,7,FALSE)/AD49)</f>
        <v/>
      </c>
      <c r="AG49" s="35">
        <f>((D49*P49/diesel_nmpg)*diesel_co2pg-(battery/range_nm)*D49*P49*VLOOKUP(B49,country_opex,4,FALSE))/1000</f>
        <v/>
      </c>
      <c r="AH49" s="33" t="n"/>
      <c r="AI49" s="34" t="n"/>
      <c r="AJ49" s="34" t="n"/>
      <c r="AK49" s="41" t="n">
        <v>0.1</v>
      </c>
      <c r="AL49" s="36">
        <f>IF(AH49="","",AH49*AK49)</f>
        <v/>
      </c>
      <c r="AM49" s="36">
        <f>IF(OR(AH49="",S49=0),"",MIN(IF(AU49="",9.9E+99,AU49),FLOOR(AL49/S49,1)))</f>
        <v/>
      </c>
      <c r="AN49" s="40">
        <f>IF(AM49="","",AM49*IF(ABS(MOD(ABS((U49)),1)-0.5)&lt;1E-9,2*ROUND((U49)/2,0),ROUND((U49),0)))</f>
        <v/>
      </c>
      <c r="AO49" s="38">
        <f>IF(OR(AH49="",S49=0),"",MIN(IF(AU49="",9.9E+99,AU49),AL49/S49))</f>
        <v/>
      </c>
      <c r="AP49" s="40">
        <f>IF(AO49="","",AO49*IF(B49="South Korea",IF(ABS(MOD(ABS((U49)),1)-0.5)&lt;1E-9,2*ROUND((U49)/2,0),ROUND((U49),0)),U49))</f>
        <v/>
      </c>
      <c r="AQ49" s="42" t="n"/>
      <c r="AR49" s="34" t="inlineStr">
        <is>
          <t>Estimated</t>
        </is>
      </c>
      <c r="AS49" s="43" t="n"/>
      <c r="AT49" s="43" t="n"/>
      <c r="AU49" s="44" t="n"/>
      <c r="AV49" s="45">
        <f>IF(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&lt;=0,"",VLOOKUP(B49,country_opex,7,FALSE)/((T49*pax_cap*load_thin*IF(ABS(MOD(ABS((L49*M49*revleg_thin)),1)-0.5)&lt;1E-9,2*ROUND((L49*M49*revleg_thin)/2,0),ROUND((L49*M49*revleg_thin),0)))-(((battery/range_nm)*D49*IF(ABS(MOD(ABS((L49*M49*revleg_thin)),1)-0.5)&lt;1E-9,2*ROUND((L49*M49*revleg_thin)/2,0),ROUND((L49*M49*revleg_thin),0))*VLOOKUP(B49,country_opex,3,FALSE))+W49+X49+Y49+Z49+AA49)))</f>
        <v/>
      </c>
      <c r="AW49" s="45">
        <f>IF(((T49*pax_cap*IF(B49="South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Korea",korea_mid_revleg,revleg_mid)),0))*VLOOKUP(B49,country_opex,3,FALSE))+W49+X49+Y49+Z49+AA49))&lt;=0,"",VLOOKUP(B49,country_opex,7,FALSE)/((T49*pax_cap*IF(B49="South Korea",korea_mid_load,load_mid)*IF(ABS(MOD(ABS((L49*M49*IF(B49="South Korea",korea_mid_revleg,revleg_mid))),1)-0.5)&lt;1E-9,2*ROUND((L49*M49*IF(B49="South Korea",korea_mid_revleg,revleg_mid))/2,0),ROUND((L49*M49*IF(B49="South Korea",korea_mid_revleg,revleg_mid)),0)))-(((battery/range_nm)*D49*IF(ABS(MOD(ABS((L49*M49*IF(B49="South Korea",korea_mid_revleg,revleg_mid))),1)-0.5)&lt;1E-9,2*ROUND((L49*M49*IF(B49="South Korea",korea_mid_revleg,revleg_mid))/2,0),ROUND((L49*M49*IF(B49="South Korea",korea_mid_revleg,revleg_mid)),0))*VLOOKUP(B49,country_opex,3,FALSE))+W49+X49+Y49+Z49+AA49)))</f>
        <v/>
      </c>
      <c r="AX49" s="45">
        <f>IF(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&lt;=0,"",VLOOKUP(B49,country_opex,7,FALSE)/((T49*pax_cap*load_full*IF(ABS(MOD(ABS((L49*M49*revleg_full)),1)-0.5)&lt;1E-9,2*ROUND((L49*M49*revleg_full)/2,0),ROUND((L49*M49*revleg_full),0)))-(((battery/range_nm)*D49*IF(ABS(MOD(ABS((L49*M49*revleg_full)),1)-0.5)&lt;1E-9,2*ROUND((L49*M49*revleg_full)/2,0),ROUND((L49*M49*revleg_full),0))*VLOOKUP(B49,country_opex,3,FALSE))+W49+X49+Y49+Z49+AA49)))</f>
        <v/>
      </c>
      <c r="AY49" s="46" t="inlineStr">
        <is>
          <t>[LB-255 PREMIUM RE-FARE: subsidized comparable $3.56 lifted to premium on-demand floor $18.0] HSL AB-zone single EUR 3.30 (the route is a public-transit substitute; no premium scheduled tier exists). EUR 3.30 x 1.08 = $3.56. Recorded as commuter-grade.</t>
        </is>
      </c>
      <c r="AZ49" s="46" t="n"/>
      <c r="BA49" s="34" t="n"/>
    </row>
    <row r="50">
      <c r="A50" s="31" t="inlineStr">
        <is>
          <t>Bolt Finland</t>
        </is>
      </c>
      <c r="B50" s="31" t="inlineStr">
        <is>
          <t>Finland</t>
        </is>
      </c>
      <c r="C50" s="32" t="inlineStr">
        <is>
          <t>Helsinki → Vallisaari</t>
        </is>
      </c>
      <c r="D50" s="33" t="n">
        <v>2.5</v>
      </c>
      <c r="E50" s="27" t="n">
        <v>8.640000000000001</v>
      </c>
      <c r="F50" s="34" t="inlineStr">
        <is>
          <t>T2</t>
        </is>
      </c>
      <c r="G50" s="34" t="inlineStr">
        <is>
          <t>med</t>
        </is>
      </c>
      <c r="H50" s="20" t="n">
        <v>1</v>
      </c>
      <c r="I50" s="35">
        <f>60*D50/cruise_kt</f>
        <v/>
      </c>
      <c r="J50" s="35">
        <f>IF(B50="South Korea",D50/korea_charge_range_nm*korea_full_range_charge_min,0)</f>
        <v/>
      </c>
      <c r="K50" s="35">
        <f>IF(B50="South Korea",I50+korea_turn_min+korea_dwell_min+J50,I50+turn_min+dwell_min)</f>
        <v/>
      </c>
      <c r="L50" s="36">
        <f>IF(B50="South Korea",FLOOR(60*korea_service_hr/K50,1),MIN(15,FLOOR(60*service_hr/K50,1)))</f>
        <v/>
      </c>
      <c r="M50" s="36">
        <f>IF(ABS(MOD(ABS((365*mech_uptime*H50)),1)-0.5)&lt;1E-9,2*ROUND((365*mech_uptime*H50)/2,0),ROUND((365*mech_uptime*H50),0))</f>
        <v/>
      </c>
      <c r="N50" s="37">
        <f>mech_uptime</f>
        <v/>
      </c>
      <c r="O50" s="37">
        <f>IF(AND(B50="South Korea",scenario="MID"),korea_mid_revleg,revleg_sel)</f>
        <v/>
      </c>
      <c r="P50" s="36">
        <f>IF(ABS(MOD(ABS((L50*M50*O50)),1)-0.5)&lt;1E-9,2*ROUND((L50*M50*O50)/2,0),ROUND((L50*M50*O50),0))</f>
        <v/>
      </c>
      <c r="Q50" s="37">
        <f>IF(AND(B50="South Korea",scenario="MID"),korea_mid_load,load_sel)</f>
        <v/>
      </c>
      <c r="R50" s="38">
        <f>pax_cap*Q50</f>
        <v/>
      </c>
      <c r="S50" s="36">
        <f>R50*P50</f>
        <v/>
      </c>
      <c r="T50" s="39">
        <f>E50*discount</f>
        <v/>
      </c>
      <c r="U50" s="40">
        <f>T50*S50</f>
        <v/>
      </c>
      <c r="V50" s="40">
        <f>(battery/range_nm)*D50*P50*VLOOKUP(B50,country_opex,3,FALSE)</f>
        <v/>
      </c>
      <c r="W50" s="40">
        <f>VLOOKUP(B50,country_opex,2,FALSE)*crew_factor</f>
        <v/>
      </c>
      <c r="X50" s="40">
        <f>VLOOKUP(B50,country_opex,5,FALSE)</f>
        <v/>
      </c>
      <c r="Y50" s="40">
        <f>maint</f>
        <v/>
      </c>
      <c r="Z50" s="40">
        <f>VLOOKUP(B50,country_opex,7,FALSE)*ins_pct</f>
        <v/>
      </c>
      <c r="AA50" s="40">
        <f>charge_berth</f>
        <v/>
      </c>
      <c r="AB50" s="40">
        <f>V50+W50+X50+Y50+Z50+AA50</f>
        <v/>
      </c>
      <c r="AC50" s="40">
        <f>VLOOKUP(B50,country_opex,7,FALSE)/dep_years</f>
        <v/>
      </c>
      <c r="AD50" s="40">
        <f>U50-AB50</f>
        <v/>
      </c>
      <c r="AE50" s="37">
        <f>IF(U50=0,"",AD50/U50)</f>
        <v/>
      </c>
      <c r="AF50" s="38">
        <f>IF(AD50&lt;=0,"",VLOOKUP(B50,country_opex,7,FALSE)/AD50)</f>
        <v/>
      </c>
      <c r="AG50" s="35">
        <f>((D50*P50/diesel_nmpg)*diesel_co2pg-(battery/range_nm)*D50*P50*VLOOKUP(B50,country_opex,4,FALSE))/1000</f>
        <v/>
      </c>
      <c r="AH50" s="33" t="n">
        <v>500000</v>
      </c>
      <c r="AI50" s="34" t="n"/>
      <c r="AJ50" s="34" t="n"/>
      <c r="AK50" s="41" t="n">
        <v>0.1</v>
      </c>
      <c r="AL50" s="36">
        <f>IF(AH50="","",AH50*AK50)</f>
        <v/>
      </c>
      <c r="AM50" s="36">
        <f>IF(OR(AH50="",S50=0),"",MIN(IF(AU50="",9.9E+99,AU50),FLOOR(AL50/S50,1)))</f>
        <v/>
      </c>
      <c r="AN50" s="40">
        <f>IF(AM50="","",AM50*IF(ABS(MOD(ABS((U50)),1)-0.5)&lt;1E-9,2*ROUND((U50)/2,0),ROUND((U50),0)))</f>
        <v/>
      </c>
      <c r="AO50" s="38">
        <f>IF(OR(AH50="",S50=0),"",MIN(IF(AU50="",9.9E+99,AU50),AL50/S50))</f>
        <v/>
      </c>
      <c r="AP50" s="40">
        <f>IF(AO50="","",AO50*IF(B50="South Korea",IF(ABS(MOD(ABS((U50)),1)-0.5)&lt;1E-9,2*ROUND((U50)/2,0),ROUND((U50),0)),U50))</f>
        <v/>
      </c>
      <c r="AQ50" s="42" t="n"/>
      <c r="AR50" s="34" t="inlineStr">
        <is>
          <t>Grounded</t>
        </is>
      </c>
      <c r="AS50" s="43" t="n"/>
      <c r="AT50" s="43" t="n"/>
      <c r="AU50" s="44" t="n"/>
      <c r="AV50" s="45">
        <f>IF(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&lt;=0,"",VLOOKUP(B50,country_opex,7,FALSE)/((T50*pax_cap*load_thin*IF(ABS(MOD(ABS((L50*M50*revleg_thin)),1)-0.5)&lt;1E-9,2*ROUND((L50*M50*revleg_thin)/2,0),ROUND((L50*M50*revleg_thin),0)))-(((battery/range_nm)*D50*IF(ABS(MOD(ABS((L50*M50*revleg_thin)),1)-0.5)&lt;1E-9,2*ROUND((L50*M50*revleg_thin)/2,0),ROUND((L50*M50*revleg_thin),0))*VLOOKUP(B50,country_opex,3,FALSE))+W50+X50+Y50+Z50+AA50)))</f>
        <v/>
      </c>
      <c r="AW50" s="45">
        <f>IF(((T50*pax_cap*IF(B50="South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Korea",korea_mid_revleg,revleg_mid)),0))*VLOOKUP(B50,country_opex,3,FALSE))+W50+X50+Y50+Z50+AA50))&lt;=0,"",VLOOKUP(B50,country_opex,7,FALSE)/((T50*pax_cap*IF(B50="South Korea",korea_mid_load,load_mid)*IF(ABS(MOD(ABS((L50*M50*IF(B50="South Korea",korea_mid_revleg,revleg_mid))),1)-0.5)&lt;1E-9,2*ROUND((L50*M50*IF(B50="South Korea",korea_mid_revleg,revleg_mid))/2,0),ROUND((L50*M50*IF(B50="South Korea",korea_mid_revleg,revleg_mid)),0)))-(((battery/range_nm)*D50*IF(ABS(MOD(ABS((L50*M50*IF(B50="South Korea",korea_mid_revleg,revleg_mid))),1)-0.5)&lt;1E-9,2*ROUND((L50*M50*IF(B50="South Korea",korea_mid_revleg,revleg_mid))/2,0),ROUND((L50*M50*IF(B50="South Korea",korea_mid_revleg,revleg_mid)),0))*VLOOKUP(B50,country_opex,3,FALSE))+W50+X50+Y50+Z50+AA50)))</f>
        <v/>
      </c>
      <c r="AX50" s="45">
        <f>IF(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&lt;=0,"",VLOOKUP(B50,country_opex,7,FALSE)/((T50*pax_cap*load_full*IF(ABS(MOD(ABS((L50*M50*revleg_full)),1)-0.5)&lt;1E-9,2*ROUND((L50*M50*revleg_full)/2,0),ROUND((L50*M50*revleg_full),0)))-(((battery/range_nm)*D50*IF(ABS(MOD(ABS((L50*M50*revleg_full)),1)-0.5)&lt;1E-9,2*ROUND((L50*M50*revleg_full)/2,0),ROUND((L50*M50*revleg_full),0))*VLOOKUP(B50,country_opex,3,FALSE))+W50+X50+Y50+Z50+AA50)))</f>
        <v/>
      </c>
      <c r="AY50" s="46" t="inlineStr">
        <is>
          <t>JT-Line adult island ferry seat ~EUR 8 (2026 island-hop tariff; EUR 9 quoted 2024). EUR 8 x 1.08 = $8.64.</t>
        </is>
      </c>
      <c r="AZ50" s="46" t="n"/>
      <c r="BA50" s="34" t="n"/>
    </row>
    <row r="51">
      <c r="A51" s="31" t="inlineStr">
        <is>
          <t>Bolt Finland</t>
        </is>
      </c>
      <c r="B51" s="31" t="inlineStr">
        <is>
          <t>Finland</t>
        </is>
      </c>
      <c r="C51" s="32" t="inlineStr">
        <is>
          <t>Helsinki → Porvoo</t>
        </is>
      </c>
      <c r="D51" s="33" t="n">
        <v>26</v>
      </c>
      <c r="E51" s="27" t="n"/>
      <c r="F51" s="34" t="n"/>
      <c r="G51" s="34" t="n"/>
      <c r="H51" s="20" t="n">
        <v>1</v>
      </c>
      <c r="I51" s="35">
        <f>60*D51/cruise_kt</f>
        <v/>
      </c>
      <c r="J51" s="35">
        <f>IF(B51="South Korea",D51/korea_charge_range_nm*korea_full_range_charge_min,0)</f>
        <v/>
      </c>
      <c r="K51" s="35">
        <f>IF(B51="South Korea",I51+korea_turn_min+korea_dwell_min+J51,I51+turn_min+dwell_min)</f>
        <v/>
      </c>
      <c r="L51" s="36">
        <f>IF(B51="South Korea",FLOOR(60*korea_service_hr/K51,1),MIN(24,FLOOR(60*service_hr/K51,1)))</f>
        <v/>
      </c>
      <c r="M51" s="36">
        <f>IF(ABS(MOD(ABS((365*mech_uptime*H51)),1)-0.5)&lt;1E-9,2*ROUND((365*mech_uptime*H51)/2,0),ROUND((365*mech_uptime*H51),0))</f>
        <v/>
      </c>
      <c r="N51" s="37">
        <f>mech_uptime</f>
        <v/>
      </c>
      <c r="O51" s="37">
        <f>IF(AND(B51="South Korea",scenario="MID"),korea_mid_revleg,revleg_sel)</f>
        <v/>
      </c>
      <c r="P51" s="36">
        <f>IF(ABS(MOD(ABS((L51*M51*O51)),1)-0.5)&lt;1E-9,2*ROUND((L51*M51*O51)/2,0),ROUND((L51*M51*O51),0))</f>
        <v/>
      </c>
      <c r="Q51" s="37">
        <f>IF(AND(B51="South Korea",scenario="MID"),korea_mid_load,load_sel)</f>
        <v/>
      </c>
      <c r="R51" s="38">
        <f>pax_cap*Q51</f>
        <v/>
      </c>
      <c r="S51" s="36">
        <f>R51*P51</f>
        <v/>
      </c>
      <c r="T51" s="39">
        <f>E51*discount</f>
        <v/>
      </c>
      <c r="U51" s="40">
        <f>T51*S51</f>
        <v/>
      </c>
      <c r="V51" s="40">
        <f>(battery/range_nm)*D51*P51*VLOOKUP(B51,country_opex,3,FALSE)</f>
        <v/>
      </c>
      <c r="W51" s="40">
        <f>VLOOKUP(B51,country_opex,2,FALSE)*crew_factor</f>
        <v/>
      </c>
      <c r="X51" s="40">
        <f>VLOOKUP(B51,country_opex,5,FALSE)</f>
        <v/>
      </c>
      <c r="Y51" s="40">
        <f>maint</f>
        <v/>
      </c>
      <c r="Z51" s="40">
        <f>VLOOKUP(B51,country_opex,7,FALSE)*ins_pct</f>
        <v/>
      </c>
      <c r="AA51" s="40">
        <f>charge_berth</f>
        <v/>
      </c>
      <c r="AB51" s="40">
        <f>V51+W51+X51+Y51+Z51+AA51</f>
        <v/>
      </c>
      <c r="AC51" s="40">
        <f>VLOOKUP(B51,country_opex,7,FALSE)/dep_years</f>
        <v/>
      </c>
      <c r="AD51" s="40">
        <f>U51-AB51</f>
        <v/>
      </c>
      <c r="AE51" s="37">
        <f>IF(U51=0,"",AD51/U51)</f>
        <v/>
      </c>
      <c r="AF51" s="38">
        <f>IF(AD51&lt;=0,"",VLOOKUP(B51,country_opex,7,FALSE)/AD51)</f>
        <v/>
      </c>
      <c r="AG51" s="35">
        <f>((D51*P51/diesel_nmpg)*diesel_co2pg-(battery/range_nm)*D51*P51*VLOOKUP(B51,country_opex,4,FALSE))/1000</f>
        <v/>
      </c>
      <c r="AH51" s="33" t="n"/>
      <c r="AI51" s="34" t="n"/>
      <c r="AJ51" s="34" t="n"/>
      <c r="AK51" s="41" t="n">
        <v>0.1</v>
      </c>
      <c r="AL51" s="36">
        <f>IF(AH51="","",AH51*AK51)</f>
        <v/>
      </c>
      <c r="AM51" s="36">
        <f>IF(OR(AH51="",S51=0),"",MIN(IF(AU51="",9.9E+99,AU51),FLOOR(AL51/S51,1)))</f>
        <v/>
      </c>
      <c r="AN51" s="40">
        <f>IF(AM51="","",AM51*IF(ABS(MOD(ABS((U51)),1)-0.5)&lt;1E-9,2*ROUND((U51)/2,0),ROUND((U51),0)))</f>
        <v/>
      </c>
      <c r="AO51" s="38">
        <f>IF(OR(AH51="",S51=0),"",MIN(IF(AU51="",9.9E+99,AU51),AL51/S51))</f>
        <v/>
      </c>
      <c r="AP51" s="40">
        <f>IF(AO51="","",AO51*IF(B51="South Korea",IF(ABS(MOD(ABS((U51)),1)-0.5)&lt;1E-9,2*ROUND((U51)/2,0),ROUND((U51),0)),U51))</f>
        <v/>
      </c>
      <c r="AQ51" s="42" t="n"/>
      <c r="AR51" s="34" t="inlineStr">
        <is>
          <t>Estimated</t>
        </is>
      </c>
      <c r="AS51" s="43" t="n"/>
      <c r="AT51" s="43" t="n"/>
      <c r="AU51" s="44" t="n"/>
      <c r="AV51" s="45">
        <f>IF(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&lt;=0,"",VLOOKUP(B51,country_opex,7,FALSE)/((T51*pax_cap*load_thin*IF(ABS(MOD(ABS((L51*M51*revleg_thin)),1)-0.5)&lt;1E-9,2*ROUND((L51*M51*revleg_thin)/2,0),ROUND((L51*M51*revleg_thin),0)))-(((battery/range_nm)*D51*IF(ABS(MOD(ABS((L51*M51*revleg_thin)),1)-0.5)&lt;1E-9,2*ROUND((L51*M51*revleg_thin)/2,0),ROUND((L51*M51*revleg_thin),0))*VLOOKUP(B51,country_opex,3,FALSE))+W51+X51+Y51+Z51+AA51)))</f>
        <v/>
      </c>
      <c r="AW51" s="45">
        <f>IF(((T51*pax_cap*IF(B51="South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Korea",korea_mid_revleg,revleg_mid)),0))*VLOOKUP(B51,country_opex,3,FALSE))+W51+X51+Y51+Z51+AA51))&lt;=0,"",VLOOKUP(B51,country_opex,7,FALSE)/((T51*pax_cap*IF(B51="South Korea",korea_mid_load,load_mid)*IF(ABS(MOD(ABS((L51*M51*IF(B51="South Korea",korea_mid_revleg,revleg_mid))),1)-0.5)&lt;1E-9,2*ROUND((L51*M51*IF(B51="South Korea",korea_mid_revleg,revleg_mid))/2,0),ROUND((L51*M51*IF(B51="South Korea",korea_mid_revleg,revleg_mid)),0)))-(((battery/range_nm)*D51*IF(ABS(MOD(ABS((L51*M51*IF(B51="South Korea",korea_mid_revleg,revleg_mid))),1)-0.5)&lt;1E-9,2*ROUND((L51*M51*IF(B51="South Korea",korea_mid_revleg,revleg_mid))/2,0),ROUND((L51*M51*IF(B51="South Korea",korea_mid_revleg,revleg_mid)),0))*VLOOKUP(B51,country_opex,3,FALSE))+W51+X51+Y51+Z51+AA51)))</f>
        <v/>
      </c>
      <c r="AX51" s="45">
        <f>IF(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&lt;=0,"",VLOOKUP(B51,country_opex,7,FALSE)/((T51*pax_cap*load_full*IF(ABS(MOD(ABS((L51*M51*revleg_full)),1)-0.5)&lt;1E-9,2*ROUND((L51*M51*revleg_full)/2,0),ROUND((L51*M51*revleg_full),0)))-(((battery/range_nm)*D51*IF(ABS(MOD(ABS((L51*M51*revleg_full)),1)-0.5)&lt;1E-9,2*ROUND((L51*M51*revleg_full)/2,0),ROUND((L51*M51*revleg_full),0))*VLOOKUP(B51,country_opex,3,FALSE))+W51+X51+Y51+Z51+AA51)))</f>
        <v/>
      </c>
      <c r="AY51" s="46" t="n"/>
      <c r="AZ51" s="46" t="n"/>
      <c r="BA51" s="34" t="n"/>
    </row>
    <row r="52">
      <c r="A52" s="31" t="inlineStr">
        <is>
          <t>Bolt Finland</t>
        </is>
      </c>
      <c r="B52" s="31" t="inlineStr">
        <is>
          <t>Finland</t>
        </is>
      </c>
      <c r="C52" s="32" t="inlineStr">
        <is>
          <t>Helsinki → Tallinn</t>
        </is>
      </c>
      <c r="D52" s="33" t="n">
        <v>43</v>
      </c>
      <c r="E52" s="27" t="n">
        <v>27</v>
      </c>
      <c r="F52" s="34" t="inlineStr">
        <is>
          <t>T2</t>
        </is>
      </c>
      <c r="G52" s="34" t="inlineStr">
        <is>
          <t>med</t>
        </is>
      </c>
      <c r="H52" s="20" t="n">
        <v>1</v>
      </c>
      <c r="I52" s="35">
        <f>60*D52/cruise_kt</f>
        <v/>
      </c>
      <c r="J52" s="35">
        <f>IF(B52="South Korea",D52/korea_charge_range_nm*korea_full_range_charge_min,0)</f>
        <v/>
      </c>
      <c r="K52" s="35">
        <f>IF(B52="South Korea",I52+korea_turn_min+korea_dwell_min+J52,I52+turn_min+dwell_min)</f>
        <v/>
      </c>
      <c r="L52" s="36">
        <f>IF(B52="South Korea",FLOOR(60*korea_service_hr/K52,1),MIN(15,FLOOR(60*service_hr/K52,1)))</f>
        <v/>
      </c>
      <c r="M52" s="36">
        <f>IF(ABS(MOD(ABS((365*mech_uptime*H52)),1)-0.5)&lt;1E-9,2*ROUND((365*mech_uptime*H52)/2,0),ROUND((365*mech_uptime*H52),0))</f>
        <v/>
      </c>
      <c r="N52" s="37">
        <f>mech_uptime</f>
        <v/>
      </c>
      <c r="O52" s="37">
        <f>IF(AND(B52="South Korea",scenario="MID"),korea_mid_revleg,revleg_sel)</f>
        <v/>
      </c>
      <c r="P52" s="36">
        <f>IF(ABS(MOD(ABS((L52*M52*O52)),1)-0.5)&lt;1E-9,2*ROUND((L52*M52*O52)/2,0),ROUND((L52*M52*O52),0))</f>
        <v/>
      </c>
      <c r="Q52" s="37">
        <f>IF(AND(B52="South Korea",scenario="MID"),korea_mid_load,load_sel)</f>
        <v/>
      </c>
      <c r="R52" s="38">
        <f>pax_cap*Q52</f>
        <v/>
      </c>
      <c r="S52" s="36">
        <f>R52*P52</f>
        <v/>
      </c>
      <c r="T52" s="39">
        <f>E52*discount</f>
        <v/>
      </c>
      <c r="U52" s="40">
        <f>T52*S52</f>
        <v/>
      </c>
      <c r="V52" s="40">
        <f>(battery/range_nm)*D52*P52*VLOOKUP(B52,country_opex,3,FALSE)</f>
        <v/>
      </c>
      <c r="W52" s="40">
        <f>VLOOKUP(B52,country_opex,2,FALSE)*crew_factor</f>
        <v/>
      </c>
      <c r="X52" s="40">
        <f>VLOOKUP(B52,country_opex,5,FALSE)</f>
        <v/>
      </c>
      <c r="Y52" s="40">
        <f>maint</f>
        <v/>
      </c>
      <c r="Z52" s="40">
        <f>VLOOKUP(B52,country_opex,7,FALSE)*ins_pct</f>
        <v/>
      </c>
      <c r="AA52" s="40">
        <f>charge_berth</f>
        <v/>
      </c>
      <c r="AB52" s="40">
        <f>V52+W52+X52+Y52+Z52+AA52</f>
        <v/>
      </c>
      <c r="AC52" s="40">
        <f>VLOOKUP(B52,country_opex,7,FALSE)/dep_years</f>
        <v/>
      </c>
      <c r="AD52" s="40">
        <f>U52-AB52</f>
        <v/>
      </c>
      <c r="AE52" s="37">
        <f>IF(U52=0,"",AD52/U52)</f>
        <v/>
      </c>
      <c r="AF52" s="38">
        <f>IF(AD52&lt;=0,"",VLOOKUP(B52,country_opex,7,FALSE)/AD52)</f>
        <v/>
      </c>
      <c r="AG52" s="35">
        <f>((D52*P52/diesel_nmpg)*diesel_co2pg-(battery/range_nm)*D52*P52*VLOOKUP(B52,country_opex,4,FALSE))/1000</f>
        <v/>
      </c>
      <c r="AH52" s="33" t="n">
        <v>750000</v>
      </c>
      <c r="AI52" s="34" t="n"/>
      <c r="AJ52" s="34" t="inlineStr">
        <is>
          <t>med</t>
        </is>
      </c>
      <c r="AK52" s="41" t="n">
        <v>0.25</v>
      </c>
      <c r="AL52" s="36">
        <f>IF(AH52="","",AH52*AK52)</f>
        <v/>
      </c>
      <c r="AM52" s="36">
        <f>IF(OR(AH52="",S52=0),"",MIN(IF(AU52="",9.9E+99,AU52),FLOOR(AL52/S52,1)))</f>
        <v/>
      </c>
      <c r="AN52" s="40">
        <f>IF(AM52="","",AM52*IF(ABS(MOD(ABS((U52)),1)-0.5)&lt;1E-9,2*ROUND((U52)/2,0),ROUND((U52),0)))</f>
        <v/>
      </c>
      <c r="AO52" s="38">
        <f>IF(OR(AH52="",S52=0),"",MIN(IF(AU52="",9.9E+99,AU52),AL52/S52))</f>
        <v/>
      </c>
      <c r="AP52" s="40">
        <f>IF(AO52="","",AO52*IF(B52="South Korea",IF(ABS(MOD(ABS((U52)),1)-0.5)&lt;1E-9,2*ROUND((U52)/2,0),ROUND((U52),0)),U52))</f>
        <v/>
      </c>
      <c r="AQ52" s="42" t="n"/>
      <c r="AR52" s="34" t="inlineStr">
        <is>
          <t>Estimated</t>
        </is>
      </c>
      <c r="AS52" s="43" t="n"/>
      <c r="AT52" s="43" t="n"/>
      <c r="AU52" s="44" t="n"/>
      <c r="AV52" s="45">
        <f>IF(((T52*pax_cap*load_thin*IF(ABS(MOD(ABS((L52*M52*revleg_thin)),1)-0.5)&lt;1E-9,2*ROUND((L52*M52*revleg_thin)/2,0),ROUND((L52*M52*revleg_thin),0)))-(((battery/range_nm)*D52*IF(ABS(MOD(ABS((L52*M52*revleg_thin)),1)-0.5)&lt;1E-9,2*ROUND((L52*M52*revleg_thin)/2,0),ROUND((L52*M52*revleg_thin),0))*VLOOKUP(B52,country_opex,3,FALSE))+W52+X52+Y52+Z52+AA52))&lt;=0,"",VLOOKUP(B52,country_opex,7,FALSE)/((T52*pax_cap*load_thin*IF(ABS(MOD(ABS((L52*M52*revleg_thin)),1)-0.5)&lt;1E-9,2*ROUND((L52*M52*revleg_thin)/2,0),ROUND((L52*M52*revleg_thin),0)))-(((battery/range_nm)*D52*IF(ABS(MOD(ABS((L52*M52*revleg_thin)),1)-0.5)&lt;1E-9,2*ROUND((L52*M52*revleg_thin)/2,0),ROUND((L52*M52*revleg_thin),0))*VLOOKUP(B52,country_opex,3,FALSE))+W52+X52+Y52+Z52+AA52)))</f>
        <v/>
      </c>
      <c r="AW52" s="45">
        <f>IF(((T52*pax_cap*IF(B52="South Korea",korea_mid_load,load_mid)*IF(ABS(MOD(ABS((L52*M52*IF(B52="South Korea",korea_mid_revleg,revleg_mid))),1)-0.5)&lt;1E-9,2*ROUND((L52*M52*IF(B52="South Korea",korea_mid_revleg,revleg_mid))/2,0),ROUND((L52*M52*IF(B52="South Korea",korea_mid_revleg,revleg_mid)),0)))-(((battery/range_nm)*D52*IF(ABS(MOD(ABS((L52*M52*IF(B52="South Korea",korea_mid_revleg,revleg_mid))),1)-0.5)&lt;1E-9,2*ROUND((L52*M52*IF(B52="South Korea",korea_mid_revleg,revleg_mid))/2,0),ROUND((L52*M52*IF(B52="South Korea",korea_mid_revleg,revleg_mid)),0))*VLOOKUP(B52,country_opex,3,FALSE))+W52+X52+Y52+Z52+AA52))&lt;=0,"",VLOOKUP(B52,country_opex,7,FALSE)/((T52*pax_cap*IF(B52="South Korea",korea_mid_load,load_mid)*IF(ABS(MOD(ABS((L52*M52*IF(B52="South Korea",korea_mid_revleg,revleg_mid))),1)-0.5)&lt;1E-9,2*ROUND((L52*M52*IF(B52="South Korea",korea_mid_revleg,revleg_mid))/2,0),ROUND((L52*M52*IF(B52="South Korea",korea_mid_revleg,revleg_mid)),0)))-(((battery/range_nm)*D52*IF(ABS(MOD(ABS((L52*M52*IF(B52="South Korea",korea_mid_revleg,revleg_mid))),1)-0.5)&lt;1E-9,2*ROUND((L52*M52*IF(B52="South Korea",korea_mid_revleg,revleg_mid))/2,0),ROUND((L52*M52*IF(B52="South Korea",korea_mid_revleg,revleg_mid)),0))*VLOOKUP(B52,country_opex,3,FALSE))+W52+X52+Y52+Z52+AA52)))</f>
        <v/>
      </c>
      <c r="AX52" s="45">
        <f>IF(((T52*pax_cap*load_full*IF(ABS(MOD(ABS((L52*M52*revleg_full)),1)-0.5)&lt;1E-9,2*ROUND((L52*M52*revleg_full)/2,0),ROUND((L52*M52*revleg_full),0)))-(((battery/range_nm)*D52*IF(ABS(MOD(ABS((L52*M52*revleg_full)),1)-0.5)&lt;1E-9,2*ROUND((L52*M52*revleg_full)/2,0),ROUND((L52*M52*revleg_full),0))*VLOOKUP(B52,country_opex,3,FALSE))+W52+X52+Y52+Z52+AA52))&lt;=0,"",VLOOKUP(B52,country_opex,7,FALSE)/((T52*pax_cap*load_full*IF(ABS(MOD(ABS((L52*M52*revleg_full)),1)-0.5)&lt;1E-9,2*ROUND((L52*M52*revleg_full)/2,0),ROUND((L52*M52*revleg_full),0)))-(((battery/range_nm)*D52*IF(ABS(MOD(ABS((L52*M52*revleg_full)),1)-0.5)&lt;1E-9,2*ROUND((L52*M52*revleg_full)/2,0),ROUND((L52*M52*revleg_full),0))*VLOOKUP(B52,country_opex,3,FALSE))+W52+X52+Y52+Z52+AA52)))</f>
        <v/>
      </c>
      <c r="AY52" s="46" t="inlineStr">
        <is>
          <t>PREMIUM tier: standard adult walk-up fast-ferry seat ~EUR 25 (range EUR 18-35 by season/operator/advance; Tallink Megastar/MyStar, Viking from EUR 18, Eckero). EUR 25 x 1.08 = $27.0.</t>
        </is>
      </c>
      <c r="AZ52" s="46" t="n"/>
      <c r="BA52" s="34" t="n"/>
    </row>
    <row r="53">
      <c r="A53" s="31" t="inlineStr">
        <is>
          <t>Bolt France Riviera</t>
        </is>
      </c>
      <c r="B53" s="31" t="inlineStr">
        <is>
          <t>France</t>
        </is>
      </c>
      <c r="C53" s="32" t="inlineStr">
        <is>
          <t>Cannes → Ile Sainte-Marguerite (Iles de Lerins)</t>
        </is>
      </c>
      <c r="D53" s="33" t="n">
        <v>1.5</v>
      </c>
      <c r="E53" s="27" t="n">
        <v>10.3</v>
      </c>
      <c r="F53" s="34" t="inlineStr">
        <is>
          <t>T2</t>
        </is>
      </c>
      <c r="G53" s="34" t="inlineStr">
        <is>
          <t>med</t>
        </is>
      </c>
      <c r="H53" s="20" t="n">
        <v>1</v>
      </c>
      <c r="I53" s="35">
        <f>60*D53/cruise_kt</f>
        <v/>
      </c>
      <c r="J53" s="35">
        <f>IF(B53="South Korea",D53/korea_charge_range_nm*korea_full_range_charge_min,0)</f>
        <v/>
      </c>
      <c r="K53" s="35">
        <f>IF(B53="South Korea",I53+korea_turn_min+korea_dwell_min+J53,I53+turn_min+dwell_min)</f>
        <v/>
      </c>
      <c r="L53" s="36">
        <f>IF(B53="South Korea",FLOOR(60*korea_service_hr/K53,1),MIN(15,FLOOR(60*service_hr/K53,1)))</f>
        <v/>
      </c>
      <c r="M53" s="36">
        <f>IF(ABS(MOD(ABS((365*mech_uptime*H53)),1)-0.5)&lt;1E-9,2*ROUND((365*mech_uptime*H53)/2,0),ROUND((365*mech_uptime*H53),0))</f>
        <v/>
      </c>
      <c r="N53" s="37">
        <f>mech_uptime</f>
        <v/>
      </c>
      <c r="O53" s="37">
        <f>IF(AND(B53="South Korea",scenario="MID"),korea_mid_revleg,revleg_sel)</f>
        <v/>
      </c>
      <c r="P53" s="36">
        <f>IF(ABS(MOD(ABS((L53*M53*O53)),1)-0.5)&lt;1E-9,2*ROUND((L53*M53*O53)/2,0),ROUND((L53*M53*O53),0))</f>
        <v/>
      </c>
      <c r="Q53" s="37">
        <f>IF(AND(B53="South Korea",scenario="MID"),korea_mid_load,load_sel)</f>
        <v/>
      </c>
      <c r="R53" s="38">
        <f>pax_cap*Q53</f>
        <v/>
      </c>
      <c r="S53" s="36">
        <f>R53*P53</f>
        <v/>
      </c>
      <c r="T53" s="39">
        <f>E53*discount</f>
        <v/>
      </c>
      <c r="U53" s="40">
        <f>T53*S53</f>
        <v/>
      </c>
      <c r="V53" s="40">
        <f>(battery/range_nm)*D53*P53*VLOOKUP(B53,country_opex,3,FALSE)</f>
        <v/>
      </c>
      <c r="W53" s="40">
        <f>VLOOKUP(B53,country_opex,2,FALSE)*crew_factor</f>
        <v/>
      </c>
      <c r="X53" s="40">
        <f>VLOOKUP(B53,country_opex,5,FALSE)</f>
        <v/>
      </c>
      <c r="Y53" s="40">
        <f>maint</f>
        <v/>
      </c>
      <c r="Z53" s="40">
        <f>VLOOKUP(B53,country_opex,7,FALSE)*ins_pct</f>
        <v/>
      </c>
      <c r="AA53" s="40">
        <f>charge_berth</f>
        <v/>
      </c>
      <c r="AB53" s="40">
        <f>V53+W53+X53+Y53+Z53+AA53</f>
        <v/>
      </c>
      <c r="AC53" s="40">
        <f>VLOOKUP(B53,country_opex,7,FALSE)/dep_years</f>
        <v/>
      </c>
      <c r="AD53" s="40">
        <f>U53-AB53</f>
        <v/>
      </c>
      <c r="AE53" s="37">
        <f>IF(U53=0,"",AD53/U53)</f>
        <v/>
      </c>
      <c r="AF53" s="38">
        <f>IF(AD53&lt;=0,"",VLOOKUP(B53,country_opex,7,FALSE)/AD53)</f>
        <v/>
      </c>
      <c r="AG53" s="35">
        <f>((D53*P53/diesel_nmpg)*diesel_co2pg-(battery/range_nm)*D53*P53*VLOOKUP(B53,country_opex,4,FALSE))/1000</f>
        <v/>
      </c>
      <c r="AH53" s="33" t="n">
        <v>300000</v>
      </c>
      <c r="AI53" s="34" t="n"/>
      <c r="AJ53" s="34" t="n"/>
      <c r="AK53" s="41" t="n">
        <v>0.1</v>
      </c>
      <c r="AL53" s="36">
        <f>IF(AH53="","",AH53*AK53)</f>
        <v/>
      </c>
      <c r="AM53" s="36">
        <f>IF(OR(AH53="",S53=0),"",MIN(IF(AU53="",9.9E+99,AU53),FLOOR(AL53/S53,1)))</f>
        <v/>
      </c>
      <c r="AN53" s="40">
        <f>IF(AM53="","",AM53*IF(ABS(MOD(ABS((U53)),1)-0.5)&lt;1E-9,2*ROUND((U53)/2,0),ROUND((U53),0)))</f>
        <v/>
      </c>
      <c r="AO53" s="38">
        <f>IF(OR(AH53="",S53=0),"",MIN(IF(AU53="",9.9E+99,AU53),AL53/S53))</f>
        <v/>
      </c>
      <c r="AP53" s="40">
        <f>IF(AO53="","",AO53*IF(B53="South Korea",IF(ABS(MOD(ABS((U53)),1)-0.5)&lt;1E-9,2*ROUND((U53)/2,0),ROUND((U53),0)),U53))</f>
        <v/>
      </c>
      <c r="AQ53" s="42" t="n"/>
      <c r="AR53" s="34" t="inlineStr">
        <is>
          <t>Grounded</t>
        </is>
      </c>
      <c r="AS53" s="43" t="n"/>
      <c r="AT53" s="43" t="n"/>
      <c r="AU53" s="44" t="n"/>
      <c r="AV53" s="45">
        <f>IF(((T53*pax_cap*load_thin*IF(ABS(MOD(ABS((L53*M53*revleg_thin)),1)-0.5)&lt;1E-9,2*ROUND((L53*M53*revleg_thin)/2,0),ROUND((L53*M53*revleg_thin),0)))-(((battery/range_nm)*D53*IF(ABS(MOD(ABS((L53*M53*revleg_thin)),1)-0.5)&lt;1E-9,2*ROUND((L53*M53*revleg_thin)/2,0),ROUND((L53*M53*revleg_thin),0))*VLOOKUP(B53,country_opex,3,FALSE))+W53+X53+Y53+Z53+AA53))&lt;=0,"",VLOOKUP(B53,country_opex,7,FALSE)/((T53*pax_cap*load_thin*IF(ABS(MOD(ABS((L53*M53*revleg_thin)),1)-0.5)&lt;1E-9,2*ROUND((L53*M53*revleg_thin)/2,0),ROUND((L53*M53*revleg_thin),0)))-(((battery/range_nm)*D53*IF(ABS(MOD(ABS((L53*M53*revleg_thin)),1)-0.5)&lt;1E-9,2*ROUND((L53*M53*revleg_thin)/2,0),ROUND((L53*M53*revleg_thin),0))*VLOOKUP(B53,country_opex,3,FALSE))+W53+X53+Y53+Z53+AA53)))</f>
        <v/>
      </c>
      <c r="AW53" s="45">
        <f>IF(((T53*pax_cap*IF(B53="South Korea",korea_mid_load,load_mid)*IF(ABS(MOD(ABS((L53*M53*IF(B53="South Korea",korea_mid_revleg,revleg_mid))),1)-0.5)&lt;1E-9,2*ROUND((L53*M53*IF(B53="South Korea",korea_mid_revleg,revleg_mid))/2,0),ROUND((L53*M53*IF(B53="South Korea",korea_mid_revleg,revleg_mid)),0)))-(((battery/range_nm)*D53*IF(ABS(MOD(ABS((L53*M53*IF(B53="South Korea",korea_mid_revleg,revleg_mid))),1)-0.5)&lt;1E-9,2*ROUND((L53*M53*IF(B53="South Korea",korea_mid_revleg,revleg_mid))/2,0),ROUND((L53*M53*IF(B53="South Korea",korea_mid_revleg,revleg_mid)),0))*VLOOKUP(B53,country_opex,3,FALSE))+W53+X53+Y53+Z53+AA53))&lt;=0,"",VLOOKUP(B53,country_opex,7,FALSE)/((T53*pax_cap*IF(B53="South Korea",korea_mid_load,load_mid)*IF(ABS(MOD(ABS((L53*M53*IF(B53="South Korea",korea_mid_revleg,revleg_mid))),1)-0.5)&lt;1E-9,2*ROUND((L53*M53*IF(B53="South Korea",korea_mid_revleg,revleg_mid))/2,0),ROUND((L53*M53*IF(B53="South Korea",korea_mid_revleg,revleg_mid)),0)))-(((battery/range_nm)*D53*IF(ABS(MOD(ABS((L53*M53*IF(B53="South Korea",korea_mid_revleg,revleg_mid))),1)-0.5)&lt;1E-9,2*ROUND((L53*M53*IF(B53="South Korea",korea_mid_revleg,revleg_mid))/2,0),ROUND((L53*M53*IF(B53="South Korea",korea_mid_revleg,revleg_mid)),0))*VLOOKUP(B53,country_opex,3,FALSE))+W53+X53+Y53+Z53+AA53)))</f>
        <v/>
      </c>
      <c r="AX53" s="45">
        <f>IF(((T53*pax_cap*load_full*IF(ABS(MOD(ABS((L53*M53*revleg_full)),1)-0.5)&lt;1E-9,2*ROUND((L53*M53*revleg_full)/2,0),ROUND((L53*M53*revleg_full),0)))-(((battery/range_nm)*D53*IF(ABS(MOD(ABS((L53*M53*revleg_full)),1)-0.5)&lt;1E-9,2*ROUND((L53*M53*revleg_full)/2,0),ROUND((L53*M53*revleg_full),0))*VLOOKUP(B53,country_opex,3,FALSE))+W53+X53+Y53+Z53+AA53))&lt;=0,"",VLOOKUP(B53,country_opex,7,FALSE)/((T53*pax_cap*load_full*IF(ABS(MOD(ABS((L53*M53*revleg_full)),1)-0.5)&lt;1E-9,2*ROUND((L53*M53*revleg_full)/2,0),ROUND((L53*M53*revleg_full),0)))-(((battery/range_nm)*D53*IF(ABS(MOD(ABS((L53*M53*revleg_full)),1)-0.5)&lt;1E-9,2*ROUND((L53*M53*revleg_full)/2,0),ROUND((L53*M53*revleg_full),0))*VLOOKUP(B53,country_opex,3,FALSE))+W53+X53+Y53+Z53+AA53)))</f>
        <v/>
      </c>
      <c r="AY53" s="46" t="inlineStr">
        <is>
          <t>PREMIUM scheduled per-seat: Trans Cote d'Azur Cannes&lt;-&gt;Sainte-Marguerite navette EUR 19.00 adult RT (2026, all year) = ~EUR 9.5 one-way x 1.08 = ~$10.3. (Short hop, so the premium tier itself is inexpensive.)</t>
        </is>
      </c>
      <c r="AZ53" s="46" t="n"/>
      <c r="BA53" s="34" t="n"/>
    </row>
    <row r="54">
      <c r="A54" s="31" t="inlineStr">
        <is>
          <t>Bolt France Riviera</t>
        </is>
      </c>
      <c r="B54" s="31" t="inlineStr">
        <is>
          <t>France</t>
        </is>
      </c>
      <c r="C54" s="32" t="inlineStr">
        <is>
          <t>Menton → Monaco</t>
        </is>
      </c>
      <c r="D54" s="33" t="n">
        <v>4</v>
      </c>
      <c r="E54" s="27" t="n"/>
      <c r="F54" s="34" t="n"/>
      <c r="G54" s="34" t="n"/>
      <c r="H54" s="20" t="n">
        <v>1</v>
      </c>
      <c r="I54" s="35">
        <f>60*D54/cruise_kt</f>
        <v/>
      </c>
      <c r="J54" s="35">
        <f>IF(B54="South Korea",D54/korea_charge_range_nm*korea_full_range_charge_min,0)</f>
        <v/>
      </c>
      <c r="K54" s="35">
        <f>IF(B54="South Korea",I54+korea_turn_min+korea_dwell_min+J54,I54+turn_min+dwell_min)</f>
        <v/>
      </c>
      <c r="L54" s="36">
        <f>IF(B54="South Korea",FLOOR(60*korea_service_hr/K54,1),MIN(24,FLOOR(60*service_hr/K54,1)))</f>
        <v/>
      </c>
      <c r="M54" s="36">
        <f>IF(ABS(MOD(ABS((365*mech_uptime*H54)),1)-0.5)&lt;1E-9,2*ROUND((365*mech_uptime*H54)/2,0),ROUND((365*mech_uptime*H54),0))</f>
        <v/>
      </c>
      <c r="N54" s="37">
        <f>mech_uptime</f>
        <v/>
      </c>
      <c r="O54" s="37">
        <f>IF(AND(B54="South Korea",scenario="MID"),korea_mid_revleg,revleg_sel)</f>
        <v/>
      </c>
      <c r="P54" s="36">
        <f>IF(ABS(MOD(ABS((L54*M54*O54)),1)-0.5)&lt;1E-9,2*ROUND((L54*M54*O54)/2,0),ROUND((L54*M54*O54),0))</f>
        <v/>
      </c>
      <c r="Q54" s="37">
        <f>IF(AND(B54="South Korea",scenario="MID"),korea_mid_load,load_sel)</f>
        <v/>
      </c>
      <c r="R54" s="38">
        <f>pax_cap*Q54</f>
        <v/>
      </c>
      <c r="S54" s="36">
        <f>R54*P54</f>
        <v/>
      </c>
      <c r="T54" s="39">
        <f>E54*discount</f>
        <v/>
      </c>
      <c r="U54" s="40">
        <f>T54*S54</f>
        <v/>
      </c>
      <c r="V54" s="40">
        <f>(battery/range_nm)*D54*P54*VLOOKUP(B54,country_opex,3,FALSE)</f>
        <v/>
      </c>
      <c r="W54" s="40">
        <f>VLOOKUP(B54,country_opex,2,FALSE)*crew_factor</f>
        <v/>
      </c>
      <c r="X54" s="40">
        <f>VLOOKUP(B54,country_opex,5,FALSE)</f>
        <v/>
      </c>
      <c r="Y54" s="40">
        <f>maint</f>
        <v/>
      </c>
      <c r="Z54" s="40">
        <f>VLOOKUP(B54,country_opex,7,FALSE)*ins_pct</f>
        <v/>
      </c>
      <c r="AA54" s="40">
        <f>charge_berth</f>
        <v/>
      </c>
      <c r="AB54" s="40">
        <f>V54+W54+X54+Y54+Z54+AA54</f>
        <v/>
      </c>
      <c r="AC54" s="40">
        <f>VLOOKUP(B54,country_opex,7,FALSE)/dep_years</f>
        <v/>
      </c>
      <c r="AD54" s="40">
        <f>U54-AB54</f>
        <v/>
      </c>
      <c r="AE54" s="37">
        <f>IF(U54=0,"",AD54/U54)</f>
        <v/>
      </c>
      <c r="AF54" s="38">
        <f>IF(AD54&lt;=0,"",VLOOKUP(B54,country_opex,7,FALSE)/AD54)</f>
        <v/>
      </c>
      <c r="AG54" s="35">
        <f>((D54*P54/diesel_nmpg)*diesel_co2pg-(battery/range_nm)*D54*P54*VLOOKUP(B54,country_opex,4,FALSE))/1000</f>
        <v/>
      </c>
      <c r="AH54" s="33" t="n">
        <v>110565</v>
      </c>
      <c r="AI54" s="34" t="n"/>
      <c r="AJ54" s="34" t="n"/>
      <c r="AK54" s="41" t="n">
        <v>0.1</v>
      </c>
      <c r="AL54" s="36">
        <f>IF(AH54="","",AH54*AK54)</f>
        <v/>
      </c>
      <c r="AM54" s="36">
        <f>IF(OR(AH54="",S54=0),"",MIN(IF(AU54="",9.9E+99,AU54),FLOOR(AL54/S54,1)))</f>
        <v/>
      </c>
      <c r="AN54" s="40">
        <f>IF(AM54="","",AM54*IF(ABS(MOD(ABS((U54)),1)-0.5)&lt;1E-9,2*ROUND((U54)/2,0),ROUND((U54),0)))</f>
        <v/>
      </c>
      <c r="AO54" s="38">
        <f>IF(OR(AH54="",S54=0),"",MIN(IF(AU54="",9.9E+99,AU54),AL54/S54))</f>
        <v/>
      </c>
      <c r="AP54" s="40">
        <f>IF(AO54="","",AO54*IF(B54="South Korea",IF(ABS(MOD(ABS((U54)),1)-0.5)&lt;1E-9,2*ROUND((U54)/2,0),ROUND((U54),0)),U54))</f>
        <v/>
      </c>
      <c r="AQ54" s="42" t="n"/>
      <c r="AR54" s="34" t="inlineStr">
        <is>
          <t>Estimated</t>
        </is>
      </c>
      <c r="AS54" s="43" t="n"/>
      <c r="AT54" s="43" t="n"/>
      <c r="AU54" s="44" t="n"/>
      <c r="AV54" s="45">
        <f>IF(((T54*pax_cap*load_thin*IF(ABS(MOD(ABS((L54*M54*revleg_thin)),1)-0.5)&lt;1E-9,2*ROUND((L54*M54*revleg_thin)/2,0),ROUND((L54*M54*revleg_thin),0)))-(((battery/range_nm)*D54*IF(ABS(MOD(ABS((L54*M54*revleg_thin)),1)-0.5)&lt;1E-9,2*ROUND((L54*M54*revleg_thin)/2,0),ROUND((L54*M54*revleg_thin),0))*VLOOKUP(B54,country_opex,3,FALSE))+W54+X54+Y54+Z54+AA54))&lt;=0,"",VLOOKUP(B54,country_opex,7,FALSE)/((T54*pax_cap*load_thin*IF(ABS(MOD(ABS((L54*M54*revleg_thin)),1)-0.5)&lt;1E-9,2*ROUND((L54*M54*revleg_thin)/2,0),ROUND((L54*M54*revleg_thin),0)))-(((battery/range_nm)*D54*IF(ABS(MOD(ABS((L54*M54*revleg_thin)),1)-0.5)&lt;1E-9,2*ROUND((L54*M54*revleg_thin)/2,0),ROUND((L54*M54*revleg_thin),0))*VLOOKUP(B54,country_opex,3,FALSE))+W54+X54+Y54+Z54+AA54)))</f>
        <v/>
      </c>
      <c r="AW54" s="45">
        <f>IF(((T54*pax_cap*IF(B54="South Korea",korea_mid_load,load_mid)*IF(ABS(MOD(ABS((L54*M54*IF(B54="South Korea",korea_mid_revleg,revleg_mid))),1)-0.5)&lt;1E-9,2*ROUND((L54*M54*IF(B54="South Korea",korea_mid_revleg,revleg_mid))/2,0),ROUND((L54*M54*IF(B54="South Korea",korea_mid_revleg,revleg_mid)),0)))-(((battery/range_nm)*D54*IF(ABS(MOD(ABS((L54*M54*IF(B54="South Korea",korea_mid_revleg,revleg_mid))),1)-0.5)&lt;1E-9,2*ROUND((L54*M54*IF(B54="South Korea",korea_mid_revleg,revleg_mid))/2,0),ROUND((L54*M54*IF(B54="South Korea",korea_mid_revleg,revleg_mid)),0))*VLOOKUP(B54,country_opex,3,FALSE))+W54+X54+Y54+Z54+AA54))&lt;=0,"",VLOOKUP(B54,country_opex,7,FALSE)/((T54*pax_cap*IF(B54="South Korea",korea_mid_load,load_mid)*IF(ABS(MOD(ABS((L54*M54*IF(B54="South Korea",korea_mid_revleg,revleg_mid))),1)-0.5)&lt;1E-9,2*ROUND((L54*M54*IF(B54="South Korea",korea_mid_revleg,revleg_mid))/2,0),ROUND((L54*M54*IF(B54="South Korea",korea_mid_revleg,revleg_mid)),0)))-(((battery/range_nm)*D54*IF(ABS(MOD(ABS((L54*M54*IF(B54="South Korea",korea_mid_revleg,revleg_mid))),1)-0.5)&lt;1E-9,2*ROUND((L54*M54*IF(B54="South Korea",korea_mid_revleg,revleg_mid))/2,0),ROUND((L54*M54*IF(B54="South Korea",korea_mid_revleg,revleg_mid)),0))*VLOOKUP(B54,country_opex,3,FALSE))+W54+X54+Y54+Z54+AA54)))</f>
        <v/>
      </c>
      <c r="AX54" s="45">
        <f>IF(((T54*pax_cap*load_full*IF(ABS(MOD(ABS((L54*M54*revleg_full)),1)-0.5)&lt;1E-9,2*ROUND((L54*M54*revleg_full)/2,0),ROUND((L54*M54*revleg_full),0)))-(((battery/range_nm)*D54*IF(ABS(MOD(ABS((L54*M54*revleg_full)),1)-0.5)&lt;1E-9,2*ROUND((L54*M54*revleg_full)/2,0),ROUND((L54*M54*revleg_full),0))*VLOOKUP(B54,country_opex,3,FALSE))+W54+X54+Y54+Z54+AA54))&lt;=0,"",VLOOKUP(B54,country_opex,7,FALSE)/((T54*pax_cap*load_full*IF(ABS(MOD(ABS((L54*M54*revleg_full)),1)-0.5)&lt;1E-9,2*ROUND((L54*M54*revleg_full)/2,0),ROUND((L54*M54*revleg_full),0)))-(((battery/range_nm)*D54*IF(ABS(MOD(ABS((L54*M54*revleg_full)),1)-0.5)&lt;1E-9,2*ROUND((L54*M54*revleg_full)/2,0),ROUND((L54*M54*revleg_full),0))*VLOOKUP(B54,country_opex,3,FALSE))+W54+X54+Y54+Z54+AA54)))</f>
        <v/>
      </c>
      <c r="AY54" s="46" t="n"/>
      <c r="AZ54" s="46" t="n"/>
      <c r="BA54" s="34" t="n"/>
    </row>
    <row r="55">
      <c r="A55" s="31" t="inlineStr">
        <is>
          <t>Bolt France Riviera</t>
        </is>
      </c>
      <c r="B55" s="31" t="inlineStr">
        <is>
          <t>France</t>
        </is>
      </c>
      <c r="C55" s="32" t="inlineStr">
        <is>
          <t>Villefranche-sur-Mer → Monaco</t>
        </is>
      </c>
      <c r="D55" s="33" t="n">
        <v>5</v>
      </c>
      <c r="E55" s="27" t="n"/>
      <c r="F55" s="34" t="n"/>
      <c r="G55" s="34" t="n"/>
      <c r="H55" s="20" t="n">
        <v>1</v>
      </c>
      <c r="I55" s="35">
        <f>60*D55/cruise_kt</f>
        <v/>
      </c>
      <c r="J55" s="35">
        <f>IF(B55="South Korea",D55/korea_charge_range_nm*korea_full_range_charge_min,0)</f>
        <v/>
      </c>
      <c r="K55" s="35">
        <f>IF(B55="South Korea",I55+korea_turn_min+korea_dwell_min+J55,I55+turn_min+dwell_min)</f>
        <v/>
      </c>
      <c r="L55" s="36">
        <f>IF(B55="South Korea",FLOOR(60*korea_service_hr/K55,1),MIN(24,FLOOR(60*service_hr/K55,1)))</f>
        <v/>
      </c>
      <c r="M55" s="36">
        <f>IF(ABS(MOD(ABS((365*mech_uptime*H55)),1)-0.5)&lt;1E-9,2*ROUND((365*mech_uptime*H55)/2,0),ROUND((365*mech_uptime*H55),0))</f>
        <v/>
      </c>
      <c r="N55" s="37">
        <f>mech_uptime</f>
        <v/>
      </c>
      <c r="O55" s="37">
        <f>IF(AND(B55="South Korea",scenario="MID"),korea_mid_revleg,revleg_sel)</f>
        <v/>
      </c>
      <c r="P55" s="36">
        <f>IF(ABS(MOD(ABS((L55*M55*O55)),1)-0.5)&lt;1E-9,2*ROUND((L55*M55*O55)/2,0),ROUND((L55*M55*O55),0))</f>
        <v/>
      </c>
      <c r="Q55" s="37">
        <f>IF(AND(B55="South Korea",scenario="MID"),korea_mid_load,load_sel)</f>
        <v/>
      </c>
      <c r="R55" s="38">
        <f>pax_cap*Q55</f>
        <v/>
      </c>
      <c r="S55" s="36">
        <f>R55*P55</f>
        <v/>
      </c>
      <c r="T55" s="39">
        <f>E55*discount</f>
        <v/>
      </c>
      <c r="U55" s="40">
        <f>T55*S55</f>
        <v/>
      </c>
      <c r="V55" s="40">
        <f>(battery/range_nm)*D55*P55*VLOOKUP(B55,country_opex,3,FALSE)</f>
        <v/>
      </c>
      <c r="W55" s="40">
        <f>VLOOKUP(B55,country_opex,2,FALSE)*crew_factor</f>
        <v/>
      </c>
      <c r="X55" s="40">
        <f>VLOOKUP(B55,country_opex,5,FALSE)</f>
        <v/>
      </c>
      <c r="Y55" s="40">
        <f>maint</f>
        <v/>
      </c>
      <c r="Z55" s="40">
        <f>VLOOKUP(B55,country_opex,7,FALSE)*ins_pct</f>
        <v/>
      </c>
      <c r="AA55" s="40">
        <f>charge_berth</f>
        <v/>
      </c>
      <c r="AB55" s="40">
        <f>V55+W55+X55+Y55+Z55+AA55</f>
        <v/>
      </c>
      <c r="AC55" s="40">
        <f>VLOOKUP(B55,country_opex,7,FALSE)/dep_years</f>
        <v/>
      </c>
      <c r="AD55" s="40">
        <f>U55-AB55</f>
        <v/>
      </c>
      <c r="AE55" s="37">
        <f>IF(U55=0,"",AD55/U55)</f>
        <v/>
      </c>
      <c r="AF55" s="38">
        <f>IF(AD55&lt;=0,"",VLOOKUP(B55,country_opex,7,FALSE)/AD55)</f>
        <v/>
      </c>
      <c r="AG55" s="35">
        <f>((D55*P55/diesel_nmpg)*diesel_co2pg-(battery/range_nm)*D55*P55*VLOOKUP(B55,country_opex,4,FALSE))/1000</f>
        <v/>
      </c>
      <c r="AH55" s="33" t="n"/>
      <c r="AI55" s="34" t="n"/>
      <c r="AJ55" s="34" t="n"/>
      <c r="AK55" s="41" t="n">
        <v>0.1</v>
      </c>
      <c r="AL55" s="36">
        <f>IF(AH55="","",AH55*AK55)</f>
        <v/>
      </c>
      <c r="AM55" s="36">
        <f>IF(OR(AH55="",S55=0),"",MIN(IF(AU55="",9.9E+99,AU55),FLOOR(AL55/S55,1)))</f>
        <v/>
      </c>
      <c r="AN55" s="40">
        <f>IF(AM55="","",AM55*IF(ABS(MOD(ABS((U55)),1)-0.5)&lt;1E-9,2*ROUND((U55)/2,0),ROUND((U55),0)))</f>
        <v/>
      </c>
      <c r="AO55" s="38">
        <f>IF(OR(AH55="",S55=0),"",MIN(IF(AU55="",9.9E+99,AU55),AL55/S55))</f>
        <v/>
      </c>
      <c r="AP55" s="40">
        <f>IF(AO55="","",AO55*IF(B55="South Korea",IF(ABS(MOD(ABS((U55)),1)-0.5)&lt;1E-9,2*ROUND((U55)/2,0),ROUND((U55),0)),U55))</f>
        <v/>
      </c>
      <c r="AQ55" s="42" t="n"/>
      <c r="AR55" s="34" t="inlineStr">
        <is>
          <t>Estimated</t>
        </is>
      </c>
      <c r="AS55" s="43" t="n"/>
      <c r="AT55" s="43" t="n"/>
      <c r="AU55" s="44" t="n"/>
      <c r="AV55" s="45">
        <f>IF(((T55*pax_cap*load_thin*IF(ABS(MOD(ABS((L55*M55*revleg_thin)),1)-0.5)&lt;1E-9,2*ROUND((L55*M55*revleg_thin)/2,0),ROUND((L55*M55*revleg_thin),0)))-(((battery/range_nm)*D55*IF(ABS(MOD(ABS((L55*M55*revleg_thin)),1)-0.5)&lt;1E-9,2*ROUND((L55*M55*revleg_thin)/2,0),ROUND((L55*M55*revleg_thin),0))*VLOOKUP(B55,country_opex,3,FALSE))+W55+X55+Y55+Z55+AA55))&lt;=0,"",VLOOKUP(B55,country_opex,7,FALSE)/((T55*pax_cap*load_thin*IF(ABS(MOD(ABS((L55*M55*revleg_thin)),1)-0.5)&lt;1E-9,2*ROUND((L55*M55*revleg_thin)/2,0),ROUND((L55*M55*revleg_thin),0)))-(((battery/range_nm)*D55*IF(ABS(MOD(ABS((L55*M55*revleg_thin)),1)-0.5)&lt;1E-9,2*ROUND((L55*M55*revleg_thin)/2,0),ROUND((L55*M55*revleg_thin),0))*VLOOKUP(B55,country_opex,3,FALSE))+W55+X55+Y55+Z55+AA55)))</f>
        <v/>
      </c>
      <c r="AW55" s="45">
        <f>IF(((T55*pax_cap*IF(B55="South Korea",korea_mid_load,load_mid)*IF(ABS(MOD(ABS((L55*M55*IF(B55="South Korea",korea_mid_revleg,revleg_mid))),1)-0.5)&lt;1E-9,2*ROUND((L55*M55*IF(B55="South Korea",korea_mid_revleg,revleg_mid))/2,0),ROUND((L55*M55*IF(B55="South Korea",korea_mid_revleg,revleg_mid)),0)))-(((battery/range_nm)*D55*IF(ABS(MOD(ABS((L55*M55*IF(B55="South Korea",korea_mid_revleg,revleg_mid))),1)-0.5)&lt;1E-9,2*ROUND((L55*M55*IF(B55="South Korea",korea_mid_revleg,revleg_mid))/2,0),ROUND((L55*M55*IF(B55="South Korea",korea_mid_revleg,revleg_mid)),0))*VLOOKUP(B55,country_opex,3,FALSE))+W55+X55+Y55+Z55+AA55))&lt;=0,"",VLOOKUP(B55,country_opex,7,FALSE)/((T55*pax_cap*IF(B55="South Korea",korea_mid_load,load_mid)*IF(ABS(MOD(ABS((L55*M55*IF(B55="South Korea",korea_mid_revleg,revleg_mid))),1)-0.5)&lt;1E-9,2*ROUND((L55*M55*IF(B55="South Korea",korea_mid_revleg,revleg_mid))/2,0),ROUND((L55*M55*IF(B55="South Korea",korea_mid_revleg,revleg_mid)),0)))-(((battery/range_nm)*D55*IF(ABS(MOD(ABS((L55*M55*IF(B55="South Korea",korea_mid_revleg,revleg_mid))),1)-0.5)&lt;1E-9,2*ROUND((L55*M55*IF(B55="South Korea",korea_mid_revleg,revleg_mid))/2,0),ROUND((L55*M55*IF(B55="South Korea",korea_mid_revleg,revleg_mid)),0))*VLOOKUP(B55,country_opex,3,FALSE))+W55+X55+Y55+Z55+AA55)))</f>
        <v/>
      </c>
      <c r="AX55" s="45">
        <f>IF(((T55*pax_cap*load_full*IF(ABS(MOD(ABS((L55*M55*revleg_full)),1)-0.5)&lt;1E-9,2*ROUND((L55*M55*revleg_full)/2,0),ROUND((L55*M55*revleg_full),0)))-(((battery/range_nm)*D55*IF(ABS(MOD(ABS((L55*M55*revleg_full)),1)-0.5)&lt;1E-9,2*ROUND((L55*M55*revleg_full)/2,0),ROUND((L55*M55*revleg_full),0))*VLOOKUP(B55,country_opex,3,FALSE))+W55+X55+Y55+Z55+AA55))&lt;=0,"",VLOOKUP(B55,country_opex,7,FALSE)/((T55*pax_cap*load_full*IF(ABS(MOD(ABS((L55*M55*revleg_full)),1)-0.5)&lt;1E-9,2*ROUND((L55*M55*revleg_full)/2,0),ROUND((L55*M55*revleg_full),0)))-(((battery/range_nm)*D55*IF(ABS(MOD(ABS((L55*M55*revleg_full)),1)-0.5)&lt;1E-9,2*ROUND((L55*M55*revleg_full)/2,0),ROUND((L55*M55*revleg_full),0))*VLOOKUP(B55,country_opex,3,FALSE))+W55+X55+Y55+Z55+AA55)))</f>
        <v/>
      </c>
      <c r="AY55" s="46" t="n"/>
      <c r="AZ55" s="46" t="n"/>
      <c r="BA55" s="34" t="n"/>
    </row>
    <row r="56">
      <c r="A56" s="31" t="inlineStr">
        <is>
          <t>Bolt France Riviera</t>
        </is>
      </c>
      <c r="B56" s="31" t="inlineStr">
        <is>
          <t>France</t>
        </is>
      </c>
      <c r="C56" s="32" t="inlineStr">
        <is>
          <t>Antibes → Cannes</t>
        </is>
      </c>
      <c r="D56" s="33" t="n">
        <v>6</v>
      </c>
      <c r="E56" s="27" t="n"/>
      <c r="F56" s="34" t="n"/>
      <c r="G56" s="34" t="n"/>
      <c r="H56" s="20" t="n">
        <v>1</v>
      </c>
      <c r="I56" s="35">
        <f>60*D56/cruise_kt</f>
        <v/>
      </c>
      <c r="J56" s="35">
        <f>IF(B56="South Korea",D56/korea_charge_range_nm*korea_full_range_charge_min,0)</f>
        <v/>
      </c>
      <c r="K56" s="35">
        <f>IF(B56="South Korea",I56+korea_turn_min+korea_dwell_min+J56,I56+turn_min+dwell_min)</f>
        <v/>
      </c>
      <c r="L56" s="36">
        <f>IF(B56="South Korea",FLOOR(60*korea_service_hr/K56,1),MIN(24,FLOOR(60*service_hr/K56,1)))</f>
        <v/>
      </c>
      <c r="M56" s="36">
        <f>IF(ABS(MOD(ABS((365*mech_uptime*H56)),1)-0.5)&lt;1E-9,2*ROUND((365*mech_uptime*H56)/2,0),ROUND((365*mech_uptime*H56),0))</f>
        <v/>
      </c>
      <c r="N56" s="37">
        <f>mech_uptime</f>
        <v/>
      </c>
      <c r="O56" s="37">
        <f>IF(AND(B56="South Korea",scenario="MID"),korea_mid_revleg,revleg_sel)</f>
        <v/>
      </c>
      <c r="P56" s="36">
        <f>IF(ABS(MOD(ABS((L56*M56*O56)),1)-0.5)&lt;1E-9,2*ROUND((L56*M56*O56)/2,0),ROUND((L56*M56*O56),0))</f>
        <v/>
      </c>
      <c r="Q56" s="37">
        <f>IF(AND(B56="South Korea",scenario="MID"),korea_mid_load,load_sel)</f>
        <v/>
      </c>
      <c r="R56" s="38">
        <f>pax_cap*Q56</f>
        <v/>
      </c>
      <c r="S56" s="36">
        <f>R56*P56</f>
        <v/>
      </c>
      <c r="T56" s="39">
        <f>E56*discount</f>
        <v/>
      </c>
      <c r="U56" s="40">
        <f>T56*S56</f>
        <v/>
      </c>
      <c r="V56" s="40">
        <f>(battery/range_nm)*D56*P56*VLOOKUP(B56,country_opex,3,FALSE)</f>
        <v/>
      </c>
      <c r="W56" s="40">
        <f>VLOOKUP(B56,country_opex,2,FALSE)*crew_factor</f>
        <v/>
      </c>
      <c r="X56" s="40">
        <f>VLOOKUP(B56,country_opex,5,FALSE)</f>
        <v/>
      </c>
      <c r="Y56" s="40">
        <f>maint</f>
        <v/>
      </c>
      <c r="Z56" s="40">
        <f>VLOOKUP(B56,country_opex,7,FALSE)*ins_pct</f>
        <v/>
      </c>
      <c r="AA56" s="40">
        <f>charge_berth</f>
        <v/>
      </c>
      <c r="AB56" s="40">
        <f>V56+W56+X56+Y56+Z56+AA56</f>
        <v/>
      </c>
      <c r="AC56" s="40">
        <f>VLOOKUP(B56,country_opex,7,FALSE)/dep_years</f>
        <v/>
      </c>
      <c r="AD56" s="40">
        <f>U56-AB56</f>
        <v/>
      </c>
      <c r="AE56" s="37">
        <f>IF(U56=0,"",AD56/U56)</f>
        <v/>
      </c>
      <c r="AF56" s="38">
        <f>IF(AD56&lt;=0,"",VLOOKUP(B56,country_opex,7,FALSE)/AD56)</f>
        <v/>
      </c>
      <c r="AG56" s="35">
        <f>((D56*P56/diesel_nmpg)*diesel_co2pg-(battery/range_nm)*D56*P56*VLOOKUP(B56,country_opex,4,FALSE))/1000</f>
        <v/>
      </c>
      <c r="AH56" s="33" t="n">
        <v>136595</v>
      </c>
      <c r="AI56" s="34" t="n"/>
      <c r="AJ56" s="34" t="n"/>
      <c r="AK56" s="41" t="n">
        <v>0.1</v>
      </c>
      <c r="AL56" s="36">
        <f>IF(AH56="","",AH56*AK56)</f>
        <v/>
      </c>
      <c r="AM56" s="36">
        <f>IF(OR(AH56="",S56=0),"",MIN(IF(AU56="",9.9E+99,AU56),FLOOR(AL56/S56,1)))</f>
        <v/>
      </c>
      <c r="AN56" s="40">
        <f>IF(AM56="","",AM56*IF(ABS(MOD(ABS((U56)),1)-0.5)&lt;1E-9,2*ROUND((U56)/2,0),ROUND((U56),0)))</f>
        <v/>
      </c>
      <c r="AO56" s="38">
        <f>IF(OR(AH56="",S56=0),"",MIN(IF(AU56="",9.9E+99,AU56),AL56/S56))</f>
        <v/>
      </c>
      <c r="AP56" s="40">
        <f>IF(AO56="","",AO56*IF(B56="South Korea",IF(ABS(MOD(ABS((U56)),1)-0.5)&lt;1E-9,2*ROUND((U56)/2,0),ROUND((U56),0)),U56))</f>
        <v/>
      </c>
      <c r="AQ56" s="42" t="n"/>
      <c r="AR56" s="34" t="inlineStr">
        <is>
          <t>Estimated</t>
        </is>
      </c>
      <c r="AS56" s="43" t="n"/>
      <c r="AT56" s="43" t="n"/>
      <c r="AU56" s="44" t="n"/>
      <c r="AV56" s="45">
        <f>IF(((T56*pax_cap*load_thin*IF(ABS(MOD(ABS((L56*M56*revleg_thin)),1)-0.5)&lt;1E-9,2*ROUND((L56*M56*revleg_thin)/2,0),ROUND((L56*M56*revleg_thin),0)))-(((battery/range_nm)*D56*IF(ABS(MOD(ABS((L56*M56*revleg_thin)),1)-0.5)&lt;1E-9,2*ROUND((L56*M56*revleg_thin)/2,0),ROUND((L56*M56*revleg_thin),0))*VLOOKUP(B56,country_opex,3,FALSE))+W56+X56+Y56+Z56+AA56))&lt;=0,"",VLOOKUP(B56,country_opex,7,FALSE)/((T56*pax_cap*load_thin*IF(ABS(MOD(ABS((L56*M56*revleg_thin)),1)-0.5)&lt;1E-9,2*ROUND((L56*M56*revleg_thin)/2,0),ROUND((L56*M56*revleg_thin),0)))-(((battery/range_nm)*D56*IF(ABS(MOD(ABS((L56*M56*revleg_thin)),1)-0.5)&lt;1E-9,2*ROUND((L56*M56*revleg_thin)/2,0),ROUND((L56*M56*revleg_thin),0))*VLOOKUP(B56,country_opex,3,FALSE))+W56+X56+Y56+Z56+AA56)))</f>
        <v/>
      </c>
      <c r="AW56" s="45">
        <f>IF(((T56*pax_cap*IF(B56="South Korea",korea_mid_load,load_mid)*IF(ABS(MOD(ABS((L56*M56*IF(B56="South Korea",korea_mid_revleg,revleg_mid))),1)-0.5)&lt;1E-9,2*ROUND((L56*M56*IF(B56="South Korea",korea_mid_revleg,revleg_mid))/2,0),ROUND((L56*M56*IF(B56="South Korea",korea_mid_revleg,revleg_mid)),0)))-(((battery/range_nm)*D56*IF(ABS(MOD(ABS((L56*M56*IF(B56="South Korea",korea_mid_revleg,revleg_mid))),1)-0.5)&lt;1E-9,2*ROUND((L56*M56*IF(B56="South Korea",korea_mid_revleg,revleg_mid))/2,0),ROUND((L56*M56*IF(B56="South Korea",korea_mid_revleg,revleg_mid)),0))*VLOOKUP(B56,country_opex,3,FALSE))+W56+X56+Y56+Z56+AA56))&lt;=0,"",VLOOKUP(B56,country_opex,7,FALSE)/((T56*pax_cap*IF(B56="South Korea",korea_mid_load,load_mid)*IF(ABS(MOD(ABS((L56*M56*IF(B56="South Korea",korea_mid_revleg,revleg_mid))),1)-0.5)&lt;1E-9,2*ROUND((L56*M56*IF(B56="South Korea",korea_mid_revleg,revleg_mid))/2,0),ROUND((L56*M56*IF(B56="South Korea",korea_mid_revleg,revleg_mid)),0)))-(((battery/range_nm)*D56*IF(ABS(MOD(ABS((L56*M56*IF(B56="South Korea",korea_mid_revleg,revleg_mid))),1)-0.5)&lt;1E-9,2*ROUND((L56*M56*IF(B56="South Korea",korea_mid_revleg,revleg_mid))/2,0),ROUND((L56*M56*IF(B56="South Korea",korea_mid_revleg,revleg_mid)),0))*VLOOKUP(B56,country_opex,3,FALSE))+W56+X56+Y56+Z56+AA56)))</f>
        <v/>
      </c>
      <c r="AX56" s="45">
        <f>IF(((T56*pax_cap*load_full*IF(ABS(MOD(ABS((L56*M56*revleg_full)),1)-0.5)&lt;1E-9,2*ROUND((L56*M56*revleg_full)/2,0),ROUND((L56*M56*revleg_full),0)))-(((battery/range_nm)*D56*IF(ABS(MOD(ABS((L56*M56*revleg_full)),1)-0.5)&lt;1E-9,2*ROUND((L56*M56*revleg_full)/2,0),ROUND((L56*M56*revleg_full),0))*VLOOKUP(B56,country_opex,3,FALSE))+W56+X56+Y56+Z56+AA56))&lt;=0,"",VLOOKUP(B56,country_opex,7,FALSE)/((T56*pax_cap*load_full*IF(ABS(MOD(ABS((L56*M56*revleg_full)),1)-0.5)&lt;1E-9,2*ROUND((L56*M56*revleg_full)/2,0),ROUND((L56*M56*revleg_full),0)))-(((battery/range_nm)*D56*IF(ABS(MOD(ABS((L56*M56*revleg_full)),1)-0.5)&lt;1E-9,2*ROUND((L56*M56*revleg_full)/2,0),ROUND((L56*M56*revleg_full),0))*VLOOKUP(B56,country_opex,3,FALSE))+W56+X56+Y56+Z56+AA56)))</f>
        <v/>
      </c>
      <c r="AY56" s="46" t="n"/>
      <c r="AZ56" s="46" t="n"/>
      <c r="BA56" s="34" t="n"/>
    </row>
    <row r="57">
      <c r="A57" s="31" t="inlineStr">
        <is>
          <t>Bolt France Riviera</t>
        </is>
      </c>
      <c r="B57" s="31" t="inlineStr">
        <is>
          <t>France</t>
        </is>
      </c>
      <c r="C57" s="32" t="inlineStr">
        <is>
          <t>Nice → Monaco</t>
        </is>
      </c>
      <c r="D57" s="33" t="n">
        <v>6.5</v>
      </c>
      <c r="E57" s="27" t="n">
        <v>26.7</v>
      </c>
      <c r="F57" s="34" t="inlineStr">
        <is>
          <t>T2</t>
        </is>
      </c>
      <c r="G57" s="34" t="inlineStr">
        <is>
          <t>med</t>
        </is>
      </c>
      <c r="H57" s="20" t="n">
        <v>1</v>
      </c>
      <c r="I57" s="35">
        <f>60*D57/cruise_kt</f>
        <v/>
      </c>
      <c r="J57" s="35">
        <f>IF(B57="South Korea",D57/korea_charge_range_nm*korea_full_range_charge_min,0)</f>
        <v/>
      </c>
      <c r="K57" s="35">
        <f>IF(B57="South Korea",I57+korea_turn_min+korea_dwell_min+J57,I57+turn_min+dwell_min)</f>
        <v/>
      </c>
      <c r="L57" s="36">
        <f>IF(B57="South Korea",FLOOR(60*korea_service_hr/K57,1),MIN(24,FLOOR(60*service_hr/K57,1)))</f>
        <v/>
      </c>
      <c r="M57" s="36">
        <f>IF(ABS(MOD(ABS((365*mech_uptime*H57)),1)-0.5)&lt;1E-9,2*ROUND((365*mech_uptime*H57)/2,0),ROUND((365*mech_uptime*H57),0))</f>
        <v/>
      </c>
      <c r="N57" s="37">
        <f>mech_uptime</f>
        <v/>
      </c>
      <c r="O57" s="37">
        <f>IF(AND(B57="South Korea",scenario="MID"),korea_mid_revleg,revleg_sel)</f>
        <v/>
      </c>
      <c r="P57" s="36">
        <f>IF(ABS(MOD(ABS((L57*M57*O57)),1)-0.5)&lt;1E-9,2*ROUND((L57*M57*O57)/2,0),ROUND((L57*M57*O57),0))</f>
        <v/>
      </c>
      <c r="Q57" s="37">
        <f>IF(AND(B57="South Korea",scenario="MID"),korea_mid_load,load_sel)</f>
        <v/>
      </c>
      <c r="R57" s="38">
        <f>pax_cap*Q57</f>
        <v/>
      </c>
      <c r="S57" s="36">
        <f>R57*P57</f>
        <v/>
      </c>
      <c r="T57" s="39">
        <f>E57*discount</f>
        <v/>
      </c>
      <c r="U57" s="40">
        <f>T57*S57</f>
        <v/>
      </c>
      <c r="V57" s="40">
        <f>(battery/range_nm)*D57*P57*VLOOKUP(B57,country_opex,3,FALSE)</f>
        <v/>
      </c>
      <c r="W57" s="40">
        <f>VLOOKUP(B57,country_opex,2,FALSE)*crew_factor</f>
        <v/>
      </c>
      <c r="X57" s="40">
        <f>VLOOKUP(B57,country_opex,5,FALSE)</f>
        <v/>
      </c>
      <c r="Y57" s="40">
        <f>maint</f>
        <v/>
      </c>
      <c r="Z57" s="40">
        <f>VLOOKUP(B57,country_opex,7,FALSE)*ins_pct</f>
        <v/>
      </c>
      <c r="AA57" s="40">
        <f>charge_berth</f>
        <v/>
      </c>
      <c r="AB57" s="40">
        <f>V57+W57+X57+Y57+Z57+AA57</f>
        <v/>
      </c>
      <c r="AC57" s="40">
        <f>VLOOKUP(B57,country_opex,7,FALSE)/dep_years</f>
        <v/>
      </c>
      <c r="AD57" s="40">
        <f>U57-AB57</f>
        <v/>
      </c>
      <c r="AE57" s="37">
        <f>IF(U57=0,"",AD57/U57)</f>
        <v/>
      </c>
      <c r="AF57" s="38">
        <f>IF(AD57&lt;=0,"",VLOOKUP(B57,country_opex,7,FALSE)/AD57)</f>
        <v/>
      </c>
      <c r="AG57" s="35">
        <f>((D57*P57/diesel_nmpg)*diesel_co2pg-(battery/range_nm)*D57*P57*VLOOKUP(B57,country_opex,4,FALSE))/1000</f>
        <v/>
      </c>
      <c r="AH57" s="33" t="n">
        <v>368966</v>
      </c>
      <c r="AI57" s="34" t="n"/>
      <c r="AJ57" s="34" t="n"/>
      <c r="AK57" s="41" t="n">
        <v>0.1</v>
      </c>
      <c r="AL57" s="36">
        <f>IF(AH57="","",AH57*AK57)</f>
        <v/>
      </c>
      <c r="AM57" s="36">
        <f>IF(OR(AH57="",S57=0),"",MIN(IF(AU57="",9.9E+99,AU57),FLOOR(AL57/S57,1)))</f>
        <v/>
      </c>
      <c r="AN57" s="40">
        <f>IF(AM57="","",AM57*IF(ABS(MOD(ABS((U57)),1)-0.5)&lt;1E-9,2*ROUND((U57)/2,0),ROUND((U57),0)))</f>
        <v/>
      </c>
      <c r="AO57" s="38">
        <f>IF(OR(AH57="",S57=0),"",MIN(IF(AU57="",9.9E+99,AU57),AL57/S57))</f>
        <v/>
      </c>
      <c r="AP57" s="40">
        <f>IF(AO57="","",AO57*IF(B57="South Korea",IF(ABS(MOD(ABS((U57)),1)-0.5)&lt;1E-9,2*ROUND((U57)/2,0),ROUND((U57),0)),U57))</f>
        <v/>
      </c>
      <c r="AQ57" s="42" t="n"/>
      <c r="AR57" s="34" t="inlineStr">
        <is>
          <t>Grounded</t>
        </is>
      </c>
      <c r="AS57" s="43" t="n"/>
      <c r="AT57" s="43" t="n"/>
      <c r="AU57" s="44" t="n"/>
      <c r="AV57" s="45">
        <f>IF(((T57*pax_cap*load_thin*IF(ABS(MOD(ABS((L57*M57*revleg_thin)),1)-0.5)&lt;1E-9,2*ROUND((L57*M57*revleg_thin)/2,0),ROUND((L57*M57*revleg_thin),0)))-(((battery/range_nm)*D57*IF(ABS(MOD(ABS((L57*M57*revleg_thin)),1)-0.5)&lt;1E-9,2*ROUND((L57*M57*revleg_thin)/2,0),ROUND((L57*M57*revleg_thin),0))*VLOOKUP(B57,country_opex,3,FALSE))+W57+X57+Y57+Z57+AA57))&lt;=0,"",VLOOKUP(B57,country_opex,7,FALSE)/((T57*pax_cap*load_thin*IF(ABS(MOD(ABS((L57*M57*revleg_thin)),1)-0.5)&lt;1E-9,2*ROUND((L57*M57*revleg_thin)/2,0),ROUND((L57*M57*revleg_thin),0)))-(((battery/range_nm)*D57*IF(ABS(MOD(ABS((L57*M57*revleg_thin)),1)-0.5)&lt;1E-9,2*ROUND((L57*M57*revleg_thin)/2,0),ROUND((L57*M57*revleg_thin),0))*VLOOKUP(B57,country_opex,3,FALSE))+W57+X57+Y57+Z57+AA57)))</f>
        <v/>
      </c>
      <c r="AW57" s="45">
        <f>IF(((T57*pax_cap*IF(B57="South Korea",korea_mid_load,load_mid)*IF(ABS(MOD(ABS((L57*M57*IF(B57="South Korea",korea_mid_revleg,revleg_mid))),1)-0.5)&lt;1E-9,2*ROUND((L57*M57*IF(B57="South Korea",korea_mid_revleg,revleg_mid))/2,0),ROUND((L57*M57*IF(B57="South Korea",korea_mid_revleg,revleg_mid)),0)))-(((battery/range_nm)*D57*IF(ABS(MOD(ABS((L57*M57*IF(B57="South Korea",korea_mid_revleg,revleg_mid))),1)-0.5)&lt;1E-9,2*ROUND((L57*M57*IF(B57="South Korea",korea_mid_revleg,revleg_mid))/2,0),ROUND((L57*M57*IF(B57="South Korea",korea_mid_revleg,revleg_mid)),0))*VLOOKUP(B57,country_opex,3,FALSE))+W57+X57+Y57+Z57+AA57))&lt;=0,"",VLOOKUP(B57,country_opex,7,FALSE)/((T57*pax_cap*IF(B57="South Korea",korea_mid_load,load_mid)*IF(ABS(MOD(ABS((L57*M57*IF(B57="South Korea",korea_mid_revleg,revleg_mid))),1)-0.5)&lt;1E-9,2*ROUND((L57*M57*IF(B57="South Korea",korea_mid_revleg,revleg_mid))/2,0),ROUND((L57*M57*IF(B57="South Korea",korea_mid_revleg,revleg_mid)),0)))-(((battery/range_nm)*D57*IF(ABS(MOD(ABS((L57*M57*IF(B57="South Korea",korea_mid_revleg,revleg_mid))),1)-0.5)&lt;1E-9,2*ROUND((L57*M57*IF(B57="South Korea",korea_mid_revleg,revleg_mid))/2,0),ROUND((L57*M57*IF(B57="South Korea",korea_mid_revleg,revleg_mid)),0))*VLOOKUP(B57,country_opex,3,FALSE))+W57+X57+Y57+Z57+AA57)))</f>
        <v/>
      </c>
      <c r="AX57" s="45">
        <f>IF(((T57*pax_cap*load_full*IF(ABS(MOD(ABS((L57*M57*revleg_full)),1)-0.5)&lt;1E-9,2*ROUND((L57*M57*revleg_full)/2,0),ROUND((L57*M57*revleg_full),0)))-(((battery/range_nm)*D57*IF(ABS(MOD(ABS((L57*M57*revleg_full)),1)-0.5)&lt;1E-9,2*ROUND((L57*M57*revleg_full)/2,0),ROUND((L57*M57*revleg_full),0))*VLOOKUP(B57,country_opex,3,FALSE))+W57+X57+Y57+Z57+AA57))&lt;=0,"",VLOOKUP(B57,country_opex,7,FALSE)/((T57*pax_cap*load_full*IF(ABS(MOD(ABS((L57*M57*revleg_full)),1)-0.5)&lt;1E-9,2*ROUND((L57*M57*revleg_full)/2,0),ROUND((L57*M57*revleg_full),0)))-(((battery/range_nm)*D57*IF(ABS(MOD(ABS((L57*M57*revleg_full)),1)-0.5)&lt;1E-9,2*ROUND((L57*M57*revleg_full)/2,0),ROUND((L57*M57*revleg_full),0))*VLOOKUP(B57,country_opex,3,FALSE))+W57+X57+Y57+Z57+AA57)))</f>
        <v/>
      </c>
      <c r="AY57" s="46" t="inlineStr">
        <is>
          <t>PREMIUM scheduled per-seat: Trans Cote d'Azur scheduled catamaran Nice-&gt;Monaco WITH landing at Port Hercule, EUR 49.50 adult round-trip (2026) = ~EUR 24.75 one-way x 1.08 = ~$26.7. (Their no-landing 'Promenade Nice-Monaco' is EUR 39.50 RT; the EUR 49.50 escale fare is the true point-to-point analog.)</t>
        </is>
      </c>
      <c r="AZ57" s="46" t="n"/>
      <c r="BA57" s="34" t="n"/>
    </row>
    <row r="58">
      <c r="A58" s="31" t="inlineStr">
        <is>
          <t>Bolt France Riviera</t>
        </is>
      </c>
      <c r="B58" s="31" t="inlineStr">
        <is>
          <t>France</t>
        </is>
      </c>
      <c r="C58" s="32" t="inlineStr">
        <is>
          <t>Nice Airport → Monaco</t>
        </is>
      </c>
      <c r="D58" s="33" t="n">
        <v>6.7</v>
      </c>
      <c r="E58" s="27" t="n">
        <v>210.6</v>
      </c>
      <c r="F58" s="34" t="inlineStr">
        <is>
          <t>T2</t>
        </is>
      </c>
      <c r="G58" s="34" t="inlineStr">
        <is>
          <t>med</t>
        </is>
      </c>
      <c r="H58" s="20" t="n">
        <v>1</v>
      </c>
      <c r="I58" s="35">
        <f>60*D58/cruise_kt</f>
        <v/>
      </c>
      <c r="J58" s="35">
        <f>IF(B58="South Korea",D58/korea_charge_range_nm*korea_full_range_charge_min,0)</f>
        <v/>
      </c>
      <c r="K58" s="35">
        <f>IF(B58="South Korea",I58+korea_turn_min+korea_dwell_min+J58,I58+turn_min+dwell_min)</f>
        <v/>
      </c>
      <c r="L58" s="36">
        <f>IF(B58="South Korea",FLOOR(60*korea_service_hr/K58,1),MIN(15,FLOOR(60*service_hr/K58,1)))</f>
        <v/>
      </c>
      <c r="M58" s="36">
        <f>IF(ABS(MOD(ABS((365*mech_uptime*H58)),1)-0.5)&lt;1E-9,2*ROUND((365*mech_uptime*H58)/2,0),ROUND((365*mech_uptime*H58),0))</f>
        <v/>
      </c>
      <c r="N58" s="37">
        <f>mech_uptime</f>
        <v/>
      </c>
      <c r="O58" s="37">
        <f>IF(AND(B58="South Korea",scenario="MID"),korea_mid_revleg,revleg_sel)</f>
        <v/>
      </c>
      <c r="P58" s="36">
        <f>IF(ABS(MOD(ABS((L58*M58*O58)),1)-0.5)&lt;1E-9,2*ROUND((L58*M58*O58)/2,0),ROUND((L58*M58*O58),0))</f>
        <v/>
      </c>
      <c r="Q58" s="37">
        <f>IF(AND(B58="South Korea",scenario="MID"),korea_mid_load,load_sel)</f>
        <v/>
      </c>
      <c r="R58" s="38">
        <f>pax_cap*Q58</f>
        <v/>
      </c>
      <c r="S58" s="36">
        <f>R58*P58</f>
        <v/>
      </c>
      <c r="T58" s="39">
        <f>E58*discount</f>
        <v/>
      </c>
      <c r="U58" s="40">
        <f>T58*S58</f>
        <v/>
      </c>
      <c r="V58" s="40">
        <f>(battery/range_nm)*D58*P58*VLOOKUP(B58,country_opex,3,FALSE)</f>
        <v/>
      </c>
      <c r="W58" s="40">
        <f>VLOOKUP(B58,country_opex,2,FALSE)*crew_factor</f>
        <v/>
      </c>
      <c r="X58" s="40">
        <f>VLOOKUP(B58,country_opex,5,FALSE)</f>
        <v/>
      </c>
      <c r="Y58" s="40">
        <f>maint</f>
        <v/>
      </c>
      <c r="Z58" s="40">
        <f>VLOOKUP(B58,country_opex,7,FALSE)*ins_pct</f>
        <v/>
      </c>
      <c r="AA58" s="40">
        <f>charge_berth</f>
        <v/>
      </c>
      <c r="AB58" s="40">
        <f>V58+W58+X58+Y58+Z58+AA58</f>
        <v/>
      </c>
      <c r="AC58" s="40">
        <f>VLOOKUP(B58,country_opex,7,FALSE)/dep_years</f>
        <v/>
      </c>
      <c r="AD58" s="40">
        <f>U58-AB58</f>
        <v/>
      </c>
      <c r="AE58" s="37">
        <f>IF(U58=0,"",AD58/U58)</f>
        <v/>
      </c>
      <c r="AF58" s="38">
        <f>IF(AD58&lt;=0,"",VLOOKUP(B58,country_opex,7,FALSE)/AD58)</f>
        <v/>
      </c>
      <c r="AG58" s="35">
        <f>((D58*P58/diesel_nmpg)*diesel_co2pg-(battery/range_nm)*D58*P58*VLOOKUP(B58,country_opex,4,FALSE))/1000</f>
        <v/>
      </c>
      <c r="AH58" s="33" t="n">
        <v>79000</v>
      </c>
      <c r="AI58" s="34" t="n"/>
      <c r="AJ58" s="34" t="n"/>
      <c r="AK58" s="41" t="n">
        <v>0.1</v>
      </c>
      <c r="AL58" s="36">
        <f>IF(AH58="","",AH58*AK58)</f>
        <v/>
      </c>
      <c r="AM58" s="36">
        <f>IF(OR(AH58="",S58=0),"",MIN(IF(AU58="",9.9E+99,AU58),FLOOR(AL58/S58,1)))</f>
        <v/>
      </c>
      <c r="AN58" s="40">
        <f>IF(AM58="","",AM58*IF(ABS(MOD(ABS((U58)),1)-0.5)&lt;1E-9,2*ROUND((U58)/2,0),ROUND((U58),0)))</f>
        <v/>
      </c>
      <c r="AO58" s="38">
        <f>IF(OR(AH58="",S58=0),"",MIN(IF(AU58="",9.9E+99,AU58),AL58/S58))</f>
        <v/>
      </c>
      <c r="AP58" s="40">
        <f>IF(AO58="","",AO58*IF(B58="South Korea",IF(ABS(MOD(ABS((U58)),1)-0.5)&lt;1E-9,2*ROUND((U58)/2,0),ROUND((U58),0)),U58))</f>
        <v/>
      </c>
      <c r="AQ58" s="42" t="n"/>
      <c r="AR58" s="34" t="inlineStr">
        <is>
          <t>Upside tier</t>
        </is>
      </c>
      <c r="AS58" s="43" t="n"/>
      <c r="AT58" s="43" t="inlineStr">
        <is>
          <t>modal_shift_greenfield</t>
        </is>
      </c>
      <c r="AU58" s="44" t="n"/>
      <c r="AV58" s="45">
        <f>IF(((T58*pax_cap*load_thin*IF(ABS(MOD(ABS((L58*M58*revleg_thin)),1)-0.5)&lt;1E-9,2*ROUND((L58*M58*revleg_thin)/2,0),ROUND((L58*M58*revleg_thin),0)))-(((battery/range_nm)*D58*IF(ABS(MOD(ABS((L58*M58*revleg_thin)),1)-0.5)&lt;1E-9,2*ROUND((L58*M58*revleg_thin)/2,0),ROUND((L58*M58*revleg_thin),0))*VLOOKUP(B58,country_opex,3,FALSE))+W58+X58+Y58+Z58+AA58))&lt;=0,"",VLOOKUP(B58,country_opex,7,FALSE)/((T58*pax_cap*load_thin*IF(ABS(MOD(ABS((L58*M58*revleg_thin)),1)-0.5)&lt;1E-9,2*ROUND((L58*M58*revleg_thin)/2,0),ROUND((L58*M58*revleg_thin),0)))-(((battery/range_nm)*D58*IF(ABS(MOD(ABS((L58*M58*revleg_thin)),1)-0.5)&lt;1E-9,2*ROUND((L58*M58*revleg_thin)/2,0),ROUND((L58*M58*revleg_thin),0))*VLOOKUP(B58,country_opex,3,FALSE))+W58+X58+Y58+Z58+AA58)))</f>
        <v/>
      </c>
      <c r="AW58" s="45">
        <f>IF(((T58*pax_cap*IF(B58="South Korea",korea_mid_load,load_mid)*IF(ABS(MOD(ABS((L58*M58*IF(B58="South Korea",korea_mid_revleg,revleg_mid))),1)-0.5)&lt;1E-9,2*ROUND((L58*M58*IF(B58="South Korea",korea_mid_revleg,revleg_mid))/2,0),ROUND((L58*M58*IF(B58="South Korea",korea_mid_revleg,revleg_mid)),0)))-(((battery/range_nm)*D58*IF(ABS(MOD(ABS((L58*M58*IF(B58="South Korea",korea_mid_revleg,revleg_mid))),1)-0.5)&lt;1E-9,2*ROUND((L58*M58*IF(B58="South Korea",korea_mid_revleg,revleg_mid))/2,0),ROUND((L58*M58*IF(B58="South Korea",korea_mid_revleg,revleg_mid)),0))*VLOOKUP(B58,country_opex,3,FALSE))+W58+X58+Y58+Z58+AA58))&lt;=0,"",VLOOKUP(B58,country_opex,7,FALSE)/((T58*pax_cap*IF(B58="South Korea",korea_mid_load,load_mid)*IF(ABS(MOD(ABS((L58*M58*IF(B58="South Korea",korea_mid_revleg,revleg_mid))),1)-0.5)&lt;1E-9,2*ROUND((L58*M58*IF(B58="South Korea",korea_mid_revleg,revleg_mid))/2,0),ROUND((L58*M58*IF(B58="South Korea",korea_mid_revleg,revleg_mid)),0)))-(((battery/range_nm)*D58*IF(ABS(MOD(ABS((L58*M58*IF(B58="South Korea",korea_mid_revleg,revleg_mid))),1)-0.5)&lt;1E-9,2*ROUND((L58*M58*IF(B58="South Korea",korea_mid_revleg,revleg_mid))/2,0),ROUND((L58*M58*IF(B58="South Korea",korea_mid_revleg,revleg_mid)),0))*VLOOKUP(B58,country_opex,3,FALSE))+W58+X58+Y58+Z58+AA58)))</f>
        <v/>
      </c>
      <c r="AX58" s="45">
        <f>IF(((T58*pax_cap*load_full*IF(ABS(MOD(ABS((L58*M58*revleg_full)),1)-0.5)&lt;1E-9,2*ROUND((L58*M58*revleg_full)/2,0),ROUND((L58*M58*revleg_full),0)))-(((battery/range_nm)*D58*IF(ABS(MOD(ABS((L58*M58*revleg_full)),1)-0.5)&lt;1E-9,2*ROUND((L58*M58*revleg_full)/2,0),ROUND((L58*M58*revleg_full),0))*VLOOKUP(B58,country_opex,3,FALSE))+W58+X58+Y58+Z58+AA58))&lt;=0,"",VLOOKUP(B58,country_opex,7,FALSE)/((T58*pax_cap*load_full*IF(ABS(MOD(ABS((L58*M58*revleg_full)),1)-0.5)&lt;1E-9,2*ROUND((L58*M58*revleg_full)/2,0),ROUND((L58*M58*revleg_full),0)))-(((battery/range_nm)*D58*IF(ABS(MOD(ABS((L58*M58*revleg_full)),1)-0.5)&lt;1E-9,2*ROUND((L58*M58*revleg_full)/2,0),ROUND((L58*M58*revleg_full),0))*VLOOKUP(B58,country_opex,3,FALSE))+W58+X58+Y58+Z58+AA58)))</f>
        <v/>
      </c>
      <c r="AY58" s="46" t="inlineStr">
        <is>
          <t>PREMIUM tier = scheduled by-the-seat helicopter Nice Airport&lt;-&gt;Monaco, EUR 195/seat (Blade &amp; Monacair regular line, 7-min flight, ~every 30 min, year-round). EUR 195 x 1.08 = ~$210.6. This is the helicopter-alternative anchor (corridor has NO scheduled boat today). A Navier fast sea-shuttle would price well below this (~$30-60 band), expanding the pool.</t>
        </is>
      </c>
      <c r="AZ58" s="46" t="n"/>
      <c r="BA58" s="34" t="n"/>
    </row>
    <row r="59">
      <c r="A59" s="31" t="inlineStr">
        <is>
          <t>Bolt France Riviera</t>
        </is>
      </c>
      <c r="B59" s="31" t="inlineStr">
        <is>
          <t>France</t>
        </is>
      </c>
      <c r="C59" s="32" t="inlineStr">
        <is>
          <t>Nice Airport → Cannes</t>
        </is>
      </c>
      <c r="D59" s="33" t="n">
        <v>9</v>
      </c>
      <c r="E59" s="27" t="n"/>
      <c r="F59" s="34" t="n"/>
      <c r="G59" s="34" t="n"/>
      <c r="H59" s="20" t="n">
        <v>1</v>
      </c>
      <c r="I59" s="35">
        <f>60*D59/cruise_kt</f>
        <v/>
      </c>
      <c r="J59" s="35">
        <f>IF(B59="South Korea",D59/korea_charge_range_nm*korea_full_range_charge_min,0)</f>
        <v/>
      </c>
      <c r="K59" s="35">
        <f>IF(B59="South Korea",I59+korea_turn_min+korea_dwell_min+J59,I59+turn_min+dwell_min)</f>
        <v/>
      </c>
      <c r="L59" s="36">
        <f>IF(B59="South Korea",FLOOR(60*korea_service_hr/K59,1),MIN(15,FLOOR(60*service_hr/K59,1)))</f>
        <v/>
      </c>
      <c r="M59" s="36">
        <f>IF(ABS(MOD(ABS((365*mech_uptime*H59)),1)-0.5)&lt;1E-9,2*ROUND((365*mech_uptime*H59)/2,0),ROUND((365*mech_uptime*H59),0))</f>
        <v/>
      </c>
      <c r="N59" s="37">
        <f>mech_uptime</f>
        <v/>
      </c>
      <c r="O59" s="37">
        <f>IF(AND(B59="South Korea",scenario="MID"),korea_mid_revleg,revleg_sel)</f>
        <v/>
      </c>
      <c r="P59" s="36">
        <f>IF(ABS(MOD(ABS((L59*M59*O59)),1)-0.5)&lt;1E-9,2*ROUND((L59*M59*O59)/2,0),ROUND((L59*M59*O59),0))</f>
        <v/>
      </c>
      <c r="Q59" s="37">
        <f>IF(AND(B59="South Korea",scenario="MID"),korea_mid_load,load_sel)</f>
        <v/>
      </c>
      <c r="R59" s="38">
        <f>pax_cap*Q59</f>
        <v/>
      </c>
      <c r="S59" s="36">
        <f>R59*P59</f>
        <v/>
      </c>
      <c r="T59" s="39">
        <f>E59*discount</f>
        <v/>
      </c>
      <c r="U59" s="40">
        <f>T59*S59</f>
        <v/>
      </c>
      <c r="V59" s="40">
        <f>(battery/range_nm)*D59*P59*VLOOKUP(B59,country_opex,3,FALSE)</f>
        <v/>
      </c>
      <c r="W59" s="40">
        <f>VLOOKUP(B59,country_opex,2,FALSE)*crew_factor</f>
        <v/>
      </c>
      <c r="X59" s="40">
        <f>VLOOKUP(B59,country_opex,5,FALSE)</f>
        <v/>
      </c>
      <c r="Y59" s="40">
        <f>maint</f>
        <v/>
      </c>
      <c r="Z59" s="40">
        <f>VLOOKUP(B59,country_opex,7,FALSE)*ins_pct</f>
        <v/>
      </c>
      <c r="AA59" s="40">
        <f>charge_berth</f>
        <v/>
      </c>
      <c r="AB59" s="40">
        <f>V59+W59+X59+Y59+Z59+AA59</f>
        <v/>
      </c>
      <c r="AC59" s="40">
        <f>VLOOKUP(B59,country_opex,7,FALSE)/dep_years</f>
        <v/>
      </c>
      <c r="AD59" s="40">
        <f>U59-AB59</f>
        <v/>
      </c>
      <c r="AE59" s="37">
        <f>IF(U59=0,"",AD59/U59)</f>
        <v/>
      </c>
      <c r="AF59" s="38">
        <f>IF(AD59&lt;=0,"",VLOOKUP(B59,country_opex,7,FALSE)/AD59)</f>
        <v/>
      </c>
      <c r="AG59" s="35">
        <f>((D59*P59/diesel_nmpg)*diesel_co2pg-(battery/range_nm)*D59*P59*VLOOKUP(B59,country_opex,4,FALSE))/1000</f>
        <v/>
      </c>
      <c r="AH59" s="33" t="n"/>
      <c r="AI59" s="34" t="n"/>
      <c r="AJ59" s="34" t="n"/>
      <c r="AK59" s="41" t="n">
        <v>0.1</v>
      </c>
      <c r="AL59" s="36">
        <f>IF(AH59="","",AH59*AK59)</f>
        <v/>
      </c>
      <c r="AM59" s="36">
        <f>IF(OR(AH59="",S59=0),"",MIN(IF(AU59="",9.9E+99,AU59),FLOOR(AL59/S59,1)))</f>
        <v/>
      </c>
      <c r="AN59" s="40">
        <f>IF(AM59="","",AM59*IF(ABS(MOD(ABS((U59)),1)-0.5)&lt;1E-9,2*ROUND((U59)/2,0),ROUND((U59),0)))</f>
        <v/>
      </c>
      <c r="AO59" s="38">
        <f>IF(OR(AH59="",S59=0),"",MIN(IF(AU59="",9.9E+99,AU59),AL59/S59))</f>
        <v/>
      </c>
      <c r="AP59" s="40">
        <f>IF(AO59="","",AO59*IF(B59="South Korea",IF(ABS(MOD(ABS((U59)),1)-0.5)&lt;1E-9,2*ROUND((U59)/2,0),ROUND((U59),0)),U59))</f>
        <v/>
      </c>
      <c r="AQ59" s="42" t="n"/>
      <c r="AR59" s="34" t="inlineStr">
        <is>
          <t>Estimated</t>
        </is>
      </c>
      <c r="AS59" s="43" t="n"/>
      <c r="AT59" s="43" t="n"/>
      <c r="AU59" s="44" t="n"/>
      <c r="AV59" s="45">
        <f>IF(((T59*pax_cap*load_thin*IF(ABS(MOD(ABS((L59*M59*revleg_thin)),1)-0.5)&lt;1E-9,2*ROUND((L59*M59*revleg_thin)/2,0),ROUND((L59*M59*revleg_thin),0)))-(((battery/range_nm)*D59*IF(ABS(MOD(ABS((L59*M59*revleg_thin)),1)-0.5)&lt;1E-9,2*ROUND((L59*M59*revleg_thin)/2,0),ROUND((L59*M59*revleg_thin),0))*VLOOKUP(B59,country_opex,3,FALSE))+W59+X59+Y59+Z59+AA59))&lt;=0,"",VLOOKUP(B59,country_opex,7,FALSE)/((T59*pax_cap*load_thin*IF(ABS(MOD(ABS((L59*M59*revleg_thin)),1)-0.5)&lt;1E-9,2*ROUND((L59*M59*revleg_thin)/2,0),ROUND((L59*M59*revleg_thin),0)))-(((battery/range_nm)*D59*IF(ABS(MOD(ABS((L59*M59*revleg_thin)),1)-0.5)&lt;1E-9,2*ROUND((L59*M59*revleg_thin)/2,0),ROUND((L59*M59*revleg_thin),0))*VLOOKUP(B59,country_opex,3,FALSE))+W59+X59+Y59+Z59+AA59)))</f>
        <v/>
      </c>
      <c r="AW59" s="45">
        <f>IF(((T59*pax_cap*IF(B59="South Korea",korea_mid_load,load_mid)*IF(ABS(MOD(ABS((L59*M59*IF(B59="South Korea",korea_mid_revleg,revleg_mid))),1)-0.5)&lt;1E-9,2*ROUND((L59*M59*IF(B59="South Korea",korea_mid_revleg,revleg_mid))/2,0),ROUND((L59*M59*IF(B59="South Korea",korea_mid_revleg,revleg_mid)),0)))-(((battery/range_nm)*D59*IF(ABS(MOD(ABS((L59*M59*IF(B59="South Korea",korea_mid_revleg,revleg_mid))),1)-0.5)&lt;1E-9,2*ROUND((L59*M59*IF(B59="South Korea",korea_mid_revleg,revleg_mid))/2,0),ROUND((L59*M59*IF(B59="South Korea",korea_mid_revleg,revleg_mid)),0))*VLOOKUP(B59,country_opex,3,FALSE))+W59+X59+Y59+Z59+AA59))&lt;=0,"",VLOOKUP(B59,country_opex,7,FALSE)/((T59*pax_cap*IF(B59="South Korea",korea_mid_load,load_mid)*IF(ABS(MOD(ABS((L59*M59*IF(B59="South Korea",korea_mid_revleg,revleg_mid))),1)-0.5)&lt;1E-9,2*ROUND((L59*M59*IF(B59="South Korea",korea_mid_revleg,revleg_mid))/2,0),ROUND((L59*M59*IF(B59="South Korea",korea_mid_revleg,revleg_mid)),0)))-(((battery/range_nm)*D59*IF(ABS(MOD(ABS((L59*M59*IF(B59="South Korea",korea_mid_revleg,revleg_mid))),1)-0.5)&lt;1E-9,2*ROUND((L59*M59*IF(B59="South Korea",korea_mid_revleg,revleg_mid))/2,0),ROUND((L59*M59*IF(B59="South Korea",korea_mid_revleg,revleg_mid)),0))*VLOOKUP(B59,country_opex,3,FALSE))+W59+X59+Y59+Z59+AA59)))</f>
        <v/>
      </c>
      <c r="AX59" s="45">
        <f>IF(((T59*pax_cap*load_full*IF(ABS(MOD(ABS((L59*M59*revleg_full)),1)-0.5)&lt;1E-9,2*ROUND((L59*M59*revleg_full)/2,0),ROUND((L59*M59*revleg_full),0)))-(((battery/range_nm)*D59*IF(ABS(MOD(ABS((L59*M59*revleg_full)),1)-0.5)&lt;1E-9,2*ROUND((L59*M59*revleg_full)/2,0),ROUND((L59*M59*revleg_full),0))*VLOOKUP(B59,country_opex,3,FALSE))+W59+X59+Y59+Z59+AA59))&lt;=0,"",VLOOKUP(B59,country_opex,7,FALSE)/((T59*pax_cap*load_full*IF(ABS(MOD(ABS((L59*M59*revleg_full)),1)-0.5)&lt;1E-9,2*ROUND((L59*M59*revleg_full)/2,0),ROUND((L59*M59*revleg_full),0)))-(((battery/range_nm)*D59*IF(ABS(MOD(ABS((L59*M59*revleg_full)),1)-0.5)&lt;1E-9,2*ROUND((L59*M59*revleg_full)/2,0),ROUND((L59*M59*revleg_full),0))*VLOOKUP(B59,country_opex,3,FALSE))+W59+X59+Y59+Z59+AA59)))</f>
        <v/>
      </c>
      <c r="AY59" s="46" t="n"/>
      <c r="AZ59" s="46" t="n"/>
      <c r="BA59" s="34" t="n"/>
    </row>
    <row r="60">
      <c r="A60" s="31" t="inlineStr">
        <is>
          <t>Bolt France Riviera</t>
        </is>
      </c>
      <c r="B60" s="31" t="inlineStr">
        <is>
          <t>France</t>
        </is>
      </c>
      <c r="C60" s="32" t="inlineStr">
        <is>
          <t>Nice → Cannes</t>
        </is>
      </c>
      <c r="D60" s="33" t="n">
        <v>13</v>
      </c>
      <c r="E60" s="27" t="n">
        <v>26.7</v>
      </c>
      <c r="F60" s="34" t="inlineStr">
        <is>
          <t>T2</t>
        </is>
      </c>
      <c r="G60" s="34" t="inlineStr">
        <is>
          <t>med</t>
        </is>
      </c>
      <c r="H60" s="20" t="n">
        <v>1</v>
      </c>
      <c r="I60" s="35">
        <f>60*D60/cruise_kt</f>
        <v/>
      </c>
      <c r="J60" s="35">
        <f>IF(B60="South Korea",D60/korea_charge_range_nm*korea_full_range_charge_min,0)</f>
        <v/>
      </c>
      <c r="K60" s="35">
        <f>IF(B60="South Korea",I60+korea_turn_min+korea_dwell_min+J60,I60+turn_min+dwell_min)</f>
        <v/>
      </c>
      <c r="L60" s="36">
        <f>IF(B60="South Korea",FLOOR(60*korea_service_hr/K60,1),MIN(24,FLOOR(60*service_hr/K60,1)))</f>
        <v/>
      </c>
      <c r="M60" s="36">
        <f>IF(ABS(MOD(ABS((365*mech_uptime*H60)),1)-0.5)&lt;1E-9,2*ROUND((365*mech_uptime*H60)/2,0),ROUND((365*mech_uptime*H60),0))</f>
        <v/>
      </c>
      <c r="N60" s="37">
        <f>mech_uptime</f>
        <v/>
      </c>
      <c r="O60" s="37">
        <f>IF(AND(B60="South Korea",scenario="MID"),korea_mid_revleg,revleg_sel)</f>
        <v/>
      </c>
      <c r="P60" s="36">
        <f>IF(ABS(MOD(ABS((L60*M60*O60)),1)-0.5)&lt;1E-9,2*ROUND((L60*M60*O60)/2,0),ROUND((L60*M60*O60),0))</f>
        <v/>
      </c>
      <c r="Q60" s="37">
        <f>IF(AND(B60="South Korea",scenario="MID"),korea_mid_load,load_sel)</f>
        <v/>
      </c>
      <c r="R60" s="38">
        <f>pax_cap*Q60</f>
        <v/>
      </c>
      <c r="S60" s="36">
        <f>R60*P60</f>
        <v/>
      </c>
      <c r="T60" s="39">
        <f>E60*discount</f>
        <v/>
      </c>
      <c r="U60" s="40">
        <f>T60*S60</f>
        <v/>
      </c>
      <c r="V60" s="40">
        <f>(battery/range_nm)*D60*P60*VLOOKUP(B60,country_opex,3,FALSE)</f>
        <v/>
      </c>
      <c r="W60" s="40">
        <f>VLOOKUP(B60,country_opex,2,FALSE)*crew_factor</f>
        <v/>
      </c>
      <c r="X60" s="40">
        <f>VLOOKUP(B60,country_opex,5,FALSE)</f>
        <v/>
      </c>
      <c r="Y60" s="40">
        <f>maint</f>
        <v/>
      </c>
      <c r="Z60" s="40">
        <f>VLOOKUP(B60,country_opex,7,FALSE)*ins_pct</f>
        <v/>
      </c>
      <c r="AA60" s="40">
        <f>charge_berth</f>
        <v/>
      </c>
      <c r="AB60" s="40">
        <f>V60+W60+X60+Y60+Z60+AA60</f>
        <v/>
      </c>
      <c r="AC60" s="40">
        <f>VLOOKUP(B60,country_opex,7,FALSE)/dep_years</f>
        <v/>
      </c>
      <c r="AD60" s="40">
        <f>U60-AB60</f>
        <v/>
      </c>
      <c r="AE60" s="37">
        <f>IF(U60=0,"",AD60/U60)</f>
        <v/>
      </c>
      <c r="AF60" s="38">
        <f>IF(AD60&lt;=0,"",VLOOKUP(B60,country_opex,7,FALSE)/AD60)</f>
        <v/>
      </c>
      <c r="AG60" s="35">
        <f>((D60*P60/diesel_nmpg)*diesel_co2pg-(battery/range_nm)*D60*P60*VLOOKUP(B60,country_opex,4,FALSE))/1000</f>
        <v/>
      </c>
      <c r="AH60" s="33" t="n">
        <v>224880</v>
      </c>
      <c r="AI60" s="34" t="n"/>
      <c r="AJ60" s="34" t="n"/>
      <c r="AK60" s="41" t="n">
        <v>0.1</v>
      </c>
      <c r="AL60" s="36">
        <f>IF(AH60="","",AH60*AK60)</f>
        <v/>
      </c>
      <c r="AM60" s="36">
        <f>IF(OR(AH60="",S60=0),"",MIN(IF(AU60="",9.9E+99,AU60),FLOOR(AL60/S60,1)))</f>
        <v/>
      </c>
      <c r="AN60" s="40">
        <f>IF(AM60="","",AM60*IF(ABS(MOD(ABS((U60)),1)-0.5)&lt;1E-9,2*ROUND((U60)/2,0),ROUND((U60),0)))</f>
        <v/>
      </c>
      <c r="AO60" s="38">
        <f>IF(OR(AH60="",S60=0),"",MIN(IF(AU60="",9.9E+99,AU60),AL60/S60))</f>
        <v/>
      </c>
      <c r="AP60" s="40">
        <f>IF(AO60="","",AO60*IF(B60="South Korea",IF(ABS(MOD(ABS((U60)),1)-0.5)&lt;1E-9,2*ROUND((U60)/2,0),ROUND((U60),0)),U60))</f>
        <v/>
      </c>
      <c r="AQ60" s="42" t="n"/>
      <c r="AR60" s="34" t="inlineStr">
        <is>
          <t>Grounded</t>
        </is>
      </c>
      <c r="AS60" s="43" t="n"/>
      <c r="AT60" s="43" t="n"/>
      <c r="AU60" s="44" t="n"/>
      <c r="AV60" s="45">
        <f>IF(((T60*pax_cap*load_thin*IF(ABS(MOD(ABS((L60*M60*revleg_thin)),1)-0.5)&lt;1E-9,2*ROUND((L60*M60*revleg_thin)/2,0),ROUND((L60*M60*revleg_thin),0)))-(((battery/range_nm)*D60*IF(ABS(MOD(ABS((L60*M60*revleg_thin)),1)-0.5)&lt;1E-9,2*ROUND((L60*M60*revleg_thin)/2,0),ROUND((L60*M60*revleg_thin),0))*VLOOKUP(B60,country_opex,3,FALSE))+W60+X60+Y60+Z60+AA60))&lt;=0,"",VLOOKUP(B60,country_opex,7,FALSE)/((T60*pax_cap*load_thin*IF(ABS(MOD(ABS((L60*M60*revleg_thin)),1)-0.5)&lt;1E-9,2*ROUND((L60*M60*revleg_thin)/2,0),ROUND((L60*M60*revleg_thin),0)))-(((battery/range_nm)*D60*IF(ABS(MOD(ABS((L60*M60*revleg_thin)),1)-0.5)&lt;1E-9,2*ROUND((L60*M60*revleg_thin)/2,0),ROUND((L60*M60*revleg_thin),0))*VLOOKUP(B60,country_opex,3,FALSE))+W60+X60+Y60+Z60+AA60)))</f>
        <v/>
      </c>
      <c r="AW60" s="45">
        <f>IF(((T60*pax_cap*IF(B60="South Korea",korea_mid_load,load_mid)*IF(ABS(MOD(ABS((L60*M60*IF(B60="South Korea",korea_mid_revleg,revleg_mid))),1)-0.5)&lt;1E-9,2*ROUND((L60*M60*IF(B60="South Korea",korea_mid_revleg,revleg_mid))/2,0),ROUND((L60*M60*IF(B60="South Korea",korea_mid_revleg,revleg_mid)),0)))-(((battery/range_nm)*D60*IF(ABS(MOD(ABS((L60*M60*IF(B60="South Korea",korea_mid_revleg,revleg_mid))),1)-0.5)&lt;1E-9,2*ROUND((L60*M60*IF(B60="South Korea",korea_mid_revleg,revleg_mid))/2,0),ROUND((L60*M60*IF(B60="South Korea",korea_mid_revleg,revleg_mid)),0))*VLOOKUP(B60,country_opex,3,FALSE))+W60+X60+Y60+Z60+AA60))&lt;=0,"",VLOOKUP(B60,country_opex,7,FALSE)/((T60*pax_cap*IF(B60="South Korea",korea_mid_load,load_mid)*IF(ABS(MOD(ABS((L60*M60*IF(B60="South Korea",korea_mid_revleg,revleg_mid))),1)-0.5)&lt;1E-9,2*ROUND((L60*M60*IF(B60="South Korea",korea_mid_revleg,revleg_mid))/2,0),ROUND((L60*M60*IF(B60="South Korea",korea_mid_revleg,revleg_mid)),0)))-(((battery/range_nm)*D60*IF(ABS(MOD(ABS((L60*M60*IF(B60="South Korea",korea_mid_revleg,revleg_mid))),1)-0.5)&lt;1E-9,2*ROUND((L60*M60*IF(B60="South Korea",korea_mid_revleg,revleg_mid))/2,0),ROUND((L60*M60*IF(B60="South Korea",korea_mid_revleg,revleg_mid)),0))*VLOOKUP(B60,country_opex,3,FALSE))+W60+X60+Y60+Z60+AA60)))</f>
        <v/>
      </c>
      <c r="AX60" s="45">
        <f>IF(((T60*pax_cap*load_full*IF(ABS(MOD(ABS((L60*M60*revleg_full)),1)-0.5)&lt;1E-9,2*ROUND((L60*M60*revleg_full)/2,0),ROUND((L60*M60*revleg_full),0)))-(((battery/range_nm)*D60*IF(ABS(MOD(ABS((L60*M60*revleg_full)),1)-0.5)&lt;1E-9,2*ROUND((L60*M60*revleg_full)/2,0),ROUND((L60*M60*revleg_full),0))*VLOOKUP(B60,country_opex,3,FALSE))+W60+X60+Y60+Z60+AA60))&lt;=0,"",VLOOKUP(B60,country_opex,7,FALSE)/((T60*pax_cap*load_full*IF(ABS(MOD(ABS((L60*M60*revleg_full)),1)-0.5)&lt;1E-9,2*ROUND((L60*M60*revleg_full)/2,0),ROUND((L60*M60*revleg_full),0)))-(((battery/range_nm)*D60*IF(ABS(MOD(ABS((L60*M60*revleg_full)),1)-0.5)&lt;1E-9,2*ROUND((L60*M60*revleg_full)/2,0),ROUND((L60*M60*revleg_full),0))*VLOOKUP(B60,country_opex,3,FALSE))+W60+X60+Y60+Z60+AA60)))</f>
        <v/>
      </c>
      <c r="AY60" s="46" t="inlineStr">
        <is>
          <t>COMPARABLE premium per-seat (no scheduled boat on this exact O-D today): Trans Cote d'Azur Riviera catamaran tier, anchored to the same operator's Nice-&gt;Monaco-with-landing EUR 49.50 RT (~$26.7 one-way). Conservative -- Nice-Cannes is ~2x the distance of Nice-Monaco, so a true scheduled fare would likely be higher (cf. Cannes-&gt;Saint-Tropez EUR 71 RT for 25 nm).</t>
        </is>
      </c>
      <c r="AZ60" s="46" t="n"/>
      <c r="BA60" s="34" t="n"/>
    </row>
    <row r="61">
      <c r="A61" s="31" t="inlineStr">
        <is>
          <t>Bolt France Riviera</t>
        </is>
      </c>
      <c r="B61" s="31" t="inlineStr">
        <is>
          <t>France</t>
        </is>
      </c>
      <c r="C61" s="32" t="inlineStr">
        <is>
          <t>Monaco → Sanremo</t>
        </is>
      </c>
      <c r="D61" s="33" t="n">
        <v>13</v>
      </c>
      <c r="E61" s="27" t="n"/>
      <c r="F61" s="34" t="n"/>
      <c r="G61" s="34" t="n"/>
      <c r="H61" s="20" t="n">
        <v>1</v>
      </c>
      <c r="I61" s="35">
        <f>60*D61/cruise_kt</f>
        <v/>
      </c>
      <c r="J61" s="35">
        <f>IF(B61="South Korea",D61/korea_charge_range_nm*korea_full_range_charge_min,0)</f>
        <v/>
      </c>
      <c r="K61" s="35">
        <f>IF(B61="South Korea",I61+korea_turn_min+korea_dwell_min+J61,I61+turn_min+dwell_min)</f>
        <v/>
      </c>
      <c r="L61" s="36">
        <f>IF(B61="South Korea",FLOOR(60*korea_service_hr/K61,1),MIN(15,FLOOR(60*service_hr/K61,1)))</f>
        <v/>
      </c>
      <c r="M61" s="36">
        <f>IF(ABS(MOD(ABS((365*mech_uptime*H61)),1)-0.5)&lt;1E-9,2*ROUND((365*mech_uptime*H61)/2,0),ROUND((365*mech_uptime*H61),0))</f>
        <v/>
      </c>
      <c r="N61" s="37">
        <f>mech_uptime</f>
        <v/>
      </c>
      <c r="O61" s="37">
        <f>IF(AND(B61="South Korea",scenario="MID"),korea_mid_revleg,revleg_sel)</f>
        <v/>
      </c>
      <c r="P61" s="36">
        <f>IF(ABS(MOD(ABS((L61*M61*O61)),1)-0.5)&lt;1E-9,2*ROUND((L61*M61*O61)/2,0),ROUND((L61*M61*O61),0))</f>
        <v/>
      </c>
      <c r="Q61" s="37">
        <f>IF(AND(B61="South Korea",scenario="MID"),korea_mid_load,load_sel)</f>
        <v/>
      </c>
      <c r="R61" s="38">
        <f>pax_cap*Q61</f>
        <v/>
      </c>
      <c r="S61" s="36">
        <f>R61*P61</f>
        <v/>
      </c>
      <c r="T61" s="39">
        <f>E61*discount</f>
        <v/>
      </c>
      <c r="U61" s="40">
        <f>T61*S61</f>
        <v/>
      </c>
      <c r="V61" s="40">
        <f>(battery/range_nm)*D61*P61*VLOOKUP(B61,country_opex,3,FALSE)</f>
        <v/>
      </c>
      <c r="W61" s="40">
        <f>VLOOKUP(B61,country_opex,2,FALSE)*crew_factor</f>
        <v/>
      </c>
      <c r="X61" s="40">
        <f>VLOOKUP(B61,country_opex,5,FALSE)</f>
        <v/>
      </c>
      <c r="Y61" s="40">
        <f>maint</f>
        <v/>
      </c>
      <c r="Z61" s="40">
        <f>VLOOKUP(B61,country_opex,7,FALSE)*ins_pct</f>
        <v/>
      </c>
      <c r="AA61" s="40">
        <f>charge_berth</f>
        <v/>
      </c>
      <c r="AB61" s="40">
        <f>V61+W61+X61+Y61+Z61+AA61</f>
        <v/>
      </c>
      <c r="AC61" s="40">
        <f>VLOOKUP(B61,country_opex,7,FALSE)/dep_years</f>
        <v/>
      </c>
      <c r="AD61" s="40">
        <f>U61-AB61</f>
        <v/>
      </c>
      <c r="AE61" s="37">
        <f>IF(U61=0,"",AD61/U61)</f>
        <v/>
      </c>
      <c r="AF61" s="38">
        <f>IF(AD61&lt;=0,"",VLOOKUP(B61,country_opex,7,FALSE)/AD61)</f>
        <v/>
      </c>
      <c r="AG61" s="35">
        <f>((D61*P61/diesel_nmpg)*diesel_co2pg-(battery/range_nm)*D61*P61*VLOOKUP(B61,country_opex,4,FALSE))/1000</f>
        <v/>
      </c>
      <c r="AH61" s="33" t="n">
        <v>4748</v>
      </c>
      <c r="AI61" s="34" t="n"/>
      <c r="AJ61" s="34" t="n"/>
      <c r="AK61" s="41" t="n">
        <v>0.1</v>
      </c>
      <c r="AL61" s="36">
        <f>IF(AH61="","",AH61*AK61)</f>
        <v/>
      </c>
      <c r="AM61" s="36">
        <f>IF(OR(AH61="",S61=0),"",MIN(IF(AU61="",9.9E+99,AU61),FLOOR(AL61/S61,1)))</f>
        <v/>
      </c>
      <c r="AN61" s="40">
        <f>IF(AM61="","",AM61*IF(ABS(MOD(ABS((U61)),1)-0.5)&lt;1E-9,2*ROUND((U61)/2,0),ROUND((U61),0)))</f>
        <v/>
      </c>
      <c r="AO61" s="38">
        <f>IF(OR(AH61="",S61=0),"",MIN(IF(AU61="",9.9E+99,AU61),AL61/S61))</f>
        <v/>
      </c>
      <c r="AP61" s="40">
        <f>IF(AO61="","",AO61*IF(B61="South Korea",IF(ABS(MOD(ABS((U61)),1)-0.5)&lt;1E-9,2*ROUND((U61)/2,0),ROUND((U61),0)),U61))</f>
        <v/>
      </c>
      <c r="AQ61" s="42" t="n"/>
      <c r="AR61" s="34" t="inlineStr">
        <is>
          <t>Estimated</t>
        </is>
      </c>
      <c r="AS61" s="43" t="n"/>
      <c r="AT61" s="43" t="n"/>
      <c r="AU61" s="44" t="n"/>
      <c r="AV61" s="45">
        <f>IF(((T61*pax_cap*load_thin*IF(ABS(MOD(ABS((L61*M61*revleg_thin)),1)-0.5)&lt;1E-9,2*ROUND((L61*M61*revleg_thin)/2,0),ROUND((L61*M61*revleg_thin),0)))-(((battery/range_nm)*D61*IF(ABS(MOD(ABS((L61*M61*revleg_thin)),1)-0.5)&lt;1E-9,2*ROUND((L61*M61*revleg_thin)/2,0),ROUND((L61*M61*revleg_thin),0))*VLOOKUP(B61,country_opex,3,FALSE))+W61+X61+Y61+Z61+AA61))&lt;=0,"",VLOOKUP(B61,country_opex,7,FALSE)/((T61*pax_cap*load_thin*IF(ABS(MOD(ABS((L61*M61*revleg_thin)),1)-0.5)&lt;1E-9,2*ROUND((L61*M61*revleg_thin)/2,0),ROUND((L61*M61*revleg_thin),0)))-(((battery/range_nm)*D61*IF(ABS(MOD(ABS((L61*M61*revleg_thin)),1)-0.5)&lt;1E-9,2*ROUND((L61*M61*revleg_thin)/2,0),ROUND((L61*M61*revleg_thin),0))*VLOOKUP(B61,country_opex,3,FALSE))+W61+X61+Y61+Z61+AA61)))</f>
        <v/>
      </c>
      <c r="AW61" s="45">
        <f>IF(((T61*pax_cap*IF(B61="South Korea",korea_mid_load,load_mid)*IF(ABS(MOD(ABS((L61*M61*IF(B61="South Korea",korea_mid_revleg,revleg_mid))),1)-0.5)&lt;1E-9,2*ROUND((L61*M61*IF(B61="South Korea",korea_mid_revleg,revleg_mid))/2,0),ROUND((L61*M61*IF(B61="South Korea",korea_mid_revleg,revleg_mid)),0)))-(((battery/range_nm)*D61*IF(ABS(MOD(ABS((L61*M61*IF(B61="South Korea",korea_mid_revleg,revleg_mid))),1)-0.5)&lt;1E-9,2*ROUND((L61*M61*IF(B61="South Korea",korea_mid_revleg,revleg_mid))/2,0),ROUND((L61*M61*IF(B61="South Korea",korea_mid_revleg,revleg_mid)),0))*VLOOKUP(B61,country_opex,3,FALSE))+W61+X61+Y61+Z61+AA61))&lt;=0,"",VLOOKUP(B61,country_opex,7,FALSE)/((T61*pax_cap*IF(B61="South Korea",korea_mid_load,load_mid)*IF(ABS(MOD(ABS((L61*M61*IF(B61="South Korea",korea_mid_revleg,revleg_mid))),1)-0.5)&lt;1E-9,2*ROUND((L61*M61*IF(B61="South Korea",korea_mid_revleg,revleg_mid))/2,0),ROUND((L61*M61*IF(B61="South Korea",korea_mid_revleg,revleg_mid)),0)))-(((battery/range_nm)*D61*IF(ABS(MOD(ABS((L61*M61*IF(B61="South Korea",korea_mid_revleg,revleg_mid))),1)-0.5)&lt;1E-9,2*ROUND((L61*M61*IF(B61="South Korea",korea_mid_revleg,revleg_mid))/2,0),ROUND((L61*M61*IF(B61="South Korea",korea_mid_revleg,revleg_mid)),0))*VLOOKUP(B61,country_opex,3,FALSE))+W61+X61+Y61+Z61+AA61)))</f>
        <v/>
      </c>
      <c r="AX61" s="45">
        <f>IF(((T61*pax_cap*load_full*IF(ABS(MOD(ABS((L61*M61*revleg_full)),1)-0.5)&lt;1E-9,2*ROUND((L61*M61*revleg_full)/2,0),ROUND((L61*M61*revleg_full),0)))-(((battery/range_nm)*D61*IF(ABS(MOD(ABS((L61*M61*revleg_full)),1)-0.5)&lt;1E-9,2*ROUND((L61*M61*revleg_full)/2,0),ROUND((L61*M61*revleg_full),0))*VLOOKUP(B61,country_opex,3,FALSE))+W61+X61+Y61+Z61+AA61))&lt;=0,"",VLOOKUP(B61,country_opex,7,FALSE)/((T61*pax_cap*load_full*IF(ABS(MOD(ABS((L61*M61*revleg_full)),1)-0.5)&lt;1E-9,2*ROUND((L61*M61*revleg_full)/2,0),ROUND((L61*M61*revleg_full),0)))-(((battery/range_nm)*D61*IF(ABS(MOD(ABS((L61*M61*revleg_full)),1)-0.5)&lt;1E-9,2*ROUND((L61*M61*revleg_full)/2,0),ROUND((L61*M61*revleg_full),0))*VLOOKUP(B61,country_opex,3,FALSE))+W61+X61+Y61+Z61+AA61)))</f>
        <v/>
      </c>
      <c r="AY61" s="46" t="n"/>
      <c r="AZ61" s="46" t="n"/>
      <c r="BA61" s="34" t="n"/>
    </row>
    <row r="62">
      <c r="A62" s="31" t="inlineStr">
        <is>
          <t>Bolt France Riviera</t>
        </is>
      </c>
      <c r="B62" s="31" t="inlineStr">
        <is>
          <t>France</t>
        </is>
      </c>
      <c r="C62" s="32" t="inlineStr">
        <is>
          <t>Cannes → Saint-Tropez</t>
        </is>
      </c>
      <c r="D62" s="33" t="n">
        <v>25</v>
      </c>
      <c r="E62" s="27" t="n">
        <v>38.3</v>
      </c>
      <c r="F62" s="34" t="inlineStr">
        <is>
          <t>T2</t>
        </is>
      </c>
      <c r="G62" s="34" t="inlineStr">
        <is>
          <t>med</t>
        </is>
      </c>
      <c r="H62" s="20" t="n">
        <v>1</v>
      </c>
      <c r="I62" s="35">
        <f>60*D62/cruise_kt</f>
        <v/>
      </c>
      <c r="J62" s="35">
        <f>IF(B62="South Korea",D62/korea_charge_range_nm*korea_full_range_charge_min,0)</f>
        <v/>
      </c>
      <c r="K62" s="35">
        <f>IF(B62="South Korea",I62+korea_turn_min+korea_dwell_min+J62,I62+turn_min+dwell_min)</f>
        <v/>
      </c>
      <c r="L62" s="36">
        <f>IF(B62="South Korea",FLOOR(60*korea_service_hr/K62,1),MIN(15,FLOOR(60*service_hr/K62,1)))</f>
        <v/>
      </c>
      <c r="M62" s="36">
        <f>IF(ABS(MOD(ABS((365*mech_uptime*H62)),1)-0.5)&lt;1E-9,2*ROUND((365*mech_uptime*H62)/2,0),ROUND((365*mech_uptime*H62),0))</f>
        <v/>
      </c>
      <c r="N62" s="37">
        <f>mech_uptime</f>
        <v/>
      </c>
      <c r="O62" s="37">
        <f>IF(AND(B62="South Korea",scenario="MID"),korea_mid_revleg,revleg_sel)</f>
        <v/>
      </c>
      <c r="P62" s="36">
        <f>IF(ABS(MOD(ABS((L62*M62*O62)),1)-0.5)&lt;1E-9,2*ROUND((L62*M62*O62)/2,0),ROUND((L62*M62*O62),0))</f>
        <v/>
      </c>
      <c r="Q62" s="37">
        <f>IF(AND(B62="South Korea",scenario="MID"),korea_mid_load,load_sel)</f>
        <v/>
      </c>
      <c r="R62" s="38">
        <f>pax_cap*Q62</f>
        <v/>
      </c>
      <c r="S62" s="36">
        <f>R62*P62</f>
        <v/>
      </c>
      <c r="T62" s="39">
        <f>E62*discount</f>
        <v/>
      </c>
      <c r="U62" s="40">
        <f>T62*S62</f>
        <v/>
      </c>
      <c r="V62" s="40">
        <f>(battery/range_nm)*D62*P62*VLOOKUP(B62,country_opex,3,FALSE)</f>
        <v/>
      </c>
      <c r="W62" s="40">
        <f>VLOOKUP(B62,country_opex,2,FALSE)*crew_factor</f>
        <v/>
      </c>
      <c r="X62" s="40">
        <f>VLOOKUP(B62,country_opex,5,FALSE)</f>
        <v/>
      </c>
      <c r="Y62" s="40">
        <f>maint</f>
        <v/>
      </c>
      <c r="Z62" s="40">
        <f>VLOOKUP(B62,country_opex,7,FALSE)*ins_pct</f>
        <v/>
      </c>
      <c r="AA62" s="40">
        <f>charge_berth</f>
        <v/>
      </c>
      <c r="AB62" s="40">
        <f>V62+W62+X62+Y62+Z62+AA62</f>
        <v/>
      </c>
      <c r="AC62" s="40">
        <f>VLOOKUP(B62,country_opex,7,FALSE)/dep_years</f>
        <v/>
      </c>
      <c r="AD62" s="40">
        <f>U62-AB62</f>
        <v/>
      </c>
      <c r="AE62" s="37">
        <f>IF(U62=0,"",AD62/U62)</f>
        <v/>
      </c>
      <c r="AF62" s="38">
        <f>IF(AD62&lt;=0,"",VLOOKUP(B62,country_opex,7,FALSE)/AD62)</f>
        <v/>
      </c>
      <c r="AG62" s="35">
        <f>((D62*P62/diesel_nmpg)*diesel_co2pg-(battery/range_nm)*D62*P62*VLOOKUP(B62,country_opex,4,FALSE))/1000</f>
        <v/>
      </c>
      <c r="AH62" s="33" t="n">
        <v>32000</v>
      </c>
      <c r="AI62" s="34" t="n"/>
      <c r="AJ62" s="34" t="n"/>
      <c r="AK62" s="41" t="n">
        <v>0.1</v>
      </c>
      <c r="AL62" s="36">
        <f>IF(AH62="","",AH62*AK62)</f>
        <v/>
      </c>
      <c r="AM62" s="36">
        <f>IF(OR(AH62="",S62=0),"",MIN(IF(AU62="",9.9E+99,AU62),FLOOR(AL62/S62,1)))</f>
        <v/>
      </c>
      <c r="AN62" s="40">
        <f>IF(AM62="","",AM62*IF(ABS(MOD(ABS((U62)),1)-0.5)&lt;1E-9,2*ROUND((U62)/2,0),ROUND((U62),0)))</f>
        <v/>
      </c>
      <c r="AO62" s="38">
        <f>IF(OR(AH62="",S62=0),"",MIN(IF(AU62="",9.9E+99,AU62),AL62/S62))</f>
        <v/>
      </c>
      <c r="AP62" s="40">
        <f>IF(AO62="","",AO62*IF(B62="South Korea",IF(ABS(MOD(ABS((U62)),1)-0.5)&lt;1E-9,2*ROUND((U62)/2,0),ROUND((U62),0)),U62))</f>
        <v/>
      </c>
      <c r="AQ62" s="42" t="n"/>
      <c r="AR62" s="34" t="inlineStr">
        <is>
          <t>Estimated</t>
        </is>
      </c>
      <c r="AS62" s="43" t="n"/>
      <c r="AT62" s="43" t="n"/>
      <c r="AU62" s="44" t="n"/>
      <c r="AV62" s="45">
        <f>IF(((T62*pax_cap*load_thin*IF(ABS(MOD(ABS((L62*M62*revleg_thin)),1)-0.5)&lt;1E-9,2*ROUND((L62*M62*revleg_thin)/2,0),ROUND((L62*M62*revleg_thin),0)))-(((battery/range_nm)*D62*IF(ABS(MOD(ABS((L62*M62*revleg_thin)),1)-0.5)&lt;1E-9,2*ROUND((L62*M62*revleg_thin)/2,0),ROUND((L62*M62*revleg_thin),0))*VLOOKUP(B62,country_opex,3,FALSE))+W62+X62+Y62+Z62+AA62))&lt;=0,"",VLOOKUP(B62,country_opex,7,FALSE)/((T62*pax_cap*load_thin*IF(ABS(MOD(ABS((L62*M62*revleg_thin)),1)-0.5)&lt;1E-9,2*ROUND((L62*M62*revleg_thin)/2,0),ROUND((L62*M62*revleg_thin),0)))-(((battery/range_nm)*D62*IF(ABS(MOD(ABS((L62*M62*revleg_thin)),1)-0.5)&lt;1E-9,2*ROUND((L62*M62*revleg_thin)/2,0),ROUND((L62*M62*revleg_thin),0))*VLOOKUP(B62,country_opex,3,FALSE))+W62+X62+Y62+Z62+AA62)))</f>
        <v/>
      </c>
      <c r="AW62" s="45">
        <f>IF(((T62*pax_cap*IF(B62="South Korea",korea_mid_load,load_mid)*IF(ABS(MOD(ABS((L62*M62*IF(B62="South Korea",korea_mid_revleg,revleg_mid))),1)-0.5)&lt;1E-9,2*ROUND((L62*M62*IF(B62="South Korea",korea_mid_revleg,revleg_mid))/2,0),ROUND((L62*M62*IF(B62="South Korea",korea_mid_revleg,revleg_mid)),0)))-(((battery/range_nm)*D62*IF(ABS(MOD(ABS((L62*M62*IF(B62="South Korea",korea_mid_revleg,revleg_mid))),1)-0.5)&lt;1E-9,2*ROUND((L62*M62*IF(B62="South Korea",korea_mid_revleg,revleg_mid))/2,0),ROUND((L62*M62*IF(B62="South Korea",korea_mid_revleg,revleg_mid)),0))*VLOOKUP(B62,country_opex,3,FALSE))+W62+X62+Y62+Z62+AA62))&lt;=0,"",VLOOKUP(B62,country_opex,7,FALSE)/((T62*pax_cap*IF(B62="South Korea",korea_mid_load,load_mid)*IF(ABS(MOD(ABS((L62*M62*IF(B62="South Korea",korea_mid_revleg,revleg_mid))),1)-0.5)&lt;1E-9,2*ROUND((L62*M62*IF(B62="South Korea",korea_mid_revleg,revleg_mid))/2,0),ROUND((L62*M62*IF(B62="South Korea",korea_mid_revleg,revleg_mid)),0)))-(((battery/range_nm)*D62*IF(ABS(MOD(ABS((L62*M62*IF(B62="South Korea",korea_mid_revleg,revleg_mid))),1)-0.5)&lt;1E-9,2*ROUND((L62*M62*IF(B62="South Korea",korea_mid_revleg,revleg_mid))/2,0),ROUND((L62*M62*IF(B62="South Korea",korea_mid_revleg,revleg_mid)),0))*VLOOKUP(B62,country_opex,3,FALSE))+W62+X62+Y62+Z62+AA62)))</f>
        <v/>
      </c>
      <c r="AX62" s="45">
        <f>IF(((T62*pax_cap*load_full*IF(ABS(MOD(ABS((L62*M62*revleg_full)),1)-0.5)&lt;1E-9,2*ROUND((L62*M62*revleg_full)/2,0),ROUND((L62*M62*revleg_full),0)))-(((battery/range_nm)*D62*IF(ABS(MOD(ABS((L62*M62*revleg_full)),1)-0.5)&lt;1E-9,2*ROUND((L62*M62*revleg_full)/2,0),ROUND((L62*M62*revleg_full),0))*VLOOKUP(B62,country_opex,3,FALSE))+W62+X62+Y62+Z62+AA62))&lt;=0,"",VLOOKUP(B62,country_opex,7,FALSE)/((T62*pax_cap*load_full*IF(ABS(MOD(ABS((L62*M62*revleg_full)),1)-0.5)&lt;1E-9,2*ROUND((L62*M62*revleg_full)/2,0),ROUND((L62*M62*revleg_full),0)))-(((battery/range_nm)*D62*IF(ABS(MOD(ABS((L62*M62*revleg_full)),1)-0.5)&lt;1E-9,2*ROUND((L62*M62*revleg_full)/2,0),ROUND((L62*M62*revleg_full),0))*VLOOKUP(B62,country_opex,3,FALSE))+W62+X62+Y62+Z62+AA62)))</f>
        <v/>
      </c>
      <c r="AY62" s="46" t="inlineStr">
        <is>
          <t>PREMIUM tier: Trans Cote d'Azur scheduled fast catamaran Cannes&lt;-&gt;Saint-Tropez EUR 71 adult RT (2026) = ~EUR 35.5 one-way x 1.08 = ~$38.3.</t>
        </is>
      </c>
      <c r="AZ62" s="46" t="n"/>
      <c r="BA62" s="34" t="n"/>
    </row>
    <row r="63">
      <c r="A63" s="31" t="inlineStr">
        <is>
          <t>Bolt France Riviera</t>
        </is>
      </c>
      <c r="B63" s="31" t="inlineStr">
        <is>
          <t>France</t>
        </is>
      </c>
      <c r="C63" s="32" t="inlineStr">
        <is>
          <t>Nice → Saint-Tropez</t>
        </is>
      </c>
      <c r="D63" s="33" t="n">
        <v>32</v>
      </c>
      <c r="E63" s="27" t="n">
        <v>45.4</v>
      </c>
      <c r="F63" s="34" t="inlineStr">
        <is>
          <t>T2</t>
        </is>
      </c>
      <c r="G63" s="34" t="inlineStr">
        <is>
          <t>med</t>
        </is>
      </c>
      <c r="H63" s="20" t="n">
        <v>1</v>
      </c>
      <c r="I63" s="35">
        <f>60*D63/cruise_kt</f>
        <v/>
      </c>
      <c r="J63" s="35">
        <f>IF(B63="South Korea",D63/korea_charge_range_nm*korea_full_range_charge_min,0)</f>
        <v/>
      </c>
      <c r="K63" s="35">
        <f>IF(B63="South Korea",I63+korea_turn_min+korea_dwell_min+J63,I63+turn_min+dwell_min)</f>
        <v/>
      </c>
      <c r="L63" s="36">
        <f>IF(B63="South Korea",FLOOR(60*korea_service_hr/K63,1),MIN(15,FLOOR(60*service_hr/K63,1)))</f>
        <v/>
      </c>
      <c r="M63" s="36">
        <f>IF(ABS(MOD(ABS((365*mech_uptime*H63)),1)-0.5)&lt;1E-9,2*ROUND((365*mech_uptime*H63)/2,0),ROUND((365*mech_uptime*H63),0))</f>
        <v/>
      </c>
      <c r="N63" s="37">
        <f>mech_uptime</f>
        <v/>
      </c>
      <c r="O63" s="37">
        <f>IF(AND(B63="South Korea",scenario="MID"),korea_mid_revleg,revleg_sel)</f>
        <v/>
      </c>
      <c r="P63" s="36">
        <f>IF(ABS(MOD(ABS((L63*M63*O63)),1)-0.5)&lt;1E-9,2*ROUND((L63*M63*O63)/2,0),ROUND((L63*M63*O63),0))</f>
        <v/>
      </c>
      <c r="Q63" s="37">
        <f>IF(AND(B63="South Korea",scenario="MID"),korea_mid_load,load_sel)</f>
        <v/>
      </c>
      <c r="R63" s="38">
        <f>pax_cap*Q63</f>
        <v/>
      </c>
      <c r="S63" s="36">
        <f>R63*P63</f>
        <v/>
      </c>
      <c r="T63" s="39">
        <f>E63*discount</f>
        <v/>
      </c>
      <c r="U63" s="40">
        <f>T63*S63</f>
        <v/>
      </c>
      <c r="V63" s="40">
        <f>(battery/range_nm)*D63*P63*VLOOKUP(B63,country_opex,3,FALSE)</f>
        <v/>
      </c>
      <c r="W63" s="40">
        <f>VLOOKUP(B63,country_opex,2,FALSE)*crew_factor</f>
        <v/>
      </c>
      <c r="X63" s="40">
        <f>VLOOKUP(B63,country_opex,5,FALSE)</f>
        <v/>
      </c>
      <c r="Y63" s="40">
        <f>maint</f>
        <v/>
      </c>
      <c r="Z63" s="40">
        <f>VLOOKUP(B63,country_opex,7,FALSE)*ins_pct</f>
        <v/>
      </c>
      <c r="AA63" s="40">
        <f>charge_berth</f>
        <v/>
      </c>
      <c r="AB63" s="40">
        <f>V63+W63+X63+Y63+Z63+AA63</f>
        <v/>
      </c>
      <c r="AC63" s="40">
        <f>VLOOKUP(B63,country_opex,7,FALSE)/dep_years</f>
        <v/>
      </c>
      <c r="AD63" s="40">
        <f>U63-AB63</f>
        <v/>
      </c>
      <c r="AE63" s="37">
        <f>IF(U63=0,"",AD63/U63)</f>
        <v/>
      </c>
      <c r="AF63" s="38">
        <f>IF(AD63&lt;=0,"",VLOOKUP(B63,country_opex,7,FALSE)/AD63)</f>
        <v/>
      </c>
      <c r="AG63" s="35">
        <f>((D63*P63/diesel_nmpg)*diesel_co2pg-(battery/range_nm)*D63*P63*VLOOKUP(B63,country_opex,4,FALSE))/1000</f>
        <v/>
      </c>
      <c r="AH63" s="33" t="n">
        <v>32000</v>
      </c>
      <c r="AI63" s="34" t="n"/>
      <c r="AJ63" s="34" t="n"/>
      <c r="AK63" s="41" t="n">
        <v>0.1</v>
      </c>
      <c r="AL63" s="36">
        <f>IF(AH63="","",AH63*AK63)</f>
        <v/>
      </c>
      <c r="AM63" s="36">
        <f>IF(OR(AH63="",S63=0),"",MIN(IF(AU63="",9.9E+99,AU63),FLOOR(AL63/S63,1)))</f>
        <v/>
      </c>
      <c r="AN63" s="40">
        <f>IF(AM63="","",AM63*IF(ABS(MOD(ABS((U63)),1)-0.5)&lt;1E-9,2*ROUND((U63)/2,0),ROUND((U63),0)))</f>
        <v/>
      </c>
      <c r="AO63" s="38">
        <f>IF(OR(AH63="",S63=0),"",MIN(IF(AU63="",9.9E+99,AU63),AL63/S63))</f>
        <v/>
      </c>
      <c r="AP63" s="40">
        <f>IF(AO63="","",AO63*IF(B63="South Korea",IF(ABS(MOD(ABS((U63)),1)-0.5)&lt;1E-9,2*ROUND((U63)/2,0),ROUND((U63),0)),U63))</f>
        <v/>
      </c>
      <c r="AQ63" s="42" t="n"/>
      <c r="AR63" s="34" t="inlineStr">
        <is>
          <t>Estimated</t>
        </is>
      </c>
      <c r="AS63" s="43" t="n"/>
      <c r="AT63" s="43" t="n"/>
      <c r="AU63" s="44" t="n"/>
      <c r="AV63" s="45">
        <f>IF(((T63*pax_cap*load_thin*IF(ABS(MOD(ABS((L63*M63*revleg_thin)),1)-0.5)&lt;1E-9,2*ROUND((L63*M63*revleg_thin)/2,0),ROUND((L63*M63*revleg_thin),0)))-(((battery/range_nm)*D63*IF(ABS(MOD(ABS((L63*M63*revleg_thin)),1)-0.5)&lt;1E-9,2*ROUND((L63*M63*revleg_thin)/2,0),ROUND((L63*M63*revleg_thin),0))*VLOOKUP(B63,country_opex,3,FALSE))+W63+X63+Y63+Z63+AA63))&lt;=0,"",VLOOKUP(B63,country_opex,7,FALSE)/((T63*pax_cap*load_thin*IF(ABS(MOD(ABS((L63*M63*revleg_thin)),1)-0.5)&lt;1E-9,2*ROUND((L63*M63*revleg_thin)/2,0),ROUND((L63*M63*revleg_thin),0)))-(((battery/range_nm)*D63*IF(ABS(MOD(ABS((L63*M63*revleg_thin)),1)-0.5)&lt;1E-9,2*ROUND((L63*M63*revleg_thin)/2,0),ROUND((L63*M63*revleg_thin),0))*VLOOKUP(B63,country_opex,3,FALSE))+W63+X63+Y63+Z63+AA63)))</f>
        <v/>
      </c>
      <c r="AW63" s="45">
        <f>IF(((T63*pax_cap*IF(B63="South Korea",korea_mid_load,load_mid)*IF(ABS(MOD(ABS((L63*M63*IF(B63="South Korea",korea_mid_revleg,revleg_mid))),1)-0.5)&lt;1E-9,2*ROUND((L63*M63*IF(B63="South Korea",korea_mid_revleg,revleg_mid))/2,0),ROUND((L63*M63*IF(B63="South Korea",korea_mid_revleg,revleg_mid)),0)))-(((battery/range_nm)*D63*IF(ABS(MOD(ABS((L63*M63*IF(B63="South Korea",korea_mid_revleg,revleg_mid))),1)-0.5)&lt;1E-9,2*ROUND((L63*M63*IF(B63="South Korea",korea_mid_revleg,revleg_mid))/2,0),ROUND((L63*M63*IF(B63="South Korea",korea_mid_revleg,revleg_mid)),0))*VLOOKUP(B63,country_opex,3,FALSE))+W63+X63+Y63+Z63+AA63))&lt;=0,"",VLOOKUP(B63,country_opex,7,FALSE)/((T63*pax_cap*IF(B63="South Korea",korea_mid_load,load_mid)*IF(ABS(MOD(ABS((L63*M63*IF(B63="South Korea",korea_mid_revleg,revleg_mid))),1)-0.5)&lt;1E-9,2*ROUND((L63*M63*IF(B63="South Korea",korea_mid_revleg,revleg_mid))/2,0),ROUND((L63*M63*IF(B63="South Korea",korea_mid_revleg,revleg_mid)),0)))-(((battery/range_nm)*D63*IF(ABS(MOD(ABS((L63*M63*IF(B63="South Korea",korea_mid_revleg,revleg_mid))),1)-0.5)&lt;1E-9,2*ROUND((L63*M63*IF(B63="South Korea",korea_mid_revleg,revleg_mid))/2,0),ROUND((L63*M63*IF(B63="South Korea",korea_mid_revleg,revleg_mid)),0))*VLOOKUP(B63,country_opex,3,FALSE))+W63+X63+Y63+Z63+AA63)))</f>
        <v/>
      </c>
      <c r="AX63" s="45">
        <f>IF(((T63*pax_cap*load_full*IF(ABS(MOD(ABS((L63*M63*revleg_full)),1)-0.5)&lt;1E-9,2*ROUND((L63*M63*revleg_full)/2,0),ROUND((L63*M63*revleg_full),0)))-(((battery/range_nm)*D63*IF(ABS(MOD(ABS((L63*M63*revleg_full)),1)-0.5)&lt;1E-9,2*ROUND((L63*M63*revleg_full)/2,0),ROUND((L63*M63*revleg_full),0))*VLOOKUP(B63,country_opex,3,FALSE))+W63+X63+Y63+Z63+AA63))&lt;=0,"",VLOOKUP(B63,country_opex,7,FALSE)/((T63*pax_cap*load_full*IF(ABS(MOD(ABS((L63*M63*revleg_full)),1)-0.5)&lt;1E-9,2*ROUND((L63*M63*revleg_full)/2,0),ROUND((L63*M63*revleg_full),0)))-(((battery/range_nm)*D63*IF(ABS(MOD(ABS((L63*M63*revleg_full)),1)-0.5)&lt;1E-9,2*ROUND((L63*M63*revleg_full)/2,0),ROUND((L63*M63*revleg_full),0))*VLOOKUP(B63,country_opex,3,FALSE))+W63+X63+Y63+Z63+AA63)))</f>
        <v/>
      </c>
      <c r="AY63" s="46" t="inlineStr">
        <is>
          <t>PREMIUM tier: Trans Cote d'Azur scheduled catamaran Nice&lt;-&gt;Saint-Tropez EUR 84 adult RT (2026) = ~EUR 42 one-way x 1.08 = ~$45.4 (higher than the Cannes route, reflecting the longer leg).</t>
        </is>
      </c>
      <c r="AZ63" s="46" t="n"/>
      <c r="BA63" s="34" t="n"/>
    </row>
    <row r="64">
      <c r="A64" s="31" t="inlineStr">
        <is>
          <t>Bolt Greece</t>
        </is>
      </c>
      <c r="B64" s="31" t="inlineStr">
        <is>
          <t>Greece</t>
        </is>
      </c>
      <c r="C64" s="32" t="inlineStr">
        <is>
          <t>Mykonos Town → Delos</t>
        </is>
      </c>
      <c r="D64" s="33" t="n">
        <v>3.5</v>
      </c>
      <c r="E64" s="27" t="n">
        <v>54</v>
      </c>
      <c r="F64" s="34" t="inlineStr">
        <is>
          <t>T2</t>
        </is>
      </c>
      <c r="G64" s="34" t="inlineStr">
        <is>
          <t>med</t>
        </is>
      </c>
      <c r="H64" s="20" t="n">
        <v>1</v>
      </c>
      <c r="I64" s="35">
        <f>60*D64/cruise_kt</f>
        <v/>
      </c>
      <c r="J64" s="35">
        <f>IF(B64="South Korea",D64/korea_charge_range_nm*korea_full_range_charge_min,0)</f>
        <v/>
      </c>
      <c r="K64" s="35">
        <f>IF(B64="South Korea",I64+korea_turn_min+korea_dwell_min+J64,I64+turn_min+dwell_min)</f>
        <v/>
      </c>
      <c r="L64" s="36">
        <f>IF(B64="South Korea",FLOOR(60*korea_service_hr/K64,1),MIN(15,FLOOR(60*service_hr/K64,1)))</f>
        <v/>
      </c>
      <c r="M64" s="36">
        <f>IF(ABS(MOD(ABS((365*mech_uptime*H64)),1)-0.5)&lt;1E-9,2*ROUND((365*mech_uptime*H64)/2,0),ROUND((365*mech_uptime*H64),0))</f>
        <v/>
      </c>
      <c r="N64" s="37">
        <f>mech_uptime</f>
        <v/>
      </c>
      <c r="O64" s="37">
        <f>IF(AND(B64="South Korea",scenario="MID"),korea_mid_revleg,revleg_sel)</f>
        <v/>
      </c>
      <c r="P64" s="36">
        <f>IF(ABS(MOD(ABS((L64*M64*O64)),1)-0.5)&lt;1E-9,2*ROUND((L64*M64*O64)/2,0),ROUND((L64*M64*O64),0))</f>
        <v/>
      </c>
      <c r="Q64" s="37">
        <f>IF(AND(B64="South Korea",scenario="MID"),korea_mid_load,load_sel)</f>
        <v/>
      </c>
      <c r="R64" s="38">
        <f>pax_cap*Q64</f>
        <v/>
      </c>
      <c r="S64" s="36">
        <f>R64*P64</f>
        <v/>
      </c>
      <c r="T64" s="39">
        <f>E64*discount</f>
        <v/>
      </c>
      <c r="U64" s="40">
        <f>T64*S64</f>
        <v/>
      </c>
      <c r="V64" s="40">
        <f>(battery/range_nm)*D64*P64*VLOOKUP(B64,country_opex,3,FALSE)</f>
        <v/>
      </c>
      <c r="W64" s="40">
        <f>VLOOKUP(B64,country_opex,2,FALSE)*crew_factor</f>
        <v/>
      </c>
      <c r="X64" s="40">
        <f>VLOOKUP(B64,country_opex,5,FALSE)</f>
        <v/>
      </c>
      <c r="Y64" s="40">
        <f>maint</f>
        <v/>
      </c>
      <c r="Z64" s="40">
        <f>VLOOKUP(B64,country_opex,7,FALSE)*ins_pct</f>
        <v/>
      </c>
      <c r="AA64" s="40">
        <f>charge_berth</f>
        <v/>
      </c>
      <c r="AB64" s="40">
        <f>V64+W64+X64+Y64+Z64+AA64</f>
        <v/>
      </c>
      <c r="AC64" s="40">
        <f>VLOOKUP(B64,country_opex,7,FALSE)/dep_years</f>
        <v/>
      </c>
      <c r="AD64" s="40">
        <f>U64-AB64</f>
        <v/>
      </c>
      <c r="AE64" s="37">
        <f>IF(U64=0,"",AD64/U64)</f>
        <v/>
      </c>
      <c r="AF64" s="38">
        <f>IF(AD64&lt;=0,"",VLOOKUP(B64,country_opex,7,FALSE)/AD64)</f>
        <v/>
      </c>
      <c r="AG64" s="35">
        <f>((D64*P64/diesel_nmpg)*diesel_co2pg-(battery/range_nm)*D64*P64*VLOOKUP(B64,country_opex,4,FALSE))/1000</f>
        <v/>
      </c>
      <c r="AH64" s="33" t="n">
        <v>120000</v>
      </c>
      <c r="AI64" s="34" t="n"/>
      <c r="AJ64" s="34" t="n"/>
      <c r="AK64" s="41" t="n">
        <v>0.1</v>
      </c>
      <c r="AL64" s="36">
        <f>IF(AH64="","",AH64*AK64)</f>
        <v/>
      </c>
      <c r="AM64" s="36">
        <f>IF(OR(AH64="",S64=0),"",MIN(IF(AU64="",9.9E+99,AU64),FLOOR(AL64/S64,1)))</f>
        <v/>
      </c>
      <c r="AN64" s="40">
        <f>IF(AM64="","",AM64*IF(ABS(MOD(ABS((U64)),1)-0.5)&lt;1E-9,2*ROUND((U64)/2,0),ROUND((U64),0)))</f>
        <v/>
      </c>
      <c r="AO64" s="38">
        <f>IF(OR(AH64="",S64=0),"",MIN(IF(AU64="",9.9E+99,AU64),AL64/S64))</f>
        <v/>
      </c>
      <c r="AP64" s="40">
        <f>IF(AO64="","",AO64*IF(B64="South Korea",IF(ABS(MOD(ABS((U64)),1)-0.5)&lt;1E-9,2*ROUND((U64)/2,0),ROUND((U64),0)),U64))</f>
        <v/>
      </c>
      <c r="AQ64" s="42" t="n"/>
      <c r="AR64" s="34" t="inlineStr">
        <is>
          <t>Grounded</t>
        </is>
      </c>
      <c r="AS64" s="43" t="n"/>
      <c r="AT64" s="43" t="n"/>
      <c r="AU64" s="44" t="n"/>
      <c r="AV64" s="45">
        <f>IF(((T64*pax_cap*load_thin*IF(ABS(MOD(ABS((L64*M64*revleg_thin)),1)-0.5)&lt;1E-9,2*ROUND((L64*M64*revleg_thin)/2,0),ROUND((L64*M64*revleg_thin),0)))-(((battery/range_nm)*D64*IF(ABS(MOD(ABS((L64*M64*revleg_thin)),1)-0.5)&lt;1E-9,2*ROUND((L64*M64*revleg_thin)/2,0),ROUND((L64*M64*revleg_thin),0))*VLOOKUP(B64,country_opex,3,FALSE))+W64+X64+Y64+Z64+AA64))&lt;=0,"",VLOOKUP(B64,country_opex,7,FALSE)/((T64*pax_cap*load_thin*IF(ABS(MOD(ABS((L64*M64*revleg_thin)),1)-0.5)&lt;1E-9,2*ROUND((L64*M64*revleg_thin)/2,0),ROUND((L64*M64*revleg_thin),0)))-(((battery/range_nm)*D64*IF(ABS(MOD(ABS((L64*M64*revleg_thin)),1)-0.5)&lt;1E-9,2*ROUND((L64*M64*revleg_thin)/2,0),ROUND((L64*M64*revleg_thin),0))*VLOOKUP(B64,country_opex,3,FALSE))+W64+X64+Y64+Z64+AA64)))</f>
        <v/>
      </c>
      <c r="AW64" s="45">
        <f>IF(((T64*pax_cap*IF(B64="South Korea",korea_mid_load,load_mid)*IF(ABS(MOD(ABS((L64*M64*IF(B64="South Korea",korea_mid_revleg,revleg_mid))),1)-0.5)&lt;1E-9,2*ROUND((L64*M64*IF(B64="South Korea",korea_mid_revleg,revleg_mid))/2,0),ROUND((L64*M64*IF(B64="South Korea",korea_mid_revleg,revleg_mid)),0)))-(((battery/range_nm)*D64*IF(ABS(MOD(ABS((L64*M64*IF(B64="South Korea",korea_mid_revleg,revleg_mid))),1)-0.5)&lt;1E-9,2*ROUND((L64*M64*IF(B64="South Korea",korea_mid_revleg,revleg_mid))/2,0),ROUND((L64*M64*IF(B64="South Korea",korea_mid_revleg,revleg_mid)),0))*VLOOKUP(B64,country_opex,3,FALSE))+W64+X64+Y64+Z64+AA64))&lt;=0,"",VLOOKUP(B64,country_opex,7,FALSE)/((T64*pax_cap*IF(B64="South Korea",korea_mid_load,load_mid)*IF(ABS(MOD(ABS((L64*M64*IF(B64="South Korea",korea_mid_revleg,revleg_mid))),1)-0.5)&lt;1E-9,2*ROUND((L64*M64*IF(B64="South Korea",korea_mid_revleg,revleg_mid))/2,0),ROUND((L64*M64*IF(B64="South Korea",korea_mid_revleg,revleg_mid)),0)))-(((battery/range_nm)*D64*IF(ABS(MOD(ABS((L64*M64*IF(B64="South Korea",korea_mid_revleg,revleg_mid))),1)-0.5)&lt;1E-9,2*ROUND((L64*M64*IF(B64="South Korea",korea_mid_revleg,revleg_mid))/2,0),ROUND((L64*M64*IF(B64="South Korea",korea_mid_revleg,revleg_mid)),0))*VLOOKUP(B64,country_opex,3,FALSE))+W64+X64+Y64+Z64+AA64)))</f>
        <v/>
      </c>
      <c r="AX64" s="45">
        <f>IF(((T64*pax_cap*load_full*IF(ABS(MOD(ABS((L64*M64*revleg_full)),1)-0.5)&lt;1E-9,2*ROUND((L64*M64*revleg_full)/2,0),ROUND((L64*M64*revleg_full),0)))-(((battery/range_nm)*D64*IF(ABS(MOD(ABS((L64*M64*revleg_full)),1)-0.5)&lt;1E-9,2*ROUND((L64*M64*revleg_full)/2,0),ROUND((L64*M64*revleg_full),0))*VLOOKUP(B64,country_opex,3,FALSE))+W64+X64+Y64+Z64+AA64))&lt;=0,"",VLOOKUP(B64,country_opex,7,FALSE)/((T64*pax_cap*load_full*IF(ABS(MOD(ABS((L64*M64*revleg_full)),1)-0.5)&lt;1E-9,2*ROUND((L64*M64*revleg_full)/2,0),ROUND((L64*M64*revleg_full),0)))-(((battery/range_nm)*D64*IF(ABS(MOD(ABS((L64*M64*revleg_full)),1)-0.5)&lt;1E-9,2*ROUND((L64*M64*revleg_full)/2,0),ROUND((L64*M64*revleg_full),0))*VLOOKUP(B64,country_opex,3,FALSE))+W64+X64+Y64+Z64+AA64)))</f>
        <v/>
      </c>
      <c r="AY64" s="46" t="inlineStr">
        <is>
          <t>PREMIUM scheduled per-seat = guided half-day boat tour ~EUR 50 (~$54, delostours.gr / Tripadvisor); EUR 79 all-in incl. ferry+entry+guide (archaeology-travel). The modeling tier uses the EUR 50 guided per-seat.</t>
        </is>
      </c>
      <c r="AZ64" s="46" t="n"/>
      <c r="BA64" s="34" t="n"/>
    </row>
    <row r="65">
      <c r="A65" s="31" t="inlineStr">
        <is>
          <t>Bolt Greece</t>
        </is>
      </c>
      <c r="B65" s="31" t="inlineStr">
        <is>
          <t>Greece</t>
        </is>
      </c>
      <c r="C65" s="32" t="inlineStr">
        <is>
          <t>Glyfada (Athens Riviera) → Vouliagmeni (Astir resort cluster)</t>
        </is>
      </c>
      <c r="D65" s="33" t="n">
        <v>5</v>
      </c>
      <c r="E65" s="27" t="n"/>
      <c r="F65" s="34" t="n"/>
      <c r="G65" s="34" t="n"/>
      <c r="H65" s="20" t="n">
        <v>1</v>
      </c>
      <c r="I65" s="35">
        <f>60*D65/cruise_kt</f>
        <v/>
      </c>
      <c r="J65" s="35">
        <f>IF(B65="South Korea",D65/korea_charge_range_nm*korea_full_range_charge_min,0)</f>
        <v/>
      </c>
      <c r="K65" s="35">
        <f>IF(B65="South Korea",I65+korea_turn_min+korea_dwell_min+J65,I65+turn_min+dwell_min)</f>
        <v/>
      </c>
      <c r="L65" s="36">
        <f>IF(B65="South Korea",FLOOR(60*korea_service_hr/K65,1),MIN(24,FLOOR(60*service_hr/K65,1)))</f>
        <v/>
      </c>
      <c r="M65" s="36">
        <f>IF(ABS(MOD(ABS((365*mech_uptime*H65)),1)-0.5)&lt;1E-9,2*ROUND((365*mech_uptime*H65)/2,0),ROUND((365*mech_uptime*H65),0))</f>
        <v/>
      </c>
      <c r="N65" s="37">
        <f>mech_uptime</f>
        <v/>
      </c>
      <c r="O65" s="37">
        <f>IF(AND(B65="South Korea",scenario="MID"),korea_mid_revleg,revleg_sel)</f>
        <v/>
      </c>
      <c r="P65" s="36">
        <f>IF(ABS(MOD(ABS((L65*M65*O65)),1)-0.5)&lt;1E-9,2*ROUND((L65*M65*O65)/2,0),ROUND((L65*M65*O65),0))</f>
        <v/>
      </c>
      <c r="Q65" s="37">
        <f>IF(AND(B65="South Korea",scenario="MID"),korea_mid_load,load_sel)</f>
        <v/>
      </c>
      <c r="R65" s="38">
        <f>pax_cap*Q65</f>
        <v/>
      </c>
      <c r="S65" s="36">
        <f>R65*P65</f>
        <v/>
      </c>
      <c r="T65" s="39">
        <f>E65*discount</f>
        <v/>
      </c>
      <c r="U65" s="40">
        <f>T65*S65</f>
        <v/>
      </c>
      <c r="V65" s="40">
        <f>(battery/range_nm)*D65*P65*VLOOKUP(B65,country_opex,3,FALSE)</f>
        <v/>
      </c>
      <c r="W65" s="40">
        <f>VLOOKUP(B65,country_opex,2,FALSE)*crew_factor</f>
        <v/>
      </c>
      <c r="X65" s="40">
        <f>VLOOKUP(B65,country_opex,5,FALSE)</f>
        <v/>
      </c>
      <c r="Y65" s="40">
        <f>maint</f>
        <v/>
      </c>
      <c r="Z65" s="40">
        <f>VLOOKUP(B65,country_opex,7,FALSE)*ins_pct</f>
        <v/>
      </c>
      <c r="AA65" s="40">
        <f>charge_berth</f>
        <v/>
      </c>
      <c r="AB65" s="40">
        <f>V65+W65+X65+Y65+Z65+AA65</f>
        <v/>
      </c>
      <c r="AC65" s="40">
        <f>VLOOKUP(B65,country_opex,7,FALSE)/dep_years</f>
        <v/>
      </c>
      <c r="AD65" s="40">
        <f>U65-AB65</f>
        <v/>
      </c>
      <c r="AE65" s="37">
        <f>IF(U65=0,"",AD65/U65)</f>
        <v/>
      </c>
      <c r="AF65" s="38">
        <f>IF(AD65&lt;=0,"",VLOOKUP(B65,country_opex,7,FALSE)/AD65)</f>
        <v/>
      </c>
      <c r="AG65" s="35">
        <f>((D65*P65/diesel_nmpg)*diesel_co2pg-(battery/range_nm)*D65*P65*VLOOKUP(B65,country_opex,4,FALSE))/1000</f>
        <v/>
      </c>
      <c r="AH65" s="33" t="n"/>
      <c r="AI65" s="34" t="n"/>
      <c r="AJ65" s="34" t="n"/>
      <c r="AK65" s="41" t="n">
        <v>0.1</v>
      </c>
      <c r="AL65" s="36">
        <f>IF(AH65="","",AH65*AK65)</f>
        <v/>
      </c>
      <c r="AM65" s="36">
        <f>IF(OR(AH65="",S65=0),"",MIN(IF(AU65="",9.9E+99,AU65),FLOOR(AL65/S65,1)))</f>
        <v/>
      </c>
      <c r="AN65" s="40">
        <f>IF(AM65="","",AM65*IF(ABS(MOD(ABS((U65)),1)-0.5)&lt;1E-9,2*ROUND((U65)/2,0),ROUND((U65),0)))</f>
        <v/>
      </c>
      <c r="AO65" s="38">
        <f>IF(OR(AH65="",S65=0),"",MIN(IF(AU65="",9.9E+99,AU65),AL65/S65))</f>
        <v/>
      </c>
      <c r="AP65" s="40">
        <f>IF(AO65="","",AO65*IF(B65="South Korea",IF(ABS(MOD(ABS((U65)),1)-0.5)&lt;1E-9,2*ROUND((U65)/2,0),ROUND((U65),0)),U65))</f>
        <v/>
      </c>
      <c r="AQ65" s="42" t="n"/>
      <c r="AR65" s="34" t="inlineStr">
        <is>
          <t>Estimated</t>
        </is>
      </c>
      <c r="AS65" s="43" t="n"/>
      <c r="AT65" s="43" t="n"/>
      <c r="AU65" s="44" t="n"/>
      <c r="AV65" s="45">
        <f>IF(((T65*pax_cap*load_thin*IF(ABS(MOD(ABS((L65*M65*revleg_thin)),1)-0.5)&lt;1E-9,2*ROUND((L65*M65*revleg_thin)/2,0),ROUND((L65*M65*revleg_thin),0)))-(((battery/range_nm)*D65*IF(ABS(MOD(ABS((L65*M65*revleg_thin)),1)-0.5)&lt;1E-9,2*ROUND((L65*M65*revleg_thin)/2,0),ROUND((L65*M65*revleg_thin),0))*VLOOKUP(B65,country_opex,3,FALSE))+W65+X65+Y65+Z65+AA65))&lt;=0,"",VLOOKUP(B65,country_opex,7,FALSE)/((T65*pax_cap*load_thin*IF(ABS(MOD(ABS((L65*M65*revleg_thin)),1)-0.5)&lt;1E-9,2*ROUND((L65*M65*revleg_thin)/2,0),ROUND((L65*M65*revleg_thin),0)))-(((battery/range_nm)*D65*IF(ABS(MOD(ABS((L65*M65*revleg_thin)),1)-0.5)&lt;1E-9,2*ROUND((L65*M65*revleg_thin)/2,0),ROUND((L65*M65*revleg_thin),0))*VLOOKUP(B65,country_opex,3,FALSE))+W65+X65+Y65+Z65+AA65)))</f>
        <v/>
      </c>
      <c r="AW65" s="45">
        <f>IF(((T65*pax_cap*IF(B65="South Korea",korea_mid_load,load_mid)*IF(ABS(MOD(ABS((L65*M65*IF(B65="South Korea",korea_mid_revleg,revleg_mid))),1)-0.5)&lt;1E-9,2*ROUND((L65*M65*IF(B65="South Korea",korea_mid_revleg,revleg_mid))/2,0),ROUND((L65*M65*IF(B65="South Korea",korea_mid_revleg,revleg_mid)),0)))-(((battery/range_nm)*D65*IF(ABS(MOD(ABS((L65*M65*IF(B65="South Korea",korea_mid_revleg,revleg_mid))),1)-0.5)&lt;1E-9,2*ROUND((L65*M65*IF(B65="South Korea",korea_mid_revleg,revleg_mid))/2,0),ROUND((L65*M65*IF(B65="South Korea",korea_mid_revleg,revleg_mid)),0))*VLOOKUP(B65,country_opex,3,FALSE))+W65+X65+Y65+Z65+AA65))&lt;=0,"",VLOOKUP(B65,country_opex,7,FALSE)/((T65*pax_cap*IF(B65="South Korea",korea_mid_load,load_mid)*IF(ABS(MOD(ABS((L65*M65*IF(B65="South Korea",korea_mid_revleg,revleg_mid))),1)-0.5)&lt;1E-9,2*ROUND((L65*M65*IF(B65="South Korea",korea_mid_revleg,revleg_mid))/2,0),ROUND((L65*M65*IF(B65="South Korea",korea_mid_revleg,revleg_mid)),0)))-(((battery/range_nm)*D65*IF(ABS(MOD(ABS((L65*M65*IF(B65="South Korea",korea_mid_revleg,revleg_mid))),1)-0.5)&lt;1E-9,2*ROUND((L65*M65*IF(B65="South Korea",korea_mid_revleg,revleg_mid))/2,0),ROUND((L65*M65*IF(B65="South Korea",korea_mid_revleg,revleg_mid)),0))*VLOOKUP(B65,country_opex,3,FALSE))+W65+X65+Y65+Z65+AA65)))</f>
        <v/>
      </c>
      <c r="AX65" s="45">
        <f>IF(((T65*pax_cap*load_full*IF(ABS(MOD(ABS((L65*M65*revleg_full)),1)-0.5)&lt;1E-9,2*ROUND((L65*M65*revleg_full)/2,0),ROUND((L65*M65*revleg_full),0)))-(((battery/range_nm)*D65*IF(ABS(MOD(ABS((L65*M65*revleg_full)),1)-0.5)&lt;1E-9,2*ROUND((L65*M65*revleg_full)/2,0),ROUND((L65*M65*revleg_full),0))*VLOOKUP(B65,country_opex,3,FALSE))+W65+X65+Y65+Z65+AA65))&lt;=0,"",VLOOKUP(B65,country_opex,7,FALSE)/((T65*pax_cap*load_full*IF(ABS(MOD(ABS((L65*M65*revleg_full)),1)-0.5)&lt;1E-9,2*ROUND((L65*M65*revleg_full)/2,0),ROUND((L65*M65*revleg_full),0)))-(((battery/range_nm)*D65*IF(ABS(MOD(ABS((L65*M65*revleg_full)),1)-0.5)&lt;1E-9,2*ROUND((L65*M65*revleg_full)/2,0),ROUND((L65*M65*revleg_full),0))*VLOOKUP(B65,country_opex,3,FALSE))+W65+X65+Y65+Z65+AA65)))</f>
        <v/>
      </c>
      <c r="AY65" s="46" t="n"/>
      <c r="AZ65" s="46" t="n"/>
      <c r="BA65" s="34" t="n"/>
    </row>
    <row r="66">
      <c r="A66" s="31" t="inlineStr">
        <is>
          <t>Bolt Greece</t>
        </is>
      </c>
      <c r="B66" s="31" t="inlineStr">
        <is>
          <t>Greece</t>
        </is>
      </c>
      <c r="C66" s="32" t="inlineStr">
        <is>
          <t>Naxos → Paros</t>
        </is>
      </c>
      <c r="D66" s="33" t="n">
        <v>6</v>
      </c>
      <c r="E66" s="27" t="n">
        <v>33.5</v>
      </c>
      <c r="F66" s="34" t="inlineStr">
        <is>
          <t>T2</t>
        </is>
      </c>
      <c r="G66" s="34" t="inlineStr">
        <is>
          <t>med</t>
        </is>
      </c>
      <c r="H66" s="20" t="n">
        <v>1</v>
      </c>
      <c r="I66" s="35">
        <f>60*D66/cruise_kt</f>
        <v/>
      </c>
      <c r="J66" s="35">
        <f>IF(B66="South Korea",D66/korea_charge_range_nm*korea_full_range_charge_min,0)</f>
        <v/>
      </c>
      <c r="K66" s="35">
        <f>IF(B66="South Korea",I66+korea_turn_min+korea_dwell_min+J66,I66+turn_min+dwell_min)</f>
        <v/>
      </c>
      <c r="L66" s="36">
        <f>IF(B66="South Korea",FLOOR(60*korea_service_hr/K66,1),MIN(15,FLOOR(60*service_hr/K66,1)))</f>
        <v/>
      </c>
      <c r="M66" s="36">
        <f>IF(ABS(MOD(ABS((365*mech_uptime*H66)),1)-0.5)&lt;1E-9,2*ROUND((365*mech_uptime*H66)/2,0),ROUND((365*mech_uptime*H66),0))</f>
        <v/>
      </c>
      <c r="N66" s="37">
        <f>mech_uptime</f>
        <v/>
      </c>
      <c r="O66" s="37">
        <f>IF(AND(B66="South Korea",scenario="MID"),korea_mid_revleg,revleg_sel)</f>
        <v/>
      </c>
      <c r="P66" s="36">
        <f>IF(ABS(MOD(ABS((L66*M66*O66)),1)-0.5)&lt;1E-9,2*ROUND((L66*M66*O66)/2,0),ROUND((L66*M66*O66),0))</f>
        <v/>
      </c>
      <c r="Q66" s="37">
        <f>IF(AND(B66="South Korea",scenario="MID"),korea_mid_load,load_sel)</f>
        <v/>
      </c>
      <c r="R66" s="38">
        <f>pax_cap*Q66</f>
        <v/>
      </c>
      <c r="S66" s="36">
        <f>R66*P66</f>
        <v/>
      </c>
      <c r="T66" s="39">
        <f>E66*discount</f>
        <v/>
      </c>
      <c r="U66" s="40">
        <f>T66*S66</f>
        <v/>
      </c>
      <c r="V66" s="40">
        <f>(battery/range_nm)*D66*P66*VLOOKUP(B66,country_opex,3,FALSE)</f>
        <v/>
      </c>
      <c r="W66" s="40">
        <f>VLOOKUP(B66,country_opex,2,FALSE)*crew_factor</f>
        <v/>
      </c>
      <c r="X66" s="40">
        <f>VLOOKUP(B66,country_opex,5,FALSE)</f>
        <v/>
      </c>
      <c r="Y66" s="40">
        <f>maint</f>
        <v/>
      </c>
      <c r="Z66" s="40">
        <f>VLOOKUP(B66,country_opex,7,FALSE)*ins_pct</f>
        <v/>
      </c>
      <c r="AA66" s="40">
        <f>charge_berth</f>
        <v/>
      </c>
      <c r="AB66" s="40">
        <f>V66+W66+X66+Y66+Z66+AA66</f>
        <v/>
      </c>
      <c r="AC66" s="40">
        <f>VLOOKUP(B66,country_opex,7,FALSE)/dep_years</f>
        <v/>
      </c>
      <c r="AD66" s="40">
        <f>U66-AB66</f>
        <v/>
      </c>
      <c r="AE66" s="37">
        <f>IF(U66=0,"",AD66/U66)</f>
        <v/>
      </c>
      <c r="AF66" s="38">
        <f>IF(AD66&lt;=0,"",VLOOKUP(B66,country_opex,7,FALSE)/AD66)</f>
        <v/>
      </c>
      <c r="AG66" s="35">
        <f>((D66*P66/diesel_nmpg)*diesel_co2pg-(battery/range_nm)*D66*P66*VLOOKUP(B66,country_opex,4,FALSE))/1000</f>
        <v/>
      </c>
      <c r="AH66" s="33" t="n"/>
      <c r="AI66" s="34" t="n"/>
      <c r="AJ66" s="34" t="n"/>
      <c r="AK66" s="41" t="n">
        <v>0.1</v>
      </c>
      <c r="AL66" s="36">
        <f>IF(AH66="","",AH66*AK66)</f>
        <v/>
      </c>
      <c r="AM66" s="36">
        <f>IF(OR(AH66="",S66=0),"",MIN(IF(AU66="",9.9E+99,AU66),FLOOR(AL66/S66,1)))</f>
        <v/>
      </c>
      <c r="AN66" s="40">
        <f>IF(AM66="","",AM66*IF(ABS(MOD(ABS((U66)),1)-0.5)&lt;1E-9,2*ROUND((U66)/2,0),ROUND((U66),0)))</f>
        <v/>
      </c>
      <c r="AO66" s="38">
        <f>IF(OR(AH66="",S66=0),"",MIN(IF(AU66="",9.9E+99,AU66),AL66/S66))</f>
        <v/>
      </c>
      <c r="AP66" s="40">
        <f>IF(AO66="","",AO66*IF(B66="South Korea",IF(ABS(MOD(ABS((U66)),1)-0.5)&lt;1E-9,2*ROUND((U66)/2,0),ROUND((U66),0)),U66))</f>
        <v/>
      </c>
      <c r="AQ66" s="42" t="n"/>
      <c r="AR66" s="34" t="inlineStr">
        <is>
          <t>Estimated</t>
        </is>
      </c>
      <c r="AS66" s="43" t="n"/>
      <c r="AT66" s="43" t="n"/>
      <c r="AU66" s="44" t="n"/>
      <c r="AV66" s="45">
        <f>IF(((T66*pax_cap*load_thin*IF(ABS(MOD(ABS((L66*M66*revleg_thin)),1)-0.5)&lt;1E-9,2*ROUND((L66*M66*revleg_thin)/2,0),ROUND((L66*M66*revleg_thin),0)))-(((battery/range_nm)*D66*IF(ABS(MOD(ABS((L66*M66*revleg_thin)),1)-0.5)&lt;1E-9,2*ROUND((L66*M66*revleg_thin)/2,0),ROUND((L66*M66*revleg_thin),0))*VLOOKUP(B66,country_opex,3,FALSE))+W66+X66+Y66+Z66+AA66))&lt;=0,"",VLOOKUP(B66,country_opex,7,FALSE)/((T66*pax_cap*load_thin*IF(ABS(MOD(ABS((L66*M66*revleg_thin)),1)-0.5)&lt;1E-9,2*ROUND((L66*M66*revleg_thin)/2,0),ROUND((L66*M66*revleg_thin),0)))-(((battery/range_nm)*D66*IF(ABS(MOD(ABS((L66*M66*revleg_thin)),1)-0.5)&lt;1E-9,2*ROUND((L66*M66*revleg_thin)/2,0),ROUND((L66*M66*revleg_thin),0))*VLOOKUP(B66,country_opex,3,FALSE))+W66+X66+Y66+Z66+AA66)))</f>
        <v/>
      </c>
      <c r="AW66" s="45">
        <f>IF(((T66*pax_cap*IF(B66="South Korea",korea_mid_load,load_mid)*IF(ABS(MOD(ABS((L66*M66*IF(B66="South Korea",korea_mid_revleg,revleg_mid))),1)-0.5)&lt;1E-9,2*ROUND((L66*M66*IF(B66="South Korea",korea_mid_revleg,revleg_mid))/2,0),ROUND((L66*M66*IF(B66="South Korea",korea_mid_revleg,revleg_mid)),0)))-(((battery/range_nm)*D66*IF(ABS(MOD(ABS((L66*M66*IF(B66="South Korea",korea_mid_revleg,revleg_mid))),1)-0.5)&lt;1E-9,2*ROUND((L66*M66*IF(B66="South Korea",korea_mid_revleg,revleg_mid))/2,0),ROUND((L66*M66*IF(B66="South Korea",korea_mid_revleg,revleg_mid)),0))*VLOOKUP(B66,country_opex,3,FALSE))+W66+X66+Y66+Z66+AA66))&lt;=0,"",VLOOKUP(B66,country_opex,7,FALSE)/((T66*pax_cap*IF(B66="South Korea",korea_mid_load,load_mid)*IF(ABS(MOD(ABS((L66*M66*IF(B66="South Korea",korea_mid_revleg,revleg_mid))),1)-0.5)&lt;1E-9,2*ROUND((L66*M66*IF(B66="South Korea",korea_mid_revleg,revleg_mid))/2,0),ROUND((L66*M66*IF(B66="South Korea",korea_mid_revleg,revleg_mid)),0)))-(((battery/range_nm)*D66*IF(ABS(MOD(ABS((L66*M66*IF(B66="South Korea",korea_mid_revleg,revleg_mid))),1)-0.5)&lt;1E-9,2*ROUND((L66*M66*IF(B66="South Korea",korea_mid_revleg,revleg_mid))/2,0),ROUND((L66*M66*IF(B66="South Korea",korea_mid_revleg,revleg_mid)),0))*VLOOKUP(B66,country_opex,3,FALSE))+W66+X66+Y66+Z66+AA66)))</f>
        <v/>
      </c>
      <c r="AX66" s="45">
        <f>IF(((T66*pax_cap*load_full*IF(ABS(MOD(ABS((L66*M66*revleg_full)),1)-0.5)&lt;1E-9,2*ROUND((L66*M66*revleg_full)/2,0),ROUND((L66*M66*revleg_full),0)))-(((battery/range_nm)*D66*IF(ABS(MOD(ABS((L66*M66*revleg_full)),1)-0.5)&lt;1E-9,2*ROUND((L66*M66*revleg_full)/2,0),ROUND((L66*M66*revleg_full),0))*VLOOKUP(B66,country_opex,3,FALSE))+W66+X66+Y66+Z66+AA66))&lt;=0,"",VLOOKUP(B66,country_opex,7,FALSE)/((T66*pax_cap*load_full*IF(ABS(MOD(ABS((L66*M66*revleg_full)),1)-0.5)&lt;1E-9,2*ROUND((L66*M66*revleg_full)/2,0),ROUND((L66*M66*revleg_full),0)))-(((battery/range_nm)*D66*IF(ABS(MOD(ABS((L66*M66*revleg_full)),1)-0.5)&lt;1E-9,2*ROUND((L66*M66*revleg_full)/2,0),ROUND((L66*M66*revleg_full),0))*VLOOKUP(B66,country_opex,3,FALSE))+W66+X66+Y66+Z66+AA66)))</f>
        <v/>
      </c>
      <c r="AY66" s="46" t="inlineStr">
        <is>
          <t>PREMIUM scheduled per-seat = fast-ferry Naxos-&gt;Paros ~EUR 31 one-way (AFerry foot-passenger from GBP 27 ~ EUR 31; ~$33.5). Short hop, so cheaper conventional options exist below.</t>
        </is>
      </c>
      <c r="AZ66" s="46" t="n"/>
      <c r="BA66" s="34" t="n"/>
    </row>
    <row r="67">
      <c r="A67" s="31" t="inlineStr">
        <is>
          <t>Bolt Greece</t>
        </is>
      </c>
      <c r="B67" s="31" t="inlineStr">
        <is>
          <t>Greece</t>
        </is>
      </c>
      <c r="C67" s="32" t="inlineStr">
        <is>
          <t>Athens (Piraeus) → Glyfada (Athens Riviera)</t>
        </is>
      </c>
      <c r="D67" s="33" t="n">
        <v>8</v>
      </c>
      <c r="E67" s="27" t="n"/>
      <c r="F67" s="34" t="n"/>
      <c r="G67" s="34" t="n"/>
      <c r="H67" s="20" t="n">
        <v>1</v>
      </c>
      <c r="I67" s="35">
        <f>60*D67/cruise_kt</f>
        <v/>
      </c>
      <c r="J67" s="35">
        <f>IF(B67="South Korea",D67/korea_charge_range_nm*korea_full_range_charge_min,0)</f>
        <v/>
      </c>
      <c r="K67" s="35">
        <f>IF(B67="South Korea",I67+korea_turn_min+korea_dwell_min+J67,I67+turn_min+dwell_min)</f>
        <v/>
      </c>
      <c r="L67" s="36">
        <f>IF(B67="South Korea",FLOOR(60*korea_service_hr/K67,1),MIN(24,FLOOR(60*service_hr/K67,1)))</f>
        <v/>
      </c>
      <c r="M67" s="36">
        <f>IF(ABS(MOD(ABS((365*mech_uptime*H67)),1)-0.5)&lt;1E-9,2*ROUND((365*mech_uptime*H67)/2,0),ROUND((365*mech_uptime*H67),0))</f>
        <v/>
      </c>
      <c r="N67" s="37">
        <f>mech_uptime</f>
        <v/>
      </c>
      <c r="O67" s="37">
        <f>IF(AND(B67="South Korea",scenario="MID"),korea_mid_revleg,revleg_sel)</f>
        <v/>
      </c>
      <c r="P67" s="36">
        <f>IF(ABS(MOD(ABS((L67*M67*O67)),1)-0.5)&lt;1E-9,2*ROUND((L67*M67*O67)/2,0),ROUND((L67*M67*O67),0))</f>
        <v/>
      </c>
      <c r="Q67" s="37">
        <f>IF(AND(B67="South Korea",scenario="MID"),korea_mid_load,load_sel)</f>
        <v/>
      </c>
      <c r="R67" s="38">
        <f>pax_cap*Q67</f>
        <v/>
      </c>
      <c r="S67" s="36">
        <f>R67*P67</f>
        <v/>
      </c>
      <c r="T67" s="39">
        <f>E67*discount</f>
        <v/>
      </c>
      <c r="U67" s="40">
        <f>T67*S67</f>
        <v/>
      </c>
      <c r="V67" s="40">
        <f>(battery/range_nm)*D67*P67*VLOOKUP(B67,country_opex,3,FALSE)</f>
        <v/>
      </c>
      <c r="W67" s="40">
        <f>VLOOKUP(B67,country_opex,2,FALSE)*crew_factor</f>
        <v/>
      </c>
      <c r="X67" s="40">
        <f>VLOOKUP(B67,country_opex,5,FALSE)</f>
        <v/>
      </c>
      <c r="Y67" s="40">
        <f>maint</f>
        <v/>
      </c>
      <c r="Z67" s="40">
        <f>VLOOKUP(B67,country_opex,7,FALSE)*ins_pct</f>
        <v/>
      </c>
      <c r="AA67" s="40">
        <f>charge_berth</f>
        <v/>
      </c>
      <c r="AB67" s="40">
        <f>V67+W67+X67+Y67+Z67+AA67</f>
        <v/>
      </c>
      <c r="AC67" s="40">
        <f>VLOOKUP(B67,country_opex,7,FALSE)/dep_years</f>
        <v/>
      </c>
      <c r="AD67" s="40">
        <f>U67-AB67</f>
        <v/>
      </c>
      <c r="AE67" s="37">
        <f>IF(U67=0,"",AD67/U67)</f>
        <v/>
      </c>
      <c r="AF67" s="38">
        <f>IF(AD67&lt;=0,"",VLOOKUP(B67,country_opex,7,FALSE)/AD67)</f>
        <v/>
      </c>
      <c r="AG67" s="35">
        <f>((D67*P67/diesel_nmpg)*diesel_co2pg-(battery/range_nm)*D67*P67*VLOOKUP(B67,country_opex,4,FALSE))/1000</f>
        <v/>
      </c>
      <c r="AH67" s="33" t="n">
        <v>949000</v>
      </c>
      <c r="AI67" s="34" t="n"/>
      <c r="AJ67" s="34" t="n"/>
      <c r="AK67" s="41" t="n">
        <v>0.1</v>
      </c>
      <c r="AL67" s="36">
        <f>IF(AH67="","",AH67*AK67)</f>
        <v/>
      </c>
      <c r="AM67" s="36">
        <f>IF(OR(AH67="",S67=0),"",MIN(IF(AU67="",9.9E+99,AU67),FLOOR(AL67/S67,1)))</f>
        <v/>
      </c>
      <c r="AN67" s="40">
        <f>IF(AM67="","",AM67*IF(ABS(MOD(ABS((U67)),1)-0.5)&lt;1E-9,2*ROUND((U67)/2,0),ROUND((U67),0)))</f>
        <v/>
      </c>
      <c r="AO67" s="38">
        <f>IF(OR(AH67="",S67=0),"",MIN(IF(AU67="",9.9E+99,AU67),AL67/S67))</f>
        <v/>
      </c>
      <c r="AP67" s="40">
        <f>IF(AO67="","",AO67*IF(B67="South Korea",IF(ABS(MOD(ABS((U67)),1)-0.5)&lt;1E-9,2*ROUND((U67)/2,0),ROUND((U67),0)),U67))</f>
        <v/>
      </c>
      <c r="AQ67" s="42" t="n"/>
      <c r="AR67" s="34" t="inlineStr">
        <is>
          <t>Estimated</t>
        </is>
      </c>
      <c r="AS67" s="43" t="n"/>
      <c r="AT67" s="43" t="n"/>
      <c r="AU67" s="44" t="n"/>
      <c r="AV67" s="45">
        <f>IF(((T67*pax_cap*load_thin*IF(ABS(MOD(ABS((L67*M67*revleg_thin)),1)-0.5)&lt;1E-9,2*ROUND((L67*M67*revleg_thin)/2,0),ROUND((L67*M67*revleg_thin),0)))-(((battery/range_nm)*D67*IF(ABS(MOD(ABS((L67*M67*revleg_thin)),1)-0.5)&lt;1E-9,2*ROUND((L67*M67*revleg_thin)/2,0),ROUND((L67*M67*revleg_thin),0))*VLOOKUP(B67,country_opex,3,FALSE))+W67+X67+Y67+Z67+AA67))&lt;=0,"",VLOOKUP(B67,country_opex,7,FALSE)/((T67*pax_cap*load_thin*IF(ABS(MOD(ABS((L67*M67*revleg_thin)),1)-0.5)&lt;1E-9,2*ROUND((L67*M67*revleg_thin)/2,0),ROUND((L67*M67*revleg_thin),0)))-(((battery/range_nm)*D67*IF(ABS(MOD(ABS((L67*M67*revleg_thin)),1)-0.5)&lt;1E-9,2*ROUND((L67*M67*revleg_thin)/2,0),ROUND((L67*M67*revleg_thin),0))*VLOOKUP(B67,country_opex,3,FALSE))+W67+X67+Y67+Z67+AA67)))</f>
        <v/>
      </c>
      <c r="AW67" s="45">
        <f>IF(((T67*pax_cap*IF(B67="South Korea",korea_mid_load,load_mid)*IF(ABS(MOD(ABS((L67*M67*IF(B67="South Korea",korea_mid_revleg,revleg_mid))),1)-0.5)&lt;1E-9,2*ROUND((L67*M67*IF(B67="South Korea",korea_mid_revleg,revleg_mid))/2,0),ROUND((L67*M67*IF(B67="South Korea",korea_mid_revleg,revleg_mid)),0)))-(((battery/range_nm)*D67*IF(ABS(MOD(ABS((L67*M67*IF(B67="South Korea",korea_mid_revleg,revleg_mid))),1)-0.5)&lt;1E-9,2*ROUND((L67*M67*IF(B67="South Korea",korea_mid_revleg,revleg_mid))/2,0),ROUND((L67*M67*IF(B67="South Korea",korea_mid_revleg,revleg_mid)),0))*VLOOKUP(B67,country_opex,3,FALSE))+W67+X67+Y67+Z67+AA67))&lt;=0,"",VLOOKUP(B67,country_opex,7,FALSE)/((T67*pax_cap*IF(B67="South Korea",korea_mid_load,load_mid)*IF(ABS(MOD(ABS((L67*M67*IF(B67="South Korea",korea_mid_revleg,revleg_mid))),1)-0.5)&lt;1E-9,2*ROUND((L67*M67*IF(B67="South Korea",korea_mid_revleg,revleg_mid))/2,0),ROUND((L67*M67*IF(B67="South Korea",korea_mid_revleg,revleg_mid)),0)))-(((battery/range_nm)*D67*IF(ABS(MOD(ABS((L67*M67*IF(B67="South Korea",korea_mid_revleg,revleg_mid))),1)-0.5)&lt;1E-9,2*ROUND((L67*M67*IF(B67="South Korea",korea_mid_revleg,revleg_mid))/2,0),ROUND((L67*M67*IF(B67="South Korea",korea_mid_revleg,revleg_mid)),0))*VLOOKUP(B67,country_opex,3,FALSE))+W67+X67+Y67+Z67+AA67)))</f>
        <v/>
      </c>
      <c r="AX67" s="45">
        <f>IF(((T67*pax_cap*load_full*IF(ABS(MOD(ABS((L67*M67*revleg_full)),1)-0.5)&lt;1E-9,2*ROUND((L67*M67*revleg_full)/2,0),ROUND((L67*M67*revleg_full),0)))-(((battery/range_nm)*D67*IF(ABS(MOD(ABS((L67*M67*revleg_full)),1)-0.5)&lt;1E-9,2*ROUND((L67*M67*revleg_full)/2,0),ROUND((L67*M67*revleg_full),0))*VLOOKUP(B67,country_opex,3,FALSE))+W67+X67+Y67+Z67+AA67))&lt;=0,"",VLOOKUP(B67,country_opex,7,FALSE)/((T67*pax_cap*load_full*IF(ABS(MOD(ABS((L67*M67*revleg_full)),1)-0.5)&lt;1E-9,2*ROUND((L67*M67*revleg_full)/2,0),ROUND((L67*M67*revleg_full),0)))-(((battery/range_nm)*D67*IF(ABS(MOD(ABS((L67*M67*revleg_full)),1)-0.5)&lt;1E-9,2*ROUND((L67*M67*revleg_full)/2,0),ROUND((L67*M67*revleg_full),0))*VLOOKUP(B67,country_opex,3,FALSE))+W67+X67+Y67+Z67+AA67)))</f>
        <v/>
      </c>
      <c r="AY67" s="46" t="n"/>
      <c r="AZ67" s="46" t="n"/>
      <c r="BA67" s="34" t="n"/>
    </row>
    <row r="68">
      <c r="A68" s="31" t="inlineStr">
        <is>
          <t>Bolt Greece</t>
        </is>
      </c>
      <c r="B68" s="31" t="inlineStr">
        <is>
          <t>Greece</t>
        </is>
      </c>
      <c r="C68" s="32" t="inlineStr">
        <is>
          <t>Athens (Piraeus) → Aegina</t>
        </is>
      </c>
      <c r="D68" s="33" t="n">
        <v>17</v>
      </c>
      <c r="E68" s="27" t="n">
        <v>14</v>
      </c>
      <c r="F68" s="34" t="inlineStr">
        <is>
          <t>T2</t>
        </is>
      </c>
      <c r="G68" s="34" t="inlineStr">
        <is>
          <t>med</t>
        </is>
      </c>
      <c r="H68" s="20" t="n">
        <v>1</v>
      </c>
      <c r="I68" s="35">
        <f>60*D68/cruise_kt</f>
        <v/>
      </c>
      <c r="J68" s="35">
        <f>IF(B68="South Korea",D68/korea_charge_range_nm*korea_full_range_charge_min,0)</f>
        <v/>
      </c>
      <c r="K68" s="35">
        <f>IF(B68="South Korea",I68+korea_turn_min+korea_dwell_min+J68,I68+turn_min+dwell_min)</f>
        <v/>
      </c>
      <c r="L68" s="36">
        <f>IF(B68="South Korea",FLOOR(60*korea_service_hr/K68,1),MIN(15,FLOOR(60*service_hr/K68,1)))</f>
        <v/>
      </c>
      <c r="M68" s="36">
        <f>IF(ABS(MOD(ABS((365*mech_uptime*H68)),1)-0.5)&lt;1E-9,2*ROUND((365*mech_uptime*H68)/2,0),ROUND((365*mech_uptime*H68),0))</f>
        <v/>
      </c>
      <c r="N68" s="37">
        <f>mech_uptime</f>
        <v/>
      </c>
      <c r="O68" s="37">
        <f>IF(AND(B68="South Korea",scenario="MID"),korea_mid_revleg,revleg_sel)</f>
        <v/>
      </c>
      <c r="P68" s="36">
        <f>IF(ABS(MOD(ABS((L68*M68*O68)),1)-0.5)&lt;1E-9,2*ROUND((L68*M68*O68)/2,0),ROUND((L68*M68*O68),0))</f>
        <v/>
      </c>
      <c r="Q68" s="37">
        <f>IF(AND(B68="South Korea",scenario="MID"),korea_mid_load,load_sel)</f>
        <v/>
      </c>
      <c r="R68" s="38">
        <f>pax_cap*Q68</f>
        <v/>
      </c>
      <c r="S68" s="36">
        <f>R68*P68</f>
        <v/>
      </c>
      <c r="T68" s="39">
        <f>E68*discount</f>
        <v/>
      </c>
      <c r="U68" s="40">
        <f>T68*S68</f>
        <v/>
      </c>
      <c r="V68" s="40">
        <f>(battery/range_nm)*D68*P68*VLOOKUP(B68,country_opex,3,FALSE)</f>
        <v/>
      </c>
      <c r="W68" s="40">
        <f>VLOOKUP(B68,country_opex,2,FALSE)*crew_factor</f>
        <v/>
      </c>
      <c r="X68" s="40">
        <f>VLOOKUP(B68,country_opex,5,FALSE)</f>
        <v/>
      </c>
      <c r="Y68" s="40">
        <f>maint</f>
        <v/>
      </c>
      <c r="Z68" s="40">
        <f>VLOOKUP(B68,country_opex,7,FALSE)*ins_pct</f>
        <v/>
      </c>
      <c r="AA68" s="40">
        <f>charge_berth</f>
        <v/>
      </c>
      <c r="AB68" s="40">
        <f>V68+W68+X68+Y68+Z68+AA68</f>
        <v/>
      </c>
      <c r="AC68" s="40">
        <f>VLOOKUP(B68,country_opex,7,FALSE)/dep_years</f>
        <v/>
      </c>
      <c r="AD68" s="40">
        <f>U68-AB68</f>
        <v/>
      </c>
      <c r="AE68" s="37">
        <f>IF(U68=0,"",AD68/U68)</f>
        <v/>
      </c>
      <c r="AF68" s="38">
        <f>IF(AD68&lt;=0,"",VLOOKUP(B68,country_opex,7,FALSE)/AD68)</f>
        <v/>
      </c>
      <c r="AG68" s="35">
        <f>((D68*P68/diesel_nmpg)*diesel_co2pg-(battery/range_nm)*D68*P68*VLOOKUP(B68,country_opex,4,FALSE))/1000</f>
        <v/>
      </c>
      <c r="AH68" s="33" t="n">
        <v>1000000</v>
      </c>
      <c r="AI68" s="34" t="n"/>
      <c r="AJ68" s="34" t="n"/>
      <c r="AK68" s="41" t="n">
        <v>0.1</v>
      </c>
      <c r="AL68" s="36">
        <f>IF(AH68="","",AH68*AK68)</f>
        <v/>
      </c>
      <c r="AM68" s="36">
        <f>IF(OR(AH68="",S68=0),"",MIN(IF(AU68="",9.9E+99,AU68),FLOOR(AL68/S68,1)))</f>
        <v/>
      </c>
      <c r="AN68" s="40">
        <f>IF(AM68="","",AM68*IF(ABS(MOD(ABS((U68)),1)-0.5)&lt;1E-9,2*ROUND((U68)/2,0),ROUND((U68),0)))</f>
        <v/>
      </c>
      <c r="AO68" s="38">
        <f>IF(OR(AH68="",S68=0),"",MIN(IF(AU68="",9.9E+99,AU68),AL68/S68))</f>
        <v/>
      </c>
      <c r="AP68" s="40">
        <f>IF(AO68="","",AO68*IF(B68="South Korea",IF(ABS(MOD(ABS((U68)),1)-0.5)&lt;1E-9,2*ROUND((U68)/2,0),ROUND((U68),0)),U68))</f>
        <v/>
      </c>
      <c r="AQ68" s="42" t="n"/>
      <c r="AR68" s="34" t="inlineStr">
        <is>
          <t>Grounded</t>
        </is>
      </c>
      <c r="AS68" s="43" t="n"/>
      <c r="AT68" s="43" t="n"/>
      <c r="AU68" s="44" t="n"/>
      <c r="AV68" s="45">
        <f>IF(((T68*pax_cap*load_thin*IF(ABS(MOD(ABS((L68*M68*revleg_thin)),1)-0.5)&lt;1E-9,2*ROUND((L68*M68*revleg_thin)/2,0),ROUND((L68*M68*revleg_thin),0)))-(((battery/range_nm)*D68*IF(ABS(MOD(ABS((L68*M68*revleg_thin)),1)-0.5)&lt;1E-9,2*ROUND((L68*M68*revleg_thin)/2,0),ROUND((L68*M68*revleg_thin),0))*VLOOKUP(B68,country_opex,3,FALSE))+W68+X68+Y68+Z68+AA68))&lt;=0,"",VLOOKUP(B68,country_opex,7,FALSE)/((T68*pax_cap*load_thin*IF(ABS(MOD(ABS((L68*M68*revleg_thin)),1)-0.5)&lt;1E-9,2*ROUND((L68*M68*revleg_thin)/2,0),ROUND((L68*M68*revleg_thin),0)))-(((battery/range_nm)*D68*IF(ABS(MOD(ABS((L68*M68*revleg_thin)),1)-0.5)&lt;1E-9,2*ROUND((L68*M68*revleg_thin)/2,0),ROUND((L68*M68*revleg_thin),0))*VLOOKUP(B68,country_opex,3,FALSE))+W68+X68+Y68+Z68+AA68)))</f>
        <v/>
      </c>
      <c r="AW68" s="45">
        <f>IF(((T68*pax_cap*IF(B68="South Korea",korea_mid_load,load_mid)*IF(ABS(MOD(ABS((L68*M68*IF(B68="South Korea",korea_mid_revleg,revleg_mid))),1)-0.5)&lt;1E-9,2*ROUND((L68*M68*IF(B68="South Korea",korea_mid_revleg,revleg_mid))/2,0),ROUND((L68*M68*IF(B68="South Korea",korea_mid_revleg,revleg_mid)),0)))-(((battery/range_nm)*D68*IF(ABS(MOD(ABS((L68*M68*IF(B68="South Korea",korea_mid_revleg,revleg_mid))),1)-0.5)&lt;1E-9,2*ROUND((L68*M68*IF(B68="South Korea",korea_mid_revleg,revleg_mid))/2,0),ROUND((L68*M68*IF(B68="South Korea",korea_mid_revleg,revleg_mid)),0))*VLOOKUP(B68,country_opex,3,FALSE))+W68+X68+Y68+Z68+AA68))&lt;=0,"",VLOOKUP(B68,country_opex,7,FALSE)/((T68*pax_cap*IF(B68="South Korea",korea_mid_load,load_mid)*IF(ABS(MOD(ABS((L68*M68*IF(B68="South Korea",korea_mid_revleg,revleg_mid))),1)-0.5)&lt;1E-9,2*ROUND((L68*M68*IF(B68="South Korea",korea_mid_revleg,revleg_mid))/2,0),ROUND((L68*M68*IF(B68="South Korea",korea_mid_revleg,revleg_mid)),0)))-(((battery/range_nm)*D68*IF(ABS(MOD(ABS((L68*M68*IF(B68="South Korea",korea_mid_revleg,revleg_mid))),1)-0.5)&lt;1E-9,2*ROUND((L68*M68*IF(B68="South Korea",korea_mid_revleg,revleg_mid))/2,0),ROUND((L68*M68*IF(B68="South Korea",korea_mid_revleg,revleg_mid)),0))*VLOOKUP(B68,country_opex,3,FALSE))+W68+X68+Y68+Z68+AA68)))</f>
        <v/>
      </c>
      <c r="AX68" s="45">
        <f>IF(((T68*pax_cap*load_full*IF(ABS(MOD(ABS((L68*M68*revleg_full)),1)-0.5)&lt;1E-9,2*ROUND((L68*M68*revleg_full)/2,0),ROUND((L68*M68*revleg_full),0)))-(((battery/range_nm)*D68*IF(ABS(MOD(ABS((L68*M68*revleg_full)),1)-0.5)&lt;1E-9,2*ROUND((L68*M68*revleg_full)/2,0),ROUND((L68*M68*revleg_full),0))*VLOOKUP(B68,country_opex,3,FALSE))+W68+X68+Y68+Z68+AA68))&lt;=0,"",VLOOKUP(B68,country_opex,7,FALSE)/((T68*pax_cap*load_full*IF(ABS(MOD(ABS((L68*M68*revleg_full)),1)-0.5)&lt;1E-9,2*ROUND((L68*M68*revleg_full)/2,0),ROUND((L68*M68*revleg_full),0)))-(((battery/range_nm)*D68*IF(ABS(MOD(ABS((L68*M68*revleg_full)),1)-0.5)&lt;1E-9,2*ROUND((L68*M68*revleg_full)/2,0),ROUND((L68*M68*revleg_full),0))*VLOOKUP(B68,country_opex,3,FALSE))+W68+X68+Y68+Z68+AA68)))</f>
        <v/>
      </c>
      <c r="AY68" s="46" t="inlineStr">
        <is>
          <t>PREMIUM scheduled per-seat = Aegean Flying Dolphins hydrofoil Piraeus-&gt;Aegina EUR 13.00 one-way (2026, ~$14.0). Faster Hellenic Seaways high-speed cat runs ~EUR 18 on the same route. (Slow Saronic Ferries conventional ferry is the cheaper floor below.)</t>
        </is>
      </c>
      <c r="AZ68" s="46" t="n"/>
      <c r="BA68" s="34" t="n"/>
    </row>
    <row r="69">
      <c r="A69" s="31" t="inlineStr">
        <is>
          <t>Bolt Greece</t>
        </is>
      </c>
      <c r="B69" s="31" t="inlineStr">
        <is>
          <t>Greece</t>
        </is>
      </c>
      <c r="C69" s="32" t="inlineStr">
        <is>
          <t>Santorini (Thira) → Ios</t>
        </is>
      </c>
      <c r="D69" s="33" t="n">
        <v>17</v>
      </c>
      <c r="E69" s="27" t="n">
        <v>54</v>
      </c>
      <c r="F69" s="34" t="inlineStr">
        <is>
          <t>T2</t>
        </is>
      </c>
      <c r="G69" s="34" t="inlineStr">
        <is>
          <t>med</t>
        </is>
      </c>
      <c r="H69" s="20" t="n">
        <v>1</v>
      </c>
      <c r="I69" s="35">
        <f>60*D69/cruise_kt</f>
        <v/>
      </c>
      <c r="J69" s="35">
        <f>IF(B69="South Korea",D69/korea_charge_range_nm*korea_full_range_charge_min,0)</f>
        <v/>
      </c>
      <c r="K69" s="35">
        <f>IF(B69="South Korea",I69+korea_turn_min+korea_dwell_min+J69,I69+turn_min+dwell_min)</f>
        <v/>
      </c>
      <c r="L69" s="36">
        <f>IF(B69="South Korea",FLOOR(60*korea_service_hr/K69,1),MIN(15,FLOOR(60*service_hr/K69,1)))</f>
        <v/>
      </c>
      <c r="M69" s="36">
        <f>IF(ABS(MOD(ABS((365*mech_uptime*H69)),1)-0.5)&lt;1E-9,2*ROUND((365*mech_uptime*H69)/2,0),ROUND((365*mech_uptime*H69),0))</f>
        <v/>
      </c>
      <c r="N69" s="37">
        <f>mech_uptime</f>
        <v/>
      </c>
      <c r="O69" s="37">
        <f>IF(AND(B69="South Korea",scenario="MID"),korea_mid_revleg,revleg_sel)</f>
        <v/>
      </c>
      <c r="P69" s="36">
        <f>IF(ABS(MOD(ABS((L69*M69*O69)),1)-0.5)&lt;1E-9,2*ROUND((L69*M69*O69)/2,0),ROUND((L69*M69*O69),0))</f>
        <v/>
      </c>
      <c r="Q69" s="37">
        <f>IF(AND(B69="South Korea",scenario="MID"),korea_mid_load,load_sel)</f>
        <v/>
      </c>
      <c r="R69" s="38">
        <f>pax_cap*Q69</f>
        <v/>
      </c>
      <c r="S69" s="36">
        <f>R69*P69</f>
        <v/>
      </c>
      <c r="T69" s="39">
        <f>E69*discount</f>
        <v/>
      </c>
      <c r="U69" s="40">
        <f>T69*S69</f>
        <v/>
      </c>
      <c r="V69" s="40">
        <f>(battery/range_nm)*D69*P69*VLOOKUP(B69,country_opex,3,FALSE)</f>
        <v/>
      </c>
      <c r="W69" s="40">
        <f>VLOOKUP(B69,country_opex,2,FALSE)*crew_factor</f>
        <v/>
      </c>
      <c r="X69" s="40">
        <f>VLOOKUP(B69,country_opex,5,FALSE)</f>
        <v/>
      </c>
      <c r="Y69" s="40">
        <f>maint</f>
        <v/>
      </c>
      <c r="Z69" s="40">
        <f>VLOOKUP(B69,country_opex,7,FALSE)*ins_pct</f>
        <v/>
      </c>
      <c r="AA69" s="40">
        <f>charge_berth</f>
        <v/>
      </c>
      <c r="AB69" s="40">
        <f>V69+W69+X69+Y69+Z69+AA69</f>
        <v/>
      </c>
      <c r="AC69" s="40">
        <f>VLOOKUP(B69,country_opex,7,FALSE)/dep_years</f>
        <v/>
      </c>
      <c r="AD69" s="40">
        <f>U69-AB69</f>
        <v/>
      </c>
      <c r="AE69" s="37">
        <f>IF(U69=0,"",AD69/U69)</f>
        <v/>
      </c>
      <c r="AF69" s="38">
        <f>IF(AD69&lt;=0,"",VLOOKUP(B69,country_opex,7,FALSE)/AD69)</f>
        <v/>
      </c>
      <c r="AG69" s="35">
        <f>((D69*P69/diesel_nmpg)*diesel_co2pg-(battery/range_nm)*D69*P69*VLOOKUP(B69,country_opex,4,FALSE))/1000</f>
        <v/>
      </c>
      <c r="AH69" s="33" t="n"/>
      <c r="AI69" s="34" t="n"/>
      <c r="AJ69" s="34" t="n"/>
      <c r="AK69" s="41" t="n">
        <v>0.1</v>
      </c>
      <c r="AL69" s="36">
        <f>IF(AH69="","",AH69*AK69)</f>
        <v/>
      </c>
      <c r="AM69" s="36">
        <f>IF(OR(AH69="",S69=0),"",MIN(IF(AU69="",9.9E+99,AU69),FLOOR(AL69/S69,1)))</f>
        <v/>
      </c>
      <c r="AN69" s="40">
        <f>IF(AM69="","",AM69*IF(ABS(MOD(ABS((U69)),1)-0.5)&lt;1E-9,2*ROUND((U69)/2,0),ROUND((U69),0)))</f>
        <v/>
      </c>
      <c r="AO69" s="38">
        <f>IF(OR(AH69="",S69=0),"",MIN(IF(AU69="",9.9E+99,AU69),AL69/S69))</f>
        <v/>
      </c>
      <c r="AP69" s="40">
        <f>IF(AO69="","",AO69*IF(B69="South Korea",IF(ABS(MOD(ABS((U69)),1)-0.5)&lt;1E-9,2*ROUND((U69)/2,0),ROUND((U69),0)),U69))</f>
        <v/>
      </c>
      <c r="AQ69" s="42" t="n"/>
      <c r="AR69" s="34" t="inlineStr">
        <is>
          <t>Estimated</t>
        </is>
      </c>
      <c r="AS69" s="43" t="n"/>
      <c r="AT69" s="43" t="n"/>
      <c r="AU69" s="44" t="n"/>
      <c r="AV69" s="45">
        <f>IF(((T69*pax_cap*load_thin*IF(ABS(MOD(ABS((L69*M69*revleg_thin)),1)-0.5)&lt;1E-9,2*ROUND((L69*M69*revleg_thin)/2,0),ROUND((L69*M69*revleg_thin),0)))-(((battery/range_nm)*D69*IF(ABS(MOD(ABS((L69*M69*revleg_thin)),1)-0.5)&lt;1E-9,2*ROUND((L69*M69*revleg_thin)/2,0),ROUND((L69*M69*revleg_thin),0))*VLOOKUP(B69,country_opex,3,FALSE))+W69+X69+Y69+Z69+AA69))&lt;=0,"",VLOOKUP(B69,country_opex,7,FALSE)/((T69*pax_cap*load_thin*IF(ABS(MOD(ABS((L69*M69*revleg_thin)),1)-0.5)&lt;1E-9,2*ROUND((L69*M69*revleg_thin)/2,0),ROUND((L69*M69*revleg_thin),0)))-(((battery/range_nm)*D69*IF(ABS(MOD(ABS((L69*M69*revleg_thin)),1)-0.5)&lt;1E-9,2*ROUND((L69*M69*revleg_thin)/2,0),ROUND((L69*M69*revleg_thin),0))*VLOOKUP(B69,country_opex,3,FALSE))+W69+X69+Y69+Z69+AA69)))</f>
        <v/>
      </c>
      <c r="AW69" s="45">
        <f>IF(((T69*pax_cap*IF(B69="South Korea",korea_mid_load,load_mid)*IF(ABS(MOD(ABS((L69*M69*IF(B69="South Korea",korea_mid_revleg,revleg_mid))),1)-0.5)&lt;1E-9,2*ROUND((L69*M69*IF(B69="South Korea",korea_mid_revleg,revleg_mid))/2,0),ROUND((L69*M69*IF(B69="South Korea",korea_mid_revleg,revleg_mid)),0)))-(((battery/range_nm)*D69*IF(ABS(MOD(ABS((L69*M69*IF(B69="South Korea",korea_mid_revleg,revleg_mid))),1)-0.5)&lt;1E-9,2*ROUND((L69*M69*IF(B69="South Korea",korea_mid_revleg,revleg_mid))/2,0),ROUND((L69*M69*IF(B69="South Korea",korea_mid_revleg,revleg_mid)),0))*VLOOKUP(B69,country_opex,3,FALSE))+W69+X69+Y69+Z69+AA69))&lt;=0,"",VLOOKUP(B69,country_opex,7,FALSE)/((T69*pax_cap*IF(B69="South Korea",korea_mid_load,load_mid)*IF(ABS(MOD(ABS((L69*M69*IF(B69="South Korea",korea_mid_revleg,revleg_mid))),1)-0.5)&lt;1E-9,2*ROUND((L69*M69*IF(B69="South Korea",korea_mid_revleg,revleg_mid))/2,0),ROUND((L69*M69*IF(B69="South Korea",korea_mid_revleg,revleg_mid)),0)))-(((battery/range_nm)*D69*IF(ABS(MOD(ABS((L69*M69*IF(B69="South Korea",korea_mid_revleg,revleg_mid))),1)-0.5)&lt;1E-9,2*ROUND((L69*M69*IF(B69="South Korea",korea_mid_revleg,revleg_mid))/2,0),ROUND((L69*M69*IF(B69="South Korea",korea_mid_revleg,revleg_mid)),0))*VLOOKUP(B69,country_opex,3,FALSE))+W69+X69+Y69+Z69+AA69)))</f>
        <v/>
      </c>
      <c r="AX69" s="45">
        <f>IF(((T69*pax_cap*load_full*IF(ABS(MOD(ABS((L69*M69*revleg_full)),1)-0.5)&lt;1E-9,2*ROUND((L69*M69*revleg_full)/2,0),ROUND((L69*M69*revleg_full),0)))-(((battery/range_nm)*D69*IF(ABS(MOD(ABS((L69*M69*revleg_full)),1)-0.5)&lt;1E-9,2*ROUND((L69*M69*revleg_full)/2,0),ROUND((L69*M69*revleg_full),0))*VLOOKUP(B69,country_opex,3,FALSE))+W69+X69+Y69+Z69+AA69))&lt;=0,"",VLOOKUP(B69,country_opex,7,FALSE)/((T69*pax_cap*load_full*IF(ABS(MOD(ABS((L69*M69*revleg_full)),1)-0.5)&lt;1E-9,2*ROUND((L69*M69*revleg_full)/2,0),ROUND((L69*M69*revleg_full),0)))-(((battery/range_nm)*D69*IF(ABS(MOD(ABS((L69*M69*revleg_full)),1)-0.5)&lt;1E-9,2*ROUND((L69*M69*revleg_full)/2,0),ROUND((L69*M69*revleg_full),0))*VLOOKUP(B69,country_opex,3,FALSE))+W69+X69+Y69+Z69+AA69)))</f>
        <v/>
      </c>
      <c r="AY69" s="46" t="inlineStr">
        <is>
          <t>PREMIUM scheduled per-seat = fast-ferry Santorini-&gt;Ios ~EUR 50 one-way (range to EUR 69.7; ~$54). Up to 7 daily crossings year-round.</t>
        </is>
      </c>
      <c r="AZ69" s="46" t="n"/>
      <c r="BA69" s="34" t="n"/>
    </row>
    <row r="70">
      <c r="A70" s="31" t="inlineStr">
        <is>
          <t>Bolt Greece</t>
        </is>
      </c>
      <c r="B70" s="31" t="inlineStr">
        <is>
          <t>Greece</t>
        </is>
      </c>
      <c r="C70" s="32" t="inlineStr">
        <is>
          <t>Athens (Piraeus) → Agistri (Saronic)</t>
        </is>
      </c>
      <c r="D70" s="33" t="n">
        <v>18</v>
      </c>
      <c r="E70" s="27" t="n">
        <v>14.6</v>
      </c>
      <c r="F70" s="34" t="inlineStr">
        <is>
          <t>T2</t>
        </is>
      </c>
      <c r="G70" s="34" t="inlineStr">
        <is>
          <t>med</t>
        </is>
      </c>
      <c r="H70" s="20" t="n">
        <v>1</v>
      </c>
      <c r="I70" s="35">
        <f>60*D70/cruise_kt</f>
        <v/>
      </c>
      <c r="J70" s="35">
        <f>IF(B70="South Korea",D70/korea_charge_range_nm*korea_full_range_charge_min,0)</f>
        <v/>
      </c>
      <c r="K70" s="35">
        <f>IF(B70="South Korea",I70+korea_turn_min+korea_dwell_min+J70,I70+turn_min+dwell_min)</f>
        <v/>
      </c>
      <c r="L70" s="36">
        <f>IF(B70="South Korea",FLOOR(60*korea_service_hr/K70,1),MIN(15,FLOOR(60*service_hr/K70,1)))</f>
        <v/>
      </c>
      <c r="M70" s="36">
        <f>IF(ABS(MOD(ABS((365*mech_uptime*H70)),1)-0.5)&lt;1E-9,2*ROUND((365*mech_uptime*H70)/2,0),ROUND((365*mech_uptime*H70),0))</f>
        <v/>
      </c>
      <c r="N70" s="37">
        <f>mech_uptime</f>
        <v/>
      </c>
      <c r="O70" s="37">
        <f>IF(AND(B70="South Korea",scenario="MID"),korea_mid_revleg,revleg_sel)</f>
        <v/>
      </c>
      <c r="P70" s="36">
        <f>IF(ABS(MOD(ABS((L70*M70*O70)),1)-0.5)&lt;1E-9,2*ROUND((L70*M70*O70)/2,0),ROUND((L70*M70*O70),0))</f>
        <v/>
      </c>
      <c r="Q70" s="37">
        <f>IF(AND(B70="South Korea",scenario="MID"),korea_mid_load,load_sel)</f>
        <v/>
      </c>
      <c r="R70" s="38">
        <f>pax_cap*Q70</f>
        <v/>
      </c>
      <c r="S70" s="36">
        <f>R70*P70</f>
        <v/>
      </c>
      <c r="T70" s="39">
        <f>E70*discount</f>
        <v/>
      </c>
      <c r="U70" s="40">
        <f>T70*S70</f>
        <v/>
      </c>
      <c r="V70" s="40">
        <f>(battery/range_nm)*D70*P70*VLOOKUP(B70,country_opex,3,FALSE)</f>
        <v/>
      </c>
      <c r="W70" s="40">
        <f>VLOOKUP(B70,country_opex,2,FALSE)*crew_factor</f>
        <v/>
      </c>
      <c r="X70" s="40">
        <f>VLOOKUP(B70,country_opex,5,FALSE)</f>
        <v/>
      </c>
      <c r="Y70" s="40">
        <f>maint</f>
        <v/>
      </c>
      <c r="Z70" s="40">
        <f>VLOOKUP(B70,country_opex,7,FALSE)*ins_pct</f>
        <v/>
      </c>
      <c r="AA70" s="40">
        <f>charge_berth</f>
        <v/>
      </c>
      <c r="AB70" s="40">
        <f>V70+W70+X70+Y70+Z70+AA70</f>
        <v/>
      </c>
      <c r="AC70" s="40">
        <f>VLOOKUP(B70,country_opex,7,FALSE)/dep_years</f>
        <v/>
      </c>
      <c r="AD70" s="40">
        <f>U70-AB70</f>
        <v/>
      </c>
      <c r="AE70" s="37">
        <f>IF(U70=0,"",AD70/U70)</f>
        <v/>
      </c>
      <c r="AF70" s="38">
        <f>IF(AD70&lt;=0,"",VLOOKUP(B70,country_opex,7,FALSE)/AD70)</f>
        <v/>
      </c>
      <c r="AG70" s="35">
        <f>((D70*P70/diesel_nmpg)*diesel_co2pg-(battery/range_nm)*D70*P70*VLOOKUP(B70,country_opex,4,FALSE))/1000</f>
        <v/>
      </c>
      <c r="AH70" s="33" t="n"/>
      <c r="AI70" s="34" t="n"/>
      <c r="AJ70" s="34" t="n"/>
      <c r="AK70" s="41" t="n">
        <v>0.1</v>
      </c>
      <c r="AL70" s="36">
        <f>IF(AH70="","",AH70*AK70)</f>
        <v/>
      </c>
      <c r="AM70" s="36">
        <f>IF(OR(AH70="",S70=0),"",MIN(IF(AU70="",9.9E+99,AU70),FLOOR(AL70/S70,1)))</f>
        <v/>
      </c>
      <c r="AN70" s="40">
        <f>IF(AM70="","",AM70*IF(ABS(MOD(ABS((U70)),1)-0.5)&lt;1E-9,2*ROUND((U70)/2,0),ROUND((U70),0)))</f>
        <v/>
      </c>
      <c r="AO70" s="38">
        <f>IF(OR(AH70="",S70=0),"",MIN(IF(AU70="",9.9E+99,AU70),AL70/S70))</f>
        <v/>
      </c>
      <c r="AP70" s="40">
        <f>IF(AO70="","",AO70*IF(B70="South Korea",IF(ABS(MOD(ABS((U70)),1)-0.5)&lt;1E-9,2*ROUND((U70)/2,0),ROUND((U70),0)),U70))</f>
        <v/>
      </c>
      <c r="AQ70" s="42" t="n"/>
      <c r="AR70" s="34" t="inlineStr">
        <is>
          <t>Estimated</t>
        </is>
      </c>
      <c r="AS70" s="43" t="n"/>
      <c r="AT70" s="43" t="n"/>
      <c r="AU70" s="44" t="n"/>
      <c r="AV70" s="45">
        <f>IF(((T70*pax_cap*load_thin*IF(ABS(MOD(ABS((L70*M70*revleg_thin)),1)-0.5)&lt;1E-9,2*ROUND((L70*M70*revleg_thin)/2,0),ROUND((L70*M70*revleg_thin),0)))-(((battery/range_nm)*D70*IF(ABS(MOD(ABS((L70*M70*revleg_thin)),1)-0.5)&lt;1E-9,2*ROUND((L70*M70*revleg_thin)/2,0),ROUND((L70*M70*revleg_thin),0))*VLOOKUP(B70,country_opex,3,FALSE))+W70+X70+Y70+Z70+AA70))&lt;=0,"",VLOOKUP(B70,country_opex,7,FALSE)/((T70*pax_cap*load_thin*IF(ABS(MOD(ABS((L70*M70*revleg_thin)),1)-0.5)&lt;1E-9,2*ROUND((L70*M70*revleg_thin)/2,0),ROUND((L70*M70*revleg_thin),0)))-(((battery/range_nm)*D70*IF(ABS(MOD(ABS((L70*M70*revleg_thin)),1)-0.5)&lt;1E-9,2*ROUND((L70*M70*revleg_thin)/2,0),ROUND((L70*M70*revleg_thin),0))*VLOOKUP(B70,country_opex,3,FALSE))+W70+X70+Y70+Z70+AA70)))</f>
        <v/>
      </c>
      <c r="AW70" s="45">
        <f>IF(((T70*pax_cap*IF(B70="South Korea",korea_mid_load,load_mid)*IF(ABS(MOD(ABS((L70*M70*IF(B70="South Korea",korea_mid_revleg,revleg_mid))),1)-0.5)&lt;1E-9,2*ROUND((L70*M70*IF(B70="South Korea",korea_mid_revleg,revleg_mid))/2,0),ROUND((L70*M70*IF(B70="South Korea",korea_mid_revleg,revleg_mid)),0)))-(((battery/range_nm)*D70*IF(ABS(MOD(ABS((L70*M70*IF(B70="South Korea",korea_mid_revleg,revleg_mid))),1)-0.5)&lt;1E-9,2*ROUND((L70*M70*IF(B70="South Korea",korea_mid_revleg,revleg_mid))/2,0),ROUND((L70*M70*IF(B70="South Korea",korea_mid_revleg,revleg_mid)),0))*VLOOKUP(B70,country_opex,3,FALSE))+W70+X70+Y70+Z70+AA70))&lt;=0,"",VLOOKUP(B70,country_opex,7,FALSE)/((T70*pax_cap*IF(B70="South Korea",korea_mid_load,load_mid)*IF(ABS(MOD(ABS((L70*M70*IF(B70="South Korea",korea_mid_revleg,revleg_mid))),1)-0.5)&lt;1E-9,2*ROUND((L70*M70*IF(B70="South Korea",korea_mid_revleg,revleg_mid))/2,0),ROUND((L70*M70*IF(B70="South Korea",korea_mid_revleg,revleg_mid)),0)))-(((battery/range_nm)*D70*IF(ABS(MOD(ABS((L70*M70*IF(B70="South Korea",korea_mid_revleg,revleg_mid))),1)-0.5)&lt;1E-9,2*ROUND((L70*M70*IF(B70="South Korea",korea_mid_revleg,revleg_mid))/2,0),ROUND((L70*M70*IF(B70="South Korea",korea_mid_revleg,revleg_mid)),0))*VLOOKUP(B70,country_opex,3,FALSE))+W70+X70+Y70+Z70+AA70)))</f>
        <v/>
      </c>
      <c r="AX70" s="45">
        <f>IF(((T70*pax_cap*load_full*IF(ABS(MOD(ABS((L70*M70*revleg_full)),1)-0.5)&lt;1E-9,2*ROUND((L70*M70*revleg_full)/2,0),ROUND((L70*M70*revleg_full),0)))-(((battery/range_nm)*D70*IF(ABS(MOD(ABS((L70*M70*revleg_full)),1)-0.5)&lt;1E-9,2*ROUND((L70*M70*revleg_full)/2,0),ROUND((L70*M70*revleg_full),0))*VLOOKUP(B70,country_opex,3,FALSE))+W70+X70+Y70+Z70+AA70))&lt;=0,"",VLOOKUP(B70,country_opex,7,FALSE)/((T70*pax_cap*load_full*IF(ABS(MOD(ABS((L70*M70*revleg_full)),1)-0.5)&lt;1E-9,2*ROUND((L70*M70*revleg_full)/2,0),ROUND((L70*M70*revleg_full),0)))-(((battery/range_nm)*D70*IF(ABS(MOD(ABS((L70*M70*revleg_full)),1)-0.5)&lt;1E-9,2*ROUND((L70*M70*revleg_full)/2,0),ROUND((L70*M70*revleg_full),0))*VLOOKUP(B70,country_opex,3,FALSE))+W70+X70+Y70+Z70+AA70)))</f>
        <v/>
      </c>
      <c r="AY70" s="46" t="inlineStr">
        <is>
          <t>PREMIUM scheduled per-seat = Aegean Flying Dolphins Piraeus-&gt;Agistri (Myli) EUR 13.50 one-way (2026, ~$14.6).</t>
        </is>
      </c>
      <c r="AZ70" s="46" t="n"/>
      <c r="BA70" s="34" t="n"/>
    </row>
    <row r="71">
      <c r="A71" s="31" t="inlineStr">
        <is>
          <t>Bolt Greece</t>
        </is>
      </c>
      <c r="B71" s="31" t="inlineStr">
        <is>
          <t>Greece</t>
        </is>
      </c>
      <c r="C71" s="32" t="inlineStr">
        <is>
          <t>Mykonos → Paros</t>
        </is>
      </c>
      <c r="D71" s="33" t="n">
        <v>22</v>
      </c>
      <c r="E71" s="27" t="n">
        <v>54</v>
      </c>
      <c r="F71" s="34" t="inlineStr">
        <is>
          <t>T2</t>
        </is>
      </c>
      <c r="G71" s="34" t="inlineStr">
        <is>
          <t>med</t>
        </is>
      </c>
      <c r="H71" s="20" t="n">
        <v>1</v>
      </c>
      <c r="I71" s="35">
        <f>60*D71/cruise_kt</f>
        <v/>
      </c>
      <c r="J71" s="35">
        <f>IF(B71="South Korea",D71/korea_charge_range_nm*korea_full_range_charge_min,0)</f>
        <v/>
      </c>
      <c r="K71" s="35">
        <f>IF(B71="South Korea",I71+korea_turn_min+korea_dwell_min+J71,I71+turn_min+dwell_min)</f>
        <v/>
      </c>
      <c r="L71" s="36">
        <f>IF(B71="South Korea",FLOOR(60*korea_service_hr/K71,1),MIN(15,FLOOR(60*service_hr/K71,1)))</f>
        <v/>
      </c>
      <c r="M71" s="36">
        <f>IF(ABS(MOD(ABS((365*mech_uptime*H71)),1)-0.5)&lt;1E-9,2*ROUND((365*mech_uptime*H71)/2,0),ROUND((365*mech_uptime*H71),0))</f>
        <v/>
      </c>
      <c r="N71" s="37">
        <f>mech_uptime</f>
        <v/>
      </c>
      <c r="O71" s="37">
        <f>IF(AND(B71="South Korea",scenario="MID"),korea_mid_revleg,revleg_sel)</f>
        <v/>
      </c>
      <c r="P71" s="36">
        <f>IF(ABS(MOD(ABS((L71*M71*O71)),1)-0.5)&lt;1E-9,2*ROUND((L71*M71*O71)/2,0),ROUND((L71*M71*O71),0))</f>
        <v/>
      </c>
      <c r="Q71" s="37">
        <f>IF(AND(B71="South Korea",scenario="MID"),korea_mid_load,load_sel)</f>
        <v/>
      </c>
      <c r="R71" s="38">
        <f>pax_cap*Q71</f>
        <v/>
      </c>
      <c r="S71" s="36">
        <f>R71*P71</f>
        <v/>
      </c>
      <c r="T71" s="39">
        <f>E71*discount</f>
        <v/>
      </c>
      <c r="U71" s="40">
        <f>T71*S71</f>
        <v/>
      </c>
      <c r="V71" s="40">
        <f>(battery/range_nm)*D71*P71*VLOOKUP(B71,country_opex,3,FALSE)</f>
        <v/>
      </c>
      <c r="W71" s="40">
        <f>VLOOKUP(B71,country_opex,2,FALSE)*crew_factor</f>
        <v/>
      </c>
      <c r="X71" s="40">
        <f>VLOOKUP(B71,country_opex,5,FALSE)</f>
        <v/>
      </c>
      <c r="Y71" s="40">
        <f>maint</f>
        <v/>
      </c>
      <c r="Z71" s="40">
        <f>VLOOKUP(B71,country_opex,7,FALSE)*ins_pct</f>
        <v/>
      </c>
      <c r="AA71" s="40">
        <f>charge_berth</f>
        <v/>
      </c>
      <c r="AB71" s="40">
        <f>V71+W71+X71+Y71+Z71+AA71</f>
        <v/>
      </c>
      <c r="AC71" s="40">
        <f>VLOOKUP(B71,country_opex,7,FALSE)/dep_years</f>
        <v/>
      </c>
      <c r="AD71" s="40">
        <f>U71-AB71</f>
        <v/>
      </c>
      <c r="AE71" s="37">
        <f>IF(U71=0,"",AD71/U71)</f>
        <v/>
      </c>
      <c r="AF71" s="38">
        <f>IF(AD71&lt;=0,"",VLOOKUP(B71,country_opex,7,FALSE)/AD71)</f>
        <v/>
      </c>
      <c r="AG71" s="35">
        <f>((D71*P71/diesel_nmpg)*diesel_co2pg-(battery/range_nm)*D71*P71*VLOOKUP(B71,country_opex,4,FALSE))/1000</f>
        <v/>
      </c>
      <c r="AH71" s="33" t="n"/>
      <c r="AI71" s="34" t="n"/>
      <c r="AJ71" s="34" t="n"/>
      <c r="AK71" s="41" t="n">
        <v>0.1</v>
      </c>
      <c r="AL71" s="36">
        <f>IF(AH71="","",AH71*AK71)</f>
        <v/>
      </c>
      <c r="AM71" s="36">
        <f>IF(OR(AH71="",S71=0),"",MIN(IF(AU71="",9.9E+99,AU71),FLOOR(AL71/S71,1)))</f>
        <v/>
      </c>
      <c r="AN71" s="40">
        <f>IF(AM71="","",AM71*IF(ABS(MOD(ABS((U71)),1)-0.5)&lt;1E-9,2*ROUND((U71)/2,0),ROUND((U71),0)))</f>
        <v/>
      </c>
      <c r="AO71" s="38">
        <f>IF(OR(AH71="",S71=0),"",MIN(IF(AU71="",9.9E+99,AU71),AL71/S71))</f>
        <v/>
      </c>
      <c r="AP71" s="40">
        <f>IF(AO71="","",AO71*IF(B71="South Korea",IF(ABS(MOD(ABS((U71)),1)-0.5)&lt;1E-9,2*ROUND((U71)/2,0),ROUND((U71),0)),U71))</f>
        <v/>
      </c>
      <c r="AQ71" s="42" t="n"/>
      <c r="AR71" s="34" t="inlineStr">
        <is>
          <t>Estimated</t>
        </is>
      </c>
      <c r="AS71" s="43" t="n"/>
      <c r="AT71" s="43" t="n"/>
      <c r="AU71" s="44" t="n"/>
      <c r="AV71" s="45">
        <f>IF(((T71*pax_cap*load_thin*IF(ABS(MOD(ABS((L71*M71*revleg_thin)),1)-0.5)&lt;1E-9,2*ROUND((L71*M71*revleg_thin)/2,0),ROUND((L71*M71*revleg_thin),0)))-(((battery/range_nm)*D71*IF(ABS(MOD(ABS((L71*M71*revleg_thin)),1)-0.5)&lt;1E-9,2*ROUND((L71*M71*revleg_thin)/2,0),ROUND((L71*M71*revleg_thin),0))*VLOOKUP(B71,country_opex,3,FALSE))+W71+X71+Y71+Z71+AA71))&lt;=0,"",VLOOKUP(B71,country_opex,7,FALSE)/((T71*pax_cap*load_thin*IF(ABS(MOD(ABS((L71*M71*revleg_thin)),1)-0.5)&lt;1E-9,2*ROUND((L71*M71*revleg_thin)/2,0),ROUND((L71*M71*revleg_thin),0)))-(((battery/range_nm)*D71*IF(ABS(MOD(ABS((L71*M71*revleg_thin)),1)-0.5)&lt;1E-9,2*ROUND((L71*M71*revleg_thin)/2,0),ROUND((L71*M71*revleg_thin),0))*VLOOKUP(B71,country_opex,3,FALSE))+W71+X71+Y71+Z71+AA71)))</f>
        <v/>
      </c>
      <c r="AW71" s="45">
        <f>IF(((T71*pax_cap*IF(B71="South Korea",korea_mid_load,load_mid)*IF(ABS(MOD(ABS((L71*M71*IF(B71="South Korea",korea_mid_revleg,revleg_mid))),1)-0.5)&lt;1E-9,2*ROUND((L71*M71*IF(B71="South Korea",korea_mid_revleg,revleg_mid))/2,0),ROUND((L71*M71*IF(B71="South Korea",korea_mid_revleg,revleg_mid)),0)))-(((battery/range_nm)*D71*IF(ABS(MOD(ABS((L71*M71*IF(B71="South Korea",korea_mid_revleg,revleg_mid))),1)-0.5)&lt;1E-9,2*ROUND((L71*M71*IF(B71="South Korea",korea_mid_revleg,revleg_mid))/2,0),ROUND((L71*M71*IF(B71="South Korea",korea_mid_revleg,revleg_mid)),0))*VLOOKUP(B71,country_opex,3,FALSE))+W71+X71+Y71+Z71+AA71))&lt;=0,"",VLOOKUP(B71,country_opex,7,FALSE)/((T71*pax_cap*IF(B71="South Korea",korea_mid_load,load_mid)*IF(ABS(MOD(ABS((L71*M71*IF(B71="South Korea",korea_mid_revleg,revleg_mid))),1)-0.5)&lt;1E-9,2*ROUND((L71*M71*IF(B71="South Korea",korea_mid_revleg,revleg_mid))/2,0),ROUND((L71*M71*IF(B71="South Korea",korea_mid_revleg,revleg_mid)),0)))-(((battery/range_nm)*D71*IF(ABS(MOD(ABS((L71*M71*IF(B71="South Korea",korea_mid_revleg,revleg_mid))),1)-0.5)&lt;1E-9,2*ROUND((L71*M71*IF(B71="South Korea",korea_mid_revleg,revleg_mid))/2,0),ROUND((L71*M71*IF(B71="South Korea",korea_mid_revleg,revleg_mid)),0))*VLOOKUP(B71,country_opex,3,FALSE))+W71+X71+Y71+Z71+AA71)))</f>
        <v/>
      </c>
      <c r="AX71" s="45">
        <f>IF(((T71*pax_cap*load_full*IF(ABS(MOD(ABS((L71*M71*revleg_full)),1)-0.5)&lt;1E-9,2*ROUND((L71*M71*revleg_full)/2,0),ROUND((L71*M71*revleg_full),0)))-(((battery/range_nm)*D71*IF(ABS(MOD(ABS((L71*M71*revleg_full)),1)-0.5)&lt;1E-9,2*ROUND((L71*M71*revleg_full)/2,0),ROUND((L71*M71*revleg_full),0))*VLOOKUP(B71,country_opex,3,FALSE))+W71+X71+Y71+Z71+AA71))&lt;=0,"",VLOOKUP(B71,country_opex,7,FALSE)/((T71*pax_cap*load_full*IF(ABS(MOD(ABS((L71*M71*revleg_full)),1)-0.5)&lt;1E-9,2*ROUND((L71*M71*revleg_full)/2,0),ROUND((L71*M71*revleg_full),0)))-(((battery/range_nm)*D71*IF(ABS(MOD(ABS((L71*M71*revleg_full)),1)-0.5)&lt;1E-9,2*ROUND((L71*M71*revleg_full)/2,0),ROUND((L71*M71*revleg_full),0))*VLOOKUP(B71,country_opex,3,FALSE))+W71+X71+Y71+Z71+AA71)))</f>
        <v/>
      </c>
      <c r="AY71" s="46" t="inlineStr">
        <is>
          <t>PREMIUM scheduled per-seat = Seajets/fast-ferry Mykonos-&gt;Paros ~EUR 50 one-way (range EUR 36-66; ~$54).</t>
        </is>
      </c>
      <c r="AZ71" s="46" t="n"/>
      <c r="BA71" s="34" t="inlineStr">
        <is>
          <t>edge__paros-greece__mykonos</t>
        </is>
      </c>
    </row>
    <row r="72">
      <c r="A72" s="31" t="inlineStr">
        <is>
          <t>Bolt Greece</t>
        </is>
      </c>
      <c r="B72" s="31" t="inlineStr">
        <is>
          <t>Greece</t>
        </is>
      </c>
      <c r="C72" s="32" t="inlineStr">
        <is>
          <t>Rhodes → Marmaris (Turkey)</t>
        </is>
      </c>
      <c r="D72" s="33" t="n">
        <v>22</v>
      </c>
      <c r="E72" s="27" t="n"/>
      <c r="F72" s="34" t="n"/>
      <c r="G72" s="34" t="n"/>
      <c r="H72" s="20" t="n">
        <v>1</v>
      </c>
      <c r="I72" s="35">
        <f>60*D72/cruise_kt</f>
        <v/>
      </c>
      <c r="J72" s="35">
        <f>IF(B72="South Korea",D72/korea_charge_range_nm*korea_full_range_charge_min,0)</f>
        <v/>
      </c>
      <c r="K72" s="35">
        <f>IF(B72="South Korea",I72+korea_turn_min+korea_dwell_min+J72,I72+turn_min+dwell_min)</f>
        <v/>
      </c>
      <c r="L72" s="36">
        <f>IF(B72="South Korea",FLOOR(60*korea_service_hr/K72,1),MIN(15,FLOOR(60*service_hr/K72,1)))</f>
        <v/>
      </c>
      <c r="M72" s="36">
        <f>IF(ABS(MOD(ABS((365*mech_uptime*H72)),1)-0.5)&lt;1E-9,2*ROUND((365*mech_uptime*H72)/2,0),ROUND((365*mech_uptime*H72),0))</f>
        <v/>
      </c>
      <c r="N72" s="37">
        <f>mech_uptime</f>
        <v/>
      </c>
      <c r="O72" s="37">
        <f>IF(AND(B72="South Korea",scenario="MID"),korea_mid_revleg,revleg_sel)</f>
        <v/>
      </c>
      <c r="P72" s="36">
        <f>IF(ABS(MOD(ABS((L72*M72*O72)),1)-0.5)&lt;1E-9,2*ROUND((L72*M72*O72)/2,0),ROUND((L72*M72*O72),0))</f>
        <v/>
      </c>
      <c r="Q72" s="37">
        <f>IF(AND(B72="South Korea",scenario="MID"),korea_mid_load,load_sel)</f>
        <v/>
      </c>
      <c r="R72" s="38">
        <f>pax_cap*Q72</f>
        <v/>
      </c>
      <c r="S72" s="36">
        <f>R72*P72</f>
        <v/>
      </c>
      <c r="T72" s="39">
        <f>E72*discount</f>
        <v/>
      </c>
      <c r="U72" s="40">
        <f>T72*S72</f>
        <v/>
      </c>
      <c r="V72" s="40">
        <f>(battery/range_nm)*D72*P72*VLOOKUP(B72,country_opex,3,FALSE)</f>
        <v/>
      </c>
      <c r="W72" s="40">
        <f>VLOOKUP(B72,country_opex,2,FALSE)*crew_factor</f>
        <v/>
      </c>
      <c r="X72" s="40">
        <f>VLOOKUP(B72,country_opex,5,FALSE)</f>
        <v/>
      </c>
      <c r="Y72" s="40">
        <f>maint</f>
        <v/>
      </c>
      <c r="Z72" s="40">
        <f>VLOOKUP(B72,country_opex,7,FALSE)*ins_pct</f>
        <v/>
      </c>
      <c r="AA72" s="40">
        <f>charge_berth</f>
        <v/>
      </c>
      <c r="AB72" s="40">
        <f>V72+W72+X72+Y72+Z72+AA72</f>
        <v/>
      </c>
      <c r="AC72" s="40">
        <f>VLOOKUP(B72,country_opex,7,FALSE)/dep_years</f>
        <v/>
      </c>
      <c r="AD72" s="40">
        <f>U72-AB72</f>
        <v/>
      </c>
      <c r="AE72" s="37">
        <f>IF(U72=0,"",AD72/U72)</f>
        <v/>
      </c>
      <c r="AF72" s="38">
        <f>IF(AD72&lt;=0,"",VLOOKUP(B72,country_opex,7,FALSE)/AD72)</f>
        <v/>
      </c>
      <c r="AG72" s="35">
        <f>((D72*P72/diesel_nmpg)*diesel_co2pg-(battery/range_nm)*D72*P72*VLOOKUP(B72,country_opex,4,FALSE))/1000</f>
        <v/>
      </c>
      <c r="AH72" s="33" t="n"/>
      <c r="AI72" s="34" t="n"/>
      <c r="AJ72" s="34" t="n"/>
      <c r="AK72" s="41" t="n">
        <v>0.1</v>
      </c>
      <c r="AL72" s="36">
        <f>IF(AH72="","",AH72*AK72)</f>
        <v/>
      </c>
      <c r="AM72" s="36">
        <f>IF(OR(AH72="",S72=0),"",MIN(IF(AU72="",9.9E+99,AU72),FLOOR(AL72/S72,1)))</f>
        <v/>
      </c>
      <c r="AN72" s="40">
        <f>IF(AM72="","",AM72*IF(ABS(MOD(ABS((U72)),1)-0.5)&lt;1E-9,2*ROUND((U72)/2,0),ROUND((U72),0)))</f>
        <v/>
      </c>
      <c r="AO72" s="38">
        <f>IF(OR(AH72="",S72=0),"",MIN(IF(AU72="",9.9E+99,AU72),AL72/S72))</f>
        <v/>
      </c>
      <c r="AP72" s="40">
        <f>IF(AO72="","",AO72*IF(B72="South Korea",IF(ABS(MOD(ABS((U72)),1)-0.5)&lt;1E-9,2*ROUND((U72)/2,0),ROUND((U72),0)),U72))</f>
        <v/>
      </c>
      <c r="AQ72" s="42" t="n"/>
      <c r="AR72" s="34" t="inlineStr">
        <is>
          <t>Estimated</t>
        </is>
      </c>
      <c r="AS72" s="43" t="n"/>
      <c r="AT72" s="43" t="n"/>
      <c r="AU72" s="44" t="n"/>
      <c r="AV72" s="45">
        <f>IF(((T72*pax_cap*load_thin*IF(ABS(MOD(ABS((L72*M72*revleg_thin)),1)-0.5)&lt;1E-9,2*ROUND((L72*M72*revleg_thin)/2,0),ROUND((L72*M72*revleg_thin),0)))-(((battery/range_nm)*D72*IF(ABS(MOD(ABS((L72*M72*revleg_thin)),1)-0.5)&lt;1E-9,2*ROUND((L72*M72*revleg_thin)/2,0),ROUND((L72*M72*revleg_thin),0))*VLOOKUP(B72,country_opex,3,FALSE))+W72+X72+Y72+Z72+AA72))&lt;=0,"",VLOOKUP(B72,country_opex,7,FALSE)/((T72*pax_cap*load_thin*IF(ABS(MOD(ABS((L72*M72*revleg_thin)),1)-0.5)&lt;1E-9,2*ROUND((L72*M72*revleg_thin)/2,0),ROUND((L72*M72*revleg_thin),0)))-(((battery/range_nm)*D72*IF(ABS(MOD(ABS((L72*M72*revleg_thin)),1)-0.5)&lt;1E-9,2*ROUND((L72*M72*revleg_thin)/2,0),ROUND((L72*M72*revleg_thin),0))*VLOOKUP(B72,country_opex,3,FALSE))+W72+X72+Y72+Z72+AA72)))</f>
        <v/>
      </c>
      <c r="AW72" s="45">
        <f>IF(((T72*pax_cap*IF(B72="South Korea",korea_mid_load,load_mid)*IF(ABS(MOD(ABS((L72*M72*IF(B72="South Korea",korea_mid_revleg,revleg_mid))),1)-0.5)&lt;1E-9,2*ROUND((L72*M72*IF(B72="South Korea",korea_mid_revleg,revleg_mid))/2,0),ROUND((L72*M72*IF(B72="South Korea",korea_mid_revleg,revleg_mid)),0)))-(((battery/range_nm)*D72*IF(ABS(MOD(ABS((L72*M72*IF(B72="South Korea",korea_mid_revleg,revleg_mid))),1)-0.5)&lt;1E-9,2*ROUND((L72*M72*IF(B72="South Korea",korea_mid_revleg,revleg_mid))/2,0),ROUND((L72*M72*IF(B72="South Korea",korea_mid_revleg,revleg_mid)),0))*VLOOKUP(B72,country_opex,3,FALSE))+W72+X72+Y72+Z72+AA72))&lt;=0,"",VLOOKUP(B72,country_opex,7,FALSE)/((T72*pax_cap*IF(B72="South Korea",korea_mid_load,load_mid)*IF(ABS(MOD(ABS((L72*M72*IF(B72="South Korea",korea_mid_revleg,revleg_mid))),1)-0.5)&lt;1E-9,2*ROUND((L72*M72*IF(B72="South Korea",korea_mid_revleg,revleg_mid))/2,0),ROUND((L72*M72*IF(B72="South Korea",korea_mid_revleg,revleg_mid)),0)))-(((battery/range_nm)*D72*IF(ABS(MOD(ABS((L72*M72*IF(B72="South Korea",korea_mid_revleg,revleg_mid))),1)-0.5)&lt;1E-9,2*ROUND((L72*M72*IF(B72="South Korea",korea_mid_revleg,revleg_mid))/2,0),ROUND((L72*M72*IF(B72="South Korea",korea_mid_revleg,revleg_mid)),0))*VLOOKUP(B72,country_opex,3,FALSE))+W72+X72+Y72+Z72+AA72)))</f>
        <v/>
      </c>
      <c r="AX72" s="45">
        <f>IF(((T72*pax_cap*load_full*IF(ABS(MOD(ABS((L72*M72*revleg_full)),1)-0.5)&lt;1E-9,2*ROUND((L72*M72*revleg_full)/2,0),ROUND((L72*M72*revleg_full),0)))-(((battery/range_nm)*D72*IF(ABS(MOD(ABS((L72*M72*revleg_full)),1)-0.5)&lt;1E-9,2*ROUND((L72*M72*revleg_full)/2,0),ROUND((L72*M72*revleg_full),0))*VLOOKUP(B72,country_opex,3,FALSE))+W72+X72+Y72+Z72+AA72))&lt;=0,"",VLOOKUP(B72,country_opex,7,FALSE)/((T72*pax_cap*load_full*IF(ABS(MOD(ABS((L72*M72*revleg_full)),1)-0.5)&lt;1E-9,2*ROUND((L72*M72*revleg_full)/2,0),ROUND((L72*M72*revleg_full),0)))-(((battery/range_nm)*D72*IF(ABS(MOD(ABS((L72*M72*revleg_full)),1)-0.5)&lt;1E-9,2*ROUND((L72*M72*revleg_full)/2,0),ROUND((L72*M72*revleg_full),0))*VLOOKUP(B72,country_opex,3,FALSE))+W72+X72+Y72+Z72+AA72)))</f>
        <v/>
      </c>
      <c r="AY72" s="46" t="n"/>
      <c r="AZ72" s="46" t="n"/>
      <c r="BA72" s="34" t="n"/>
    </row>
    <row r="73">
      <c r="A73" s="31" t="inlineStr">
        <is>
          <t>Bolt Greece</t>
        </is>
      </c>
      <c r="B73" s="31" t="inlineStr">
        <is>
          <t>Greece</t>
        </is>
      </c>
      <c r="C73" s="32" t="inlineStr">
        <is>
          <t>Athens (Piraeus) → Poros (Saronic)</t>
        </is>
      </c>
      <c r="D73" s="33" t="n">
        <v>27</v>
      </c>
      <c r="E73" s="27" t="n">
        <v>18.4</v>
      </c>
      <c r="F73" s="34" t="inlineStr">
        <is>
          <t>T2</t>
        </is>
      </c>
      <c r="G73" s="34" t="inlineStr">
        <is>
          <t>med</t>
        </is>
      </c>
      <c r="H73" s="20" t="n">
        <v>1</v>
      </c>
      <c r="I73" s="35">
        <f>60*D73/cruise_kt</f>
        <v/>
      </c>
      <c r="J73" s="35">
        <f>IF(B73="South Korea",D73/korea_charge_range_nm*korea_full_range_charge_min,0)</f>
        <v/>
      </c>
      <c r="K73" s="35">
        <f>IF(B73="South Korea",I73+korea_turn_min+korea_dwell_min+J73,I73+turn_min+dwell_min)</f>
        <v/>
      </c>
      <c r="L73" s="36">
        <f>IF(B73="South Korea",FLOOR(60*korea_service_hr/K73,1),MIN(15,FLOOR(60*service_hr/K73,1)))</f>
        <v/>
      </c>
      <c r="M73" s="36">
        <f>IF(ABS(MOD(ABS((365*mech_uptime*H73)),1)-0.5)&lt;1E-9,2*ROUND((365*mech_uptime*H73)/2,0),ROUND((365*mech_uptime*H73),0))</f>
        <v/>
      </c>
      <c r="N73" s="37">
        <f>mech_uptime</f>
        <v/>
      </c>
      <c r="O73" s="37">
        <f>IF(AND(B73="South Korea",scenario="MID"),korea_mid_revleg,revleg_sel)</f>
        <v/>
      </c>
      <c r="P73" s="36">
        <f>IF(ABS(MOD(ABS((L73*M73*O73)),1)-0.5)&lt;1E-9,2*ROUND((L73*M73*O73)/2,0),ROUND((L73*M73*O73),0))</f>
        <v/>
      </c>
      <c r="Q73" s="37">
        <f>IF(AND(B73="South Korea",scenario="MID"),korea_mid_load,load_sel)</f>
        <v/>
      </c>
      <c r="R73" s="38">
        <f>pax_cap*Q73</f>
        <v/>
      </c>
      <c r="S73" s="36">
        <f>R73*P73</f>
        <v/>
      </c>
      <c r="T73" s="39">
        <f>E73*discount</f>
        <v/>
      </c>
      <c r="U73" s="40">
        <f>T73*S73</f>
        <v/>
      </c>
      <c r="V73" s="40">
        <f>(battery/range_nm)*D73*P73*VLOOKUP(B73,country_opex,3,FALSE)</f>
        <v/>
      </c>
      <c r="W73" s="40">
        <f>VLOOKUP(B73,country_opex,2,FALSE)*crew_factor</f>
        <v/>
      </c>
      <c r="X73" s="40">
        <f>VLOOKUP(B73,country_opex,5,FALSE)</f>
        <v/>
      </c>
      <c r="Y73" s="40">
        <f>maint</f>
        <v/>
      </c>
      <c r="Z73" s="40">
        <f>VLOOKUP(B73,country_opex,7,FALSE)*ins_pct</f>
        <v/>
      </c>
      <c r="AA73" s="40">
        <f>charge_berth</f>
        <v/>
      </c>
      <c r="AB73" s="40">
        <f>V73+W73+X73+Y73+Z73+AA73</f>
        <v/>
      </c>
      <c r="AC73" s="40">
        <f>VLOOKUP(B73,country_opex,7,FALSE)/dep_years</f>
        <v/>
      </c>
      <c r="AD73" s="40">
        <f>U73-AB73</f>
        <v/>
      </c>
      <c r="AE73" s="37">
        <f>IF(U73=0,"",AD73/U73)</f>
        <v/>
      </c>
      <c r="AF73" s="38">
        <f>IF(AD73&lt;=0,"",VLOOKUP(B73,country_opex,7,FALSE)/AD73)</f>
        <v/>
      </c>
      <c r="AG73" s="35">
        <f>((D73*P73/diesel_nmpg)*diesel_co2pg-(battery/range_nm)*D73*P73*VLOOKUP(B73,country_opex,4,FALSE))/1000</f>
        <v/>
      </c>
      <c r="AH73" s="33" t="n"/>
      <c r="AI73" s="34" t="n"/>
      <c r="AJ73" s="34" t="n"/>
      <c r="AK73" s="41" t="n">
        <v>0.1</v>
      </c>
      <c r="AL73" s="36">
        <f>IF(AH73="","",AH73*AK73)</f>
        <v/>
      </c>
      <c r="AM73" s="36">
        <f>IF(OR(AH73="",S73=0),"",MIN(IF(AU73="",9.9E+99,AU73),FLOOR(AL73/S73,1)))</f>
        <v/>
      </c>
      <c r="AN73" s="40">
        <f>IF(AM73="","",AM73*IF(ABS(MOD(ABS((U73)),1)-0.5)&lt;1E-9,2*ROUND((U73)/2,0),ROUND((U73),0)))</f>
        <v/>
      </c>
      <c r="AO73" s="38">
        <f>IF(OR(AH73="",S73=0),"",MIN(IF(AU73="",9.9E+99,AU73),AL73/S73))</f>
        <v/>
      </c>
      <c r="AP73" s="40">
        <f>IF(AO73="","",AO73*IF(B73="South Korea",IF(ABS(MOD(ABS((U73)),1)-0.5)&lt;1E-9,2*ROUND((U73)/2,0),ROUND((U73),0)),U73))</f>
        <v/>
      </c>
      <c r="AQ73" s="42" t="n"/>
      <c r="AR73" s="34" t="inlineStr">
        <is>
          <t>Estimated</t>
        </is>
      </c>
      <c r="AS73" s="43" t="n"/>
      <c r="AT73" s="43" t="n"/>
      <c r="AU73" s="44" t="n"/>
      <c r="AV73" s="45">
        <f>IF(((T73*pax_cap*load_thin*IF(ABS(MOD(ABS((L73*M73*revleg_thin)),1)-0.5)&lt;1E-9,2*ROUND((L73*M73*revleg_thin)/2,0),ROUND((L73*M73*revleg_thin),0)))-(((battery/range_nm)*D73*IF(ABS(MOD(ABS((L73*M73*revleg_thin)),1)-0.5)&lt;1E-9,2*ROUND((L73*M73*revleg_thin)/2,0),ROUND((L73*M73*revleg_thin),0))*VLOOKUP(B73,country_opex,3,FALSE))+W73+X73+Y73+Z73+AA73))&lt;=0,"",VLOOKUP(B73,country_opex,7,FALSE)/((T73*pax_cap*load_thin*IF(ABS(MOD(ABS((L73*M73*revleg_thin)),1)-0.5)&lt;1E-9,2*ROUND((L73*M73*revleg_thin)/2,0),ROUND((L73*M73*revleg_thin),0)))-(((battery/range_nm)*D73*IF(ABS(MOD(ABS((L73*M73*revleg_thin)),1)-0.5)&lt;1E-9,2*ROUND((L73*M73*revleg_thin)/2,0),ROUND((L73*M73*revleg_thin),0))*VLOOKUP(B73,country_opex,3,FALSE))+W73+X73+Y73+Z73+AA73)))</f>
        <v/>
      </c>
      <c r="AW73" s="45">
        <f>IF(((T73*pax_cap*IF(B73="South Korea",korea_mid_load,load_mid)*IF(ABS(MOD(ABS((L73*M73*IF(B73="South Korea",korea_mid_revleg,revleg_mid))),1)-0.5)&lt;1E-9,2*ROUND((L73*M73*IF(B73="South Korea",korea_mid_revleg,revleg_mid))/2,0),ROUND((L73*M73*IF(B73="South Korea",korea_mid_revleg,revleg_mid)),0)))-(((battery/range_nm)*D73*IF(ABS(MOD(ABS((L73*M73*IF(B73="South Korea",korea_mid_revleg,revleg_mid))),1)-0.5)&lt;1E-9,2*ROUND((L73*M73*IF(B73="South Korea",korea_mid_revleg,revleg_mid))/2,0),ROUND((L73*M73*IF(B73="South Korea",korea_mid_revleg,revleg_mid)),0))*VLOOKUP(B73,country_opex,3,FALSE))+W73+X73+Y73+Z73+AA73))&lt;=0,"",VLOOKUP(B73,country_opex,7,FALSE)/((T73*pax_cap*IF(B73="South Korea",korea_mid_load,load_mid)*IF(ABS(MOD(ABS((L73*M73*IF(B73="South Korea",korea_mid_revleg,revleg_mid))),1)-0.5)&lt;1E-9,2*ROUND((L73*M73*IF(B73="South Korea",korea_mid_revleg,revleg_mid))/2,0),ROUND((L73*M73*IF(B73="South Korea",korea_mid_revleg,revleg_mid)),0)))-(((battery/range_nm)*D73*IF(ABS(MOD(ABS((L73*M73*IF(B73="South Korea",korea_mid_revleg,revleg_mid))),1)-0.5)&lt;1E-9,2*ROUND((L73*M73*IF(B73="South Korea",korea_mid_revleg,revleg_mid))/2,0),ROUND((L73*M73*IF(B73="South Korea",korea_mid_revleg,revleg_mid)),0))*VLOOKUP(B73,country_opex,3,FALSE))+W73+X73+Y73+Z73+AA73)))</f>
        <v/>
      </c>
      <c r="AX73" s="45">
        <f>IF(((T73*pax_cap*load_full*IF(ABS(MOD(ABS((L73*M73*revleg_full)),1)-0.5)&lt;1E-9,2*ROUND((L73*M73*revleg_full)/2,0),ROUND((L73*M73*revleg_full),0)))-(((battery/range_nm)*D73*IF(ABS(MOD(ABS((L73*M73*revleg_full)),1)-0.5)&lt;1E-9,2*ROUND((L73*M73*revleg_full)/2,0),ROUND((L73*M73*revleg_full),0))*VLOOKUP(B73,country_opex,3,FALSE))+W73+X73+Y73+Z73+AA73))&lt;=0,"",VLOOKUP(B73,country_opex,7,FALSE)/((T73*pax_cap*load_full*IF(ABS(MOD(ABS((L73*M73*revleg_full)),1)-0.5)&lt;1E-9,2*ROUND((L73*M73*revleg_full)/2,0),ROUND((L73*M73*revleg_full),0)))-(((battery/range_nm)*D73*IF(ABS(MOD(ABS((L73*M73*revleg_full)),1)-0.5)&lt;1E-9,2*ROUND((L73*M73*revleg_full)/2,0),ROUND((L73*M73*revleg_full),0))*VLOOKUP(B73,country_opex,3,FALSE))+W73+X73+Y73+Z73+AA73)))</f>
        <v/>
      </c>
      <c r="AY73" s="46" t="inlineStr">
        <is>
          <t>PREMIUM scheduled per-seat = Hellenic Seaways fast craft Piraeus-&gt;Poros EUR 17.00 one-way (~$18.4).</t>
        </is>
      </c>
      <c r="AZ73" s="46" t="n"/>
      <c r="BA73" s="34" t="n"/>
    </row>
    <row r="74">
      <c r="A74" s="31" t="inlineStr">
        <is>
          <t>Bolt Greece</t>
        </is>
      </c>
      <c r="B74" s="31" t="inlineStr">
        <is>
          <t>Greece</t>
        </is>
      </c>
      <c r="C74" s="32" t="inlineStr">
        <is>
          <t>Mykonos → Naxos</t>
        </is>
      </c>
      <c r="D74" s="33" t="n">
        <v>28</v>
      </c>
      <c r="E74" s="27" t="n">
        <v>54</v>
      </c>
      <c r="F74" s="34" t="inlineStr">
        <is>
          <t>T2</t>
        </is>
      </c>
      <c r="G74" s="34" t="inlineStr">
        <is>
          <t>med</t>
        </is>
      </c>
      <c r="H74" s="20" t="n">
        <v>1</v>
      </c>
      <c r="I74" s="35">
        <f>60*D74/cruise_kt</f>
        <v/>
      </c>
      <c r="J74" s="35">
        <f>IF(B74="South Korea",D74/korea_charge_range_nm*korea_full_range_charge_min,0)</f>
        <v/>
      </c>
      <c r="K74" s="35">
        <f>IF(B74="South Korea",I74+korea_turn_min+korea_dwell_min+J74,I74+turn_min+dwell_min)</f>
        <v/>
      </c>
      <c r="L74" s="36">
        <f>IF(B74="South Korea",FLOOR(60*korea_service_hr/K74,1),MIN(15,FLOOR(60*service_hr/K74,1)))</f>
        <v/>
      </c>
      <c r="M74" s="36">
        <f>IF(ABS(MOD(ABS((365*mech_uptime*H74)),1)-0.5)&lt;1E-9,2*ROUND((365*mech_uptime*H74)/2,0),ROUND((365*mech_uptime*H74),0))</f>
        <v/>
      </c>
      <c r="N74" s="37">
        <f>mech_uptime</f>
        <v/>
      </c>
      <c r="O74" s="37">
        <f>IF(AND(B74="South Korea",scenario="MID"),korea_mid_revleg,revleg_sel)</f>
        <v/>
      </c>
      <c r="P74" s="36">
        <f>IF(ABS(MOD(ABS((L74*M74*O74)),1)-0.5)&lt;1E-9,2*ROUND((L74*M74*O74)/2,0),ROUND((L74*M74*O74),0))</f>
        <v/>
      </c>
      <c r="Q74" s="37">
        <f>IF(AND(B74="South Korea",scenario="MID"),korea_mid_load,load_sel)</f>
        <v/>
      </c>
      <c r="R74" s="38">
        <f>pax_cap*Q74</f>
        <v/>
      </c>
      <c r="S74" s="36">
        <f>R74*P74</f>
        <v/>
      </c>
      <c r="T74" s="39">
        <f>E74*discount</f>
        <v/>
      </c>
      <c r="U74" s="40">
        <f>T74*S74</f>
        <v/>
      </c>
      <c r="V74" s="40">
        <f>(battery/range_nm)*D74*P74*VLOOKUP(B74,country_opex,3,FALSE)</f>
        <v/>
      </c>
      <c r="W74" s="40">
        <f>VLOOKUP(B74,country_opex,2,FALSE)*crew_factor</f>
        <v/>
      </c>
      <c r="X74" s="40">
        <f>VLOOKUP(B74,country_opex,5,FALSE)</f>
        <v/>
      </c>
      <c r="Y74" s="40">
        <f>maint</f>
        <v/>
      </c>
      <c r="Z74" s="40">
        <f>VLOOKUP(B74,country_opex,7,FALSE)*ins_pct</f>
        <v/>
      </c>
      <c r="AA74" s="40">
        <f>charge_berth</f>
        <v/>
      </c>
      <c r="AB74" s="40">
        <f>V74+W74+X74+Y74+Z74+AA74</f>
        <v/>
      </c>
      <c r="AC74" s="40">
        <f>VLOOKUP(B74,country_opex,7,FALSE)/dep_years</f>
        <v/>
      </c>
      <c r="AD74" s="40">
        <f>U74-AB74</f>
        <v/>
      </c>
      <c r="AE74" s="37">
        <f>IF(U74=0,"",AD74/U74)</f>
        <v/>
      </c>
      <c r="AF74" s="38">
        <f>IF(AD74&lt;=0,"",VLOOKUP(B74,country_opex,7,FALSE)/AD74)</f>
        <v/>
      </c>
      <c r="AG74" s="35">
        <f>((D74*P74/diesel_nmpg)*diesel_co2pg-(battery/range_nm)*D74*P74*VLOOKUP(B74,country_opex,4,FALSE))/1000</f>
        <v/>
      </c>
      <c r="AH74" s="33" t="n"/>
      <c r="AI74" s="34" t="n"/>
      <c r="AJ74" s="34" t="n"/>
      <c r="AK74" s="41" t="n">
        <v>0.1</v>
      </c>
      <c r="AL74" s="36">
        <f>IF(AH74="","",AH74*AK74)</f>
        <v/>
      </c>
      <c r="AM74" s="36">
        <f>IF(OR(AH74="",S74=0),"",MIN(IF(AU74="",9.9E+99,AU74),FLOOR(AL74/S74,1)))</f>
        <v/>
      </c>
      <c r="AN74" s="40">
        <f>IF(AM74="","",AM74*IF(ABS(MOD(ABS((U74)),1)-0.5)&lt;1E-9,2*ROUND((U74)/2,0),ROUND((U74),0)))</f>
        <v/>
      </c>
      <c r="AO74" s="38">
        <f>IF(OR(AH74="",S74=0),"",MIN(IF(AU74="",9.9E+99,AU74),AL74/S74))</f>
        <v/>
      </c>
      <c r="AP74" s="40">
        <f>IF(AO74="","",AO74*IF(B74="South Korea",IF(ABS(MOD(ABS((U74)),1)-0.5)&lt;1E-9,2*ROUND((U74)/2,0),ROUND((U74),0)),U74))</f>
        <v/>
      </c>
      <c r="AQ74" s="42" t="n"/>
      <c r="AR74" s="34" t="inlineStr">
        <is>
          <t>Estimated</t>
        </is>
      </c>
      <c r="AS74" s="43" t="n"/>
      <c r="AT74" s="43" t="n"/>
      <c r="AU74" s="44" t="n"/>
      <c r="AV74" s="45">
        <f>IF(((T74*pax_cap*load_thin*IF(ABS(MOD(ABS((L74*M74*revleg_thin)),1)-0.5)&lt;1E-9,2*ROUND((L74*M74*revleg_thin)/2,0),ROUND((L74*M74*revleg_thin),0)))-(((battery/range_nm)*D74*IF(ABS(MOD(ABS((L74*M74*revleg_thin)),1)-0.5)&lt;1E-9,2*ROUND((L74*M74*revleg_thin)/2,0),ROUND((L74*M74*revleg_thin),0))*VLOOKUP(B74,country_opex,3,FALSE))+W74+X74+Y74+Z74+AA74))&lt;=0,"",VLOOKUP(B74,country_opex,7,FALSE)/((T74*pax_cap*load_thin*IF(ABS(MOD(ABS((L74*M74*revleg_thin)),1)-0.5)&lt;1E-9,2*ROUND((L74*M74*revleg_thin)/2,0),ROUND((L74*M74*revleg_thin),0)))-(((battery/range_nm)*D74*IF(ABS(MOD(ABS((L74*M74*revleg_thin)),1)-0.5)&lt;1E-9,2*ROUND((L74*M74*revleg_thin)/2,0),ROUND((L74*M74*revleg_thin),0))*VLOOKUP(B74,country_opex,3,FALSE))+W74+X74+Y74+Z74+AA74)))</f>
        <v/>
      </c>
      <c r="AW74" s="45">
        <f>IF(((T74*pax_cap*IF(B74="South Korea",korea_mid_load,load_mid)*IF(ABS(MOD(ABS((L74*M74*IF(B74="South Korea",korea_mid_revleg,revleg_mid))),1)-0.5)&lt;1E-9,2*ROUND((L74*M74*IF(B74="South Korea",korea_mid_revleg,revleg_mid))/2,0),ROUND((L74*M74*IF(B74="South Korea",korea_mid_revleg,revleg_mid)),0)))-(((battery/range_nm)*D74*IF(ABS(MOD(ABS((L74*M74*IF(B74="South Korea",korea_mid_revleg,revleg_mid))),1)-0.5)&lt;1E-9,2*ROUND((L74*M74*IF(B74="South Korea",korea_mid_revleg,revleg_mid))/2,0),ROUND((L74*M74*IF(B74="South Korea",korea_mid_revleg,revleg_mid)),0))*VLOOKUP(B74,country_opex,3,FALSE))+W74+X74+Y74+Z74+AA74))&lt;=0,"",VLOOKUP(B74,country_opex,7,FALSE)/((T74*pax_cap*IF(B74="South Korea",korea_mid_load,load_mid)*IF(ABS(MOD(ABS((L74*M74*IF(B74="South Korea",korea_mid_revleg,revleg_mid))),1)-0.5)&lt;1E-9,2*ROUND((L74*M74*IF(B74="South Korea",korea_mid_revleg,revleg_mid))/2,0),ROUND((L74*M74*IF(B74="South Korea",korea_mid_revleg,revleg_mid)),0)))-(((battery/range_nm)*D74*IF(ABS(MOD(ABS((L74*M74*IF(B74="South Korea",korea_mid_revleg,revleg_mid))),1)-0.5)&lt;1E-9,2*ROUND((L74*M74*IF(B74="South Korea",korea_mid_revleg,revleg_mid))/2,0),ROUND((L74*M74*IF(B74="South Korea",korea_mid_revleg,revleg_mid)),0))*VLOOKUP(B74,country_opex,3,FALSE))+W74+X74+Y74+Z74+AA74)))</f>
        <v/>
      </c>
      <c r="AX74" s="45">
        <f>IF(((T74*pax_cap*load_full*IF(ABS(MOD(ABS((L74*M74*revleg_full)),1)-0.5)&lt;1E-9,2*ROUND((L74*M74*revleg_full)/2,0),ROUND((L74*M74*revleg_full),0)))-(((battery/range_nm)*D74*IF(ABS(MOD(ABS((L74*M74*revleg_full)),1)-0.5)&lt;1E-9,2*ROUND((L74*M74*revleg_full)/2,0),ROUND((L74*M74*revleg_full),0))*VLOOKUP(B74,country_opex,3,FALSE))+W74+X74+Y74+Z74+AA74))&lt;=0,"",VLOOKUP(B74,country_opex,7,FALSE)/((T74*pax_cap*load_full*IF(ABS(MOD(ABS((L74*M74*revleg_full)),1)-0.5)&lt;1E-9,2*ROUND((L74*M74*revleg_full)/2,0),ROUND((L74*M74*revleg_full),0)))-(((battery/range_nm)*D74*IF(ABS(MOD(ABS((L74*M74*revleg_full)),1)-0.5)&lt;1E-9,2*ROUND((L74*M74*revleg_full)/2,0),ROUND((L74*M74*revleg_full),0))*VLOOKUP(B74,country_opex,3,FALSE))+W74+X74+Y74+Z74+AA74)))</f>
        <v/>
      </c>
      <c r="AY74" s="46" t="inlineStr">
        <is>
          <t>PREMIUM scheduled per-seat = Seajets/fast-ferry Mykonos-&gt;Naxos ~EUR 50 one-way (~$54), in line with the Mykonos-&gt;Paros tier (similar distance). Approximate.</t>
        </is>
      </c>
      <c r="AZ74" s="46" t="n"/>
      <c r="BA74" s="34" t="n"/>
    </row>
    <row r="75">
      <c r="A75" s="31" t="inlineStr">
        <is>
          <t>Bolt Greece</t>
        </is>
      </c>
      <c r="B75" s="31" t="inlineStr">
        <is>
          <t>Greece</t>
        </is>
      </c>
      <c r="C75" s="32" t="inlineStr">
        <is>
          <t>Athens → Hydra (Saronic)</t>
        </is>
      </c>
      <c r="D75" s="33" t="n">
        <v>30</v>
      </c>
      <c r="E75" s="27" t="n">
        <v>43.2</v>
      </c>
      <c r="F75" s="34" t="inlineStr">
        <is>
          <t>T2</t>
        </is>
      </c>
      <c r="G75" s="34" t="inlineStr">
        <is>
          <t>med</t>
        </is>
      </c>
      <c r="H75" s="20" t="n">
        <v>1</v>
      </c>
      <c r="I75" s="35">
        <f>60*D75/cruise_kt</f>
        <v/>
      </c>
      <c r="J75" s="35">
        <f>IF(B75="South Korea",D75/korea_charge_range_nm*korea_full_range_charge_min,0)</f>
        <v/>
      </c>
      <c r="K75" s="35">
        <f>IF(B75="South Korea",I75+korea_turn_min+korea_dwell_min+J75,I75+turn_min+dwell_min)</f>
        <v/>
      </c>
      <c r="L75" s="36">
        <f>IF(B75="South Korea",FLOOR(60*korea_service_hr/K75,1),MIN(15,FLOOR(60*service_hr/K75,1)))</f>
        <v/>
      </c>
      <c r="M75" s="36">
        <f>IF(ABS(MOD(ABS((365*mech_uptime*H75)),1)-0.5)&lt;1E-9,2*ROUND((365*mech_uptime*H75)/2,0),ROUND((365*mech_uptime*H75),0))</f>
        <v/>
      </c>
      <c r="N75" s="37">
        <f>mech_uptime</f>
        <v/>
      </c>
      <c r="O75" s="37">
        <f>IF(AND(B75="South Korea",scenario="MID"),korea_mid_revleg,revleg_sel)</f>
        <v/>
      </c>
      <c r="P75" s="36">
        <f>IF(ABS(MOD(ABS((L75*M75*O75)),1)-0.5)&lt;1E-9,2*ROUND((L75*M75*O75)/2,0),ROUND((L75*M75*O75),0))</f>
        <v/>
      </c>
      <c r="Q75" s="37">
        <f>IF(AND(B75="South Korea",scenario="MID"),korea_mid_load,load_sel)</f>
        <v/>
      </c>
      <c r="R75" s="38">
        <f>pax_cap*Q75</f>
        <v/>
      </c>
      <c r="S75" s="36">
        <f>R75*P75</f>
        <v/>
      </c>
      <c r="T75" s="39">
        <f>E75*discount</f>
        <v/>
      </c>
      <c r="U75" s="40">
        <f>T75*S75</f>
        <v/>
      </c>
      <c r="V75" s="40">
        <f>(battery/range_nm)*D75*P75*VLOOKUP(B75,country_opex,3,FALSE)</f>
        <v/>
      </c>
      <c r="W75" s="40">
        <f>VLOOKUP(B75,country_opex,2,FALSE)*crew_factor</f>
        <v/>
      </c>
      <c r="X75" s="40">
        <f>VLOOKUP(B75,country_opex,5,FALSE)</f>
        <v/>
      </c>
      <c r="Y75" s="40">
        <f>maint</f>
        <v/>
      </c>
      <c r="Z75" s="40">
        <f>VLOOKUP(B75,country_opex,7,FALSE)*ins_pct</f>
        <v/>
      </c>
      <c r="AA75" s="40">
        <f>charge_berth</f>
        <v/>
      </c>
      <c r="AB75" s="40">
        <f>V75+W75+X75+Y75+Z75+AA75</f>
        <v/>
      </c>
      <c r="AC75" s="40">
        <f>VLOOKUP(B75,country_opex,7,FALSE)/dep_years</f>
        <v/>
      </c>
      <c r="AD75" s="40">
        <f>U75-AB75</f>
        <v/>
      </c>
      <c r="AE75" s="37">
        <f>IF(U75=0,"",AD75/U75)</f>
        <v/>
      </c>
      <c r="AF75" s="38">
        <f>IF(AD75&lt;=0,"",VLOOKUP(B75,country_opex,7,FALSE)/AD75)</f>
        <v/>
      </c>
      <c r="AG75" s="35">
        <f>((D75*P75/diesel_nmpg)*diesel_co2pg-(battery/range_nm)*D75*P75*VLOOKUP(B75,country_opex,4,FALSE))/1000</f>
        <v/>
      </c>
      <c r="AH75" s="33" t="n"/>
      <c r="AI75" s="34" t="inlineStr">
        <is>
          <t>T5</t>
        </is>
      </c>
      <c r="AJ75" s="34" t="inlineStr">
        <is>
          <t>low</t>
        </is>
      </c>
      <c r="AK75" s="41" t="n">
        <v>0.1</v>
      </c>
      <c r="AL75" s="36">
        <f>IF(AH75="","",AH75*AK75)</f>
        <v/>
      </c>
      <c r="AM75" s="36">
        <f>IF(OR(AH75="",S75=0),"",MIN(IF(AU75="",9.9E+99,AU75),FLOOR(AL75/S75,1)))</f>
        <v/>
      </c>
      <c r="AN75" s="40">
        <f>IF(AM75="","",AM75*IF(ABS(MOD(ABS((U75)),1)-0.5)&lt;1E-9,2*ROUND((U75)/2,0),ROUND((U75),0)))</f>
        <v/>
      </c>
      <c r="AO75" s="38">
        <f>IF(OR(AH75="",S75=0),"",MIN(IF(AU75="",9.9E+99,AU75),AL75/S75))</f>
        <v/>
      </c>
      <c r="AP75" s="40">
        <f>IF(AO75="","",AO75*IF(B75="South Korea",IF(ABS(MOD(ABS((U75)),1)-0.5)&lt;1E-9,2*ROUND((U75)/2,0),ROUND((U75),0)),U75))</f>
        <v/>
      </c>
      <c r="AQ75" s="42" t="n"/>
      <c r="AR75" s="34" t="inlineStr">
        <is>
          <t>Estimated</t>
        </is>
      </c>
      <c r="AS75" s="43" t="n"/>
      <c r="AT75" s="43" t="n"/>
      <c r="AU75" s="44" t="n"/>
      <c r="AV75" s="45">
        <f>IF(((T75*pax_cap*load_thin*IF(ABS(MOD(ABS((L75*M75*revleg_thin)),1)-0.5)&lt;1E-9,2*ROUND((L75*M75*revleg_thin)/2,0),ROUND((L75*M75*revleg_thin),0)))-(((battery/range_nm)*D75*IF(ABS(MOD(ABS((L75*M75*revleg_thin)),1)-0.5)&lt;1E-9,2*ROUND((L75*M75*revleg_thin)/2,0),ROUND((L75*M75*revleg_thin),0))*VLOOKUP(B75,country_opex,3,FALSE))+W75+X75+Y75+Z75+AA75))&lt;=0,"",VLOOKUP(B75,country_opex,7,FALSE)/((T75*pax_cap*load_thin*IF(ABS(MOD(ABS((L75*M75*revleg_thin)),1)-0.5)&lt;1E-9,2*ROUND((L75*M75*revleg_thin)/2,0),ROUND((L75*M75*revleg_thin),0)))-(((battery/range_nm)*D75*IF(ABS(MOD(ABS((L75*M75*revleg_thin)),1)-0.5)&lt;1E-9,2*ROUND((L75*M75*revleg_thin)/2,0),ROUND((L75*M75*revleg_thin),0))*VLOOKUP(B75,country_opex,3,FALSE))+W75+X75+Y75+Z75+AA75)))</f>
        <v/>
      </c>
      <c r="AW75" s="45">
        <f>IF(((T75*pax_cap*IF(B75="South Korea",korea_mid_load,load_mid)*IF(ABS(MOD(ABS((L75*M75*IF(B75="South Korea",korea_mid_revleg,revleg_mid))),1)-0.5)&lt;1E-9,2*ROUND((L75*M75*IF(B75="South Korea",korea_mid_revleg,revleg_mid))/2,0),ROUND((L75*M75*IF(B75="South Korea",korea_mid_revleg,revleg_mid)),0)))-(((battery/range_nm)*D75*IF(ABS(MOD(ABS((L75*M75*IF(B75="South Korea",korea_mid_revleg,revleg_mid))),1)-0.5)&lt;1E-9,2*ROUND((L75*M75*IF(B75="South Korea",korea_mid_revleg,revleg_mid))/2,0),ROUND((L75*M75*IF(B75="South Korea",korea_mid_revleg,revleg_mid)),0))*VLOOKUP(B75,country_opex,3,FALSE))+W75+X75+Y75+Z75+AA75))&lt;=0,"",VLOOKUP(B75,country_opex,7,FALSE)/((T75*pax_cap*IF(B75="South Korea",korea_mid_load,load_mid)*IF(ABS(MOD(ABS((L75*M75*IF(B75="South Korea",korea_mid_revleg,revleg_mid))),1)-0.5)&lt;1E-9,2*ROUND((L75*M75*IF(B75="South Korea",korea_mid_revleg,revleg_mid))/2,0),ROUND((L75*M75*IF(B75="South Korea",korea_mid_revleg,revleg_mid)),0)))-(((battery/range_nm)*D75*IF(ABS(MOD(ABS((L75*M75*IF(B75="South Korea",korea_mid_revleg,revleg_mid))),1)-0.5)&lt;1E-9,2*ROUND((L75*M75*IF(B75="South Korea",korea_mid_revleg,revleg_mid))/2,0),ROUND((L75*M75*IF(B75="South Korea",korea_mid_revleg,revleg_mid)),0))*VLOOKUP(B75,country_opex,3,FALSE))+W75+X75+Y75+Z75+AA75)))</f>
        <v/>
      </c>
      <c r="AX75" s="45">
        <f>IF(((T75*pax_cap*load_full*IF(ABS(MOD(ABS((L75*M75*revleg_full)),1)-0.5)&lt;1E-9,2*ROUND((L75*M75*revleg_full)/2,0),ROUND((L75*M75*revleg_full),0)))-(((battery/range_nm)*D75*IF(ABS(MOD(ABS((L75*M75*revleg_full)),1)-0.5)&lt;1E-9,2*ROUND((L75*M75*revleg_full)/2,0),ROUND((L75*M75*revleg_full),0))*VLOOKUP(B75,country_opex,3,FALSE))+W75+X75+Y75+Z75+AA75))&lt;=0,"",VLOOKUP(B75,country_opex,7,FALSE)/((T75*pax_cap*load_full*IF(ABS(MOD(ABS((L75*M75*revleg_full)),1)-0.5)&lt;1E-9,2*ROUND((L75*M75*revleg_full)/2,0),ROUND((L75*M75*revleg_full),0)))-(((battery/range_nm)*D75*IF(ABS(MOD(ABS((L75*M75*revleg_full)),1)-0.5)&lt;1E-9,2*ROUND((L75*M75*revleg_full)/2,0),ROUND((L75*M75*revleg_full),0))*VLOOKUP(B75,country_opex,3,FALSE))+W75+X75+Y75+Z75+AA75)))</f>
        <v/>
      </c>
      <c r="AY75" s="46" t="inlineStr">
        <is>
          <t>PREMIUM scheduled per-seat = Hellenic Seaways high-speed catamaran (Flying Cat) Piraeus-&gt;Hydra EUR 40 each way (~$43.2). Hydra has NO slow car-ferry (no cars), so the fast-ferry ticket IS the premium scheduled tier and the correct Navier modeling fare.</t>
        </is>
      </c>
      <c r="AZ75" s="46" t="inlineStr"/>
      <c r="BA75" s="34" t="n"/>
    </row>
    <row r="76">
      <c r="A76" s="31" t="inlineStr">
        <is>
          <t>Bolt Greece</t>
        </is>
      </c>
      <c r="B76" s="31" t="inlineStr">
        <is>
          <t>Greece</t>
        </is>
      </c>
      <c r="C76" s="32" t="inlineStr">
        <is>
          <t>Athens (Piraeus) → Spetses (Saronic)</t>
        </is>
      </c>
      <c r="D76" s="33" t="n">
        <v>50</v>
      </c>
      <c r="E76" s="27" t="n">
        <v>37.8</v>
      </c>
      <c r="F76" s="34" t="inlineStr">
        <is>
          <t>T2</t>
        </is>
      </c>
      <c r="G76" s="34" t="inlineStr">
        <is>
          <t>med</t>
        </is>
      </c>
      <c r="H76" s="20" t="n">
        <v>1</v>
      </c>
      <c r="I76" s="35">
        <f>60*D76/cruise_kt</f>
        <v/>
      </c>
      <c r="J76" s="35">
        <f>IF(B76="South Korea",D76/korea_charge_range_nm*korea_full_range_charge_min,0)</f>
        <v/>
      </c>
      <c r="K76" s="35">
        <f>IF(B76="South Korea",I76+korea_turn_min+korea_dwell_min+J76,I76+turn_min+dwell_min)</f>
        <v/>
      </c>
      <c r="L76" s="36">
        <f>IF(B76="South Korea",FLOOR(60*korea_service_hr/K76,1),MIN(15,FLOOR(60*service_hr/K76,1)))</f>
        <v/>
      </c>
      <c r="M76" s="36">
        <f>IF(ABS(MOD(ABS((365*mech_uptime*H76)),1)-0.5)&lt;1E-9,2*ROUND((365*mech_uptime*H76)/2,0),ROUND((365*mech_uptime*H76),0))</f>
        <v/>
      </c>
      <c r="N76" s="37">
        <f>mech_uptime</f>
        <v/>
      </c>
      <c r="O76" s="37">
        <f>IF(AND(B76="South Korea",scenario="MID"),korea_mid_revleg,revleg_sel)</f>
        <v/>
      </c>
      <c r="P76" s="36">
        <f>IF(ABS(MOD(ABS((L76*M76*O76)),1)-0.5)&lt;1E-9,2*ROUND((L76*M76*O76)/2,0),ROUND((L76*M76*O76),0))</f>
        <v/>
      </c>
      <c r="Q76" s="37">
        <f>IF(AND(B76="South Korea",scenario="MID"),korea_mid_load,load_sel)</f>
        <v/>
      </c>
      <c r="R76" s="38">
        <f>pax_cap*Q76</f>
        <v/>
      </c>
      <c r="S76" s="36">
        <f>R76*P76</f>
        <v/>
      </c>
      <c r="T76" s="39">
        <f>E76*discount</f>
        <v/>
      </c>
      <c r="U76" s="40">
        <f>T76*S76</f>
        <v/>
      </c>
      <c r="V76" s="40">
        <f>(battery/range_nm)*D76*P76*VLOOKUP(B76,country_opex,3,FALSE)</f>
        <v/>
      </c>
      <c r="W76" s="40">
        <f>VLOOKUP(B76,country_opex,2,FALSE)*crew_factor</f>
        <v/>
      </c>
      <c r="X76" s="40">
        <f>VLOOKUP(B76,country_opex,5,FALSE)</f>
        <v/>
      </c>
      <c r="Y76" s="40">
        <f>maint</f>
        <v/>
      </c>
      <c r="Z76" s="40">
        <f>VLOOKUP(B76,country_opex,7,FALSE)*ins_pct</f>
        <v/>
      </c>
      <c r="AA76" s="40">
        <f>charge_berth</f>
        <v/>
      </c>
      <c r="AB76" s="40">
        <f>V76+W76+X76+Y76+Z76+AA76</f>
        <v/>
      </c>
      <c r="AC76" s="40">
        <f>VLOOKUP(B76,country_opex,7,FALSE)/dep_years</f>
        <v/>
      </c>
      <c r="AD76" s="40">
        <f>U76-AB76</f>
        <v/>
      </c>
      <c r="AE76" s="37">
        <f>IF(U76=0,"",AD76/U76)</f>
        <v/>
      </c>
      <c r="AF76" s="38">
        <f>IF(AD76&lt;=0,"",VLOOKUP(B76,country_opex,7,FALSE)/AD76)</f>
        <v/>
      </c>
      <c r="AG76" s="35">
        <f>((D76*P76/diesel_nmpg)*diesel_co2pg-(battery/range_nm)*D76*P76*VLOOKUP(B76,country_opex,4,FALSE))/1000</f>
        <v/>
      </c>
      <c r="AH76" s="33" t="n"/>
      <c r="AI76" s="34" t="n"/>
      <c r="AJ76" s="34" t="n"/>
      <c r="AK76" s="41" t="n">
        <v>0.1</v>
      </c>
      <c r="AL76" s="36">
        <f>IF(AH76="","",AH76*AK76)</f>
        <v/>
      </c>
      <c r="AM76" s="36">
        <f>IF(OR(AH76="",S76=0),"",MIN(IF(AU76="",9.9E+99,AU76),FLOOR(AL76/S76,1)))</f>
        <v/>
      </c>
      <c r="AN76" s="40">
        <f>IF(AM76="","",AM76*IF(ABS(MOD(ABS((U76)),1)-0.5)&lt;1E-9,2*ROUND((U76)/2,0),ROUND((U76),0)))</f>
        <v/>
      </c>
      <c r="AO76" s="38">
        <f>IF(OR(AH76="",S76=0),"",MIN(IF(AU76="",9.9E+99,AU76),AL76/S76))</f>
        <v/>
      </c>
      <c r="AP76" s="40">
        <f>IF(AO76="","",AO76*IF(B76="South Korea",IF(ABS(MOD(ABS((U76)),1)-0.5)&lt;1E-9,2*ROUND((U76)/2,0),ROUND((U76),0)),U76))</f>
        <v/>
      </c>
      <c r="AQ76" s="42" t="n"/>
      <c r="AR76" s="34" t="inlineStr">
        <is>
          <t>Estimated</t>
        </is>
      </c>
      <c r="AS76" s="43" t="n"/>
      <c r="AT76" s="43" t="n"/>
      <c r="AU76" s="44" t="n"/>
      <c r="AV76" s="45">
        <f>IF(((T76*pax_cap*load_thin*IF(ABS(MOD(ABS((L76*M76*revleg_thin)),1)-0.5)&lt;1E-9,2*ROUND((L76*M76*revleg_thin)/2,0),ROUND((L76*M76*revleg_thin),0)))-(((battery/range_nm)*D76*IF(ABS(MOD(ABS((L76*M76*revleg_thin)),1)-0.5)&lt;1E-9,2*ROUND((L76*M76*revleg_thin)/2,0),ROUND((L76*M76*revleg_thin),0))*VLOOKUP(B76,country_opex,3,FALSE))+W76+X76+Y76+Z76+AA76))&lt;=0,"",VLOOKUP(B76,country_opex,7,FALSE)/((T76*pax_cap*load_thin*IF(ABS(MOD(ABS((L76*M76*revleg_thin)),1)-0.5)&lt;1E-9,2*ROUND((L76*M76*revleg_thin)/2,0),ROUND((L76*M76*revleg_thin),0)))-(((battery/range_nm)*D76*IF(ABS(MOD(ABS((L76*M76*revleg_thin)),1)-0.5)&lt;1E-9,2*ROUND((L76*M76*revleg_thin)/2,0),ROUND((L76*M76*revleg_thin),0))*VLOOKUP(B76,country_opex,3,FALSE))+W76+X76+Y76+Z76+AA76)))</f>
        <v/>
      </c>
      <c r="AW76" s="45">
        <f>IF(((T76*pax_cap*IF(B76="South Korea",korea_mid_load,load_mid)*IF(ABS(MOD(ABS((L76*M76*IF(B76="South Korea",korea_mid_revleg,revleg_mid))),1)-0.5)&lt;1E-9,2*ROUND((L76*M76*IF(B76="South Korea",korea_mid_revleg,revleg_mid))/2,0),ROUND((L76*M76*IF(B76="South Korea",korea_mid_revleg,revleg_mid)),0)))-(((battery/range_nm)*D76*IF(ABS(MOD(ABS((L76*M76*IF(B76="South Korea",korea_mid_revleg,revleg_mid))),1)-0.5)&lt;1E-9,2*ROUND((L76*M76*IF(B76="South Korea",korea_mid_revleg,revleg_mid))/2,0),ROUND((L76*M76*IF(B76="South Korea",korea_mid_revleg,revleg_mid)),0))*VLOOKUP(B76,country_opex,3,FALSE))+W76+X76+Y76+Z76+AA76))&lt;=0,"",VLOOKUP(B76,country_opex,7,FALSE)/((T76*pax_cap*IF(B76="South Korea",korea_mid_load,load_mid)*IF(ABS(MOD(ABS((L76*M76*IF(B76="South Korea",korea_mid_revleg,revleg_mid))),1)-0.5)&lt;1E-9,2*ROUND((L76*M76*IF(B76="South Korea",korea_mid_revleg,revleg_mid))/2,0),ROUND((L76*M76*IF(B76="South Korea",korea_mid_revleg,revleg_mid)),0)))-(((battery/range_nm)*D76*IF(ABS(MOD(ABS((L76*M76*IF(B76="South Korea",korea_mid_revleg,revleg_mid))),1)-0.5)&lt;1E-9,2*ROUND((L76*M76*IF(B76="South Korea",korea_mid_revleg,revleg_mid))/2,0),ROUND((L76*M76*IF(B76="South Korea",korea_mid_revleg,revleg_mid)),0))*VLOOKUP(B76,country_opex,3,FALSE))+W76+X76+Y76+Z76+AA76)))</f>
        <v/>
      </c>
      <c r="AX76" s="45">
        <f>IF(((T76*pax_cap*load_full*IF(ABS(MOD(ABS((L76*M76*revleg_full)),1)-0.5)&lt;1E-9,2*ROUND((L76*M76*revleg_full)/2,0),ROUND((L76*M76*revleg_full),0)))-(((battery/range_nm)*D76*IF(ABS(MOD(ABS((L76*M76*revleg_full)),1)-0.5)&lt;1E-9,2*ROUND((L76*M76*revleg_full)/2,0),ROUND((L76*M76*revleg_full),0))*VLOOKUP(B76,country_opex,3,FALSE))+W76+X76+Y76+Z76+AA76))&lt;=0,"",VLOOKUP(B76,country_opex,7,FALSE)/((T76*pax_cap*load_full*IF(ABS(MOD(ABS((L76*M76*revleg_full)),1)-0.5)&lt;1E-9,2*ROUND((L76*M76*revleg_full)/2,0),ROUND((L76*M76*revleg_full),0)))-(((battery/range_nm)*D76*IF(ABS(MOD(ABS((L76*M76*revleg_full)),1)-0.5)&lt;1E-9,2*ROUND((L76*M76*revleg_full)/2,0),ROUND((L76*M76*revleg_full),0))*VLOOKUP(B76,country_opex,3,FALSE))+W76+X76+Y76+Z76+AA76)))</f>
        <v/>
      </c>
      <c r="AY76" s="46" t="inlineStr">
        <is>
          <t>PREMIUM scheduled per-seat = Hellenic Seaways Flying Cat Piraeus-&gt;Spetses ~EUR 35 one-way (~$37.8); Spetses sits beyond Hydra (EUR 40) on the same Flying Cat line, so this is an approximate lower bound. Labeled approximate.</t>
        </is>
      </c>
      <c r="AZ76" s="46" t="n"/>
      <c r="BA76" s="34" t="n"/>
    </row>
    <row r="77">
      <c r="A77" s="31" t="inlineStr">
        <is>
          <t>Bolt Greece</t>
        </is>
      </c>
      <c r="B77" s="31" t="inlineStr">
        <is>
          <t>Greece</t>
        </is>
      </c>
      <c r="C77" s="32" t="inlineStr">
        <is>
          <t>Naxos → Santorini (Thira)</t>
        </is>
      </c>
      <c r="D77" s="33" t="n">
        <v>50</v>
      </c>
      <c r="E77" s="27" t="n">
        <v>54</v>
      </c>
      <c r="F77" s="34" t="inlineStr">
        <is>
          <t>T2</t>
        </is>
      </c>
      <c r="G77" s="34" t="inlineStr">
        <is>
          <t>med</t>
        </is>
      </c>
      <c r="H77" s="20" t="n">
        <v>1</v>
      </c>
      <c r="I77" s="35">
        <f>60*D77/cruise_kt</f>
        <v/>
      </c>
      <c r="J77" s="35">
        <f>IF(B77="South Korea",D77/korea_charge_range_nm*korea_full_range_charge_min,0)</f>
        <v/>
      </c>
      <c r="K77" s="35">
        <f>IF(B77="South Korea",I77+korea_turn_min+korea_dwell_min+J77,I77+turn_min+dwell_min)</f>
        <v/>
      </c>
      <c r="L77" s="36">
        <f>IF(B77="South Korea",FLOOR(60*korea_service_hr/K77,1),MIN(15,FLOOR(60*service_hr/K77,1)))</f>
        <v/>
      </c>
      <c r="M77" s="36">
        <f>IF(ABS(MOD(ABS((365*mech_uptime*H77)),1)-0.5)&lt;1E-9,2*ROUND((365*mech_uptime*H77)/2,0),ROUND((365*mech_uptime*H77),0))</f>
        <v/>
      </c>
      <c r="N77" s="37">
        <f>mech_uptime</f>
        <v/>
      </c>
      <c r="O77" s="37">
        <f>IF(AND(B77="South Korea",scenario="MID"),korea_mid_revleg,revleg_sel)</f>
        <v/>
      </c>
      <c r="P77" s="36">
        <f>IF(ABS(MOD(ABS((L77*M77*O77)),1)-0.5)&lt;1E-9,2*ROUND((L77*M77*O77)/2,0),ROUND((L77*M77*O77),0))</f>
        <v/>
      </c>
      <c r="Q77" s="37">
        <f>IF(AND(B77="South Korea",scenario="MID"),korea_mid_load,load_sel)</f>
        <v/>
      </c>
      <c r="R77" s="38">
        <f>pax_cap*Q77</f>
        <v/>
      </c>
      <c r="S77" s="36">
        <f>R77*P77</f>
        <v/>
      </c>
      <c r="T77" s="39">
        <f>E77*discount</f>
        <v/>
      </c>
      <c r="U77" s="40">
        <f>T77*S77</f>
        <v/>
      </c>
      <c r="V77" s="40">
        <f>(battery/range_nm)*D77*P77*VLOOKUP(B77,country_opex,3,FALSE)</f>
        <v/>
      </c>
      <c r="W77" s="40">
        <f>VLOOKUP(B77,country_opex,2,FALSE)*crew_factor</f>
        <v/>
      </c>
      <c r="X77" s="40">
        <f>VLOOKUP(B77,country_opex,5,FALSE)</f>
        <v/>
      </c>
      <c r="Y77" s="40">
        <f>maint</f>
        <v/>
      </c>
      <c r="Z77" s="40">
        <f>VLOOKUP(B77,country_opex,7,FALSE)*ins_pct</f>
        <v/>
      </c>
      <c r="AA77" s="40">
        <f>charge_berth</f>
        <v/>
      </c>
      <c r="AB77" s="40">
        <f>V77+W77+X77+Y77+Z77+AA77</f>
        <v/>
      </c>
      <c r="AC77" s="40">
        <f>VLOOKUP(B77,country_opex,7,FALSE)/dep_years</f>
        <v/>
      </c>
      <c r="AD77" s="40">
        <f>U77-AB77</f>
        <v/>
      </c>
      <c r="AE77" s="37">
        <f>IF(U77=0,"",AD77/U77)</f>
        <v/>
      </c>
      <c r="AF77" s="38">
        <f>IF(AD77&lt;=0,"",VLOOKUP(B77,country_opex,7,FALSE)/AD77)</f>
        <v/>
      </c>
      <c r="AG77" s="35">
        <f>((D77*P77/diesel_nmpg)*diesel_co2pg-(battery/range_nm)*D77*P77*VLOOKUP(B77,country_opex,4,FALSE))/1000</f>
        <v/>
      </c>
      <c r="AH77" s="33" t="n"/>
      <c r="AI77" s="34" t="n"/>
      <c r="AJ77" s="34" t="n"/>
      <c r="AK77" s="41" t="n">
        <v>0.1</v>
      </c>
      <c r="AL77" s="36">
        <f>IF(AH77="","",AH77*AK77)</f>
        <v/>
      </c>
      <c r="AM77" s="36">
        <f>IF(OR(AH77="",S77=0),"",MIN(IF(AU77="",9.9E+99,AU77),FLOOR(AL77/S77,1)))</f>
        <v/>
      </c>
      <c r="AN77" s="40">
        <f>IF(AM77="","",AM77*IF(ABS(MOD(ABS((U77)),1)-0.5)&lt;1E-9,2*ROUND((U77)/2,0),ROUND((U77),0)))</f>
        <v/>
      </c>
      <c r="AO77" s="38">
        <f>IF(OR(AH77="",S77=0),"",MIN(IF(AU77="",9.9E+99,AU77),AL77/S77))</f>
        <v/>
      </c>
      <c r="AP77" s="40">
        <f>IF(AO77="","",AO77*IF(B77="South Korea",IF(ABS(MOD(ABS((U77)),1)-0.5)&lt;1E-9,2*ROUND((U77)/2,0),ROUND((U77),0)),U77))</f>
        <v/>
      </c>
      <c r="AQ77" s="42" t="n"/>
      <c r="AR77" s="34" t="inlineStr">
        <is>
          <t>Estimated</t>
        </is>
      </c>
      <c r="AS77" s="43" t="n"/>
      <c r="AT77" s="43" t="n"/>
      <c r="AU77" s="44" t="n"/>
      <c r="AV77" s="45">
        <f>IF(((T77*pax_cap*load_thin*IF(ABS(MOD(ABS((L77*M77*revleg_thin)),1)-0.5)&lt;1E-9,2*ROUND((L77*M77*revleg_thin)/2,0),ROUND((L77*M77*revleg_thin),0)))-(((battery/range_nm)*D77*IF(ABS(MOD(ABS((L77*M77*revleg_thin)),1)-0.5)&lt;1E-9,2*ROUND((L77*M77*revleg_thin)/2,0),ROUND((L77*M77*revleg_thin),0))*VLOOKUP(B77,country_opex,3,FALSE))+W77+X77+Y77+Z77+AA77))&lt;=0,"",VLOOKUP(B77,country_opex,7,FALSE)/((T77*pax_cap*load_thin*IF(ABS(MOD(ABS((L77*M77*revleg_thin)),1)-0.5)&lt;1E-9,2*ROUND((L77*M77*revleg_thin)/2,0),ROUND((L77*M77*revleg_thin),0)))-(((battery/range_nm)*D77*IF(ABS(MOD(ABS((L77*M77*revleg_thin)),1)-0.5)&lt;1E-9,2*ROUND((L77*M77*revleg_thin)/2,0),ROUND((L77*M77*revleg_thin),0))*VLOOKUP(B77,country_opex,3,FALSE))+W77+X77+Y77+Z77+AA77)))</f>
        <v/>
      </c>
      <c r="AW77" s="45">
        <f>IF(((T77*pax_cap*IF(B77="South Korea",korea_mid_load,load_mid)*IF(ABS(MOD(ABS((L77*M77*IF(B77="South Korea",korea_mid_revleg,revleg_mid))),1)-0.5)&lt;1E-9,2*ROUND((L77*M77*IF(B77="South Korea",korea_mid_revleg,revleg_mid))/2,0),ROUND((L77*M77*IF(B77="South Korea",korea_mid_revleg,revleg_mid)),0)))-(((battery/range_nm)*D77*IF(ABS(MOD(ABS((L77*M77*IF(B77="South Korea",korea_mid_revleg,revleg_mid))),1)-0.5)&lt;1E-9,2*ROUND((L77*M77*IF(B77="South Korea",korea_mid_revleg,revleg_mid))/2,0),ROUND((L77*M77*IF(B77="South Korea",korea_mid_revleg,revleg_mid)),0))*VLOOKUP(B77,country_opex,3,FALSE))+W77+X77+Y77+Z77+AA77))&lt;=0,"",VLOOKUP(B77,country_opex,7,FALSE)/((T77*pax_cap*IF(B77="South Korea",korea_mid_load,load_mid)*IF(ABS(MOD(ABS((L77*M77*IF(B77="South Korea",korea_mid_revleg,revleg_mid))),1)-0.5)&lt;1E-9,2*ROUND((L77*M77*IF(B77="South Korea",korea_mid_revleg,revleg_mid))/2,0),ROUND((L77*M77*IF(B77="South Korea",korea_mid_revleg,revleg_mid)),0)))-(((battery/range_nm)*D77*IF(ABS(MOD(ABS((L77*M77*IF(B77="South Korea",korea_mid_revleg,revleg_mid))),1)-0.5)&lt;1E-9,2*ROUND((L77*M77*IF(B77="South Korea",korea_mid_revleg,revleg_mid))/2,0),ROUND((L77*M77*IF(B77="South Korea",korea_mid_revleg,revleg_mid)),0))*VLOOKUP(B77,country_opex,3,FALSE))+W77+X77+Y77+Z77+AA77)))</f>
        <v/>
      </c>
      <c r="AX77" s="45">
        <f>IF(((T77*pax_cap*load_full*IF(ABS(MOD(ABS((L77*M77*revleg_full)),1)-0.5)&lt;1E-9,2*ROUND((L77*M77*revleg_full)/2,0),ROUND((L77*M77*revleg_full),0)))-(((battery/range_nm)*D77*IF(ABS(MOD(ABS((L77*M77*revleg_full)),1)-0.5)&lt;1E-9,2*ROUND((L77*M77*revleg_full)/2,0),ROUND((L77*M77*revleg_full),0))*VLOOKUP(B77,country_opex,3,FALSE))+W77+X77+Y77+Z77+AA77))&lt;=0,"",VLOOKUP(B77,country_opex,7,FALSE)/((T77*pax_cap*load_full*IF(ABS(MOD(ABS((L77*M77*revleg_full)),1)-0.5)&lt;1E-9,2*ROUND((L77*M77*revleg_full)/2,0),ROUND((L77*M77*revleg_full),0)))-(((battery/range_nm)*D77*IF(ABS(MOD(ABS((L77*M77*revleg_full)),1)-0.5)&lt;1E-9,2*ROUND((L77*M77*revleg_full)/2,0),ROUND((L77*M77*revleg_full),0))*VLOOKUP(B77,country_opex,3,FALSE))+W77+X77+Y77+Z77+AA77)))</f>
        <v/>
      </c>
      <c r="AY77" s="46" t="inlineStr">
        <is>
          <t>PREMIUM scheduled per-seat = fast-ferry Naxos-&gt;Santorini ~EUR 50 one-way (~$54); standard fast-ferry tier on the central-to-southern Cyclades leg. Approximate.</t>
        </is>
      </c>
      <c r="AZ77" s="46" t="n"/>
      <c r="BA77" s="34" t="n"/>
    </row>
    <row r="78">
      <c r="A78" s="31" t="inlineStr">
        <is>
          <t>Bolt Ireland</t>
        </is>
      </c>
      <c r="B78" s="31" t="inlineStr">
        <is>
          <t>Ireland</t>
        </is>
      </c>
      <c r="C78" s="32" t="inlineStr">
        <is>
          <t>Dalkey → Dalkey Island</t>
        </is>
      </c>
      <c r="D78" s="33" t="n">
        <v>0.3</v>
      </c>
      <c r="E78" s="27" t="n">
        <v>10.8</v>
      </c>
      <c r="F78" s="34" t="inlineStr">
        <is>
          <t>T2</t>
        </is>
      </c>
      <c r="G78" s="34" t="inlineStr">
        <is>
          <t>med</t>
        </is>
      </c>
      <c r="H78" s="20" t="n">
        <v>1</v>
      </c>
      <c r="I78" s="35">
        <f>60*D78/cruise_kt</f>
        <v/>
      </c>
      <c r="J78" s="35">
        <f>IF(B78="South Korea",D78/korea_charge_range_nm*korea_full_range_charge_min,0)</f>
        <v/>
      </c>
      <c r="K78" s="35">
        <f>IF(B78="South Korea",I78+korea_turn_min+korea_dwell_min+J78,I78+turn_min+dwell_min)</f>
        <v/>
      </c>
      <c r="L78" s="36">
        <f>IF(B78="South Korea",FLOOR(60*korea_service_hr/K78,1),MIN(15,FLOOR(60*service_hr/K78,1)))</f>
        <v/>
      </c>
      <c r="M78" s="36">
        <f>IF(ABS(MOD(ABS((365*mech_uptime*H78)),1)-0.5)&lt;1E-9,2*ROUND((365*mech_uptime*H78)/2,0),ROUND((365*mech_uptime*H78),0))</f>
        <v/>
      </c>
      <c r="N78" s="37">
        <f>mech_uptime</f>
        <v/>
      </c>
      <c r="O78" s="37">
        <f>IF(AND(B78="South Korea",scenario="MID"),korea_mid_revleg,revleg_sel)</f>
        <v/>
      </c>
      <c r="P78" s="36">
        <f>IF(ABS(MOD(ABS((L78*M78*O78)),1)-0.5)&lt;1E-9,2*ROUND((L78*M78*O78)/2,0),ROUND((L78*M78*O78),0))</f>
        <v/>
      </c>
      <c r="Q78" s="37">
        <f>IF(AND(B78="South Korea",scenario="MID"),korea_mid_load,load_sel)</f>
        <v/>
      </c>
      <c r="R78" s="38">
        <f>pax_cap*Q78</f>
        <v/>
      </c>
      <c r="S78" s="36">
        <f>R78*P78</f>
        <v/>
      </c>
      <c r="T78" s="39">
        <f>E78*discount</f>
        <v/>
      </c>
      <c r="U78" s="40">
        <f>T78*S78</f>
        <v/>
      </c>
      <c r="V78" s="40">
        <f>(battery/range_nm)*D78*P78*VLOOKUP(B78,country_opex,3,FALSE)</f>
        <v/>
      </c>
      <c r="W78" s="40">
        <f>VLOOKUP(B78,country_opex,2,FALSE)*crew_factor</f>
        <v/>
      </c>
      <c r="X78" s="40">
        <f>VLOOKUP(B78,country_opex,5,FALSE)</f>
        <v/>
      </c>
      <c r="Y78" s="40">
        <f>maint</f>
        <v/>
      </c>
      <c r="Z78" s="40">
        <f>VLOOKUP(B78,country_opex,7,FALSE)*ins_pct</f>
        <v/>
      </c>
      <c r="AA78" s="40">
        <f>charge_berth</f>
        <v/>
      </c>
      <c r="AB78" s="40">
        <f>V78+W78+X78+Y78+Z78+AA78</f>
        <v/>
      </c>
      <c r="AC78" s="40">
        <f>VLOOKUP(B78,country_opex,7,FALSE)/dep_years</f>
        <v/>
      </c>
      <c r="AD78" s="40">
        <f>U78-AB78</f>
        <v/>
      </c>
      <c r="AE78" s="37">
        <f>IF(U78=0,"",AD78/U78)</f>
        <v/>
      </c>
      <c r="AF78" s="38">
        <f>IF(AD78&lt;=0,"",VLOOKUP(B78,country_opex,7,FALSE)/AD78)</f>
        <v/>
      </c>
      <c r="AG78" s="35">
        <f>((D78*P78/diesel_nmpg)*diesel_co2pg-(battery/range_nm)*D78*P78*VLOOKUP(B78,country_opex,4,FALSE))/1000</f>
        <v/>
      </c>
      <c r="AH78" s="33" t="n"/>
      <c r="AI78" s="34" t="n"/>
      <c r="AJ78" s="34" t="n"/>
      <c r="AK78" s="41" t="n">
        <v>0.1</v>
      </c>
      <c r="AL78" s="36">
        <f>IF(AH78="","",AH78*AK78)</f>
        <v/>
      </c>
      <c r="AM78" s="36">
        <f>IF(OR(AH78="",S78=0),"",MIN(IF(AU78="",9.9E+99,AU78),FLOOR(AL78/S78,1)))</f>
        <v/>
      </c>
      <c r="AN78" s="40">
        <f>IF(AM78="","",AM78*IF(ABS(MOD(ABS((U78)),1)-0.5)&lt;1E-9,2*ROUND((U78)/2,0),ROUND((U78),0)))</f>
        <v/>
      </c>
      <c r="AO78" s="38">
        <f>IF(OR(AH78="",S78=0),"",MIN(IF(AU78="",9.9E+99,AU78),AL78/S78))</f>
        <v/>
      </c>
      <c r="AP78" s="40">
        <f>IF(AO78="","",AO78*IF(B78="South Korea",IF(ABS(MOD(ABS((U78)),1)-0.5)&lt;1E-9,2*ROUND((U78)/2,0),ROUND((U78),0)),U78))</f>
        <v/>
      </c>
      <c r="AQ78" s="42" t="n"/>
      <c r="AR78" s="34" t="inlineStr">
        <is>
          <t>Estimated</t>
        </is>
      </c>
      <c r="AS78" s="43" t="n"/>
      <c r="AT78" s="43" t="n"/>
      <c r="AU78" s="44" t="n"/>
      <c r="AV78" s="45">
        <f>IF(((T78*pax_cap*load_thin*IF(ABS(MOD(ABS((L78*M78*revleg_thin)),1)-0.5)&lt;1E-9,2*ROUND((L78*M78*revleg_thin)/2,0),ROUND((L78*M78*revleg_thin),0)))-(((battery/range_nm)*D78*IF(ABS(MOD(ABS((L78*M78*revleg_thin)),1)-0.5)&lt;1E-9,2*ROUND((L78*M78*revleg_thin)/2,0),ROUND((L78*M78*revleg_thin),0))*VLOOKUP(B78,country_opex,3,FALSE))+W78+X78+Y78+Z78+AA78))&lt;=0,"",VLOOKUP(B78,country_opex,7,FALSE)/((T78*pax_cap*load_thin*IF(ABS(MOD(ABS((L78*M78*revleg_thin)),1)-0.5)&lt;1E-9,2*ROUND((L78*M78*revleg_thin)/2,0),ROUND((L78*M78*revleg_thin),0)))-(((battery/range_nm)*D78*IF(ABS(MOD(ABS((L78*M78*revleg_thin)),1)-0.5)&lt;1E-9,2*ROUND((L78*M78*revleg_thin)/2,0),ROUND((L78*M78*revleg_thin),0))*VLOOKUP(B78,country_opex,3,FALSE))+W78+X78+Y78+Z78+AA78)))</f>
        <v/>
      </c>
      <c r="AW78" s="45">
        <f>IF(((T78*pax_cap*IF(B78="South Korea",korea_mid_load,load_mid)*IF(ABS(MOD(ABS((L78*M78*IF(B78="South Korea",korea_mid_revleg,revleg_mid))),1)-0.5)&lt;1E-9,2*ROUND((L78*M78*IF(B78="South Korea",korea_mid_revleg,revleg_mid))/2,0),ROUND((L78*M78*IF(B78="South Korea",korea_mid_revleg,revleg_mid)),0)))-(((battery/range_nm)*D78*IF(ABS(MOD(ABS((L78*M78*IF(B78="South Korea",korea_mid_revleg,revleg_mid))),1)-0.5)&lt;1E-9,2*ROUND((L78*M78*IF(B78="South Korea",korea_mid_revleg,revleg_mid))/2,0),ROUND((L78*M78*IF(B78="South Korea",korea_mid_revleg,revleg_mid)),0))*VLOOKUP(B78,country_opex,3,FALSE))+W78+X78+Y78+Z78+AA78))&lt;=0,"",VLOOKUP(B78,country_opex,7,FALSE)/((T78*pax_cap*IF(B78="South Korea",korea_mid_load,load_mid)*IF(ABS(MOD(ABS((L78*M78*IF(B78="South Korea",korea_mid_revleg,revleg_mid))),1)-0.5)&lt;1E-9,2*ROUND((L78*M78*IF(B78="South Korea",korea_mid_revleg,revleg_mid))/2,0),ROUND((L78*M78*IF(B78="South Korea",korea_mid_revleg,revleg_mid)),0)))-(((battery/range_nm)*D78*IF(ABS(MOD(ABS((L78*M78*IF(B78="South Korea",korea_mid_revleg,revleg_mid))),1)-0.5)&lt;1E-9,2*ROUND((L78*M78*IF(B78="South Korea",korea_mid_revleg,revleg_mid))/2,0),ROUND((L78*M78*IF(B78="South Korea",korea_mid_revleg,revleg_mid)),0))*VLOOKUP(B78,country_opex,3,FALSE))+W78+X78+Y78+Z78+AA78)))</f>
        <v/>
      </c>
      <c r="AX78" s="45">
        <f>IF(((T78*pax_cap*load_full*IF(ABS(MOD(ABS((L78*M78*revleg_full)),1)-0.5)&lt;1E-9,2*ROUND((L78*M78*revleg_full)/2,0),ROUND((L78*M78*revleg_full),0)))-(((battery/range_nm)*D78*IF(ABS(MOD(ABS((L78*M78*revleg_full)),1)-0.5)&lt;1E-9,2*ROUND((L78*M78*revleg_full)/2,0),ROUND((L78*M78*revleg_full),0))*VLOOKUP(B78,country_opex,3,FALSE))+W78+X78+Y78+Z78+AA78))&lt;=0,"",VLOOKUP(B78,country_opex,7,FALSE)/((T78*pax_cap*load_full*IF(ABS(MOD(ABS((L78*M78*revleg_full)),1)-0.5)&lt;1E-9,2*ROUND((L78*M78*revleg_full)/2,0),ROUND((L78*M78*revleg_full),0)))-(((battery/range_nm)*D78*IF(ABS(MOD(ABS((L78*M78*revleg_full)),1)-0.5)&lt;1E-9,2*ROUND((L78*M78*revleg_full)/2,0),ROUND((L78*M78*revleg_full),0))*VLOOKUP(B78,country_opex,3,FALSE))+W78+X78+Y78+Z78+AA78)))</f>
        <v/>
      </c>
      <c r="AY78" s="46" t="inlineStr">
        <is>
          <t>Ken the Ferryman EUR 10 per person (the operating fare to Dalkey Island). EUR 10 x 1.08 = $10.80.</t>
        </is>
      </c>
      <c r="AZ78" s="46" t="n"/>
      <c r="BA78" s="34" t="n"/>
    </row>
    <row r="79">
      <c r="A79" s="31" t="inlineStr">
        <is>
          <t>Bolt Ireland</t>
        </is>
      </c>
      <c r="B79" s="31" t="inlineStr">
        <is>
          <t>Ireland</t>
        </is>
      </c>
      <c r="C79" s="32" t="inlineStr">
        <is>
          <t>Howth → Ireland's Eye</t>
        </is>
      </c>
      <c r="D79" s="33" t="n">
        <v>1</v>
      </c>
      <c r="E79" s="27" t="n">
        <v>32.4</v>
      </c>
      <c r="F79" s="34" t="inlineStr">
        <is>
          <t>T2</t>
        </is>
      </c>
      <c r="G79" s="34" t="inlineStr">
        <is>
          <t>med</t>
        </is>
      </c>
      <c r="H79" s="20" t="n">
        <v>1</v>
      </c>
      <c r="I79" s="35">
        <f>60*D79/cruise_kt</f>
        <v/>
      </c>
      <c r="J79" s="35">
        <f>IF(B79="South Korea",D79/korea_charge_range_nm*korea_full_range_charge_min,0)</f>
        <v/>
      </c>
      <c r="K79" s="35">
        <f>IF(B79="South Korea",I79+korea_turn_min+korea_dwell_min+J79,I79+turn_min+dwell_min)</f>
        <v/>
      </c>
      <c r="L79" s="36">
        <f>IF(B79="South Korea",FLOOR(60*korea_service_hr/K79,1),MIN(15,FLOOR(60*service_hr/K79,1)))</f>
        <v/>
      </c>
      <c r="M79" s="36">
        <f>IF(ABS(MOD(ABS((365*mech_uptime*H79)),1)-0.5)&lt;1E-9,2*ROUND((365*mech_uptime*H79)/2,0),ROUND((365*mech_uptime*H79),0))</f>
        <v/>
      </c>
      <c r="N79" s="37">
        <f>mech_uptime</f>
        <v/>
      </c>
      <c r="O79" s="37">
        <f>IF(AND(B79="South Korea",scenario="MID"),korea_mid_revleg,revleg_sel)</f>
        <v/>
      </c>
      <c r="P79" s="36">
        <f>IF(ABS(MOD(ABS((L79*M79*O79)),1)-0.5)&lt;1E-9,2*ROUND((L79*M79*O79)/2,0),ROUND((L79*M79*O79),0))</f>
        <v/>
      </c>
      <c r="Q79" s="37">
        <f>IF(AND(B79="South Korea",scenario="MID"),korea_mid_load,load_sel)</f>
        <v/>
      </c>
      <c r="R79" s="38">
        <f>pax_cap*Q79</f>
        <v/>
      </c>
      <c r="S79" s="36">
        <f>R79*P79</f>
        <v/>
      </c>
      <c r="T79" s="39">
        <f>E79*discount</f>
        <v/>
      </c>
      <c r="U79" s="40">
        <f>T79*S79</f>
        <v/>
      </c>
      <c r="V79" s="40">
        <f>(battery/range_nm)*D79*P79*VLOOKUP(B79,country_opex,3,FALSE)</f>
        <v/>
      </c>
      <c r="W79" s="40">
        <f>VLOOKUP(B79,country_opex,2,FALSE)*crew_factor</f>
        <v/>
      </c>
      <c r="X79" s="40">
        <f>VLOOKUP(B79,country_opex,5,FALSE)</f>
        <v/>
      </c>
      <c r="Y79" s="40">
        <f>maint</f>
        <v/>
      </c>
      <c r="Z79" s="40">
        <f>VLOOKUP(B79,country_opex,7,FALSE)*ins_pct</f>
        <v/>
      </c>
      <c r="AA79" s="40">
        <f>charge_berth</f>
        <v/>
      </c>
      <c r="AB79" s="40">
        <f>V79+W79+X79+Y79+Z79+AA79</f>
        <v/>
      </c>
      <c r="AC79" s="40">
        <f>VLOOKUP(B79,country_opex,7,FALSE)/dep_years</f>
        <v/>
      </c>
      <c r="AD79" s="40">
        <f>U79-AB79</f>
        <v/>
      </c>
      <c r="AE79" s="37">
        <f>IF(U79=0,"",AD79/U79)</f>
        <v/>
      </c>
      <c r="AF79" s="38">
        <f>IF(AD79&lt;=0,"",VLOOKUP(B79,country_opex,7,FALSE)/AD79)</f>
        <v/>
      </c>
      <c r="AG79" s="35">
        <f>((D79*P79/diesel_nmpg)*diesel_co2pg-(battery/range_nm)*D79*P79*VLOOKUP(B79,country_opex,4,FALSE))/1000</f>
        <v/>
      </c>
      <c r="AH79" s="33" t="n"/>
      <c r="AI79" s="34" t="n"/>
      <c r="AJ79" s="34" t="n"/>
      <c r="AK79" s="41" t="n">
        <v>0.1</v>
      </c>
      <c r="AL79" s="36">
        <f>IF(AH79="","",AH79*AK79)</f>
        <v/>
      </c>
      <c r="AM79" s="36">
        <f>IF(OR(AH79="",S79=0),"",MIN(IF(AU79="",9.9E+99,AU79),FLOOR(AL79/S79,1)))</f>
        <v/>
      </c>
      <c r="AN79" s="40">
        <f>IF(AM79="","",AM79*IF(ABS(MOD(ABS((U79)),1)-0.5)&lt;1E-9,2*ROUND((U79)/2,0),ROUND((U79),0)))</f>
        <v/>
      </c>
      <c r="AO79" s="38">
        <f>IF(OR(AH79="",S79=0),"",MIN(IF(AU79="",9.9E+99,AU79),AL79/S79))</f>
        <v/>
      </c>
      <c r="AP79" s="40">
        <f>IF(AO79="","",AO79*IF(B79="South Korea",IF(ABS(MOD(ABS((U79)),1)-0.5)&lt;1E-9,2*ROUND((U79)/2,0),ROUND((U79),0)),U79))</f>
        <v/>
      </c>
      <c r="AQ79" s="42" t="n"/>
      <c r="AR79" s="34" t="inlineStr">
        <is>
          <t>Estimated</t>
        </is>
      </c>
      <c r="AS79" s="43" t="n"/>
      <c r="AT79" s="43" t="n"/>
      <c r="AU79" s="44" t="n"/>
      <c r="AV79" s="45">
        <f>IF(((T79*pax_cap*load_thin*IF(ABS(MOD(ABS((L79*M79*revleg_thin)),1)-0.5)&lt;1E-9,2*ROUND((L79*M79*revleg_thin)/2,0),ROUND((L79*M79*revleg_thin),0)))-(((battery/range_nm)*D79*IF(ABS(MOD(ABS((L79*M79*revleg_thin)),1)-0.5)&lt;1E-9,2*ROUND((L79*M79*revleg_thin)/2,0),ROUND((L79*M79*revleg_thin),0))*VLOOKUP(B79,country_opex,3,FALSE))+W79+X79+Y79+Z79+AA79))&lt;=0,"",VLOOKUP(B79,country_opex,7,FALSE)/((T79*pax_cap*load_thin*IF(ABS(MOD(ABS((L79*M79*revleg_thin)),1)-0.5)&lt;1E-9,2*ROUND((L79*M79*revleg_thin)/2,0),ROUND((L79*M79*revleg_thin),0)))-(((battery/range_nm)*D79*IF(ABS(MOD(ABS((L79*M79*revleg_thin)),1)-0.5)&lt;1E-9,2*ROUND((L79*M79*revleg_thin)/2,0),ROUND((L79*M79*revleg_thin),0))*VLOOKUP(B79,country_opex,3,FALSE))+W79+X79+Y79+Z79+AA79)))</f>
        <v/>
      </c>
      <c r="AW79" s="45">
        <f>IF(((T79*pax_cap*IF(B79="South Korea",korea_mid_load,load_mid)*IF(ABS(MOD(ABS((L79*M79*IF(B79="South Korea",korea_mid_revleg,revleg_mid))),1)-0.5)&lt;1E-9,2*ROUND((L79*M79*IF(B79="South Korea",korea_mid_revleg,revleg_mid))/2,0),ROUND((L79*M79*IF(B79="South Korea",korea_mid_revleg,revleg_mid)),0)))-(((battery/range_nm)*D79*IF(ABS(MOD(ABS((L79*M79*IF(B79="South Korea",korea_mid_revleg,revleg_mid))),1)-0.5)&lt;1E-9,2*ROUND((L79*M79*IF(B79="South Korea",korea_mid_revleg,revleg_mid))/2,0),ROUND((L79*M79*IF(B79="South Korea",korea_mid_revleg,revleg_mid)),0))*VLOOKUP(B79,country_opex,3,FALSE))+W79+X79+Y79+Z79+AA79))&lt;=0,"",VLOOKUP(B79,country_opex,7,FALSE)/((T79*pax_cap*IF(B79="South Korea",korea_mid_load,load_mid)*IF(ABS(MOD(ABS((L79*M79*IF(B79="South Korea",korea_mid_revleg,revleg_mid))),1)-0.5)&lt;1E-9,2*ROUND((L79*M79*IF(B79="South Korea",korea_mid_revleg,revleg_mid))/2,0),ROUND((L79*M79*IF(B79="South Korea",korea_mid_revleg,revleg_mid)),0)))-(((battery/range_nm)*D79*IF(ABS(MOD(ABS((L79*M79*IF(B79="South Korea",korea_mid_revleg,revleg_mid))),1)-0.5)&lt;1E-9,2*ROUND((L79*M79*IF(B79="South Korea",korea_mid_revleg,revleg_mid))/2,0),ROUND((L79*M79*IF(B79="South Korea",korea_mid_revleg,revleg_mid)),0))*VLOOKUP(B79,country_opex,3,FALSE))+W79+X79+Y79+Z79+AA79)))</f>
        <v/>
      </c>
      <c r="AX79" s="45">
        <f>IF(((T79*pax_cap*load_full*IF(ABS(MOD(ABS((L79*M79*revleg_full)),1)-0.5)&lt;1E-9,2*ROUND((L79*M79*revleg_full)/2,0),ROUND((L79*M79*revleg_full),0)))-(((battery/range_nm)*D79*IF(ABS(MOD(ABS((L79*M79*revleg_full)),1)-0.5)&lt;1E-9,2*ROUND((L79*M79*revleg_full)/2,0),ROUND((L79*M79*revleg_full),0))*VLOOKUP(B79,country_opex,3,FALSE))+W79+X79+Y79+Z79+AA79))&lt;=0,"",VLOOKUP(B79,country_opex,7,FALSE)/((T79*pax_cap*load_full*IF(ABS(MOD(ABS((L79*M79*revleg_full)),1)-0.5)&lt;1E-9,2*ROUND((L79*M79*revleg_full)/2,0),ROUND((L79*M79*revleg_full),0)))-(((battery/range_nm)*D79*IF(ABS(MOD(ABS((L79*M79*revleg_full)),1)-0.5)&lt;1E-9,2*ROUND((L79*M79*revleg_full)/2,0),ROUND((L79*M79*revleg_full),0))*VLOOKUP(B79,country_opex,3,FALSE))+W79+X79+Y79+Z79+AA79)))</f>
        <v/>
      </c>
      <c r="AY79" s="46" t="inlineStr">
        <is>
          <t>Ireland's Eye Ferries / Howth Cliff Cruises adult EUR 30 return incl. island landing (the operating product). EUR 30 x 1.08 = $32.40. One-way equivalent ~$16.20.</t>
        </is>
      </c>
      <c r="AZ79" s="46" t="n"/>
      <c r="BA79" s="34" t="n"/>
    </row>
    <row r="80">
      <c r="A80" s="31" t="inlineStr">
        <is>
          <t>Bolt Ireland</t>
        </is>
      </c>
      <c r="B80" s="31" t="inlineStr">
        <is>
          <t>Ireland</t>
        </is>
      </c>
      <c r="C80" s="32" t="inlineStr">
        <is>
          <t>Dublin Docklands → Dún Laoghaire</t>
        </is>
      </c>
      <c r="D80" s="33" t="n">
        <v>6.5</v>
      </c>
      <c r="E80" s="27" t="n">
        <v>32.4</v>
      </c>
      <c r="F80" s="34" t="inlineStr">
        <is>
          <t>T2</t>
        </is>
      </c>
      <c r="G80" s="34" t="inlineStr">
        <is>
          <t>med</t>
        </is>
      </c>
      <c r="H80" s="20" t="n">
        <v>1</v>
      </c>
      <c r="I80" s="35">
        <f>60*D80/cruise_kt</f>
        <v/>
      </c>
      <c r="J80" s="35">
        <f>IF(B80="South Korea",D80/korea_charge_range_nm*korea_full_range_charge_min,0)</f>
        <v/>
      </c>
      <c r="K80" s="35">
        <f>IF(B80="South Korea",I80+korea_turn_min+korea_dwell_min+J80,I80+turn_min+dwell_min)</f>
        <v/>
      </c>
      <c r="L80" s="36">
        <f>IF(B80="South Korea",FLOOR(60*korea_service_hr/K80,1),MIN(24,FLOOR(60*service_hr/K80,1)))</f>
        <v/>
      </c>
      <c r="M80" s="36">
        <f>IF(ABS(MOD(ABS((365*mech_uptime*H80)),1)-0.5)&lt;1E-9,2*ROUND((365*mech_uptime*H80)/2,0),ROUND((365*mech_uptime*H80),0))</f>
        <v/>
      </c>
      <c r="N80" s="37">
        <f>mech_uptime</f>
        <v/>
      </c>
      <c r="O80" s="37">
        <f>IF(AND(B80="South Korea",scenario="MID"),korea_mid_revleg,revleg_sel)</f>
        <v/>
      </c>
      <c r="P80" s="36">
        <f>IF(ABS(MOD(ABS((L80*M80*O80)),1)-0.5)&lt;1E-9,2*ROUND((L80*M80*O80)/2,0),ROUND((L80*M80*O80),0))</f>
        <v/>
      </c>
      <c r="Q80" s="37">
        <f>IF(AND(B80="South Korea",scenario="MID"),korea_mid_load,load_sel)</f>
        <v/>
      </c>
      <c r="R80" s="38">
        <f>pax_cap*Q80</f>
        <v/>
      </c>
      <c r="S80" s="36">
        <f>R80*P80</f>
        <v/>
      </c>
      <c r="T80" s="39">
        <f>E80*discount</f>
        <v/>
      </c>
      <c r="U80" s="40">
        <f>T80*S80</f>
        <v/>
      </c>
      <c r="V80" s="40">
        <f>(battery/range_nm)*D80*P80*VLOOKUP(B80,country_opex,3,FALSE)</f>
        <v/>
      </c>
      <c r="W80" s="40">
        <f>VLOOKUP(B80,country_opex,2,FALSE)*crew_factor</f>
        <v/>
      </c>
      <c r="X80" s="40">
        <f>VLOOKUP(B80,country_opex,5,FALSE)</f>
        <v/>
      </c>
      <c r="Y80" s="40">
        <f>maint</f>
        <v/>
      </c>
      <c r="Z80" s="40">
        <f>VLOOKUP(B80,country_opex,7,FALSE)*ins_pct</f>
        <v/>
      </c>
      <c r="AA80" s="40">
        <f>charge_berth</f>
        <v/>
      </c>
      <c r="AB80" s="40">
        <f>V80+W80+X80+Y80+Z80+AA80</f>
        <v/>
      </c>
      <c r="AC80" s="40">
        <f>VLOOKUP(B80,country_opex,7,FALSE)/dep_years</f>
        <v/>
      </c>
      <c r="AD80" s="40">
        <f>U80-AB80</f>
        <v/>
      </c>
      <c r="AE80" s="37">
        <f>IF(U80=0,"",AD80/U80)</f>
        <v/>
      </c>
      <c r="AF80" s="38">
        <f>IF(AD80&lt;=0,"",VLOOKUP(B80,country_opex,7,FALSE)/AD80)</f>
        <v/>
      </c>
      <c r="AG80" s="35">
        <f>((D80*P80/diesel_nmpg)*diesel_co2pg-(battery/range_nm)*D80*P80*VLOOKUP(B80,country_opex,4,FALSE))/1000</f>
        <v/>
      </c>
      <c r="AH80" s="33" t="n">
        <v>50000</v>
      </c>
      <c r="AI80" s="34" t="n"/>
      <c r="AJ80" s="34" t="n"/>
      <c r="AK80" s="41" t="n">
        <v>0.1</v>
      </c>
      <c r="AL80" s="36">
        <f>IF(AH80="","",AH80*AK80)</f>
        <v/>
      </c>
      <c r="AM80" s="36">
        <f>IF(OR(AH80="",S80=0),"",MIN(IF(AU80="",9.9E+99,AU80),FLOOR(AL80/S80,1)))</f>
        <v/>
      </c>
      <c r="AN80" s="40">
        <f>IF(AM80="","",AM80*IF(ABS(MOD(ABS((U80)),1)-0.5)&lt;1E-9,2*ROUND((U80)/2,0),ROUND((U80),0)))</f>
        <v/>
      </c>
      <c r="AO80" s="38">
        <f>IF(OR(AH80="",S80=0),"",MIN(IF(AU80="",9.9E+99,AU80),AL80/S80))</f>
        <v/>
      </c>
      <c r="AP80" s="40">
        <f>IF(AO80="","",AO80*IF(B80="South Korea",IF(ABS(MOD(ABS((U80)),1)-0.5)&lt;1E-9,2*ROUND((U80)/2,0),ROUND((U80),0)),U80))</f>
        <v/>
      </c>
      <c r="AQ80" s="42" t="n"/>
      <c r="AR80" s="34" t="inlineStr">
        <is>
          <t>Estimated</t>
        </is>
      </c>
      <c r="AS80" s="43" t="n"/>
      <c r="AT80" s="43" t="n"/>
      <c r="AU80" s="44" t="n"/>
      <c r="AV80" s="45">
        <f>IF(((T80*pax_cap*load_thin*IF(ABS(MOD(ABS((L80*M80*revleg_thin)),1)-0.5)&lt;1E-9,2*ROUND((L80*M80*revleg_thin)/2,0),ROUND((L80*M80*revleg_thin),0)))-(((battery/range_nm)*D80*IF(ABS(MOD(ABS((L80*M80*revleg_thin)),1)-0.5)&lt;1E-9,2*ROUND((L80*M80*revleg_thin)/2,0),ROUND((L80*M80*revleg_thin),0))*VLOOKUP(B80,country_opex,3,FALSE))+W80+X80+Y80+Z80+AA80))&lt;=0,"",VLOOKUP(B80,country_opex,7,FALSE)/((T80*pax_cap*load_thin*IF(ABS(MOD(ABS((L80*M80*revleg_thin)),1)-0.5)&lt;1E-9,2*ROUND((L80*M80*revleg_thin)/2,0),ROUND((L80*M80*revleg_thin),0)))-(((battery/range_nm)*D80*IF(ABS(MOD(ABS((L80*M80*revleg_thin)),1)-0.5)&lt;1E-9,2*ROUND((L80*M80*revleg_thin)/2,0),ROUND((L80*M80*revleg_thin),0))*VLOOKUP(B80,country_opex,3,FALSE))+W80+X80+Y80+Z80+AA80)))</f>
        <v/>
      </c>
      <c r="AW80" s="45">
        <f>IF(((T80*pax_cap*IF(B80="South Korea",korea_mid_load,load_mid)*IF(ABS(MOD(ABS((L80*M80*IF(B80="South Korea",korea_mid_revleg,revleg_mid))),1)-0.5)&lt;1E-9,2*ROUND((L80*M80*IF(B80="South Korea",korea_mid_revleg,revleg_mid))/2,0),ROUND((L80*M80*IF(B80="South Korea",korea_mid_revleg,revleg_mid)),0)))-(((battery/range_nm)*D80*IF(ABS(MOD(ABS((L80*M80*IF(B80="South Korea",korea_mid_revleg,revleg_mid))),1)-0.5)&lt;1E-9,2*ROUND((L80*M80*IF(B80="South Korea",korea_mid_revleg,revleg_mid))/2,0),ROUND((L80*M80*IF(B80="South Korea",korea_mid_revleg,revleg_mid)),0))*VLOOKUP(B80,country_opex,3,FALSE))+W80+X80+Y80+Z80+AA80))&lt;=0,"",VLOOKUP(B80,country_opex,7,FALSE)/((T80*pax_cap*IF(B80="South Korea",korea_mid_load,load_mid)*IF(ABS(MOD(ABS((L80*M80*IF(B80="South Korea",korea_mid_revleg,revleg_mid))),1)-0.5)&lt;1E-9,2*ROUND((L80*M80*IF(B80="South Korea",korea_mid_revleg,revleg_mid))/2,0),ROUND((L80*M80*IF(B80="South Korea",korea_mid_revleg,revleg_mid)),0)))-(((battery/range_nm)*D80*IF(ABS(MOD(ABS((L80*M80*IF(B80="South Korea",korea_mid_revleg,revleg_mid))),1)-0.5)&lt;1E-9,2*ROUND((L80*M80*IF(B80="South Korea",korea_mid_revleg,revleg_mid))/2,0),ROUND((L80*M80*IF(B80="South Korea",korea_mid_revleg,revleg_mid)),0))*VLOOKUP(B80,country_opex,3,FALSE))+W80+X80+Y80+Z80+AA80)))</f>
        <v/>
      </c>
      <c r="AX80" s="45">
        <f>IF(((T80*pax_cap*load_full*IF(ABS(MOD(ABS((L80*M80*revleg_full)),1)-0.5)&lt;1E-9,2*ROUND((L80*M80*revleg_full)/2,0),ROUND((L80*M80*revleg_full),0)))-(((battery/range_nm)*D80*IF(ABS(MOD(ABS((L80*M80*revleg_full)),1)-0.5)&lt;1E-9,2*ROUND((L80*M80*revleg_full)/2,0),ROUND((L80*M80*revleg_full),0))*VLOOKUP(B80,country_opex,3,FALSE))+W80+X80+Y80+Z80+AA80))&lt;=0,"",VLOOKUP(B80,country_opex,7,FALSE)/((T80*pax_cap*load_full*IF(ABS(MOD(ABS((L80*M80*revleg_full)),1)-0.5)&lt;1E-9,2*ROUND((L80*M80*revleg_full)/2,0),ROUND((L80*M80*revleg_full),0)))-(((battery/range_nm)*D80*IF(ABS(MOD(ABS((L80*M80*revleg_full)),1)-0.5)&lt;1E-9,2*ROUND((L80*M80*revleg_full)/2,0),ROUND((L80*M80*revleg_full),0))*VLOOKUP(B80,country_opex,3,FALSE))+W80+X80+Y80+Z80+AA80)))</f>
        <v/>
      </c>
      <c r="AY80" s="46" t="inlineStr">
        <is>
          <t>Dublin Bay Cruises one-way leisure seat Dublin City-&gt;Dun Laoghaire EUR 30 (premium scheduled water tier; the reverse Dun Laoghaire-&gt;Dublin City morning leg is EUR 15). EUR 30 x 1.08 = $32.40.</t>
        </is>
      </c>
      <c r="AZ80" s="46" t="n"/>
      <c r="BA80" s="34" t="n"/>
    </row>
    <row r="81">
      <c r="A81" s="31" t="inlineStr">
        <is>
          <t>Bolt Ireland</t>
        </is>
      </c>
      <c r="B81" s="31" t="inlineStr">
        <is>
          <t>Ireland</t>
        </is>
      </c>
      <c r="C81" s="32" t="inlineStr">
        <is>
          <t>Dublin City (Docklands) → Howth</t>
        </is>
      </c>
      <c r="D81" s="33" t="n">
        <v>7</v>
      </c>
      <c r="E81" s="27" t="n">
        <v>43.2</v>
      </c>
      <c r="F81" s="34" t="inlineStr">
        <is>
          <t>T2</t>
        </is>
      </c>
      <c r="G81" s="34" t="inlineStr">
        <is>
          <t>med</t>
        </is>
      </c>
      <c r="H81" s="20" t="n">
        <v>1</v>
      </c>
      <c r="I81" s="35">
        <f>60*D81/cruise_kt</f>
        <v/>
      </c>
      <c r="J81" s="35">
        <f>IF(B81="South Korea",D81/korea_charge_range_nm*korea_full_range_charge_min,0)</f>
        <v/>
      </c>
      <c r="K81" s="35">
        <f>IF(B81="South Korea",I81+korea_turn_min+korea_dwell_min+J81,I81+turn_min+dwell_min)</f>
        <v/>
      </c>
      <c r="L81" s="36">
        <f>IF(B81="South Korea",FLOOR(60*korea_service_hr/K81,1),MIN(24,FLOOR(60*service_hr/K81,1)))</f>
        <v/>
      </c>
      <c r="M81" s="36">
        <f>IF(ABS(MOD(ABS((365*mech_uptime*H81)),1)-0.5)&lt;1E-9,2*ROUND((365*mech_uptime*H81)/2,0),ROUND((365*mech_uptime*H81),0))</f>
        <v/>
      </c>
      <c r="N81" s="37">
        <f>mech_uptime</f>
        <v/>
      </c>
      <c r="O81" s="37">
        <f>IF(AND(B81="South Korea",scenario="MID"),korea_mid_revleg,revleg_sel)</f>
        <v/>
      </c>
      <c r="P81" s="36">
        <f>IF(ABS(MOD(ABS((L81*M81*O81)),1)-0.5)&lt;1E-9,2*ROUND((L81*M81*O81)/2,0),ROUND((L81*M81*O81),0))</f>
        <v/>
      </c>
      <c r="Q81" s="37">
        <f>IF(AND(B81="South Korea",scenario="MID"),korea_mid_load,load_sel)</f>
        <v/>
      </c>
      <c r="R81" s="38">
        <f>pax_cap*Q81</f>
        <v/>
      </c>
      <c r="S81" s="36">
        <f>R81*P81</f>
        <v/>
      </c>
      <c r="T81" s="39">
        <f>E81*discount</f>
        <v/>
      </c>
      <c r="U81" s="40">
        <f>T81*S81</f>
        <v/>
      </c>
      <c r="V81" s="40">
        <f>(battery/range_nm)*D81*P81*VLOOKUP(B81,country_opex,3,FALSE)</f>
        <v/>
      </c>
      <c r="W81" s="40">
        <f>VLOOKUP(B81,country_opex,2,FALSE)*crew_factor</f>
        <v/>
      </c>
      <c r="X81" s="40">
        <f>VLOOKUP(B81,country_opex,5,FALSE)</f>
        <v/>
      </c>
      <c r="Y81" s="40">
        <f>maint</f>
        <v/>
      </c>
      <c r="Z81" s="40">
        <f>VLOOKUP(B81,country_opex,7,FALSE)*ins_pct</f>
        <v/>
      </c>
      <c r="AA81" s="40">
        <f>charge_berth</f>
        <v/>
      </c>
      <c r="AB81" s="40">
        <f>V81+W81+X81+Y81+Z81+AA81</f>
        <v/>
      </c>
      <c r="AC81" s="40">
        <f>VLOOKUP(B81,country_opex,7,FALSE)/dep_years</f>
        <v/>
      </c>
      <c r="AD81" s="40">
        <f>U81-AB81</f>
        <v/>
      </c>
      <c r="AE81" s="37">
        <f>IF(U81=0,"",AD81/U81)</f>
        <v/>
      </c>
      <c r="AF81" s="38">
        <f>IF(AD81&lt;=0,"",VLOOKUP(B81,country_opex,7,FALSE)/AD81)</f>
        <v/>
      </c>
      <c r="AG81" s="35">
        <f>((D81*P81/diesel_nmpg)*diesel_co2pg-(battery/range_nm)*D81*P81*VLOOKUP(B81,country_opex,4,FALSE))/1000</f>
        <v/>
      </c>
      <c r="AH81" s="33" t="n">
        <v>46800</v>
      </c>
      <c r="AI81" s="34" t="n"/>
      <c r="AJ81" s="34" t="n"/>
      <c r="AK81" s="41" t="n">
        <v>0.1</v>
      </c>
      <c r="AL81" s="36">
        <f>IF(AH81="","",AH81*AK81)</f>
        <v/>
      </c>
      <c r="AM81" s="36">
        <f>IF(OR(AH81="",S81=0),"",MIN(IF(AU81="",9.9E+99,AU81),FLOOR(AL81/S81,1)))</f>
        <v/>
      </c>
      <c r="AN81" s="40">
        <f>IF(AM81="","",AM81*IF(ABS(MOD(ABS((U81)),1)-0.5)&lt;1E-9,2*ROUND((U81)/2,0),ROUND((U81),0)))</f>
        <v/>
      </c>
      <c r="AO81" s="38">
        <f>IF(OR(AH81="",S81=0),"",MIN(IF(AU81="",9.9E+99,AU81),AL81/S81))</f>
        <v/>
      </c>
      <c r="AP81" s="40">
        <f>IF(AO81="","",AO81*IF(B81="South Korea",IF(ABS(MOD(ABS((U81)),1)-0.5)&lt;1E-9,2*ROUND((U81)/2,0),ROUND((U81),0)),U81))</f>
        <v/>
      </c>
      <c r="AQ81" s="42" t="n"/>
      <c r="AR81" s="34" t="inlineStr">
        <is>
          <t>Estimated</t>
        </is>
      </c>
      <c r="AS81" s="43" t="n"/>
      <c r="AT81" s="43" t="n"/>
      <c r="AU81" s="44" t="n"/>
      <c r="AV81" s="45">
        <f>IF(((T81*pax_cap*load_thin*IF(ABS(MOD(ABS((L81*M81*revleg_thin)),1)-0.5)&lt;1E-9,2*ROUND((L81*M81*revleg_thin)/2,0),ROUND((L81*M81*revleg_thin),0)))-(((battery/range_nm)*D81*IF(ABS(MOD(ABS((L81*M81*revleg_thin)),1)-0.5)&lt;1E-9,2*ROUND((L81*M81*revleg_thin)/2,0),ROUND((L81*M81*revleg_thin),0))*VLOOKUP(B81,country_opex,3,FALSE))+W81+X81+Y81+Z81+AA81))&lt;=0,"",VLOOKUP(B81,country_opex,7,FALSE)/((T81*pax_cap*load_thin*IF(ABS(MOD(ABS((L81*M81*revleg_thin)),1)-0.5)&lt;1E-9,2*ROUND((L81*M81*revleg_thin)/2,0),ROUND((L81*M81*revleg_thin),0)))-(((battery/range_nm)*D81*IF(ABS(MOD(ABS((L81*M81*revleg_thin)),1)-0.5)&lt;1E-9,2*ROUND((L81*M81*revleg_thin)/2,0),ROUND((L81*M81*revleg_thin),0))*VLOOKUP(B81,country_opex,3,FALSE))+W81+X81+Y81+Z81+AA81)))</f>
        <v/>
      </c>
      <c r="AW81" s="45">
        <f>IF(((T81*pax_cap*IF(B81="South Korea",korea_mid_load,load_mid)*IF(ABS(MOD(ABS((L81*M81*IF(B81="South Korea",korea_mid_revleg,revleg_mid))),1)-0.5)&lt;1E-9,2*ROUND((L81*M81*IF(B81="South Korea",korea_mid_revleg,revleg_mid))/2,0),ROUND((L81*M81*IF(B81="South Korea",korea_mid_revleg,revleg_mid)),0)))-(((battery/range_nm)*D81*IF(ABS(MOD(ABS((L81*M81*IF(B81="South Korea",korea_mid_revleg,revleg_mid))),1)-0.5)&lt;1E-9,2*ROUND((L81*M81*IF(B81="South Korea",korea_mid_revleg,revleg_mid))/2,0),ROUND((L81*M81*IF(B81="South Korea",korea_mid_revleg,revleg_mid)),0))*VLOOKUP(B81,country_opex,3,FALSE))+W81+X81+Y81+Z81+AA81))&lt;=0,"",VLOOKUP(B81,country_opex,7,FALSE)/((T81*pax_cap*IF(B81="South Korea",korea_mid_load,load_mid)*IF(ABS(MOD(ABS((L81*M81*IF(B81="South Korea",korea_mid_revleg,revleg_mid))),1)-0.5)&lt;1E-9,2*ROUND((L81*M81*IF(B81="South Korea",korea_mid_revleg,revleg_mid))/2,0),ROUND((L81*M81*IF(B81="South Korea",korea_mid_revleg,revleg_mid)),0)))-(((battery/range_nm)*D81*IF(ABS(MOD(ABS((L81*M81*IF(B81="South Korea",korea_mid_revleg,revleg_mid))),1)-0.5)&lt;1E-9,2*ROUND((L81*M81*IF(B81="South Korea",korea_mid_revleg,revleg_mid))/2,0),ROUND((L81*M81*IF(B81="South Korea",korea_mid_revleg,revleg_mid)),0))*VLOOKUP(B81,country_opex,3,FALSE))+W81+X81+Y81+Z81+AA81)))</f>
        <v/>
      </c>
      <c r="AX81" s="45">
        <f>IF(((T81*pax_cap*load_full*IF(ABS(MOD(ABS((L81*M81*revleg_full)),1)-0.5)&lt;1E-9,2*ROUND((L81*M81*revleg_full)/2,0),ROUND((L81*M81*revleg_full),0)))-(((battery/range_nm)*D81*IF(ABS(MOD(ABS((L81*M81*revleg_full)),1)-0.5)&lt;1E-9,2*ROUND((L81*M81*revleg_full)/2,0),ROUND((L81*M81*revleg_full),0))*VLOOKUP(B81,country_opex,3,FALSE))+W81+X81+Y81+Z81+AA81))&lt;=0,"",VLOOKUP(B81,country_opex,7,FALSE)/((T81*pax_cap*load_full*IF(ABS(MOD(ABS((L81*M81*revleg_full)),1)-0.5)&lt;1E-9,2*ROUND((L81*M81*revleg_full)/2,0),ROUND((L81*M81*revleg_full),0)))-(((battery/range_nm)*D81*IF(ABS(MOD(ABS((L81*M81*revleg_full)),1)-0.5)&lt;1E-9,2*ROUND((L81*M81*revleg_full)/2,0),ROUND((L81*M81*revleg_full),0))*VLOOKUP(B81,country_opex,3,FALSE))+W81+X81+Y81+Z81+AA81)))</f>
        <v/>
      </c>
      <c r="AY81" s="46" t="inlineStr">
        <is>
          <t>Dublin Bay Cruises one-way Dublin City-&gt;Howth (via Dun Laoghaire) EUR 40 (premium scheduled water tier). EUR 40 x 1.08 = $43.20.</t>
        </is>
      </c>
      <c r="AZ81" s="46" t="n"/>
      <c r="BA81" s="34" t="n"/>
    </row>
    <row r="82">
      <c r="A82" s="31" t="inlineStr">
        <is>
          <t>Bolt Ireland</t>
        </is>
      </c>
      <c r="B82" s="31" t="inlineStr">
        <is>
          <t>Ireland</t>
        </is>
      </c>
      <c r="C82" s="32" t="inlineStr">
        <is>
          <t>Dun Laoghaire → Howth</t>
        </is>
      </c>
      <c r="D82" s="33" t="n">
        <v>7</v>
      </c>
      <c r="E82" s="27" t="n">
        <v>30.24</v>
      </c>
      <c r="F82" s="34" t="inlineStr">
        <is>
          <t>T2</t>
        </is>
      </c>
      <c r="G82" s="34" t="inlineStr">
        <is>
          <t>med</t>
        </is>
      </c>
      <c r="H82" s="20" t="n">
        <v>1</v>
      </c>
      <c r="I82" s="35">
        <f>60*D82/cruise_kt</f>
        <v/>
      </c>
      <c r="J82" s="35">
        <f>IF(B82="South Korea",D82/korea_charge_range_nm*korea_full_range_charge_min,0)</f>
        <v/>
      </c>
      <c r="K82" s="35">
        <f>IF(B82="South Korea",I82+korea_turn_min+korea_dwell_min+J82,I82+turn_min+dwell_min)</f>
        <v/>
      </c>
      <c r="L82" s="36">
        <f>IF(B82="South Korea",FLOOR(60*korea_service_hr/K82,1),MIN(24,FLOOR(60*service_hr/K82,1)))</f>
        <v/>
      </c>
      <c r="M82" s="36">
        <f>IF(ABS(MOD(ABS((365*mech_uptime*H82)),1)-0.5)&lt;1E-9,2*ROUND((365*mech_uptime*H82)/2,0),ROUND((365*mech_uptime*H82),0))</f>
        <v/>
      </c>
      <c r="N82" s="37">
        <f>mech_uptime</f>
        <v/>
      </c>
      <c r="O82" s="37">
        <f>IF(AND(B82="South Korea",scenario="MID"),korea_mid_revleg,revleg_sel)</f>
        <v/>
      </c>
      <c r="P82" s="36">
        <f>IF(ABS(MOD(ABS((L82*M82*O82)),1)-0.5)&lt;1E-9,2*ROUND((L82*M82*O82)/2,0),ROUND((L82*M82*O82),0))</f>
        <v/>
      </c>
      <c r="Q82" s="37">
        <f>IF(AND(B82="South Korea",scenario="MID"),korea_mid_load,load_sel)</f>
        <v/>
      </c>
      <c r="R82" s="38">
        <f>pax_cap*Q82</f>
        <v/>
      </c>
      <c r="S82" s="36">
        <f>R82*P82</f>
        <v/>
      </c>
      <c r="T82" s="39">
        <f>E82*discount</f>
        <v/>
      </c>
      <c r="U82" s="40">
        <f>T82*S82</f>
        <v/>
      </c>
      <c r="V82" s="40">
        <f>(battery/range_nm)*D82*P82*VLOOKUP(B82,country_opex,3,FALSE)</f>
        <v/>
      </c>
      <c r="W82" s="40">
        <f>VLOOKUP(B82,country_opex,2,FALSE)*crew_factor</f>
        <v/>
      </c>
      <c r="X82" s="40">
        <f>VLOOKUP(B82,country_opex,5,FALSE)</f>
        <v/>
      </c>
      <c r="Y82" s="40">
        <f>maint</f>
        <v/>
      </c>
      <c r="Z82" s="40">
        <f>VLOOKUP(B82,country_opex,7,FALSE)*ins_pct</f>
        <v/>
      </c>
      <c r="AA82" s="40">
        <f>charge_berth</f>
        <v/>
      </c>
      <c r="AB82" s="40">
        <f>V82+W82+X82+Y82+Z82+AA82</f>
        <v/>
      </c>
      <c r="AC82" s="40">
        <f>VLOOKUP(B82,country_opex,7,FALSE)/dep_years</f>
        <v/>
      </c>
      <c r="AD82" s="40">
        <f>U82-AB82</f>
        <v/>
      </c>
      <c r="AE82" s="37">
        <f>IF(U82=0,"",AD82/U82)</f>
        <v/>
      </c>
      <c r="AF82" s="38">
        <f>IF(AD82&lt;=0,"",VLOOKUP(B82,country_opex,7,FALSE)/AD82)</f>
        <v/>
      </c>
      <c r="AG82" s="35">
        <f>((D82*P82/diesel_nmpg)*diesel_co2pg-(battery/range_nm)*D82*P82*VLOOKUP(B82,country_opex,4,FALSE))/1000</f>
        <v/>
      </c>
      <c r="AH82" s="33" t="n"/>
      <c r="AI82" s="34" t="n"/>
      <c r="AJ82" s="34" t="n"/>
      <c r="AK82" s="41" t="n">
        <v>0.1</v>
      </c>
      <c r="AL82" s="36">
        <f>IF(AH82="","",AH82*AK82)</f>
        <v/>
      </c>
      <c r="AM82" s="36">
        <f>IF(OR(AH82="",S82=0),"",MIN(IF(AU82="",9.9E+99,AU82),FLOOR(AL82/S82,1)))</f>
        <v/>
      </c>
      <c r="AN82" s="40">
        <f>IF(AM82="","",AM82*IF(ABS(MOD(ABS((U82)),1)-0.5)&lt;1E-9,2*ROUND((U82)/2,0),ROUND((U82),0)))</f>
        <v/>
      </c>
      <c r="AO82" s="38">
        <f>IF(OR(AH82="",S82=0),"",MIN(IF(AU82="",9.9E+99,AU82),AL82/S82))</f>
        <v/>
      </c>
      <c r="AP82" s="40">
        <f>IF(AO82="","",AO82*IF(B82="South Korea",IF(ABS(MOD(ABS((U82)),1)-0.5)&lt;1E-9,2*ROUND((U82)/2,0),ROUND((U82),0)),U82))</f>
        <v/>
      </c>
      <c r="AQ82" s="42" t="n"/>
      <c r="AR82" s="34" t="inlineStr">
        <is>
          <t>Estimated</t>
        </is>
      </c>
      <c r="AS82" s="43" t="n"/>
      <c r="AT82" s="43" t="n"/>
      <c r="AU82" s="44" t="n"/>
      <c r="AV82" s="45">
        <f>IF(((T82*pax_cap*load_thin*IF(ABS(MOD(ABS((L82*M82*revleg_thin)),1)-0.5)&lt;1E-9,2*ROUND((L82*M82*revleg_thin)/2,0),ROUND((L82*M82*revleg_thin),0)))-(((battery/range_nm)*D82*IF(ABS(MOD(ABS((L82*M82*revleg_thin)),1)-0.5)&lt;1E-9,2*ROUND((L82*M82*revleg_thin)/2,0),ROUND((L82*M82*revleg_thin),0))*VLOOKUP(B82,country_opex,3,FALSE))+W82+X82+Y82+Z82+AA82))&lt;=0,"",VLOOKUP(B82,country_opex,7,FALSE)/((T82*pax_cap*load_thin*IF(ABS(MOD(ABS((L82*M82*revleg_thin)),1)-0.5)&lt;1E-9,2*ROUND((L82*M82*revleg_thin)/2,0),ROUND((L82*M82*revleg_thin),0)))-(((battery/range_nm)*D82*IF(ABS(MOD(ABS((L82*M82*revleg_thin)),1)-0.5)&lt;1E-9,2*ROUND((L82*M82*revleg_thin)/2,0),ROUND((L82*M82*revleg_thin),0))*VLOOKUP(B82,country_opex,3,FALSE))+W82+X82+Y82+Z82+AA82)))</f>
        <v/>
      </c>
      <c r="AW82" s="45">
        <f>IF(((T82*pax_cap*IF(B82="South Korea",korea_mid_load,load_mid)*IF(ABS(MOD(ABS((L82*M82*IF(B82="South Korea",korea_mid_revleg,revleg_mid))),1)-0.5)&lt;1E-9,2*ROUND((L82*M82*IF(B82="South Korea",korea_mid_revleg,revleg_mid))/2,0),ROUND((L82*M82*IF(B82="South Korea",korea_mid_revleg,revleg_mid)),0)))-(((battery/range_nm)*D82*IF(ABS(MOD(ABS((L82*M82*IF(B82="South Korea",korea_mid_revleg,revleg_mid))),1)-0.5)&lt;1E-9,2*ROUND((L82*M82*IF(B82="South Korea",korea_mid_revleg,revleg_mid))/2,0),ROUND((L82*M82*IF(B82="South Korea",korea_mid_revleg,revleg_mid)),0))*VLOOKUP(B82,country_opex,3,FALSE))+W82+X82+Y82+Z82+AA82))&lt;=0,"",VLOOKUP(B82,country_opex,7,FALSE)/((T82*pax_cap*IF(B82="South Korea",korea_mid_load,load_mid)*IF(ABS(MOD(ABS((L82*M82*IF(B82="South Korea",korea_mid_revleg,revleg_mid))),1)-0.5)&lt;1E-9,2*ROUND((L82*M82*IF(B82="South Korea",korea_mid_revleg,revleg_mid))/2,0),ROUND((L82*M82*IF(B82="South Korea",korea_mid_revleg,revleg_mid)),0)))-(((battery/range_nm)*D82*IF(ABS(MOD(ABS((L82*M82*IF(B82="South Korea",korea_mid_revleg,revleg_mid))),1)-0.5)&lt;1E-9,2*ROUND((L82*M82*IF(B82="South Korea",korea_mid_revleg,revleg_mid))/2,0),ROUND((L82*M82*IF(B82="South Korea",korea_mid_revleg,revleg_mid)),0))*VLOOKUP(B82,country_opex,3,FALSE))+W82+X82+Y82+Z82+AA82)))</f>
        <v/>
      </c>
      <c r="AX82" s="45">
        <f>IF(((T82*pax_cap*load_full*IF(ABS(MOD(ABS((L82*M82*revleg_full)),1)-0.5)&lt;1E-9,2*ROUND((L82*M82*revleg_full)/2,0),ROUND((L82*M82*revleg_full),0)))-(((battery/range_nm)*D82*IF(ABS(MOD(ABS((L82*M82*revleg_full)),1)-0.5)&lt;1E-9,2*ROUND((L82*M82*revleg_full)/2,0),ROUND((L82*M82*revleg_full),0))*VLOOKUP(B82,country_opex,3,FALSE))+W82+X82+Y82+Z82+AA82))&lt;=0,"",VLOOKUP(B82,country_opex,7,FALSE)/((T82*pax_cap*load_full*IF(ABS(MOD(ABS((L82*M82*revleg_full)),1)-0.5)&lt;1E-9,2*ROUND((L82*M82*revleg_full)/2,0),ROUND((L82*M82*revleg_full),0)))-(((battery/range_nm)*D82*IF(ABS(MOD(ABS((L82*M82*revleg_full)),1)-0.5)&lt;1E-9,2*ROUND((L82*M82*revleg_full)/2,0),ROUND((L82*M82*revleg_full),0))*VLOOKUP(B82,country_opex,3,FALSE))+W82+X82+Y82+Z82+AA82)))</f>
        <v/>
      </c>
      <c r="AY82" s="46" t="inlineStr">
        <is>
          <t>Dublin Bay Cruises one-way Dun Laoghaire&lt;-&gt;Howth EUR 28 per seat (scheduled scenic water tier). EUR 28 x 1.08 = $30.24.</t>
        </is>
      </c>
      <c r="AZ82" s="46" t="n"/>
      <c r="BA82" s="34" t="n"/>
    </row>
    <row r="83">
      <c r="A83" s="31" t="inlineStr">
        <is>
          <t>Bolt Ireland</t>
        </is>
      </c>
      <c r="B83" s="31" t="inlineStr">
        <is>
          <t>Ireland</t>
        </is>
      </c>
      <c r="C83" s="32" t="inlineStr">
        <is>
          <t>Dublin City (Docklands) → Dalkey / Killiney</t>
        </is>
      </c>
      <c r="D83" s="33" t="n">
        <v>9</v>
      </c>
      <c r="E83" s="27" t="n">
        <v>32.4</v>
      </c>
      <c r="F83" s="34" t="inlineStr">
        <is>
          <t>T2</t>
        </is>
      </c>
      <c r="G83" s="34" t="inlineStr">
        <is>
          <t>med</t>
        </is>
      </c>
      <c r="H83" s="20" t="n">
        <v>1</v>
      </c>
      <c r="I83" s="35">
        <f>60*D83/cruise_kt</f>
        <v/>
      </c>
      <c r="J83" s="35">
        <f>IF(B83="South Korea",D83/korea_charge_range_nm*korea_full_range_charge_min,0)</f>
        <v/>
      </c>
      <c r="K83" s="35">
        <f>IF(B83="South Korea",I83+korea_turn_min+korea_dwell_min+J83,I83+turn_min+dwell_min)</f>
        <v/>
      </c>
      <c r="L83" s="36">
        <f>IF(B83="South Korea",FLOOR(60*korea_service_hr/K83,1),MIN(24,FLOOR(60*service_hr/K83,1)))</f>
        <v/>
      </c>
      <c r="M83" s="36">
        <f>IF(ABS(MOD(ABS((365*mech_uptime*H83)),1)-0.5)&lt;1E-9,2*ROUND((365*mech_uptime*H83)/2,0),ROUND((365*mech_uptime*H83),0))</f>
        <v/>
      </c>
      <c r="N83" s="37">
        <f>mech_uptime</f>
        <v/>
      </c>
      <c r="O83" s="37">
        <f>IF(AND(B83="South Korea",scenario="MID"),korea_mid_revleg,revleg_sel)</f>
        <v/>
      </c>
      <c r="P83" s="36">
        <f>IF(ABS(MOD(ABS((L83*M83*O83)),1)-0.5)&lt;1E-9,2*ROUND((L83*M83*O83)/2,0),ROUND((L83*M83*O83),0))</f>
        <v/>
      </c>
      <c r="Q83" s="37">
        <f>IF(AND(B83="South Korea",scenario="MID"),korea_mid_load,load_sel)</f>
        <v/>
      </c>
      <c r="R83" s="38">
        <f>pax_cap*Q83</f>
        <v/>
      </c>
      <c r="S83" s="36">
        <f>R83*P83</f>
        <v/>
      </c>
      <c r="T83" s="39">
        <f>E83*discount</f>
        <v/>
      </c>
      <c r="U83" s="40">
        <f>T83*S83</f>
        <v/>
      </c>
      <c r="V83" s="40">
        <f>(battery/range_nm)*D83*P83*VLOOKUP(B83,country_opex,3,FALSE)</f>
        <v/>
      </c>
      <c r="W83" s="40">
        <f>VLOOKUP(B83,country_opex,2,FALSE)*crew_factor</f>
        <v/>
      </c>
      <c r="X83" s="40">
        <f>VLOOKUP(B83,country_opex,5,FALSE)</f>
        <v/>
      </c>
      <c r="Y83" s="40">
        <f>maint</f>
        <v/>
      </c>
      <c r="Z83" s="40">
        <f>VLOOKUP(B83,country_opex,7,FALSE)*ins_pct</f>
        <v/>
      </c>
      <c r="AA83" s="40">
        <f>charge_berth</f>
        <v/>
      </c>
      <c r="AB83" s="40">
        <f>V83+W83+X83+Y83+Z83+AA83</f>
        <v/>
      </c>
      <c r="AC83" s="40">
        <f>VLOOKUP(B83,country_opex,7,FALSE)/dep_years</f>
        <v/>
      </c>
      <c r="AD83" s="40">
        <f>U83-AB83</f>
        <v/>
      </c>
      <c r="AE83" s="37">
        <f>IF(U83=0,"",AD83/U83)</f>
        <v/>
      </c>
      <c r="AF83" s="38">
        <f>IF(AD83&lt;=0,"",VLOOKUP(B83,country_opex,7,FALSE)/AD83)</f>
        <v/>
      </c>
      <c r="AG83" s="35">
        <f>((D83*P83/diesel_nmpg)*diesel_co2pg-(battery/range_nm)*D83*P83*VLOOKUP(B83,country_opex,4,FALSE))/1000</f>
        <v/>
      </c>
      <c r="AH83" s="33" t="n"/>
      <c r="AI83" s="34" t="n"/>
      <c r="AJ83" s="34" t="n"/>
      <c r="AK83" s="41" t="n">
        <v>0.1</v>
      </c>
      <c r="AL83" s="36">
        <f>IF(AH83="","",AH83*AK83)</f>
        <v/>
      </c>
      <c r="AM83" s="36">
        <f>IF(OR(AH83="",S83=0),"",MIN(IF(AU83="",9.9E+99,AU83),FLOOR(AL83/S83,1)))</f>
        <v/>
      </c>
      <c r="AN83" s="40">
        <f>IF(AM83="","",AM83*IF(ABS(MOD(ABS((U83)),1)-0.5)&lt;1E-9,2*ROUND((U83)/2,0),ROUND((U83),0)))</f>
        <v/>
      </c>
      <c r="AO83" s="38">
        <f>IF(OR(AH83="",S83=0),"",MIN(IF(AU83="",9.9E+99,AU83),AL83/S83))</f>
        <v/>
      </c>
      <c r="AP83" s="40">
        <f>IF(AO83="","",AO83*IF(B83="South Korea",IF(ABS(MOD(ABS((U83)),1)-0.5)&lt;1E-9,2*ROUND((U83)/2,0),ROUND((U83),0)),U83))</f>
        <v/>
      </c>
      <c r="AQ83" s="42" t="n"/>
      <c r="AR83" s="34" t="inlineStr">
        <is>
          <t>Estimated</t>
        </is>
      </c>
      <c r="AS83" s="43" t="n"/>
      <c r="AT83" s="43" t="n"/>
      <c r="AU83" s="44" t="n"/>
      <c r="AV83" s="45">
        <f>IF(((T83*pax_cap*load_thin*IF(ABS(MOD(ABS((L83*M83*revleg_thin)),1)-0.5)&lt;1E-9,2*ROUND((L83*M83*revleg_thin)/2,0),ROUND((L83*M83*revleg_thin),0)))-(((battery/range_nm)*D83*IF(ABS(MOD(ABS((L83*M83*revleg_thin)),1)-0.5)&lt;1E-9,2*ROUND((L83*M83*revleg_thin)/2,0),ROUND((L83*M83*revleg_thin),0))*VLOOKUP(B83,country_opex,3,FALSE))+W83+X83+Y83+Z83+AA83))&lt;=0,"",VLOOKUP(B83,country_opex,7,FALSE)/((T83*pax_cap*load_thin*IF(ABS(MOD(ABS((L83*M83*revleg_thin)),1)-0.5)&lt;1E-9,2*ROUND((L83*M83*revleg_thin)/2,0),ROUND((L83*M83*revleg_thin),0)))-(((battery/range_nm)*D83*IF(ABS(MOD(ABS((L83*M83*revleg_thin)),1)-0.5)&lt;1E-9,2*ROUND((L83*M83*revleg_thin)/2,0),ROUND((L83*M83*revleg_thin),0))*VLOOKUP(B83,country_opex,3,FALSE))+W83+X83+Y83+Z83+AA83)))</f>
        <v/>
      </c>
      <c r="AW83" s="45">
        <f>IF(((T83*pax_cap*IF(B83="South Korea",korea_mid_load,load_mid)*IF(ABS(MOD(ABS((L83*M83*IF(B83="South Korea",korea_mid_revleg,revleg_mid))),1)-0.5)&lt;1E-9,2*ROUND((L83*M83*IF(B83="South Korea",korea_mid_revleg,revleg_mid))/2,0),ROUND((L83*M83*IF(B83="South Korea",korea_mid_revleg,revleg_mid)),0)))-(((battery/range_nm)*D83*IF(ABS(MOD(ABS((L83*M83*IF(B83="South Korea",korea_mid_revleg,revleg_mid))),1)-0.5)&lt;1E-9,2*ROUND((L83*M83*IF(B83="South Korea",korea_mid_revleg,revleg_mid))/2,0),ROUND((L83*M83*IF(B83="South Korea",korea_mid_revleg,revleg_mid)),0))*VLOOKUP(B83,country_opex,3,FALSE))+W83+X83+Y83+Z83+AA83))&lt;=0,"",VLOOKUP(B83,country_opex,7,FALSE)/((T83*pax_cap*IF(B83="South Korea",korea_mid_load,load_mid)*IF(ABS(MOD(ABS((L83*M83*IF(B83="South Korea",korea_mid_revleg,revleg_mid))),1)-0.5)&lt;1E-9,2*ROUND((L83*M83*IF(B83="South Korea",korea_mid_revleg,revleg_mid))/2,0),ROUND((L83*M83*IF(B83="South Korea",korea_mid_revleg,revleg_mid)),0)))-(((battery/range_nm)*D83*IF(ABS(MOD(ABS((L83*M83*IF(B83="South Korea",korea_mid_revleg,revleg_mid))),1)-0.5)&lt;1E-9,2*ROUND((L83*M83*IF(B83="South Korea",korea_mid_revleg,revleg_mid))/2,0),ROUND((L83*M83*IF(B83="South Korea",korea_mid_revleg,revleg_mid)),0))*VLOOKUP(B83,country_opex,3,FALSE))+W83+X83+Y83+Z83+AA83)))</f>
        <v/>
      </c>
      <c r="AX83" s="45">
        <f>IF(((T83*pax_cap*load_full*IF(ABS(MOD(ABS((L83*M83*revleg_full)),1)-0.5)&lt;1E-9,2*ROUND((L83*M83*revleg_full)/2,0),ROUND((L83*M83*revleg_full),0)))-(((battery/range_nm)*D83*IF(ABS(MOD(ABS((L83*M83*revleg_full)),1)-0.5)&lt;1E-9,2*ROUND((L83*M83*revleg_full)/2,0),ROUND((L83*M83*revleg_full),0))*VLOOKUP(B83,country_opex,3,FALSE))+W83+X83+Y83+Z83+AA83))&lt;=0,"",VLOOKUP(B83,country_opex,7,FALSE)/((T83*pax_cap*load_full*IF(ABS(MOD(ABS((L83*M83*revleg_full)),1)-0.5)&lt;1E-9,2*ROUND((L83*M83*revleg_full)/2,0),ROUND((L83*M83*revleg_full),0)))-(((battery/range_nm)*D83*IF(ABS(MOD(ABS((L83*M83*revleg_full)),1)-0.5)&lt;1E-9,2*ROUND((L83*M83*revleg_full)/2,0),ROUND((L83*M83*revleg_full),0))*VLOOKUP(B83,country_opex,3,FALSE))+W83+X83+Y83+Z83+AA83)))</f>
        <v/>
      </c>
      <c r="AY83" s="46" t="inlineStr">
        <is>
          <t>PROXY: no direct scheduled water service Dublin City-&gt;Dalkey today; using the Dublin Bay Cruises southern-leg leisure seat ~EUR 30 (comparable distance/scenic premium) as the per-seat anchor. EUR 30 x 1.08 = $32.40. Flagged as a proxy, not a directly-quoted Dalkey fare.</t>
        </is>
      </c>
      <c r="AZ83" s="46" t="n"/>
      <c r="BA83" s="34" t="n"/>
    </row>
    <row r="84">
      <c r="A84" s="31" t="inlineStr">
        <is>
          <t>Bolt Ireland</t>
        </is>
      </c>
      <c r="B84" s="31" t="inlineStr">
        <is>
          <t>Ireland</t>
        </is>
      </c>
      <c r="C84" s="32" t="inlineStr">
        <is>
          <t>Dublin Port → Holyhead (Wales)</t>
        </is>
      </c>
      <c r="D84" s="33" t="n">
        <v>67</v>
      </c>
      <c r="E84" s="27" t="n">
        <v>48.6</v>
      </c>
      <c r="F84" s="34" t="inlineStr">
        <is>
          <t>T2</t>
        </is>
      </c>
      <c r="G84" s="34" t="inlineStr">
        <is>
          <t>med</t>
        </is>
      </c>
      <c r="H84" s="20" t="n">
        <v>1</v>
      </c>
      <c r="I84" s="35">
        <f>60*D84/cruise_kt</f>
        <v/>
      </c>
      <c r="J84" s="35">
        <f>IF(B84="South Korea",D84/korea_charge_range_nm*korea_full_range_charge_min,0)</f>
        <v/>
      </c>
      <c r="K84" s="35">
        <f>IF(B84="South Korea",I84+korea_turn_min+korea_dwell_min+J84,I84+turn_min+dwell_min)</f>
        <v/>
      </c>
      <c r="L84" s="36">
        <f>IF(B84="South Korea",FLOOR(60*korea_service_hr/K84,1),MIN(15,FLOOR(60*service_hr/K84,1)))</f>
        <v/>
      </c>
      <c r="M84" s="36">
        <f>IF(ABS(MOD(ABS((365*mech_uptime*H84)),1)-0.5)&lt;1E-9,2*ROUND((365*mech_uptime*H84)/2,0),ROUND((365*mech_uptime*H84),0))</f>
        <v/>
      </c>
      <c r="N84" s="37">
        <f>mech_uptime</f>
        <v/>
      </c>
      <c r="O84" s="37">
        <f>IF(AND(B84="South Korea",scenario="MID"),korea_mid_revleg,revleg_sel)</f>
        <v/>
      </c>
      <c r="P84" s="36">
        <f>IF(ABS(MOD(ABS((L84*M84*O84)),1)-0.5)&lt;1E-9,2*ROUND((L84*M84*O84)/2,0),ROUND((L84*M84*O84),0))</f>
        <v/>
      </c>
      <c r="Q84" s="37">
        <f>IF(AND(B84="South Korea",scenario="MID"),korea_mid_load,load_sel)</f>
        <v/>
      </c>
      <c r="R84" s="38">
        <f>pax_cap*Q84</f>
        <v/>
      </c>
      <c r="S84" s="36">
        <f>R84*P84</f>
        <v/>
      </c>
      <c r="T84" s="39">
        <f>E84*discount</f>
        <v/>
      </c>
      <c r="U84" s="40">
        <f>T84*S84</f>
        <v/>
      </c>
      <c r="V84" s="40">
        <f>(battery/range_nm)*D84*P84*VLOOKUP(B84,country_opex,3,FALSE)</f>
        <v/>
      </c>
      <c r="W84" s="40">
        <f>VLOOKUP(B84,country_opex,2,FALSE)*crew_factor</f>
        <v/>
      </c>
      <c r="X84" s="40">
        <f>VLOOKUP(B84,country_opex,5,FALSE)</f>
        <v/>
      </c>
      <c r="Y84" s="40">
        <f>maint</f>
        <v/>
      </c>
      <c r="Z84" s="40">
        <f>VLOOKUP(B84,country_opex,7,FALSE)*ins_pct</f>
        <v/>
      </c>
      <c r="AA84" s="40">
        <f>charge_berth</f>
        <v/>
      </c>
      <c r="AB84" s="40">
        <f>V84+W84+X84+Y84+Z84+AA84</f>
        <v/>
      </c>
      <c r="AC84" s="40">
        <f>VLOOKUP(B84,country_opex,7,FALSE)/dep_years</f>
        <v/>
      </c>
      <c r="AD84" s="40">
        <f>U84-AB84</f>
        <v/>
      </c>
      <c r="AE84" s="37">
        <f>IF(U84=0,"",AD84/U84)</f>
        <v/>
      </c>
      <c r="AF84" s="38">
        <f>IF(AD84&lt;=0,"",VLOOKUP(B84,country_opex,7,FALSE)/AD84)</f>
        <v/>
      </c>
      <c r="AG84" s="35">
        <f>((D84*P84/diesel_nmpg)*diesel_co2pg-(battery/range_nm)*D84*P84*VLOOKUP(B84,country_opex,4,FALSE))/1000</f>
        <v/>
      </c>
      <c r="AH84" s="33" t="n"/>
      <c r="AI84" s="34" t="n"/>
      <c r="AJ84" s="34" t="n"/>
      <c r="AK84" s="41" t="n">
        <v>0.1</v>
      </c>
      <c r="AL84" s="36">
        <f>IF(AH84="","",AH84*AK84)</f>
        <v/>
      </c>
      <c r="AM84" s="36">
        <f>IF(OR(AH84="",S84=0),"",MIN(IF(AU84="",9.9E+99,AU84),FLOOR(AL84/S84,1)))</f>
        <v/>
      </c>
      <c r="AN84" s="40">
        <f>IF(AM84="","",AM84*IF(ABS(MOD(ABS((U84)),1)-0.5)&lt;1E-9,2*ROUND((U84)/2,0),ROUND((U84),0)))</f>
        <v/>
      </c>
      <c r="AO84" s="38">
        <f>IF(OR(AH84="",S84=0),"",MIN(IF(AU84="",9.9E+99,AU84),AL84/S84))</f>
        <v/>
      </c>
      <c r="AP84" s="40">
        <f>IF(AO84="","",AO84*IF(B84="South Korea",IF(ABS(MOD(ABS((U84)),1)-0.5)&lt;1E-9,2*ROUND((U84)/2,0),ROUND((U84),0)),U84))</f>
        <v/>
      </c>
      <c r="AQ84" s="42" t="n"/>
      <c r="AR84" s="34" t="inlineStr">
        <is>
          <t>Estimated</t>
        </is>
      </c>
      <c r="AS84" s="43" t="n"/>
      <c r="AT84" s="43" t="n"/>
      <c r="AU84" s="44" t="n"/>
      <c r="AV84" s="45">
        <f>IF(((T84*pax_cap*load_thin*IF(ABS(MOD(ABS((L84*M84*revleg_thin)),1)-0.5)&lt;1E-9,2*ROUND((L84*M84*revleg_thin)/2,0),ROUND((L84*M84*revleg_thin),0)))-(((battery/range_nm)*D84*IF(ABS(MOD(ABS((L84*M84*revleg_thin)),1)-0.5)&lt;1E-9,2*ROUND((L84*M84*revleg_thin)/2,0),ROUND((L84*M84*revleg_thin),0))*VLOOKUP(B84,country_opex,3,FALSE))+W84+X84+Y84+Z84+AA84))&lt;=0,"",VLOOKUP(B84,country_opex,7,FALSE)/((T84*pax_cap*load_thin*IF(ABS(MOD(ABS((L84*M84*revleg_thin)),1)-0.5)&lt;1E-9,2*ROUND((L84*M84*revleg_thin)/2,0),ROUND((L84*M84*revleg_thin),0)))-(((battery/range_nm)*D84*IF(ABS(MOD(ABS((L84*M84*revleg_thin)),1)-0.5)&lt;1E-9,2*ROUND((L84*M84*revleg_thin)/2,0),ROUND((L84*M84*revleg_thin),0))*VLOOKUP(B84,country_opex,3,FALSE))+W84+X84+Y84+Z84+AA84)))</f>
        <v/>
      </c>
      <c r="AW84" s="45">
        <f>IF(((T84*pax_cap*IF(B84="South Korea",korea_mid_load,load_mid)*IF(ABS(MOD(ABS((L84*M84*IF(B84="South Korea",korea_mid_revleg,revleg_mid))),1)-0.5)&lt;1E-9,2*ROUND((L84*M84*IF(B84="South Korea",korea_mid_revleg,revleg_mid))/2,0),ROUND((L84*M84*IF(B84="South Korea",korea_mid_revleg,revleg_mid)),0)))-(((battery/range_nm)*D84*IF(ABS(MOD(ABS((L84*M84*IF(B84="South Korea",korea_mid_revleg,revleg_mid))),1)-0.5)&lt;1E-9,2*ROUND((L84*M84*IF(B84="South Korea",korea_mid_revleg,revleg_mid))/2,0),ROUND((L84*M84*IF(B84="South Korea",korea_mid_revleg,revleg_mid)),0))*VLOOKUP(B84,country_opex,3,FALSE))+W84+X84+Y84+Z84+AA84))&lt;=0,"",VLOOKUP(B84,country_opex,7,FALSE)/((T84*pax_cap*IF(B84="South Korea",korea_mid_load,load_mid)*IF(ABS(MOD(ABS((L84*M84*IF(B84="South Korea",korea_mid_revleg,revleg_mid))),1)-0.5)&lt;1E-9,2*ROUND((L84*M84*IF(B84="South Korea",korea_mid_revleg,revleg_mid))/2,0),ROUND((L84*M84*IF(B84="South Korea",korea_mid_revleg,revleg_mid)),0)))-(((battery/range_nm)*D84*IF(ABS(MOD(ABS((L84*M84*IF(B84="South Korea",korea_mid_revleg,revleg_mid))),1)-0.5)&lt;1E-9,2*ROUND((L84*M84*IF(B84="South Korea",korea_mid_revleg,revleg_mid))/2,0),ROUND((L84*M84*IF(B84="South Korea",korea_mid_revleg,revleg_mid)),0))*VLOOKUP(B84,country_opex,3,FALSE))+W84+X84+Y84+Z84+AA84)))</f>
        <v/>
      </c>
      <c r="AX84" s="45">
        <f>IF(((T84*pax_cap*load_full*IF(ABS(MOD(ABS((L84*M84*revleg_full)),1)-0.5)&lt;1E-9,2*ROUND((L84*M84*revleg_full)/2,0),ROUND((L84*M84*revleg_full),0)))-(((battery/range_nm)*D84*IF(ABS(MOD(ABS((L84*M84*revleg_full)),1)-0.5)&lt;1E-9,2*ROUND((L84*M84*revleg_full)/2,0),ROUND((L84*M84*revleg_full),0))*VLOOKUP(B84,country_opex,3,FALSE))+W84+X84+Y84+Z84+AA84))&lt;=0,"",VLOOKUP(B84,country_opex,7,FALSE)/((T84*pax_cap*load_full*IF(ABS(MOD(ABS((L84*M84*revleg_full)),1)-0.5)&lt;1E-9,2*ROUND((L84*M84*revleg_full)/2,0),ROUND((L84*M84*revleg_full),0)))-(((battery/range_nm)*D84*IF(ABS(MOD(ABS((L84*M84*revleg_full)),1)-0.5)&lt;1E-9,2*ROUND((L84*M84*revleg_full)/2,0),ROUND((L84*M84*revleg_full),0))*VLOOKUP(B84,country_opex,3,FALSE))+W84+X84+Y84+Z84+AA84)))</f>
        <v/>
      </c>
      <c r="AY84" s="46" t="inlineStr">
        <is>
          <t>Foot-passenger one-way fare from ~EUR 42-45 (Stena Line / Irish Ferries, Dublin&lt;-&gt;Holyhead; Direct Ferries quotes 'from ~$42'). Using ~EUR 45 x 1.08 = $48.60. Premium/Club lounge tiers run higher.</t>
        </is>
      </c>
      <c r="AZ84" s="46" t="n"/>
      <c r="BA84" s="34" t="n"/>
    </row>
    <row r="85">
      <c r="A85" s="31" t="inlineStr">
        <is>
          <t>Bolt Israel</t>
        </is>
      </c>
      <c r="B85" s="31" t="inlineStr">
        <is>
          <t>Israel</t>
        </is>
      </c>
      <c r="C85" s="32" t="inlineStr">
        <is>
          <t>Tel Aviv → Jaffa (Old Jaffa Port)</t>
        </is>
      </c>
      <c r="D85" s="33" t="n">
        <v>2.2</v>
      </c>
      <c r="E85" s="27" t="n">
        <v>130</v>
      </c>
      <c r="F85" s="34" t="inlineStr">
        <is>
          <t>T2</t>
        </is>
      </c>
      <c r="G85" s="34" t="inlineStr">
        <is>
          <t>med</t>
        </is>
      </c>
      <c r="H85" s="20" t="n">
        <v>1</v>
      </c>
      <c r="I85" s="35">
        <f>60*D85/cruise_kt</f>
        <v/>
      </c>
      <c r="J85" s="35">
        <f>IF(B85="South Korea",D85/korea_charge_range_nm*korea_full_range_charge_min,0)</f>
        <v/>
      </c>
      <c r="K85" s="35">
        <f>IF(B85="South Korea",I85+korea_turn_min+korea_dwell_min+J85,I85+turn_min+dwell_min)</f>
        <v/>
      </c>
      <c r="L85" s="36">
        <f>IF(B85="South Korea",FLOOR(60*korea_service_hr/K85,1),MIN(24,FLOOR(60*service_hr/K85,1)))</f>
        <v/>
      </c>
      <c r="M85" s="36">
        <f>IF(ABS(MOD(ABS((365*mech_uptime*H85)),1)-0.5)&lt;1E-9,2*ROUND((365*mech_uptime*H85)/2,0),ROUND((365*mech_uptime*H85),0))</f>
        <v/>
      </c>
      <c r="N85" s="37">
        <f>mech_uptime</f>
        <v/>
      </c>
      <c r="O85" s="37">
        <f>IF(AND(B85="South Korea",scenario="MID"),korea_mid_revleg,revleg_sel)</f>
        <v/>
      </c>
      <c r="P85" s="36">
        <f>IF(ABS(MOD(ABS((L85*M85*O85)),1)-0.5)&lt;1E-9,2*ROUND((L85*M85*O85)/2,0),ROUND((L85*M85*O85),0))</f>
        <v/>
      </c>
      <c r="Q85" s="37">
        <f>IF(AND(B85="South Korea",scenario="MID"),korea_mid_load,load_sel)</f>
        <v/>
      </c>
      <c r="R85" s="38">
        <f>pax_cap*Q85</f>
        <v/>
      </c>
      <c r="S85" s="36">
        <f>R85*P85</f>
        <v/>
      </c>
      <c r="T85" s="39">
        <f>E85*discount</f>
        <v/>
      </c>
      <c r="U85" s="40">
        <f>T85*S85</f>
        <v/>
      </c>
      <c r="V85" s="40">
        <f>(battery/range_nm)*D85*P85*VLOOKUP(B85,country_opex,3,FALSE)</f>
        <v/>
      </c>
      <c r="W85" s="40">
        <f>VLOOKUP(B85,country_opex,2,FALSE)*crew_factor</f>
        <v/>
      </c>
      <c r="X85" s="40">
        <f>VLOOKUP(B85,country_opex,5,FALSE)</f>
        <v/>
      </c>
      <c r="Y85" s="40">
        <f>maint</f>
        <v/>
      </c>
      <c r="Z85" s="40">
        <f>VLOOKUP(B85,country_opex,7,FALSE)*ins_pct</f>
        <v/>
      </c>
      <c r="AA85" s="40">
        <f>charge_berth</f>
        <v/>
      </c>
      <c r="AB85" s="40">
        <f>V85+W85+X85+Y85+Z85+AA85</f>
        <v/>
      </c>
      <c r="AC85" s="40">
        <f>VLOOKUP(B85,country_opex,7,FALSE)/dep_years</f>
        <v/>
      </c>
      <c r="AD85" s="40">
        <f>U85-AB85</f>
        <v/>
      </c>
      <c r="AE85" s="37">
        <f>IF(U85=0,"",AD85/U85)</f>
        <v/>
      </c>
      <c r="AF85" s="38">
        <f>IF(AD85&lt;=0,"",VLOOKUP(B85,country_opex,7,FALSE)/AD85)</f>
        <v/>
      </c>
      <c r="AG85" s="35">
        <f>((D85*P85/diesel_nmpg)*diesel_co2pg-(battery/range_nm)*D85*P85*VLOOKUP(B85,country_opex,4,FALSE))/1000</f>
        <v/>
      </c>
      <c r="AH85" s="33" t="n"/>
      <c r="AI85" s="34" t="n"/>
      <c r="AJ85" s="34" t="n"/>
      <c r="AK85" s="41" t="n">
        <v>0.1</v>
      </c>
      <c r="AL85" s="36">
        <f>IF(AH85="","",AH85*AK85)</f>
        <v/>
      </c>
      <c r="AM85" s="36">
        <f>IF(OR(AH85="",S85=0),"",MIN(IF(AU85="",9.9E+99,AU85),FLOOR(AL85/S85,1)))</f>
        <v/>
      </c>
      <c r="AN85" s="40">
        <f>IF(AM85="","",AM85*IF(ABS(MOD(ABS((U85)),1)-0.5)&lt;1E-9,2*ROUND((U85)/2,0),ROUND((U85),0)))</f>
        <v/>
      </c>
      <c r="AO85" s="38">
        <f>IF(OR(AH85="",S85=0),"",MIN(IF(AU85="",9.9E+99,AU85),AL85/S85))</f>
        <v/>
      </c>
      <c r="AP85" s="40">
        <f>IF(AO85="","",AO85*IF(B85="South Korea",IF(ABS(MOD(ABS((U85)),1)-0.5)&lt;1E-9,2*ROUND((U85)/2,0),ROUND((U85),0)),U85))</f>
        <v/>
      </c>
      <c r="AQ85" s="42" t="n"/>
      <c r="AR85" s="34" t="inlineStr">
        <is>
          <t>Estimated</t>
        </is>
      </c>
      <c r="AS85" s="43" t="n"/>
      <c r="AT85" s="43" t="n"/>
      <c r="AU85" s="44" t="n"/>
      <c r="AV85" s="45">
        <f>IF(((T85*pax_cap*load_thin*IF(ABS(MOD(ABS((L85*M85*revleg_thin)),1)-0.5)&lt;1E-9,2*ROUND((L85*M85*revleg_thin)/2,0),ROUND((L85*M85*revleg_thin),0)))-(((battery/range_nm)*D85*IF(ABS(MOD(ABS((L85*M85*revleg_thin)),1)-0.5)&lt;1E-9,2*ROUND((L85*M85*revleg_thin)/2,0),ROUND((L85*M85*revleg_thin),0))*VLOOKUP(B85,country_opex,3,FALSE))+W85+X85+Y85+Z85+AA85))&lt;=0,"",VLOOKUP(B85,country_opex,7,FALSE)/((T85*pax_cap*load_thin*IF(ABS(MOD(ABS((L85*M85*revleg_thin)),1)-0.5)&lt;1E-9,2*ROUND((L85*M85*revleg_thin)/2,0),ROUND((L85*M85*revleg_thin),0)))-(((battery/range_nm)*D85*IF(ABS(MOD(ABS((L85*M85*revleg_thin)),1)-0.5)&lt;1E-9,2*ROUND((L85*M85*revleg_thin)/2,0),ROUND((L85*M85*revleg_thin),0))*VLOOKUP(B85,country_opex,3,FALSE))+W85+X85+Y85+Z85+AA85)))</f>
        <v/>
      </c>
      <c r="AW85" s="45">
        <f>IF(((T85*pax_cap*IF(B85="South Korea",korea_mid_load,load_mid)*IF(ABS(MOD(ABS((L85*M85*IF(B85="South Korea",korea_mid_revleg,revleg_mid))),1)-0.5)&lt;1E-9,2*ROUND((L85*M85*IF(B85="South Korea",korea_mid_revleg,revleg_mid))/2,0),ROUND((L85*M85*IF(B85="South Korea",korea_mid_revleg,revleg_mid)),0)))-(((battery/range_nm)*D85*IF(ABS(MOD(ABS((L85*M85*IF(B85="South Korea",korea_mid_revleg,revleg_mid))),1)-0.5)&lt;1E-9,2*ROUND((L85*M85*IF(B85="South Korea",korea_mid_revleg,revleg_mid))/2,0),ROUND((L85*M85*IF(B85="South Korea",korea_mid_revleg,revleg_mid)),0))*VLOOKUP(B85,country_opex,3,FALSE))+W85+X85+Y85+Z85+AA85))&lt;=0,"",VLOOKUP(B85,country_opex,7,FALSE)/((T85*pax_cap*IF(B85="South Korea",korea_mid_load,load_mid)*IF(ABS(MOD(ABS((L85*M85*IF(B85="South Korea",korea_mid_revleg,revleg_mid))),1)-0.5)&lt;1E-9,2*ROUND((L85*M85*IF(B85="South Korea",korea_mid_revleg,revleg_mid))/2,0),ROUND((L85*M85*IF(B85="South Korea",korea_mid_revleg,revleg_mid)),0)))-(((battery/range_nm)*D85*IF(ABS(MOD(ABS((L85*M85*IF(B85="South Korea",korea_mid_revleg,revleg_mid))),1)-0.5)&lt;1E-9,2*ROUND((L85*M85*IF(B85="South Korea",korea_mid_revleg,revleg_mid))/2,0),ROUND((L85*M85*IF(B85="South Korea",korea_mid_revleg,revleg_mid)),0))*VLOOKUP(B85,country_opex,3,FALSE))+W85+X85+Y85+Z85+AA85)))</f>
        <v/>
      </c>
      <c r="AX85" s="45">
        <f>IF(((T85*pax_cap*load_full*IF(ABS(MOD(ABS((L85*M85*revleg_full)),1)-0.5)&lt;1E-9,2*ROUND((L85*M85*revleg_full)/2,0),ROUND((L85*M85*revleg_full),0)))-(((battery/range_nm)*D85*IF(ABS(MOD(ABS((L85*M85*revleg_full)),1)-0.5)&lt;1E-9,2*ROUND((L85*M85*revleg_full)/2,0),ROUND((L85*M85*revleg_full),0))*VLOOKUP(B85,country_opex,3,FALSE))+W85+X85+Y85+Z85+AA85))&lt;=0,"",VLOOKUP(B85,country_opex,7,FALSE)/((T85*pax_cap*load_full*IF(ABS(MOD(ABS((L85*M85*revleg_full)),1)-0.5)&lt;1E-9,2*ROUND((L85*M85*revleg_full)/2,0),ROUND((L85*M85*revleg_full),0)))-(((battery/range_nm)*D85*IF(ABS(MOD(ABS((L85*M85*revleg_full)),1)-0.5)&lt;1E-9,2*ROUND((L85*M85*revleg_full)/2,0),ROUND((L85*M85*revleg_full),0))*VLOOKUP(B85,country_opex,3,FALSE))+W85+X85+Y85+Z85+AA85)))</f>
        <v/>
      </c>
      <c r="AY85" s="46" t="inlineStr">
        <is>
          <t>PREMIUM/excursion proxy: same Tel Aviv Marina shared skyline cruise ~$130/person (GetYourGuide, 2026); a dedicated Jaffa/Tel Aviv/Bat Yam small-group cruise lists from $299 and a 30-min TLV-Jaffa skyline cruise from $150. Excursion fares, not transfer fares.</t>
        </is>
      </c>
      <c r="AZ85" s="46" t="n"/>
      <c r="BA85" s="34" t="n"/>
    </row>
    <row r="86">
      <c r="A86" s="31" t="inlineStr">
        <is>
          <t>Bolt Israel</t>
        </is>
      </c>
      <c r="B86" s="31" t="inlineStr">
        <is>
          <t>Israel</t>
        </is>
      </c>
      <c r="C86" s="32" t="inlineStr">
        <is>
          <t>Haifa → Akko (Acre)</t>
        </is>
      </c>
      <c r="D86" s="33" t="n">
        <v>6.8</v>
      </c>
      <c r="E86" s="27" t="n">
        <v>11</v>
      </c>
      <c r="F86" s="34" t="inlineStr">
        <is>
          <t>T2</t>
        </is>
      </c>
      <c r="G86" s="34" t="inlineStr">
        <is>
          <t>med</t>
        </is>
      </c>
      <c r="H86" s="20" t="n">
        <v>1</v>
      </c>
      <c r="I86" s="35">
        <f>60*D86/cruise_kt</f>
        <v/>
      </c>
      <c r="J86" s="35">
        <f>IF(B86="South Korea",D86/korea_charge_range_nm*korea_full_range_charge_min,0)</f>
        <v/>
      </c>
      <c r="K86" s="35">
        <f>IF(B86="South Korea",I86+korea_turn_min+korea_dwell_min+J86,I86+turn_min+dwell_min)</f>
        <v/>
      </c>
      <c r="L86" s="36">
        <f>IF(B86="South Korea",FLOOR(60*korea_service_hr/K86,1),MIN(15,FLOOR(60*service_hr/K86,1)))</f>
        <v/>
      </c>
      <c r="M86" s="36">
        <f>IF(ABS(MOD(ABS((365*mech_uptime*H86)),1)-0.5)&lt;1E-9,2*ROUND((365*mech_uptime*H86)/2,0),ROUND((365*mech_uptime*H86),0))</f>
        <v/>
      </c>
      <c r="N86" s="37">
        <f>mech_uptime</f>
        <v/>
      </c>
      <c r="O86" s="37">
        <f>IF(AND(B86="South Korea",scenario="MID"),korea_mid_revleg,revleg_sel)</f>
        <v/>
      </c>
      <c r="P86" s="36">
        <f>IF(ABS(MOD(ABS((L86*M86*O86)),1)-0.5)&lt;1E-9,2*ROUND((L86*M86*O86)/2,0),ROUND((L86*M86*O86),0))</f>
        <v/>
      </c>
      <c r="Q86" s="37">
        <f>IF(AND(B86="South Korea",scenario="MID"),korea_mid_load,load_sel)</f>
        <v/>
      </c>
      <c r="R86" s="38">
        <f>pax_cap*Q86</f>
        <v/>
      </c>
      <c r="S86" s="36">
        <f>R86*P86</f>
        <v/>
      </c>
      <c r="T86" s="39">
        <f>E86*discount</f>
        <v/>
      </c>
      <c r="U86" s="40">
        <f>T86*S86</f>
        <v/>
      </c>
      <c r="V86" s="40">
        <f>(battery/range_nm)*D86*P86*VLOOKUP(B86,country_opex,3,FALSE)</f>
        <v/>
      </c>
      <c r="W86" s="40">
        <f>VLOOKUP(B86,country_opex,2,FALSE)*crew_factor</f>
        <v/>
      </c>
      <c r="X86" s="40">
        <f>VLOOKUP(B86,country_opex,5,FALSE)</f>
        <v/>
      </c>
      <c r="Y86" s="40">
        <f>maint</f>
        <v/>
      </c>
      <c r="Z86" s="40">
        <f>VLOOKUP(B86,country_opex,7,FALSE)*ins_pct</f>
        <v/>
      </c>
      <c r="AA86" s="40">
        <f>charge_berth</f>
        <v/>
      </c>
      <c r="AB86" s="40">
        <f>V86+W86+X86+Y86+Z86+AA86</f>
        <v/>
      </c>
      <c r="AC86" s="40">
        <f>VLOOKUP(B86,country_opex,7,FALSE)/dep_years</f>
        <v/>
      </c>
      <c r="AD86" s="40">
        <f>U86-AB86</f>
        <v/>
      </c>
      <c r="AE86" s="37">
        <f>IF(U86=0,"",AD86/U86)</f>
        <v/>
      </c>
      <c r="AF86" s="38">
        <f>IF(AD86&lt;=0,"",VLOOKUP(B86,country_opex,7,FALSE)/AD86)</f>
        <v/>
      </c>
      <c r="AG86" s="35">
        <f>((D86*P86/diesel_nmpg)*diesel_co2pg-(battery/range_nm)*D86*P86*VLOOKUP(B86,country_opex,4,FALSE))/1000</f>
        <v/>
      </c>
      <c r="AH86" s="33" t="n">
        <v>1500000</v>
      </c>
      <c r="AI86" s="34" t="n"/>
      <c r="AJ86" s="34" t="n"/>
      <c r="AK86" s="41" t="n">
        <v>0.1</v>
      </c>
      <c r="AL86" s="36">
        <f>IF(AH86="","",AH86*AK86)</f>
        <v/>
      </c>
      <c r="AM86" s="36">
        <f>IF(OR(AH86="",S86=0),"",MIN(IF(AU86="",9.9E+99,AU86),FLOOR(AL86/S86,1)))</f>
        <v/>
      </c>
      <c r="AN86" s="40">
        <f>IF(AM86="","",AM86*IF(ABS(MOD(ABS((U86)),1)-0.5)&lt;1E-9,2*ROUND((U86)/2,0),ROUND((U86),0)))</f>
        <v/>
      </c>
      <c r="AO86" s="38">
        <f>IF(OR(AH86="",S86=0),"",MIN(IF(AU86="",9.9E+99,AU86),AL86/S86))</f>
        <v/>
      </c>
      <c r="AP86" s="40">
        <f>IF(AO86="","",AO86*IF(B86="South Korea",IF(ABS(MOD(ABS((U86)),1)-0.5)&lt;1E-9,2*ROUND((U86)/2,0),ROUND((U86),0)),U86))</f>
        <v/>
      </c>
      <c r="AQ86" s="42" t="n"/>
      <c r="AR86" s="34" t="inlineStr">
        <is>
          <t>Grounded</t>
        </is>
      </c>
      <c r="AS86" s="43" t="n"/>
      <c r="AT86" s="43" t="n"/>
      <c r="AU86" s="44" t="n"/>
      <c r="AV86" s="45">
        <f>IF(((T86*pax_cap*load_thin*IF(ABS(MOD(ABS((L86*M86*revleg_thin)),1)-0.5)&lt;1E-9,2*ROUND((L86*M86*revleg_thin)/2,0),ROUND((L86*M86*revleg_thin),0)))-(((battery/range_nm)*D86*IF(ABS(MOD(ABS((L86*M86*revleg_thin)),1)-0.5)&lt;1E-9,2*ROUND((L86*M86*revleg_thin)/2,0),ROUND((L86*M86*revleg_thin),0))*VLOOKUP(B86,country_opex,3,FALSE))+W86+X86+Y86+Z86+AA86))&lt;=0,"",VLOOKUP(B86,country_opex,7,FALSE)/((T86*pax_cap*load_thin*IF(ABS(MOD(ABS((L86*M86*revleg_thin)),1)-0.5)&lt;1E-9,2*ROUND((L86*M86*revleg_thin)/2,0),ROUND((L86*M86*revleg_thin),0)))-(((battery/range_nm)*D86*IF(ABS(MOD(ABS((L86*M86*revleg_thin)),1)-0.5)&lt;1E-9,2*ROUND((L86*M86*revleg_thin)/2,0),ROUND((L86*M86*revleg_thin),0))*VLOOKUP(B86,country_opex,3,FALSE))+W86+X86+Y86+Z86+AA86)))</f>
        <v/>
      </c>
      <c r="AW86" s="45">
        <f>IF(((T86*pax_cap*IF(B86="South Korea",korea_mid_load,load_mid)*IF(ABS(MOD(ABS((L86*M86*IF(B86="South Korea",korea_mid_revleg,revleg_mid))),1)-0.5)&lt;1E-9,2*ROUND((L86*M86*IF(B86="South Korea",korea_mid_revleg,revleg_mid))/2,0),ROUND((L86*M86*IF(B86="South Korea",korea_mid_revleg,revleg_mid)),0)))-(((battery/range_nm)*D86*IF(ABS(MOD(ABS((L86*M86*IF(B86="South Korea",korea_mid_revleg,revleg_mid))),1)-0.5)&lt;1E-9,2*ROUND((L86*M86*IF(B86="South Korea",korea_mid_revleg,revleg_mid))/2,0),ROUND((L86*M86*IF(B86="South Korea",korea_mid_revleg,revleg_mid)),0))*VLOOKUP(B86,country_opex,3,FALSE))+W86+X86+Y86+Z86+AA86))&lt;=0,"",VLOOKUP(B86,country_opex,7,FALSE)/((T86*pax_cap*IF(B86="South Korea",korea_mid_load,load_mid)*IF(ABS(MOD(ABS((L86*M86*IF(B86="South Korea",korea_mid_revleg,revleg_mid))),1)-0.5)&lt;1E-9,2*ROUND((L86*M86*IF(B86="South Korea",korea_mid_revleg,revleg_mid))/2,0),ROUND((L86*M86*IF(B86="South Korea",korea_mid_revleg,revleg_mid)),0)))-(((battery/range_nm)*D86*IF(ABS(MOD(ABS((L86*M86*IF(B86="South Korea",korea_mid_revleg,revleg_mid))),1)-0.5)&lt;1E-9,2*ROUND((L86*M86*IF(B86="South Korea",korea_mid_revleg,revleg_mid))/2,0),ROUND((L86*M86*IF(B86="South Korea",korea_mid_revleg,revleg_mid)),0))*VLOOKUP(B86,country_opex,3,FALSE))+W86+X86+Y86+Z86+AA86)))</f>
        <v/>
      </c>
      <c r="AX86" s="45">
        <f>IF(((T86*pax_cap*load_full*IF(ABS(MOD(ABS((L86*M86*revleg_full)),1)-0.5)&lt;1E-9,2*ROUND((L86*M86*revleg_full)/2,0),ROUND((L86*M86*revleg_full),0)))-(((battery/range_nm)*D86*IF(ABS(MOD(ABS((L86*M86*revleg_full)),1)-0.5)&lt;1E-9,2*ROUND((L86*M86*revleg_full)/2,0),ROUND((L86*M86*revleg_full),0))*VLOOKUP(B86,country_opex,3,FALSE))+W86+X86+Y86+Z86+AA86))&lt;=0,"",VLOOKUP(B86,country_opex,7,FALSE)/((T86*pax_cap*load_full*IF(ABS(MOD(ABS((L86*M86*revleg_full)),1)-0.5)&lt;1E-9,2*ROUND((L86*M86*revleg_full)/2,0),ROUND((L86*M86*revleg_full),0)))-(((battery/range_nm)*D86*IF(ABS(MOD(ABS((L86*M86*revleg_full)),1)-0.5)&lt;1E-9,2*ROUND((L86*M86*revleg_full)/2,0),ROUND((L86*M86*revleg_full),0))*VLOOKUP(B86,country_opex,3,FALSE))+W86+X86+Y86+Z86+AA86)))</f>
        <v/>
      </c>
      <c r="AY86" s="46" t="inlineStr">
        <is>
          <t>ACTUAL scheduled boat: Ferryline (Malkat Akko / 'Nesichat HaCarmel') Haifa&lt;-&gt;Akko one-way ticket NIS 40 (round-trip return leg discounted to NIS 30). NIS 40 / 3.65 = ~$11.0. The only real scheduled marine passenger fare in Israel; it doubles as both the premium tier AND the floor (no cheaper subsidized marine option exists).</t>
        </is>
      </c>
      <c r="AZ86" s="46" t="n"/>
      <c r="BA86" s="34" t="n"/>
    </row>
    <row r="87">
      <c r="A87" s="31" t="inlineStr">
        <is>
          <t>Bolt Israel</t>
        </is>
      </c>
      <c r="B87" s="31" t="inlineStr">
        <is>
          <t>Israel</t>
        </is>
      </c>
      <c r="C87" s="32" t="inlineStr">
        <is>
          <t>Tel Aviv Marina → Herzliya Marina</t>
        </is>
      </c>
      <c r="D87" s="33" t="n">
        <v>7</v>
      </c>
      <c r="E87" s="27" t="n">
        <v>130</v>
      </c>
      <c r="F87" s="34" t="inlineStr">
        <is>
          <t>T2</t>
        </is>
      </c>
      <c r="G87" s="34" t="inlineStr">
        <is>
          <t>med</t>
        </is>
      </c>
      <c r="H87" s="20" t="n">
        <v>1</v>
      </c>
      <c r="I87" s="35">
        <f>60*D87/cruise_kt</f>
        <v/>
      </c>
      <c r="J87" s="35">
        <f>IF(B87="South Korea",D87/korea_charge_range_nm*korea_full_range_charge_min,0)</f>
        <v/>
      </c>
      <c r="K87" s="35">
        <f>IF(B87="South Korea",I87+korea_turn_min+korea_dwell_min+J87,I87+turn_min+dwell_min)</f>
        <v/>
      </c>
      <c r="L87" s="36">
        <f>IF(B87="South Korea",FLOOR(60*korea_service_hr/K87,1),MIN(15,FLOOR(60*service_hr/K87,1)))</f>
        <v/>
      </c>
      <c r="M87" s="36">
        <f>IF(ABS(MOD(ABS((365*mech_uptime*H87)),1)-0.5)&lt;1E-9,2*ROUND((365*mech_uptime*H87)/2,0),ROUND((365*mech_uptime*H87),0))</f>
        <v/>
      </c>
      <c r="N87" s="37">
        <f>mech_uptime</f>
        <v/>
      </c>
      <c r="O87" s="37">
        <f>IF(AND(B87="South Korea",scenario="MID"),korea_mid_revleg,revleg_sel)</f>
        <v/>
      </c>
      <c r="P87" s="36">
        <f>IF(ABS(MOD(ABS((L87*M87*O87)),1)-0.5)&lt;1E-9,2*ROUND((L87*M87*O87)/2,0),ROUND((L87*M87*O87),0))</f>
        <v/>
      </c>
      <c r="Q87" s="37">
        <f>IF(AND(B87="South Korea",scenario="MID"),korea_mid_load,load_sel)</f>
        <v/>
      </c>
      <c r="R87" s="38">
        <f>pax_cap*Q87</f>
        <v/>
      </c>
      <c r="S87" s="36">
        <f>R87*P87</f>
        <v/>
      </c>
      <c r="T87" s="39">
        <f>E87*discount</f>
        <v/>
      </c>
      <c r="U87" s="40">
        <f>T87*S87</f>
        <v/>
      </c>
      <c r="V87" s="40">
        <f>(battery/range_nm)*D87*P87*VLOOKUP(B87,country_opex,3,FALSE)</f>
        <v/>
      </c>
      <c r="W87" s="40">
        <f>VLOOKUP(B87,country_opex,2,FALSE)*crew_factor</f>
        <v/>
      </c>
      <c r="X87" s="40">
        <f>VLOOKUP(B87,country_opex,5,FALSE)</f>
        <v/>
      </c>
      <c r="Y87" s="40">
        <f>maint</f>
        <v/>
      </c>
      <c r="Z87" s="40">
        <f>VLOOKUP(B87,country_opex,7,FALSE)*ins_pct</f>
        <v/>
      </c>
      <c r="AA87" s="40">
        <f>charge_berth</f>
        <v/>
      </c>
      <c r="AB87" s="40">
        <f>V87+W87+X87+Y87+Z87+AA87</f>
        <v/>
      </c>
      <c r="AC87" s="40">
        <f>VLOOKUP(B87,country_opex,7,FALSE)/dep_years</f>
        <v/>
      </c>
      <c r="AD87" s="40">
        <f>U87-AB87</f>
        <v/>
      </c>
      <c r="AE87" s="37">
        <f>IF(U87=0,"",AD87/U87)</f>
        <v/>
      </c>
      <c r="AF87" s="38">
        <f>IF(AD87&lt;=0,"",VLOOKUP(B87,country_opex,7,FALSE)/AD87)</f>
        <v/>
      </c>
      <c r="AG87" s="35">
        <f>((D87*P87/diesel_nmpg)*diesel_co2pg-(battery/range_nm)*D87*P87*VLOOKUP(B87,country_opex,4,FALSE))/1000</f>
        <v/>
      </c>
      <c r="AH87" s="33" t="n">
        <v>234753</v>
      </c>
      <c r="AI87" s="34" t="n"/>
      <c r="AJ87" s="34" t="n"/>
      <c r="AK87" s="41" t="n">
        <v>0.1</v>
      </c>
      <c r="AL87" s="36">
        <f>IF(AH87="","",AH87*AK87)</f>
        <v/>
      </c>
      <c r="AM87" s="36">
        <f>IF(OR(AH87="",S87=0),"",MIN(IF(AU87="",9.9E+99,AU87),FLOOR(AL87/S87,1)))</f>
        <v/>
      </c>
      <c r="AN87" s="40">
        <f>IF(AM87="","",AM87*IF(ABS(MOD(ABS((U87)),1)-0.5)&lt;1E-9,2*ROUND((U87)/2,0),ROUND((U87),0)))</f>
        <v/>
      </c>
      <c r="AO87" s="38">
        <f>IF(OR(AH87="",S87=0),"",MIN(IF(AU87="",9.9E+99,AU87),AL87/S87))</f>
        <v/>
      </c>
      <c r="AP87" s="40">
        <f>IF(AO87="","",AO87*IF(B87="South Korea",IF(ABS(MOD(ABS((U87)),1)-0.5)&lt;1E-9,2*ROUND((U87)/2,0),ROUND((U87),0)),U87))</f>
        <v/>
      </c>
      <c r="AQ87" s="42" t="n"/>
      <c r="AR87" s="34" t="inlineStr">
        <is>
          <t>Grounded</t>
        </is>
      </c>
      <c r="AS87" s="43" t="n"/>
      <c r="AT87" s="43" t="n"/>
      <c r="AU87" s="44" t="n"/>
      <c r="AV87" s="45">
        <f>IF(((T87*pax_cap*load_thin*IF(ABS(MOD(ABS((L87*M87*revleg_thin)),1)-0.5)&lt;1E-9,2*ROUND((L87*M87*revleg_thin)/2,0),ROUND((L87*M87*revleg_thin),0)))-(((battery/range_nm)*D87*IF(ABS(MOD(ABS((L87*M87*revleg_thin)),1)-0.5)&lt;1E-9,2*ROUND((L87*M87*revleg_thin)/2,0),ROUND((L87*M87*revleg_thin),0))*VLOOKUP(B87,country_opex,3,FALSE))+W87+X87+Y87+Z87+AA87))&lt;=0,"",VLOOKUP(B87,country_opex,7,FALSE)/((T87*pax_cap*load_thin*IF(ABS(MOD(ABS((L87*M87*revleg_thin)),1)-0.5)&lt;1E-9,2*ROUND((L87*M87*revleg_thin)/2,0),ROUND((L87*M87*revleg_thin),0)))-(((battery/range_nm)*D87*IF(ABS(MOD(ABS((L87*M87*revleg_thin)),1)-0.5)&lt;1E-9,2*ROUND((L87*M87*revleg_thin)/2,0),ROUND((L87*M87*revleg_thin),0))*VLOOKUP(B87,country_opex,3,FALSE))+W87+X87+Y87+Z87+AA87)))</f>
        <v/>
      </c>
      <c r="AW87" s="45">
        <f>IF(((T87*pax_cap*IF(B87="South Korea",korea_mid_load,load_mid)*IF(ABS(MOD(ABS((L87*M87*IF(B87="South Korea",korea_mid_revleg,revleg_mid))),1)-0.5)&lt;1E-9,2*ROUND((L87*M87*IF(B87="South Korea",korea_mid_revleg,revleg_mid))/2,0),ROUND((L87*M87*IF(B87="South Korea",korea_mid_revleg,revleg_mid)),0)))-(((battery/range_nm)*D87*IF(ABS(MOD(ABS((L87*M87*IF(B87="South Korea",korea_mid_revleg,revleg_mid))),1)-0.5)&lt;1E-9,2*ROUND((L87*M87*IF(B87="South Korea",korea_mid_revleg,revleg_mid))/2,0),ROUND((L87*M87*IF(B87="South Korea",korea_mid_revleg,revleg_mid)),0))*VLOOKUP(B87,country_opex,3,FALSE))+W87+X87+Y87+Z87+AA87))&lt;=0,"",VLOOKUP(B87,country_opex,7,FALSE)/((T87*pax_cap*IF(B87="South Korea",korea_mid_load,load_mid)*IF(ABS(MOD(ABS((L87*M87*IF(B87="South Korea",korea_mid_revleg,revleg_mid))),1)-0.5)&lt;1E-9,2*ROUND((L87*M87*IF(B87="South Korea",korea_mid_revleg,revleg_mid))/2,0),ROUND((L87*M87*IF(B87="South Korea",korea_mid_revleg,revleg_mid)),0)))-(((battery/range_nm)*D87*IF(ABS(MOD(ABS((L87*M87*IF(B87="South Korea",korea_mid_revleg,revleg_mid))),1)-0.5)&lt;1E-9,2*ROUND((L87*M87*IF(B87="South Korea",korea_mid_revleg,revleg_mid))/2,0),ROUND((L87*M87*IF(B87="South Korea",korea_mid_revleg,revleg_mid)),0))*VLOOKUP(B87,country_opex,3,FALSE))+W87+X87+Y87+Z87+AA87)))</f>
        <v/>
      </c>
      <c r="AX87" s="45">
        <f>IF(((T87*pax_cap*load_full*IF(ABS(MOD(ABS((L87*M87*revleg_full)),1)-0.5)&lt;1E-9,2*ROUND((L87*M87*revleg_full)/2,0),ROUND((L87*M87*revleg_full),0)))-(((battery/range_nm)*D87*IF(ABS(MOD(ABS((L87*M87*revleg_full)),1)-0.5)&lt;1E-9,2*ROUND((L87*M87*revleg_full)/2,0),ROUND((L87*M87*revleg_full),0))*VLOOKUP(B87,country_opex,3,FALSE))+W87+X87+Y87+Z87+AA87))&lt;=0,"",VLOOKUP(B87,country_opex,7,FALSE)/((T87*pax_cap*load_full*IF(ABS(MOD(ABS((L87*M87*revleg_full)),1)-0.5)&lt;1E-9,2*ROUND((L87*M87*revleg_full)/2,0),ROUND((L87*M87*revleg_full),0)))-(((battery/range_nm)*D87*IF(ABS(MOD(ABS((L87*M87*revleg_full)),1)-0.5)&lt;1E-9,2*ROUND((L87*M87*revleg_full)/2,0),ROUND((L87*M87*revleg_full),0))*VLOOKUP(B87,country_opex,3,FALSE))+W87+X87+Y87+Z87+AA87)))</f>
        <v/>
      </c>
      <c r="AY87" s="46" t="inlineStr">
        <is>
          <t>PREMIUM/excursion proxy: Tel Aviv Marina shared 'Skyline Boat Cruise' ~2h from $130/person (GetYourGuide, 2026). No scheduled point-to-point water taxi exists, so this charter/excursion-divided per-seat is the closest sourceable premium comparable -- an EXCURSION fare, not a transfer fare; a true commuter shuttle seat would price below this.</t>
        </is>
      </c>
      <c r="AZ87" s="46" t="n"/>
      <c r="BA87" s="34" t="n"/>
    </row>
    <row r="88">
      <c r="A88" s="31" t="inlineStr">
        <is>
          <t>Bolt Israel</t>
        </is>
      </c>
      <c r="B88" s="31" t="inlineStr">
        <is>
          <t>Israel</t>
        </is>
      </c>
      <c r="C88" s="32" t="inlineStr">
        <is>
          <t>Herzliya → Netanya</t>
        </is>
      </c>
      <c r="D88" s="33" t="n">
        <v>10.4</v>
      </c>
      <c r="E88" s="27" t="n">
        <v>130</v>
      </c>
      <c r="F88" s="34" t="inlineStr">
        <is>
          <t>T2</t>
        </is>
      </c>
      <c r="G88" s="34" t="inlineStr">
        <is>
          <t>med</t>
        </is>
      </c>
      <c r="H88" s="20" t="n">
        <v>1</v>
      </c>
      <c r="I88" s="35">
        <f>60*D88/cruise_kt</f>
        <v/>
      </c>
      <c r="J88" s="35">
        <f>IF(B88="South Korea",D88/korea_charge_range_nm*korea_full_range_charge_min,0)</f>
        <v/>
      </c>
      <c r="K88" s="35">
        <f>IF(B88="South Korea",I88+korea_turn_min+korea_dwell_min+J88,I88+turn_min+dwell_min)</f>
        <v/>
      </c>
      <c r="L88" s="36">
        <f>IF(B88="South Korea",FLOOR(60*korea_service_hr/K88,1),MIN(24,FLOOR(60*service_hr/K88,1)))</f>
        <v/>
      </c>
      <c r="M88" s="36">
        <f>IF(ABS(MOD(ABS((365*mech_uptime*H88)),1)-0.5)&lt;1E-9,2*ROUND((365*mech_uptime*H88)/2,0),ROUND((365*mech_uptime*H88),0))</f>
        <v/>
      </c>
      <c r="N88" s="37">
        <f>mech_uptime</f>
        <v/>
      </c>
      <c r="O88" s="37">
        <f>IF(AND(B88="South Korea",scenario="MID"),korea_mid_revleg,revleg_sel)</f>
        <v/>
      </c>
      <c r="P88" s="36">
        <f>IF(ABS(MOD(ABS((L88*M88*O88)),1)-0.5)&lt;1E-9,2*ROUND((L88*M88*O88)/2,0),ROUND((L88*M88*O88),0))</f>
        <v/>
      </c>
      <c r="Q88" s="37">
        <f>IF(AND(B88="South Korea",scenario="MID"),korea_mid_load,load_sel)</f>
        <v/>
      </c>
      <c r="R88" s="38">
        <f>pax_cap*Q88</f>
        <v/>
      </c>
      <c r="S88" s="36">
        <f>R88*P88</f>
        <v/>
      </c>
      <c r="T88" s="39">
        <f>E88*discount</f>
        <v/>
      </c>
      <c r="U88" s="40">
        <f>T88*S88</f>
        <v/>
      </c>
      <c r="V88" s="40">
        <f>(battery/range_nm)*D88*P88*VLOOKUP(B88,country_opex,3,FALSE)</f>
        <v/>
      </c>
      <c r="W88" s="40">
        <f>VLOOKUP(B88,country_opex,2,FALSE)*crew_factor</f>
        <v/>
      </c>
      <c r="X88" s="40">
        <f>VLOOKUP(B88,country_opex,5,FALSE)</f>
        <v/>
      </c>
      <c r="Y88" s="40">
        <f>maint</f>
        <v/>
      </c>
      <c r="Z88" s="40">
        <f>VLOOKUP(B88,country_opex,7,FALSE)*ins_pct</f>
        <v/>
      </c>
      <c r="AA88" s="40">
        <f>charge_berth</f>
        <v/>
      </c>
      <c r="AB88" s="40">
        <f>V88+W88+X88+Y88+Z88+AA88</f>
        <v/>
      </c>
      <c r="AC88" s="40">
        <f>VLOOKUP(B88,country_opex,7,FALSE)/dep_years</f>
        <v/>
      </c>
      <c r="AD88" s="40">
        <f>U88-AB88</f>
        <v/>
      </c>
      <c r="AE88" s="37">
        <f>IF(U88=0,"",AD88/U88)</f>
        <v/>
      </c>
      <c r="AF88" s="38">
        <f>IF(AD88&lt;=0,"",VLOOKUP(B88,country_opex,7,FALSE)/AD88)</f>
        <v/>
      </c>
      <c r="AG88" s="35">
        <f>((D88*P88/diesel_nmpg)*diesel_co2pg-(battery/range_nm)*D88*P88*VLOOKUP(B88,country_opex,4,FALSE))/1000</f>
        <v/>
      </c>
      <c r="AH88" s="33" t="n"/>
      <c r="AI88" s="34" t="n"/>
      <c r="AJ88" s="34" t="n"/>
      <c r="AK88" s="41" t="n">
        <v>0.1</v>
      </c>
      <c r="AL88" s="36">
        <f>IF(AH88="","",AH88*AK88)</f>
        <v/>
      </c>
      <c r="AM88" s="36">
        <f>IF(OR(AH88="",S88=0),"",MIN(IF(AU88="",9.9E+99,AU88),FLOOR(AL88/S88,1)))</f>
        <v/>
      </c>
      <c r="AN88" s="40">
        <f>IF(AM88="","",AM88*IF(ABS(MOD(ABS((U88)),1)-0.5)&lt;1E-9,2*ROUND((U88)/2,0),ROUND((U88),0)))</f>
        <v/>
      </c>
      <c r="AO88" s="38">
        <f>IF(OR(AH88="",S88=0),"",MIN(IF(AU88="",9.9E+99,AU88),AL88/S88))</f>
        <v/>
      </c>
      <c r="AP88" s="40">
        <f>IF(AO88="","",AO88*IF(B88="South Korea",IF(ABS(MOD(ABS((U88)),1)-0.5)&lt;1E-9,2*ROUND((U88)/2,0),ROUND((U88),0)),U88))</f>
        <v/>
      </c>
      <c r="AQ88" s="42" t="n"/>
      <c r="AR88" s="34" t="inlineStr">
        <is>
          <t>Estimated</t>
        </is>
      </c>
      <c r="AS88" s="43" t="n"/>
      <c r="AT88" s="43" t="n"/>
      <c r="AU88" s="44" t="n"/>
      <c r="AV88" s="45">
        <f>IF(((T88*pax_cap*load_thin*IF(ABS(MOD(ABS((L88*M88*revleg_thin)),1)-0.5)&lt;1E-9,2*ROUND((L88*M88*revleg_thin)/2,0),ROUND((L88*M88*revleg_thin),0)))-(((battery/range_nm)*D88*IF(ABS(MOD(ABS((L88*M88*revleg_thin)),1)-0.5)&lt;1E-9,2*ROUND((L88*M88*revleg_thin)/2,0),ROUND((L88*M88*revleg_thin),0))*VLOOKUP(B88,country_opex,3,FALSE))+W88+X88+Y88+Z88+AA88))&lt;=0,"",VLOOKUP(B88,country_opex,7,FALSE)/((T88*pax_cap*load_thin*IF(ABS(MOD(ABS((L88*M88*revleg_thin)),1)-0.5)&lt;1E-9,2*ROUND((L88*M88*revleg_thin)/2,0),ROUND((L88*M88*revleg_thin),0)))-(((battery/range_nm)*D88*IF(ABS(MOD(ABS((L88*M88*revleg_thin)),1)-0.5)&lt;1E-9,2*ROUND((L88*M88*revleg_thin)/2,0),ROUND((L88*M88*revleg_thin),0))*VLOOKUP(B88,country_opex,3,FALSE))+W88+X88+Y88+Z88+AA88)))</f>
        <v/>
      </c>
      <c r="AW88" s="45">
        <f>IF(((T88*pax_cap*IF(B88="South Korea",korea_mid_load,load_mid)*IF(ABS(MOD(ABS((L88*M88*IF(B88="South Korea",korea_mid_revleg,revleg_mid))),1)-0.5)&lt;1E-9,2*ROUND((L88*M88*IF(B88="South Korea",korea_mid_revleg,revleg_mid))/2,0),ROUND((L88*M88*IF(B88="South Korea",korea_mid_revleg,revleg_mid)),0)))-(((battery/range_nm)*D88*IF(ABS(MOD(ABS((L88*M88*IF(B88="South Korea",korea_mid_revleg,revleg_mid))),1)-0.5)&lt;1E-9,2*ROUND((L88*M88*IF(B88="South Korea",korea_mid_revleg,revleg_mid))/2,0),ROUND((L88*M88*IF(B88="South Korea",korea_mid_revleg,revleg_mid)),0))*VLOOKUP(B88,country_opex,3,FALSE))+W88+X88+Y88+Z88+AA88))&lt;=0,"",VLOOKUP(B88,country_opex,7,FALSE)/((T88*pax_cap*IF(B88="South Korea",korea_mid_load,load_mid)*IF(ABS(MOD(ABS((L88*M88*IF(B88="South Korea",korea_mid_revleg,revleg_mid))),1)-0.5)&lt;1E-9,2*ROUND((L88*M88*IF(B88="South Korea",korea_mid_revleg,revleg_mid))/2,0),ROUND((L88*M88*IF(B88="South Korea",korea_mid_revleg,revleg_mid)),0)))-(((battery/range_nm)*D88*IF(ABS(MOD(ABS((L88*M88*IF(B88="South Korea",korea_mid_revleg,revleg_mid))),1)-0.5)&lt;1E-9,2*ROUND((L88*M88*IF(B88="South Korea",korea_mid_revleg,revleg_mid))/2,0),ROUND((L88*M88*IF(B88="South Korea",korea_mid_revleg,revleg_mid)),0))*VLOOKUP(B88,country_opex,3,FALSE))+W88+X88+Y88+Z88+AA88)))</f>
        <v/>
      </c>
      <c r="AX88" s="45">
        <f>IF(((T88*pax_cap*load_full*IF(ABS(MOD(ABS((L88*M88*revleg_full)),1)-0.5)&lt;1E-9,2*ROUND((L88*M88*revleg_full)/2,0),ROUND((L88*M88*revleg_full),0)))-(((battery/range_nm)*D88*IF(ABS(MOD(ABS((L88*M88*revleg_full)),1)-0.5)&lt;1E-9,2*ROUND((L88*M88*revleg_full)/2,0),ROUND((L88*M88*revleg_full),0))*VLOOKUP(B88,country_opex,3,FALSE))+W88+X88+Y88+Z88+AA88))&lt;=0,"",VLOOKUP(B88,country_opex,7,FALSE)/((T88*pax_cap*load_full*IF(ABS(MOD(ABS((L88*M88*revleg_full)),1)-0.5)&lt;1E-9,2*ROUND((L88*M88*revleg_full)/2,0),ROUND((L88*M88*revleg_full),0)))-(((battery/range_nm)*D88*IF(ABS(MOD(ABS((L88*M88*revleg_full)),1)-0.5)&lt;1E-9,2*ROUND((L88*M88*revleg_full)/2,0),ROUND((L88*M88*revleg_full),0))*VLOOKUP(B88,country_opex,3,FALSE))+W88+X88+Y88+Z88+AA88)))</f>
        <v/>
      </c>
      <c r="AY88" s="46" t="inlineStr">
        <is>
          <t>PREMIUM/excursion proxy: Tel Aviv-area shared skyline cruise ~$130/person (GetYourGuide, 2026); no scheduled service on this leg.</t>
        </is>
      </c>
      <c r="AZ88" s="46" t="n"/>
      <c r="BA88" s="34" t="n"/>
    </row>
    <row r="89">
      <c r="A89" s="31" t="inlineStr">
        <is>
          <t>Bolt Israel</t>
        </is>
      </c>
      <c r="B89" s="31" t="inlineStr">
        <is>
          <t>Israel</t>
        </is>
      </c>
      <c r="C89" s="32" t="inlineStr">
        <is>
          <t>Ashdod → Ashkelon</t>
        </is>
      </c>
      <c r="D89" s="33" t="n">
        <v>10.4</v>
      </c>
      <c r="E89" s="27" t="n"/>
      <c r="F89" s="34" t="n"/>
      <c r="G89" s="34" t="n"/>
      <c r="H89" s="20" t="n">
        <v>1</v>
      </c>
      <c r="I89" s="35">
        <f>60*D89/cruise_kt</f>
        <v/>
      </c>
      <c r="J89" s="35">
        <f>IF(B89="South Korea",D89/korea_charge_range_nm*korea_full_range_charge_min,0)</f>
        <v/>
      </c>
      <c r="K89" s="35">
        <f>IF(B89="South Korea",I89+korea_turn_min+korea_dwell_min+J89,I89+turn_min+dwell_min)</f>
        <v/>
      </c>
      <c r="L89" s="36">
        <f>IF(B89="South Korea",FLOOR(60*korea_service_hr/K89,1),MIN(24,FLOOR(60*service_hr/K89,1)))</f>
        <v/>
      </c>
      <c r="M89" s="36">
        <f>IF(ABS(MOD(ABS((365*mech_uptime*H89)),1)-0.5)&lt;1E-9,2*ROUND((365*mech_uptime*H89)/2,0),ROUND((365*mech_uptime*H89),0))</f>
        <v/>
      </c>
      <c r="N89" s="37">
        <f>mech_uptime</f>
        <v/>
      </c>
      <c r="O89" s="37">
        <f>IF(AND(B89="South Korea",scenario="MID"),korea_mid_revleg,revleg_sel)</f>
        <v/>
      </c>
      <c r="P89" s="36">
        <f>IF(ABS(MOD(ABS((L89*M89*O89)),1)-0.5)&lt;1E-9,2*ROUND((L89*M89*O89)/2,0),ROUND((L89*M89*O89),0))</f>
        <v/>
      </c>
      <c r="Q89" s="37">
        <f>IF(AND(B89="South Korea",scenario="MID"),korea_mid_load,load_sel)</f>
        <v/>
      </c>
      <c r="R89" s="38">
        <f>pax_cap*Q89</f>
        <v/>
      </c>
      <c r="S89" s="36">
        <f>R89*P89</f>
        <v/>
      </c>
      <c r="T89" s="39">
        <f>E89*discount</f>
        <v/>
      </c>
      <c r="U89" s="40">
        <f>T89*S89</f>
        <v/>
      </c>
      <c r="V89" s="40">
        <f>(battery/range_nm)*D89*P89*VLOOKUP(B89,country_opex,3,FALSE)</f>
        <v/>
      </c>
      <c r="W89" s="40">
        <f>VLOOKUP(B89,country_opex,2,FALSE)*crew_factor</f>
        <v/>
      </c>
      <c r="X89" s="40">
        <f>VLOOKUP(B89,country_opex,5,FALSE)</f>
        <v/>
      </c>
      <c r="Y89" s="40">
        <f>maint</f>
        <v/>
      </c>
      <c r="Z89" s="40">
        <f>VLOOKUP(B89,country_opex,7,FALSE)*ins_pct</f>
        <v/>
      </c>
      <c r="AA89" s="40">
        <f>charge_berth</f>
        <v/>
      </c>
      <c r="AB89" s="40">
        <f>V89+W89+X89+Y89+Z89+AA89</f>
        <v/>
      </c>
      <c r="AC89" s="40">
        <f>VLOOKUP(B89,country_opex,7,FALSE)/dep_years</f>
        <v/>
      </c>
      <c r="AD89" s="40">
        <f>U89-AB89</f>
        <v/>
      </c>
      <c r="AE89" s="37">
        <f>IF(U89=0,"",AD89/U89)</f>
        <v/>
      </c>
      <c r="AF89" s="38">
        <f>IF(AD89&lt;=0,"",VLOOKUP(B89,country_opex,7,FALSE)/AD89)</f>
        <v/>
      </c>
      <c r="AG89" s="35">
        <f>((D89*P89/diesel_nmpg)*diesel_co2pg-(battery/range_nm)*D89*P89*VLOOKUP(B89,country_opex,4,FALSE))/1000</f>
        <v/>
      </c>
      <c r="AH89" s="33" t="n">
        <v>142310</v>
      </c>
      <c r="AI89" s="34" t="n"/>
      <c r="AJ89" s="34" t="n"/>
      <c r="AK89" s="41" t="n">
        <v>0.1</v>
      </c>
      <c r="AL89" s="36">
        <f>IF(AH89="","",AH89*AK89)</f>
        <v/>
      </c>
      <c r="AM89" s="36">
        <f>IF(OR(AH89="",S89=0),"",MIN(IF(AU89="",9.9E+99,AU89),FLOOR(AL89/S89,1)))</f>
        <v/>
      </c>
      <c r="AN89" s="40">
        <f>IF(AM89="","",AM89*IF(ABS(MOD(ABS((U89)),1)-0.5)&lt;1E-9,2*ROUND((U89)/2,0),ROUND((U89),0)))</f>
        <v/>
      </c>
      <c r="AO89" s="38">
        <f>IF(OR(AH89="",S89=0),"",MIN(IF(AU89="",9.9E+99,AU89),AL89/S89))</f>
        <v/>
      </c>
      <c r="AP89" s="40">
        <f>IF(AO89="","",AO89*IF(B89="South Korea",IF(ABS(MOD(ABS((U89)),1)-0.5)&lt;1E-9,2*ROUND((U89)/2,0),ROUND((U89),0)),U89))</f>
        <v/>
      </c>
      <c r="AQ89" s="42" t="n"/>
      <c r="AR89" s="34" t="inlineStr">
        <is>
          <t>Estimated</t>
        </is>
      </c>
      <c r="AS89" s="43" t="n"/>
      <c r="AT89" s="43" t="n"/>
      <c r="AU89" s="44" t="n"/>
      <c r="AV89" s="45">
        <f>IF(((T89*pax_cap*load_thin*IF(ABS(MOD(ABS((L89*M89*revleg_thin)),1)-0.5)&lt;1E-9,2*ROUND((L89*M89*revleg_thin)/2,0),ROUND((L89*M89*revleg_thin),0)))-(((battery/range_nm)*D89*IF(ABS(MOD(ABS((L89*M89*revleg_thin)),1)-0.5)&lt;1E-9,2*ROUND((L89*M89*revleg_thin)/2,0),ROUND((L89*M89*revleg_thin),0))*VLOOKUP(B89,country_opex,3,FALSE))+W89+X89+Y89+Z89+AA89))&lt;=0,"",VLOOKUP(B89,country_opex,7,FALSE)/((T89*pax_cap*load_thin*IF(ABS(MOD(ABS((L89*M89*revleg_thin)),1)-0.5)&lt;1E-9,2*ROUND((L89*M89*revleg_thin)/2,0),ROUND((L89*M89*revleg_thin),0)))-(((battery/range_nm)*D89*IF(ABS(MOD(ABS((L89*M89*revleg_thin)),1)-0.5)&lt;1E-9,2*ROUND((L89*M89*revleg_thin)/2,0),ROUND((L89*M89*revleg_thin),0))*VLOOKUP(B89,country_opex,3,FALSE))+W89+X89+Y89+Z89+AA89)))</f>
        <v/>
      </c>
      <c r="AW89" s="45">
        <f>IF(((T89*pax_cap*IF(B89="South Korea",korea_mid_load,load_mid)*IF(ABS(MOD(ABS((L89*M89*IF(B89="South Korea",korea_mid_revleg,revleg_mid))),1)-0.5)&lt;1E-9,2*ROUND((L89*M89*IF(B89="South Korea",korea_mid_revleg,revleg_mid))/2,0),ROUND((L89*M89*IF(B89="South Korea",korea_mid_revleg,revleg_mid)),0)))-(((battery/range_nm)*D89*IF(ABS(MOD(ABS((L89*M89*IF(B89="South Korea",korea_mid_revleg,revleg_mid))),1)-0.5)&lt;1E-9,2*ROUND((L89*M89*IF(B89="South Korea",korea_mid_revleg,revleg_mid))/2,0),ROUND((L89*M89*IF(B89="South Korea",korea_mid_revleg,revleg_mid)),0))*VLOOKUP(B89,country_opex,3,FALSE))+W89+X89+Y89+Z89+AA89))&lt;=0,"",VLOOKUP(B89,country_opex,7,FALSE)/((T89*pax_cap*IF(B89="South Korea",korea_mid_load,load_mid)*IF(ABS(MOD(ABS((L89*M89*IF(B89="South Korea",korea_mid_revleg,revleg_mid))),1)-0.5)&lt;1E-9,2*ROUND((L89*M89*IF(B89="South Korea",korea_mid_revleg,revleg_mid))/2,0),ROUND((L89*M89*IF(B89="South Korea",korea_mid_revleg,revleg_mid)),0)))-(((battery/range_nm)*D89*IF(ABS(MOD(ABS((L89*M89*IF(B89="South Korea",korea_mid_revleg,revleg_mid))),1)-0.5)&lt;1E-9,2*ROUND((L89*M89*IF(B89="South Korea",korea_mid_revleg,revleg_mid))/2,0),ROUND((L89*M89*IF(B89="South Korea",korea_mid_revleg,revleg_mid)),0))*VLOOKUP(B89,country_opex,3,FALSE))+W89+X89+Y89+Z89+AA89)))</f>
        <v/>
      </c>
      <c r="AX89" s="45">
        <f>IF(((T89*pax_cap*load_full*IF(ABS(MOD(ABS((L89*M89*revleg_full)),1)-0.5)&lt;1E-9,2*ROUND((L89*M89*revleg_full)/2,0),ROUND((L89*M89*revleg_full),0)))-(((battery/range_nm)*D89*IF(ABS(MOD(ABS((L89*M89*revleg_full)),1)-0.5)&lt;1E-9,2*ROUND((L89*M89*revleg_full)/2,0),ROUND((L89*M89*revleg_full),0))*VLOOKUP(B89,country_opex,3,FALSE))+W89+X89+Y89+Z89+AA89))&lt;=0,"",VLOOKUP(B89,country_opex,7,FALSE)/((T89*pax_cap*load_full*IF(ABS(MOD(ABS((L89*M89*revleg_full)),1)-0.5)&lt;1E-9,2*ROUND((L89*M89*revleg_full)/2,0),ROUND((L89*M89*revleg_full),0)))-(((battery/range_nm)*D89*IF(ABS(MOD(ABS((L89*M89*revleg_full)),1)-0.5)&lt;1E-9,2*ROUND((L89*M89*revleg_full)/2,0),ROUND((L89*M89*revleg_full),0))*VLOOKUP(B89,country_opex,3,FALSE))+W89+X89+Y89+Z89+AA89)))</f>
        <v/>
      </c>
      <c r="AY89" s="46" t="n"/>
      <c r="AZ89" s="46" t="n"/>
      <c r="BA89" s="34" t="n"/>
    </row>
    <row r="90">
      <c r="A90" s="31" t="inlineStr">
        <is>
          <t>Bolt Israel</t>
        </is>
      </c>
      <c r="B90" s="31" t="inlineStr">
        <is>
          <t>Israel</t>
        </is>
      </c>
      <c r="C90" s="32" t="inlineStr">
        <is>
          <t>Tel Aviv → Netanya</t>
        </is>
      </c>
      <c r="D90" s="33" t="n">
        <v>15.1</v>
      </c>
      <c r="E90" s="27" t="n">
        <v>130</v>
      </c>
      <c r="F90" s="34" t="inlineStr">
        <is>
          <t>T2</t>
        </is>
      </c>
      <c r="G90" s="34" t="inlineStr">
        <is>
          <t>med</t>
        </is>
      </c>
      <c r="H90" s="20" t="n">
        <v>1</v>
      </c>
      <c r="I90" s="35">
        <f>60*D90/cruise_kt</f>
        <v/>
      </c>
      <c r="J90" s="35">
        <f>IF(B90="South Korea",D90/korea_charge_range_nm*korea_full_range_charge_min,0)</f>
        <v/>
      </c>
      <c r="K90" s="35">
        <f>IF(B90="South Korea",I90+korea_turn_min+korea_dwell_min+J90,I90+turn_min+dwell_min)</f>
        <v/>
      </c>
      <c r="L90" s="36">
        <f>IF(B90="South Korea",FLOOR(60*korea_service_hr/K90,1),MIN(24,FLOOR(60*service_hr/K90,1)))</f>
        <v/>
      </c>
      <c r="M90" s="36">
        <f>IF(ABS(MOD(ABS((365*mech_uptime*H90)),1)-0.5)&lt;1E-9,2*ROUND((365*mech_uptime*H90)/2,0),ROUND((365*mech_uptime*H90),0))</f>
        <v/>
      </c>
      <c r="N90" s="37">
        <f>mech_uptime</f>
        <v/>
      </c>
      <c r="O90" s="37">
        <f>IF(AND(B90="South Korea",scenario="MID"),korea_mid_revleg,revleg_sel)</f>
        <v/>
      </c>
      <c r="P90" s="36">
        <f>IF(ABS(MOD(ABS((L90*M90*O90)),1)-0.5)&lt;1E-9,2*ROUND((L90*M90*O90)/2,0),ROUND((L90*M90*O90),0))</f>
        <v/>
      </c>
      <c r="Q90" s="37">
        <f>IF(AND(B90="South Korea",scenario="MID"),korea_mid_load,load_sel)</f>
        <v/>
      </c>
      <c r="R90" s="38">
        <f>pax_cap*Q90</f>
        <v/>
      </c>
      <c r="S90" s="36">
        <f>R90*P90</f>
        <v/>
      </c>
      <c r="T90" s="39">
        <f>E90*discount</f>
        <v/>
      </c>
      <c r="U90" s="40">
        <f>T90*S90</f>
        <v/>
      </c>
      <c r="V90" s="40">
        <f>(battery/range_nm)*D90*P90*VLOOKUP(B90,country_opex,3,FALSE)</f>
        <v/>
      </c>
      <c r="W90" s="40">
        <f>VLOOKUP(B90,country_opex,2,FALSE)*crew_factor</f>
        <v/>
      </c>
      <c r="X90" s="40">
        <f>VLOOKUP(B90,country_opex,5,FALSE)</f>
        <v/>
      </c>
      <c r="Y90" s="40">
        <f>maint</f>
        <v/>
      </c>
      <c r="Z90" s="40">
        <f>VLOOKUP(B90,country_opex,7,FALSE)*ins_pct</f>
        <v/>
      </c>
      <c r="AA90" s="40">
        <f>charge_berth</f>
        <v/>
      </c>
      <c r="AB90" s="40">
        <f>V90+W90+X90+Y90+Z90+AA90</f>
        <v/>
      </c>
      <c r="AC90" s="40">
        <f>VLOOKUP(B90,country_opex,7,FALSE)/dep_years</f>
        <v/>
      </c>
      <c r="AD90" s="40">
        <f>U90-AB90</f>
        <v/>
      </c>
      <c r="AE90" s="37">
        <f>IF(U90=0,"",AD90/U90)</f>
        <v/>
      </c>
      <c r="AF90" s="38">
        <f>IF(AD90&lt;=0,"",VLOOKUP(B90,country_opex,7,FALSE)/AD90)</f>
        <v/>
      </c>
      <c r="AG90" s="35">
        <f>((D90*P90/diesel_nmpg)*diesel_co2pg-(battery/range_nm)*D90*P90*VLOOKUP(B90,country_opex,4,FALSE))/1000</f>
        <v/>
      </c>
      <c r="AH90" s="33" t="n">
        <v>168015</v>
      </c>
      <c r="AI90" s="34" t="n"/>
      <c r="AJ90" s="34" t="n"/>
      <c r="AK90" s="41" t="n">
        <v>0.1</v>
      </c>
      <c r="AL90" s="36">
        <f>IF(AH90="","",AH90*AK90)</f>
        <v/>
      </c>
      <c r="AM90" s="36">
        <f>IF(OR(AH90="",S90=0),"",MIN(IF(AU90="",9.9E+99,AU90),FLOOR(AL90/S90,1)))</f>
        <v/>
      </c>
      <c r="AN90" s="40">
        <f>IF(AM90="","",AM90*IF(ABS(MOD(ABS((U90)),1)-0.5)&lt;1E-9,2*ROUND((U90)/2,0),ROUND((U90),0)))</f>
        <v/>
      </c>
      <c r="AO90" s="38">
        <f>IF(OR(AH90="",S90=0),"",MIN(IF(AU90="",9.9E+99,AU90),AL90/S90))</f>
        <v/>
      </c>
      <c r="AP90" s="40">
        <f>IF(AO90="","",AO90*IF(B90="South Korea",IF(ABS(MOD(ABS((U90)),1)-0.5)&lt;1E-9,2*ROUND((U90)/2,0),ROUND((U90),0)),U90))</f>
        <v/>
      </c>
      <c r="AQ90" s="42" t="n"/>
      <c r="AR90" s="34" t="inlineStr">
        <is>
          <t>Grounded</t>
        </is>
      </c>
      <c r="AS90" s="43" t="n"/>
      <c r="AT90" s="43" t="n"/>
      <c r="AU90" s="44" t="n"/>
      <c r="AV90" s="45">
        <f>IF(((T90*pax_cap*load_thin*IF(ABS(MOD(ABS((L90*M90*revleg_thin)),1)-0.5)&lt;1E-9,2*ROUND((L90*M90*revleg_thin)/2,0),ROUND((L90*M90*revleg_thin),0)))-(((battery/range_nm)*D90*IF(ABS(MOD(ABS((L90*M90*revleg_thin)),1)-0.5)&lt;1E-9,2*ROUND((L90*M90*revleg_thin)/2,0),ROUND((L90*M90*revleg_thin),0))*VLOOKUP(B90,country_opex,3,FALSE))+W90+X90+Y90+Z90+AA90))&lt;=0,"",VLOOKUP(B90,country_opex,7,FALSE)/((T90*pax_cap*load_thin*IF(ABS(MOD(ABS((L90*M90*revleg_thin)),1)-0.5)&lt;1E-9,2*ROUND((L90*M90*revleg_thin)/2,0),ROUND((L90*M90*revleg_thin),0)))-(((battery/range_nm)*D90*IF(ABS(MOD(ABS((L90*M90*revleg_thin)),1)-0.5)&lt;1E-9,2*ROUND((L90*M90*revleg_thin)/2,0),ROUND((L90*M90*revleg_thin),0))*VLOOKUP(B90,country_opex,3,FALSE))+W90+X90+Y90+Z90+AA90)))</f>
        <v/>
      </c>
      <c r="AW90" s="45">
        <f>IF(((T90*pax_cap*IF(B90="South Korea",korea_mid_load,load_mid)*IF(ABS(MOD(ABS((L90*M90*IF(B90="South Korea",korea_mid_revleg,revleg_mid))),1)-0.5)&lt;1E-9,2*ROUND((L90*M90*IF(B90="South Korea",korea_mid_revleg,revleg_mid))/2,0),ROUND((L90*M90*IF(B90="South Korea",korea_mid_revleg,revleg_mid)),0)))-(((battery/range_nm)*D90*IF(ABS(MOD(ABS((L90*M90*IF(B90="South Korea",korea_mid_revleg,revleg_mid))),1)-0.5)&lt;1E-9,2*ROUND((L90*M90*IF(B90="South Korea",korea_mid_revleg,revleg_mid))/2,0),ROUND((L90*M90*IF(B90="South Korea",korea_mid_revleg,revleg_mid)),0))*VLOOKUP(B90,country_opex,3,FALSE))+W90+X90+Y90+Z90+AA90))&lt;=0,"",VLOOKUP(B90,country_opex,7,FALSE)/((T90*pax_cap*IF(B90="South Korea",korea_mid_load,load_mid)*IF(ABS(MOD(ABS((L90*M90*IF(B90="South Korea",korea_mid_revleg,revleg_mid))),1)-0.5)&lt;1E-9,2*ROUND((L90*M90*IF(B90="South Korea",korea_mid_revleg,revleg_mid))/2,0),ROUND((L90*M90*IF(B90="South Korea",korea_mid_revleg,revleg_mid)),0)))-(((battery/range_nm)*D90*IF(ABS(MOD(ABS((L90*M90*IF(B90="South Korea",korea_mid_revleg,revleg_mid))),1)-0.5)&lt;1E-9,2*ROUND((L90*M90*IF(B90="South Korea",korea_mid_revleg,revleg_mid))/2,0),ROUND((L90*M90*IF(B90="South Korea",korea_mid_revleg,revleg_mid)),0))*VLOOKUP(B90,country_opex,3,FALSE))+W90+X90+Y90+Z90+AA90)))</f>
        <v/>
      </c>
      <c r="AX90" s="45">
        <f>IF(((T90*pax_cap*load_full*IF(ABS(MOD(ABS((L90*M90*revleg_full)),1)-0.5)&lt;1E-9,2*ROUND((L90*M90*revleg_full)/2,0),ROUND((L90*M90*revleg_full),0)))-(((battery/range_nm)*D90*IF(ABS(MOD(ABS((L90*M90*revleg_full)),1)-0.5)&lt;1E-9,2*ROUND((L90*M90*revleg_full)/2,0),ROUND((L90*M90*revleg_full),0))*VLOOKUP(B90,country_opex,3,FALSE))+W90+X90+Y90+Z90+AA90))&lt;=0,"",VLOOKUP(B90,country_opex,7,FALSE)/((T90*pax_cap*load_full*IF(ABS(MOD(ABS((L90*M90*revleg_full)),1)-0.5)&lt;1E-9,2*ROUND((L90*M90*revleg_full)/2,0),ROUND((L90*M90*revleg_full),0)))-(((battery/range_nm)*D90*IF(ABS(MOD(ABS((L90*M90*revleg_full)),1)-0.5)&lt;1E-9,2*ROUND((L90*M90*revleg_full)/2,0),ROUND((L90*M90*revleg_full),0))*VLOOKUP(B90,country_opex,3,FALSE))+W90+X90+Y90+Z90+AA90)))</f>
        <v/>
      </c>
      <c r="AY90" s="46" t="inlineStr">
        <is>
          <t>PREMIUM/excursion proxy: Tel Aviv Marina shared skyline cruise ~$130/person (GetYourGuide, 2026). No scheduled TLV-Netanya water service; excursion-divided per-seat used as the closest premium comparable.</t>
        </is>
      </c>
      <c r="AZ90" s="46" t="n"/>
      <c r="BA90" s="34" t="n"/>
    </row>
    <row r="91">
      <c r="A91" s="31" t="inlineStr">
        <is>
          <t>Bolt Israel</t>
        </is>
      </c>
      <c r="B91" s="31" t="inlineStr">
        <is>
          <t>Israel</t>
        </is>
      </c>
      <c r="C91" s="32" t="inlineStr">
        <is>
          <t>Tel Aviv → Ashdod</t>
        </is>
      </c>
      <c r="D91" s="33" t="n">
        <v>16.9</v>
      </c>
      <c r="E91" s="27" t="n">
        <v>130</v>
      </c>
      <c r="F91" s="34" t="inlineStr">
        <is>
          <t>T2</t>
        </is>
      </c>
      <c r="G91" s="34" t="inlineStr">
        <is>
          <t>med</t>
        </is>
      </c>
      <c r="H91" s="20" t="n">
        <v>1</v>
      </c>
      <c r="I91" s="35">
        <f>60*D91/cruise_kt</f>
        <v/>
      </c>
      <c r="J91" s="35">
        <f>IF(B91="South Korea",D91/korea_charge_range_nm*korea_full_range_charge_min,0)</f>
        <v/>
      </c>
      <c r="K91" s="35">
        <f>IF(B91="South Korea",I91+korea_turn_min+korea_dwell_min+J91,I91+turn_min+dwell_min)</f>
        <v/>
      </c>
      <c r="L91" s="36">
        <f>IF(B91="South Korea",FLOOR(60*korea_service_hr/K91,1),MIN(24,FLOOR(60*service_hr/K91,1)))</f>
        <v/>
      </c>
      <c r="M91" s="36">
        <f>IF(ABS(MOD(ABS((365*mech_uptime*H91)),1)-0.5)&lt;1E-9,2*ROUND((365*mech_uptime*H91)/2,0),ROUND((365*mech_uptime*H91),0))</f>
        <v/>
      </c>
      <c r="N91" s="37">
        <f>mech_uptime</f>
        <v/>
      </c>
      <c r="O91" s="37">
        <f>IF(AND(B91="South Korea",scenario="MID"),korea_mid_revleg,revleg_sel)</f>
        <v/>
      </c>
      <c r="P91" s="36">
        <f>IF(ABS(MOD(ABS((L91*M91*O91)),1)-0.5)&lt;1E-9,2*ROUND((L91*M91*O91)/2,0),ROUND((L91*M91*O91),0))</f>
        <v/>
      </c>
      <c r="Q91" s="37">
        <f>IF(AND(B91="South Korea",scenario="MID"),korea_mid_load,load_sel)</f>
        <v/>
      </c>
      <c r="R91" s="38">
        <f>pax_cap*Q91</f>
        <v/>
      </c>
      <c r="S91" s="36">
        <f>R91*P91</f>
        <v/>
      </c>
      <c r="T91" s="39">
        <f>E91*discount</f>
        <v/>
      </c>
      <c r="U91" s="40">
        <f>T91*S91</f>
        <v/>
      </c>
      <c r="V91" s="40">
        <f>(battery/range_nm)*D91*P91*VLOOKUP(B91,country_opex,3,FALSE)</f>
        <v/>
      </c>
      <c r="W91" s="40">
        <f>VLOOKUP(B91,country_opex,2,FALSE)*crew_factor</f>
        <v/>
      </c>
      <c r="X91" s="40">
        <f>VLOOKUP(B91,country_opex,5,FALSE)</f>
        <v/>
      </c>
      <c r="Y91" s="40">
        <f>maint</f>
        <v/>
      </c>
      <c r="Z91" s="40">
        <f>VLOOKUP(B91,country_opex,7,FALSE)*ins_pct</f>
        <v/>
      </c>
      <c r="AA91" s="40">
        <f>charge_berth</f>
        <v/>
      </c>
      <c r="AB91" s="40">
        <f>V91+W91+X91+Y91+Z91+AA91</f>
        <v/>
      </c>
      <c r="AC91" s="40">
        <f>VLOOKUP(B91,country_opex,7,FALSE)/dep_years</f>
        <v/>
      </c>
      <c r="AD91" s="40">
        <f>U91-AB91</f>
        <v/>
      </c>
      <c r="AE91" s="37">
        <f>IF(U91=0,"",AD91/U91)</f>
        <v/>
      </c>
      <c r="AF91" s="38">
        <f>IF(AD91&lt;=0,"",VLOOKUP(B91,country_opex,7,FALSE)/AD91)</f>
        <v/>
      </c>
      <c r="AG91" s="35">
        <f>((D91*P91/diesel_nmpg)*diesel_co2pg-(battery/range_nm)*D91*P91*VLOOKUP(B91,country_opex,4,FALSE))/1000</f>
        <v/>
      </c>
      <c r="AH91" s="33" t="n">
        <v>143443</v>
      </c>
      <c r="AI91" s="34" t="n"/>
      <c r="AJ91" s="34" t="n"/>
      <c r="AK91" s="41" t="n">
        <v>0.1</v>
      </c>
      <c r="AL91" s="36">
        <f>IF(AH91="","",AH91*AK91)</f>
        <v/>
      </c>
      <c r="AM91" s="36">
        <f>IF(OR(AH91="",S91=0),"",MIN(IF(AU91="",9.9E+99,AU91),FLOOR(AL91/S91,1)))</f>
        <v/>
      </c>
      <c r="AN91" s="40">
        <f>IF(AM91="","",AM91*IF(ABS(MOD(ABS((U91)),1)-0.5)&lt;1E-9,2*ROUND((U91)/2,0),ROUND((U91),0)))</f>
        <v/>
      </c>
      <c r="AO91" s="38">
        <f>IF(OR(AH91="",S91=0),"",MIN(IF(AU91="",9.9E+99,AU91),AL91/S91))</f>
        <v/>
      </c>
      <c r="AP91" s="40">
        <f>IF(AO91="","",AO91*IF(B91="South Korea",IF(ABS(MOD(ABS((U91)),1)-0.5)&lt;1E-9,2*ROUND((U91)/2,0),ROUND((U91),0)),U91))</f>
        <v/>
      </c>
      <c r="AQ91" s="42" t="n"/>
      <c r="AR91" s="34" t="inlineStr">
        <is>
          <t>Grounded</t>
        </is>
      </c>
      <c r="AS91" s="43" t="n"/>
      <c r="AT91" s="43" t="n"/>
      <c r="AU91" s="44" t="n"/>
      <c r="AV91" s="45">
        <f>IF(((T91*pax_cap*load_thin*IF(ABS(MOD(ABS((L91*M91*revleg_thin)),1)-0.5)&lt;1E-9,2*ROUND((L91*M91*revleg_thin)/2,0),ROUND((L91*M91*revleg_thin),0)))-(((battery/range_nm)*D91*IF(ABS(MOD(ABS((L91*M91*revleg_thin)),1)-0.5)&lt;1E-9,2*ROUND((L91*M91*revleg_thin)/2,0),ROUND((L91*M91*revleg_thin),0))*VLOOKUP(B91,country_opex,3,FALSE))+W91+X91+Y91+Z91+AA91))&lt;=0,"",VLOOKUP(B91,country_opex,7,FALSE)/((T91*pax_cap*load_thin*IF(ABS(MOD(ABS((L91*M91*revleg_thin)),1)-0.5)&lt;1E-9,2*ROUND((L91*M91*revleg_thin)/2,0),ROUND((L91*M91*revleg_thin),0)))-(((battery/range_nm)*D91*IF(ABS(MOD(ABS((L91*M91*revleg_thin)),1)-0.5)&lt;1E-9,2*ROUND((L91*M91*revleg_thin)/2,0),ROUND((L91*M91*revleg_thin),0))*VLOOKUP(B91,country_opex,3,FALSE))+W91+X91+Y91+Z91+AA91)))</f>
        <v/>
      </c>
      <c r="AW91" s="45">
        <f>IF(((T91*pax_cap*IF(B91="South Korea",korea_mid_load,load_mid)*IF(ABS(MOD(ABS((L91*M91*IF(B91="South Korea",korea_mid_revleg,revleg_mid))),1)-0.5)&lt;1E-9,2*ROUND((L91*M91*IF(B91="South Korea",korea_mid_revleg,revleg_mid))/2,0),ROUND((L91*M91*IF(B91="South Korea",korea_mid_revleg,revleg_mid)),0)))-(((battery/range_nm)*D91*IF(ABS(MOD(ABS((L91*M91*IF(B91="South Korea",korea_mid_revleg,revleg_mid))),1)-0.5)&lt;1E-9,2*ROUND((L91*M91*IF(B91="South Korea",korea_mid_revleg,revleg_mid))/2,0),ROUND((L91*M91*IF(B91="South Korea",korea_mid_revleg,revleg_mid)),0))*VLOOKUP(B91,country_opex,3,FALSE))+W91+X91+Y91+Z91+AA91))&lt;=0,"",VLOOKUP(B91,country_opex,7,FALSE)/((T91*pax_cap*IF(B91="South Korea",korea_mid_load,load_mid)*IF(ABS(MOD(ABS((L91*M91*IF(B91="South Korea",korea_mid_revleg,revleg_mid))),1)-0.5)&lt;1E-9,2*ROUND((L91*M91*IF(B91="South Korea",korea_mid_revleg,revleg_mid))/2,0),ROUND((L91*M91*IF(B91="South Korea",korea_mid_revleg,revleg_mid)),0)))-(((battery/range_nm)*D91*IF(ABS(MOD(ABS((L91*M91*IF(B91="South Korea",korea_mid_revleg,revleg_mid))),1)-0.5)&lt;1E-9,2*ROUND((L91*M91*IF(B91="South Korea",korea_mid_revleg,revleg_mid))/2,0),ROUND((L91*M91*IF(B91="South Korea",korea_mid_revleg,revleg_mid)),0))*VLOOKUP(B91,country_opex,3,FALSE))+W91+X91+Y91+Z91+AA91)))</f>
        <v/>
      </c>
      <c r="AX91" s="45">
        <f>IF(((T91*pax_cap*load_full*IF(ABS(MOD(ABS((L91*M91*revleg_full)),1)-0.5)&lt;1E-9,2*ROUND((L91*M91*revleg_full)/2,0),ROUND((L91*M91*revleg_full),0)))-(((battery/range_nm)*D91*IF(ABS(MOD(ABS((L91*M91*revleg_full)),1)-0.5)&lt;1E-9,2*ROUND((L91*M91*revleg_full)/2,0),ROUND((L91*M91*revleg_full),0))*VLOOKUP(B91,country_opex,3,FALSE))+W91+X91+Y91+Z91+AA91))&lt;=0,"",VLOOKUP(B91,country_opex,7,FALSE)/((T91*pax_cap*load_full*IF(ABS(MOD(ABS((L91*M91*revleg_full)),1)-0.5)&lt;1E-9,2*ROUND((L91*M91*revleg_full)/2,0),ROUND((L91*M91*revleg_full),0)))-(((battery/range_nm)*D91*IF(ABS(MOD(ABS((L91*M91*revleg_full)),1)-0.5)&lt;1E-9,2*ROUND((L91*M91*revleg_full)/2,0),ROUND((L91*M91*revleg_full),0))*VLOOKUP(B91,country_opex,3,FALSE))+W91+X91+Y91+Z91+AA91)))</f>
        <v/>
      </c>
      <c r="AY91" s="46" t="inlineStr">
        <is>
          <t>PREMIUM/excursion proxy: Tel Aviv Marina shared skyline cruise ~$130/person (GetYourGuide, 2026). No scheduled TLV-Ashdod water service.</t>
        </is>
      </c>
      <c r="AZ91" s="46" t="n"/>
      <c r="BA91" s="34" t="n"/>
    </row>
    <row r="92">
      <c r="A92" s="31" t="inlineStr">
        <is>
          <t>Bolt Israel</t>
        </is>
      </c>
      <c r="B92" s="31" t="inlineStr">
        <is>
          <t>Israel</t>
        </is>
      </c>
      <c r="C92" s="32" t="inlineStr">
        <is>
          <t>Tel Aviv → Haifa</t>
        </is>
      </c>
      <c r="D92" s="33" t="n">
        <v>45.6</v>
      </c>
      <c r="E92" s="27" t="n">
        <v>130</v>
      </c>
      <c r="F92" s="34" t="inlineStr">
        <is>
          <t>T2</t>
        </is>
      </c>
      <c r="G92" s="34" t="inlineStr">
        <is>
          <t>med</t>
        </is>
      </c>
      <c r="H92" s="20" t="n">
        <v>1</v>
      </c>
      <c r="I92" s="35">
        <f>60*D92/cruise_kt</f>
        <v/>
      </c>
      <c r="J92" s="35">
        <f>IF(B92="South Korea",D92/korea_charge_range_nm*korea_full_range_charge_min,0)</f>
        <v/>
      </c>
      <c r="K92" s="35">
        <f>IF(B92="South Korea",I92+korea_turn_min+korea_dwell_min+J92,I92+turn_min+dwell_min)</f>
        <v/>
      </c>
      <c r="L92" s="36">
        <f>IF(B92="South Korea",FLOOR(60*korea_service_hr/K92,1),MIN(24,FLOOR(60*service_hr/K92,1)))</f>
        <v/>
      </c>
      <c r="M92" s="36">
        <f>IF(ABS(MOD(ABS((365*mech_uptime*H92)),1)-0.5)&lt;1E-9,2*ROUND((365*mech_uptime*H92)/2,0),ROUND((365*mech_uptime*H92),0))</f>
        <v/>
      </c>
      <c r="N92" s="37">
        <f>mech_uptime</f>
        <v/>
      </c>
      <c r="O92" s="37">
        <f>IF(AND(B92="South Korea",scenario="MID"),korea_mid_revleg,revleg_sel)</f>
        <v/>
      </c>
      <c r="P92" s="36">
        <f>IF(ABS(MOD(ABS((L92*M92*O92)),1)-0.5)&lt;1E-9,2*ROUND((L92*M92*O92)/2,0),ROUND((L92*M92*O92),0))</f>
        <v/>
      </c>
      <c r="Q92" s="37">
        <f>IF(AND(B92="South Korea",scenario="MID"),korea_mid_load,load_sel)</f>
        <v/>
      </c>
      <c r="R92" s="38">
        <f>pax_cap*Q92</f>
        <v/>
      </c>
      <c r="S92" s="36">
        <f>R92*P92</f>
        <v/>
      </c>
      <c r="T92" s="39">
        <f>E92*discount</f>
        <v/>
      </c>
      <c r="U92" s="40">
        <f>T92*S92</f>
        <v/>
      </c>
      <c r="V92" s="40">
        <f>(battery/range_nm)*D92*P92*VLOOKUP(B92,country_opex,3,FALSE)</f>
        <v/>
      </c>
      <c r="W92" s="40">
        <f>VLOOKUP(B92,country_opex,2,FALSE)*crew_factor</f>
        <v/>
      </c>
      <c r="X92" s="40">
        <f>VLOOKUP(B92,country_opex,5,FALSE)</f>
        <v/>
      </c>
      <c r="Y92" s="40">
        <f>maint</f>
        <v/>
      </c>
      <c r="Z92" s="40">
        <f>VLOOKUP(B92,country_opex,7,FALSE)*ins_pct</f>
        <v/>
      </c>
      <c r="AA92" s="40">
        <f>charge_berth</f>
        <v/>
      </c>
      <c r="AB92" s="40">
        <f>V92+W92+X92+Y92+Z92+AA92</f>
        <v/>
      </c>
      <c r="AC92" s="40">
        <f>VLOOKUP(B92,country_opex,7,FALSE)/dep_years</f>
        <v/>
      </c>
      <c r="AD92" s="40">
        <f>U92-AB92</f>
        <v/>
      </c>
      <c r="AE92" s="37">
        <f>IF(U92=0,"",AD92/U92)</f>
        <v/>
      </c>
      <c r="AF92" s="38">
        <f>IF(AD92&lt;=0,"",VLOOKUP(B92,country_opex,7,FALSE)/AD92)</f>
        <v/>
      </c>
      <c r="AG92" s="35">
        <f>((D92*P92/diesel_nmpg)*diesel_co2pg-(battery/range_nm)*D92*P92*VLOOKUP(B92,country_opex,4,FALSE))/1000</f>
        <v/>
      </c>
      <c r="AH92" s="33" t="n">
        <v>201092</v>
      </c>
      <c r="AI92" s="34" t="n"/>
      <c r="AJ92" s="34" t="n"/>
      <c r="AK92" s="41" t="n">
        <v>0.1</v>
      </c>
      <c r="AL92" s="36">
        <f>IF(AH92="","",AH92*AK92)</f>
        <v/>
      </c>
      <c r="AM92" s="36">
        <f>IF(OR(AH92="",S92=0),"",MIN(IF(AU92="",9.9E+99,AU92),FLOOR(AL92/S92,1)))</f>
        <v/>
      </c>
      <c r="AN92" s="40">
        <f>IF(AM92="","",AM92*IF(ABS(MOD(ABS((U92)),1)-0.5)&lt;1E-9,2*ROUND((U92)/2,0),ROUND((U92),0)))</f>
        <v/>
      </c>
      <c r="AO92" s="38">
        <f>IF(OR(AH92="",S92=0),"",MIN(IF(AU92="",9.9E+99,AU92),AL92/S92))</f>
        <v/>
      </c>
      <c r="AP92" s="40">
        <f>IF(AO92="","",AO92*IF(B92="South Korea",IF(ABS(MOD(ABS((U92)),1)-0.5)&lt;1E-9,2*ROUND((U92)/2,0),ROUND((U92),0)),U92))</f>
        <v/>
      </c>
      <c r="AQ92" s="42" t="n"/>
      <c r="AR92" s="34" t="inlineStr">
        <is>
          <t>Grounded</t>
        </is>
      </c>
      <c r="AS92" s="43" t="n"/>
      <c r="AT92" s="43" t="n"/>
      <c r="AU92" s="44" t="n"/>
      <c r="AV92" s="45">
        <f>IF(((T92*pax_cap*load_thin*IF(ABS(MOD(ABS((L92*M92*revleg_thin)),1)-0.5)&lt;1E-9,2*ROUND((L92*M92*revleg_thin)/2,0),ROUND((L92*M92*revleg_thin),0)))-(((battery/range_nm)*D92*IF(ABS(MOD(ABS((L92*M92*revleg_thin)),1)-0.5)&lt;1E-9,2*ROUND((L92*M92*revleg_thin)/2,0),ROUND((L92*M92*revleg_thin),0))*VLOOKUP(B92,country_opex,3,FALSE))+W92+X92+Y92+Z92+AA92))&lt;=0,"",VLOOKUP(B92,country_opex,7,FALSE)/((T92*pax_cap*load_thin*IF(ABS(MOD(ABS((L92*M92*revleg_thin)),1)-0.5)&lt;1E-9,2*ROUND((L92*M92*revleg_thin)/2,0),ROUND((L92*M92*revleg_thin),0)))-(((battery/range_nm)*D92*IF(ABS(MOD(ABS((L92*M92*revleg_thin)),1)-0.5)&lt;1E-9,2*ROUND((L92*M92*revleg_thin)/2,0),ROUND((L92*M92*revleg_thin),0))*VLOOKUP(B92,country_opex,3,FALSE))+W92+X92+Y92+Z92+AA92)))</f>
        <v/>
      </c>
      <c r="AW92" s="45">
        <f>IF(((T92*pax_cap*IF(B92="South Korea",korea_mid_load,load_mid)*IF(ABS(MOD(ABS((L92*M92*IF(B92="South Korea",korea_mid_revleg,revleg_mid))),1)-0.5)&lt;1E-9,2*ROUND((L92*M92*IF(B92="South Korea",korea_mid_revleg,revleg_mid))/2,0),ROUND((L92*M92*IF(B92="South Korea",korea_mid_revleg,revleg_mid)),0)))-(((battery/range_nm)*D92*IF(ABS(MOD(ABS((L92*M92*IF(B92="South Korea",korea_mid_revleg,revleg_mid))),1)-0.5)&lt;1E-9,2*ROUND((L92*M92*IF(B92="South Korea",korea_mid_revleg,revleg_mid))/2,0),ROUND((L92*M92*IF(B92="South Korea",korea_mid_revleg,revleg_mid)),0))*VLOOKUP(B92,country_opex,3,FALSE))+W92+X92+Y92+Z92+AA92))&lt;=0,"",VLOOKUP(B92,country_opex,7,FALSE)/((T92*pax_cap*IF(B92="South Korea",korea_mid_load,load_mid)*IF(ABS(MOD(ABS((L92*M92*IF(B92="South Korea",korea_mid_revleg,revleg_mid))),1)-0.5)&lt;1E-9,2*ROUND((L92*M92*IF(B92="South Korea",korea_mid_revleg,revleg_mid))/2,0),ROUND((L92*M92*IF(B92="South Korea",korea_mid_revleg,revleg_mid)),0)))-(((battery/range_nm)*D92*IF(ABS(MOD(ABS((L92*M92*IF(B92="South Korea",korea_mid_revleg,revleg_mid))),1)-0.5)&lt;1E-9,2*ROUND((L92*M92*IF(B92="South Korea",korea_mid_revleg,revleg_mid))/2,0),ROUND((L92*M92*IF(B92="South Korea",korea_mid_revleg,revleg_mid)),0))*VLOOKUP(B92,country_opex,3,FALSE))+W92+X92+Y92+Z92+AA92)))</f>
        <v/>
      </c>
      <c r="AX92" s="45">
        <f>IF(((T92*pax_cap*load_full*IF(ABS(MOD(ABS((L92*M92*revleg_full)),1)-0.5)&lt;1E-9,2*ROUND((L92*M92*revleg_full)/2,0),ROUND((L92*M92*revleg_full),0)))-(((battery/range_nm)*D92*IF(ABS(MOD(ABS((L92*M92*revleg_full)),1)-0.5)&lt;1E-9,2*ROUND((L92*M92*revleg_full)/2,0),ROUND((L92*M92*revleg_full),0))*VLOOKUP(B92,country_opex,3,FALSE))+W92+X92+Y92+Z92+AA92))&lt;=0,"",VLOOKUP(B92,country_opex,7,FALSE)/((T92*pax_cap*load_full*IF(ABS(MOD(ABS((L92*M92*revleg_full)),1)-0.5)&lt;1E-9,2*ROUND((L92*M92*revleg_full)/2,0),ROUND((L92*M92*revleg_full),0)))-(((battery/range_nm)*D92*IF(ABS(MOD(ABS((L92*M92*revleg_full)),1)-0.5)&lt;1E-9,2*ROUND((L92*M92*revleg_full)/2,0),ROUND((L92*M92*revleg_full),0))*VLOOKUP(B92,country_opex,3,FALSE))+W92+X92+Y92+Z92+AA92)))</f>
        <v/>
      </c>
      <c r="AY92" s="46" t="inlineStr">
        <is>
          <t>PREMIUM/excursion proxy: Tel Aviv Marina shared skyline cruise ~$130/person (GetYourGuide, 2026) as the only sourceable premium per-seat; a true TLV-Haifa fast-ferry seat would price above this given the longer distance. Excursion proxy, flagged.</t>
        </is>
      </c>
      <c r="AZ92" s="46" t="n"/>
      <c r="BA92" s="34" t="n"/>
    </row>
    <row r="93">
      <c r="A93" s="31" t="inlineStr">
        <is>
          <t>Bolt Italy</t>
        </is>
      </c>
      <c r="B93" s="31" t="inlineStr">
        <is>
          <t>Italy</t>
        </is>
      </c>
      <c r="C93" s="32" t="inlineStr">
        <is>
          <t>Venice → Lido</t>
        </is>
      </c>
      <c r="D93" s="33" t="n">
        <v>1.5</v>
      </c>
      <c r="E93" s="27" t="n">
        <v>27</v>
      </c>
      <c r="F93" s="34" t="inlineStr">
        <is>
          <t>T2</t>
        </is>
      </c>
      <c r="G93" s="34" t="inlineStr">
        <is>
          <t>med</t>
        </is>
      </c>
      <c r="H93" s="20" t="n">
        <v>1</v>
      </c>
      <c r="I93" s="35">
        <f>60*D93/cruise_kt</f>
        <v/>
      </c>
      <c r="J93" s="35">
        <f>IF(B93="South Korea",D93/korea_charge_range_nm*korea_full_range_charge_min,0)</f>
        <v/>
      </c>
      <c r="K93" s="35">
        <f>IF(B93="South Korea",I93+korea_turn_min+korea_dwell_min+J93,I93+turn_min+dwell_min)</f>
        <v/>
      </c>
      <c r="L93" s="36">
        <f>IF(B93="South Korea",FLOOR(60*korea_service_hr/K93,1),MIN(15,FLOOR(60*service_hr/K93,1)))</f>
        <v/>
      </c>
      <c r="M93" s="36">
        <f>IF(ABS(MOD(ABS((365*mech_uptime*H93)),1)-0.5)&lt;1E-9,2*ROUND((365*mech_uptime*H93)/2,0),ROUND((365*mech_uptime*H93),0))</f>
        <v/>
      </c>
      <c r="N93" s="37">
        <f>mech_uptime</f>
        <v/>
      </c>
      <c r="O93" s="37">
        <f>IF(AND(B93="South Korea",scenario="MID"),korea_mid_revleg,revleg_sel)</f>
        <v/>
      </c>
      <c r="P93" s="36">
        <f>IF(ABS(MOD(ABS((L93*M93*O93)),1)-0.5)&lt;1E-9,2*ROUND((L93*M93*O93)/2,0),ROUND((L93*M93*O93),0))</f>
        <v/>
      </c>
      <c r="Q93" s="37">
        <f>IF(AND(B93="South Korea",scenario="MID"),korea_mid_load,load_sel)</f>
        <v/>
      </c>
      <c r="R93" s="38">
        <f>pax_cap*Q93</f>
        <v/>
      </c>
      <c r="S93" s="36">
        <f>R93*P93</f>
        <v/>
      </c>
      <c r="T93" s="39">
        <f>E93*discount</f>
        <v/>
      </c>
      <c r="U93" s="40">
        <f>T93*S93</f>
        <v/>
      </c>
      <c r="V93" s="40">
        <f>(battery/range_nm)*D93*P93*VLOOKUP(B93,country_opex,3,FALSE)</f>
        <v/>
      </c>
      <c r="W93" s="40">
        <f>VLOOKUP(B93,country_opex,2,FALSE)*crew_factor</f>
        <v/>
      </c>
      <c r="X93" s="40">
        <f>VLOOKUP(B93,country_opex,5,FALSE)</f>
        <v/>
      </c>
      <c r="Y93" s="40">
        <f>maint</f>
        <v/>
      </c>
      <c r="Z93" s="40">
        <f>VLOOKUP(B93,country_opex,7,FALSE)*ins_pct</f>
        <v/>
      </c>
      <c r="AA93" s="40">
        <f>charge_berth</f>
        <v/>
      </c>
      <c r="AB93" s="40">
        <f>V93+W93+X93+Y93+Z93+AA93</f>
        <v/>
      </c>
      <c r="AC93" s="40">
        <f>VLOOKUP(B93,country_opex,7,FALSE)/dep_years</f>
        <v/>
      </c>
      <c r="AD93" s="40">
        <f>U93-AB93</f>
        <v/>
      </c>
      <c r="AE93" s="37">
        <f>IF(U93=0,"",AD93/U93)</f>
        <v/>
      </c>
      <c r="AF93" s="38">
        <f>IF(AD93&lt;=0,"",VLOOKUP(B93,country_opex,7,FALSE)/AD93)</f>
        <v/>
      </c>
      <c r="AG93" s="35">
        <f>((D93*P93/diesel_nmpg)*diesel_co2pg-(battery/range_nm)*D93*P93*VLOOKUP(B93,country_opex,4,FALSE))/1000</f>
        <v/>
      </c>
      <c r="AH93" s="33" t="n"/>
      <c r="AI93" s="34" t="n"/>
      <c r="AJ93" s="34" t="n"/>
      <c r="AK93" s="41" t="n">
        <v>0.1</v>
      </c>
      <c r="AL93" s="36">
        <f>IF(AH93="","",AH93*AK93)</f>
        <v/>
      </c>
      <c r="AM93" s="36">
        <f>IF(OR(AH93="",S93=0),"",MIN(IF(AU93="",9.9E+99,AU93),FLOOR(AL93/S93,1)))</f>
        <v/>
      </c>
      <c r="AN93" s="40">
        <f>IF(AM93="","",AM93*IF(ABS(MOD(ABS((U93)),1)-0.5)&lt;1E-9,2*ROUND((U93)/2,0),ROUND((U93),0)))</f>
        <v/>
      </c>
      <c r="AO93" s="38">
        <f>IF(OR(AH93="",S93=0),"",MIN(IF(AU93="",9.9E+99,AU93),AL93/S93))</f>
        <v/>
      </c>
      <c r="AP93" s="40">
        <f>IF(AO93="","",AO93*IF(B93="South Korea",IF(ABS(MOD(ABS((U93)),1)-0.5)&lt;1E-9,2*ROUND((U93)/2,0),ROUND((U93),0)),U93))</f>
        <v/>
      </c>
      <c r="AQ93" s="42" t="n"/>
      <c r="AR93" s="34" t="inlineStr">
        <is>
          <t>Estimated</t>
        </is>
      </c>
      <c r="AS93" s="43" t="n"/>
      <c r="AT93" s="43" t="n"/>
      <c r="AU93" s="44" t="n"/>
      <c r="AV93" s="45">
        <f>IF(((T93*pax_cap*load_thin*IF(ABS(MOD(ABS((L93*M93*revleg_thin)),1)-0.5)&lt;1E-9,2*ROUND((L93*M93*revleg_thin)/2,0),ROUND((L93*M93*revleg_thin),0)))-(((battery/range_nm)*D93*IF(ABS(MOD(ABS((L93*M93*revleg_thin)),1)-0.5)&lt;1E-9,2*ROUND((L93*M93*revleg_thin)/2,0),ROUND((L93*M93*revleg_thin),0))*VLOOKUP(B93,country_opex,3,FALSE))+W93+X93+Y93+Z93+AA93))&lt;=0,"",VLOOKUP(B93,country_opex,7,FALSE)/((T93*pax_cap*load_thin*IF(ABS(MOD(ABS((L93*M93*revleg_thin)),1)-0.5)&lt;1E-9,2*ROUND((L93*M93*revleg_thin)/2,0),ROUND((L93*M93*revleg_thin),0)))-(((battery/range_nm)*D93*IF(ABS(MOD(ABS((L93*M93*revleg_thin)),1)-0.5)&lt;1E-9,2*ROUND((L93*M93*revleg_thin)/2,0),ROUND((L93*M93*revleg_thin),0))*VLOOKUP(B93,country_opex,3,FALSE))+W93+X93+Y93+Z93+AA93)))</f>
        <v/>
      </c>
      <c r="AW93" s="45">
        <f>IF(((T93*pax_cap*IF(B93="South Korea",korea_mid_load,load_mid)*IF(ABS(MOD(ABS((L93*M93*IF(B93="South Korea",korea_mid_revleg,revleg_mid))),1)-0.5)&lt;1E-9,2*ROUND((L93*M93*IF(B93="South Korea",korea_mid_revleg,revleg_mid))/2,0),ROUND((L93*M93*IF(B93="South Korea",korea_mid_revleg,revleg_mid)),0)))-(((battery/range_nm)*D93*IF(ABS(MOD(ABS((L93*M93*IF(B93="South Korea",korea_mid_revleg,revleg_mid))),1)-0.5)&lt;1E-9,2*ROUND((L93*M93*IF(B93="South Korea",korea_mid_revleg,revleg_mid))/2,0),ROUND((L93*M93*IF(B93="South Korea",korea_mid_revleg,revleg_mid)),0))*VLOOKUP(B93,country_opex,3,FALSE))+W93+X93+Y93+Z93+AA93))&lt;=0,"",VLOOKUP(B93,country_opex,7,FALSE)/((T93*pax_cap*IF(B93="South Korea",korea_mid_load,load_mid)*IF(ABS(MOD(ABS((L93*M93*IF(B93="South Korea",korea_mid_revleg,revleg_mid))),1)-0.5)&lt;1E-9,2*ROUND((L93*M93*IF(B93="South Korea",korea_mid_revleg,revleg_mid))/2,0),ROUND((L93*M93*IF(B93="South Korea",korea_mid_revleg,revleg_mid)),0)))-(((battery/range_nm)*D93*IF(ABS(MOD(ABS((L93*M93*IF(B93="South Korea",korea_mid_revleg,revleg_mid))),1)-0.5)&lt;1E-9,2*ROUND((L93*M93*IF(B93="South Korea",korea_mid_revleg,revleg_mid))/2,0),ROUND((L93*M93*IF(B93="South Korea",korea_mid_revleg,revleg_mid)),0))*VLOOKUP(B93,country_opex,3,FALSE))+W93+X93+Y93+Z93+AA93)))</f>
        <v/>
      </c>
      <c r="AX93" s="45">
        <f>IF(((T93*pax_cap*load_full*IF(ABS(MOD(ABS((L93*M93*revleg_full)),1)-0.5)&lt;1E-9,2*ROUND((L93*M93*revleg_full)/2,0),ROUND((L93*M93*revleg_full),0)))-(((battery/range_nm)*D93*IF(ABS(MOD(ABS((L93*M93*revleg_full)),1)-0.5)&lt;1E-9,2*ROUND((L93*M93*revleg_full)/2,0),ROUND((L93*M93*revleg_full),0))*VLOOKUP(B93,country_opex,3,FALSE))+W93+X93+Y93+Z93+AA93))&lt;=0,"",VLOOKUP(B93,country_opex,7,FALSE)/((T93*pax_cap*load_full*IF(ABS(MOD(ABS((L93*M93*revleg_full)),1)-0.5)&lt;1E-9,2*ROUND((L93*M93*revleg_full)/2,0),ROUND((L93*M93*revleg_full),0)))-(((battery/range_nm)*D93*IF(ABS(MOD(ABS((L93*M93*revleg_full)),1)-0.5)&lt;1E-9,2*ROUND((L93*M93*revleg_full)/2,0),ROUND((L93*M93*revleg_full),0))*VLOOKUP(B93,country_opex,3,FALSE))+W93+X93+Y93+Z93+AA93)))</f>
        <v/>
      </c>
      <c r="AY93" s="46" t="inlineStr">
        <is>
          <t>PREMIUM tourist tier = ACTV day travelcard EUR 25 (~$27) (covers the Lido lines); premium water-taxi tier higher. Navier models the premium tier, not the EUR 9.50 single.</t>
        </is>
      </c>
      <c r="AZ93" s="46" t="n"/>
      <c r="BA93" s="34" t="n"/>
    </row>
    <row r="94">
      <c r="A94" s="31" t="inlineStr">
        <is>
          <t>Bolt Italy</t>
        </is>
      </c>
      <c r="B94" s="31" t="inlineStr">
        <is>
          <t>Italy</t>
        </is>
      </c>
      <c r="C94" s="32" t="inlineStr">
        <is>
          <t>San Marco → Murano / Burano</t>
        </is>
      </c>
      <c r="D94" s="33" t="n">
        <v>2</v>
      </c>
      <c r="E94" s="27" t="n">
        <v>27</v>
      </c>
      <c r="F94" s="34" t="inlineStr">
        <is>
          <t>T2</t>
        </is>
      </c>
      <c r="G94" s="34" t="inlineStr">
        <is>
          <t>med</t>
        </is>
      </c>
      <c r="H94" s="20" t="n">
        <v>1</v>
      </c>
      <c r="I94" s="35">
        <f>60*D94/cruise_kt</f>
        <v/>
      </c>
      <c r="J94" s="35">
        <f>IF(B94="South Korea",D94/korea_charge_range_nm*korea_full_range_charge_min,0)</f>
        <v/>
      </c>
      <c r="K94" s="35">
        <f>IF(B94="South Korea",I94+korea_turn_min+korea_dwell_min+J94,I94+turn_min+dwell_min)</f>
        <v/>
      </c>
      <c r="L94" s="36">
        <f>IF(B94="South Korea",FLOOR(60*korea_service_hr/K94,1),MIN(15,FLOOR(60*service_hr/K94,1)))</f>
        <v/>
      </c>
      <c r="M94" s="36">
        <f>IF(ABS(MOD(ABS((365*mech_uptime*H94)),1)-0.5)&lt;1E-9,2*ROUND((365*mech_uptime*H94)/2,0),ROUND((365*mech_uptime*H94),0))</f>
        <v/>
      </c>
      <c r="N94" s="37">
        <f>mech_uptime</f>
        <v/>
      </c>
      <c r="O94" s="37">
        <f>IF(AND(B94="South Korea",scenario="MID"),korea_mid_revleg,revleg_sel)</f>
        <v/>
      </c>
      <c r="P94" s="36">
        <f>IF(ABS(MOD(ABS((L94*M94*O94)),1)-0.5)&lt;1E-9,2*ROUND((L94*M94*O94)/2,0),ROUND((L94*M94*O94),0))</f>
        <v/>
      </c>
      <c r="Q94" s="37">
        <f>IF(AND(B94="South Korea",scenario="MID"),korea_mid_load,load_sel)</f>
        <v/>
      </c>
      <c r="R94" s="38">
        <f>pax_cap*Q94</f>
        <v/>
      </c>
      <c r="S94" s="36">
        <f>R94*P94</f>
        <v/>
      </c>
      <c r="T94" s="39">
        <f>E94*discount</f>
        <v/>
      </c>
      <c r="U94" s="40">
        <f>T94*S94</f>
        <v/>
      </c>
      <c r="V94" s="40">
        <f>(battery/range_nm)*D94*P94*VLOOKUP(B94,country_opex,3,FALSE)</f>
        <v/>
      </c>
      <c r="W94" s="40">
        <f>VLOOKUP(B94,country_opex,2,FALSE)*crew_factor</f>
        <v/>
      </c>
      <c r="X94" s="40">
        <f>VLOOKUP(B94,country_opex,5,FALSE)</f>
        <v/>
      </c>
      <c r="Y94" s="40">
        <f>maint</f>
        <v/>
      </c>
      <c r="Z94" s="40">
        <f>VLOOKUP(B94,country_opex,7,FALSE)*ins_pct</f>
        <v/>
      </c>
      <c r="AA94" s="40">
        <f>charge_berth</f>
        <v/>
      </c>
      <c r="AB94" s="40">
        <f>V94+W94+X94+Y94+Z94+AA94</f>
        <v/>
      </c>
      <c r="AC94" s="40">
        <f>VLOOKUP(B94,country_opex,7,FALSE)/dep_years</f>
        <v/>
      </c>
      <c r="AD94" s="40">
        <f>U94-AB94</f>
        <v/>
      </c>
      <c r="AE94" s="37">
        <f>IF(U94=0,"",AD94/U94)</f>
        <v/>
      </c>
      <c r="AF94" s="38">
        <f>IF(AD94&lt;=0,"",VLOOKUP(B94,country_opex,7,FALSE)/AD94)</f>
        <v/>
      </c>
      <c r="AG94" s="35">
        <f>((D94*P94/diesel_nmpg)*diesel_co2pg-(battery/range_nm)*D94*P94*VLOOKUP(B94,country_opex,4,FALSE))/1000</f>
        <v/>
      </c>
      <c r="AH94" s="33" t="n">
        <v>1500000</v>
      </c>
      <c r="AI94" s="34" t="n"/>
      <c r="AJ94" s="34" t="n"/>
      <c r="AK94" s="41" t="n">
        <v>0.1</v>
      </c>
      <c r="AL94" s="36">
        <f>IF(AH94="","",AH94*AK94)</f>
        <v/>
      </c>
      <c r="AM94" s="36">
        <f>IF(OR(AH94="",S94=0),"",MIN(IF(AU94="",9.9E+99,AU94),FLOOR(AL94/S94,1)))</f>
        <v/>
      </c>
      <c r="AN94" s="40">
        <f>IF(AM94="","",AM94*IF(ABS(MOD(ABS((U94)),1)-0.5)&lt;1E-9,2*ROUND((U94)/2,0),ROUND((U94),0)))</f>
        <v/>
      </c>
      <c r="AO94" s="38">
        <f>IF(OR(AH94="",S94=0),"",MIN(IF(AU94="",9.9E+99,AU94),AL94/S94))</f>
        <v/>
      </c>
      <c r="AP94" s="40">
        <f>IF(AO94="","",AO94*IF(B94="South Korea",IF(ABS(MOD(ABS((U94)),1)-0.5)&lt;1E-9,2*ROUND((U94)/2,0),ROUND((U94),0)),U94))</f>
        <v/>
      </c>
      <c r="AQ94" s="42" t="n"/>
      <c r="AR94" s="34" t="inlineStr">
        <is>
          <t>Grounded</t>
        </is>
      </c>
      <c r="AS94" s="43" t="n"/>
      <c r="AT94" s="43" t="n"/>
      <c r="AU94" s="44" t="n"/>
      <c r="AV94" s="45">
        <f>IF(((T94*pax_cap*load_thin*IF(ABS(MOD(ABS((L94*M94*revleg_thin)),1)-0.5)&lt;1E-9,2*ROUND((L94*M94*revleg_thin)/2,0),ROUND((L94*M94*revleg_thin),0)))-(((battery/range_nm)*D94*IF(ABS(MOD(ABS((L94*M94*revleg_thin)),1)-0.5)&lt;1E-9,2*ROUND((L94*M94*revleg_thin)/2,0),ROUND((L94*M94*revleg_thin),0))*VLOOKUP(B94,country_opex,3,FALSE))+W94+X94+Y94+Z94+AA94))&lt;=0,"",VLOOKUP(B94,country_opex,7,FALSE)/((T94*pax_cap*load_thin*IF(ABS(MOD(ABS((L94*M94*revleg_thin)),1)-0.5)&lt;1E-9,2*ROUND((L94*M94*revleg_thin)/2,0),ROUND((L94*M94*revleg_thin),0)))-(((battery/range_nm)*D94*IF(ABS(MOD(ABS((L94*M94*revleg_thin)),1)-0.5)&lt;1E-9,2*ROUND((L94*M94*revleg_thin)/2,0),ROUND((L94*M94*revleg_thin),0))*VLOOKUP(B94,country_opex,3,FALSE))+W94+X94+Y94+Z94+AA94)))</f>
        <v/>
      </c>
      <c r="AW94" s="45">
        <f>IF(((T94*pax_cap*IF(B94="South Korea",korea_mid_load,load_mid)*IF(ABS(MOD(ABS((L94*M94*IF(B94="South Korea",korea_mid_revleg,revleg_mid))),1)-0.5)&lt;1E-9,2*ROUND((L94*M94*IF(B94="South Korea",korea_mid_revleg,revleg_mid))/2,0),ROUND((L94*M94*IF(B94="South Korea",korea_mid_revleg,revleg_mid)),0)))-(((battery/range_nm)*D94*IF(ABS(MOD(ABS((L94*M94*IF(B94="South Korea",korea_mid_revleg,revleg_mid))),1)-0.5)&lt;1E-9,2*ROUND((L94*M94*IF(B94="South Korea",korea_mid_revleg,revleg_mid))/2,0),ROUND((L94*M94*IF(B94="South Korea",korea_mid_revleg,revleg_mid)),0))*VLOOKUP(B94,country_opex,3,FALSE))+W94+X94+Y94+Z94+AA94))&lt;=0,"",VLOOKUP(B94,country_opex,7,FALSE)/((T94*pax_cap*IF(B94="South Korea",korea_mid_load,load_mid)*IF(ABS(MOD(ABS((L94*M94*IF(B94="South Korea",korea_mid_revleg,revleg_mid))),1)-0.5)&lt;1E-9,2*ROUND((L94*M94*IF(B94="South Korea",korea_mid_revleg,revleg_mid))/2,0),ROUND((L94*M94*IF(B94="South Korea",korea_mid_revleg,revleg_mid)),0)))-(((battery/range_nm)*D94*IF(ABS(MOD(ABS((L94*M94*IF(B94="South Korea",korea_mid_revleg,revleg_mid))),1)-0.5)&lt;1E-9,2*ROUND((L94*M94*IF(B94="South Korea",korea_mid_revleg,revleg_mid))/2,0),ROUND((L94*M94*IF(B94="South Korea",korea_mid_revleg,revleg_mid)),0))*VLOOKUP(B94,country_opex,3,FALSE))+W94+X94+Y94+Z94+AA94)))</f>
        <v/>
      </c>
      <c r="AX94" s="45">
        <f>IF(((T94*pax_cap*load_full*IF(ABS(MOD(ABS((L94*M94*revleg_full)),1)-0.5)&lt;1E-9,2*ROUND((L94*M94*revleg_full)/2,0),ROUND((L94*M94*revleg_full),0)))-(((battery/range_nm)*D94*IF(ABS(MOD(ABS((L94*M94*revleg_full)),1)-0.5)&lt;1E-9,2*ROUND((L94*M94*revleg_full)/2,0),ROUND((L94*M94*revleg_full),0))*VLOOKUP(B94,country_opex,3,FALSE))+W94+X94+Y94+Z94+AA94))&lt;=0,"",VLOOKUP(B94,country_opex,7,FALSE)/((T94*pax_cap*load_full*IF(ABS(MOD(ABS((L94*M94*revleg_full)),1)-0.5)&lt;1E-9,2*ROUND((L94*M94*revleg_full)/2,0),ROUND((L94*M94*revleg_full),0)))-(((battery/range_nm)*D94*IF(ABS(MOD(ABS((L94*M94*revleg_full)),1)-0.5)&lt;1E-9,2*ROUND((L94*M94*revleg_full)/2,0),ROUND((L94*M94*revleg_full),0))*VLOOKUP(B94,country_opex,3,FALSE))+W94+X94+Y94+Z94+AA94)))</f>
        <v/>
      </c>
      <c r="AY94" s="46" t="inlineStr">
        <is>
          <t>PREMIUM tourist tier = ACTV day travelcard EUR 25 (valid for the Lido/Murano/Burano island lines) x 1.08 = ~$27 -- the realistic per-tourist fare for the island circuit. Higher premium = shared/private water-taxi tier (cf. EUR 39/person shared, motoscafo EUR 80-120/boat). Navier models the premium water-mobility tier, not the EUR 9.50 single.</t>
        </is>
      </c>
      <c r="AZ94" s="46" t="n"/>
      <c r="BA94" s="34" t="n"/>
    </row>
    <row r="95">
      <c r="A95" s="31" t="inlineStr">
        <is>
          <t>Bolt Italy</t>
        </is>
      </c>
      <c r="B95" s="31" t="inlineStr">
        <is>
          <t>Italy</t>
        </is>
      </c>
      <c r="C95" s="32" t="inlineStr">
        <is>
          <t>Santa Margherita Ligure → Portofino</t>
        </is>
      </c>
      <c r="D95" s="33" t="n">
        <v>2</v>
      </c>
      <c r="E95" s="27" t="n">
        <v>11.9</v>
      </c>
      <c r="F95" s="34" t="inlineStr">
        <is>
          <t>T2</t>
        </is>
      </c>
      <c r="G95" s="34" t="inlineStr">
        <is>
          <t>med</t>
        </is>
      </c>
      <c r="H95" s="20" t="n">
        <v>1</v>
      </c>
      <c r="I95" s="35">
        <f>60*D95/cruise_kt</f>
        <v/>
      </c>
      <c r="J95" s="35">
        <f>IF(B95="South Korea",D95/korea_charge_range_nm*korea_full_range_charge_min,0)</f>
        <v/>
      </c>
      <c r="K95" s="35">
        <f>IF(B95="South Korea",I95+korea_turn_min+korea_dwell_min+J95,I95+turn_min+dwell_min)</f>
        <v/>
      </c>
      <c r="L95" s="36">
        <f>IF(B95="South Korea",FLOOR(60*korea_service_hr/K95,1),MIN(24,FLOOR(60*service_hr/K95,1)))</f>
        <v/>
      </c>
      <c r="M95" s="36">
        <f>IF(ABS(MOD(ABS((365*mech_uptime*H95)),1)-0.5)&lt;1E-9,2*ROUND((365*mech_uptime*H95)/2,0),ROUND((365*mech_uptime*H95),0))</f>
        <v/>
      </c>
      <c r="N95" s="37">
        <f>mech_uptime</f>
        <v/>
      </c>
      <c r="O95" s="37">
        <f>IF(AND(B95="South Korea",scenario="MID"),korea_mid_revleg,revleg_sel)</f>
        <v/>
      </c>
      <c r="P95" s="36">
        <f>IF(ABS(MOD(ABS((L95*M95*O95)),1)-0.5)&lt;1E-9,2*ROUND((L95*M95*O95)/2,0),ROUND((L95*M95*O95),0))</f>
        <v/>
      </c>
      <c r="Q95" s="37">
        <f>IF(AND(B95="South Korea",scenario="MID"),korea_mid_load,load_sel)</f>
        <v/>
      </c>
      <c r="R95" s="38">
        <f>pax_cap*Q95</f>
        <v/>
      </c>
      <c r="S95" s="36">
        <f>R95*P95</f>
        <v/>
      </c>
      <c r="T95" s="39">
        <f>E95*discount</f>
        <v/>
      </c>
      <c r="U95" s="40">
        <f>T95*S95</f>
        <v/>
      </c>
      <c r="V95" s="40">
        <f>(battery/range_nm)*D95*P95*VLOOKUP(B95,country_opex,3,FALSE)</f>
        <v/>
      </c>
      <c r="W95" s="40">
        <f>VLOOKUP(B95,country_opex,2,FALSE)*crew_factor</f>
        <v/>
      </c>
      <c r="X95" s="40">
        <f>VLOOKUP(B95,country_opex,5,FALSE)</f>
        <v/>
      </c>
      <c r="Y95" s="40">
        <f>maint</f>
        <v/>
      </c>
      <c r="Z95" s="40">
        <f>VLOOKUP(B95,country_opex,7,FALSE)*ins_pct</f>
        <v/>
      </c>
      <c r="AA95" s="40">
        <f>charge_berth</f>
        <v/>
      </c>
      <c r="AB95" s="40">
        <f>V95+W95+X95+Y95+Z95+AA95</f>
        <v/>
      </c>
      <c r="AC95" s="40">
        <f>VLOOKUP(B95,country_opex,7,FALSE)/dep_years</f>
        <v/>
      </c>
      <c r="AD95" s="40">
        <f>U95-AB95</f>
        <v/>
      </c>
      <c r="AE95" s="37">
        <f>IF(U95=0,"",AD95/U95)</f>
        <v/>
      </c>
      <c r="AF95" s="38">
        <f>IF(AD95&lt;=0,"",VLOOKUP(B95,country_opex,7,FALSE)/AD95)</f>
        <v/>
      </c>
      <c r="AG95" s="35">
        <f>((D95*P95/diesel_nmpg)*diesel_co2pg-(battery/range_nm)*D95*P95*VLOOKUP(B95,country_opex,4,FALSE))/1000</f>
        <v/>
      </c>
      <c r="AH95" s="33" t="n">
        <v>200000</v>
      </c>
      <c r="AI95" s="34" t="n"/>
      <c r="AJ95" s="34" t="n"/>
      <c r="AK95" s="41" t="n">
        <v>0.1</v>
      </c>
      <c r="AL95" s="36">
        <f>IF(AH95="","",AH95*AK95)</f>
        <v/>
      </c>
      <c r="AM95" s="36">
        <f>IF(OR(AH95="",S95=0),"",MIN(IF(AU95="",9.9E+99,AU95),FLOOR(AL95/S95,1)))</f>
        <v/>
      </c>
      <c r="AN95" s="40">
        <f>IF(AM95="","",AM95*IF(ABS(MOD(ABS((U95)),1)-0.5)&lt;1E-9,2*ROUND((U95)/2,0),ROUND((U95),0)))</f>
        <v/>
      </c>
      <c r="AO95" s="38">
        <f>IF(OR(AH95="",S95=0),"",MIN(IF(AU95="",9.9E+99,AU95),AL95/S95))</f>
        <v/>
      </c>
      <c r="AP95" s="40">
        <f>IF(AO95="","",AO95*IF(B95="South Korea",IF(ABS(MOD(ABS((U95)),1)-0.5)&lt;1E-9,2*ROUND((U95)/2,0),ROUND((U95),0)),U95))</f>
        <v/>
      </c>
      <c r="AQ95" s="42" t="n"/>
      <c r="AR95" s="34" t="inlineStr">
        <is>
          <t>Grounded</t>
        </is>
      </c>
      <c r="AS95" s="43" t="n"/>
      <c r="AT95" s="43" t="n"/>
      <c r="AU95" s="44" t="n"/>
      <c r="AV95" s="45">
        <f>IF(((T95*pax_cap*load_thin*IF(ABS(MOD(ABS((L95*M95*revleg_thin)),1)-0.5)&lt;1E-9,2*ROUND((L95*M95*revleg_thin)/2,0),ROUND((L95*M95*revleg_thin),0)))-(((battery/range_nm)*D95*IF(ABS(MOD(ABS((L95*M95*revleg_thin)),1)-0.5)&lt;1E-9,2*ROUND((L95*M95*revleg_thin)/2,0),ROUND((L95*M95*revleg_thin),0))*VLOOKUP(B95,country_opex,3,FALSE))+W95+X95+Y95+Z95+AA95))&lt;=0,"",VLOOKUP(B95,country_opex,7,FALSE)/((T95*pax_cap*load_thin*IF(ABS(MOD(ABS((L95*M95*revleg_thin)),1)-0.5)&lt;1E-9,2*ROUND((L95*M95*revleg_thin)/2,0),ROUND((L95*M95*revleg_thin),0)))-(((battery/range_nm)*D95*IF(ABS(MOD(ABS((L95*M95*revleg_thin)),1)-0.5)&lt;1E-9,2*ROUND((L95*M95*revleg_thin)/2,0),ROUND((L95*M95*revleg_thin),0))*VLOOKUP(B95,country_opex,3,FALSE))+W95+X95+Y95+Z95+AA95)))</f>
        <v/>
      </c>
      <c r="AW95" s="45">
        <f>IF(((T95*pax_cap*IF(B95="South Korea",korea_mid_load,load_mid)*IF(ABS(MOD(ABS((L95*M95*IF(B95="South Korea",korea_mid_revleg,revleg_mid))),1)-0.5)&lt;1E-9,2*ROUND((L95*M95*IF(B95="South Korea",korea_mid_revleg,revleg_mid))/2,0),ROUND((L95*M95*IF(B95="South Korea",korea_mid_revleg,revleg_mid)),0)))-(((battery/range_nm)*D95*IF(ABS(MOD(ABS((L95*M95*IF(B95="South Korea",korea_mid_revleg,revleg_mid))),1)-0.5)&lt;1E-9,2*ROUND((L95*M95*IF(B95="South Korea",korea_mid_revleg,revleg_mid))/2,0),ROUND((L95*M95*IF(B95="South Korea",korea_mid_revleg,revleg_mid)),0))*VLOOKUP(B95,country_opex,3,FALSE))+W95+X95+Y95+Z95+AA95))&lt;=0,"",VLOOKUP(B95,country_opex,7,FALSE)/((T95*pax_cap*IF(B95="South Korea",korea_mid_load,load_mid)*IF(ABS(MOD(ABS((L95*M95*IF(B95="South Korea",korea_mid_revleg,revleg_mid))),1)-0.5)&lt;1E-9,2*ROUND((L95*M95*IF(B95="South Korea",korea_mid_revleg,revleg_mid))/2,0),ROUND((L95*M95*IF(B95="South Korea",korea_mid_revleg,revleg_mid)),0)))-(((battery/range_nm)*D95*IF(ABS(MOD(ABS((L95*M95*IF(B95="South Korea",korea_mid_revleg,revleg_mid))),1)-0.5)&lt;1E-9,2*ROUND((L95*M95*IF(B95="South Korea",korea_mid_revleg,revleg_mid))/2,0),ROUND((L95*M95*IF(B95="South Korea",korea_mid_revleg,revleg_mid)),0))*VLOOKUP(B95,country_opex,3,FALSE))+W95+X95+Y95+Z95+AA95)))</f>
        <v/>
      </c>
      <c r="AX95" s="45">
        <f>IF(((T95*pax_cap*load_full*IF(ABS(MOD(ABS((L95*M95*revleg_full)),1)-0.5)&lt;1E-9,2*ROUND((L95*M95*revleg_full)/2,0),ROUND((L95*M95*revleg_full),0)))-(((battery/range_nm)*D95*IF(ABS(MOD(ABS((L95*M95*revleg_full)),1)-0.5)&lt;1E-9,2*ROUND((L95*M95*revleg_full)/2,0),ROUND((L95*M95*revleg_full),0))*VLOOKUP(B95,country_opex,3,FALSE))+W95+X95+Y95+Z95+AA95))&lt;=0,"",VLOOKUP(B95,country_opex,7,FALSE)/((T95*pax_cap*load_full*IF(ABS(MOD(ABS((L95*M95*revleg_full)),1)-0.5)&lt;1E-9,2*ROUND((L95*M95*revleg_full)/2,0),ROUND((L95*M95*revleg_full),0)))-(((battery/range_nm)*D95*IF(ABS(MOD(ABS((L95*M95*revleg_full)),1)-0.5)&lt;1E-9,2*ROUND((L95*M95*revleg_full)/2,0),ROUND((L95*M95*revleg_full),0))*VLOOKUP(B95,country_opex,3,FALSE))+W95+X95+Y95+Z95+AA95)))</f>
        <v/>
      </c>
      <c r="AY95" s="46" t="inlineStr">
        <is>
          <t>PREMIUM scheduled per-seat: Servizio Marittimo del Tigullio Santa Margherita-&gt;Portofino EUR 11 one-way (Rome2Rio) x 1.08 = ~$11.9. Short hop.</t>
        </is>
      </c>
      <c r="AZ95" s="46" t="n"/>
      <c r="BA95" s="34" t="n"/>
    </row>
    <row r="96">
      <c r="A96" s="31" t="inlineStr">
        <is>
          <t>Bolt Italy</t>
        </is>
      </c>
      <c r="B96" s="31" t="inlineStr">
        <is>
          <t>Italy</t>
        </is>
      </c>
      <c r="C96" s="32" t="inlineStr">
        <is>
          <t>Positano → Amalfi</t>
        </is>
      </c>
      <c r="D96" s="33" t="n">
        <v>4</v>
      </c>
      <c r="E96" s="27" t="n">
        <v>11</v>
      </c>
      <c r="F96" s="34" t="inlineStr">
        <is>
          <t>T2</t>
        </is>
      </c>
      <c r="G96" s="34" t="inlineStr">
        <is>
          <t>med</t>
        </is>
      </c>
      <c r="H96" s="20" t="n">
        <v>1</v>
      </c>
      <c r="I96" s="35">
        <f>60*D96/cruise_kt</f>
        <v/>
      </c>
      <c r="J96" s="35">
        <f>IF(B96="South Korea",D96/korea_charge_range_nm*korea_full_range_charge_min,0)</f>
        <v/>
      </c>
      <c r="K96" s="35">
        <f>IF(B96="South Korea",I96+korea_turn_min+korea_dwell_min+J96,I96+turn_min+dwell_min)</f>
        <v/>
      </c>
      <c r="L96" s="36">
        <f>IF(B96="South Korea",FLOOR(60*korea_service_hr/K96,1),MIN(24,FLOOR(60*service_hr/K96,1)))</f>
        <v/>
      </c>
      <c r="M96" s="36">
        <f>IF(ABS(MOD(ABS((365*mech_uptime*H96)),1)-0.5)&lt;1E-9,2*ROUND((365*mech_uptime*H96)/2,0),ROUND((365*mech_uptime*H96),0))</f>
        <v/>
      </c>
      <c r="N96" s="37">
        <f>mech_uptime</f>
        <v/>
      </c>
      <c r="O96" s="37">
        <f>IF(AND(B96="South Korea",scenario="MID"),korea_mid_revleg,revleg_sel)</f>
        <v/>
      </c>
      <c r="P96" s="36">
        <f>IF(ABS(MOD(ABS((L96*M96*O96)),1)-0.5)&lt;1E-9,2*ROUND((L96*M96*O96)/2,0),ROUND((L96*M96*O96),0))</f>
        <v/>
      </c>
      <c r="Q96" s="37">
        <f>IF(AND(B96="South Korea",scenario="MID"),korea_mid_load,load_sel)</f>
        <v/>
      </c>
      <c r="R96" s="38">
        <f>pax_cap*Q96</f>
        <v/>
      </c>
      <c r="S96" s="36">
        <f>R96*P96</f>
        <v/>
      </c>
      <c r="T96" s="39">
        <f>E96*discount</f>
        <v/>
      </c>
      <c r="U96" s="40">
        <f>T96*S96</f>
        <v/>
      </c>
      <c r="V96" s="40">
        <f>(battery/range_nm)*D96*P96*VLOOKUP(B96,country_opex,3,FALSE)</f>
        <v/>
      </c>
      <c r="W96" s="40">
        <f>VLOOKUP(B96,country_opex,2,FALSE)*crew_factor</f>
        <v/>
      </c>
      <c r="X96" s="40">
        <f>VLOOKUP(B96,country_opex,5,FALSE)</f>
        <v/>
      </c>
      <c r="Y96" s="40">
        <f>maint</f>
        <v/>
      </c>
      <c r="Z96" s="40">
        <f>VLOOKUP(B96,country_opex,7,FALSE)*ins_pct</f>
        <v/>
      </c>
      <c r="AA96" s="40">
        <f>charge_berth</f>
        <v/>
      </c>
      <c r="AB96" s="40">
        <f>V96+W96+X96+Y96+Z96+AA96</f>
        <v/>
      </c>
      <c r="AC96" s="40">
        <f>VLOOKUP(B96,country_opex,7,FALSE)/dep_years</f>
        <v/>
      </c>
      <c r="AD96" s="40">
        <f>U96-AB96</f>
        <v/>
      </c>
      <c r="AE96" s="37">
        <f>IF(U96=0,"",AD96/U96)</f>
        <v/>
      </c>
      <c r="AF96" s="38">
        <f>IF(AD96&lt;=0,"",VLOOKUP(B96,country_opex,7,FALSE)/AD96)</f>
        <v/>
      </c>
      <c r="AG96" s="35">
        <f>((D96*P96/diesel_nmpg)*diesel_co2pg-(battery/range_nm)*D96*P96*VLOOKUP(B96,country_opex,4,FALSE))/1000</f>
        <v/>
      </c>
      <c r="AH96" s="33" t="n">
        <v>200000</v>
      </c>
      <c r="AI96" s="34" t="n"/>
      <c r="AJ96" s="34" t="n"/>
      <c r="AK96" s="41" t="n">
        <v>0.1</v>
      </c>
      <c r="AL96" s="36">
        <f>IF(AH96="","",AH96*AK96)</f>
        <v/>
      </c>
      <c r="AM96" s="36">
        <f>IF(OR(AH96="",S96=0),"",MIN(IF(AU96="",9.9E+99,AU96),FLOOR(AL96/S96,1)))</f>
        <v/>
      </c>
      <c r="AN96" s="40">
        <f>IF(AM96="","",AM96*IF(ABS(MOD(ABS((U96)),1)-0.5)&lt;1E-9,2*ROUND((U96)/2,0),ROUND((U96),0)))</f>
        <v/>
      </c>
      <c r="AO96" s="38">
        <f>IF(OR(AH96="",S96=0),"",MIN(IF(AU96="",9.9E+99,AU96),AL96/S96))</f>
        <v/>
      </c>
      <c r="AP96" s="40">
        <f>IF(AO96="","",AO96*IF(B96="South Korea",IF(ABS(MOD(ABS((U96)),1)-0.5)&lt;1E-9,2*ROUND((U96)/2,0),ROUND((U96),0)),U96))</f>
        <v/>
      </c>
      <c r="AQ96" s="42" t="n"/>
      <c r="AR96" s="34" t="inlineStr">
        <is>
          <t>Grounded</t>
        </is>
      </c>
      <c r="AS96" s="43" t="n"/>
      <c r="AT96" s="43" t="n"/>
      <c r="AU96" s="44" t="n"/>
      <c r="AV96" s="45">
        <f>IF(((T96*pax_cap*load_thin*IF(ABS(MOD(ABS((L96*M96*revleg_thin)),1)-0.5)&lt;1E-9,2*ROUND((L96*M96*revleg_thin)/2,0),ROUND((L96*M96*revleg_thin),0)))-(((battery/range_nm)*D96*IF(ABS(MOD(ABS((L96*M96*revleg_thin)),1)-0.5)&lt;1E-9,2*ROUND((L96*M96*revleg_thin)/2,0),ROUND((L96*M96*revleg_thin),0))*VLOOKUP(B96,country_opex,3,FALSE))+W96+X96+Y96+Z96+AA96))&lt;=0,"",VLOOKUP(B96,country_opex,7,FALSE)/((T96*pax_cap*load_thin*IF(ABS(MOD(ABS((L96*M96*revleg_thin)),1)-0.5)&lt;1E-9,2*ROUND((L96*M96*revleg_thin)/2,0),ROUND((L96*M96*revleg_thin),0)))-(((battery/range_nm)*D96*IF(ABS(MOD(ABS((L96*M96*revleg_thin)),1)-0.5)&lt;1E-9,2*ROUND((L96*M96*revleg_thin)/2,0),ROUND((L96*M96*revleg_thin),0))*VLOOKUP(B96,country_opex,3,FALSE))+W96+X96+Y96+Z96+AA96)))</f>
        <v/>
      </c>
      <c r="AW96" s="45">
        <f>IF(((T96*pax_cap*IF(B96="South Korea",korea_mid_load,load_mid)*IF(ABS(MOD(ABS((L96*M96*IF(B96="South Korea",korea_mid_revleg,revleg_mid))),1)-0.5)&lt;1E-9,2*ROUND((L96*M96*IF(B96="South Korea",korea_mid_revleg,revleg_mid))/2,0),ROUND((L96*M96*IF(B96="South Korea",korea_mid_revleg,revleg_mid)),0)))-(((battery/range_nm)*D96*IF(ABS(MOD(ABS((L96*M96*IF(B96="South Korea",korea_mid_revleg,revleg_mid))),1)-0.5)&lt;1E-9,2*ROUND((L96*M96*IF(B96="South Korea",korea_mid_revleg,revleg_mid))/2,0),ROUND((L96*M96*IF(B96="South Korea",korea_mid_revleg,revleg_mid)),0))*VLOOKUP(B96,country_opex,3,FALSE))+W96+X96+Y96+Z96+AA96))&lt;=0,"",VLOOKUP(B96,country_opex,7,FALSE)/((T96*pax_cap*IF(B96="South Korea",korea_mid_load,load_mid)*IF(ABS(MOD(ABS((L96*M96*IF(B96="South Korea",korea_mid_revleg,revleg_mid))),1)-0.5)&lt;1E-9,2*ROUND((L96*M96*IF(B96="South Korea",korea_mid_revleg,revleg_mid))/2,0),ROUND((L96*M96*IF(B96="South Korea",korea_mid_revleg,revleg_mid)),0)))-(((battery/range_nm)*D96*IF(ABS(MOD(ABS((L96*M96*IF(B96="South Korea",korea_mid_revleg,revleg_mid))),1)-0.5)&lt;1E-9,2*ROUND((L96*M96*IF(B96="South Korea",korea_mid_revleg,revleg_mid))/2,0),ROUND((L96*M96*IF(B96="South Korea",korea_mid_revleg,revleg_mid)),0))*VLOOKUP(B96,country_opex,3,FALSE))+W96+X96+Y96+Z96+AA96)))</f>
        <v/>
      </c>
      <c r="AX96" s="45">
        <f>IF(((T96*pax_cap*load_full*IF(ABS(MOD(ABS((L96*M96*revleg_full)),1)-0.5)&lt;1E-9,2*ROUND((L96*M96*revleg_full)/2,0),ROUND((L96*M96*revleg_full),0)))-(((battery/range_nm)*D96*IF(ABS(MOD(ABS((L96*M96*revleg_full)),1)-0.5)&lt;1E-9,2*ROUND((L96*M96*revleg_full)/2,0),ROUND((L96*M96*revleg_full),0))*VLOOKUP(B96,country_opex,3,FALSE))+W96+X96+Y96+Z96+AA96))&lt;=0,"",VLOOKUP(B96,country_opex,7,FALSE)/((T96*pax_cap*load_full*IF(ABS(MOD(ABS((L96*M96*revleg_full)),1)-0.5)&lt;1E-9,2*ROUND((L96*M96*revleg_full)/2,0),ROUND((L96*M96*revleg_full),0)))-(((battery/range_nm)*D96*IF(ABS(MOD(ABS((L96*M96*revleg_full)),1)-0.5)&lt;1E-9,2*ROUND((L96*M96*revleg_full)/2,0),ROUND((L96*M96*revleg_full),0))*VLOOKUP(B96,country_opex,3,FALSE))+W96+X96+Y96+Z96+AA96)))</f>
        <v/>
      </c>
      <c r="AY96" s="46" t="inlineStr">
        <is>
          <t>PREMIUM scheduled per-seat: Travelmar fast ferry Positano&lt;-&gt;Amalfi ~EUR 10 one-way (Ferryhopper/Omio from EUR 10; Direct Ferries avg ~$35 incl. peak/longer) x 1.08 = ~$11. Short hop, so the premium tier itself is inexpensive.</t>
        </is>
      </c>
      <c r="AZ96" s="46" t="n"/>
      <c r="BA96" s="34" t="n"/>
    </row>
    <row r="97">
      <c r="A97" s="31" t="inlineStr">
        <is>
          <t>Bolt Italy</t>
        </is>
      </c>
      <c r="B97" s="31" t="inlineStr">
        <is>
          <t>Italy</t>
        </is>
      </c>
      <c r="C97" s="32" t="inlineStr">
        <is>
          <t>Venice Marco Polo → San Marco</t>
        </is>
      </c>
      <c r="D97" s="33" t="n">
        <v>4.2</v>
      </c>
      <c r="E97" s="27" t="n">
        <v>42</v>
      </c>
      <c r="F97" s="34" t="inlineStr">
        <is>
          <t>T2</t>
        </is>
      </c>
      <c r="G97" s="34" t="inlineStr">
        <is>
          <t>med</t>
        </is>
      </c>
      <c r="H97" s="20" t="n">
        <v>1</v>
      </c>
      <c r="I97" s="35">
        <f>60*D97/cruise_kt</f>
        <v/>
      </c>
      <c r="J97" s="35">
        <f>IF(B97="South Korea",D97/korea_charge_range_nm*korea_full_range_charge_min,0)</f>
        <v/>
      </c>
      <c r="K97" s="35">
        <f>IF(B97="South Korea",I97+korea_turn_min+korea_dwell_min+J97,I97+turn_min+dwell_min)</f>
        <v/>
      </c>
      <c r="L97" s="36">
        <f>IF(B97="South Korea",FLOOR(60*korea_service_hr/K97,1),MIN(15,FLOOR(60*service_hr/K97,1)))</f>
        <v/>
      </c>
      <c r="M97" s="36">
        <f>IF(ABS(MOD(ABS((365*mech_uptime*H97)),1)-0.5)&lt;1E-9,2*ROUND((365*mech_uptime*H97)/2,0),ROUND((365*mech_uptime*H97),0))</f>
        <v/>
      </c>
      <c r="N97" s="37">
        <f>mech_uptime</f>
        <v/>
      </c>
      <c r="O97" s="37">
        <f>IF(AND(B97="South Korea",scenario="MID"),korea_mid_revleg,revleg_sel)</f>
        <v/>
      </c>
      <c r="P97" s="36">
        <f>IF(ABS(MOD(ABS((L97*M97*O97)),1)-0.5)&lt;1E-9,2*ROUND((L97*M97*O97)/2,0),ROUND((L97*M97*O97),0))</f>
        <v/>
      </c>
      <c r="Q97" s="37">
        <f>IF(AND(B97="South Korea",scenario="MID"),korea_mid_load,load_sel)</f>
        <v/>
      </c>
      <c r="R97" s="38">
        <f>pax_cap*Q97</f>
        <v/>
      </c>
      <c r="S97" s="36">
        <f>R97*P97</f>
        <v/>
      </c>
      <c r="T97" s="39">
        <f>E97*discount</f>
        <v/>
      </c>
      <c r="U97" s="40">
        <f>T97*S97</f>
        <v/>
      </c>
      <c r="V97" s="40">
        <f>(battery/range_nm)*D97*P97*VLOOKUP(B97,country_opex,3,FALSE)</f>
        <v/>
      </c>
      <c r="W97" s="40">
        <f>VLOOKUP(B97,country_opex,2,FALSE)*crew_factor</f>
        <v/>
      </c>
      <c r="X97" s="40">
        <f>VLOOKUP(B97,country_opex,5,FALSE)</f>
        <v/>
      </c>
      <c r="Y97" s="40">
        <f>maint</f>
        <v/>
      </c>
      <c r="Z97" s="40">
        <f>VLOOKUP(B97,country_opex,7,FALSE)*ins_pct</f>
        <v/>
      </c>
      <c r="AA97" s="40">
        <f>charge_berth</f>
        <v/>
      </c>
      <c r="AB97" s="40">
        <f>V97+W97+X97+Y97+Z97+AA97</f>
        <v/>
      </c>
      <c r="AC97" s="40">
        <f>VLOOKUP(B97,country_opex,7,FALSE)/dep_years</f>
        <v/>
      </c>
      <c r="AD97" s="40">
        <f>U97-AB97</f>
        <v/>
      </c>
      <c r="AE97" s="37">
        <f>IF(U97=0,"",AD97/U97)</f>
        <v/>
      </c>
      <c r="AF97" s="38">
        <f>IF(AD97&lt;=0,"",VLOOKUP(B97,country_opex,7,FALSE)/AD97)</f>
        <v/>
      </c>
      <c r="AG97" s="35">
        <f>((D97*P97/diesel_nmpg)*diesel_co2pg-(battery/range_nm)*D97*P97*VLOOKUP(B97,country_opex,4,FALSE))/1000</f>
        <v/>
      </c>
      <c r="AH97" s="33" t="n">
        <v>1777500</v>
      </c>
      <c r="AI97" s="34" t="n"/>
      <c r="AJ97" s="34" t="n"/>
      <c r="AK97" s="41" t="n">
        <v>0.1</v>
      </c>
      <c r="AL97" s="36">
        <f>IF(AH97="","",AH97*AK97)</f>
        <v/>
      </c>
      <c r="AM97" s="36">
        <f>IF(OR(AH97="",S97=0),"",MIN(IF(AU97="",9.9E+99,AU97),FLOOR(AL97/S97,1)))</f>
        <v/>
      </c>
      <c r="AN97" s="40">
        <f>IF(AM97="","",AM97*IF(ABS(MOD(ABS((U97)),1)-0.5)&lt;1E-9,2*ROUND((U97)/2,0),ROUND((U97),0)))</f>
        <v/>
      </c>
      <c r="AO97" s="38">
        <f>IF(OR(AH97="",S97=0),"",MIN(IF(AU97="",9.9E+99,AU97),AL97/S97))</f>
        <v/>
      </c>
      <c r="AP97" s="40">
        <f>IF(AO97="","",AO97*IF(B97="South Korea",IF(ABS(MOD(ABS((U97)),1)-0.5)&lt;1E-9,2*ROUND((U97)/2,0),ROUND((U97),0)),U97))</f>
        <v/>
      </c>
      <c r="AQ97" s="42" t="n"/>
      <c r="AR97" s="34" t="inlineStr">
        <is>
          <t>Grounded</t>
        </is>
      </c>
      <c r="AS97" s="43" t="n"/>
      <c r="AT97" s="43" t="n"/>
      <c r="AU97" s="44" t="n"/>
      <c r="AV97" s="45">
        <f>IF(((T97*pax_cap*load_thin*IF(ABS(MOD(ABS((L97*M97*revleg_thin)),1)-0.5)&lt;1E-9,2*ROUND((L97*M97*revleg_thin)/2,0),ROUND((L97*M97*revleg_thin),0)))-(((battery/range_nm)*D97*IF(ABS(MOD(ABS((L97*M97*revleg_thin)),1)-0.5)&lt;1E-9,2*ROUND((L97*M97*revleg_thin)/2,0),ROUND((L97*M97*revleg_thin),0))*VLOOKUP(B97,country_opex,3,FALSE))+W97+X97+Y97+Z97+AA97))&lt;=0,"",VLOOKUP(B97,country_opex,7,FALSE)/((T97*pax_cap*load_thin*IF(ABS(MOD(ABS((L97*M97*revleg_thin)),1)-0.5)&lt;1E-9,2*ROUND((L97*M97*revleg_thin)/2,0),ROUND((L97*M97*revleg_thin),0)))-(((battery/range_nm)*D97*IF(ABS(MOD(ABS((L97*M97*revleg_thin)),1)-0.5)&lt;1E-9,2*ROUND((L97*M97*revleg_thin)/2,0),ROUND((L97*M97*revleg_thin),0))*VLOOKUP(B97,country_opex,3,FALSE))+W97+X97+Y97+Z97+AA97)))</f>
        <v/>
      </c>
      <c r="AW97" s="45">
        <f>IF(((T97*pax_cap*IF(B97="South Korea",korea_mid_load,load_mid)*IF(ABS(MOD(ABS((L97*M97*IF(B97="South Korea",korea_mid_revleg,revleg_mid))),1)-0.5)&lt;1E-9,2*ROUND((L97*M97*IF(B97="South Korea",korea_mid_revleg,revleg_mid))/2,0),ROUND((L97*M97*IF(B97="South Korea",korea_mid_revleg,revleg_mid)),0)))-(((battery/range_nm)*D97*IF(ABS(MOD(ABS((L97*M97*IF(B97="South Korea",korea_mid_revleg,revleg_mid))),1)-0.5)&lt;1E-9,2*ROUND((L97*M97*IF(B97="South Korea",korea_mid_revleg,revleg_mid))/2,0),ROUND((L97*M97*IF(B97="South Korea",korea_mid_revleg,revleg_mid)),0))*VLOOKUP(B97,country_opex,3,FALSE))+W97+X97+Y97+Z97+AA97))&lt;=0,"",VLOOKUP(B97,country_opex,7,FALSE)/((T97*pax_cap*IF(B97="South Korea",korea_mid_load,load_mid)*IF(ABS(MOD(ABS((L97*M97*IF(B97="South Korea",korea_mid_revleg,revleg_mid))),1)-0.5)&lt;1E-9,2*ROUND((L97*M97*IF(B97="South Korea",korea_mid_revleg,revleg_mid))/2,0),ROUND((L97*M97*IF(B97="South Korea",korea_mid_revleg,revleg_mid)),0)))-(((battery/range_nm)*D97*IF(ABS(MOD(ABS((L97*M97*IF(B97="South Korea",korea_mid_revleg,revleg_mid))),1)-0.5)&lt;1E-9,2*ROUND((L97*M97*IF(B97="South Korea",korea_mid_revleg,revleg_mid))/2,0),ROUND((L97*M97*IF(B97="South Korea",korea_mid_revleg,revleg_mid)),0))*VLOOKUP(B97,country_opex,3,FALSE))+W97+X97+Y97+Z97+AA97)))</f>
        <v/>
      </c>
      <c r="AX97" s="45">
        <f>IF(((T97*pax_cap*load_full*IF(ABS(MOD(ABS((L97*M97*revleg_full)),1)-0.5)&lt;1E-9,2*ROUND((L97*M97*revleg_full)/2,0),ROUND((L97*M97*revleg_full),0)))-(((battery/range_nm)*D97*IF(ABS(MOD(ABS((L97*M97*revleg_full)),1)-0.5)&lt;1E-9,2*ROUND((L97*M97*revleg_full)/2,0),ROUND((L97*M97*revleg_full),0))*VLOOKUP(B97,country_opex,3,FALSE))+W97+X97+Y97+Z97+AA97))&lt;=0,"",VLOOKUP(B97,country_opex,7,FALSE)/((T97*pax_cap*load_full*IF(ABS(MOD(ABS((L97*M97*revleg_full)),1)-0.5)&lt;1E-9,2*ROUND((L97*M97*revleg_full)/2,0),ROUND((L97*M97*revleg_full),0)))-(((battery/range_nm)*D97*IF(ABS(MOD(ABS((L97*M97*revleg_full)),1)-0.5)&lt;1E-9,2*ROUND((L97*M97*revleg_full)/2,0),ROUND((L97*M97*revleg_full),0))*VLOOKUP(B97,country_opex,3,FALSE))+W97+X97+Y97+Z97+AA97)))</f>
        <v/>
      </c>
      <c r="AY97" s="46" t="inlineStr">
        <is>
          <t>PREMIUM per-seat = shared water taxi ~EUR 39/person (~$42) (Dubai RTA water-taxi convention, NOT the cheap Alilaguna). Private motoscafo Marco Polo-&gt;San Marco area EUR 120-140/boat divided across a party. (Unchanged from prior file; corroborated.)</t>
        </is>
      </c>
      <c r="AZ97" s="46" t="n"/>
      <c r="BA97" s="34" t="n"/>
    </row>
    <row r="98">
      <c r="A98" s="31" t="inlineStr">
        <is>
          <t>Bolt Italy</t>
        </is>
      </c>
      <c r="B98" s="31" t="inlineStr">
        <is>
          <t>Italy</t>
        </is>
      </c>
      <c r="C98" s="32" t="inlineStr">
        <is>
          <t>Capri → Positano</t>
        </is>
      </c>
      <c r="D98" s="33" t="n">
        <v>9</v>
      </c>
      <c r="E98" s="27" t="n">
        <v>31</v>
      </c>
      <c r="F98" s="34" t="inlineStr">
        <is>
          <t>T2</t>
        </is>
      </c>
      <c r="G98" s="34" t="inlineStr">
        <is>
          <t>med</t>
        </is>
      </c>
      <c r="H98" s="20" t="n">
        <v>1</v>
      </c>
      <c r="I98" s="35">
        <f>60*D98/cruise_kt</f>
        <v/>
      </c>
      <c r="J98" s="35">
        <f>IF(B98="South Korea",D98/korea_charge_range_nm*korea_full_range_charge_min,0)</f>
        <v/>
      </c>
      <c r="K98" s="35">
        <f>IF(B98="South Korea",I98+korea_turn_min+korea_dwell_min+J98,I98+turn_min+dwell_min)</f>
        <v/>
      </c>
      <c r="L98" s="36">
        <f>IF(B98="South Korea",FLOOR(60*korea_service_hr/K98,1),MIN(15,FLOOR(60*service_hr/K98,1)))</f>
        <v/>
      </c>
      <c r="M98" s="36">
        <f>IF(ABS(MOD(ABS((365*mech_uptime*H98)),1)-0.5)&lt;1E-9,2*ROUND((365*mech_uptime*H98)/2,0),ROUND((365*mech_uptime*H98),0))</f>
        <v/>
      </c>
      <c r="N98" s="37">
        <f>mech_uptime</f>
        <v/>
      </c>
      <c r="O98" s="37">
        <f>IF(AND(B98="South Korea",scenario="MID"),korea_mid_revleg,revleg_sel)</f>
        <v/>
      </c>
      <c r="P98" s="36">
        <f>IF(ABS(MOD(ABS((L98*M98*O98)),1)-0.5)&lt;1E-9,2*ROUND((L98*M98*O98)/2,0),ROUND((L98*M98*O98),0))</f>
        <v/>
      </c>
      <c r="Q98" s="37">
        <f>IF(AND(B98="South Korea",scenario="MID"),korea_mid_load,load_sel)</f>
        <v/>
      </c>
      <c r="R98" s="38">
        <f>pax_cap*Q98</f>
        <v/>
      </c>
      <c r="S98" s="36">
        <f>R98*P98</f>
        <v/>
      </c>
      <c r="T98" s="39">
        <f>E98*discount</f>
        <v/>
      </c>
      <c r="U98" s="40">
        <f>T98*S98</f>
        <v/>
      </c>
      <c r="V98" s="40">
        <f>(battery/range_nm)*D98*P98*VLOOKUP(B98,country_opex,3,FALSE)</f>
        <v/>
      </c>
      <c r="W98" s="40">
        <f>VLOOKUP(B98,country_opex,2,FALSE)*crew_factor</f>
        <v/>
      </c>
      <c r="X98" s="40">
        <f>VLOOKUP(B98,country_opex,5,FALSE)</f>
        <v/>
      </c>
      <c r="Y98" s="40">
        <f>maint</f>
        <v/>
      </c>
      <c r="Z98" s="40">
        <f>VLOOKUP(B98,country_opex,7,FALSE)*ins_pct</f>
        <v/>
      </c>
      <c r="AA98" s="40">
        <f>charge_berth</f>
        <v/>
      </c>
      <c r="AB98" s="40">
        <f>V98+W98+X98+Y98+Z98+AA98</f>
        <v/>
      </c>
      <c r="AC98" s="40">
        <f>VLOOKUP(B98,country_opex,7,FALSE)/dep_years</f>
        <v/>
      </c>
      <c r="AD98" s="40">
        <f>U98-AB98</f>
        <v/>
      </c>
      <c r="AE98" s="37">
        <f>IF(U98=0,"",AD98/U98)</f>
        <v/>
      </c>
      <c r="AF98" s="38">
        <f>IF(AD98&lt;=0,"",VLOOKUP(B98,country_opex,7,FALSE)/AD98)</f>
        <v/>
      </c>
      <c r="AG98" s="35">
        <f>((D98*P98/diesel_nmpg)*diesel_co2pg-(battery/range_nm)*D98*P98*VLOOKUP(B98,country_opex,4,FALSE))/1000</f>
        <v/>
      </c>
      <c r="AH98" s="33" t="n"/>
      <c r="AI98" s="34" t="n"/>
      <c r="AJ98" s="34" t="n"/>
      <c r="AK98" s="41" t="n">
        <v>0.1</v>
      </c>
      <c r="AL98" s="36">
        <f>IF(AH98="","",AH98*AK98)</f>
        <v/>
      </c>
      <c r="AM98" s="36">
        <f>IF(OR(AH98="",S98=0),"",MIN(IF(AU98="",9.9E+99,AU98),FLOOR(AL98/S98,1)))</f>
        <v/>
      </c>
      <c r="AN98" s="40">
        <f>IF(AM98="","",AM98*IF(ABS(MOD(ABS((U98)),1)-0.5)&lt;1E-9,2*ROUND((U98)/2,0),ROUND((U98),0)))</f>
        <v/>
      </c>
      <c r="AO98" s="38">
        <f>IF(OR(AH98="",S98=0),"",MIN(IF(AU98="",9.9E+99,AU98),AL98/S98))</f>
        <v/>
      </c>
      <c r="AP98" s="40">
        <f>IF(AO98="","",AO98*IF(B98="South Korea",IF(ABS(MOD(ABS((U98)),1)-0.5)&lt;1E-9,2*ROUND((U98)/2,0),ROUND((U98),0)),U98))</f>
        <v/>
      </c>
      <c r="AQ98" s="42" t="n"/>
      <c r="AR98" s="34" t="inlineStr">
        <is>
          <t>Estimated</t>
        </is>
      </c>
      <c r="AS98" s="43" t="n"/>
      <c r="AT98" s="43" t="n"/>
      <c r="AU98" s="44" t="n"/>
      <c r="AV98" s="45">
        <f>IF(((T98*pax_cap*load_thin*IF(ABS(MOD(ABS((L98*M98*revleg_thin)),1)-0.5)&lt;1E-9,2*ROUND((L98*M98*revleg_thin)/2,0),ROUND((L98*M98*revleg_thin),0)))-(((battery/range_nm)*D98*IF(ABS(MOD(ABS((L98*M98*revleg_thin)),1)-0.5)&lt;1E-9,2*ROUND((L98*M98*revleg_thin)/2,0),ROUND((L98*M98*revleg_thin),0))*VLOOKUP(B98,country_opex,3,FALSE))+W98+X98+Y98+Z98+AA98))&lt;=0,"",VLOOKUP(B98,country_opex,7,FALSE)/((T98*pax_cap*load_thin*IF(ABS(MOD(ABS((L98*M98*revleg_thin)),1)-0.5)&lt;1E-9,2*ROUND((L98*M98*revleg_thin)/2,0),ROUND((L98*M98*revleg_thin),0)))-(((battery/range_nm)*D98*IF(ABS(MOD(ABS((L98*M98*revleg_thin)),1)-0.5)&lt;1E-9,2*ROUND((L98*M98*revleg_thin)/2,0),ROUND((L98*M98*revleg_thin),0))*VLOOKUP(B98,country_opex,3,FALSE))+W98+X98+Y98+Z98+AA98)))</f>
        <v/>
      </c>
      <c r="AW98" s="45">
        <f>IF(((T98*pax_cap*IF(B98="South Korea",korea_mid_load,load_mid)*IF(ABS(MOD(ABS((L98*M98*IF(B98="South Korea",korea_mid_revleg,revleg_mid))),1)-0.5)&lt;1E-9,2*ROUND((L98*M98*IF(B98="South Korea",korea_mid_revleg,revleg_mid))/2,0),ROUND((L98*M98*IF(B98="South Korea",korea_mid_revleg,revleg_mid)),0)))-(((battery/range_nm)*D98*IF(ABS(MOD(ABS((L98*M98*IF(B98="South Korea",korea_mid_revleg,revleg_mid))),1)-0.5)&lt;1E-9,2*ROUND((L98*M98*IF(B98="South Korea",korea_mid_revleg,revleg_mid))/2,0),ROUND((L98*M98*IF(B98="South Korea",korea_mid_revleg,revleg_mid)),0))*VLOOKUP(B98,country_opex,3,FALSE))+W98+X98+Y98+Z98+AA98))&lt;=0,"",VLOOKUP(B98,country_opex,7,FALSE)/((T98*pax_cap*IF(B98="South Korea",korea_mid_load,load_mid)*IF(ABS(MOD(ABS((L98*M98*IF(B98="South Korea",korea_mid_revleg,revleg_mid))),1)-0.5)&lt;1E-9,2*ROUND((L98*M98*IF(B98="South Korea",korea_mid_revleg,revleg_mid))/2,0),ROUND((L98*M98*IF(B98="South Korea",korea_mid_revleg,revleg_mid)),0)))-(((battery/range_nm)*D98*IF(ABS(MOD(ABS((L98*M98*IF(B98="South Korea",korea_mid_revleg,revleg_mid))),1)-0.5)&lt;1E-9,2*ROUND((L98*M98*IF(B98="South Korea",korea_mid_revleg,revleg_mid))/2,0),ROUND((L98*M98*IF(B98="South Korea",korea_mid_revleg,revleg_mid)),0))*VLOOKUP(B98,country_opex,3,FALSE))+W98+X98+Y98+Z98+AA98)))</f>
        <v/>
      </c>
      <c r="AX98" s="45">
        <f>IF(((T98*pax_cap*load_full*IF(ABS(MOD(ABS((L98*M98*revleg_full)),1)-0.5)&lt;1E-9,2*ROUND((L98*M98*revleg_full)/2,0),ROUND((L98*M98*revleg_full),0)))-(((battery/range_nm)*D98*IF(ABS(MOD(ABS((L98*M98*revleg_full)),1)-0.5)&lt;1E-9,2*ROUND((L98*M98*revleg_full)/2,0),ROUND((L98*M98*revleg_full),0))*VLOOKUP(B98,country_opex,3,FALSE))+W98+X98+Y98+Z98+AA98))&lt;=0,"",VLOOKUP(B98,country_opex,7,FALSE)/((T98*pax_cap*load_full*IF(ABS(MOD(ABS((L98*M98*revleg_full)),1)-0.5)&lt;1E-9,2*ROUND((L98*M98*revleg_full)/2,0),ROUND((L98*M98*revleg_full),0)))-(((battery/range_nm)*D98*IF(ABS(MOD(ABS((L98*M98*revleg_full)),1)-0.5)&lt;1E-9,2*ROUND((L98*M98*revleg_full)/2,0),ROUND((L98*M98*revleg_full),0))*VLOOKUP(B98,country_opex,3,FALSE))+W98+X98+Y98+Z98+AA98)))</f>
        <v/>
      </c>
      <c r="AY98" s="46" t="inlineStr">
        <is>
          <t>PREMIUM scheduled per-seat: Capri-&gt;Positano fast ferry from ~EUR 28-29 one-way (positano.com / capri.com) x 1.08 = ~$31.</t>
        </is>
      </c>
      <c r="AZ98" s="46" t="n"/>
      <c r="BA98" s="34" t="n"/>
    </row>
    <row r="99">
      <c r="A99" s="31" t="inlineStr">
        <is>
          <t>Bolt Italy</t>
        </is>
      </c>
      <c r="B99" s="31" t="inlineStr">
        <is>
          <t>Italy</t>
        </is>
      </c>
      <c r="C99" s="32" t="inlineStr">
        <is>
          <t>Sorrento → Capri</t>
        </is>
      </c>
      <c r="D99" s="33" t="n">
        <v>9.5</v>
      </c>
      <c r="E99" s="27" t="n">
        <v>28</v>
      </c>
      <c r="F99" s="34" t="inlineStr">
        <is>
          <t>T2</t>
        </is>
      </c>
      <c r="G99" s="34" t="inlineStr">
        <is>
          <t>med</t>
        </is>
      </c>
      <c r="H99" s="20" t="n">
        <v>1</v>
      </c>
      <c r="I99" s="35">
        <f>60*D99/cruise_kt</f>
        <v/>
      </c>
      <c r="J99" s="35">
        <f>IF(B99="South Korea",D99/korea_charge_range_nm*korea_full_range_charge_min,0)</f>
        <v/>
      </c>
      <c r="K99" s="35">
        <f>IF(B99="South Korea",I99+korea_turn_min+korea_dwell_min+J99,I99+turn_min+dwell_min)</f>
        <v/>
      </c>
      <c r="L99" s="36">
        <f>IF(B99="South Korea",FLOOR(60*korea_service_hr/K99,1),MIN(15,FLOOR(60*service_hr/K99,1)))</f>
        <v/>
      </c>
      <c r="M99" s="36">
        <f>IF(ABS(MOD(ABS((365*mech_uptime*H99)),1)-0.5)&lt;1E-9,2*ROUND((365*mech_uptime*H99)/2,0),ROUND((365*mech_uptime*H99),0))</f>
        <v/>
      </c>
      <c r="N99" s="37">
        <f>mech_uptime</f>
        <v/>
      </c>
      <c r="O99" s="37">
        <f>IF(AND(B99="South Korea",scenario="MID"),korea_mid_revleg,revleg_sel)</f>
        <v/>
      </c>
      <c r="P99" s="36">
        <f>IF(ABS(MOD(ABS((L99*M99*O99)),1)-0.5)&lt;1E-9,2*ROUND((L99*M99*O99)/2,0),ROUND((L99*M99*O99),0))</f>
        <v/>
      </c>
      <c r="Q99" s="37">
        <f>IF(AND(B99="South Korea",scenario="MID"),korea_mid_load,load_sel)</f>
        <v/>
      </c>
      <c r="R99" s="38">
        <f>pax_cap*Q99</f>
        <v/>
      </c>
      <c r="S99" s="36">
        <f>R99*P99</f>
        <v/>
      </c>
      <c r="T99" s="39">
        <f>E99*discount</f>
        <v/>
      </c>
      <c r="U99" s="40">
        <f>T99*S99</f>
        <v/>
      </c>
      <c r="V99" s="40">
        <f>(battery/range_nm)*D99*P99*VLOOKUP(B99,country_opex,3,FALSE)</f>
        <v/>
      </c>
      <c r="W99" s="40">
        <f>VLOOKUP(B99,country_opex,2,FALSE)*crew_factor</f>
        <v/>
      </c>
      <c r="X99" s="40">
        <f>VLOOKUP(B99,country_opex,5,FALSE)</f>
        <v/>
      </c>
      <c r="Y99" s="40">
        <f>maint</f>
        <v/>
      </c>
      <c r="Z99" s="40">
        <f>VLOOKUP(B99,country_opex,7,FALSE)*ins_pct</f>
        <v/>
      </c>
      <c r="AA99" s="40">
        <f>charge_berth</f>
        <v/>
      </c>
      <c r="AB99" s="40">
        <f>V99+W99+X99+Y99+Z99+AA99</f>
        <v/>
      </c>
      <c r="AC99" s="40">
        <f>VLOOKUP(B99,country_opex,7,FALSE)/dep_years</f>
        <v/>
      </c>
      <c r="AD99" s="40">
        <f>U99-AB99</f>
        <v/>
      </c>
      <c r="AE99" s="37">
        <f>IF(U99=0,"",AD99/U99)</f>
        <v/>
      </c>
      <c r="AF99" s="38">
        <f>IF(AD99&lt;=0,"",VLOOKUP(B99,country_opex,7,FALSE)/AD99)</f>
        <v/>
      </c>
      <c r="AG99" s="35">
        <f>((D99*P99/diesel_nmpg)*diesel_co2pg-(battery/range_nm)*D99*P99*VLOOKUP(B99,country_opex,4,FALSE))/1000</f>
        <v/>
      </c>
      <c r="AH99" s="33" t="n">
        <v>575000</v>
      </c>
      <c r="AI99" s="34" t="n"/>
      <c r="AJ99" s="34" t="n"/>
      <c r="AK99" s="41" t="n">
        <v>0.1</v>
      </c>
      <c r="AL99" s="36">
        <f>IF(AH99="","",AH99*AK99)</f>
        <v/>
      </c>
      <c r="AM99" s="36">
        <f>IF(OR(AH99="",S99=0),"",MIN(IF(AU99="",9.9E+99,AU99),FLOOR(AL99/S99,1)))</f>
        <v/>
      </c>
      <c r="AN99" s="40">
        <f>IF(AM99="","",AM99*IF(ABS(MOD(ABS((U99)),1)-0.5)&lt;1E-9,2*ROUND((U99)/2,0),ROUND((U99),0)))</f>
        <v/>
      </c>
      <c r="AO99" s="38">
        <f>IF(OR(AH99="",S99=0),"",MIN(IF(AU99="",9.9E+99,AU99),AL99/S99))</f>
        <v/>
      </c>
      <c r="AP99" s="40">
        <f>IF(AO99="","",AO99*IF(B99="South Korea",IF(ABS(MOD(ABS((U99)),1)-0.5)&lt;1E-9,2*ROUND((U99)/2,0),ROUND((U99),0)),U99))</f>
        <v/>
      </c>
      <c r="AQ99" s="42" t="n"/>
      <c r="AR99" s="34" t="inlineStr">
        <is>
          <t>Grounded</t>
        </is>
      </c>
      <c r="AS99" s="43" t="n"/>
      <c r="AT99" s="43" t="n"/>
      <c r="AU99" s="44" t="n"/>
      <c r="AV99" s="45">
        <f>IF(((T99*pax_cap*load_thin*IF(ABS(MOD(ABS((L99*M99*revleg_thin)),1)-0.5)&lt;1E-9,2*ROUND((L99*M99*revleg_thin)/2,0),ROUND((L99*M99*revleg_thin),0)))-(((battery/range_nm)*D99*IF(ABS(MOD(ABS((L99*M99*revleg_thin)),1)-0.5)&lt;1E-9,2*ROUND((L99*M99*revleg_thin)/2,0),ROUND((L99*M99*revleg_thin),0))*VLOOKUP(B99,country_opex,3,FALSE))+W99+X99+Y99+Z99+AA99))&lt;=0,"",VLOOKUP(B99,country_opex,7,FALSE)/((T99*pax_cap*load_thin*IF(ABS(MOD(ABS((L99*M99*revleg_thin)),1)-0.5)&lt;1E-9,2*ROUND((L99*M99*revleg_thin)/2,0),ROUND((L99*M99*revleg_thin),0)))-(((battery/range_nm)*D99*IF(ABS(MOD(ABS((L99*M99*revleg_thin)),1)-0.5)&lt;1E-9,2*ROUND((L99*M99*revleg_thin)/2,0),ROUND((L99*M99*revleg_thin),0))*VLOOKUP(B99,country_opex,3,FALSE))+W99+X99+Y99+Z99+AA99)))</f>
        <v/>
      </c>
      <c r="AW99" s="45">
        <f>IF(((T99*pax_cap*IF(B99="South Korea",korea_mid_load,load_mid)*IF(ABS(MOD(ABS((L99*M99*IF(B99="South Korea",korea_mid_revleg,revleg_mid))),1)-0.5)&lt;1E-9,2*ROUND((L99*M99*IF(B99="South Korea",korea_mid_revleg,revleg_mid))/2,0),ROUND((L99*M99*IF(B99="South Korea",korea_mid_revleg,revleg_mid)),0)))-(((battery/range_nm)*D99*IF(ABS(MOD(ABS((L99*M99*IF(B99="South Korea",korea_mid_revleg,revleg_mid))),1)-0.5)&lt;1E-9,2*ROUND((L99*M99*IF(B99="South Korea",korea_mid_revleg,revleg_mid))/2,0),ROUND((L99*M99*IF(B99="South Korea",korea_mid_revleg,revleg_mid)),0))*VLOOKUP(B99,country_opex,3,FALSE))+W99+X99+Y99+Z99+AA99))&lt;=0,"",VLOOKUP(B99,country_opex,7,FALSE)/((T99*pax_cap*IF(B99="South Korea",korea_mid_load,load_mid)*IF(ABS(MOD(ABS((L99*M99*IF(B99="South Korea",korea_mid_revleg,revleg_mid))),1)-0.5)&lt;1E-9,2*ROUND((L99*M99*IF(B99="South Korea",korea_mid_revleg,revleg_mid))/2,0),ROUND((L99*M99*IF(B99="South Korea",korea_mid_revleg,revleg_mid)),0)))-(((battery/range_nm)*D99*IF(ABS(MOD(ABS((L99*M99*IF(B99="South Korea",korea_mid_revleg,revleg_mid))),1)-0.5)&lt;1E-9,2*ROUND((L99*M99*IF(B99="South Korea",korea_mid_revleg,revleg_mid))/2,0),ROUND((L99*M99*IF(B99="South Korea",korea_mid_revleg,revleg_mid)),0))*VLOOKUP(B99,country_opex,3,FALSE))+W99+X99+Y99+Z99+AA99)))</f>
        <v/>
      </c>
      <c r="AX99" s="45">
        <f>IF(((T99*pax_cap*load_full*IF(ABS(MOD(ABS((L99*M99*revleg_full)),1)-0.5)&lt;1E-9,2*ROUND((L99*M99*revleg_full)/2,0),ROUND((L99*M99*revleg_full),0)))-(((battery/range_nm)*D99*IF(ABS(MOD(ABS((L99*M99*revleg_full)),1)-0.5)&lt;1E-9,2*ROUND((L99*M99*revleg_full)/2,0),ROUND((L99*M99*revleg_full),0))*VLOOKUP(B99,country_opex,3,FALSE))+W99+X99+Y99+Z99+AA99))&lt;=0,"",VLOOKUP(B99,country_opex,7,FALSE)/((T99*pax_cap*load_full*IF(ABS(MOD(ABS((L99*M99*revleg_full)),1)-0.5)&lt;1E-9,2*ROUND((L99*M99*revleg_full)/2,0),ROUND((L99*M99*revleg_full),0)))-(((battery/range_nm)*D99*IF(ABS(MOD(ABS((L99*M99*revleg_full)),1)-0.5)&lt;1E-9,2*ROUND((L99*M99*revleg_full)/2,0),ROUND((L99*M99*revleg_full),0))*VLOOKUP(B99,country_opex,3,FALSE))+W99+X99+Y99+Z99+AA99)))</f>
        <v/>
      </c>
      <c r="AY99" s="46" t="inlineStr">
        <is>
          <t>PREMIUM scheduled per-seat = NLG/SNAV/Gescab fast hydrofoil Sorrento-&gt;Capri EUR 21 one-way (EUR 19 year-round 'IR') + EUR 5 Capri landing = ~EUR 26 x 1.08 = ~$28. (Unchanged from prior file; corroborated NLG tariffs.)</t>
        </is>
      </c>
      <c r="AZ99" s="46" t="n"/>
      <c r="BA99" s="34" t="n"/>
    </row>
    <row r="100">
      <c r="A100" s="31" t="inlineStr">
        <is>
          <t>Bolt Italy</t>
        </is>
      </c>
      <c r="B100" s="31" t="inlineStr">
        <is>
          <t>Italy</t>
        </is>
      </c>
      <c r="C100" s="32" t="inlineStr">
        <is>
          <t>Naples → Procida</t>
        </is>
      </c>
      <c r="D100" s="33" t="n">
        <v>12</v>
      </c>
      <c r="E100" s="27" t="n">
        <v>22</v>
      </c>
      <c r="F100" s="34" t="inlineStr">
        <is>
          <t>T2</t>
        </is>
      </c>
      <c r="G100" s="34" t="inlineStr">
        <is>
          <t>med</t>
        </is>
      </c>
      <c r="H100" s="20" t="n">
        <v>1</v>
      </c>
      <c r="I100" s="35">
        <f>60*D100/cruise_kt</f>
        <v/>
      </c>
      <c r="J100" s="35">
        <f>IF(B100="South Korea",D100/korea_charge_range_nm*korea_full_range_charge_min,0)</f>
        <v/>
      </c>
      <c r="K100" s="35">
        <f>IF(B100="South Korea",I100+korea_turn_min+korea_dwell_min+J100,I100+turn_min+dwell_min)</f>
        <v/>
      </c>
      <c r="L100" s="36">
        <f>IF(B100="South Korea",FLOOR(60*korea_service_hr/K100,1),MIN(15,FLOOR(60*service_hr/K100,1)))</f>
        <v/>
      </c>
      <c r="M100" s="36">
        <f>IF(ABS(MOD(ABS((365*mech_uptime*H100)),1)-0.5)&lt;1E-9,2*ROUND((365*mech_uptime*H100)/2,0),ROUND((365*mech_uptime*H100),0))</f>
        <v/>
      </c>
      <c r="N100" s="37">
        <f>mech_uptime</f>
        <v/>
      </c>
      <c r="O100" s="37">
        <f>IF(AND(B100="South Korea",scenario="MID"),korea_mid_revleg,revleg_sel)</f>
        <v/>
      </c>
      <c r="P100" s="36">
        <f>IF(ABS(MOD(ABS((L100*M100*O100)),1)-0.5)&lt;1E-9,2*ROUND((L100*M100*O100)/2,0),ROUND((L100*M100*O100),0))</f>
        <v/>
      </c>
      <c r="Q100" s="37">
        <f>IF(AND(B100="South Korea",scenario="MID"),korea_mid_load,load_sel)</f>
        <v/>
      </c>
      <c r="R100" s="38">
        <f>pax_cap*Q100</f>
        <v/>
      </c>
      <c r="S100" s="36">
        <f>R100*P100</f>
        <v/>
      </c>
      <c r="T100" s="39">
        <f>E100*discount</f>
        <v/>
      </c>
      <c r="U100" s="40">
        <f>T100*S100</f>
        <v/>
      </c>
      <c r="V100" s="40">
        <f>(battery/range_nm)*D100*P100*VLOOKUP(B100,country_opex,3,FALSE)</f>
        <v/>
      </c>
      <c r="W100" s="40">
        <f>VLOOKUP(B100,country_opex,2,FALSE)*crew_factor</f>
        <v/>
      </c>
      <c r="X100" s="40">
        <f>VLOOKUP(B100,country_opex,5,FALSE)</f>
        <v/>
      </c>
      <c r="Y100" s="40">
        <f>maint</f>
        <v/>
      </c>
      <c r="Z100" s="40">
        <f>VLOOKUP(B100,country_opex,7,FALSE)*ins_pct</f>
        <v/>
      </c>
      <c r="AA100" s="40">
        <f>charge_berth</f>
        <v/>
      </c>
      <c r="AB100" s="40">
        <f>V100+W100+X100+Y100+Z100+AA100</f>
        <v/>
      </c>
      <c r="AC100" s="40">
        <f>VLOOKUP(B100,country_opex,7,FALSE)/dep_years</f>
        <v/>
      </c>
      <c r="AD100" s="40">
        <f>U100-AB100</f>
        <v/>
      </c>
      <c r="AE100" s="37">
        <f>IF(U100=0,"",AD100/U100)</f>
        <v/>
      </c>
      <c r="AF100" s="38">
        <f>IF(AD100&lt;=0,"",VLOOKUP(B100,country_opex,7,FALSE)/AD100)</f>
        <v/>
      </c>
      <c r="AG100" s="35">
        <f>((D100*P100/diesel_nmpg)*diesel_co2pg-(battery/range_nm)*D100*P100*VLOOKUP(B100,country_opex,4,FALSE))/1000</f>
        <v/>
      </c>
      <c r="AH100" s="33" t="n">
        <v>240000</v>
      </c>
      <c r="AI100" s="34" t="n"/>
      <c r="AJ100" s="34" t="n"/>
      <c r="AK100" s="41" t="n">
        <v>0.1</v>
      </c>
      <c r="AL100" s="36">
        <f>IF(AH100="","",AH100*AK100)</f>
        <v/>
      </c>
      <c r="AM100" s="36">
        <f>IF(OR(AH100="",S100=0),"",MIN(IF(AU100="",9.9E+99,AU100),FLOOR(AL100/S100,1)))</f>
        <v/>
      </c>
      <c r="AN100" s="40">
        <f>IF(AM100="","",AM100*IF(ABS(MOD(ABS((U100)),1)-0.5)&lt;1E-9,2*ROUND((U100)/2,0),ROUND((U100),0)))</f>
        <v/>
      </c>
      <c r="AO100" s="38">
        <f>IF(OR(AH100="",S100=0),"",MIN(IF(AU100="",9.9E+99,AU100),AL100/S100))</f>
        <v/>
      </c>
      <c r="AP100" s="40">
        <f>IF(AO100="","",AO100*IF(B100="South Korea",IF(ABS(MOD(ABS((U100)),1)-0.5)&lt;1E-9,2*ROUND((U100)/2,0),ROUND((U100),0)),U100))</f>
        <v/>
      </c>
      <c r="AQ100" s="42" t="n"/>
      <c r="AR100" s="34" t="inlineStr">
        <is>
          <t>Grounded</t>
        </is>
      </c>
      <c r="AS100" s="43" t="n"/>
      <c r="AT100" s="43" t="n"/>
      <c r="AU100" s="44" t="n"/>
      <c r="AV100" s="45">
        <f>IF(((T100*pax_cap*load_thin*IF(ABS(MOD(ABS((L100*M100*revleg_thin)),1)-0.5)&lt;1E-9,2*ROUND((L100*M100*revleg_thin)/2,0),ROUND((L100*M100*revleg_thin),0)))-(((battery/range_nm)*D100*IF(ABS(MOD(ABS((L100*M100*revleg_thin)),1)-0.5)&lt;1E-9,2*ROUND((L100*M100*revleg_thin)/2,0),ROUND((L100*M100*revleg_thin),0))*VLOOKUP(B100,country_opex,3,FALSE))+W100+X100+Y100+Z100+AA100))&lt;=0,"",VLOOKUP(B100,country_opex,7,FALSE)/((T100*pax_cap*load_thin*IF(ABS(MOD(ABS((L100*M100*revleg_thin)),1)-0.5)&lt;1E-9,2*ROUND((L100*M100*revleg_thin)/2,0),ROUND((L100*M100*revleg_thin),0)))-(((battery/range_nm)*D100*IF(ABS(MOD(ABS((L100*M100*revleg_thin)),1)-0.5)&lt;1E-9,2*ROUND((L100*M100*revleg_thin)/2,0),ROUND((L100*M100*revleg_thin),0))*VLOOKUP(B100,country_opex,3,FALSE))+W100+X100+Y100+Z100+AA100)))</f>
        <v/>
      </c>
      <c r="AW100" s="45">
        <f>IF(((T100*pax_cap*IF(B100="South Korea",korea_mid_load,load_mid)*IF(ABS(MOD(ABS((L100*M100*IF(B100="South Korea",korea_mid_revleg,revleg_mid))),1)-0.5)&lt;1E-9,2*ROUND((L100*M100*IF(B100="South Korea",korea_mid_revleg,revleg_mid))/2,0),ROUND((L100*M100*IF(B100="South Korea",korea_mid_revleg,revleg_mid)),0)))-(((battery/range_nm)*D100*IF(ABS(MOD(ABS((L100*M100*IF(B100="South Korea",korea_mid_revleg,revleg_mid))),1)-0.5)&lt;1E-9,2*ROUND((L100*M100*IF(B100="South Korea",korea_mid_revleg,revleg_mid))/2,0),ROUND((L100*M100*IF(B100="South Korea",korea_mid_revleg,revleg_mid)),0))*VLOOKUP(B100,country_opex,3,FALSE))+W100+X100+Y100+Z100+AA100))&lt;=0,"",VLOOKUP(B100,country_opex,7,FALSE)/((T100*pax_cap*IF(B100="South Korea",korea_mid_load,load_mid)*IF(ABS(MOD(ABS((L100*M100*IF(B100="South Korea",korea_mid_revleg,revleg_mid))),1)-0.5)&lt;1E-9,2*ROUND((L100*M100*IF(B100="South Korea",korea_mid_revleg,revleg_mid))/2,0),ROUND((L100*M100*IF(B100="South Korea",korea_mid_revleg,revleg_mid)),0)))-(((battery/range_nm)*D100*IF(ABS(MOD(ABS((L100*M100*IF(B100="South Korea",korea_mid_revleg,revleg_mid))),1)-0.5)&lt;1E-9,2*ROUND((L100*M100*IF(B100="South Korea",korea_mid_revleg,revleg_mid))/2,0),ROUND((L100*M100*IF(B100="South Korea",korea_mid_revleg,revleg_mid)),0))*VLOOKUP(B100,country_opex,3,FALSE))+W100+X100+Y100+Z100+AA100)))</f>
        <v/>
      </c>
      <c r="AX100" s="45">
        <f>IF(((T100*pax_cap*load_full*IF(ABS(MOD(ABS((L100*M100*revleg_full)),1)-0.5)&lt;1E-9,2*ROUND((L100*M100*revleg_full)/2,0),ROUND((L100*M100*revleg_full),0)))-(((battery/range_nm)*D100*IF(ABS(MOD(ABS((L100*M100*revleg_full)),1)-0.5)&lt;1E-9,2*ROUND((L100*M100*revleg_full)/2,0),ROUND((L100*M100*revleg_full),0))*VLOOKUP(B100,country_opex,3,FALSE))+W100+X100+Y100+Z100+AA100))&lt;=0,"",VLOOKUP(B100,country_opex,7,FALSE)/((T100*pax_cap*load_full*IF(ABS(MOD(ABS((L100*M100*revleg_full)),1)-0.5)&lt;1E-9,2*ROUND((L100*M100*revleg_full)/2,0),ROUND((L100*M100*revleg_full),0)))-(((battery/range_nm)*D100*IF(ABS(MOD(ABS((L100*M100*revleg_full)),1)-0.5)&lt;1E-9,2*ROUND((L100*M100*revleg_full)/2,0),ROUND((L100*M100*revleg_full),0))*VLOOKUP(B100,country_opex,3,FALSE))+W100+X100+Y100+Z100+AA100)))</f>
        <v/>
      </c>
      <c r="AY100" s="46" t="inlineStr">
        <is>
          <t>PREMIUM scheduled per-seat = Caremar/SNAV hydrofoil Napoli(Beverello)-&gt;Procida ~EUR 19-22 one-way (visitprocida.com EUR 19-22; ferryhopper EUR 21.90) x 1.08 = ~$22.</t>
        </is>
      </c>
      <c r="AZ100" s="46" t="n"/>
      <c r="BA100" s="34" t="n"/>
    </row>
    <row r="101">
      <c r="A101" s="31" t="inlineStr">
        <is>
          <t>Bolt Italy</t>
        </is>
      </c>
      <c r="B101" s="31" t="inlineStr">
        <is>
          <t>Italy</t>
        </is>
      </c>
      <c r="C101" s="32" t="inlineStr">
        <is>
          <t>Como → Bellagio</t>
        </is>
      </c>
      <c r="D101" s="33" t="n">
        <v>14</v>
      </c>
      <c r="E101" s="27" t="n">
        <v>13</v>
      </c>
      <c r="F101" s="34" t="inlineStr">
        <is>
          <t>T2</t>
        </is>
      </c>
      <c r="G101" s="34" t="inlineStr">
        <is>
          <t>med</t>
        </is>
      </c>
      <c r="H101" s="20" t="n">
        <v>1</v>
      </c>
      <c r="I101" s="35">
        <f>60*D101/cruise_kt</f>
        <v/>
      </c>
      <c r="J101" s="35">
        <f>IF(B101="South Korea",D101/korea_charge_range_nm*korea_full_range_charge_min,0)</f>
        <v/>
      </c>
      <c r="K101" s="35">
        <f>IF(B101="South Korea",I101+korea_turn_min+korea_dwell_min+J101,I101+turn_min+dwell_min)</f>
        <v/>
      </c>
      <c r="L101" s="36">
        <f>IF(B101="South Korea",FLOOR(60*korea_service_hr/K101,1),MIN(24,FLOOR(60*service_hr/K101,1)))</f>
        <v/>
      </c>
      <c r="M101" s="36">
        <f>IF(ABS(MOD(ABS((365*mech_uptime*H101)),1)-0.5)&lt;1E-9,2*ROUND((365*mech_uptime*H101)/2,0),ROUND((365*mech_uptime*H101),0))</f>
        <v/>
      </c>
      <c r="N101" s="37">
        <f>mech_uptime</f>
        <v/>
      </c>
      <c r="O101" s="37">
        <f>IF(AND(B101="South Korea",scenario="MID"),korea_mid_revleg,revleg_sel)</f>
        <v/>
      </c>
      <c r="P101" s="36">
        <f>IF(ABS(MOD(ABS((L101*M101*O101)),1)-0.5)&lt;1E-9,2*ROUND((L101*M101*O101)/2,0),ROUND((L101*M101*O101),0))</f>
        <v/>
      </c>
      <c r="Q101" s="37">
        <f>IF(AND(B101="South Korea",scenario="MID"),korea_mid_load,load_sel)</f>
        <v/>
      </c>
      <c r="R101" s="38">
        <f>pax_cap*Q101</f>
        <v/>
      </c>
      <c r="S101" s="36">
        <f>R101*P101</f>
        <v/>
      </c>
      <c r="T101" s="39">
        <f>E101*discount</f>
        <v/>
      </c>
      <c r="U101" s="40">
        <f>T101*S101</f>
        <v/>
      </c>
      <c r="V101" s="40">
        <f>(battery/range_nm)*D101*P101*VLOOKUP(B101,country_opex,3,FALSE)</f>
        <v/>
      </c>
      <c r="W101" s="40">
        <f>VLOOKUP(B101,country_opex,2,FALSE)*crew_factor</f>
        <v/>
      </c>
      <c r="X101" s="40">
        <f>VLOOKUP(B101,country_opex,5,FALSE)</f>
        <v/>
      </c>
      <c r="Y101" s="40">
        <f>maint</f>
        <v/>
      </c>
      <c r="Z101" s="40">
        <f>VLOOKUP(B101,country_opex,7,FALSE)*ins_pct</f>
        <v/>
      </c>
      <c r="AA101" s="40">
        <f>charge_berth</f>
        <v/>
      </c>
      <c r="AB101" s="40">
        <f>V101+W101+X101+Y101+Z101+AA101</f>
        <v/>
      </c>
      <c r="AC101" s="40">
        <f>VLOOKUP(B101,country_opex,7,FALSE)/dep_years</f>
        <v/>
      </c>
      <c r="AD101" s="40">
        <f>U101-AB101</f>
        <v/>
      </c>
      <c r="AE101" s="37">
        <f>IF(U101=0,"",AD101/U101)</f>
        <v/>
      </c>
      <c r="AF101" s="38">
        <f>IF(AD101&lt;=0,"",VLOOKUP(B101,country_opex,7,FALSE)/AD101)</f>
        <v/>
      </c>
      <c r="AG101" s="35">
        <f>((D101*P101/diesel_nmpg)*diesel_co2pg-(battery/range_nm)*D101*P101*VLOOKUP(B101,country_opex,4,FALSE))/1000</f>
        <v/>
      </c>
      <c r="AH101" s="33" t="n">
        <v>112000</v>
      </c>
      <c r="AI101" s="34" t="n"/>
      <c r="AJ101" s="34" t="n"/>
      <c r="AK101" s="41" t="n">
        <v>0.1</v>
      </c>
      <c r="AL101" s="36">
        <f>IF(AH101="","",AH101*AK101)</f>
        <v/>
      </c>
      <c r="AM101" s="36">
        <f>IF(OR(AH101="",S101=0),"",MIN(IF(AU101="",9.9E+99,AU101),FLOOR(AL101/S101,1)))</f>
        <v/>
      </c>
      <c r="AN101" s="40">
        <f>IF(AM101="","",AM101*IF(ABS(MOD(ABS((U101)),1)-0.5)&lt;1E-9,2*ROUND((U101)/2,0),ROUND((U101),0)))</f>
        <v/>
      </c>
      <c r="AO101" s="38">
        <f>IF(OR(AH101="",S101=0),"",MIN(IF(AU101="",9.9E+99,AU101),AL101/S101))</f>
        <v/>
      </c>
      <c r="AP101" s="40">
        <f>IF(AO101="","",AO101*IF(B101="South Korea",IF(ABS(MOD(ABS((U101)),1)-0.5)&lt;1E-9,2*ROUND((U101)/2,0),ROUND((U101),0)),U101))</f>
        <v/>
      </c>
      <c r="AQ101" s="42" t="n"/>
      <c r="AR101" s="34" t="inlineStr">
        <is>
          <t>Grounded</t>
        </is>
      </c>
      <c r="AS101" s="43" t="n"/>
      <c r="AT101" s="43" t="n"/>
      <c r="AU101" s="44" t="n"/>
      <c r="AV101" s="45">
        <f>IF(((T101*pax_cap*load_thin*IF(ABS(MOD(ABS((L101*M101*revleg_thin)),1)-0.5)&lt;1E-9,2*ROUND((L101*M101*revleg_thin)/2,0),ROUND((L101*M101*revleg_thin),0)))-(((battery/range_nm)*D101*IF(ABS(MOD(ABS((L101*M101*revleg_thin)),1)-0.5)&lt;1E-9,2*ROUND((L101*M101*revleg_thin)/2,0),ROUND((L101*M101*revleg_thin),0))*VLOOKUP(B101,country_opex,3,FALSE))+W101+X101+Y101+Z101+AA101))&lt;=0,"",VLOOKUP(B101,country_opex,7,FALSE)/((T101*pax_cap*load_thin*IF(ABS(MOD(ABS((L101*M101*revleg_thin)),1)-0.5)&lt;1E-9,2*ROUND((L101*M101*revleg_thin)/2,0),ROUND((L101*M101*revleg_thin),0)))-(((battery/range_nm)*D101*IF(ABS(MOD(ABS((L101*M101*revleg_thin)),1)-0.5)&lt;1E-9,2*ROUND((L101*M101*revleg_thin)/2,0),ROUND((L101*M101*revleg_thin),0))*VLOOKUP(B101,country_opex,3,FALSE))+W101+X101+Y101+Z101+AA101)))</f>
        <v/>
      </c>
      <c r="AW101" s="45">
        <f>IF(((T101*pax_cap*IF(B101="South Korea",korea_mid_load,load_mid)*IF(ABS(MOD(ABS((L101*M101*IF(B101="South Korea",korea_mid_revleg,revleg_mid))),1)-0.5)&lt;1E-9,2*ROUND((L101*M101*IF(B101="South Korea",korea_mid_revleg,revleg_mid))/2,0),ROUND((L101*M101*IF(B101="South Korea",korea_mid_revleg,revleg_mid)),0)))-(((battery/range_nm)*D101*IF(ABS(MOD(ABS((L101*M101*IF(B101="South Korea",korea_mid_revleg,revleg_mid))),1)-0.5)&lt;1E-9,2*ROUND((L101*M101*IF(B101="South Korea",korea_mid_revleg,revleg_mid))/2,0),ROUND((L101*M101*IF(B101="South Korea",korea_mid_revleg,revleg_mid)),0))*VLOOKUP(B101,country_opex,3,FALSE))+W101+X101+Y101+Z101+AA101))&lt;=0,"",VLOOKUP(B101,country_opex,7,FALSE)/((T101*pax_cap*IF(B101="South Korea",korea_mid_load,load_mid)*IF(ABS(MOD(ABS((L101*M101*IF(B101="South Korea",korea_mid_revleg,revleg_mid))),1)-0.5)&lt;1E-9,2*ROUND((L101*M101*IF(B101="South Korea",korea_mid_revleg,revleg_mid))/2,0),ROUND((L101*M101*IF(B101="South Korea",korea_mid_revleg,revleg_mid)),0)))-(((battery/range_nm)*D101*IF(ABS(MOD(ABS((L101*M101*IF(B101="South Korea",korea_mid_revleg,revleg_mid))),1)-0.5)&lt;1E-9,2*ROUND((L101*M101*IF(B101="South Korea",korea_mid_revleg,revleg_mid))/2,0),ROUND((L101*M101*IF(B101="South Korea",korea_mid_revleg,revleg_mid)),0))*VLOOKUP(B101,country_opex,3,FALSE))+W101+X101+Y101+Z101+AA101)))</f>
        <v/>
      </c>
      <c r="AX101" s="45">
        <f>IF(((T101*pax_cap*load_full*IF(ABS(MOD(ABS((L101*M101*revleg_full)),1)-0.5)&lt;1E-9,2*ROUND((L101*M101*revleg_full)/2,0),ROUND((L101*M101*revleg_full),0)))-(((battery/range_nm)*D101*IF(ABS(MOD(ABS((L101*M101*revleg_full)),1)-0.5)&lt;1E-9,2*ROUND((L101*M101*revleg_full)/2,0),ROUND((L101*M101*revleg_full),0))*VLOOKUP(B101,country_opex,3,FALSE))+W101+X101+Y101+Z101+AA101))&lt;=0,"",VLOOKUP(B101,country_opex,7,FALSE)/((T101*pax_cap*load_full*IF(ABS(MOD(ABS((L101*M101*revleg_full)),1)-0.5)&lt;1E-9,2*ROUND((L101*M101*revleg_full)/2,0),ROUND((L101*M101*revleg_full),0)))-(((battery/range_nm)*D101*IF(ABS(MOD(ABS((L101*M101*revleg_full)),1)-0.5)&lt;1E-9,2*ROUND((L101*M101*revleg_full)/2,0),ROUND((L101*M101*revleg_full),0))*VLOOKUP(B101,country_opex,3,FALSE))+W101+X101+Y101+Z101+AA101)))</f>
        <v/>
      </c>
      <c r="AY101" s="46" t="inlineStr">
        <is>
          <t>PREMIUM tier context: Navigazione Laghi 'Escursione Como-Bellagio' EUR 24 adult round-trip (ordinary boat) = ~EUR 12 one-way x 1.08 = ~$13. The fast hydrofoil ('servizio rapido') carries a supplement above this, so $13 is a conservative one-way premium anchor.</t>
        </is>
      </c>
      <c r="AZ101" s="46" t="n"/>
      <c r="BA101" s="34" t="n"/>
    </row>
    <row r="102">
      <c r="A102" s="31" t="inlineStr">
        <is>
          <t>Bolt Italy</t>
        </is>
      </c>
      <c r="B102" s="31" t="inlineStr">
        <is>
          <t>Italy</t>
        </is>
      </c>
      <c r="C102" s="32" t="inlineStr">
        <is>
          <t>Amalfi → Capri</t>
        </is>
      </c>
      <c r="D102" s="33" t="n">
        <v>16</v>
      </c>
      <c r="E102" s="27" t="n">
        <v>33</v>
      </c>
      <c r="F102" s="34" t="inlineStr">
        <is>
          <t>T2</t>
        </is>
      </c>
      <c r="G102" s="34" t="inlineStr">
        <is>
          <t>med</t>
        </is>
      </c>
      <c r="H102" s="20" t="n">
        <v>1</v>
      </c>
      <c r="I102" s="35">
        <f>60*D102/cruise_kt</f>
        <v/>
      </c>
      <c r="J102" s="35">
        <f>IF(B102="South Korea",D102/korea_charge_range_nm*korea_full_range_charge_min,0)</f>
        <v/>
      </c>
      <c r="K102" s="35">
        <f>IF(B102="South Korea",I102+korea_turn_min+korea_dwell_min+J102,I102+turn_min+dwell_min)</f>
        <v/>
      </c>
      <c r="L102" s="36">
        <f>IF(B102="South Korea",FLOOR(60*korea_service_hr/K102,1),MIN(15,FLOOR(60*service_hr/K102,1)))</f>
        <v/>
      </c>
      <c r="M102" s="36">
        <f>IF(ABS(MOD(ABS((365*mech_uptime*H102)),1)-0.5)&lt;1E-9,2*ROUND((365*mech_uptime*H102)/2,0),ROUND((365*mech_uptime*H102),0))</f>
        <v/>
      </c>
      <c r="N102" s="37">
        <f>mech_uptime</f>
        <v/>
      </c>
      <c r="O102" s="37">
        <f>IF(AND(B102="South Korea",scenario="MID"),korea_mid_revleg,revleg_sel)</f>
        <v/>
      </c>
      <c r="P102" s="36">
        <f>IF(ABS(MOD(ABS((L102*M102*O102)),1)-0.5)&lt;1E-9,2*ROUND((L102*M102*O102)/2,0),ROUND((L102*M102*O102),0))</f>
        <v/>
      </c>
      <c r="Q102" s="37">
        <f>IF(AND(B102="South Korea",scenario="MID"),korea_mid_load,load_sel)</f>
        <v/>
      </c>
      <c r="R102" s="38">
        <f>pax_cap*Q102</f>
        <v/>
      </c>
      <c r="S102" s="36">
        <f>R102*P102</f>
        <v/>
      </c>
      <c r="T102" s="39">
        <f>E102*discount</f>
        <v/>
      </c>
      <c r="U102" s="40">
        <f>T102*S102</f>
        <v/>
      </c>
      <c r="V102" s="40">
        <f>(battery/range_nm)*D102*P102*VLOOKUP(B102,country_opex,3,FALSE)</f>
        <v/>
      </c>
      <c r="W102" s="40">
        <f>VLOOKUP(B102,country_opex,2,FALSE)*crew_factor</f>
        <v/>
      </c>
      <c r="X102" s="40">
        <f>VLOOKUP(B102,country_opex,5,FALSE)</f>
        <v/>
      </c>
      <c r="Y102" s="40">
        <f>maint</f>
        <v/>
      </c>
      <c r="Z102" s="40">
        <f>VLOOKUP(B102,country_opex,7,FALSE)*ins_pct</f>
        <v/>
      </c>
      <c r="AA102" s="40">
        <f>charge_berth</f>
        <v/>
      </c>
      <c r="AB102" s="40">
        <f>V102+W102+X102+Y102+Z102+AA102</f>
        <v/>
      </c>
      <c r="AC102" s="40">
        <f>VLOOKUP(B102,country_opex,7,FALSE)/dep_years</f>
        <v/>
      </c>
      <c r="AD102" s="40">
        <f>U102-AB102</f>
        <v/>
      </c>
      <c r="AE102" s="37">
        <f>IF(U102=0,"",AD102/U102)</f>
        <v/>
      </c>
      <c r="AF102" s="38">
        <f>IF(AD102&lt;=0,"",VLOOKUP(B102,country_opex,7,FALSE)/AD102)</f>
        <v/>
      </c>
      <c r="AG102" s="35">
        <f>((D102*P102/diesel_nmpg)*diesel_co2pg-(battery/range_nm)*D102*P102*VLOOKUP(B102,country_opex,4,FALSE))/1000</f>
        <v/>
      </c>
      <c r="AH102" s="33" t="n">
        <v>138000</v>
      </c>
      <c r="AI102" s="34" t="n"/>
      <c r="AJ102" s="34" t="n"/>
      <c r="AK102" s="41" t="n">
        <v>0.1</v>
      </c>
      <c r="AL102" s="36">
        <f>IF(AH102="","",AH102*AK102)</f>
        <v/>
      </c>
      <c r="AM102" s="36">
        <f>IF(OR(AH102="",S102=0),"",MIN(IF(AU102="",9.9E+99,AU102),FLOOR(AL102/S102,1)))</f>
        <v/>
      </c>
      <c r="AN102" s="40">
        <f>IF(AM102="","",AM102*IF(ABS(MOD(ABS((U102)),1)-0.5)&lt;1E-9,2*ROUND((U102)/2,0),ROUND((U102),0)))</f>
        <v/>
      </c>
      <c r="AO102" s="38">
        <f>IF(OR(AH102="",S102=0),"",MIN(IF(AU102="",9.9E+99,AU102),AL102/S102))</f>
        <v/>
      </c>
      <c r="AP102" s="40">
        <f>IF(AO102="","",AO102*IF(B102="South Korea",IF(ABS(MOD(ABS((U102)),1)-0.5)&lt;1E-9,2*ROUND((U102)/2,0),ROUND((U102),0)),U102))</f>
        <v/>
      </c>
      <c r="AQ102" s="42" t="n"/>
      <c r="AR102" s="34" t="inlineStr">
        <is>
          <t>Grounded</t>
        </is>
      </c>
      <c r="AS102" s="43" t="n"/>
      <c r="AT102" s="43" t="n"/>
      <c r="AU102" s="44" t="n"/>
      <c r="AV102" s="45">
        <f>IF(((T102*pax_cap*load_thin*IF(ABS(MOD(ABS((L102*M102*revleg_thin)),1)-0.5)&lt;1E-9,2*ROUND((L102*M102*revleg_thin)/2,0),ROUND((L102*M102*revleg_thin),0)))-(((battery/range_nm)*D102*IF(ABS(MOD(ABS((L102*M102*revleg_thin)),1)-0.5)&lt;1E-9,2*ROUND((L102*M102*revleg_thin)/2,0),ROUND((L102*M102*revleg_thin),0))*VLOOKUP(B102,country_opex,3,FALSE))+W102+X102+Y102+Z102+AA102))&lt;=0,"",VLOOKUP(B102,country_opex,7,FALSE)/((T102*pax_cap*load_thin*IF(ABS(MOD(ABS((L102*M102*revleg_thin)),1)-0.5)&lt;1E-9,2*ROUND((L102*M102*revleg_thin)/2,0),ROUND((L102*M102*revleg_thin),0)))-(((battery/range_nm)*D102*IF(ABS(MOD(ABS((L102*M102*revleg_thin)),1)-0.5)&lt;1E-9,2*ROUND((L102*M102*revleg_thin)/2,0),ROUND((L102*M102*revleg_thin),0))*VLOOKUP(B102,country_opex,3,FALSE))+W102+X102+Y102+Z102+AA102)))</f>
        <v/>
      </c>
      <c r="AW102" s="45">
        <f>IF(((T102*pax_cap*IF(B102="South Korea",korea_mid_load,load_mid)*IF(ABS(MOD(ABS((L102*M102*IF(B102="South Korea",korea_mid_revleg,revleg_mid))),1)-0.5)&lt;1E-9,2*ROUND((L102*M102*IF(B102="South Korea",korea_mid_revleg,revleg_mid))/2,0),ROUND((L102*M102*IF(B102="South Korea",korea_mid_revleg,revleg_mid)),0)))-(((battery/range_nm)*D102*IF(ABS(MOD(ABS((L102*M102*IF(B102="South Korea",korea_mid_revleg,revleg_mid))),1)-0.5)&lt;1E-9,2*ROUND((L102*M102*IF(B102="South Korea",korea_mid_revleg,revleg_mid))/2,0),ROUND((L102*M102*IF(B102="South Korea",korea_mid_revleg,revleg_mid)),0))*VLOOKUP(B102,country_opex,3,FALSE))+W102+X102+Y102+Z102+AA102))&lt;=0,"",VLOOKUP(B102,country_opex,7,FALSE)/((T102*pax_cap*IF(B102="South Korea",korea_mid_load,load_mid)*IF(ABS(MOD(ABS((L102*M102*IF(B102="South Korea",korea_mid_revleg,revleg_mid))),1)-0.5)&lt;1E-9,2*ROUND((L102*M102*IF(B102="South Korea",korea_mid_revleg,revleg_mid))/2,0),ROUND((L102*M102*IF(B102="South Korea",korea_mid_revleg,revleg_mid)),0)))-(((battery/range_nm)*D102*IF(ABS(MOD(ABS((L102*M102*IF(B102="South Korea",korea_mid_revleg,revleg_mid))),1)-0.5)&lt;1E-9,2*ROUND((L102*M102*IF(B102="South Korea",korea_mid_revleg,revleg_mid))/2,0),ROUND((L102*M102*IF(B102="South Korea",korea_mid_revleg,revleg_mid)),0))*VLOOKUP(B102,country_opex,3,FALSE))+W102+X102+Y102+Z102+AA102)))</f>
        <v/>
      </c>
      <c r="AX102" s="45">
        <f>IF(((T102*pax_cap*load_full*IF(ABS(MOD(ABS((L102*M102*revleg_full)),1)-0.5)&lt;1E-9,2*ROUND((L102*M102*revleg_full)/2,0),ROUND((L102*M102*revleg_full),0)))-(((battery/range_nm)*D102*IF(ABS(MOD(ABS((L102*M102*revleg_full)),1)-0.5)&lt;1E-9,2*ROUND((L102*M102*revleg_full)/2,0),ROUND((L102*M102*revleg_full),0))*VLOOKUP(B102,country_opex,3,FALSE))+W102+X102+Y102+Z102+AA102))&lt;=0,"",VLOOKUP(B102,country_opex,7,FALSE)/((T102*pax_cap*load_full*IF(ABS(MOD(ABS((L102*M102*revleg_full)),1)-0.5)&lt;1E-9,2*ROUND((L102*M102*revleg_full)/2,0),ROUND((L102*M102*revleg_full),0)))-(((battery/range_nm)*D102*IF(ABS(MOD(ABS((L102*M102*revleg_full)),1)-0.5)&lt;1E-9,2*ROUND((L102*M102*revleg_full)/2,0),ROUND((L102*M102*revleg_full),0))*VLOOKUP(B102,country_opex,3,FALSE))+W102+X102+Y102+Z102+AA102)))</f>
        <v/>
      </c>
      <c r="AY102" s="46" t="inlineStr">
        <is>
          <t>PREMIUM scheduled per-seat: Amalfi-&gt;Capri fast ferry ~EUR 26-28 one-way (capri.com) + EUR 5 Capri landing = ~EUR 31-33 x 1.08 = ~$33.</t>
        </is>
      </c>
      <c r="AZ102" s="46" t="n"/>
      <c r="BA102" s="34" t="n"/>
    </row>
    <row r="103">
      <c r="A103" s="31" t="inlineStr">
        <is>
          <t>Bolt Italy</t>
        </is>
      </c>
      <c r="B103" s="31" t="inlineStr">
        <is>
          <t>Italy</t>
        </is>
      </c>
      <c r="C103" s="32" t="inlineStr">
        <is>
          <t>Naples → Sorrento</t>
        </is>
      </c>
      <c r="D103" s="33" t="n">
        <v>16</v>
      </c>
      <c r="E103" s="27" t="n"/>
      <c r="F103" s="34" t="n"/>
      <c r="G103" s="34" t="n"/>
      <c r="H103" s="20" t="n">
        <v>1</v>
      </c>
      <c r="I103" s="35">
        <f>60*D103/cruise_kt</f>
        <v/>
      </c>
      <c r="J103" s="35">
        <f>IF(B103="South Korea",D103/korea_charge_range_nm*korea_full_range_charge_min,0)</f>
        <v/>
      </c>
      <c r="K103" s="35">
        <f>IF(B103="South Korea",I103+korea_turn_min+korea_dwell_min+J103,I103+turn_min+dwell_min)</f>
        <v/>
      </c>
      <c r="L103" s="36">
        <f>IF(B103="South Korea",FLOOR(60*korea_service_hr/K103,1),MIN(24,FLOOR(60*service_hr/K103,1)))</f>
        <v/>
      </c>
      <c r="M103" s="36">
        <f>IF(ABS(MOD(ABS((365*mech_uptime*H103)),1)-0.5)&lt;1E-9,2*ROUND((365*mech_uptime*H103)/2,0),ROUND((365*mech_uptime*H103),0))</f>
        <v/>
      </c>
      <c r="N103" s="37">
        <f>mech_uptime</f>
        <v/>
      </c>
      <c r="O103" s="37">
        <f>IF(AND(B103="South Korea",scenario="MID"),korea_mid_revleg,revleg_sel)</f>
        <v/>
      </c>
      <c r="P103" s="36">
        <f>IF(ABS(MOD(ABS((L103*M103*O103)),1)-0.5)&lt;1E-9,2*ROUND((L103*M103*O103)/2,0),ROUND((L103*M103*O103),0))</f>
        <v/>
      </c>
      <c r="Q103" s="37">
        <f>IF(AND(B103="South Korea",scenario="MID"),korea_mid_load,load_sel)</f>
        <v/>
      </c>
      <c r="R103" s="38">
        <f>pax_cap*Q103</f>
        <v/>
      </c>
      <c r="S103" s="36">
        <f>R103*P103</f>
        <v/>
      </c>
      <c r="T103" s="39">
        <f>E103*discount</f>
        <v/>
      </c>
      <c r="U103" s="40">
        <f>T103*S103</f>
        <v/>
      </c>
      <c r="V103" s="40">
        <f>(battery/range_nm)*D103*P103*VLOOKUP(B103,country_opex,3,FALSE)</f>
        <v/>
      </c>
      <c r="W103" s="40">
        <f>VLOOKUP(B103,country_opex,2,FALSE)*crew_factor</f>
        <v/>
      </c>
      <c r="X103" s="40">
        <f>VLOOKUP(B103,country_opex,5,FALSE)</f>
        <v/>
      </c>
      <c r="Y103" s="40">
        <f>maint</f>
        <v/>
      </c>
      <c r="Z103" s="40">
        <f>VLOOKUP(B103,country_opex,7,FALSE)*ins_pct</f>
        <v/>
      </c>
      <c r="AA103" s="40">
        <f>charge_berth</f>
        <v/>
      </c>
      <c r="AB103" s="40">
        <f>V103+W103+X103+Y103+Z103+AA103</f>
        <v/>
      </c>
      <c r="AC103" s="40">
        <f>VLOOKUP(B103,country_opex,7,FALSE)/dep_years</f>
        <v/>
      </c>
      <c r="AD103" s="40">
        <f>U103-AB103</f>
        <v/>
      </c>
      <c r="AE103" s="37">
        <f>IF(U103=0,"",AD103/U103)</f>
        <v/>
      </c>
      <c r="AF103" s="38">
        <f>IF(AD103&lt;=0,"",VLOOKUP(B103,country_opex,7,FALSE)/AD103)</f>
        <v/>
      </c>
      <c r="AG103" s="35">
        <f>((D103*P103/diesel_nmpg)*diesel_co2pg-(battery/range_nm)*D103*P103*VLOOKUP(B103,country_opex,4,FALSE))/1000</f>
        <v/>
      </c>
      <c r="AH103" s="33" t="n">
        <v>200000</v>
      </c>
      <c r="AI103" s="34" t="n"/>
      <c r="AJ103" s="34" t="n"/>
      <c r="AK103" s="41" t="n">
        <v>0.1</v>
      </c>
      <c r="AL103" s="36">
        <f>IF(AH103="","",AH103*AK103)</f>
        <v/>
      </c>
      <c r="AM103" s="36">
        <f>IF(OR(AH103="",S103=0),"",MIN(IF(AU103="",9.9E+99,AU103),FLOOR(AL103/S103,1)))</f>
        <v/>
      </c>
      <c r="AN103" s="40">
        <f>IF(AM103="","",AM103*IF(ABS(MOD(ABS((U103)),1)-0.5)&lt;1E-9,2*ROUND((U103)/2,0),ROUND((U103),0)))</f>
        <v/>
      </c>
      <c r="AO103" s="38">
        <f>IF(OR(AH103="",S103=0),"",MIN(IF(AU103="",9.9E+99,AU103),AL103/S103))</f>
        <v/>
      </c>
      <c r="AP103" s="40">
        <f>IF(AO103="","",AO103*IF(B103="South Korea",IF(ABS(MOD(ABS((U103)),1)-0.5)&lt;1E-9,2*ROUND((U103)/2,0),ROUND((U103),0)),U103))</f>
        <v/>
      </c>
      <c r="AQ103" s="42" t="n"/>
      <c r="AR103" s="34" t="inlineStr">
        <is>
          <t>Estimated</t>
        </is>
      </c>
      <c r="AS103" s="43" t="n"/>
      <c r="AT103" s="43" t="n"/>
      <c r="AU103" s="44" t="n"/>
      <c r="AV103" s="45">
        <f>IF(((T103*pax_cap*load_thin*IF(ABS(MOD(ABS((L103*M103*revleg_thin)),1)-0.5)&lt;1E-9,2*ROUND((L103*M103*revleg_thin)/2,0),ROUND((L103*M103*revleg_thin),0)))-(((battery/range_nm)*D103*IF(ABS(MOD(ABS((L103*M103*revleg_thin)),1)-0.5)&lt;1E-9,2*ROUND((L103*M103*revleg_thin)/2,0),ROUND((L103*M103*revleg_thin),0))*VLOOKUP(B103,country_opex,3,FALSE))+W103+X103+Y103+Z103+AA103))&lt;=0,"",VLOOKUP(B103,country_opex,7,FALSE)/((T103*pax_cap*load_thin*IF(ABS(MOD(ABS((L103*M103*revleg_thin)),1)-0.5)&lt;1E-9,2*ROUND((L103*M103*revleg_thin)/2,0),ROUND((L103*M103*revleg_thin),0)))-(((battery/range_nm)*D103*IF(ABS(MOD(ABS((L103*M103*revleg_thin)),1)-0.5)&lt;1E-9,2*ROUND((L103*M103*revleg_thin)/2,0),ROUND((L103*M103*revleg_thin),0))*VLOOKUP(B103,country_opex,3,FALSE))+W103+X103+Y103+Z103+AA103)))</f>
        <v/>
      </c>
      <c r="AW103" s="45">
        <f>IF(((T103*pax_cap*IF(B103="South Korea",korea_mid_load,load_mid)*IF(ABS(MOD(ABS((L103*M103*IF(B103="South Korea",korea_mid_revleg,revleg_mid))),1)-0.5)&lt;1E-9,2*ROUND((L103*M103*IF(B103="South Korea",korea_mid_revleg,revleg_mid))/2,0),ROUND((L103*M103*IF(B103="South Korea",korea_mid_revleg,revleg_mid)),0)))-(((battery/range_nm)*D103*IF(ABS(MOD(ABS((L103*M103*IF(B103="South Korea",korea_mid_revleg,revleg_mid))),1)-0.5)&lt;1E-9,2*ROUND((L103*M103*IF(B103="South Korea",korea_mid_revleg,revleg_mid))/2,0),ROUND((L103*M103*IF(B103="South Korea",korea_mid_revleg,revleg_mid)),0))*VLOOKUP(B103,country_opex,3,FALSE))+W103+X103+Y103+Z103+AA103))&lt;=0,"",VLOOKUP(B103,country_opex,7,FALSE)/((T103*pax_cap*IF(B103="South Korea",korea_mid_load,load_mid)*IF(ABS(MOD(ABS((L103*M103*IF(B103="South Korea",korea_mid_revleg,revleg_mid))),1)-0.5)&lt;1E-9,2*ROUND((L103*M103*IF(B103="South Korea",korea_mid_revleg,revleg_mid))/2,0),ROUND((L103*M103*IF(B103="South Korea",korea_mid_revleg,revleg_mid)),0)))-(((battery/range_nm)*D103*IF(ABS(MOD(ABS((L103*M103*IF(B103="South Korea",korea_mid_revleg,revleg_mid))),1)-0.5)&lt;1E-9,2*ROUND((L103*M103*IF(B103="South Korea",korea_mid_revleg,revleg_mid))/2,0),ROUND((L103*M103*IF(B103="South Korea",korea_mid_revleg,revleg_mid)),0))*VLOOKUP(B103,country_opex,3,FALSE))+W103+X103+Y103+Z103+AA103)))</f>
        <v/>
      </c>
      <c r="AX103" s="45">
        <f>IF(((T103*pax_cap*load_full*IF(ABS(MOD(ABS((L103*M103*revleg_full)),1)-0.5)&lt;1E-9,2*ROUND((L103*M103*revleg_full)/2,0),ROUND((L103*M103*revleg_full),0)))-(((battery/range_nm)*D103*IF(ABS(MOD(ABS((L103*M103*revleg_full)),1)-0.5)&lt;1E-9,2*ROUND((L103*M103*revleg_full)/2,0),ROUND((L103*M103*revleg_full),0))*VLOOKUP(B103,country_opex,3,FALSE))+W103+X103+Y103+Z103+AA103))&lt;=0,"",VLOOKUP(B103,country_opex,7,FALSE)/((T103*pax_cap*load_full*IF(ABS(MOD(ABS((L103*M103*revleg_full)),1)-0.5)&lt;1E-9,2*ROUND((L103*M103*revleg_full)/2,0),ROUND((L103*M103*revleg_full),0)))-(((battery/range_nm)*D103*IF(ABS(MOD(ABS((L103*M103*revleg_full)),1)-0.5)&lt;1E-9,2*ROUND((L103*M103*revleg_full)/2,0),ROUND((L103*M103*revleg_full),0))*VLOOKUP(B103,country_opex,3,FALSE))+W103+X103+Y103+Z103+AA103)))</f>
        <v/>
      </c>
      <c r="AY103" s="46" t="n"/>
      <c r="AZ103" s="46" t="n"/>
      <c r="BA103" s="34" t="n"/>
    </row>
    <row r="104">
      <c r="A104" s="31" t="inlineStr">
        <is>
          <t>Bolt Italy</t>
        </is>
      </c>
      <c r="B104" s="31" t="inlineStr">
        <is>
          <t>Italy</t>
        </is>
      </c>
      <c r="C104" s="32" t="inlineStr">
        <is>
          <t>Naples → Capri</t>
        </is>
      </c>
      <c r="D104" s="33" t="n">
        <v>17</v>
      </c>
      <c r="E104" s="27" t="n">
        <v>32</v>
      </c>
      <c r="F104" s="34" t="inlineStr">
        <is>
          <t>T2</t>
        </is>
      </c>
      <c r="G104" s="34" t="inlineStr">
        <is>
          <t>med</t>
        </is>
      </c>
      <c r="H104" s="20" t="n">
        <v>1</v>
      </c>
      <c r="I104" s="35">
        <f>60*D104/cruise_kt</f>
        <v/>
      </c>
      <c r="J104" s="35">
        <f>IF(B104="South Korea",D104/korea_charge_range_nm*korea_full_range_charge_min,0)</f>
        <v/>
      </c>
      <c r="K104" s="35">
        <f>IF(B104="South Korea",I104+korea_turn_min+korea_dwell_min+J104,I104+turn_min+dwell_min)</f>
        <v/>
      </c>
      <c r="L104" s="36">
        <f>IF(B104="South Korea",FLOOR(60*korea_service_hr/K104,1),MIN(15,FLOOR(60*service_hr/K104,1)))</f>
        <v/>
      </c>
      <c r="M104" s="36">
        <f>IF(ABS(MOD(ABS((365*mech_uptime*H104)),1)-0.5)&lt;1E-9,2*ROUND((365*mech_uptime*H104)/2,0),ROUND((365*mech_uptime*H104),0))</f>
        <v/>
      </c>
      <c r="N104" s="37">
        <f>mech_uptime</f>
        <v/>
      </c>
      <c r="O104" s="37">
        <f>IF(AND(B104="South Korea",scenario="MID"),korea_mid_revleg,revleg_sel)</f>
        <v/>
      </c>
      <c r="P104" s="36">
        <f>IF(ABS(MOD(ABS((L104*M104*O104)),1)-0.5)&lt;1E-9,2*ROUND((L104*M104*O104)/2,0),ROUND((L104*M104*O104),0))</f>
        <v/>
      </c>
      <c r="Q104" s="37">
        <f>IF(AND(B104="South Korea",scenario="MID"),korea_mid_load,load_sel)</f>
        <v/>
      </c>
      <c r="R104" s="38">
        <f>pax_cap*Q104</f>
        <v/>
      </c>
      <c r="S104" s="36">
        <f>R104*P104</f>
        <v/>
      </c>
      <c r="T104" s="39">
        <f>E104*discount</f>
        <v/>
      </c>
      <c r="U104" s="40">
        <f>T104*S104</f>
        <v/>
      </c>
      <c r="V104" s="40">
        <f>(battery/range_nm)*D104*P104*VLOOKUP(B104,country_opex,3,FALSE)</f>
        <v/>
      </c>
      <c r="W104" s="40">
        <f>VLOOKUP(B104,country_opex,2,FALSE)*crew_factor</f>
        <v/>
      </c>
      <c r="X104" s="40">
        <f>VLOOKUP(B104,country_opex,5,FALSE)</f>
        <v/>
      </c>
      <c r="Y104" s="40">
        <f>maint</f>
        <v/>
      </c>
      <c r="Z104" s="40">
        <f>VLOOKUP(B104,country_opex,7,FALSE)*ins_pct</f>
        <v/>
      </c>
      <c r="AA104" s="40">
        <f>charge_berth</f>
        <v/>
      </c>
      <c r="AB104" s="40">
        <f>V104+W104+X104+Y104+Z104+AA104</f>
        <v/>
      </c>
      <c r="AC104" s="40">
        <f>VLOOKUP(B104,country_opex,7,FALSE)/dep_years</f>
        <v/>
      </c>
      <c r="AD104" s="40">
        <f>U104-AB104</f>
        <v/>
      </c>
      <c r="AE104" s="37">
        <f>IF(U104=0,"",AD104/U104)</f>
        <v/>
      </c>
      <c r="AF104" s="38">
        <f>IF(AD104&lt;=0,"",VLOOKUP(B104,country_opex,7,FALSE)/AD104)</f>
        <v/>
      </c>
      <c r="AG104" s="35">
        <f>((D104*P104/diesel_nmpg)*diesel_co2pg-(battery/range_nm)*D104*P104*VLOOKUP(B104,country_opex,4,FALSE))/1000</f>
        <v/>
      </c>
      <c r="AH104" s="33" t="n">
        <v>1265000</v>
      </c>
      <c r="AI104" s="34" t="n"/>
      <c r="AJ104" s="34" t="n"/>
      <c r="AK104" s="41" t="n">
        <v>0.1</v>
      </c>
      <c r="AL104" s="36">
        <f>IF(AH104="","",AH104*AK104)</f>
        <v/>
      </c>
      <c r="AM104" s="36">
        <f>IF(OR(AH104="",S104=0),"",MIN(IF(AU104="",9.9E+99,AU104),FLOOR(AL104/S104,1)))</f>
        <v/>
      </c>
      <c r="AN104" s="40">
        <f>IF(AM104="","",AM104*IF(ABS(MOD(ABS((U104)),1)-0.5)&lt;1E-9,2*ROUND((U104)/2,0),ROUND((U104),0)))</f>
        <v/>
      </c>
      <c r="AO104" s="38">
        <f>IF(OR(AH104="",S104=0),"",MIN(IF(AU104="",9.9E+99,AU104),AL104/S104))</f>
        <v/>
      </c>
      <c r="AP104" s="40">
        <f>IF(AO104="","",AO104*IF(B104="South Korea",IF(ABS(MOD(ABS((U104)),1)-0.5)&lt;1E-9,2*ROUND((U104)/2,0),ROUND((U104),0)),U104))</f>
        <v/>
      </c>
      <c r="AQ104" s="42" t="n"/>
      <c r="AR104" s="34" t="inlineStr">
        <is>
          <t>Grounded</t>
        </is>
      </c>
      <c r="AS104" s="43" t="n"/>
      <c r="AT104" s="43" t="n"/>
      <c r="AU104" s="44" t="n"/>
      <c r="AV104" s="45">
        <f>IF(((T104*pax_cap*load_thin*IF(ABS(MOD(ABS((L104*M104*revleg_thin)),1)-0.5)&lt;1E-9,2*ROUND((L104*M104*revleg_thin)/2,0),ROUND((L104*M104*revleg_thin),0)))-(((battery/range_nm)*D104*IF(ABS(MOD(ABS((L104*M104*revleg_thin)),1)-0.5)&lt;1E-9,2*ROUND((L104*M104*revleg_thin)/2,0),ROUND((L104*M104*revleg_thin),0))*VLOOKUP(B104,country_opex,3,FALSE))+W104+X104+Y104+Z104+AA104))&lt;=0,"",VLOOKUP(B104,country_opex,7,FALSE)/((T104*pax_cap*load_thin*IF(ABS(MOD(ABS((L104*M104*revleg_thin)),1)-0.5)&lt;1E-9,2*ROUND((L104*M104*revleg_thin)/2,0),ROUND((L104*M104*revleg_thin),0)))-(((battery/range_nm)*D104*IF(ABS(MOD(ABS((L104*M104*revleg_thin)),1)-0.5)&lt;1E-9,2*ROUND((L104*M104*revleg_thin)/2,0),ROUND((L104*M104*revleg_thin),0))*VLOOKUP(B104,country_opex,3,FALSE))+W104+X104+Y104+Z104+AA104)))</f>
        <v/>
      </c>
      <c r="AW104" s="45">
        <f>IF(((T104*pax_cap*IF(B104="South Korea",korea_mid_load,load_mid)*IF(ABS(MOD(ABS((L104*M104*IF(B104="South Korea",korea_mid_revleg,revleg_mid))),1)-0.5)&lt;1E-9,2*ROUND((L104*M104*IF(B104="South Korea",korea_mid_revleg,revleg_mid))/2,0),ROUND((L104*M104*IF(B104="South Korea",korea_mid_revleg,revleg_mid)),0)))-(((battery/range_nm)*D104*IF(ABS(MOD(ABS((L104*M104*IF(B104="South Korea",korea_mid_revleg,revleg_mid))),1)-0.5)&lt;1E-9,2*ROUND((L104*M104*IF(B104="South Korea",korea_mid_revleg,revleg_mid))/2,0),ROUND((L104*M104*IF(B104="South Korea",korea_mid_revleg,revleg_mid)),0))*VLOOKUP(B104,country_opex,3,FALSE))+W104+X104+Y104+Z104+AA104))&lt;=0,"",VLOOKUP(B104,country_opex,7,FALSE)/((T104*pax_cap*IF(B104="South Korea",korea_mid_load,load_mid)*IF(ABS(MOD(ABS((L104*M104*IF(B104="South Korea",korea_mid_revleg,revleg_mid))),1)-0.5)&lt;1E-9,2*ROUND((L104*M104*IF(B104="South Korea",korea_mid_revleg,revleg_mid))/2,0),ROUND((L104*M104*IF(B104="South Korea",korea_mid_revleg,revleg_mid)),0)))-(((battery/range_nm)*D104*IF(ABS(MOD(ABS((L104*M104*IF(B104="South Korea",korea_mid_revleg,revleg_mid))),1)-0.5)&lt;1E-9,2*ROUND((L104*M104*IF(B104="South Korea",korea_mid_revleg,revleg_mid))/2,0),ROUND((L104*M104*IF(B104="South Korea",korea_mid_revleg,revleg_mid)),0))*VLOOKUP(B104,country_opex,3,FALSE))+W104+X104+Y104+Z104+AA104)))</f>
        <v/>
      </c>
      <c r="AX104" s="45">
        <f>IF(((T104*pax_cap*load_full*IF(ABS(MOD(ABS((L104*M104*revleg_full)),1)-0.5)&lt;1E-9,2*ROUND((L104*M104*revleg_full)/2,0),ROUND((L104*M104*revleg_full),0)))-(((battery/range_nm)*D104*IF(ABS(MOD(ABS((L104*M104*revleg_full)),1)-0.5)&lt;1E-9,2*ROUND((L104*M104*revleg_full)/2,0),ROUND((L104*M104*revleg_full),0))*VLOOKUP(B104,country_opex,3,FALSE))+W104+X104+Y104+Z104+AA104))&lt;=0,"",VLOOKUP(B104,country_opex,7,FALSE)/((T104*pax_cap*load_full*IF(ABS(MOD(ABS((L104*M104*revleg_full)),1)-0.5)&lt;1E-9,2*ROUND((L104*M104*revleg_full)/2,0),ROUND((L104*M104*revleg_full),0)))-(((battery/range_nm)*D104*IF(ABS(MOD(ABS((L104*M104*revleg_full)),1)-0.5)&lt;1E-9,2*ROUND((L104*M104*revleg_full)/2,0),ROUND((L104*M104*revleg_full),0))*VLOOKUP(B104,country_opex,3,FALSE))+W104+X104+Y104+Z104+AA104)))</f>
        <v/>
      </c>
      <c r="AY104" s="46" t="inlineStr">
        <is>
          <t>PREMIUM scheduled per-seat: NLG/SNAV/Caremar fast aliscafo Napoli(Beverello)-&gt;Capri ~EUR 25 one-way + EUR 5 Capri landing contribution (Apr-Oct) = ~EUR 30 x 1.08 = ~$32. (Ferryhopper shows Naples-Capri from ~EUR 20; aliscafo tier ~EUR 23-27.)</t>
        </is>
      </c>
      <c r="AZ104" s="46" t="n"/>
      <c r="BA104" s="34" t="n"/>
    </row>
    <row r="105">
      <c r="A105" s="31" t="inlineStr">
        <is>
          <t>Bolt Italy</t>
        </is>
      </c>
      <c r="B105" s="31" t="inlineStr">
        <is>
          <t>Italy</t>
        </is>
      </c>
      <c r="C105" s="32" t="inlineStr">
        <is>
          <t>Naples → Ischia</t>
        </is>
      </c>
      <c r="D105" s="33" t="n">
        <v>18</v>
      </c>
      <c r="E105" s="27" t="n">
        <v>25</v>
      </c>
      <c r="F105" s="34" t="inlineStr">
        <is>
          <t>T2</t>
        </is>
      </c>
      <c r="G105" s="34" t="inlineStr">
        <is>
          <t>med</t>
        </is>
      </c>
      <c r="H105" s="20" t="n">
        <v>1</v>
      </c>
      <c r="I105" s="35">
        <f>60*D105/cruise_kt</f>
        <v/>
      </c>
      <c r="J105" s="35">
        <f>IF(B105="South Korea",D105/korea_charge_range_nm*korea_full_range_charge_min,0)</f>
        <v/>
      </c>
      <c r="K105" s="35">
        <f>IF(B105="South Korea",I105+korea_turn_min+korea_dwell_min+J105,I105+turn_min+dwell_min)</f>
        <v/>
      </c>
      <c r="L105" s="36">
        <f>IF(B105="South Korea",FLOOR(60*korea_service_hr/K105,1),MIN(15,FLOOR(60*service_hr/K105,1)))</f>
        <v/>
      </c>
      <c r="M105" s="36">
        <f>IF(ABS(MOD(ABS((365*mech_uptime*H105)),1)-0.5)&lt;1E-9,2*ROUND((365*mech_uptime*H105)/2,0),ROUND((365*mech_uptime*H105),0))</f>
        <v/>
      </c>
      <c r="N105" s="37">
        <f>mech_uptime</f>
        <v/>
      </c>
      <c r="O105" s="37">
        <f>IF(AND(B105="South Korea",scenario="MID"),korea_mid_revleg,revleg_sel)</f>
        <v/>
      </c>
      <c r="P105" s="36">
        <f>IF(ABS(MOD(ABS((L105*M105*O105)),1)-0.5)&lt;1E-9,2*ROUND((L105*M105*O105)/2,0),ROUND((L105*M105*O105),0))</f>
        <v/>
      </c>
      <c r="Q105" s="37">
        <f>IF(AND(B105="South Korea",scenario="MID"),korea_mid_load,load_sel)</f>
        <v/>
      </c>
      <c r="R105" s="38">
        <f>pax_cap*Q105</f>
        <v/>
      </c>
      <c r="S105" s="36">
        <f>R105*P105</f>
        <v/>
      </c>
      <c r="T105" s="39">
        <f>E105*discount</f>
        <v/>
      </c>
      <c r="U105" s="40">
        <f>T105*S105</f>
        <v/>
      </c>
      <c r="V105" s="40">
        <f>(battery/range_nm)*D105*P105*VLOOKUP(B105,country_opex,3,FALSE)</f>
        <v/>
      </c>
      <c r="W105" s="40">
        <f>VLOOKUP(B105,country_opex,2,FALSE)*crew_factor</f>
        <v/>
      </c>
      <c r="X105" s="40">
        <f>VLOOKUP(B105,country_opex,5,FALSE)</f>
        <v/>
      </c>
      <c r="Y105" s="40">
        <f>maint</f>
        <v/>
      </c>
      <c r="Z105" s="40">
        <f>VLOOKUP(B105,country_opex,7,FALSE)*ins_pct</f>
        <v/>
      </c>
      <c r="AA105" s="40">
        <f>charge_berth</f>
        <v/>
      </c>
      <c r="AB105" s="40">
        <f>V105+W105+X105+Y105+Z105+AA105</f>
        <v/>
      </c>
      <c r="AC105" s="40">
        <f>VLOOKUP(B105,country_opex,7,FALSE)/dep_years</f>
        <v/>
      </c>
      <c r="AD105" s="40">
        <f>U105-AB105</f>
        <v/>
      </c>
      <c r="AE105" s="37">
        <f>IF(U105=0,"",AD105/U105)</f>
        <v/>
      </c>
      <c r="AF105" s="38">
        <f>IF(AD105&lt;=0,"",VLOOKUP(B105,country_opex,7,FALSE)/AD105)</f>
        <v/>
      </c>
      <c r="AG105" s="35">
        <f>((D105*P105/diesel_nmpg)*diesel_co2pg-(battery/range_nm)*D105*P105*VLOOKUP(B105,country_opex,4,FALSE))/1000</f>
        <v/>
      </c>
      <c r="AH105" s="33" t="n">
        <v>675000</v>
      </c>
      <c r="AI105" s="34" t="n"/>
      <c r="AJ105" s="34" t="n"/>
      <c r="AK105" s="41" t="n">
        <v>0.1</v>
      </c>
      <c r="AL105" s="36">
        <f>IF(AH105="","",AH105*AK105)</f>
        <v/>
      </c>
      <c r="AM105" s="36">
        <f>IF(OR(AH105="",S105=0),"",MIN(IF(AU105="",9.9E+99,AU105),FLOOR(AL105/S105,1)))</f>
        <v/>
      </c>
      <c r="AN105" s="40">
        <f>IF(AM105="","",AM105*IF(ABS(MOD(ABS((U105)),1)-0.5)&lt;1E-9,2*ROUND((U105)/2,0),ROUND((U105),0)))</f>
        <v/>
      </c>
      <c r="AO105" s="38">
        <f>IF(OR(AH105="",S105=0),"",MIN(IF(AU105="",9.9E+99,AU105),AL105/S105))</f>
        <v/>
      </c>
      <c r="AP105" s="40">
        <f>IF(AO105="","",AO105*IF(B105="South Korea",IF(ABS(MOD(ABS((U105)),1)-0.5)&lt;1E-9,2*ROUND((U105)/2,0),ROUND((U105),0)),U105))</f>
        <v/>
      </c>
      <c r="AQ105" s="42" t="n"/>
      <c r="AR105" s="34" t="inlineStr">
        <is>
          <t>Grounded</t>
        </is>
      </c>
      <c r="AS105" s="43" t="n"/>
      <c r="AT105" s="43" t="n"/>
      <c r="AU105" s="44" t="n"/>
      <c r="AV105" s="45">
        <f>IF(((T105*pax_cap*load_thin*IF(ABS(MOD(ABS((L105*M105*revleg_thin)),1)-0.5)&lt;1E-9,2*ROUND((L105*M105*revleg_thin)/2,0),ROUND((L105*M105*revleg_thin),0)))-(((battery/range_nm)*D105*IF(ABS(MOD(ABS((L105*M105*revleg_thin)),1)-0.5)&lt;1E-9,2*ROUND((L105*M105*revleg_thin)/2,0),ROUND((L105*M105*revleg_thin),0))*VLOOKUP(B105,country_opex,3,FALSE))+W105+X105+Y105+Z105+AA105))&lt;=0,"",VLOOKUP(B105,country_opex,7,FALSE)/((T105*pax_cap*load_thin*IF(ABS(MOD(ABS((L105*M105*revleg_thin)),1)-0.5)&lt;1E-9,2*ROUND((L105*M105*revleg_thin)/2,0),ROUND((L105*M105*revleg_thin),0)))-(((battery/range_nm)*D105*IF(ABS(MOD(ABS((L105*M105*revleg_thin)),1)-0.5)&lt;1E-9,2*ROUND((L105*M105*revleg_thin)/2,0),ROUND((L105*M105*revleg_thin),0))*VLOOKUP(B105,country_opex,3,FALSE))+W105+X105+Y105+Z105+AA105)))</f>
        <v/>
      </c>
      <c r="AW105" s="45">
        <f>IF(((T105*pax_cap*IF(B105="South Korea",korea_mid_load,load_mid)*IF(ABS(MOD(ABS((L105*M105*IF(B105="South Korea",korea_mid_revleg,revleg_mid))),1)-0.5)&lt;1E-9,2*ROUND((L105*M105*IF(B105="South Korea",korea_mid_revleg,revleg_mid))/2,0),ROUND((L105*M105*IF(B105="South Korea",korea_mid_revleg,revleg_mid)),0)))-(((battery/range_nm)*D105*IF(ABS(MOD(ABS((L105*M105*IF(B105="South Korea",korea_mid_revleg,revleg_mid))),1)-0.5)&lt;1E-9,2*ROUND((L105*M105*IF(B105="South Korea",korea_mid_revleg,revleg_mid))/2,0),ROUND((L105*M105*IF(B105="South Korea",korea_mid_revleg,revleg_mid)),0))*VLOOKUP(B105,country_opex,3,FALSE))+W105+X105+Y105+Z105+AA105))&lt;=0,"",VLOOKUP(B105,country_opex,7,FALSE)/((T105*pax_cap*IF(B105="South Korea",korea_mid_load,load_mid)*IF(ABS(MOD(ABS((L105*M105*IF(B105="South Korea",korea_mid_revleg,revleg_mid))),1)-0.5)&lt;1E-9,2*ROUND((L105*M105*IF(B105="South Korea",korea_mid_revleg,revleg_mid))/2,0),ROUND((L105*M105*IF(B105="South Korea",korea_mid_revleg,revleg_mid)),0)))-(((battery/range_nm)*D105*IF(ABS(MOD(ABS((L105*M105*IF(B105="South Korea",korea_mid_revleg,revleg_mid))),1)-0.5)&lt;1E-9,2*ROUND((L105*M105*IF(B105="South Korea",korea_mid_revleg,revleg_mid))/2,0),ROUND((L105*M105*IF(B105="South Korea",korea_mid_revleg,revleg_mid)),0))*VLOOKUP(B105,country_opex,3,FALSE))+W105+X105+Y105+Z105+AA105)))</f>
        <v/>
      </c>
      <c r="AX105" s="45">
        <f>IF(((T105*pax_cap*load_full*IF(ABS(MOD(ABS((L105*M105*revleg_full)),1)-0.5)&lt;1E-9,2*ROUND((L105*M105*revleg_full)/2,0),ROUND((L105*M105*revleg_full),0)))-(((battery/range_nm)*D105*IF(ABS(MOD(ABS((L105*M105*revleg_full)),1)-0.5)&lt;1E-9,2*ROUND((L105*M105*revleg_full)/2,0),ROUND((L105*M105*revleg_full),0))*VLOOKUP(B105,country_opex,3,FALSE))+W105+X105+Y105+Z105+AA105))&lt;=0,"",VLOOKUP(B105,country_opex,7,FALSE)/((T105*pax_cap*load_full*IF(ABS(MOD(ABS((L105*M105*revleg_full)),1)-0.5)&lt;1E-9,2*ROUND((L105*M105*revleg_full)/2,0),ROUND((L105*M105*revleg_full),0)))-(((battery/range_nm)*D105*IF(ABS(MOD(ABS((L105*M105*revleg_full)),1)-0.5)&lt;1E-9,2*ROUND((L105*M105*revleg_full)/2,0),ROUND((L105*M105*revleg_full),0))*VLOOKUP(B105,country_opex,3,FALSE))+W105+X105+Y105+Z105+AA105)))</f>
        <v/>
      </c>
      <c r="AY105" s="46" t="inlineStr">
        <is>
          <t>PREMIUM scheduled per-seat = Alilauro/Caremar fast aliscafo Napoli(Beverello)-&gt;Ischia ~EUR 22-23 one-way (Alilauro EUR 22.20; Caremar EUR 20.40) x 1.08 = ~$25. (No island landing fee like Capri.)</t>
        </is>
      </c>
      <c r="AZ105" s="46" t="n"/>
      <c r="BA105" s="34" t="n"/>
    </row>
    <row r="106">
      <c r="A106" s="31" t="inlineStr">
        <is>
          <t>Bolt Italy</t>
        </is>
      </c>
      <c r="B106" s="31" t="inlineStr">
        <is>
          <t>Italy</t>
        </is>
      </c>
      <c r="C106" s="32" t="inlineStr">
        <is>
          <t>Portofino → Cinque Terre</t>
        </is>
      </c>
      <c r="D106" s="33" t="n">
        <v>22</v>
      </c>
      <c r="E106" s="27" t="n">
        <v>37.8</v>
      </c>
      <c r="F106" s="34" t="inlineStr">
        <is>
          <t>T2</t>
        </is>
      </c>
      <c r="G106" s="34" t="inlineStr">
        <is>
          <t>med</t>
        </is>
      </c>
      <c r="H106" s="20" t="n">
        <v>1</v>
      </c>
      <c r="I106" s="35">
        <f>60*D106/cruise_kt</f>
        <v/>
      </c>
      <c r="J106" s="35">
        <f>IF(B106="South Korea",D106/korea_charge_range_nm*korea_full_range_charge_min,0)</f>
        <v/>
      </c>
      <c r="K106" s="35">
        <f>IF(B106="South Korea",I106+korea_turn_min+korea_dwell_min+J106,I106+turn_min+dwell_min)</f>
        <v/>
      </c>
      <c r="L106" s="36">
        <f>IF(B106="South Korea",FLOOR(60*korea_service_hr/K106,1),MIN(15,FLOOR(60*service_hr/K106,1)))</f>
        <v/>
      </c>
      <c r="M106" s="36">
        <f>IF(ABS(MOD(ABS((365*mech_uptime*H106)),1)-0.5)&lt;1E-9,2*ROUND((365*mech_uptime*H106)/2,0),ROUND((365*mech_uptime*H106),0))</f>
        <v/>
      </c>
      <c r="N106" s="37">
        <f>mech_uptime</f>
        <v/>
      </c>
      <c r="O106" s="37">
        <f>IF(AND(B106="South Korea",scenario="MID"),korea_mid_revleg,revleg_sel)</f>
        <v/>
      </c>
      <c r="P106" s="36">
        <f>IF(ABS(MOD(ABS((L106*M106*O106)),1)-0.5)&lt;1E-9,2*ROUND((L106*M106*O106)/2,0),ROUND((L106*M106*O106),0))</f>
        <v/>
      </c>
      <c r="Q106" s="37">
        <f>IF(AND(B106="South Korea",scenario="MID"),korea_mid_load,load_sel)</f>
        <v/>
      </c>
      <c r="R106" s="38">
        <f>pax_cap*Q106</f>
        <v/>
      </c>
      <c r="S106" s="36">
        <f>R106*P106</f>
        <v/>
      </c>
      <c r="T106" s="39">
        <f>E106*discount</f>
        <v/>
      </c>
      <c r="U106" s="40">
        <f>T106*S106</f>
        <v/>
      </c>
      <c r="V106" s="40">
        <f>(battery/range_nm)*D106*P106*VLOOKUP(B106,country_opex,3,FALSE)</f>
        <v/>
      </c>
      <c r="W106" s="40">
        <f>VLOOKUP(B106,country_opex,2,FALSE)*crew_factor</f>
        <v/>
      </c>
      <c r="X106" s="40">
        <f>VLOOKUP(B106,country_opex,5,FALSE)</f>
        <v/>
      </c>
      <c r="Y106" s="40">
        <f>maint</f>
        <v/>
      </c>
      <c r="Z106" s="40">
        <f>VLOOKUP(B106,country_opex,7,FALSE)*ins_pct</f>
        <v/>
      </c>
      <c r="AA106" s="40">
        <f>charge_berth</f>
        <v/>
      </c>
      <c r="AB106" s="40">
        <f>V106+W106+X106+Y106+Z106+AA106</f>
        <v/>
      </c>
      <c r="AC106" s="40">
        <f>VLOOKUP(B106,country_opex,7,FALSE)/dep_years</f>
        <v/>
      </c>
      <c r="AD106" s="40">
        <f>U106-AB106</f>
        <v/>
      </c>
      <c r="AE106" s="37">
        <f>IF(U106=0,"",AD106/U106)</f>
        <v/>
      </c>
      <c r="AF106" s="38">
        <f>IF(AD106&lt;=0,"",VLOOKUP(B106,country_opex,7,FALSE)/AD106)</f>
        <v/>
      </c>
      <c r="AG106" s="35">
        <f>((D106*P106/diesel_nmpg)*diesel_co2pg-(battery/range_nm)*D106*P106*VLOOKUP(B106,country_opex,4,FALSE))/1000</f>
        <v/>
      </c>
      <c r="AH106" s="33" t="n">
        <v>40000</v>
      </c>
      <c r="AI106" s="34" t="n"/>
      <c r="AJ106" s="34" t="n"/>
      <c r="AK106" s="41" t="n">
        <v>0.1</v>
      </c>
      <c r="AL106" s="36">
        <f>IF(AH106="","",AH106*AK106)</f>
        <v/>
      </c>
      <c r="AM106" s="36">
        <f>IF(OR(AH106="",S106=0),"",MIN(IF(AU106="",9.9E+99,AU106),FLOOR(AL106/S106,1)))</f>
        <v/>
      </c>
      <c r="AN106" s="40">
        <f>IF(AM106="","",AM106*IF(ABS(MOD(ABS((U106)),1)-0.5)&lt;1E-9,2*ROUND((U106)/2,0),ROUND((U106),0)))</f>
        <v/>
      </c>
      <c r="AO106" s="38">
        <f>IF(OR(AH106="",S106=0),"",MIN(IF(AU106="",9.9E+99,AU106),AL106/S106))</f>
        <v/>
      </c>
      <c r="AP106" s="40">
        <f>IF(AO106="","",AO106*IF(B106="South Korea",IF(ABS(MOD(ABS((U106)),1)-0.5)&lt;1E-9,2*ROUND((U106)/2,0),ROUND((U106),0)),U106))</f>
        <v/>
      </c>
      <c r="AQ106" s="42" t="n"/>
      <c r="AR106" s="34" t="inlineStr">
        <is>
          <t>Estimated</t>
        </is>
      </c>
      <c r="AS106" s="43" t="n"/>
      <c r="AT106" s="43" t="n"/>
      <c r="AU106" s="44" t="n"/>
      <c r="AV106" s="45">
        <f>IF(((T106*pax_cap*load_thin*IF(ABS(MOD(ABS((L106*M106*revleg_thin)),1)-0.5)&lt;1E-9,2*ROUND((L106*M106*revleg_thin)/2,0),ROUND((L106*M106*revleg_thin),0)))-(((battery/range_nm)*D106*IF(ABS(MOD(ABS((L106*M106*revleg_thin)),1)-0.5)&lt;1E-9,2*ROUND((L106*M106*revleg_thin)/2,0),ROUND((L106*M106*revleg_thin),0))*VLOOKUP(B106,country_opex,3,FALSE))+W106+X106+Y106+Z106+AA106))&lt;=0,"",VLOOKUP(B106,country_opex,7,FALSE)/((T106*pax_cap*load_thin*IF(ABS(MOD(ABS((L106*M106*revleg_thin)),1)-0.5)&lt;1E-9,2*ROUND((L106*M106*revleg_thin)/2,0),ROUND((L106*M106*revleg_thin),0)))-(((battery/range_nm)*D106*IF(ABS(MOD(ABS((L106*M106*revleg_thin)),1)-0.5)&lt;1E-9,2*ROUND((L106*M106*revleg_thin)/2,0),ROUND((L106*M106*revleg_thin),0))*VLOOKUP(B106,country_opex,3,FALSE))+W106+X106+Y106+Z106+AA106)))</f>
        <v/>
      </c>
      <c r="AW106" s="45">
        <f>IF(((T106*pax_cap*IF(B106="South Korea",korea_mid_load,load_mid)*IF(ABS(MOD(ABS((L106*M106*IF(B106="South Korea",korea_mid_revleg,revleg_mid))),1)-0.5)&lt;1E-9,2*ROUND((L106*M106*IF(B106="South Korea",korea_mid_revleg,revleg_mid))/2,0),ROUND((L106*M106*IF(B106="South Korea",korea_mid_revleg,revleg_mid)),0)))-(((battery/range_nm)*D106*IF(ABS(MOD(ABS((L106*M106*IF(B106="South Korea",korea_mid_revleg,revleg_mid))),1)-0.5)&lt;1E-9,2*ROUND((L106*M106*IF(B106="South Korea",korea_mid_revleg,revleg_mid))/2,0),ROUND((L106*M106*IF(B106="South Korea",korea_mid_revleg,revleg_mid)),0))*VLOOKUP(B106,country_opex,3,FALSE))+W106+X106+Y106+Z106+AA106))&lt;=0,"",VLOOKUP(B106,country_opex,7,FALSE)/((T106*pax_cap*IF(B106="South Korea",korea_mid_load,load_mid)*IF(ABS(MOD(ABS((L106*M106*IF(B106="South Korea",korea_mid_revleg,revleg_mid))),1)-0.5)&lt;1E-9,2*ROUND((L106*M106*IF(B106="South Korea",korea_mid_revleg,revleg_mid))/2,0),ROUND((L106*M106*IF(B106="South Korea",korea_mid_revleg,revleg_mid)),0)))-(((battery/range_nm)*D106*IF(ABS(MOD(ABS((L106*M106*IF(B106="South Korea",korea_mid_revleg,revleg_mid))),1)-0.5)&lt;1E-9,2*ROUND((L106*M106*IF(B106="South Korea",korea_mid_revleg,revleg_mid))/2,0),ROUND((L106*M106*IF(B106="South Korea",korea_mid_revleg,revleg_mid)),0))*VLOOKUP(B106,country_opex,3,FALSE))+W106+X106+Y106+Z106+AA106)))</f>
        <v/>
      </c>
      <c r="AX106" s="45">
        <f>IF(((T106*pax_cap*load_full*IF(ABS(MOD(ABS((L106*M106*revleg_full)),1)-0.5)&lt;1E-9,2*ROUND((L106*M106*revleg_full)/2,0),ROUND((L106*M106*revleg_full),0)))-(((battery/range_nm)*D106*IF(ABS(MOD(ABS((L106*M106*revleg_full)),1)-0.5)&lt;1E-9,2*ROUND((L106*M106*revleg_full)/2,0),ROUND((L106*M106*revleg_full),0))*VLOOKUP(B106,country_opex,3,FALSE))+W106+X106+Y106+Z106+AA106))&lt;=0,"",VLOOKUP(B106,country_opex,7,FALSE)/((T106*pax_cap*load_full*IF(ABS(MOD(ABS((L106*M106*revleg_full)),1)-0.5)&lt;1E-9,2*ROUND((L106*M106*revleg_full)/2,0),ROUND((L106*M106*revleg_full),0)))-(((battery/range_nm)*D106*IF(ABS(MOD(ABS((L106*M106*revleg_full)),1)-0.5)&lt;1E-9,2*ROUND((L106*M106*revleg_full)/2,0),ROUND((L106*M106*revleg_full),0))*VLOOKUP(B106,country_opex,3,FALSE))+W106+X106+Y106+Z106+AA106)))</f>
        <v/>
      </c>
      <c r="AY106" s="46" t="inlineStr">
        <is>
          <t>PREMIUM scheduled per-seat: Golfo Paradiso Portofino-&gt;Cinque Terre EUR 35 one-way (A/R EUR 50) x 1.08 = ~$37.8.</t>
        </is>
      </c>
      <c r="AZ106" s="46" t="n"/>
      <c r="BA106" s="34" t="n"/>
    </row>
    <row r="107">
      <c r="A107" s="31" t="inlineStr">
        <is>
          <t>Bolt Lebanon</t>
        </is>
      </c>
      <c r="B107" s="31" t="inlineStr">
        <is>
          <t>Lebanon</t>
        </is>
      </c>
      <c r="C107" s="32" t="inlineStr">
        <is>
          <t>Jounieh → Byblos (Jbeil)</t>
        </is>
      </c>
      <c r="D107" s="33" t="n">
        <v>8.4</v>
      </c>
      <c r="E107" s="27" t="n">
        <v>55</v>
      </c>
      <c r="F107" s="34" t="inlineStr">
        <is>
          <t>T2</t>
        </is>
      </c>
      <c r="G107" s="34" t="inlineStr">
        <is>
          <t>med</t>
        </is>
      </c>
      <c r="H107" s="20" t="n">
        <v>1</v>
      </c>
      <c r="I107" s="35">
        <f>60*D107/cruise_kt</f>
        <v/>
      </c>
      <c r="J107" s="35">
        <f>IF(B107="South Korea",D107/korea_charge_range_nm*korea_full_range_charge_min,0)</f>
        <v/>
      </c>
      <c r="K107" s="35">
        <f>IF(B107="South Korea",I107+korea_turn_min+korea_dwell_min+J107,I107+turn_min+dwell_min)</f>
        <v/>
      </c>
      <c r="L107" s="36">
        <f>IF(B107="South Korea",FLOOR(60*korea_service_hr/K107,1),MIN(24,FLOOR(60*service_hr/K107,1)))</f>
        <v/>
      </c>
      <c r="M107" s="36">
        <f>IF(ABS(MOD(ABS((365*mech_uptime*H107)),1)-0.5)&lt;1E-9,2*ROUND((365*mech_uptime*H107)/2,0),ROUND((365*mech_uptime*H107),0))</f>
        <v/>
      </c>
      <c r="N107" s="37">
        <f>mech_uptime</f>
        <v/>
      </c>
      <c r="O107" s="37">
        <f>IF(AND(B107="South Korea",scenario="MID"),korea_mid_revleg,revleg_sel)</f>
        <v/>
      </c>
      <c r="P107" s="36">
        <f>IF(ABS(MOD(ABS((L107*M107*O107)),1)-0.5)&lt;1E-9,2*ROUND((L107*M107*O107)/2,0),ROUND((L107*M107*O107),0))</f>
        <v/>
      </c>
      <c r="Q107" s="37">
        <f>IF(AND(B107="South Korea",scenario="MID"),korea_mid_load,load_sel)</f>
        <v/>
      </c>
      <c r="R107" s="38">
        <f>pax_cap*Q107</f>
        <v/>
      </c>
      <c r="S107" s="36">
        <f>R107*P107</f>
        <v/>
      </c>
      <c r="T107" s="39">
        <f>E107*discount</f>
        <v/>
      </c>
      <c r="U107" s="40">
        <f>T107*S107</f>
        <v/>
      </c>
      <c r="V107" s="40">
        <f>(battery/range_nm)*D107*P107*VLOOKUP(B107,country_opex,3,FALSE)</f>
        <v/>
      </c>
      <c r="W107" s="40">
        <f>VLOOKUP(B107,country_opex,2,FALSE)*crew_factor</f>
        <v/>
      </c>
      <c r="X107" s="40">
        <f>VLOOKUP(B107,country_opex,5,FALSE)</f>
        <v/>
      </c>
      <c r="Y107" s="40">
        <f>maint</f>
        <v/>
      </c>
      <c r="Z107" s="40">
        <f>VLOOKUP(B107,country_opex,7,FALSE)*ins_pct</f>
        <v/>
      </c>
      <c r="AA107" s="40">
        <f>charge_berth</f>
        <v/>
      </c>
      <c r="AB107" s="40">
        <f>V107+W107+X107+Y107+Z107+AA107</f>
        <v/>
      </c>
      <c r="AC107" s="40">
        <f>VLOOKUP(B107,country_opex,7,FALSE)/dep_years</f>
        <v/>
      </c>
      <c r="AD107" s="40">
        <f>U107-AB107</f>
        <v/>
      </c>
      <c r="AE107" s="37">
        <f>IF(U107=0,"",AD107/U107)</f>
        <v/>
      </c>
      <c r="AF107" s="38">
        <f>IF(AD107&lt;=0,"",VLOOKUP(B107,country_opex,7,FALSE)/AD107)</f>
        <v/>
      </c>
      <c r="AG107" s="35">
        <f>((D107*P107/diesel_nmpg)*diesel_co2pg-(battery/range_nm)*D107*P107*VLOOKUP(B107,country_opex,4,FALSE))/1000</f>
        <v/>
      </c>
      <c r="AH107" s="33" t="n"/>
      <c r="AI107" s="34" t="n"/>
      <c r="AJ107" s="34" t="n"/>
      <c r="AK107" s="41" t="n">
        <v>0.1</v>
      </c>
      <c r="AL107" s="36">
        <f>IF(AH107="","",AH107*AK107)</f>
        <v/>
      </c>
      <c r="AM107" s="36">
        <f>IF(OR(AH107="",S107=0),"",MIN(IF(AU107="",9.9E+99,AU107),FLOOR(AL107/S107,1)))</f>
        <v/>
      </c>
      <c r="AN107" s="40">
        <f>IF(AM107="","",AM107*IF(ABS(MOD(ABS((U107)),1)-0.5)&lt;1E-9,2*ROUND((U107)/2,0),ROUND((U107),0)))</f>
        <v/>
      </c>
      <c r="AO107" s="38">
        <f>IF(OR(AH107="",S107=0),"",MIN(IF(AU107="",9.9E+99,AU107),AL107/S107))</f>
        <v/>
      </c>
      <c r="AP107" s="40">
        <f>IF(AO107="","",AO107*IF(B107="South Korea",IF(ABS(MOD(ABS((U107)),1)-0.5)&lt;1E-9,2*ROUND((U107)/2,0),ROUND((U107),0)),U107))</f>
        <v/>
      </c>
      <c r="AQ107" s="42" t="n"/>
      <c r="AR107" s="34" t="inlineStr">
        <is>
          <t>Estimated</t>
        </is>
      </c>
      <c r="AS107" s="43" t="n"/>
      <c r="AT107" s="43" t="n"/>
      <c r="AU107" s="44" t="n"/>
      <c r="AV107" s="45">
        <f>IF(((T107*pax_cap*load_thin*IF(ABS(MOD(ABS((L107*M107*revleg_thin)),1)-0.5)&lt;1E-9,2*ROUND((L107*M107*revleg_thin)/2,0),ROUND((L107*M107*revleg_thin),0)))-(((battery/range_nm)*D107*IF(ABS(MOD(ABS((L107*M107*revleg_thin)),1)-0.5)&lt;1E-9,2*ROUND((L107*M107*revleg_thin)/2,0),ROUND((L107*M107*revleg_thin),0))*VLOOKUP(B107,country_opex,3,FALSE))+W107+X107+Y107+Z107+AA107))&lt;=0,"",VLOOKUP(B107,country_opex,7,FALSE)/((T107*pax_cap*load_thin*IF(ABS(MOD(ABS((L107*M107*revleg_thin)),1)-0.5)&lt;1E-9,2*ROUND((L107*M107*revleg_thin)/2,0),ROUND((L107*M107*revleg_thin),0)))-(((battery/range_nm)*D107*IF(ABS(MOD(ABS((L107*M107*revleg_thin)),1)-0.5)&lt;1E-9,2*ROUND((L107*M107*revleg_thin)/2,0),ROUND((L107*M107*revleg_thin),0))*VLOOKUP(B107,country_opex,3,FALSE))+W107+X107+Y107+Z107+AA107)))</f>
        <v/>
      </c>
      <c r="AW107" s="45">
        <f>IF(((T107*pax_cap*IF(B107="South Korea",korea_mid_load,load_mid)*IF(ABS(MOD(ABS((L107*M107*IF(B107="South Korea",korea_mid_revleg,revleg_mid))),1)-0.5)&lt;1E-9,2*ROUND((L107*M107*IF(B107="South Korea",korea_mid_revleg,revleg_mid))/2,0),ROUND((L107*M107*IF(B107="South Korea",korea_mid_revleg,revleg_mid)),0)))-(((battery/range_nm)*D107*IF(ABS(MOD(ABS((L107*M107*IF(B107="South Korea",korea_mid_revleg,revleg_mid))),1)-0.5)&lt;1E-9,2*ROUND((L107*M107*IF(B107="South Korea",korea_mid_revleg,revleg_mid))/2,0),ROUND((L107*M107*IF(B107="South Korea",korea_mid_revleg,revleg_mid)),0))*VLOOKUP(B107,country_opex,3,FALSE))+W107+X107+Y107+Z107+AA107))&lt;=0,"",VLOOKUP(B107,country_opex,7,FALSE)/((T107*pax_cap*IF(B107="South Korea",korea_mid_load,load_mid)*IF(ABS(MOD(ABS((L107*M107*IF(B107="South Korea",korea_mid_revleg,revleg_mid))),1)-0.5)&lt;1E-9,2*ROUND((L107*M107*IF(B107="South Korea",korea_mid_revleg,revleg_mid))/2,0),ROUND((L107*M107*IF(B107="South Korea",korea_mid_revleg,revleg_mid)),0)))-(((battery/range_nm)*D107*IF(ABS(MOD(ABS((L107*M107*IF(B107="South Korea",korea_mid_revleg,revleg_mid))),1)-0.5)&lt;1E-9,2*ROUND((L107*M107*IF(B107="South Korea",korea_mid_revleg,revleg_mid))/2,0),ROUND((L107*M107*IF(B107="South Korea",korea_mid_revleg,revleg_mid)),0))*VLOOKUP(B107,country_opex,3,FALSE))+W107+X107+Y107+Z107+AA107)))</f>
        <v/>
      </c>
      <c r="AX107" s="45">
        <f>IF(((T107*pax_cap*load_full*IF(ABS(MOD(ABS((L107*M107*revleg_full)),1)-0.5)&lt;1E-9,2*ROUND((L107*M107*revleg_full)/2,0),ROUND((L107*M107*revleg_full),0)))-(((battery/range_nm)*D107*IF(ABS(MOD(ABS((L107*M107*revleg_full)),1)-0.5)&lt;1E-9,2*ROUND((L107*M107*revleg_full)/2,0),ROUND((L107*M107*revleg_full),0))*VLOOKUP(B107,country_opex,3,FALSE))+W107+X107+Y107+Z107+AA107))&lt;=0,"",VLOOKUP(B107,country_opex,7,FALSE)/((T107*pax_cap*load_full*IF(ABS(MOD(ABS((L107*M107*revleg_full)),1)-0.5)&lt;1E-9,2*ROUND((L107*M107*revleg_full)/2,0),ROUND((L107*M107*revleg_full),0)))-(((battery/range_nm)*D107*IF(ABS(MOD(ABS((L107*M107*revleg_full)),1)-0.5)&lt;1E-9,2*ROUND((L107*M107*revleg_full)/2,0),ROUND((L107*M107*revleg_full),0))*VLOOKUP(B107,country_opex,3,FALSE))+W107+X107+Y107+Z107+AA107)))</f>
        <v/>
      </c>
      <c r="AY107" s="46" t="inlineStr">
        <is>
          <t>PREMIUM/excursion proxy: shared Lebanese-coast sea cruise ~$55/seat (Zingy Ride). No scheduled service.</t>
        </is>
      </c>
      <c r="AZ107" s="46" t="n"/>
      <c r="BA107" s="34" t="n"/>
    </row>
    <row r="108">
      <c r="A108" s="31" t="inlineStr">
        <is>
          <t>Bolt Lebanon</t>
        </is>
      </c>
      <c r="B108" s="31" t="inlineStr">
        <is>
          <t>Lebanon</t>
        </is>
      </c>
      <c r="C108" s="32" t="inlineStr">
        <is>
          <t>Beirut Marina (Zaitunay Bay) → Jounieh</t>
        </is>
      </c>
      <c r="D108" s="33" t="n">
        <v>11</v>
      </c>
      <c r="E108" s="27" t="n">
        <v>55</v>
      </c>
      <c r="F108" s="34" t="inlineStr">
        <is>
          <t>T2</t>
        </is>
      </c>
      <c r="G108" s="34" t="inlineStr">
        <is>
          <t>med</t>
        </is>
      </c>
      <c r="H108" s="20" t="n">
        <v>1</v>
      </c>
      <c r="I108" s="35">
        <f>60*D108/cruise_kt</f>
        <v/>
      </c>
      <c r="J108" s="35">
        <f>IF(B108="South Korea",D108/korea_charge_range_nm*korea_full_range_charge_min,0)</f>
        <v/>
      </c>
      <c r="K108" s="35">
        <f>IF(B108="South Korea",I108+korea_turn_min+korea_dwell_min+J108,I108+turn_min+dwell_min)</f>
        <v/>
      </c>
      <c r="L108" s="36">
        <f>IF(B108="South Korea",FLOOR(60*korea_service_hr/K108,1),MIN(15,FLOOR(60*service_hr/K108,1)))</f>
        <v/>
      </c>
      <c r="M108" s="36">
        <f>IF(ABS(MOD(ABS((365*mech_uptime*H108)),1)-0.5)&lt;1E-9,2*ROUND((365*mech_uptime*H108)/2,0),ROUND((365*mech_uptime*H108),0))</f>
        <v/>
      </c>
      <c r="N108" s="37">
        <f>mech_uptime</f>
        <v/>
      </c>
      <c r="O108" s="37">
        <f>IF(AND(B108="South Korea",scenario="MID"),korea_mid_revleg,revleg_sel)</f>
        <v/>
      </c>
      <c r="P108" s="36">
        <f>IF(ABS(MOD(ABS((L108*M108*O108)),1)-0.5)&lt;1E-9,2*ROUND((L108*M108*O108)/2,0),ROUND((L108*M108*O108),0))</f>
        <v/>
      </c>
      <c r="Q108" s="37">
        <f>IF(AND(B108="South Korea",scenario="MID"),korea_mid_load,load_sel)</f>
        <v/>
      </c>
      <c r="R108" s="38">
        <f>pax_cap*Q108</f>
        <v/>
      </c>
      <c r="S108" s="36">
        <f>R108*P108</f>
        <v/>
      </c>
      <c r="T108" s="39">
        <f>E108*discount</f>
        <v/>
      </c>
      <c r="U108" s="40">
        <f>T108*S108</f>
        <v/>
      </c>
      <c r="V108" s="40">
        <f>(battery/range_nm)*D108*P108*VLOOKUP(B108,country_opex,3,FALSE)</f>
        <v/>
      </c>
      <c r="W108" s="40">
        <f>VLOOKUP(B108,country_opex,2,FALSE)*crew_factor</f>
        <v/>
      </c>
      <c r="X108" s="40">
        <f>VLOOKUP(B108,country_opex,5,FALSE)</f>
        <v/>
      </c>
      <c r="Y108" s="40">
        <f>maint</f>
        <v/>
      </c>
      <c r="Z108" s="40">
        <f>VLOOKUP(B108,country_opex,7,FALSE)*ins_pct</f>
        <v/>
      </c>
      <c r="AA108" s="40">
        <f>charge_berth</f>
        <v/>
      </c>
      <c r="AB108" s="40">
        <f>V108+W108+X108+Y108+Z108+AA108</f>
        <v/>
      </c>
      <c r="AC108" s="40">
        <f>VLOOKUP(B108,country_opex,7,FALSE)/dep_years</f>
        <v/>
      </c>
      <c r="AD108" s="40">
        <f>U108-AB108</f>
        <v/>
      </c>
      <c r="AE108" s="37">
        <f>IF(U108=0,"",AD108/U108)</f>
        <v/>
      </c>
      <c r="AF108" s="38">
        <f>IF(AD108&lt;=0,"",VLOOKUP(B108,country_opex,7,FALSE)/AD108)</f>
        <v/>
      </c>
      <c r="AG108" s="35">
        <f>((D108*P108/diesel_nmpg)*diesel_co2pg-(battery/range_nm)*D108*P108*VLOOKUP(B108,country_opex,4,FALSE))/1000</f>
        <v/>
      </c>
      <c r="AH108" s="33" t="n">
        <v>6132000</v>
      </c>
      <c r="AI108" s="34" t="n"/>
      <c r="AJ108" s="34" t="n"/>
      <c r="AK108" s="41" t="n">
        <v>0.1</v>
      </c>
      <c r="AL108" s="36">
        <f>IF(AH108="","",AH108*AK108)</f>
        <v/>
      </c>
      <c r="AM108" s="36">
        <f>IF(OR(AH108="",S108=0),"",MIN(IF(AU108="",9.9E+99,AU108),FLOOR(AL108/S108,1)))</f>
        <v/>
      </c>
      <c r="AN108" s="40">
        <f>IF(AM108="","",AM108*IF(ABS(MOD(ABS((U108)),1)-0.5)&lt;1E-9,2*ROUND((U108)/2,0),ROUND((U108),0)))</f>
        <v/>
      </c>
      <c r="AO108" s="38">
        <f>IF(OR(AH108="",S108=0),"",MIN(IF(AU108="",9.9E+99,AU108),AL108/S108))</f>
        <v/>
      </c>
      <c r="AP108" s="40">
        <f>IF(AO108="","",AO108*IF(B108="South Korea",IF(ABS(MOD(ABS((U108)),1)-0.5)&lt;1E-9,2*ROUND((U108)/2,0),ROUND((U108),0)),U108))</f>
        <v/>
      </c>
      <c r="AQ108" s="42" t="n"/>
      <c r="AR108" s="34" t="inlineStr">
        <is>
          <t>Estimated</t>
        </is>
      </c>
      <c r="AS108" s="43" t="n"/>
      <c r="AT108" s="43" t="n"/>
      <c r="AU108" s="44" t="n"/>
      <c r="AV108" s="45">
        <f>IF(((T108*pax_cap*load_thin*IF(ABS(MOD(ABS((L108*M108*revleg_thin)),1)-0.5)&lt;1E-9,2*ROUND((L108*M108*revleg_thin)/2,0),ROUND((L108*M108*revleg_thin),0)))-(((battery/range_nm)*D108*IF(ABS(MOD(ABS((L108*M108*revleg_thin)),1)-0.5)&lt;1E-9,2*ROUND((L108*M108*revleg_thin)/2,0),ROUND((L108*M108*revleg_thin),0))*VLOOKUP(B108,country_opex,3,FALSE))+W108+X108+Y108+Z108+AA108))&lt;=0,"",VLOOKUP(B108,country_opex,7,FALSE)/((T108*pax_cap*load_thin*IF(ABS(MOD(ABS((L108*M108*revleg_thin)),1)-0.5)&lt;1E-9,2*ROUND((L108*M108*revleg_thin)/2,0),ROUND((L108*M108*revleg_thin),0)))-(((battery/range_nm)*D108*IF(ABS(MOD(ABS((L108*M108*revleg_thin)),1)-0.5)&lt;1E-9,2*ROUND((L108*M108*revleg_thin)/2,0),ROUND((L108*M108*revleg_thin),0))*VLOOKUP(B108,country_opex,3,FALSE))+W108+X108+Y108+Z108+AA108)))</f>
        <v/>
      </c>
      <c r="AW108" s="45">
        <f>IF(((T108*pax_cap*IF(B108="South Korea",korea_mid_load,load_mid)*IF(ABS(MOD(ABS((L108*M108*IF(B108="South Korea",korea_mid_revleg,revleg_mid))),1)-0.5)&lt;1E-9,2*ROUND((L108*M108*IF(B108="South Korea",korea_mid_revleg,revleg_mid))/2,0),ROUND((L108*M108*IF(B108="South Korea",korea_mid_revleg,revleg_mid)),0)))-(((battery/range_nm)*D108*IF(ABS(MOD(ABS((L108*M108*IF(B108="South Korea",korea_mid_revleg,revleg_mid))),1)-0.5)&lt;1E-9,2*ROUND((L108*M108*IF(B108="South Korea",korea_mid_revleg,revleg_mid))/2,0),ROUND((L108*M108*IF(B108="South Korea",korea_mid_revleg,revleg_mid)),0))*VLOOKUP(B108,country_opex,3,FALSE))+W108+X108+Y108+Z108+AA108))&lt;=0,"",VLOOKUP(B108,country_opex,7,FALSE)/((T108*pax_cap*IF(B108="South Korea",korea_mid_load,load_mid)*IF(ABS(MOD(ABS((L108*M108*IF(B108="South Korea",korea_mid_revleg,revleg_mid))),1)-0.5)&lt;1E-9,2*ROUND((L108*M108*IF(B108="South Korea",korea_mid_revleg,revleg_mid))/2,0),ROUND((L108*M108*IF(B108="South Korea",korea_mid_revleg,revleg_mid)),0)))-(((battery/range_nm)*D108*IF(ABS(MOD(ABS((L108*M108*IF(B108="South Korea",korea_mid_revleg,revleg_mid))),1)-0.5)&lt;1E-9,2*ROUND((L108*M108*IF(B108="South Korea",korea_mid_revleg,revleg_mid))/2,0),ROUND((L108*M108*IF(B108="South Korea",korea_mid_revleg,revleg_mid)),0))*VLOOKUP(B108,country_opex,3,FALSE))+W108+X108+Y108+Z108+AA108)))</f>
        <v/>
      </c>
      <c r="AX108" s="45">
        <f>IF(((T108*pax_cap*load_full*IF(ABS(MOD(ABS((L108*M108*revleg_full)),1)-0.5)&lt;1E-9,2*ROUND((L108*M108*revleg_full)/2,0),ROUND((L108*M108*revleg_full),0)))-(((battery/range_nm)*D108*IF(ABS(MOD(ABS((L108*M108*revleg_full)),1)-0.5)&lt;1E-9,2*ROUND((L108*M108*revleg_full)/2,0),ROUND((L108*M108*revleg_full),0))*VLOOKUP(B108,country_opex,3,FALSE))+W108+X108+Y108+Z108+AA108))&lt;=0,"",VLOOKUP(B108,country_opex,7,FALSE)/((T108*pax_cap*load_full*IF(ABS(MOD(ABS((L108*M108*revleg_full)),1)-0.5)&lt;1E-9,2*ROUND((L108*M108*revleg_full)/2,0),ROUND((L108*M108*revleg_full),0)))-(((battery/range_nm)*D108*IF(ABS(MOD(ABS((L108*M108*revleg_full)),1)-0.5)&lt;1E-9,2*ROUND((L108*M108*revleg_full)/2,0),ROUND((L108*M108*revleg_full),0))*VLOOKUP(B108,country_opex,3,FALSE))+W108+X108+Y108+Z108+AA108)))</f>
        <v/>
      </c>
      <c r="AY108" s="46" t="inlineStr">
        <is>
          <t>PREMIUM/excursion proxy: scheduled SHARED Lebanese-coast sea cruise ~$50-60/person (Zingy Ride 'Lebanon Boat Trips' Beirut&lt;-&gt;Jounieh-Port route, $50/pax min 15 pax / $60/pax min 12 pax), midpoint ~$55/seat. No scheduled point-to-point water taxi exists, so this shared-cruise per-seat is the closest sourceable premium comparable - an EXCURSION fare, not a transfer fare; a true commuter shuttle seat would price below this. Charter context: Admiral Yachting Jounieh Bay ~$800/5h; semi-luxury boat $500 (1-8 pax).</t>
        </is>
      </c>
      <c r="AZ108" s="46" t="n"/>
      <c r="BA108" s="34" t="n"/>
    </row>
    <row r="109">
      <c r="A109" s="31" t="inlineStr">
        <is>
          <t>Bolt Lebanon</t>
        </is>
      </c>
      <c r="B109" s="31" t="inlineStr">
        <is>
          <t>Lebanon</t>
        </is>
      </c>
      <c r="C109" s="32" t="inlineStr">
        <is>
          <t>Beirut → Byblos (Jbeil)</t>
        </is>
      </c>
      <c r="D109" s="33" t="n">
        <v>15</v>
      </c>
      <c r="E109" s="27" t="n">
        <v>55</v>
      </c>
      <c r="F109" s="34" t="inlineStr">
        <is>
          <t>T2</t>
        </is>
      </c>
      <c r="G109" s="34" t="inlineStr">
        <is>
          <t>med</t>
        </is>
      </c>
      <c r="H109" s="20" t="n">
        <v>1</v>
      </c>
      <c r="I109" s="35">
        <f>60*D109/cruise_kt</f>
        <v/>
      </c>
      <c r="J109" s="35">
        <f>IF(B109="South Korea",D109/korea_charge_range_nm*korea_full_range_charge_min,0)</f>
        <v/>
      </c>
      <c r="K109" s="35">
        <f>IF(B109="South Korea",I109+korea_turn_min+korea_dwell_min+J109,I109+turn_min+dwell_min)</f>
        <v/>
      </c>
      <c r="L109" s="36">
        <f>IF(B109="South Korea",FLOOR(60*korea_service_hr/K109,1),MIN(24,FLOOR(60*service_hr/K109,1)))</f>
        <v/>
      </c>
      <c r="M109" s="36">
        <f>IF(ABS(MOD(ABS((365*mech_uptime*H109)),1)-0.5)&lt;1E-9,2*ROUND((365*mech_uptime*H109)/2,0),ROUND((365*mech_uptime*H109),0))</f>
        <v/>
      </c>
      <c r="N109" s="37">
        <f>mech_uptime</f>
        <v/>
      </c>
      <c r="O109" s="37">
        <f>IF(AND(B109="South Korea",scenario="MID"),korea_mid_revleg,revleg_sel)</f>
        <v/>
      </c>
      <c r="P109" s="36">
        <f>IF(ABS(MOD(ABS((L109*M109*O109)),1)-0.5)&lt;1E-9,2*ROUND((L109*M109*O109)/2,0),ROUND((L109*M109*O109),0))</f>
        <v/>
      </c>
      <c r="Q109" s="37">
        <f>IF(AND(B109="South Korea",scenario="MID"),korea_mid_load,load_sel)</f>
        <v/>
      </c>
      <c r="R109" s="38">
        <f>pax_cap*Q109</f>
        <v/>
      </c>
      <c r="S109" s="36">
        <f>R109*P109</f>
        <v/>
      </c>
      <c r="T109" s="39">
        <f>E109*discount</f>
        <v/>
      </c>
      <c r="U109" s="40">
        <f>T109*S109</f>
        <v/>
      </c>
      <c r="V109" s="40">
        <f>(battery/range_nm)*D109*P109*VLOOKUP(B109,country_opex,3,FALSE)</f>
        <v/>
      </c>
      <c r="W109" s="40">
        <f>VLOOKUP(B109,country_opex,2,FALSE)*crew_factor</f>
        <v/>
      </c>
      <c r="X109" s="40">
        <f>VLOOKUP(B109,country_opex,5,FALSE)</f>
        <v/>
      </c>
      <c r="Y109" s="40">
        <f>maint</f>
        <v/>
      </c>
      <c r="Z109" s="40">
        <f>VLOOKUP(B109,country_opex,7,FALSE)*ins_pct</f>
        <v/>
      </c>
      <c r="AA109" s="40">
        <f>charge_berth</f>
        <v/>
      </c>
      <c r="AB109" s="40">
        <f>V109+W109+X109+Y109+Z109+AA109</f>
        <v/>
      </c>
      <c r="AC109" s="40">
        <f>VLOOKUP(B109,country_opex,7,FALSE)/dep_years</f>
        <v/>
      </c>
      <c r="AD109" s="40">
        <f>U109-AB109</f>
        <v/>
      </c>
      <c r="AE109" s="37">
        <f>IF(U109=0,"",AD109/U109)</f>
        <v/>
      </c>
      <c r="AF109" s="38">
        <f>IF(AD109&lt;=0,"",VLOOKUP(B109,country_opex,7,FALSE)/AD109)</f>
        <v/>
      </c>
      <c r="AG109" s="35">
        <f>((D109*P109/diesel_nmpg)*diesel_co2pg-(battery/range_nm)*D109*P109*VLOOKUP(B109,country_opex,4,FALSE))/1000</f>
        <v/>
      </c>
      <c r="AH109" s="33" t="n"/>
      <c r="AI109" s="34" t="n"/>
      <c r="AJ109" s="34" t="n"/>
      <c r="AK109" s="41" t="n">
        <v>0.1</v>
      </c>
      <c r="AL109" s="36">
        <f>IF(AH109="","",AH109*AK109)</f>
        <v/>
      </c>
      <c r="AM109" s="36">
        <f>IF(OR(AH109="",S109=0),"",MIN(IF(AU109="",9.9E+99,AU109),FLOOR(AL109/S109,1)))</f>
        <v/>
      </c>
      <c r="AN109" s="40">
        <f>IF(AM109="","",AM109*IF(ABS(MOD(ABS((U109)),1)-0.5)&lt;1E-9,2*ROUND((U109)/2,0),ROUND((U109),0)))</f>
        <v/>
      </c>
      <c r="AO109" s="38">
        <f>IF(OR(AH109="",S109=0),"",MIN(IF(AU109="",9.9E+99,AU109),AL109/S109))</f>
        <v/>
      </c>
      <c r="AP109" s="40">
        <f>IF(AO109="","",AO109*IF(B109="South Korea",IF(ABS(MOD(ABS((U109)),1)-0.5)&lt;1E-9,2*ROUND((U109)/2,0),ROUND((U109),0)),U109))</f>
        <v/>
      </c>
      <c r="AQ109" s="42" t="n"/>
      <c r="AR109" s="34" t="inlineStr">
        <is>
          <t>Estimated</t>
        </is>
      </c>
      <c r="AS109" s="43" t="n"/>
      <c r="AT109" s="43" t="n"/>
      <c r="AU109" s="44" t="n"/>
      <c r="AV109" s="45">
        <f>IF(((T109*pax_cap*load_thin*IF(ABS(MOD(ABS((L109*M109*revleg_thin)),1)-0.5)&lt;1E-9,2*ROUND((L109*M109*revleg_thin)/2,0),ROUND((L109*M109*revleg_thin),0)))-(((battery/range_nm)*D109*IF(ABS(MOD(ABS((L109*M109*revleg_thin)),1)-0.5)&lt;1E-9,2*ROUND((L109*M109*revleg_thin)/2,0),ROUND((L109*M109*revleg_thin),0))*VLOOKUP(B109,country_opex,3,FALSE))+W109+X109+Y109+Z109+AA109))&lt;=0,"",VLOOKUP(B109,country_opex,7,FALSE)/((T109*pax_cap*load_thin*IF(ABS(MOD(ABS((L109*M109*revleg_thin)),1)-0.5)&lt;1E-9,2*ROUND((L109*M109*revleg_thin)/2,0),ROUND((L109*M109*revleg_thin),0)))-(((battery/range_nm)*D109*IF(ABS(MOD(ABS((L109*M109*revleg_thin)),1)-0.5)&lt;1E-9,2*ROUND((L109*M109*revleg_thin)/2,0),ROUND((L109*M109*revleg_thin),0))*VLOOKUP(B109,country_opex,3,FALSE))+W109+X109+Y109+Z109+AA109)))</f>
        <v/>
      </c>
      <c r="AW109" s="45">
        <f>IF(((T109*pax_cap*IF(B109="South Korea",korea_mid_load,load_mid)*IF(ABS(MOD(ABS((L109*M109*IF(B109="South Korea",korea_mid_revleg,revleg_mid))),1)-0.5)&lt;1E-9,2*ROUND((L109*M109*IF(B109="South Korea",korea_mid_revleg,revleg_mid))/2,0),ROUND((L109*M109*IF(B109="South Korea",korea_mid_revleg,revleg_mid)),0)))-(((battery/range_nm)*D109*IF(ABS(MOD(ABS((L109*M109*IF(B109="South Korea",korea_mid_revleg,revleg_mid))),1)-0.5)&lt;1E-9,2*ROUND((L109*M109*IF(B109="South Korea",korea_mid_revleg,revleg_mid))/2,0),ROUND((L109*M109*IF(B109="South Korea",korea_mid_revleg,revleg_mid)),0))*VLOOKUP(B109,country_opex,3,FALSE))+W109+X109+Y109+Z109+AA109))&lt;=0,"",VLOOKUP(B109,country_opex,7,FALSE)/((T109*pax_cap*IF(B109="South Korea",korea_mid_load,load_mid)*IF(ABS(MOD(ABS((L109*M109*IF(B109="South Korea",korea_mid_revleg,revleg_mid))),1)-0.5)&lt;1E-9,2*ROUND((L109*M109*IF(B109="South Korea",korea_mid_revleg,revleg_mid))/2,0),ROUND((L109*M109*IF(B109="South Korea",korea_mid_revleg,revleg_mid)),0)))-(((battery/range_nm)*D109*IF(ABS(MOD(ABS((L109*M109*IF(B109="South Korea",korea_mid_revleg,revleg_mid))),1)-0.5)&lt;1E-9,2*ROUND((L109*M109*IF(B109="South Korea",korea_mid_revleg,revleg_mid))/2,0),ROUND((L109*M109*IF(B109="South Korea",korea_mid_revleg,revleg_mid)),0))*VLOOKUP(B109,country_opex,3,FALSE))+W109+X109+Y109+Z109+AA109)))</f>
        <v/>
      </c>
      <c r="AX109" s="45">
        <f>IF(((T109*pax_cap*load_full*IF(ABS(MOD(ABS((L109*M109*revleg_full)),1)-0.5)&lt;1E-9,2*ROUND((L109*M109*revleg_full)/2,0),ROUND((L109*M109*revleg_full),0)))-(((battery/range_nm)*D109*IF(ABS(MOD(ABS((L109*M109*revleg_full)),1)-0.5)&lt;1E-9,2*ROUND((L109*M109*revleg_full)/2,0),ROUND((L109*M109*revleg_full),0))*VLOOKUP(B109,country_opex,3,FALSE))+W109+X109+Y109+Z109+AA109))&lt;=0,"",VLOOKUP(B109,country_opex,7,FALSE)/((T109*pax_cap*load_full*IF(ABS(MOD(ABS((L109*M109*revleg_full)),1)-0.5)&lt;1E-9,2*ROUND((L109*M109*revleg_full)/2,0),ROUND((L109*M109*revleg_full),0)))-(((battery/range_nm)*D109*IF(ABS(MOD(ABS((L109*M109*revleg_full)),1)-0.5)&lt;1E-9,2*ROUND((L109*M109*revleg_full)/2,0),ROUND((L109*M109*revleg_full),0))*VLOOKUP(B109,country_opex,3,FALSE))+W109+X109+Y109+Z109+AA109)))</f>
        <v/>
      </c>
      <c r="AY109" s="46" t="inlineStr">
        <is>
          <t>PREMIUM/excursion proxy: shared Lebanese-coast sea cruise ~$55/seat (Zingy Ride). Byblos-specific charter context: GetYourGuide Byblos boat/yacht rental from $350/group up to 10 (~$35/seat). No scheduled service on this leg.</t>
        </is>
      </c>
      <c r="AZ109" s="46" t="n"/>
      <c r="BA109" s="34" t="n"/>
    </row>
    <row r="110">
      <c r="A110" s="31" t="inlineStr">
        <is>
          <t>Bolt Lebanon</t>
        </is>
      </c>
      <c r="B110" s="31" t="inlineStr">
        <is>
          <t>Lebanon</t>
        </is>
      </c>
      <c r="C110" s="32" t="inlineStr">
        <is>
          <t>Beirut → Sidon (Saida)</t>
        </is>
      </c>
      <c r="D110" s="33" t="n">
        <v>22</v>
      </c>
      <c r="E110" s="27" t="n">
        <v>55</v>
      </c>
      <c r="F110" s="34" t="inlineStr">
        <is>
          <t>T2</t>
        </is>
      </c>
      <c r="G110" s="34" t="inlineStr">
        <is>
          <t>med</t>
        </is>
      </c>
      <c r="H110" s="20" t="n">
        <v>1</v>
      </c>
      <c r="I110" s="35">
        <f>60*D110/cruise_kt</f>
        <v/>
      </c>
      <c r="J110" s="35">
        <f>IF(B110="South Korea",D110/korea_charge_range_nm*korea_full_range_charge_min,0)</f>
        <v/>
      </c>
      <c r="K110" s="35">
        <f>IF(B110="South Korea",I110+korea_turn_min+korea_dwell_min+J110,I110+turn_min+dwell_min)</f>
        <v/>
      </c>
      <c r="L110" s="36">
        <f>IF(B110="South Korea",FLOOR(60*korea_service_hr/K110,1),MIN(24,FLOOR(60*service_hr/K110,1)))</f>
        <v/>
      </c>
      <c r="M110" s="36">
        <f>IF(ABS(MOD(ABS((365*mech_uptime*H110)),1)-0.5)&lt;1E-9,2*ROUND((365*mech_uptime*H110)/2,0),ROUND((365*mech_uptime*H110),0))</f>
        <v/>
      </c>
      <c r="N110" s="37">
        <f>mech_uptime</f>
        <v/>
      </c>
      <c r="O110" s="37">
        <f>IF(AND(B110="South Korea",scenario="MID"),korea_mid_revleg,revleg_sel)</f>
        <v/>
      </c>
      <c r="P110" s="36">
        <f>IF(ABS(MOD(ABS((L110*M110*O110)),1)-0.5)&lt;1E-9,2*ROUND((L110*M110*O110)/2,0),ROUND((L110*M110*O110),0))</f>
        <v/>
      </c>
      <c r="Q110" s="37">
        <f>IF(AND(B110="South Korea",scenario="MID"),korea_mid_load,load_sel)</f>
        <v/>
      </c>
      <c r="R110" s="38">
        <f>pax_cap*Q110</f>
        <v/>
      </c>
      <c r="S110" s="36">
        <f>R110*P110</f>
        <v/>
      </c>
      <c r="T110" s="39">
        <f>E110*discount</f>
        <v/>
      </c>
      <c r="U110" s="40">
        <f>T110*S110</f>
        <v/>
      </c>
      <c r="V110" s="40">
        <f>(battery/range_nm)*D110*P110*VLOOKUP(B110,country_opex,3,FALSE)</f>
        <v/>
      </c>
      <c r="W110" s="40">
        <f>VLOOKUP(B110,country_opex,2,FALSE)*crew_factor</f>
        <v/>
      </c>
      <c r="X110" s="40">
        <f>VLOOKUP(B110,country_opex,5,FALSE)</f>
        <v/>
      </c>
      <c r="Y110" s="40">
        <f>maint</f>
        <v/>
      </c>
      <c r="Z110" s="40">
        <f>VLOOKUP(B110,country_opex,7,FALSE)*ins_pct</f>
        <v/>
      </c>
      <c r="AA110" s="40">
        <f>charge_berth</f>
        <v/>
      </c>
      <c r="AB110" s="40">
        <f>V110+W110+X110+Y110+Z110+AA110</f>
        <v/>
      </c>
      <c r="AC110" s="40">
        <f>VLOOKUP(B110,country_opex,7,FALSE)/dep_years</f>
        <v/>
      </c>
      <c r="AD110" s="40">
        <f>U110-AB110</f>
        <v/>
      </c>
      <c r="AE110" s="37">
        <f>IF(U110=0,"",AD110/U110)</f>
        <v/>
      </c>
      <c r="AF110" s="38">
        <f>IF(AD110&lt;=0,"",VLOOKUP(B110,country_opex,7,FALSE)/AD110)</f>
        <v/>
      </c>
      <c r="AG110" s="35">
        <f>((D110*P110/diesel_nmpg)*diesel_co2pg-(battery/range_nm)*D110*P110*VLOOKUP(B110,country_opex,4,FALSE))/1000</f>
        <v/>
      </c>
      <c r="AH110" s="33" t="n">
        <v>2207520</v>
      </c>
      <c r="AI110" s="34" t="n"/>
      <c r="AJ110" s="34" t="n"/>
      <c r="AK110" s="41" t="n">
        <v>0.1</v>
      </c>
      <c r="AL110" s="36">
        <f>IF(AH110="","",AH110*AK110)</f>
        <v/>
      </c>
      <c r="AM110" s="36">
        <f>IF(OR(AH110="",S110=0),"",MIN(IF(AU110="",9.9E+99,AU110),FLOOR(AL110/S110,1)))</f>
        <v/>
      </c>
      <c r="AN110" s="40">
        <f>IF(AM110="","",AM110*IF(ABS(MOD(ABS((U110)),1)-0.5)&lt;1E-9,2*ROUND((U110)/2,0),ROUND((U110),0)))</f>
        <v/>
      </c>
      <c r="AO110" s="38">
        <f>IF(OR(AH110="",S110=0),"",MIN(IF(AU110="",9.9E+99,AU110),AL110/S110))</f>
        <v/>
      </c>
      <c r="AP110" s="40">
        <f>IF(AO110="","",AO110*IF(B110="South Korea",IF(ABS(MOD(ABS((U110)),1)-0.5)&lt;1E-9,2*ROUND((U110)/2,0),ROUND((U110),0)),U110))</f>
        <v/>
      </c>
      <c r="AQ110" s="42" t="n"/>
      <c r="AR110" s="34" t="inlineStr">
        <is>
          <t>Estimated</t>
        </is>
      </c>
      <c r="AS110" s="43" t="n"/>
      <c r="AT110" s="43" t="n"/>
      <c r="AU110" s="44" t="n"/>
      <c r="AV110" s="45">
        <f>IF(((T110*pax_cap*load_thin*IF(ABS(MOD(ABS((L110*M110*revleg_thin)),1)-0.5)&lt;1E-9,2*ROUND((L110*M110*revleg_thin)/2,0),ROUND((L110*M110*revleg_thin),0)))-(((battery/range_nm)*D110*IF(ABS(MOD(ABS((L110*M110*revleg_thin)),1)-0.5)&lt;1E-9,2*ROUND((L110*M110*revleg_thin)/2,0),ROUND((L110*M110*revleg_thin),0))*VLOOKUP(B110,country_opex,3,FALSE))+W110+X110+Y110+Z110+AA110))&lt;=0,"",VLOOKUP(B110,country_opex,7,FALSE)/((T110*pax_cap*load_thin*IF(ABS(MOD(ABS((L110*M110*revleg_thin)),1)-0.5)&lt;1E-9,2*ROUND((L110*M110*revleg_thin)/2,0),ROUND((L110*M110*revleg_thin),0)))-(((battery/range_nm)*D110*IF(ABS(MOD(ABS((L110*M110*revleg_thin)),1)-0.5)&lt;1E-9,2*ROUND((L110*M110*revleg_thin)/2,0),ROUND((L110*M110*revleg_thin),0))*VLOOKUP(B110,country_opex,3,FALSE))+W110+X110+Y110+Z110+AA110)))</f>
        <v/>
      </c>
      <c r="AW110" s="45">
        <f>IF(((T110*pax_cap*IF(B110="South Korea",korea_mid_load,load_mid)*IF(ABS(MOD(ABS((L110*M110*IF(B110="South Korea",korea_mid_revleg,revleg_mid))),1)-0.5)&lt;1E-9,2*ROUND((L110*M110*IF(B110="South Korea",korea_mid_revleg,revleg_mid))/2,0),ROUND((L110*M110*IF(B110="South Korea",korea_mid_revleg,revleg_mid)),0)))-(((battery/range_nm)*D110*IF(ABS(MOD(ABS((L110*M110*IF(B110="South Korea",korea_mid_revleg,revleg_mid))),1)-0.5)&lt;1E-9,2*ROUND((L110*M110*IF(B110="South Korea",korea_mid_revleg,revleg_mid))/2,0),ROUND((L110*M110*IF(B110="South Korea",korea_mid_revleg,revleg_mid)),0))*VLOOKUP(B110,country_opex,3,FALSE))+W110+X110+Y110+Z110+AA110))&lt;=0,"",VLOOKUP(B110,country_opex,7,FALSE)/((T110*pax_cap*IF(B110="South Korea",korea_mid_load,load_mid)*IF(ABS(MOD(ABS((L110*M110*IF(B110="South Korea",korea_mid_revleg,revleg_mid))),1)-0.5)&lt;1E-9,2*ROUND((L110*M110*IF(B110="South Korea",korea_mid_revleg,revleg_mid))/2,0),ROUND((L110*M110*IF(B110="South Korea",korea_mid_revleg,revleg_mid)),0)))-(((battery/range_nm)*D110*IF(ABS(MOD(ABS((L110*M110*IF(B110="South Korea",korea_mid_revleg,revleg_mid))),1)-0.5)&lt;1E-9,2*ROUND((L110*M110*IF(B110="South Korea",korea_mid_revleg,revleg_mid))/2,0),ROUND((L110*M110*IF(B110="South Korea",korea_mid_revleg,revleg_mid)),0))*VLOOKUP(B110,country_opex,3,FALSE))+W110+X110+Y110+Z110+AA110)))</f>
        <v/>
      </c>
      <c r="AX110" s="45">
        <f>IF(((T110*pax_cap*load_full*IF(ABS(MOD(ABS((L110*M110*revleg_full)),1)-0.5)&lt;1E-9,2*ROUND((L110*M110*revleg_full)/2,0),ROUND((L110*M110*revleg_full),0)))-(((battery/range_nm)*D110*IF(ABS(MOD(ABS((L110*M110*revleg_full)),1)-0.5)&lt;1E-9,2*ROUND((L110*M110*revleg_full)/2,0),ROUND((L110*M110*revleg_full),0))*VLOOKUP(B110,country_opex,3,FALSE))+W110+X110+Y110+Z110+AA110))&lt;=0,"",VLOOKUP(B110,country_opex,7,FALSE)/((T110*pax_cap*load_full*IF(ABS(MOD(ABS((L110*M110*revleg_full)),1)-0.5)&lt;1E-9,2*ROUND((L110*M110*revleg_full)/2,0),ROUND((L110*M110*revleg_full),0)))-(((battery/range_nm)*D110*IF(ABS(MOD(ABS((L110*M110*revleg_full)),1)-0.5)&lt;1E-9,2*ROUND((L110*M110*revleg_full)/2,0),ROUND((L110*M110*revleg_full),0))*VLOOKUP(B110,country_opex,3,FALSE))+W110+X110+Y110+Z110+AA110)))</f>
        <v/>
      </c>
      <c r="AY110" s="46" t="inlineStr">
        <is>
          <t>PREMIUM/excursion proxy (generic): shared Lebanese-coast sea cruise ~$55/seat (Zingy Ride) used as the only sourceable premium per-seat; no Sidon-specific scheduled cruise was sourced and the affluent-north cruise fare may overstate the lower-tourism south -&gt; treat as a soft proxy.</t>
        </is>
      </c>
      <c r="AZ110" s="46" t="n"/>
      <c r="BA110" s="34" t="n"/>
    </row>
    <row r="111">
      <c r="A111" s="31" t="inlineStr">
        <is>
          <t>Bolt Lebanon</t>
        </is>
      </c>
      <c r="B111" s="31" t="inlineStr">
        <is>
          <t>Lebanon</t>
        </is>
      </c>
      <c r="C111" s="32" t="inlineStr">
        <is>
          <t>Beirut → Tripoli (El Mina)</t>
        </is>
      </c>
      <c r="D111" s="33" t="n">
        <v>36.5</v>
      </c>
      <c r="E111" s="27" t="n"/>
      <c r="F111" s="34" t="n"/>
      <c r="G111" s="34" t="n"/>
      <c r="H111" s="20" t="n">
        <v>1</v>
      </c>
      <c r="I111" s="35">
        <f>60*D111/cruise_kt</f>
        <v/>
      </c>
      <c r="J111" s="35">
        <f>IF(B111="South Korea",D111/korea_charge_range_nm*korea_full_range_charge_min,0)</f>
        <v/>
      </c>
      <c r="K111" s="35">
        <f>IF(B111="South Korea",I111+korea_turn_min+korea_dwell_min+J111,I111+turn_min+dwell_min)</f>
        <v/>
      </c>
      <c r="L111" s="36">
        <f>IF(B111="South Korea",FLOOR(60*korea_service_hr/K111,1),MIN(24,FLOOR(60*service_hr/K111,1)))</f>
        <v/>
      </c>
      <c r="M111" s="36">
        <f>IF(ABS(MOD(ABS((365*mech_uptime*H111)),1)-0.5)&lt;1E-9,2*ROUND((365*mech_uptime*H111)/2,0),ROUND((365*mech_uptime*H111),0))</f>
        <v/>
      </c>
      <c r="N111" s="37">
        <f>mech_uptime</f>
        <v/>
      </c>
      <c r="O111" s="37">
        <f>IF(AND(B111="South Korea",scenario="MID"),korea_mid_revleg,revleg_sel)</f>
        <v/>
      </c>
      <c r="P111" s="36">
        <f>IF(ABS(MOD(ABS((L111*M111*O111)),1)-0.5)&lt;1E-9,2*ROUND((L111*M111*O111)/2,0),ROUND((L111*M111*O111),0))</f>
        <v/>
      </c>
      <c r="Q111" s="37">
        <f>IF(AND(B111="South Korea",scenario="MID"),korea_mid_load,load_sel)</f>
        <v/>
      </c>
      <c r="R111" s="38">
        <f>pax_cap*Q111</f>
        <v/>
      </c>
      <c r="S111" s="36">
        <f>R111*P111</f>
        <v/>
      </c>
      <c r="T111" s="39">
        <f>E111*discount</f>
        <v/>
      </c>
      <c r="U111" s="40">
        <f>T111*S111</f>
        <v/>
      </c>
      <c r="V111" s="40">
        <f>(battery/range_nm)*D111*P111*VLOOKUP(B111,country_opex,3,FALSE)</f>
        <v/>
      </c>
      <c r="W111" s="40">
        <f>VLOOKUP(B111,country_opex,2,FALSE)*crew_factor</f>
        <v/>
      </c>
      <c r="X111" s="40">
        <f>VLOOKUP(B111,country_opex,5,FALSE)</f>
        <v/>
      </c>
      <c r="Y111" s="40">
        <f>maint</f>
        <v/>
      </c>
      <c r="Z111" s="40">
        <f>VLOOKUP(B111,country_opex,7,FALSE)*ins_pct</f>
        <v/>
      </c>
      <c r="AA111" s="40">
        <f>charge_berth</f>
        <v/>
      </c>
      <c r="AB111" s="40">
        <f>V111+W111+X111+Y111+Z111+AA111</f>
        <v/>
      </c>
      <c r="AC111" s="40">
        <f>VLOOKUP(B111,country_opex,7,FALSE)/dep_years</f>
        <v/>
      </c>
      <c r="AD111" s="40">
        <f>U111-AB111</f>
        <v/>
      </c>
      <c r="AE111" s="37">
        <f>IF(U111=0,"",AD111/U111)</f>
        <v/>
      </c>
      <c r="AF111" s="38">
        <f>IF(AD111&lt;=0,"",VLOOKUP(B111,country_opex,7,FALSE)/AD111)</f>
        <v/>
      </c>
      <c r="AG111" s="35">
        <f>((D111*P111/diesel_nmpg)*diesel_co2pg-(battery/range_nm)*D111*P111*VLOOKUP(B111,country_opex,4,FALSE))/1000</f>
        <v/>
      </c>
      <c r="AH111" s="33" t="n"/>
      <c r="AI111" s="34" t="n"/>
      <c r="AJ111" s="34" t="n"/>
      <c r="AK111" s="41" t="n">
        <v>0.1</v>
      </c>
      <c r="AL111" s="36">
        <f>IF(AH111="","",AH111*AK111)</f>
        <v/>
      </c>
      <c r="AM111" s="36">
        <f>IF(OR(AH111="",S111=0),"",MIN(IF(AU111="",9.9E+99,AU111),FLOOR(AL111/S111,1)))</f>
        <v/>
      </c>
      <c r="AN111" s="40">
        <f>IF(AM111="","",AM111*IF(ABS(MOD(ABS((U111)),1)-0.5)&lt;1E-9,2*ROUND((U111)/2,0),ROUND((U111),0)))</f>
        <v/>
      </c>
      <c r="AO111" s="38">
        <f>IF(OR(AH111="",S111=0),"",MIN(IF(AU111="",9.9E+99,AU111),AL111/S111))</f>
        <v/>
      </c>
      <c r="AP111" s="40">
        <f>IF(AO111="","",AO111*IF(B111="South Korea",IF(ABS(MOD(ABS((U111)),1)-0.5)&lt;1E-9,2*ROUND((U111)/2,0),ROUND((U111),0)),U111))</f>
        <v/>
      </c>
      <c r="AQ111" s="42" t="n"/>
      <c r="AR111" s="34" t="inlineStr">
        <is>
          <t>Estimated</t>
        </is>
      </c>
      <c r="AS111" s="43" t="n"/>
      <c r="AT111" s="43" t="n"/>
      <c r="AU111" s="44" t="n"/>
      <c r="AV111" s="45">
        <f>IF(((T111*pax_cap*load_thin*IF(ABS(MOD(ABS((L111*M111*revleg_thin)),1)-0.5)&lt;1E-9,2*ROUND((L111*M111*revleg_thin)/2,0),ROUND((L111*M111*revleg_thin),0)))-(((battery/range_nm)*D111*IF(ABS(MOD(ABS((L111*M111*revleg_thin)),1)-0.5)&lt;1E-9,2*ROUND((L111*M111*revleg_thin)/2,0),ROUND((L111*M111*revleg_thin),0))*VLOOKUP(B111,country_opex,3,FALSE))+W111+X111+Y111+Z111+AA111))&lt;=0,"",VLOOKUP(B111,country_opex,7,FALSE)/((T111*pax_cap*load_thin*IF(ABS(MOD(ABS((L111*M111*revleg_thin)),1)-0.5)&lt;1E-9,2*ROUND((L111*M111*revleg_thin)/2,0),ROUND((L111*M111*revleg_thin),0)))-(((battery/range_nm)*D111*IF(ABS(MOD(ABS((L111*M111*revleg_thin)),1)-0.5)&lt;1E-9,2*ROUND((L111*M111*revleg_thin)/2,0),ROUND((L111*M111*revleg_thin),0))*VLOOKUP(B111,country_opex,3,FALSE))+W111+X111+Y111+Z111+AA111)))</f>
        <v/>
      </c>
      <c r="AW111" s="45">
        <f>IF(((T111*pax_cap*IF(B111="South Korea",korea_mid_load,load_mid)*IF(ABS(MOD(ABS((L111*M111*IF(B111="South Korea",korea_mid_revleg,revleg_mid))),1)-0.5)&lt;1E-9,2*ROUND((L111*M111*IF(B111="South Korea",korea_mid_revleg,revleg_mid))/2,0),ROUND((L111*M111*IF(B111="South Korea",korea_mid_revleg,revleg_mid)),0)))-(((battery/range_nm)*D111*IF(ABS(MOD(ABS((L111*M111*IF(B111="South Korea",korea_mid_revleg,revleg_mid))),1)-0.5)&lt;1E-9,2*ROUND((L111*M111*IF(B111="South Korea",korea_mid_revleg,revleg_mid))/2,0),ROUND((L111*M111*IF(B111="South Korea",korea_mid_revleg,revleg_mid)),0))*VLOOKUP(B111,country_opex,3,FALSE))+W111+X111+Y111+Z111+AA111))&lt;=0,"",VLOOKUP(B111,country_opex,7,FALSE)/((T111*pax_cap*IF(B111="South Korea",korea_mid_load,load_mid)*IF(ABS(MOD(ABS((L111*M111*IF(B111="South Korea",korea_mid_revleg,revleg_mid))),1)-0.5)&lt;1E-9,2*ROUND((L111*M111*IF(B111="South Korea",korea_mid_revleg,revleg_mid))/2,0),ROUND((L111*M111*IF(B111="South Korea",korea_mid_revleg,revleg_mid)),0)))-(((battery/range_nm)*D111*IF(ABS(MOD(ABS((L111*M111*IF(B111="South Korea",korea_mid_revleg,revleg_mid))),1)-0.5)&lt;1E-9,2*ROUND((L111*M111*IF(B111="South Korea",korea_mid_revleg,revleg_mid))/2,0),ROUND((L111*M111*IF(B111="South Korea",korea_mid_revleg,revleg_mid)),0))*VLOOKUP(B111,country_opex,3,FALSE))+W111+X111+Y111+Z111+AA111)))</f>
        <v/>
      </c>
      <c r="AX111" s="45">
        <f>IF(((T111*pax_cap*load_full*IF(ABS(MOD(ABS((L111*M111*revleg_full)),1)-0.5)&lt;1E-9,2*ROUND((L111*M111*revleg_full)/2,0),ROUND((L111*M111*revleg_full),0)))-(((battery/range_nm)*D111*IF(ABS(MOD(ABS((L111*M111*revleg_full)),1)-0.5)&lt;1E-9,2*ROUND((L111*M111*revleg_full)/2,0),ROUND((L111*M111*revleg_full),0))*VLOOKUP(B111,country_opex,3,FALSE))+W111+X111+Y111+Z111+AA111))&lt;=0,"",VLOOKUP(B111,country_opex,7,FALSE)/((T111*pax_cap*load_full*IF(ABS(MOD(ABS((L111*M111*revleg_full)),1)-0.5)&lt;1E-9,2*ROUND((L111*M111*revleg_full)/2,0),ROUND((L111*M111*revleg_full),0)))-(((battery/range_nm)*D111*IF(ABS(MOD(ABS((L111*M111*revleg_full)),1)-0.5)&lt;1E-9,2*ROUND((L111*M111*revleg_full)/2,0),ROUND((L111*M111*revleg_full),0))*VLOOKUP(B111,country_opex,3,FALSE))+W111+X111+Y111+Z111+AA111)))</f>
        <v/>
      </c>
      <c r="AY111" s="46" t="n"/>
      <c r="AZ111" s="46" t="n"/>
      <c r="BA111" s="34" t="n"/>
    </row>
    <row r="112">
      <c r="A112" s="31" t="inlineStr">
        <is>
          <t>Bolt Portugal</t>
        </is>
      </c>
      <c r="B112" s="31" t="inlineStr">
        <is>
          <t>Portugal</t>
        </is>
      </c>
      <c r="C112" s="32" t="inlineStr">
        <is>
          <t>Porto (Cais da Ribeira) → Vila Nova de Gaia (Cais de Gaia)</t>
        </is>
      </c>
      <c r="D112" s="33" t="n">
        <v>0.2</v>
      </c>
      <c r="E112" s="27" t="n">
        <v>17.8</v>
      </c>
      <c r="F112" s="34" t="inlineStr">
        <is>
          <t>T2</t>
        </is>
      </c>
      <c r="G112" s="34" t="inlineStr">
        <is>
          <t>med</t>
        </is>
      </c>
      <c r="H112" s="20" t="n">
        <v>1</v>
      </c>
      <c r="I112" s="35">
        <f>60*D112/cruise_kt</f>
        <v/>
      </c>
      <c r="J112" s="35">
        <f>IF(B112="South Korea",D112/korea_charge_range_nm*korea_full_range_charge_min,0)</f>
        <v/>
      </c>
      <c r="K112" s="35">
        <f>IF(B112="South Korea",I112+korea_turn_min+korea_dwell_min+J112,I112+turn_min+dwell_min)</f>
        <v/>
      </c>
      <c r="L112" s="36">
        <f>IF(B112="South Korea",FLOOR(60*korea_service_hr/K112,1),MIN(15,FLOOR(60*service_hr/K112,1)))</f>
        <v/>
      </c>
      <c r="M112" s="36">
        <f>IF(ABS(MOD(ABS((365*mech_uptime*H112)),1)-0.5)&lt;1E-9,2*ROUND((365*mech_uptime*H112)/2,0),ROUND((365*mech_uptime*H112),0))</f>
        <v/>
      </c>
      <c r="N112" s="37">
        <f>mech_uptime</f>
        <v/>
      </c>
      <c r="O112" s="37">
        <f>IF(AND(B112="South Korea",scenario="MID"),korea_mid_revleg,revleg_sel)</f>
        <v/>
      </c>
      <c r="P112" s="36">
        <f>IF(ABS(MOD(ABS((L112*M112*O112)),1)-0.5)&lt;1E-9,2*ROUND((L112*M112*O112)/2,0),ROUND((L112*M112*O112),0))</f>
        <v/>
      </c>
      <c r="Q112" s="37">
        <f>IF(AND(B112="South Korea",scenario="MID"),korea_mid_load,load_sel)</f>
        <v/>
      </c>
      <c r="R112" s="38">
        <f>pax_cap*Q112</f>
        <v/>
      </c>
      <c r="S112" s="36">
        <f>R112*P112</f>
        <v/>
      </c>
      <c r="T112" s="39">
        <f>E112*discount</f>
        <v/>
      </c>
      <c r="U112" s="40">
        <f>T112*S112</f>
        <v/>
      </c>
      <c r="V112" s="40">
        <f>(battery/range_nm)*D112*P112*VLOOKUP(B112,country_opex,3,FALSE)</f>
        <v/>
      </c>
      <c r="W112" s="40">
        <f>VLOOKUP(B112,country_opex,2,FALSE)*crew_factor</f>
        <v/>
      </c>
      <c r="X112" s="40">
        <f>VLOOKUP(B112,country_opex,5,FALSE)</f>
        <v/>
      </c>
      <c r="Y112" s="40">
        <f>maint</f>
        <v/>
      </c>
      <c r="Z112" s="40">
        <f>VLOOKUP(B112,country_opex,7,FALSE)*ins_pct</f>
        <v/>
      </c>
      <c r="AA112" s="40">
        <f>charge_berth</f>
        <v/>
      </c>
      <c r="AB112" s="40">
        <f>V112+W112+X112+Y112+Z112+AA112</f>
        <v/>
      </c>
      <c r="AC112" s="40">
        <f>VLOOKUP(B112,country_opex,7,FALSE)/dep_years</f>
        <v/>
      </c>
      <c r="AD112" s="40">
        <f>U112-AB112</f>
        <v/>
      </c>
      <c r="AE112" s="37">
        <f>IF(U112=0,"",AD112/U112)</f>
        <v/>
      </c>
      <c r="AF112" s="38">
        <f>IF(AD112&lt;=0,"",VLOOKUP(B112,country_opex,7,FALSE)/AD112)</f>
        <v/>
      </c>
      <c r="AG112" s="35">
        <f>((D112*P112/diesel_nmpg)*diesel_co2pg-(battery/range_nm)*D112*P112*VLOOKUP(B112,country_opex,4,FALSE))/1000</f>
        <v/>
      </c>
      <c r="AH112" s="33" t="n">
        <v>1200000</v>
      </c>
      <c r="AI112" s="34" t="n"/>
      <c r="AJ112" s="34" t="n"/>
      <c r="AK112" s="41" t="n">
        <v>0.1</v>
      </c>
      <c r="AL112" s="36">
        <f>IF(AH112="","",AH112*AK112)</f>
        <v/>
      </c>
      <c r="AM112" s="36">
        <f>IF(OR(AH112="",S112=0),"",MIN(IF(AU112="",9.9E+99,AU112),FLOOR(AL112/S112,1)))</f>
        <v/>
      </c>
      <c r="AN112" s="40">
        <f>IF(AM112="","",AM112*IF(ABS(MOD(ABS((U112)),1)-0.5)&lt;1E-9,2*ROUND((U112)/2,0),ROUND((U112),0)))</f>
        <v/>
      </c>
      <c r="AO112" s="38">
        <f>IF(OR(AH112="",S112=0),"",MIN(IF(AU112="",9.9E+99,AU112),AL112/S112))</f>
        <v/>
      </c>
      <c r="AP112" s="40">
        <f>IF(AO112="","",AO112*IF(B112="South Korea",IF(ABS(MOD(ABS((U112)),1)-0.5)&lt;1E-9,2*ROUND((U112)/2,0),ROUND((U112),0)),U112))</f>
        <v/>
      </c>
      <c r="AQ112" s="42" t="n"/>
      <c r="AR112" s="34" t="inlineStr">
        <is>
          <t>Grounded</t>
        </is>
      </c>
      <c r="AS112" s="43" t="n"/>
      <c r="AT112" s="43" t="n"/>
      <c r="AU112" s="44" t="n"/>
      <c r="AV112" s="45">
        <f>IF(((T112*pax_cap*load_thin*IF(ABS(MOD(ABS((L112*M112*revleg_thin)),1)-0.5)&lt;1E-9,2*ROUND((L112*M112*revleg_thin)/2,0),ROUND((L112*M112*revleg_thin),0)))-(((battery/range_nm)*D112*IF(ABS(MOD(ABS((L112*M112*revleg_thin)),1)-0.5)&lt;1E-9,2*ROUND((L112*M112*revleg_thin)/2,0),ROUND((L112*M112*revleg_thin),0))*VLOOKUP(B112,country_opex,3,FALSE))+W112+X112+Y112+Z112+AA112))&lt;=0,"",VLOOKUP(B112,country_opex,7,FALSE)/((T112*pax_cap*load_thin*IF(ABS(MOD(ABS((L112*M112*revleg_thin)),1)-0.5)&lt;1E-9,2*ROUND((L112*M112*revleg_thin)/2,0),ROUND((L112*M112*revleg_thin),0)))-(((battery/range_nm)*D112*IF(ABS(MOD(ABS((L112*M112*revleg_thin)),1)-0.5)&lt;1E-9,2*ROUND((L112*M112*revleg_thin)/2,0),ROUND((L112*M112*revleg_thin),0))*VLOOKUP(B112,country_opex,3,FALSE))+W112+X112+Y112+Z112+AA112)))</f>
        <v/>
      </c>
      <c r="AW112" s="45">
        <f>IF(((T112*pax_cap*IF(B112="South Korea",korea_mid_load,load_mid)*IF(ABS(MOD(ABS((L112*M112*IF(B112="South Korea",korea_mid_revleg,revleg_mid))),1)-0.5)&lt;1E-9,2*ROUND((L112*M112*IF(B112="South Korea",korea_mid_revleg,revleg_mid))/2,0),ROUND((L112*M112*IF(B112="South Korea",korea_mid_revleg,revleg_mid)),0)))-(((battery/range_nm)*D112*IF(ABS(MOD(ABS((L112*M112*IF(B112="South Korea",korea_mid_revleg,revleg_mid))),1)-0.5)&lt;1E-9,2*ROUND((L112*M112*IF(B112="South Korea",korea_mid_revleg,revleg_mid))/2,0),ROUND((L112*M112*IF(B112="South Korea",korea_mid_revleg,revleg_mid)),0))*VLOOKUP(B112,country_opex,3,FALSE))+W112+X112+Y112+Z112+AA112))&lt;=0,"",VLOOKUP(B112,country_opex,7,FALSE)/((T112*pax_cap*IF(B112="South Korea",korea_mid_load,load_mid)*IF(ABS(MOD(ABS((L112*M112*IF(B112="South Korea",korea_mid_revleg,revleg_mid))),1)-0.5)&lt;1E-9,2*ROUND((L112*M112*IF(B112="South Korea",korea_mid_revleg,revleg_mid))/2,0),ROUND((L112*M112*IF(B112="South Korea",korea_mid_revleg,revleg_mid)),0)))-(((battery/range_nm)*D112*IF(ABS(MOD(ABS((L112*M112*IF(B112="South Korea",korea_mid_revleg,revleg_mid))),1)-0.5)&lt;1E-9,2*ROUND((L112*M112*IF(B112="South Korea",korea_mid_revleg,revleg_mid))/2,0),ROUND((L112*M112*IF(B112="South Korea",korea_mid_revleg,revleg_mid)),0))*VLOOKUP(B112,country_opex,3,FALSE))+W112+X112+Y112+Z112+AA112)))</f>
        <v/>
      </c>
      <c r="AX112" s="45">
        <f>IF(((T112*pax_cap*load_full*IF(ABS(MOD(ABS((L112*M112*revleg_full)),1)-0.5)&lt;1E-9,2*ROUND((L112*M112*revleg_full)/2,0),ROUND((L112*M112*revleg_full),0)))-(((battery/range_nm)*D112*IF(ABS(MOD(ABS((L112*M112*revleg_full)),1)-0.5)&lt;1E-9,2*ROUND((L112*M112*revleg_full)/2,0),ROUND((L112*M112*revleg_full),0))*VLOOKUP(B112,country_opex,3,FALSE))+W112+X112+Y112+Z112+AA112))&lt;=0,"",VLOOKUP(B112,country_opex,7,FALSE)/((T112*pax_cap*load_full*IF(ABS(MOD(ABS((L112*M112*revleg_full)),1)-0.5)&lt;1E-9,2*ROUND((L112*M112*revleg_full)/2,0),ROUND((L112*M112*revleg_full),0)))-(((battery/range_nm)*D112*IF(ABS(MOD(ABS((L112*M112*revleg_full)),1)-0.5)&lt;1E-9,2*ROUND((L112*M112*revleg_full)/2,0),ROUND((L112*M112*revleg_full),0))*VLOOKUP(B112,country_opex,3,FALSE))+W112+X112+Y112+Z112+AA112)))</f>
        <v/>
      </c>
      <c r="AY112" s="46" t="inlineStr">
        <is>
          <t>PREMIUM tourist tier: the standard Douro '6 Bridges' panoramic cruise per-seat is ~EUR 15-18 (Tomaz do Douro / Portugal by Wine / GetYourGuide), ~50 min -&gt; ~$17.8.</t>
        </is>
      </c>
      <c r="AZ112" s="46" t="n"/>
      <c r="BA112" s="34" t="n"/>
    </row>
    <row r="113">
      <c r="A113" s="31" t="inlineStr">
        <is>
          <t>Bolt Portugal</t>
        </is>
      </c>
      <c r="B113" s="31" t="inlineStr">
        <is>
          <t>Portugal</t>
        </is>
      </c>
      <c r="C113" s="32" t="inlineStr">
        <is>
          <t>Vila Real de Santo Antonio (Portugal) → Ayamonte (Spain)</t>
        </is>
      </c>
      <c r="D113" s="33" t="n">
        <v>0.8</v>
      </c>
      <c r="E113" s="27" t="n">
        <v>18</v>
      </c>
      <c r="F113" s="34" t="inlineStr">
        <is>
          <t>T2</t>
        </is>
      </c>
      <c r="G113" s="34" t="inlineStr">
        <is>
          <t>med</t>
        </is>
      </c>
      <c r="H113" s="20" t="n">
        <v>1</v>
      </c>
      <c r="I113" s="35">
        <f>60*D113/cruise_kt</f>
        <v/>
      </c>
      <c r="J113" s="35">
        <f>IF(B113="South Korea",D113/korea_charge_range_nm*korea_full_range_charge_min,0)</f>
        <v/>
      </c>
      <c r="K113" s="35">
        <f>IF(B113="South Korea",I113+korea_turn_min+korea_dwell_min+J113,I113+turn_min+dwell_min)</f>
        <v/>
      </c>
      <c r="L113" s="36">
        <f>IF(B113="South Korea",FLOOR(60*korea_service_hr/K113,1),MIN(15,FLOOR(60*service_hr/K113,1)))</f>
        <v/>
      </c>
      <c r="M113" s="36">
        <f>IF(ABS(MOD(ABS((365*mech_uptime*H113)),1)-0.5)&lt;1E-9,2*ROUND((365*mech_uptime*H113)/2,0),ROUND((365*mech_uptime*H113),0))</f>
        <v/>
      </c>
      <c r="N113" s="37">
        <f>mech_uptime</f>
        <v/>
      </c>
      <c r="O113" s="37">
        <f>IF(AND(B113="South Korea",scenario="MID"),korea_mid_revleg,revleg_sel)</f>
        <v/>
      </c>
      <c r="P113" s="36">
        <f>IF(ABS(MOD(ABS((L113*M113*O113)),1)-0.5)&lt;1E-9,2*ROUND((L113*M113*O113)/2,0),ROUND((L113*M113*O113),0))</f>
        <v/>
      </c>
      <c r="Q113" s="37">
        <f>IF(AND(B113="South Korea",scenario="MID"),korea_mid_load,load_sel)</f>
        <v/>
      </c>
      <c r="R113" s="38">
        <f>pax_cap*Q113</f>
        <v/>
      </c>
      <c r="S113" s="36">
        <f>R113*P113</f>
        <v/>
      </c>
      <c r="T113" s="39">
        <f>E113*discount</f>
        <v/>
      </c>
      <c r="U113" s="40">
        <f>T113*S113</f>
        <v/>
      </c>
      <c r="V113" s="40">
        <f>(battery/range_nm)*D113*P113*VLOOKUP(B113,country_opex,3,FALSE)</f>
        <v/>
      </c>
      <c r="W113" s="40">
        <f>VLOOKUP(B113,country_opex,2,FALSE)*crew_factor</f>
        <v/>
      </c>
      <c r="X113" s="40">
        <f>VLOOKUP(B113,country_opex,5,FALSE)</f>
        <v/>
      </c>
      <c r="Y113" s="40">
        <f>maint</f>
        <v/>
      </c>
      <c r="Z113" s="40">
        <f>VLOOKUP(B113,country_opex,7,FALSE)*ins_pct</f>
        <v/>
      </c>
      <c r="AA113" s="40">
        <f>charge_berth</f>
        <v/>
      </c>
      <c r="AB113" s="40">
        <f>V113+W113+X113+Y113+Z113+AA113</f>
        <v/>
      </c>
      <c r="AC113" s="40">
        <f>VLOOKUP(B113,country_opex,7,FALSE)/dep_years</f>
        <v/>
      </c>
      <c r="AD113" s="40">
        <f>U113-AB113</f>
        <v/>
      </c>
      <c r="AE113" s="37">
        <f>IF(U113=0,"",AD113/U113)</f>
        <v/>
      </c>
      <c r="AF113" s="38">
        <f>IF(AD113&lt;=0,"",VLOOKUP(B113,country_opex,7,FALSE)/AD113)</f>
        <v/>
      </c>
      <c r="AG113" s="35">
        <f>((D113*P113/diesel_nmpg)*diesel_co2pg-(battery/range_nm)*D113*P113*VLOOKUP(B113,country_opex,4,FALSE))/1000</f>
        <v/>
      </c>
      <c r="AH113" s="33" t="n"/>
      <c r="AI113" s="34" t="n"/>
      <c r="AJ113" s="34" t="n"/>
      <c r="AK113" s="41" t="n">
        <v>0.1</v>
      </c>
      <c r="AL113" s="36">
        <f>IF(AH113="","",AH113*AK113)</f>
        <v/>
      </c>
      <c r="AM113" s="36">
        <f>IF(OR(AH113="",S113=0),"",MIN(IF(AU113="",9.9E+99,AU113),FLOOR(AL113/S113,1)))</f>
        <v/>
      </c>
      <c r="AN113" s="40">
        <f>IF(AM113="","",AM113*IF(ABS(MOD(ABS((U113)),1)-0.5)&lt;1E-9,2*ROUND((U113)/2,0),ROUND((U113),0)))</f>
        <v/>
      </c>
      <c r="AO113" s="38">
        <f>IF(OR(AH113="",S113=0),"",MIN(IF(AU113="",9.9E+99,AU113),AL113/S113))</f>
        <v/>
      </c>
      <c r="AP113" s="40">
        <f>IF(AO113="","",AO113*IF(B113="South Korea",IF(ABS(MOD(ABS((U113)),1)-0.5)&lt;1E-9,2*ROUND((U113)/2,0),ROUND((U113),0)),U113))</f>
        <v/>
      </c>
      <c r="AQ113" s="42" t="n"/>
      <c r="AR113" s="34" t="inlineStr">
        <is>
          <t>Estimated</t>
        </is>
      </c>
      <c r="AS113" s="43" t="n"/>
      <c r="AT113" s="43" t="n"/>
      <c r="AU113" s="44" t="n"/>
      <c r="AV113" s="45">
        <f>IF(((T113*pax_cap*load_thin*IF(ABS(MOD(ABS((L113*M113*revleg_thin)),1)-0.5)&lt;1E-9,2*ROUND((L113*M113*revleg_thin)/2,0),ROUND((L113*M113*revleg_thin),0)))-(((battery/range_nm)*D113*IF(ABS(MOD(ABS((L113*M113*revleg_thin)),1)-0.5)&lt;1E-9,2*ROUND((L113*M113*revleg_thin)/2,0),ROUND((L113*M113*revleg_thin),0))*VLOOKUP(B113,country_opex,3,FALSE))+W113+X113+Y113+Z113+AA113))&lt;=0,"",VLOOKUP(B113,country_opex,7,FALSE)/((T113*pax_cap*load_thin*IF(ABS(MOD(ABS((L113*M113*revleg_thin)),1)-0.5)&lt;1E-9,2*ROUND((L113*M113*revleg_thin)/2,0),ROUND((L113*M113*revleg_thin),0)))-(((battery/range_nm)*D113*IF(ABS(MOD(ABS((L113*M113*revleg_thin)),1)-0.5)&lt;1E-9,2*ROUND((L113*M113*revleg_thin)/2,0),ROUND((L113*M113*revleg_thin),0))*VLOOKUP(B113,country_opex,3,FALSE))+W113+X113+Y113+Z113+AA113)))</f>
        <v/>
      </c>
      <c r="AW113" s="45">
        <f>IF(((T113*pax_cap*IF(B113="South Korea",korea_mid_load,load_mid)*IF(ABS(MOD(ABS((L113*M113*IF(B113="South Korea",korea_mid_revleg,revleg_mid))),1)-0.5)&lt;1E-9,2*ROUND((L113*M113*IF(B113="South Korea",korea_mid_revleg,revleg_mid))/2,0),ROUND((L113*M113*IF(B113="South Korea",korea_mid_revleg,revleg_mid)),0)))-(((battery/range_nm)*D113*IF(ABS(MOD(ABS((L113*M113*IF(B113="South Korea",korea_mid_revleg,revleg_mid))),1)-0.5)&lt;1E-9,2*ROUND((L113*M113*IF(B113="South Korea",korea_mid_revleg,revleg_mid))/2,0),ROUND((L113*M113*IF(B113="South Korea",korea_mid_revleg,revleg_mid)),0))*VLOOKUP(B113,country_opex,3,FALSE))+W113+X113+Y113+Z113+AA113))&lt;=0,"",VLOOKUP(B113,country_opex,7,FALSE)/((T113*pax_cap*IF(B113="South Korea",korea_mid_load,load_mid)*IF(ABS(MOD(ABS((L113*M113*IF(B113="South Korea",korea_mid_revleg,revleg_mid))),1)-0.5)&lt;1E-9,2*ROUND((L113*M113*IF(B113="South Korea",korea_mid_revleg,revleg_mid))/2,0),ROUND((L113*M113*IF(B113="South Korea",korea_mid_revleg,revleg_mid)),0)))-(((battery/range_nm)*D113*IF(ABS(MOD(ABS((L113*M113*IF(B113="South Korea",korea_mid_revleg,revleg_mid))),1)-0.5)&lt;1E-9,2*ROUND((L113*M113*IF(B113="South Korea",korea_mid_revleg,revleg_mid))/2,0),ROUND((L113*M113*IF(B113="South Korea",korea_mid_revleg,revleg_mid)),0))*VLOOKUP(B113,country_opex,3,FALSE))+W113+X113+Y113+Z113+AA113)))</f>
        <v/>
      </c>
      <c r="AX113" s="45">
        <f>IF(((T113*pax_cap*load_full*IF(ABS(MOD(ABS((L113*M113*revleg_full)),1)-0.5)&lt;1E-9,2*ROUND((L113*M113*revleg_full)/2,0),ROUND((L113*M113*revleg_full),0)))-(((battery/range_nm)*D113*IF(ABS(MOD(ABS((L113*M113*revleg_full)),1)-0.5)&lt;1E-9,2*ROUND((L113*M113*revleg_full)/2,0),ROUND((L113*M113*revleg_full),0))*VLOOKUP(B113,country_opex,3,FALSE))+W113+X113+Y113+Z113+AA113))&lt;=0,"",VLOOKUP(B113,country_opex,7,FALSE)/((T113*pax_cap*load_full*IF(ABS(MOD(ABS((L113*M113*revleg_full)),1)-0.5)&lt;1E-9,2*ROUND((L113*M113*revleg_full)/2,0),ROUND((L113*M113*revleg_full),0)))-(((battery/range_nm)*D113*IF(ABS(MOD(ABS((L113*M113*revleg_full)),1)-0.5)&lt;1E-9,2*ROUND((L113*M113*revleg_full)/2,0),ROUND((L113*M113*revleg_full),0))*VLOOKUP(B113,country_opex,3,FALSE))+W113+X113+Y113+Z113+AA113)))</f>
        <v/>
      </c>
      <c r="AY113" s="46" t="inlineStr">
        <is>
          <t>[LB-255 PREMIUM RE-FARE: subsidized comparable $5.0 lifted to premium on-demand floor $18.0] Scheduled cross-border ferry fare EUR 2-7 one-way (Rome2Rio / TFG) -&gt; mid ~$5.</t>
        </is>
      </c>
      <c r="AZ113" s="46" t="n"/>
      <c r="BA113" s="34" t="n"/>
    </row>
    <row r="114">
      <c r="A114" s="31" t="inlineStr">
        <is>
          <t>Bolt Portugal</t>
        </is>
      </c>
      <c r="B114" s="31" t="inlineStr">
        <is>
          <t>Portugal</t>
        </is>
      </c>
      <c r="C114" s="32" t="inlineStr">
        <is>
          <t>Lagos → Ponta da Piedade</t>
        </is>
      </c>
      <c r="D114" s="33" t="n">
        <v>1.2</v>
      </c>
      <c r="E114" s="27" t="n">
        <v>24</v>
      </c>
      <c r="F114" s="34" t="inlineStr">
        <is>
          <t>T2</t>
        </is>
      </c>
      <c r="G114" s="34" t="inlineStr">
        <is>
          <t>med</t>
        </is>
      </c>
      <c r="H114" s="20" t="n">
        <v>1</v>
      </c>
      <c r="I114" s="35">
        <f>60*D114/cruise_kt</f>
        <v/>
      </c>
      <c r="J114" s="35">
        <f>IF(B114="South Korea",D114/korea_charge_range_nm*korea_full_range_charge_min,0)</f>
        <v/>
      </c>
      <c r="K114" s="35">
        <f>IF(B114="South Korea",I114+korea_turn_min+korea_dwell_min+J114,I114+turn_min+dwell_min)</f>
        <v/>
      </c>
      <c r="L114" s="36">
        <f>IF(B114="South Korea",FLOOR(60*korea_service_hr/K114,1),MIN(15,FLOOR(60*service_hr/K114,1)))</f>
        <v/>
      </c>
      <c r="M114" s="36">
        <f>IF(ABS(MOD(ABS((365*mech_uptime*H114)),1)-0.5)&lt;1E-9,2*ROUND((365*mech_uptime*H114)/2,0),ROUND((365*mech_uptime*H114),0))</f>
        <v/>
      </c>
      <c r="N114" s="37">
        <f>mech_uptime</f>
        <v/>
      </c>
      <c r="O114" s="37">
        <f>IF(AND(B114="South Korea",scenario="MID"),korea_mid_revleg,revleg_sel)</f>
        <v/>
      </c>
      <c r="P114" s="36">
        <f>IF(ABS(MOD(ABS((L114*M114*O114)),1)-0.5)&lt;1E-9,2*ROUND((L114*M114*O114)/2,0),ROUND((L114*M114*O114),0))</f>
        <v/>
      </c>
      <c r="Q114" s="37">
        <f>IF(AND(B114="South Korea",scenario="MID"),korea_mid_load,load_sel)</f>
        <v/>
      </c>
      <c r="R114" s="38">
        <f>pax_cap*Q114</f>
        <v/>
      </c>
      <c r="S114" s="36">
        <f>R114*P114</f>
        <v/>
      </c>
      <c r="T114" s="39">
        <f>E114*discount</f>
        <v/>
      </c>
      <c r="U114" s="40">
        <f>T114*S114</f>
        <v/>
      </c>
      <c r="V114" s="40">
        <f>(battery/range_nm)*D114*P114*VLOOKUP(B114,country_opex,3,FALSE)</f>
        <v/>
      </c>
      <c r="W114" s="40">
        <f>VLOOKUP(B114,country_opex,2,FALSE)*crew_factor</f>
        <v/>
      </c>
      <c r="X114" s="40">
        <f>VLOOKUP(B114,country_opex,5,FALSE)</f>
        <v/>
      </c>
      <c r="Y114" s="40">
        <f>maint</f>
        <v/>
      </c>
      <c r="Z114" s="40">
        <f>VLOOKUP(B114,country_opex,7,FALSE)*ins_pct</f>
        <v/>
      </c>
      <c r="AA114" s="40">
        <f>charge_berth</f>
        <v/>
      </c>
      <c r="AB114" s="40">
        <f>V114+W114+X114+Y114+Z114+AA114</f>
        <v/>
      </c>
      <c r="AC114" s="40">
        <f>VLOOKUP(B114,country_opex,7,FALSE)/dep_years</f>
        <v/>
      </c>
      <c r="AD114" s="40">
        <f>U114-AB114</f>
        <v/>
      </c>
      <c r="AE114" s="37">
        <f>IF(U114=0,"",AD114/U114)</f>
        <v/>
      </c>
      <c r="AF114" s="38">
        <f>IF(AD114&lt;=0,"",VLOOKUP(B114,country_opex,7,FALSE)/AD114)</f>
        <v/>
      </c>
      <c r="AG114" s="35">
        <f>((D114*P114/diesel_nmpg)*diesel_co2pg-(battery/range_nm)*D114*P114*VLOOKUP(B114,country_opex,4,FALSE))/1000</f>
        <v/>
      </c>
      <c r="AH114" s="33" t="n"/>
      <c r="AI114" s="34" t="n"/>
      <c r="AJ114" s="34" t="n"/>
      <c r="AK114" s="41" t="n">
        <v>0.1</v>
      </c>
      <c r="AL114" s="36">
        <f>IF(AH114="","",AH114*AK114)</f>
        <v/>
      </c>
      <c r="AM114" s="36">
        <f>IF(OR(AH114="",S114=0),"",MIN(IF(AU114="",9.9E+99,AU114),FLOOR(AL114/S114,1)))</f>
        <v/>
      </c>
      <c r="AN114" s="40">
        <f>IF(AM114="","",AM114*IF(ABS(MOD(ABS((U114)),1)-0.5)&lt;1E-9,2*ROUND((U114)/2,0),ROUND((U114),0)))</f>
        <v/>
      </c>
      <c r="AO114" s="38">
        <f>IF(OR(AH114="",S114=0),"",MIN(IF(AU114="",9.9E+99,AU114),AL114/S114))</f>
        <v/>
      </c>
      <c r="AP114" s="40">
        <f>IF(AO114="","",AO114*IF(B114="South Korea",IF(ABS(MOD(ABS((U114)),1)-0.5)&lt;1E-9,2*ROUND((U114)/2,0),ROUND((U114),0)),U114))</f>
        <v/>
      </c>
      <c r="AQ114" s="42" t="n"/>
      <c r="AR114" s="34" t="inlineStr">
        <is>
          <t>Estimated</t>
        </is>
      </c>
      <c r="AS114" s="43" t="n"/>
      <c r="AT114" s="43" t="n"/>
      <c r="AU114" s="44" t="n"/>
      <c r="AV114" s="45">
        <f>IF(((T114*pax_cap*load_thin*IF(ABS(MOD(ABS((L114*M114*revleg_thin)),1)-0.5)&lt;1E-9,2*ROUND((L114*M114*revleg_thin)/2,0),ROUND((L114*M114*revleg_thin),0)))-(((battery/range_nm)*D114*IF(ABS(MOD(ABS((L114*M114*revleg_thin)),1)-0.5)&lt;1E-9,2*ROUND((L114*M114*revleg_thin)/2,0),ROUND((L114*M114*revleg_thin),0))*VLOOKUP(B114,country_opex,3,FALSE))+W114+X114+Y114+Z114+AA114))&lt;=0,"",VLOOKUP(B114,country_opex,7,FALSE)/((T114*pax_cap*load_thin*IF(ABS(MOD(ABS((L114*M114*revleg_thin)),1)-0.5)&lt;1E-9,2*ROUND((L114*M114*revleg_thin)/2,0),ROUND((L114*M114*revleg_thin),0)))-(((battery/range_nm)*D114*IF(ABS(MOD(ABS((L114*M114*revleg_thin)),1)-0.5)&lt;1E-9,2*ROUND((L114*M114*revleg_thin)/2,0),ROUND((L114*M114*revleg_thin),0))*VLOOKUP(B114,country_opex,3,FALSE))+W114+X114+Y114+Z114+AA114)))</f>
        <v/>
      </c>
      <c r="AW114" s="45">
        <f>IF(((T114*pax_cap*IF(B114="South Korea",korea_mid_load,load_mid)*IF(ABS(MOD(ABS((L114*M114*IF(B114="South Korea",korea_mid_revleg,revleg_mid))),1)-0.5)&lt;1E-9,2*ROUND((L114*M114*IF(B114="South Korea",korea_mid_revleg,revleg_mid))/2,0),ROUND((L114*M114*IF(B114="South Korea",korea_mid_revleg,revleg_mid)),0)))-(((battery/range_nm)*D114*IF(ABS(MOD(ABS((L114*M114*IF(B114="South Korea",korea_mid_revleg,revleg_mid))),1)-0.5)&lt;1E-9,2*ROUND((L114*M114*IF(B114="South Korea",korea_mid_revleg,revleg_mid))/2,0),ROUND((L114*M114*IF(B114="South Korea",korea_mid_revleg,revleg_mid)),0))*VLOOKUP(B114,country_opex,3,FALSE))+W114+X114+Y114+Z114+AA114))&lt;=0,"",VLOOKUP(B114,country_opex,7,FALSE)/((T114*pax_cap*IF(B114="South Korea",korea_mid_load,load_mid)*IF(ABS(MOD(ABS((L114*M114*IF(B114="South Korea",korea_mid_revleg,revleg_mid))),1)-0.5)&lt;1E-9,2*ROUND((L114*M114*IF(B114="South Korea",korea_mid_revleg,revleg_mid))/2,0),ROUND((L114*M114*IF(B114="South Korea",korea_mid_revleg,revleg_mid)),0)))-(((battery/range_nm)*D114*IF(ABS(MOD(ABS((L114*M114*IF(B114="South Korea",korea_mid_revleg,revleg_mid))),1)-0.5)&lt;1E-9,2*ROUND((L114*M114*IF(B114="South Korea",korea_mid_revleg,revleg_mid))/2,0),ROUND((L114*M114*IF(B114="South Korea",korea_mid_revleg,revleg_mid)),0))*VLOOKUP(B114,country_opex,3,FALSE))+W114+X114+Y114+Z114+AA114)))</f>
        <v/>
      </c>
      <c r="AX114" s="45">
        <f>IF(((T114*pax_cap*load_full*IF(ABS(MOD(ABS((L114*M114*revleg_full)),1)-0.5)&lt;1E-9,2*ROUND((L114*M114*revleg_full)/2,0),ROUND((L114*M114*revleg_full),0)))-(((battery/range_nm)*D114*IF(ABS(MOD(ABS((L114*M114*revleg_full)),1)-0.5)&lt;1E-9,2*ROUND((L114*M114*revleg_full)/2,0),ROUND((L114*M114*revleg_full),0))*VLOOKUP(B114,country_opex,3,FALSE))+W114+X114+Y114+Z114+AA114))&lt;=0,"",VLOOKUP(B114,country_opex,7,FALSE)/((T114*pax_cap*load_full*IF(ABS(MOD(ABS((L114*M114*revleg_full)),1)-0.5)&lt;1E-9,2*ROUND((L114*M114*revleg_full)/2,0),ROUND((L114*M114*revleg_full),0)))-(((battery/range_nm)*D114*IF(ABS(MOD(ABS((L114*M114*revleg_full)),1)-0.5)&lt;1E-9,2*ROUND((L114*M114*revleg_full)/2,0),ROUND((L114*M114*revleg_full),0))*VLOOKUP(B114,country_opex,3,FALSE))+W114+X114+Y114+Z114+AA114)))</f>
        <v/>
      </c>
      <c r="AY114" s="46" t="inlineStr">
        <is>
          <t>PREMIUM tier: standard Ponta da Piedade grotto boat trip ~EUR 20-25 per seat (Tripadvisor/GetYourGuide; ~$20-25) -&gt; ~$24.</t>
        </is>
      </c>
      <c r="AZ114" s="46" t="n"/>
      <c r="BA114" s="34" t="n"/>
    </row>
    <row r="115">
      <c r="A115" s="31" t="inlineStr">
        <is>
          <t>Bolt Portugal</t>
        </is>
      </c>
      <c r="B115" s="31" t="inlineStr">
        <is>
          <t>Portugal</t>
        </is>
      </c>
      <c r="C115" s="32" t="inlineStr">
        <is>
          <t>Cais do Sodré (Lisbon) → Cacilhas (Almada)</t>
        </is>
      </c>
      <c r="D115" s="33" t="n">
        <v>1.5</v>
      </c>
      <c r="E115" s="27" t="n">
        <v>18</v>
      </c>
      <c r="F115" s="34" t="inlineStr">
        <is>
          <t>T2</t>
        </is>
      </c>
      <c r="G115" s="34" t="inlineStr">
        <is>
          <t>med</t>
        </is>
      </c>
      <c r="H115" s="20" t="n">
        <v>1</v>
      </c>
      <c r="I115" s="35">
        <f>60*D115/cruise_kt</f>
        <v/>
      </c>
      <c r="J115" s="35">
        <f>IF(B115="South Korea",D115/korea_charge_range_nm*korea_full_range_charge_min,0)</f>
        <v/>
      </c>
      <c r="K115" s="35">
        <f>IF(B115="South Korea",I115+korea_turn_min+korea_dwell_min+J115,I115+turn_min+dwell_min)</f>
        <v/>
      </c>
      <c r="L115" s="36">
        <f>IF(B115="South Korea",FLOOR(60*korea_service_hr/K115,1),MIN(15,FLOOR(60*service_hr/K115,1)))</f>
        <v/>
      </c>
      <c r="M115" s="36">
        <f>IF(ABS(MOD(ABS((365*mech_uptime*H115)),1)-0.5)&lt;1E-9,2*ROUND((365*mech_uptime*H115)/2,0),ROUND((365*mech_uptime*H115),0))</f>
        <v/>
      </c>
      <c r="N115" s="37">
        <f>mech_uptime</f>
        <v/>
      </c>
      <c r="O115" s="37">
        <f>IF(AND(B115="South Korea",scenario="MID"),korea_mid_revleg,revleg_sel)</f>
        <v/>
      </c>
      <c r="P115" s="36">
        <f>IF(ABS(MOD(ABS((L115*M115*O115)),1)-0.5)&lt;1E-9,2*ROUND((L115*M115*O115)/2,0),ROUND((L115*M115*O115),0))</f>
        <v/>
      </c>
      <c r="Q115" s="37">
        <f>IF(AND(B115="South Korea",scenario="MID"),korea_mid_load,load_sel)</f>
        <v/>
      </c>
      <c r="R115" s="38">
        <f>pax_cap*Q115</f>
        <v/>
      </c>
      <c r="S115" s="36">
        <f>R115*P115</f>
        <v/>
      </c>
      <c r="T115" s="39">
        <f>E115*discount</f>
        <v/>
      </c>
      <c r="U115" s="40">
        <f>T115*S115</f>
        <v/>
      </c>
      <c r="V115" s="40">
        <f>(battery/range_nm)*D115*P115*VLOOKUP(B115,country_opex,3,FALSE)</f>
        <v/>
      </c>
      <c r="W115" s="40">
        <f>VLOOKUP(B115,country_opex,2,FALSE)*crew_factor</f>
        <v/>
      </c>
      <c r="X115" s="40">
        <f>VLOOKUP(B115,country_opex,5,FALSE)</f>
        <v/>
      </c>
      <c r="Y115" s="40">
        <f>maint</f>
        <v/>
      </c>
      <c r="Z115" s="40">
        <f>VLOOKUP(B115,country_opex,7,FALSE)*ins_pct</f>
        <v/>
      </c>
      <c r="AA115" s="40">
        <f>charge_berth</f>
        <v/>
      </c>
      <c r="AB115" s="40">
        <f>V115+W115+X115+Y115+Z115+AA115</f>
        <v/>
      </c>
      <c r="AC115" s="40">
        <f>VLOOKUP(B115,country_opex,7,FALSE)/dep_years</f>
        <v/>
      </c>
      <c r="AD115" s="40">
        <f>U115-AB115</f>
        <v/>
      </c>
      <c r="AE115" s="37">
        <f>IF(U115=0,"",AD115/U115)</f>
        <v/>
      </c>
      <c r="AF115" s="38">
        <f>IF(AD115&lt;=0,"",VLOOKUP(B115,country_opex,7,FALSE)/AD115)</f>
        <v/>
      </c>
      <c r="AG115" s="35">
        <f>((D115*P115/diesel_nmpg)*diesel_co2pg-(battery/range_nm)*D115*P115*VLOOKUP(B115,country_opex,4,FALSE))/1000</f>
        <v/>
      </c>
      <c r="AH115" s="33" t="n">
        <v>750337</v>
      </c>
      <c r="AI115" s="34" t="n"/>
      <c r="AJ115" s="34" t="inlineStr">
        <is>
          <t>med</t>
        </is>
      </c>
      <c r="AK115" s="41" t="n">
        <v>0.25</v>
      </c>
      <c r="AL115" s="36">
        <f>IF(AH115="","",AH115*AK115)</f>
        <v/>
      </c>
      <c r="AM115" s="36">
        <f>IF(OR(AH115="",S115=0),"",MIN(IF(AU115="",9.9E+99,AU115),FLOOR(AL115/S115,1)))</f>
        <v/>
      </c>
      <c r="AN115" s="40">
        <f>IF(AM115="","",AM115*IF(ABS(MOD(ABS((U115)),1)-0.5)&lt;1E-9,2*ROUND((U115)/2,0),ROUND((U115),0)))</f>
        <v/>
      </c>
      <c r="AO115" s="38">
        <f>IF(OR(AH115="",S115=0),"",MIN(IF(AU115="",9.9E+99,AU115),AL115/S115))</f>
        <v/>
      </c>
      <c r="AP115" s="40">
        <f>IF(AO115="","",AO115*IF(B115="South Korea",IF(ABS(MOD(ABS((U115)),1)-0.5)&lt;1E-9,2*ROUND((U115)/2,0),ROUND((U115),0)),U115))</f>
        <v/>
      </c>
      <c r="AQ115" s="42" t="n"/>
      <c r="AR115" s="34" t="inlineStr">
        <is>
          <t>Grounded</t>
        </is>
      </c>
      <c r="AS115" s="43" t="n"/>
      <c r="AT115" s="43" t="n"/>
      <c r="AU115" s="44" t="n"/>
      <c r="AV115" s="45">
        <f>IF(((T115*pax_cap*load_thin*IF(ABS(MOD(ABS((L115*M115*revleg_thin)),1)-0.5)&lt;1E-9,2*ROUND((L115*M115*revleg_thin)/2,0),ROUND((L115*M115*revleg_thin),0)))-(((battery/range_nm)*D115*IF(ABS(MOD(ABS((L115*M115*revleg_thin)),1)-0.5)&lt;1E-9,2*ROUND((L115*M115*revleg_thin)/2,0),ROUND((L115*M115*revleg_thin),0))*VLOOKUP(B115,country_opex,3,FALSE))+W115+X115+Y115+Z115+AA115))&lt;=0,"",VLOOKUP(B115,country_opex,7,FALSE)/((T115*pax_cap*load_thin*IF(ABS(MOD(ABS((L115*M115*revleg_thin)),1)-0.5)&lt;1E-9,2*ROUND((L115*M115*revleg_thin)/2,0),ROUND((L115*M115*revleg_thin),0)))-(((battery/range_nm)*D115*IF(ABS(MOD(ABS((L115*M115*revleg_thin)),1)-0.5)&lt;1E-9,2*ROUND((L115*M115*revleg_thin)/2,0),ROUND((L115*M115*revleg_thin),0))*VLOOKUP(B115,country_opex,3,FALSE))+W115+X115+Y115+Z115+AA115)))</f>
        <v/>
      </c>
      <c r="AW115" s="45">
        <f>IF(((T115*pax_cap*IF(B115="South Korea",korea_mid_load,load_mid)*IF(ABS(MOD(ABS((L115*M115*IF(B115="South Korea",korea_mid_revleg,revleg_mid))),1)-0.5)&lt;1E-9,2*ROUND((L115*M115*IF(B115="South Korea",korea_mid_revleg,revleg_mid))/2,0),ROUND((L115*M115*IF(B115="South Korea",korea_mid_revleg,revleg_mid)),0)))-(((battery/range_nm)*D115*IF(ABS(MOD(ABS((L115*M115*IF(B115="South Korea",korea_mid_revleg,revleg_mid))),1)-0.5)&lt;1E-9,2*ROUND((L115*M115*IF(B115="South Korea",korea_mid_revleg,revleg_mid))/2,0),ROUND((L115*M115*IF(B115="South Korea",korea_mid_revleg,revleg_mid)),0))*VLOOKUP(B115,country_opex,3,FALSE))+W115+X115+Y115+Z115+AA115))&lt;=0,"",VLOOKUP(B115,country_opex,7,FALSE)/((T115*pax_cap*IF(B115="South Korea",korea_mid_load,load_mid)*IF(ABS(MOD(ABS((L115*M115*IF(B115="South Korea",korea_mid_revleg,revleg_mid))),1)-0.5)&lt;1E-9,2*ROUND((L115*M115*IF(B115="South Korea",korea_mid_revleg,revleg_mid))/2,0),ROUND((L115*M115*IF(B115="South Korea",korea_mid_revleg,revleg_mid)),0)))-(((battery/range_nm)*D115*IF(ABS(MOD(ABS((L115*M115*IF(B115="South Korea",korea_mid_revleg,revleg_mid))),1)-0.5)&lt;1E-9,2*ROUND((L115*M115*IF(B115="South Korea",korea_mid_revleg,revleg_mid))/2,0),ROUND((L115*M115*IF(B115="South Korea",korea_mid_revleg,revleg_mid)),0))*VLOOKUP(B115,country_opex,3,FALSE))+W115+X115+Y115+Z115+AA115)))</f>
        <v/>
      </c>
      <c r="AX115" s="45">
        <f>IF(((T115*pax_cap*load_full*IF(ABS(MOD(ABS((L115*M115*revleg_full)),1)-0.5)&lt;1E-9,2*ROUND((L115*M115*revleg_full)/2,0),ROUND((L115*M115*revleg_full),0)))-(((battery/range_nm)*D115*IF(ABS(MOD(ABS((L115*M115*revleg_full)),1)-0.5)&lt;1E-9,2*ROUND((L115*M115*revleg_full)/2,0),ROUND((L115*M115*revleg_full),0))*VLOOKUP(B115,country_opex,3,FALSE))+W115+X115+Y115+Z115+AA115))&lt;=0,"",VLOOKUP(B115,country_opex,7,FALSE)/((T115*pax_cap*load_full*IF(ABS(MOD(ABS((L115*M115*revleg_full)),1)-0.5)&lt;1E-9,2*ROUND((L115*M115*revleg_full)/2,0),ROUND((L115*M115*revleg_full),0)))-(((battery/range_nm)*D115*IF(ABS(MOD(ABS((L115*M115*revleg_full)),1)-0.5)&lt;1E-9,2*ROUND((L115*M115*revleg_full)/2,0),ROUND((L115*M115*revleg_full),0))*VLOOKUP(B115,country_opex,3,FALSE))+W115+X115+Y115+Z115+AA115)))</f>
        <v/>
      </c>
      <c r="AY115" s="46" t="inlineStr">
        <is>
          <t>[LB-255 PREMIUM RE-FARE: subsidized comparable $1.62 lifted to premium on-demand floor $18.0] Public-transit adult single (bilhete simples) Cacilhas/Cais do Sodre = EUR 1.50 (TTSL 2024 tariff table) x1.08 = ~$1.62. NOT a premium tier -- a Navier electric-hydrofoil premium seat would price above this public fare.</t>
        </is>
      </c>
      <c r="AZ115" s="46" t="n"/>
      <c r="BA115" s="34" t="n"/>
    </row>
    <row r="116">
      <c r="A116" s="31" t="inlineStr">
        <is>
          <t>Bolt Portugal</t>
        </is>
      </c>
      <c r="B116" s="31" t="inlineStr">
        <is>
          <t>Portugal</t>
        </is>
      </c>
      <c r="C116" s="32" t="inlineStr">
        <is>
          <t>Belem (Lisbon) → Trafaria / Porto Brandao (Almada)</t>
        </is>
      </c>
      <c r="D116" s="33" t="n">
        <v>2.4</v>
      </c>
      <c r="E116" s="27" t="n">
        <v>18</v>
      </c>
      <c r="F116" s="34" t="inlineStr">
        <is>
          <t>T2</t>
        </is>
      </c>
      <c r="G116" s="34" t="inlineStr">
        <is>
          <t>med</t>
        </is>
      </c>
      <c r="H116" s="20" t="n">
        <v>1</v>
      </c>
      <c r="I116" s="35">
        <f>60*D116/cruise_kt</f>
        <v/>
      </c>
      <c r="J116" s="35">
        <f>IF(B116="South Korea",D116/korea_charge_range_nm*korea_full_range_charge_min,0)</f>
        <v/>
      </c>
      <c r="K116" s="35">
        <f>IF(B116="South Korea",I116+korea_turn_min+korea_dwell_min+J116,I116+turn_min+dwell_min)</f>
        <v/>
      </c>
      <c r="L116" s="36">
        <f>IF(B116="South Korea",FLOOR(60*korea_service_hr/K116,1),MIN(24,FLOOR(60*service_hr/K116,1)))</f>
        <v/>
      </c>
      <c r="M116" s="36">
        <f>IF(ABS(MOD(ABS((365*mech_uptime*H116)),1)-0.5)&lt;1E-9,2*ROUND((365*mech_uptime*H116)/2,0),ROUND((365*mech_uptime*H116),0))</f>
        <v/>
      </c>
      <c r="N116" s="37">
        <f>mech_uptime</f>
        <v/>
      </c>
      <c r="O116" s="37">
        <f>IF(AND(B116="South Korea",scenario="MID"),korea_mid_revleg,revleg_sel)</f>
        <v/>
      </c>
      <c r="P116" s="36">
        <f>IF(ABS(MOD(ABS((L116*M116*O116)),1)-0.5)&lt;1E-9,2*ROUND((L116*M116*O116)/2,0),ROUND((L116*M116*O116),0))</f>
        <v/>
      </c>
      <c r="Q116" s="37">
        <f>IF(AND(B116="South Korea",scenario="MID"),korea_mid_load,load_sel)</f>
        <v/>
      </c>
      <c r="R116" s="38">
        <f>pax_cap*Q116</f>
        <v/>
      </c>
      <c r="S116" s="36">
        <f>R116*P116</f>
        <v/>
      </c>
      <c r="T116" s="39">
        <f>E116*discount</f>
        <v/>
      </c>
      <c r="U116" s="40">
        <f>T116*S116</f>
        <v/>
      </c>
      <c r="V116" s="40">
        <f>(battery/range_nm)*D116*P116*VLOOKUP(B116,country_opex,3,FALSE)</f>
        <v/>
      </c>
      <c r="W116" s="40">
        <f>VLOOKUP(B116,country_opex,2,FALSE)*crew_factor</f>
        <v/>
      </c>
      <c r="X116" s="40">
        <f>VLOOKUP(B116,country_opex,5,FALSE)</f>
        <v/>
      </c>
      <c r="Y116" s="40">
        <f>maint</f>
        <v/>
      </c>
      <c r="Z116" s="40">
        <f>VLOOKUP(B116,country_opex,7,FALSE)*ins_pct</f>
        <v/>
      </c>
      <c r="AA116" s="40">
        <f>charge_berth</f>
        <v/>
      </c>
      <c r="AB116" s="40">
        <f>V116+W116+X116+Y116+Z116+AA116</f>
        <v/>
      </c>
      <c r="AC116" s="40">
        <f>VLOOKUP(B116,country_opex,7,FALSE)/dep_years</f>
        <v/>
      </c>
      <c r="AD116" s="40">
        <f>U116-AB116</f>
        <v/>
      </c>
      <c r="AE116" s="37">
        <f>IF(U116=0,"",AD116/U116)</f>
        <v/>
      </c>
      <c r="AF116" s="38">
        <f>IF(AD116&lt;=0,"",VLOOKUP(B116,country_opex,7,FALSE)/AD116)</f>
        <v/>
      </c>
      <c r="AG116" s="35">
        <f>((D116*P116/diesel_nmpg)*diesel_co2pg-(battery/range_nm)*D116*P116*VLOOKUP(B116,country_opex,4,FALSE))/1000</f>
        <v/>
      </c>
      <c r="AH116" s="33" t="n">
        <v>38706</v>
      </c>
      <c r="AI116" s="34" t="n"/>
      <c r="AJ116" s="34" t="inlineStr">
        <is>
          <t>med</t>
        </is>
      </c>
      <c r="AK116" s="41" t="n">
        <v>0.25</v>
      </c>
      <c r="AL116" s="36">
        <f>IF(AH116="","",AH116*AK116)</f>
        <v/>
      </c>
      <c r="AM116" s="36">
        <f>IF(OR(AH116="",S116=0),"",MIN(IF(AU116="",9.9E+99,AU116),FLOOR(AL116/S116,1)))</f>
        <v/>
      </c>
      <c r="AN116" s="40">
        <f>IF(AM116="","",AM116*IF(ABS(MOD(ABS((U116)),1)-0.5)&lt;1E-9,2*ROUND((U116)/2,0),ROUND((U116),0)))</f>
        <v/>
      </c>
      <c r="AO116" s="38">
        <f>IF(OR(AH116="",S116=0),"",MIN(IF(AU116="",9.9E+99,AU116),AL116/S116))</f>
        <v/>
      </c>
      <c r="AP116" s="40">
        <f>IF(AO116="","",AO116*IF(B116="South Korea",IF(ABS(MOD(ABS((U116)),1)-0.5)&lt;1E-9,2*ROUND((U116)/2,0),ROUND((U116),0)),U116))</f>
        <v/>
      </c>
      <c r="AQ116" s="42" t="n"/>
      <c r="AR116" s="34" t="inlineStr">
        <is>
          <t>Estimated</t>
        </is>
      </c>
      <c r="AS116" s="43" t="n"/>
      <c r="AT116" s="43" t="n"/>
      <c r="AU116" s="44" t="n"/>
      <c r="AV116" s="45">
        <f>IF(((T116*pax_cap*load_thin*IF(ABS(MOD(ABS((L116*M116*revleg_thin)),1)-0.5)&lt;1E-9,2*ROUND((L116*M116*revleg_thin)/2,0),ROUND((L116*M116*revleg_thin),0)))-(((battery/range_nm)*D116*IF(ABS(MOD(ABS((L116*M116*revleg_thin)),1)-0.5)&lt;1E-9,2*ROUND((L116*M116*revleg_thin)/2,0),ROUND((L116*M116*revleg_thin),0))*VLOOKUP(B116,country_opex,3,FALSE))+W116+X116+Y116+Z116+AA116))&lt;=0,"",VLOOKUP(B116,country_opex,7,FALSE)/((T116*pax_cap*load_thin*IF(ABS(MOD(ABS((L116*M116*revleg_thin)),1)-0.5)&lt;1E-9,2*ROUND((L116*M116*revleg_thin)/2,0),ROUND((L116*M116*revleg_thin),0)))-(((battery/range_nm)*D116*IF(ABS(MOD(ABS((L116*M116*revleg_thin)),1)-0.5)&lt;1E-9,2*ROUND((L116*M116*revleg_thin)/2,0),ROUND((L116*M116*revleg_thin),0))*VLOOKUP(B116,country_opex,3,FALSE))+W116+X116+Y116+Z116+AA116)))</f>
        <v/>
      </c>
      <c r="AW116" s="45">
        <f>IF(((T116*pax_cap*IF(B116="South Korea",korea_mid_load,load_mid)*IF(ABS(MOD(ABS((L116*M116*IF(B116="South Korea",korea_mid_revleg,revleg_mid))),1)-0.5)&lt;1E-9,2*ROUND((L116*M116*IF(B116="South Korea",korea_mid_revleg,revleg_mid))/2,0),ROUND((L116*M116*IF(B116="South Korea",korea_mid_revleg,revleg_mid)),0)))-(((battery/range_nm)*D116*IF(ABS(MOD(ABS((L116*M116*IF(B116="South Korea",korea_mid_revleg,revleg_mid))),1)-0.5)&lt;1E-9,2*ROUND((L116*M116*IF(B116="South Korea",korea_mid_revleg,revleg_mid))/2,0),ROUND((L116*M116*IF(B116="South Korea",korea_mid_revleg,revleg_mid)),0))*VLOOKUP(B116,country_opex,3,FALSE))+W116+X116+Y116+Z116+AA116))&lt;=0,"",VLOOKUP(B116,country_opex,7,FALSE)/((T116*pax_cap*IF(B116="South Korea",korea_mid_load,load_mid)*IF(ABS(MOD(ABS((L116*M116*IF(B116="South Korea",korea_mid_revleg,revleg_mid))),1)-0.5)&lt;1E-9,2*ROUND((L116*M116*IF(B116="South Korea",korea_mid_revleg,revleg_mid))/2,0),ROUND((L116*M116*IF(B116="South Korea",korea_mid_revleg,revleg_mid)),0)))-(((battery/range_nm)*D116*IF(ABS(MOD(ABS((L116*M116*IF(B116="South Korea",korea_mid_revleg,revleg_mid))),1)-0.5)&lt;1E-9,2*ROUND((L116*M116*IF(B116="South Korea",korea_mid_revleg,revleg_mid))/2,0),ROUND((L116*M116*IF(B116="South Korea",korea_mid_revleg,revleg_mid)),0))*VLOOKUP(B116,country_opex,3,FALSE))+W116+X116+Y116+Z116+AA116)))</f>
        <v/>
      </c>
      <c r="AX116" s="45">
        <f>IF(((T116*pax_cap*load_full*IF(ABS(MOD(ABS((L116*M116*revleg_full)),1)-0.5)&lt;1E-9,2*ROUND((L116*M116*revleg_full)/2,0),ROUND((L116*M116*revleg_full),0)))-(((battery/range_nm)*D116*IF(ABS(MOD(ABS((L116*M116*revleg_full)),1)-0.5)&lt;1E-9,2*ROUND((L116*M116*revleg_full)/2,0),ROUND((L116*M116*revleg_full),0))*VLOOKUP(B116,country_opex,3,FALSE))+W116+X116+Y116+Z116+AA116))&lt;=0,"",VLOOKUP(B116,country_opex,7,FALSE)/((T116*pax_cap*load_full*IF(ABS(MOD(ABS((L116*M116*revleg_full)),1)-0.5)&lt;1E-9,2*ROUND((L116*M116*revleg_full)/2,0),ROUND((L116*M116*revleg_full),0)))-(((battery/range_nm)*D116*IF(ABS(MOD(ABS((L116*M116*revleg_full)),1)-0.5)&lt;1E-9,2*ROUND((L116*M116*revleg_full)/2,0),ROUND((L116*M116*revleg_full),0))*VLOOKUP(B116,country_opex,3,FALSE))+W116+X116+Y116+Z116+AA116)))</f>
        <v/>
      </c>
      <c r="AY116" s="46" t="inlineStr">
        <is>
          <t>[LB-255 PREMIUM RE-FARE: subsidized comparable $1.57 lifted to premium on-demand floor $18.0] Public-transit adult single Trafaria/Porto Brandao/Belem = EUR 1.45 (TTSL 2024 tariff) x1.08 = ~$1.57.</t>
        </is>
      </c>
      <c r="AZ116" s="46" t="n"/>
      <c r="BA116" s="34" t="n"/>
    </row>
    <row r="117">
      <c r="A117" s="31" t="inlineStr">
        <is>
          <t>Bolt Portugal</t>
        </is>
      </c>
      <c r="B117" s="31" t="inlineStr">
        <is>
          <t>Portugal</t>
        </is>
      </c>
      <c r="C117" s="32" t="inlineStr">
        <is>
          <t>Olhao → Culatra / Farol</t>
        </is>
      </c>
      <c r="D117" s="33" t="n">
        <v>2.7</v>
      </c>
      <c r="E117" s="27" t="n">
        <v>30</v>
      </c>
      <c r="F117" s="34" t="inlineStr">
        <is>
          <t>T2</t>
        </is>
      </c>
      <c r="G117" s="34" t="inlineStr">
        <is>
          <t>med</t>
        </is>
      </c>
      <c r="H117" s="20" t="n">
        <v>1</v>
      </c>
      <c r="I117" s="35">
        <f>60*D117/cruise_kt</f>
        <v/>
      </c>
      <c r="J117" s="35">
        <f>IF(B117="South Korea",D117/korea_charge_range_nm*korea_full_range_charge_min,0)</f>
        <v/>
      </c>
      <c r="K117" s="35">
        <f>IF(B117="South Korea",I117+korea_turn_min+korea_dwell_min+J117,I117+turn_min+dwell_min)</f>
        <v/>
      </c>
      <c r="L117" s="36">
        <f>IF(B117="South Korea",FLOOR(60*korea_service_hr/K117,1),MIN(15,FLOOR(60*service_hr/K117,1)))</f>
        <v/>
      </c>
      <c r="M117" s="36">
        <f>IF(ABS(MOD(ABS((365*mech_uptime*H117)),1)-0.5)&lt;1E-9,2*ROUND((365*mech_uptime*H117)/2,0),ROUND((365*mech_uptime*H117),0))</f>
        <v/>
      </c>
      <c r="N117" s="37">
        <f>mech_uptime</f>
        <v/>
      </c>
      <c r="O117" s="37">
        <f>IF(AND(B117="South Korea",scenario="MID"),korea_mid_revleg,revleg_sel)</f>
        <v/>
      </c>
      <c r="P117" s="36">
        <f>IF(ABS(MOD(ABS((L117*M117*O117)),1)-0.5)&lt;1E-9,2*ROUND((L117*M117*O117)/2,0),ROUND((L117*M117*O117),0))</f>
        <v/>
      </c>
      <c r="Q117" s="37">
        <f>IF(AND(B117="South Korea",scenario="MID"),korea_mid_load,load_sel)</f>
        <v/>
      </c>
      <c r="R117" s="38">
        <f>pax_cap*Q117</f>
        <v/>
      </c>
      <c r="S117" s="36">
        <f>R117*P117</f>
        <v/>
      </c>
      <c r="T117" s="39">
        <f>E117*discount</f>
        <v/>
      </c>
      <c r="U117" s="40">
        <f>T117*S117</f>
        <v/>
      </c>
      <c r="V117" s="40">
        <f>(battery/range_nm)*D117*P117*VLOOKUP(B117,country_opex,3,FALSE)</f>
        <v/>
      </c>
      <c r="W117" s="40">
        <f>VLOOKUP(B117,country_opex,2,FALSE)*crew_factor</f>
        <v/>
      </c>
      <c r="X117" s="40">
        <f>VLOOKUP(B117,country_opex,5,FALSE)</f>
        <v/>
      </c>
      <c r="Y117" s="40">
        <f>maint</f>
        <v/>
      </c>
      <c r="Z117" s="40">
        <f>VLOOKUP(B117,country_opex,7,FALSE)*ins_pct</f>
        <v/>
      </c>
      <c r="AA117" s="40">
        <f>charge_berth</f>
        <v/>
      </c>
      <c r="AB117" s="40">
        <f>V117+W117+X117+Y117+Z117+AA117</f>
        <v/>
      </c>
      <c r="AC117" s="40">
        <f>VLOOKUP(B117,country_opex,7,FALSE)/dep_years</f>
        <v/>
      </c>
      <c r="AD117" s="40">
        <f>U117-AB117</f>
        <v/>
      </c>
      <c r="AE117" s="37">
        <f>IF(U117=0,"",AD117/U117)</f>
        <v/>
      </c>
      <c r="AF117" s="38">
        <f>IF(AD117&lt;=0,"",VLOOKUP(B117,country_opex,7,FALSE)/AD117)</f>
        <v/>
      </c>
      <c r="AG117" s="35">
        <f>((D117*P117/diesel_nmpg)*diesel_co2pg-(battery/range_nm)*D117*P117*VLOOKUP(B117,country_opex,4,FALSE))/1000</f>
        <v/>
      </c>
      <c r="AH117" s="33" t="n"/>
      <c r="AI117" s="34" t="n"/>
      <c r="AJ117" s="34" t="n"/>
      <c r="AK117" s="41" t="n">
        <v>0.1</v>
      </c>
      <c r="AL117" s="36">
        <f>IF(AH117="","",AH117*AK117)</f>
        <v/>
      </c>
      <c r="AM117" s="36">
        <f>IF(OR(AH117="",S117=0),"",MIN(IF(AU117="",9.9E+99,AU117),FLOOR(AL117/S117,1)))</f>
        <v/>
      </c>
      <c r="AN117" s="40">
        <f>IF(AM117="","",AM117*IF(ABS(MOD(ABS((U117)),1)-0.5)&lt;1E-9,2*ROUND((U117)/2,0),ROUND((U117),0)))</f>
        <v/>
      </c>
      <c r="AO117" s="38">
        <f>IF(OR(AH117="",S117=0),"",MIN(IF(AU117="",9.9E+99,AU117),AL117/S117))</f>
        <v/>
      </c>
      <c r="AP117" s="40">
        <f>IF(AO117="","",AO117*IF(B117="South Korea",IF(ABS(MOD(ABS((U117)),1)-0.5)&lt;1E-9,2*ROUND((U117)/2,0),ROUND((U117),0)),U117))</f>
        <v/>
      </c>
      <c r="AQ117" s="42" t="n"/>
      <c r="AR117" s="34" t="inlineStr">
        <is>
          <t>Estimated</t>
        </is>
      </c>
      <c r="AS117" s="43" t="n"/>
      <c r="AT117" s="43" t="n"/>
      <c r="AU117" s="44" t="n"/>
      <c r="AV117" s="45">
        <f>IF(((T117*pax_cap*load_thin*IF(ABS(MOD(ABS((L117*M117*revleg_thin)),1)-0.5)&lt;1E-9,2*ROUND((L117*M117*revleg_thin)/2,0),ROUND((L117*M117*revleg_thin),0)))-(((battery/range_nm)*D117*IF(ABS(MOD(ABS((L117*M117*revleg_thin)),1)-0.5)&lt;1E-9,2*ROUND((L117*M117*revleg_thin)/2,0),ROUND((L117*M117*revleg_thin),0))*VLOOKUP(B117,country_opex,3,FALSE))+W117+X117+Y117+Z117+AA117))&lt;=0,"",VLOOKUP(B117,country_opex,7,FALSE)/((T117*pax_cap*load_thin*IF(ABS(MOD(ABS((L117*M117*revleg_thin)),1)-0.5)&lt;1E-9,2*ROUND((L117*M117*revleg_thin)/2,0),ROUND((L117*M117*revleg_thin),0)))-(((battery/range_nm)*D117*IF(ABS(MOD(ABS((L117*M117*revleg_thin)),1)-0.5)&lt;1E-9,2*ROUND((L117*M117*revleg_thin)/2,0),ROUND((L117*M117*revleg_thin),0))*VLOOKUP(B117,country_opex,3,FALSE))+W117+X117+Y117+Z117+AA117)))</f>
        <v/>
      </c>
      <c r="AW117" s="45">
        <f>IF(((T117*pax_cap*IF(B117="South Korea",korea_mid_load,load_mid)*IF(ABS(MOD(ABS((L117*M117*IF(B117="South Korea",korea_mid_revleg,revleg_mid))),1)-0.5)&lt;1E-9,2*ROUND((L117*M117*IF(B117="South Korea",korea_mid_revleg,revleg_mid))/2,0),ROUND((L117*M117*IF(B117="South Korea",korea_mid_revleg,revleg_mid)),0)))-(((battery/range_nm)*D117*IF(ABS(MOD(ABS((L117*M117*IF(B117="South Korea",korea_mid_revleg,revleg_mid))),1)-0.5)&lt;1E-9,2*ROUND((L117*M117*IF(B117="South Korea",korea_mid_revleg,revleg_mid))/2,0),ROUND((L117*M117*IF(B117="South Korea",korea_mid_revleg,revleg_mid)),0))*VLOOKUP(B117,country_opex,3,FALSE))+W117+X117+Y117+Z117+AA117))&lt;=0,"",VLOOKUP(B117,country_opex,7,FALSE)/((T117*pax_cap*IF(B117="South Korea",korea_mid_load,load_mid)*IF(ABS(MOD(ABS((L117*M117*IF(B117="South Korea",korea_mid_revleg,revleg_mid))),1)-0.5)&lt;1E-9,2*ROUND((L117*M117*IF(B117="South Korea",korea_mid_revleg,revleg_mid))/2,0),ROUND((L117*M117*IF(B117="South Korea",korea_mid_revleg,revleg_mid)),0)))-(((battery/range_nm)*D117*IF(ABS(MOD(ABS((L117*M117*IF(B117="South Korea",korea_mid_revleg,revleg_mid))),1)-0.5)&lt;1E-9,2*ROUND((L117*M117*IF(B117="South Korea",korea_mid_revleg,revleg_mid))/2,0),ROUND((L117*M117*IF(B117="South Korea",korea_mid_revleg,revleg_mid)),0))*VLOOKUP(B117,country_opex,3,FALSE))+W117+X117+Y117+Z117+AA117)))</f>
        <v/>
      </c>
      <c r="AX117" s="45">
        <f>IF(((T117*pax_cap*load_full*IF(ABS(MOD(ABS((L117*M117*revleg_full)),1)-0.5)&lt;1E-9,2*ROUND((L117*M117*revleg_full)/2,0),ROUND((L117*M117*revleg_full),0)))-(((battery/range_nm)*D117*IF(ABS(MOD(ABS((L117*M117*revleg_full)),1)-0.5)&lt;1E-9,2*ROUND((L117*M117*revleg_full)/2,0),ROUND((L117*M117*revleg_full),0))*VLOOKUP(B117,country_opex,3,FALSE))+W117+X117+Y117+Z117+AA117))&lt;=0,"",VLOOKUP(B117,country_opex,7,FALSE)/((T117*pax_cap*load_full*IF(ABS(MOD(ABS((L117*M117*revleg_full)),1)-0.5)&lt;1E-9,2*ROUND((L117*M117*revleg_full)/2,0),ROUND((L117*M117*revleg_full),0)))-(((battery/range_nm)*D117*IF(ABS(MOD(ABS((L117*M117*revleg_full)),1)-0.5)&lt;1E-9,2*ROUND((L117*M117*revleg_full)/2,0),ROUND((L117*M117*revleg_full),0))*VLOOKUP(B117,country_opex,3,FALSE))+W117+X117+Y117+Z117+AA117)))</f>
        <v/>
      </c>
      <c r="AY117" s="46" t="inlineStr">
        <is>
          <t>PREMIUM tier: Ria Formosa island-hopping tour Olhao -&gt; Farol/Culatra/Armona ~EUR 25-30 per seat (GetYourGuide) -&gt; ~$30.</t>
        </is>
      </c>
      <c r="AZ117" s="46" t="n"/>
      <c r="BA117" s="34" t="n"/>
    </row>
    <row r="118">
      <c r="A118" s="31" t="inlineStr">
        <is>
          <t>Bolt Portugal</t>
        </is>
      </c>
      <c r="B118" s="31" t="inlineStr">
        <is>
          <t>Portugal</t>
        </is>
      </c>
      <c r="C118" s="32" t="inlineStr">
        <is>
          <t>Faro → Ilha Deserta (Barreta)</t>
        </is>
      </c>
      <c r="D118" s="33" t="n">
        <v>3</v>
      </c>
      <c r="E118" s="27" t="n">
        <v>30</v>
      </c>
      <c r="F118" s="34" t="inlineStr">
        <is>
          <t>T2</t>
        </is>
      </c>
      <c r="G118" s="34" t="inlineStr">
        <is>
          <t>med</t>
        </is>
      </c>
      <c r="H118" s="20" t="n">
        <v>1</v>
      </c>
      <c r="I118" s="35">
        <f>60*D118/cruise_kt</f>
        <v/>
      </c>
      <c r="J118" s="35">
        <f>IF(B118="South Korea",D118/korea_charge_range_nm*korea_full_range_charge_min,0)</f>
        <v/>
      </c>
      <c r="K118" s="35">
        <f>IF(B118="South Korea",I118+korea_turn_min+korea_dwell_min+J118,I118+turn_min+dwell_min)</f>
        <v/>
      </c>
      <c r="L118" s="36">
        <f>IF(B118="South Korea",FLOOR(60*korea_service_hr/K118,1),MIN(15,FLOOR(60*service_hr/K118,1)))</f>
        <v/>
      </c>
      <c r="M118" s="36">
        <f>IF(ABS(MOD(ABS((365*mech_uptime*H118)),1)-0.5)&lt;1E-9,2*ROUND((365*mech_uptime*H118)/2,0),ROUND((365*mech_uptime*H118),0))</f>
        <v/>
      </c>
      <c r="N118" s="37">
        <f>mech_uptime</f>
        <v/>
      </c>
      <c r="O118" s="37">
        <f>IF(AND(B118="South Korea",scenario="MID"),korea_mid_revleg,revleg_sel)</f>
        <v/>
      </c>
      <c r="P118" s="36">
        <f>IF(ABS(MOD(ABS((L118*M118*O118)),1)-0.5)&lt;1E-9,2*ROUND((L118*M118*O118)/2,0),ROUND((L118*M118*O118),0))</f>
        <v/>
      </c>
      <c r="Q118" s="37">
        <f>IF(AND(B118="South Korea",scenario="MID"),korea_mid_load,load_sel)</f>
        <v/>
      </c>
      <c r="R118" s="38">
        <f>pax_cap*Q118</f>
        <v/>
      </c>
      <c r="S118" s="36">
        <f>R118*P118</f>
        <v/>
      </c>
      <c r="T118" s="39">
        <f>E118*discount</f>
        <v/>
      </c>
      <c r="U118" s="40">
        <f>T118*S118</f>
        <v/>
      </c>
      <c r="V118" s="40">
        <f>(battery/range_nm)*D118*P118*VLOOKUP(B118,country_opex,3,FALSE)</f>
        <v/>
      </c>
      <c r="W118" s="40">
        <f>VLOOKUP(B118,country_opex,2,FALSE)*crew_factor</f>
        <v/>
      </c>
      <c r="X118" s="40">
        <f>VLOOKUP(B118,country_opex,5,FALSE)</f>
        <v/>
      </c>
      <c r="Y118" s="40">
        <f>maint</f>
        <v/>
      </c>
      <c r="Z118" s="40">
        <f>VLOOKUP(B118,country_opex,7,FALSE)*ins_pct</f>
        <v/>
      </c>
      <c r="AA118" s="40">
        <f>charge_berth</f>
        <v/>
      </c>
      <c r="AB118" s="40">
        <f>V118+W118+X118+Y118+Z118+AA118</f>
        <v/>
      </c>
      <c r="AC118" s="40">
        <f>VLOOKUP(B118,country_opex,7,FALSE)/dep_years</f>
        <v/>
      </c>
      <c r="AD118" s="40">
        <f>U118-AB118</f>
        <v/>
      </c>
      <c r="AE118" s="37">
        <f>IF(U118=0,"",AD118/U118)</f>
        <v/>
      </c>
      <c r="AF118" s="38">
        <f>IF(AD118&lt;=0,"",VLOOKUP(B118,country_opex,7,FALSE)/AD118)</f>
        <v/>
      </c>
      <c r="AG118" s="35">
        <f>((D118*P118/diesel_nmpg)*diesel_co2pg-(battery/range_nm)*D118*P118*VLOOKUP(B118,country_opex,4,FALSE))/1000</f>
        <v/>
      </c>
      <c r="AH118" s="33" t="n"/>
      <c r="AI118" s="34" t="n"/>
      <c r="AJ118" s="34" t="n"/>
      <c r="AK118" s="41" t="n">
        <v>0.1</v>
      </c>
      <c r="AL118" s="36">
        <f>IF(AH118="","",AH118*AK118)</f>
        <v/>
      </c>
      <c r="AM118" s="36">
        <f>IF(OR(AH118="",S118=0),"",MIN(IF(AU118="",9.9E+99,AU118),FLOOR(AL118/S118,1)))</f>
        <v/>
      </c>
      <c r="AN118" s="40">
        <f>IF(AM118="","",AM118*IF(ABS(MOD(ABS((U118)),1)-0.5)&lt;1E-9,2*ROUND((U118)/2,0),ROUND((U118),0)))</f>
        <v/>
      </c>
      <c r="AO118" s="38">
        <f>IF(OR(AH118="",S118=0),"",MIN(IF(AU118="",9.9E+99,AU118),AL118/S118))</f>
        <v/>
      </c>
      <c r="AP118" s="40">
        <f>IF(AO118="","",AO118*IF(B118="South Korea",IF(ABS(MOD(ABS((U118)),1)-0.5)&lt;1E-9,2*ROUND((U118)/2,0),ROUND((U118),0)),U118))</f>
        <v/>
      </c>
      <c r="AQ118" s="42" t="n"/>
      <c r="AR118" s="34" t="inlineStr">
        <is>
          <t>Estimated</t>
        </is>
      </c>
      <c r="AS118" s="43" t="n"/>
      <c r="AT118" s="43" t="n"/>
      <c r="AU118" s="44" t="n"/>
      <c r="AV118" s="45">
        <f>IF(((T118*pax_cap*load_thin*IF(ABS(MOD(ABS((L118*M118*revleg_thin)),1)-0.5)&lt;1E-9,2*ROUND((L118*M118*revleg_thin)/2,0),ROUND((L118*M118*revleg_thin),0)))-(((battery/range_nm)*D118*IF(ABS(MOD(ABS((L118*M118*revleg_thin)),1)-0.5)&lt;1E-9,2*ROUND((L118*M118*revleg_thin)/2,0),ROUND((L118*M118*revleg_thin),0))*VLOOKUP(B118,country_opex,3,FALSE))+W118+X118+Y118+Z118+AA118))&lt;=0,"",VLOOKUP(B118,country_opex,7,FALSE)/((T118*pax_cap*load_thin*IF(ABS(MOD(ABS((L118*M118*revleg_thin)),1)-0.5)&lt;1E-9,2*ROUND((L118*M118*revleg_thin)/2,0),ROUND((L118*M118*revleg_thin),0)))-(((battery/range_nm)*D118*IF(ABS(MOD(ABS((L118*M118*revleg_thin)),1)-0.5)&lt;1E-9,2*ROUND((L118*M118*revleg_thin)/2,0),ROUND((L118*M118*revleg_thin),0))*VLOOKUP(B118,country_opex,3,FALSE))+W118+X118+Y118+Z118+AA118)))</f>
        <v/>
      </c>
      <c r="AW118" s="45">
        <f>IF(((T118*pax_cap*IF(B118="South Korea",korea_mid_load,load_mid)*IF(ABS(MOD(ABS((L118*M118*IF(B118="South Korea",korea_mid_revleg,revleg_mid))),1)-0.5)&lt;1E-9,2*ROUND((L118*M118*IF(B118="South Korea",korea_mid_revleg,revleg_mid))/2,0),ROUND((L118*M118*IF(B118="South Korea",korea_mid_revleg,revleg_mid)),0)))-(((battery/range_nm)*D118*IF(ABS(MOD(ABS((L118*M118*IF(B118="South Korea",korea_mid_revleg,revleg_mid))),1)-0.5)&lt;1E-9,2*ROUND((L118*M118*IF(B118="South Korea",korea_mid_revleg,revleg_mid))/2,0),ROUND((L118*M118*IF(B118="South Korea",korea_mid_revleg,revleg_mid)),0))*VLOOKUP(B118,country_opex,3,FALSE))+W118+X118+Y118+Z118+AA118))&lt;=0,"",VLOOKUP(B118,country_opex,7,FALSE)/((T118*pax_cap*IF(B118="South Korea",korea_mid_load,load_mid)*IF(ABS(MOD(ABS((L118*M118*IF(B118="South Korea",korea_mid_revleg,revleg_mid))),1)-0.5)&lt;1E-9,2*ROUND((L118*M118*IF(B118="South Korea",korea_mid_revleg,revleg_mid))/2,0),ROUND((L118*M118*IF(B118="South Korea",korea_mid_revleg,revleg_mid)),0)))-(((battery/range_nm)*D118*IF(ABS(MOD(ABS((L118*M118*IF(B118="South Korea",korea_mid_revleg,revleg_mid))),1)-0.5)&lt;1E-9,2*ROUND((L118*M118*IF(B118="South Korea",korea_mid_revleg,revleg_mid))/2,0),ROUND((L118*M118*IF(B118="South Korea",korea_mid_revleg,revleg_mid)),0))*VLOOKUP(B118,country_opex,3,FALSE))+W118+X118+Y118+Z118+AA118)))</f>
        <v/>
      </c>
      <c r="AX118" s="45">
        <f>IF(((T118*pax_cap*load_full*IF(ABS(MOD(ABS((L118*M118*revleg_full)),1)-0.5)&lt;1E-9,2*ROUND((L118*M118*revleg_full)/2,0),ROUND((L118*M118*revleg_full),0)))-(((battery/range_nm)*D118*IF(ABS(MOD(ABS((L118*M118*revleg_full)),1)-0.5)&lt;1E-9,2*ROUND((L118*M118*revleg_full)/2,0),ROUND((L118*M118*revleg_full),0))*VLOOKUP(B118,country_opex,3,FALSE))+W118+X118+Y118+Z118+AA118))&lt;=0,"",VLOOKUP(B118,country_opex,7,FALSE)/((T118*pax_cap*load_full*IF(ABS(MOD(ABS((L118*M118*revleg_full)),1)-0.5)&lt;1E-9,2*ROUND((L118*M118*revleg_full)/2,0),ROUND((L118*M118*revleg_full),0)))-(((battery/range_nm)*D118*IF(ABS(MOD(ABS((L118*M118*revleg_full)),1)-0.5)&lt;1E-9,2*ROUND((L118*M118*revleg_full)/2,0),ROUND((L118*M118*revleg_full),0))*VLOOKUP(B118,country_opex,3,FALSE))+W118+X118+Y118+Z118+AA118)))</f>
        <v/>
      </c>
      <c r="AY118" s="46" t="inlineStr">
        <is>
          <t>PREMIUM tier: solar/eco boat tour Faro -&gt; Ilha Deserta ~EUR 28-30 per seat (GetYourGuide / Animaris / Lands eco boat tours) -&gt; ~$30.</t>
        </is>
      </c>
      <c r="AZ118" s="46" t="n"/>
      <c r="BA118" s="34" t="n"/>
    </row>
    <row r="119">
      <c r="A119" s="31" t="inlineStr">
        <is>
          <t>Bolt Portugal</t>
        </is>
      </c>
      <c r="B119" s="31" t="inlineStr">
        <is>
          <t>Portugal</t>
        </is>
      </c>
      <c r="C119" s="32" t="inlineStr">
        <is>
          <t>Cais do Sodre (Lisbon) → Seixal</t>
        </is>
      </c>
      <c r="D119" s="33" t="n">
        <v>4.6</v>
      </c>
      <c r="E119" s="27" t="n">
        <v>18</v>
      </c>
      <c r="F119" s="34" t="inlineStr">
        <is>
          <t>T2</t>
        </is>
      </c>
      <c r="G119" s="34" t="inlineStr">
        <is>
          <t>med</t>
        </is>
      </c>
      <c r="H119" s="20" t="n">
        <v>1</v>
      </c>
      <c r="I119" s="35">
        <f>60*D119/cruise_kt</f>
        <v/>
      </c>
      <c r="J119" s="35">
        <f>IF(B119="South Korea",D119/korea_charge_range_nm*korea_full_range_charge_min,0)</f>
        <v/>
      </c>
      <c r="K119" s="35">
        <f>IF(B119="South Korea",I119+korea_turn_min+korea_dwell_min+J119,I119+turn_min+dwell_min)</f>
        <v/>
      </c>
      <c r="L119" s="36">
        <f>IF(B119="South Korea",FLOOR(60*korea_service_hr/K119,1),MIN(24,FLOOR(60*service_hr/K119,1)))</f>
        <v/>
      </c>
      <c r="M119" s="36">
        <f>IF(ABS(MOD(ABS((365*mech_uptime*H119)),1)-0.5)&lt;1E-9,2*ROUND((365*mech_uptime*H119)/2,0),ROUND((365*mech_uptime*H119),0))</f>
        <v/>
      </c>
      <c r="N119" s="37">
        <f>mech_uptime</f>
        <v/>
      </c>
      <c r="O119" s="37">
        <f>IF(AND(B119="South Korea",scenario="MID"),korea_mid_revleg,revleg_sel)</f>
        <v/>
      </c>
      <c r="P119" s="36">
        <f>IF(ABS(MOD(ABS((L119*M119*O119)),1)-0.5)&lt;1E-9,2*ROUND((L119*M119*O119)/2,0),ROUND((L119*M119*O119),0))</f>
        <v/>
      </c>
      <c r="Q119" s="37">
        <f>IF(AND(B119="South Korea",scenario="MID"),korea_mid_load,load_sel)</f>
        <v/>
      </c>
      <c r="R119" s="38">
        <f>pax_cap*Q119</f>
        <v/>
      </c>
      <c r="S119" s="36">
        <f>R119*P119</f>
        <v/>
      </c>
      <c r="T119" s="39">
        <f>E119*discount</f>
        <v/>
      </c>
      <c r="U119" s="40">
        <f>T119*S119</f>
        <v/>
      </c>
      <c r="V119" s="40">
        <f>(battery/range_nm)*D119*P119*VLOOKUP(B119,country_opex,3,FALSE)</f>
        <v/>
      </c>
      <c r="W119" s="40">
        <f>VLOOKUP(B119,country_opex,2,FALSE)*crew_factor</f>
        <v/>
      </c>
      <c r="X119" s="40">
        <f>VLOOKUP(B119,country_opex,5,FALSE)</f>
        <v/>
      </c>
      <c r="Y119" s="40">
        <f>maint</f>
        <v/>
      </c>
      <c r="Z119" s="40">
        <f>VLOOKUP(B119,country_opex,7,FALSE)*ins_pct</f>
        <v/>
      </c>
      <c r="AA119" s="40">
        <f>charge_berth</f>
        <v/>
      </c>
      <c r="AB119" s="40">
        <f>V119+W119+X119+Y119+Z119+AA119</f>
        <v/>
      </c>
      <c r="AC119" s="40">
        <f>VLOOKUP(B119,country_opex,7,FALSE)/dep_years</f>
        <v/>
      </c>
      <c r="AD119" s="40">
        <f>U119-AB119</f>
        <v/>
      </c>
      <c r="AE119" s="37">
        <f>IF(U119=0,"",AD119/U119)</f>
        <v/>
      </c>
      <c r="AF119" s="38">
        <f>IF(AD119&lt;=0,"",VLOOKUP(B119,country_opex,7,FALSE)/AD119)</f>
        <v/>
      </c>
      <c r="AG119" s="35">
        <f>((D119*P119/diesel_nmpg)*diesel_co2pg-(battery/range_nm)*D119*P119*VLOOKUP(B119,country_opex,4,FALSE))/1000</f>
        <v/>
      </c>
      <c r="AH119" s="33" t="n">
        <v>183931</v>
      </c>
      <c r="AI119" s="34" t="n"/>
      <c r="AJ119" s="34" t="inlineStr">
        <is>
          <t>med</t>
        </is>
      </c>
      <c r="AK119" s="41" t="n">
        <v>0.25</v>
      </c>
      <c r="AL119" s="36">
        <f>IF(AH119="","",AH119*AK119)</f>
        <v/>
      </c>
      <c r="AM119" s="36">
        <f>IF(OR(AH119="",S119=0),"",MIN(IF(AU119="",9.9E+99,AU119),FLOOR(AL119/S119,1)))</f>
        <v/>
      </c>
      <c r="AN119" s="40">
        <f>IF(AM119="","",AM119*IF(ABS(MOD(ABS((U119)),1)-0.5)&lt;1E-9,2*ROUND((U119)/2,0),ROUND((U119),0)))</f>
        <v/>
      </c>
      <c r="AO119" s="38">
        <f>IF(OR(AH119="",S119=0),"",MIN(IF(AU119="",9.9E+99,AU119),AL119/S119))</f>
        <v/>
      </c>
      <c r="AP119" s="40">
        <f>IF(AO119="","",AO119*IF(B119="South Korea",IF(ABS(MOD(ABS((U119)),1)-0.5)&lt;1E-9,2*ROUND((U119)/2,0),ROUND((U119),0)),U119))</f>
        <v/>
      </c>
      <c r="AQ119" s="42" t="n"/>
      <c r="AR119" s="34" t="inlineStr">
        <is>
          <t>Grounded</t>
        </is>
      </c>
      <c r="AS119" s="43" t="n"/>
      <c r="AT119" s="43" t="n"/>
      <c r="AU119" s="44" t="n"/>
      <c r="AV119" s="45">
        <f>IF(((T119*pax_cap*load_thin*IF(ABS(MOD(ABS((L119*M119*revleg_thin)),1)-0.5)&lt;1E-9,2*ROUND((L119*M119*revleg_thin)/2,0),ROUND((L119*M119*revleg_thin),0)))-(((battery/range_nm)*D119*IF(ABS(MOD(ABS((L119*M119*revleg_thin)),1)-0.5)&lt;1E-9,2*ROUND((L119*M119*revleg_thin)/2,0),ROUND((L119*M119*revleg_thin),0))*VLOOKUP(B119,country_opex,3,FALSE))+W119+X119+Y119+Z119+AA119))&lt;=0,"",VLOOKUP(B119,country_opex,7,FALSE)/((T119*pax_cap*load_thin*IF(ABS(MOD(ABS((L119*M119*revleg_thin)),1)-0.5)&lt;1E-9,2*ROUND((L119*M119*revleg_thin)/2,0),ROUND((L119*M119*revleg_thin),0)))-(((battery/range_nm)*D119*IF(ABS(MOD(ABS((L119*M119*revleg_thin)),1)-0.5)&lt;1E-9,2*ROUND((L119*M119*revleg_thin)/2,0),ROUND((L119*M119*revleg_thin),0))*VLOOKUP(B119,country_opex,3,FALSE))+W119+X119+Y119+Z119+AA119)))</f>
        <v/>
      </c>
      <c r="AW119" s="45">
        <f>IF(((T119*pax_cap*IF(B119="South Korea",korea_mid_load,load_mid)*IF(ABS(MOD(ABS((L119*M119*IF(B119="South Korea",korea_mid_revleg,revleg_mid))),1)-0.5)&lt;1E-9,2*ROUND((L119*M119*IF(B119="South Korea",korea_mid_revleg,revleg_mid))/2,0),ROUND((L119*M119*IF(B119="South Korea",korea_mid_revleg,revleg_mid)),0)))-(((battery/range_nm)*D119*IF(ABS(MOD(ABS((L119*M119*IF(B119="South Korea",korea_mid_revleg,revleg_mid))),1)-0.5)&lt;1E-9,2*ROUND((L119*M119*IF(B119="South Korea",korea_mid_revleg,revleg_mid))/2,0),ROUND((L119*M119*IF(B119="South Korea",korea_mid_revleg,revleg_mid)),0))*VLOOKUP(B119,country_opex,3,FALSE))+W119+X119+Y119+Z119+AA119))&lt;=0,"",VLOOKUP(B119,country_opex,7,FALSE)/((T119*pax_cap*IF(B119="South Korea",korea_mid_load,load_mid)*IF(ABS(MOD(ABS((L119*M119*IF(B119="South Korea",korea_mid_revleg,revleg_mid))),1)-0.5)&lt;1E-9,2*ROUND((L119*M119*IF(B119="South Korea",korea_mid_revleg,revleg_mid))/2,0),ROUND((L119*M119*IF(B119="South Korea",korea_mid_revleg,revleg_mid)),0)))-(((battery/range_nm)*D119*IF(ABS(MOD(ABS((L119*M119*IF(B119="South Korea",korea_mid_revleg,revleg_mid))),1)-0.5)&lt;1E-9,2*ROUND((L119*M119*IF(B119="South Korea",korea_mid_revleg,revleg_mid))/2,0),ROUND((L119*M119*IF(B119="South Korea",korea_mid_revleg,revleg_mid)),0))*VLOOKUP(B119,country_opex,3,FALSE))+W119+X119+Y119+Z119+AA119)))</f>
        <v/>
      </c>
      <c r="AX119" s="45">
        <f>IF(((T119*pax_cap*load_full*IF(ABS(MOD(ABS((L119*M119*revleg_full)),1)-0.5)&lt;1E-9,2*ROUND((L119*M119*revleg_full)/2,0),ROUND((L119*M119*revleg_full),0)))-(((battery/range_nm)*D119*IF(ABS(MOD(ABS((L119*M119*revleg_full)),1)-0.5)&lt;1E-9,2*ROUND((L119*M119*revleg_full)/2,0),ROUND((L119*M119*revleg_full),0))*VLOOKUP(B119,country_opex,3,FALSE))+W119+X119+Y119+Z119+AA119))&lt;=0,"",VLOOKUP(B119,country_opex,7,FALSE)/((T119*pax_cap*load_full*IF(ABS(MOD(ABS((L119*M119*revleg_full)),1)-0.5)&lt;1E-9,2*ROUND((L119*M119*revleg_full)/2,0),ROUND((L119*M119*revleg_full),0)))-(((battery/range_nm)*D119*IF(ABS(MOD(ABS((L119*M119*revleg_full)),1)-0.5)&lt;1E-9,2*ROUND((L119*M119*revleg_full)/2,0),ROUND((L119*M119*revleg_full),0))*VLOOKUP(B119,country_opex,3,FALSE))+W119+X119+Y119+Z119+AA119)))</f>
        <v/>
      </c>
      <c r="AY119" s="46" t="inlineStr">
        <is>
          <t>[LB-255 PREMIUM RE-FARE: subsidized comparable $3.02 lifted to premium on-demand floor $18.0] Public-transit adult single Seixal/Cais do Sodre = EUR 2.80 (TTSL 2024 tariff) x1.08 = ~$3.02.</t>
        </is>
      </c>
      <c r="AZ119" s="46" t="n"/>
      <c r="BA119" s="34" t="n"/>
    </row>
    <row r="120">
      <c r="A120" s="31" t="inlineStr">
        <is>
          <t>Bolt Portugal</t>
        </is>
      </c>
      <c r="B120" s="31" t="inlineStr">
        <is>
          <t>Portugal</t>
        </is>
      </c>
      <c r="C120" s="32" t="inlineStr">
        <is>
          <t>Terreiro do Paco (Lisbon) → Barreiro</t>
        </is>
      </c>
      <c r="D120" s="33" t="n">
        <v>5</v>
      </c>
      <c r="E120" s="27" t="n">
        <v>18</v>
      </c>
      <c r="F120" s="34" t="inlineStr">
        <is>
          <t>T2</t>
        </is>
      </c>
      <c r="G120" s="34" t="inlineStr">
        <is>
          <t>med</t>
        </is>
      </c>
      <c r="H120" s="20" t="n">
        <v>1</v>
      </c>
      <c r="I120" s="35">
        <f>60*D120/cruise_kt</f>
        <v/>
      </c>
      <c r="J120" s="35">
        <f>IF(B120="South Korea",D120/korea_charge_range_nm*korea_full_range_charge_min,0)</f>
        <v/>
      </c>
      <c r="K120" s="35">
        <f>IF(B120="South Korea",I120+korea_turn_min+korea_dwell_min+J120,I120+turn_min+dwell_min)</f>
        <v/>
      </c>
      <c r="L120" s="36">
        <f>IF(B120="South Korea",FLOOR(60*korea_service_hr/K120,1),MIN(24,FLOOR(60*service_hr/K120,1)))</f>
        <v/>
      </c>
      <c r="M120" s="36">
        <f>IF(ABS(MOD(ABS((365*mech_uptime*H120)),1)-0.5)&lt;1E-9,2*ROUND((365*mech_uptime*H120)/2,0),ROUND((365*mech_uptime*H120),0))</f>
        <v/>
      </c>
      <c r="N120" s="37">
        <f>mech_uptime</f>
        <v/>
      </c>
      <c r="O120" s="37">
        <f>IF(AND(B120="South Korea",scenario="MID"),korea_mid_revleg,revleg_sel)</f>
        <v/>
      </c>
      <c r="P120" s="36">
        <f>IF(ABS(MOD(ABS((L120*M120*O120)),1)-0.5)&lt;1E-9,2*ROUND((L120*M120*O120)/2,0),ROUND((L120*M120*O120),0))</f>
        <v/>
      </c>
      <c r="Q120" s="37">
        <f>IF(AND(B120="South Korea",scenario="MID"),korea_mid_load,load_sel)</f>
        <v/>
      </c>
      <c r="R120" s="38">
        <f>pax_cap*Q120</f>
        <v/>
      </c>
      <c r="S120" s="36">
        <f>R120*P120</f>
        <v/>
      </c>
      <c r="T120" s="39">
        <f>E120*discount</f>
        <v/>
      </c>
      <c r="U120" s="40">
        <f>T120*S120</f>
        <v/>
      </c>
      <c r="V120" s="40">
        <f>(battery/range_nm)*D120*P120*VLOOKUP(B120,country_opex,3,FALSE)</f>
        <v/>
      </c>
      <c r="W120" s="40">
        <f>VLOOKUP(B120,country_opex,2,FALSE)*crew_factor</f>
        <v/>
      </c>
      <c r="X120" s="40">
        <f>VLOOKUP(B120,country_opex,5,FALSE)</f>
        <v/>
      </c>
      <c r="Y120" s="40">
        <f>maint</f>
        <v/>
      </c>
      <c r="Z120" s="40">
        <f>VLOOKUP(B120,country_opex,7,FALSE)*ins_pct</f>
        <v/>
      </c>
      <c r="AA120" s="40">
        <f>charge_berth</f>
        <v/>
      </c>
      <c r="AB120" s="40">
        <f>V120+W120+X120+Y120+Z120+AA120</f>
        <v/>
      </c>
      <c r="AC120" s="40">
        <f>VLOOKUP(B120,country_opex,7,FALSE)/dep_years</f>
        <v/>
      </c>
      <c r="AD120" s="40">
        <f>U120-AB120</f>
        <v/>
      </c>
      <c r="AE120" s="37">
        <f>IF(U120=0,"",AD120/U120)</f>
        <v/>
      </c>
      <c r="AF120" s="38">
        <f>IF(AD120&lt;=0,"",VLOOKUP(B120,country_opex,7,FALSE)/AD120)</f>
        <v/>
      </c>
      <c r="AG120" s="35">
        <f>((D120*P120/diesel_nmpg)*diesel_co2pg-(battery/range_nm)*D120*P120*VLOOKUP(B120,country_opex,4,FALSE))/1000</f>
        <v/>
      </c>
      <c r="AH120" s="33" t="n">
        <v>1777523</v>
      </c>
      <c r="AI120" s="34" t="n"/>
      <c r="AJ120" s="34" t="inlineStr">
        <is>
          <t>med</t>
        </is>
      </c>
      <c r="AK120" s="41" t="n">
        <v>0.25</v>
      </c>
      <c r="AL120" s="36">
        <f>IF(AH120="","",AH120*AK120)</f>
        <v/>
      </c>
      <c r="AM120" s="36">
        <f>IF(OR(AH120="",S120=0),"",MIN(IF(AU120="",9.9E+99,AU120),FLOOR(AL120/S120,1)))</f>
        <v/>
      </c>
      <c r="AN120" s="40">
        <f>IF(AM120="","",AM120*IF(ABS(MOD(ABS((U120)),1)-0.5)&lt;1E-9,2*ROUND((U120)/2,0),ROUND((U120),0)))</f>
        <v/>
      </c>
      <c r="AO120" s="38">
        <f>IF(OR(AH120="",S120=0),"",MIN(IF(AU120="",9.9E+99,AU120),AL120/S120))</f>
        <v/>
      </c>
      <c r="AP120" s="40">
        <f>IF(AO120="","",AO120*IF(B120="South Korea",IF(ABS(MOD(ABS((U120)),1)-0.5)&lt;1E-9,2*ROUND((U120)/2,0),ROUND((U120),0)),U120))</f>
        <v/>
      </c>
      <c r="AQ120" s="42" t="n"/>
      <c r="AR120" s="34" t="inlineStr">
        <is>
          <t>Grounded</t>
        </is>
      </c>
      <c r="AS120" s="43" t="n"/>
      <c r="AT120" s="43" t="n"/>
      <c r="AU120" s="44" t="n"/>
      <c r="AV120" s="45">
        <f>IF(((T120*pax_cap*load_thin*IF(ABS(MOD(ABS((L120*M120*revleg_thin)),1)-0.5)&lt;1E-9,2*ROUND((L120*M120*revleg_thin)/2,0),ROUND((L120*M120*revleg_thin),0)))-(((battery/range_nm)*D120*IF(ABS(MOD(ABS((L120*M120*revleg_thin)),1)-0.5)&lt;1E-9,2*ROUND((L120*M120*revleg_thin)/2,0),ROUND((L120*M120*revleg_thin),0))*VLOOKUP(B120,country_opex,3,FALSE))+W120+X120+Y120+Z120+AA120))&lt;=0,"",VLOOKUP(B120,country_opex,7,FALSE)/((T120*pax_cap*load_thin*IF(ABS(MOD(ABS((L120*M120*revleg_thin)),1)-0.5)&lt;1E-9,2*ROUND((L120*M120*revleg_thin)/2,0),ROUND((L120*M120*revleg_thin),0)))-(((battery/range_nm)*D120*IF(ABS(MOD(ABS((L120*M120*revleg_thin)),1)-0.5)&lt;1E-9,2*ROUND((L120*M120*revleg_thin)/2,0),ROUND((L120*M120*revleg_thin),0))*VLOOKUP(B120,country_opex,3,FALSE))+W120+X120+Y120+Z120+AA120)))</f>
        <v/>
      </c>
      <c r="AW120" s="45">
        <f>IF(((T120*pax_cap*IF(B120="South Korea",korea_mid_load,load_mid)*IF(ABS(MOD(ABS((L120*M120*IF(B120="South Korea",korea_mid_revleg,revleg_mid))),1)-0.5)&lt;1E-9,2*ROUND((L120*M120*IF(B120="South Korea",korea_mid_revleg,revleg_mid))/2,0),ROUND((L120*M120*IF(B120="South Korea",korea_mid_revleg,revleg_mid)),0)))-(((battery/range_nm)*D120*IF(ABS(MOD(ABS((L120*M120*IF(B120="South Korea",korea_mid_revleg,revleg_mid))),1)-0.5)&lt;1E-9,2*ROUND((L120*M120*IF(B120="South Korea",korea_mid_revleg,revleg_mid))/2,0),ROUND((L120*M120*IF(B120="South Korea",korea_mid_revleg,revleg_mid)),0))*VLOOKUP(B120,country_opex,3,FALSE))+W120+X120+Y120+Z120+AA120))&lt;=0,"",VLOOKUP(B120,country_opex,7,FALSE)/((T120*pax_cap*IF(B120="South Korea",korea_mid_load,load_mid)*IF(ABS(MOD(ABS((L120*M120*IF(B120="South Korea",korea_mid_revleg,revleg_mid))),1)-0.5)&lt;1E-9,2*ROUND((L120*M120*IF(B120="South Korea",korea_mid_revleg,revleg_mid))/2,0),ROUND((L120*M120*IF(B120="South Korea",korea_mid_revleg,revleg_mid)),0)))-(((battery/range_nm)*D120*IF(ABS(MOD(ABS((L120*M120*IF(B120="South Korea",korea_mid_revleg,revleg_mid))),1)-0.5)&lt;1E-9,2*ROUND((L120*M120*IF(B120="South Korea",korea_mid_revleg,revleg_mid))/2,0),ROUND((L120*M120*IF(B120="South Korea",korea_mid_revleg,revleg_mid)),0))*VLOOKUP(B120,country_opex,3,FALSE))+W120+X120+Y120+Z120+AA120)))</f>
        <v/>
      </c>
      <c r="AX120" s="45">
        <f>IF(((T120*pax_cap*load_full*IF(ABS(MOD(ABS((L120*M120*revleg_full)),1)-0.5)&lt;1E-9,2*ROUND((L120*M120*revleg_full)/2,0),ROUND((L120*M120*revleg_full),0)))-(((battery/range_nm)*D120*IF(ABS(MOD(ABS((L120*M120*revleg_full)),1)-0.5)&lt;1E-9,2*ROUND((L120*M120*revleg_full)/2,0),ROUND((L120*M120*revleg_full),0))*VLOOKUP(B120,country_opex,3,FALSE))+W120+X120+Y120+Z120+AA120))&lt;=0,"",VLOOKUP(B120,country_opex,7,FALSE)/((T120*pax_cap*load_full*IF(ABS(MOD(ABS((L120*M120*revleg_full)),1)-0.5)&lt;1E-9,2*ROUND((L120*M120*revleg_full)/2,0),ROUND((L120*M120*revleg_full),0)))-(((battery/range_nm)*D120*IF(ABS(MOD(ABS((L120*M120*revleg_full)),1)-0.5)&lt;1E-9,2*ROUND((L120*M120*revleg_full)/2,0),ROUND((L120*M120*revleg_full),0))*VLOOKUP(B120,country_opex,3,FALSE))+W120+X120+Y120+Z120+AA120)))</f>
        <v/>
      </c>
      <c r="AY120" s="46" t="inlineStr">
        <is>
          <t>[LB-255 PREMIUM RE-FARE: subsidized comparable $3.02 lifted to premium on-demand floor $18.0] Public-transit adult single Barreiro/Terreiro do Paco = EUR 2.80 (TTSL 2024 tariff) x1.08 = ~$3.02.</t>
        </is>
      </c>
      <c r="AZ120" s="46" t="n"/>
      <c r="BA120" s="34" t="n"/>
    </row>
    <row r="121">
      <c r="A121" s="31" t="inlineStr">
        <is>
          <t>Bolt Portugal</t>
        </is>
      </c>
      <c r="B121" s="31" t="inlineStr">
        <is>
          <t>Portugal</t>
        </is>
      </c>
      <c r="C121" s="32" t="inlineStr">
        <is>
          <t>Portimao → Benagil</t>
        </is>
      </c>
      <c r="D121" s="33" t="n">
        <v>6</v>
      </c>
      <c r="E121" s="27" t="n">
        <v>45</v>
      </c>
      <c r="F121" s="34" t="inlineStr">
        <is>
          <t>T2</t>
        </is>
      </c>
      <c r="G121" s="34" t="inlineStr">
        <is>
          <t>med</t>
        </is>
      </c>
      <c r="H121" s="20" t="n">
        <v>1</v>
      </c>
      <c r="I121" s="35">
        <f>60*D121/cruise_kt</f>
        <v/>
      </c>
      <c r="J121" s="35">
        <f>IF(B121="South Korea",D121/korea_charge_range_nm*korea_full_range_charge_min,0)</f>
        <v/>
      </c>
      <c r="K121" s="35">
        <f>IF(B121="South Korea",I121+korea_turn_min+korea_dwell_min+J121,I121+turn_min+dwell_min)</f>
        <v/>
      </c>
      <c r="L121" s="36">
        <f>IF(B121="South Korea",FLOOR(60*korea_service_hr/K121,1),MIN(15,FLOOR(60*service_hr/K121,1)))</f>
        <v/>
      </c>
      <c r="M121" s="36">
        <f>IF(ABS(MOD(ABS((365*mech_uptime*H121)),1)-0.5)&lt;1E-9,2*ROUND((365*mech_uptime*H121)/2,0),ROUND((365*mech_uptime*H121),0))</f>
        <v/>
      </c>
      <c r="N121" s="37">
        <f>mech_uptime</f>
        <v/>
      </c>
      <c r="O121" s="37">
        <f>IF(AND(B121="South Korea",scenario="MID"),korea_mid_revleg,revleg_sel)</f>
        <v/>
      </c>
      <c r="P121" s="36">
        <f>IF(ABS(MOD(ABS((L121*M121*O121)),1)-0.5)&lt;1E-9,2*ROUND((L121*M121*O121)/2,0),ROUND((L121*M121*O121),0))</f>
        <v/>
      </c>
      <c r="Q121" s="37">
        <f>IF(AND(B121="South Korea",scenario="MID"),korea_mid_load,load_sel)</f>
        <v/>
      </c>
      <c r="R121" s="38">
        <f>pax_cap*Q121</f>
        <v/>
      </c>
      <c r="S121" s="36">
        <f>R121*P121</f>
        <v/>
      </c>
      <c r="T121" s="39">
        <f>E121*discount</f>
        <v/>
      </c>
      <c r="U121" s="40">
        <f>T121*S121</f>
        <v/>
      </c>
      <c r="V121" s="40">
        <f>(battery/range_nm)*D121*P121*VLOOKUP(B121,country_opex,3,FALSE)</f>
        <v/>
      </c>
      <c r="W121" s="40">
        <f>VLOOKUP(B121,country_opex,2,FALSE)*crew_factor</f>
        <v/>
      </c>
      <c r="X121" s="40">
        <f>VLOOKUP(B121,country_opex,5,FALSE)</f>
        <v/>
      </c>
      <c r="Y121" s="40">
        <f>maint</f>
        <v/>
      </c>
      <c r="Z121" s="40">
        <f>VLOOKUP(B121,country_opex,7,FALSE)*ins_pct</f>
        <v/>
      </c>
      <c r="AA121" s="40">
        <f>charge_berth</f>
        <v/>
      </c>
      <c r="AB121" s="40">
        <f>V121+W121+X121+Y121+Z121+AA121</f>
        <v/>
      </c>
      <c r="AC121" s="40">
        <f>VLOOKUP(B121,country_opex,7,FALSE)/dep_years</f>
        <v/>
      </c>
      <c r="AD121" s="40">
        <f>U121-AB121</f>
        <v/>
      </c>
      <c r="AE121" s="37">
        <f>IF(U121=0,"",AD121/U121)</f>
        <v/>
      </c>
      <c r="AF121" s="38">
        <f>IF(AD121&lt;=0,"",VLOOKUP(B121,country_opex,7,FALSE)/AD121)</f>
        <v/>
      </c>
      <c r="AG121" s="35">
        <f>((D121*P121/diesel_nmpg)*diesel_co2pg-(battery/range_nm)*D121*P121*VLOOKUP(B121,country_opex,4,FALSE))/1000</f>
        <v/>
      </c>
      <c r="AH121" s="33" t="n"/>
      <c r="AI121" s="34" t="n"/>
      <c r="AJ121" s="34" t="n"/>
      <c r="AK121" s="41" t="n">
        <v>0.1</v>
      </c>
      <c r="AL121" s="36">
        <f>IF(AH121="","",AH121*AK121)</f>
        <v/>
      </c>
      <c r="AM121" s="36">
        <f>IF(OR(AH121="",S121=0),"",MIN(IF(AU121="",9.9E+99,AU121),FLOOR(AL121/S121,1)))</f>
        <v/>
      </c>
      <c r="AN121" s="40">
        <f>IF(AM121="","",AM121*IF(ABS(MOD(ABS((U121)),1)-0.5)&lt;1E-9,2*ROUND((U121)/2,0),ROUND((U121),0)))</f>
        <v/>
      </c>
      <c r="AO121" s="38">
        <f>IF(OR(AH121="",S121=0),"",MIN(IF(AU121="",9.9E+99,AU121),AL121/S121))</f>
        <v/>
      </c>
      <c r="AP121" s="40">
        <f>IF(AO121="","",AO121*IF(B121="South Korea",IF(ABS(MOD(ABS((U121)),1)-0.5)&lt;1E-9,2*ROUND((U121)/2,0),ROUND((U121),0)),U121))</f>
        <v/>
      </c>
      <c r="AQ121" s="42" t="n"/>
      <c r="AR121" s="34" t="inlineStr">
        <is>
          <t>Estimated</t>
        </is>
      </c>
      <c r="AS121" s="43" t="n"/>
      <c r="AT121" s="43" t="n"/>
      <c r="AU121" s="44" t="n"/>
      <c r="AV121" s="45">
        <f>IF(((T121*pax_cap*load_thin*IF(ABS(MOD(ABS((L121*M121*revleg_thin)),1)-0.5)&lt;1E-9,2*ROUND((L121*M121*revleg_thin)/2,0),ROUND((L121*M121*revleg_thin),0)))-(((battery/range_nm)*D121*IF(ABS(MOD(ABS((L121*M121*revleg_thin)),1)-0.5)&lt;1E-9,2*ROUND((L121*M121*revleg_thin)/2,0),ROUND((L121*M121*revleg_thin),0))*VLOOKUP(B121,country_opex,3,FALSE))+W121+X121+Y121+Z121+AA121))&lt;=0,"",VLOOKUP(B121,country_opex,7,FALSE)/((T121*pax_cap*load_thin*IF(ABS(MOD(ABS((L121*M121*revleg_thin)),1)-0.5)&lt;1E-9,2*ROUND((L121*M121*revleg_thin)/2,0),ROUND((L121*M121*revleg_thin),0)))-(((battery/range_nm)*D121*IF(ABS(MOD(ABS((L121*M121*revleg_thin)),1)-0.5)&lt;1E-9,2*ROUND((L121*M121*revleg_thin)/2,0),ROUND((L121*M121*revleg_thin),0))*VLOOKUP(B121,country_opex,3,FALSE))+W121+X121+Y121+Z121+AA121)))</f>
        <v/>
      </c>
      <c r="AW121" s="45">
        <f>IF(((T121*pax_cap*IF(B121="South Korea",korea_mid_load,load_mid)*IF(ABS(MOD(ABS((L121*M121*IF(B121="South Korea",korea_mid_revleg,revleg_mid))),1)-0.5)&lt;1E-9,2*ROUND((L121*M121*IF(B121="South Korea",korea_mid_revleg,revleg_mid))/2,0),ROUND((L121*M121*IF(B121="South Korea",korea_mid_revleg,revleg_mid)),0)))-(((battery/range_nm)*D121*IF(ABS(MOD(ABS((L121*M121*IF(B121="South Korea",korea_mid_revleg,revleg_mid))),1)-0.5)&lt;1E-9,2*ROUND((L121*M121*IF(B121="South Korea",korea_mid_revleg,revleg_mid))/2,0),ROUND((L121*M121*IF(B121="South Korea",korea_mid_revleg,revleg_mid)),0))*VLOOKUP(B121,country_opex,3,FALSE))+W121+X121+Y121+Z121+AA121))&lt;=0,"",VLOOKUP(B121,country_opex,7,FALSE)/((T121*pax_cap*IF(B121="South Korea",korea_mid_load,load_mid)*IF(ABS(MOD(ABS((L121*M121*IF(B121="South Korea",korea_mid_revleg,revleg_mid))),1)-0.5)&lt;1E-9,2*ROUND((L121*M121*IF(B121="South Korea",korea_mid_revleg,revleg_mid))/2,0),ROUND((L121*M121*IF(B121="South Korea",korea_mid_revleg,revleg_mid)),0)))-(((battery/range_nm)*D121*IF(ABS(MOD(ABS((L121*M121*IF(B121="South Korea",korea_mid_revleg,revleg_mid))),1)-0.5)&lt;1E-9,2*ROUND((L121*M121*IF(B121="South Korea",korea_mid_revleg,revleg_mid))/2,0),ROUND((L121*M121*IF(B121="South Korea",korea_mid_revleg,revleg_mid)),0))*VLOOKUP(B121,country_opex,3,FALSE))+W121+X121+Y121+Z121+AA121)))</f>
        <v/>
      </c>
      <c r="AX121" s="45">
        <f>IF(((T121*pax_cap*load_full*IF(ABS(MOD(ABS((L121*M121*revleg_full)),1)-0.5)&lt;1E-9,2*ROUND((L121*M121*revleg_full)/2,0),ROUND((L121*M121*revleg_full),0)))-(((battery/range_nm)*D121*IF(ABS(MOD(ABS((L121*M121*revleg_full)),1)-0.5)&lt;1E-9,2*ROUND((L121*M121*revleg_full)/2,0),ROUND((L121*M121*revleg_full),0))*VLOOKUP(B121,country_opex,3,FALSE))+W121+X121+Y121+Z121+AA121))&lt;=0,"",VLOOKUP(B121,country_opex,7,FALSE)/((T121*pax_cap*load_full*IF(ABS(MOD(ABS((L121*M121*revleg_full)),1)-0.5)&lt;1E-9,2*ROUND((L121*M121*revleg_full)/2,0),ROUND((L121*M121*revleg_full),0)))-(((battery/range_nm)*D121*IF(ABS(MOD(ABS((L121*M121*revleg_full)),1)-0.5)&lt;1E-9,2*ROUND((L121*M121*revleg_full)/2,0),ROUND((L121*M121*revleg_full),0))*VLOOKUP(B121,country_opex,3,FALSE))+W121+X121+Y121+Z121+AA121)))</f>
        <v/>
      </c>
      <c r="AY121" s="46" t="inlineStr">
        <is>
          <t>PREMIUM tier: Benagil + Marinha boat tour from Portimao ~EUR 35-50 per seat (GetYourGuide ~$40-50; private/luxury much higher) -&gt; ~$45.</t>
        </is>
      </c>
      <c r="AZ121" s="46" t="n"/>
      <c r="BA121" s="34" t="n"/>
    </row>
    <row r="122">
      <c r="A122" s="31" t="inlineStr">
        <is>
          <t>Bolt Portugal</t>
        </is>
      </c>
      <c r="B122" s="31" t="inlineStr">
        <is>
          <t>Portugal</t>
        </is>
      </c>
      <c r="C122" s="32" t="inlineStr">
        <is>
          <t>Cais do Sodre (Lisbon) → Montijo</t>
        </is>
      </c>
      <c r="D122" s="33" t="n">
        <v>8.1</v>
      </c>
      <c r="E122" s="27" t="n">
        <v>18</v>
      </c>
      <c r="F122" s="34" t="inlineStr">
        <is>
          <t>T2</t>
        </is>
      </c>
      <c r="G122" s="34" t="inlineStr">
        <is>
          <t>med</t>
        </is>
      </c>
      <c r="H122" s="20" t="n">
        <v>1</v>
      </c>
      <c r="I122" s="35">
        <f>60*D122/cruise_kt</f>
        <v/>
      </c>
      <c r="J122" s="35">
        <f>IF(B122="South Korea",D122/korea_charge_range_nm*korea_full_range_charge_min,0)</f>
        <v/>
      </c>
      <c r="K122" s="35">
        <f>IF(B122="South Korea",I122+korea_turn_min+korea_dwell_min+J122,I122+turn_min+dwell_min)</f>
        <v/>
      </c>
      <c r="L122" s="36">
        <f>IF(B122="South Korea",FLOOR(60*korea_service_hr/K122,1),MIN(24,FLOOR(60*service_hr/K122,1)))</f>
        <v/>
      </c>
      <c r="M122" s="36">
        <f>IF(ABS(MOD(ABS((365*mech_uptime*H122)),1)-0.5)&lt;1E-9,2*ROUND((365*mech_uptime*H122)/2,0),ROUND((365*mech_uptime*H122),0))</f>
        <v/>
      </c>
      <c r="N122" s="37">
        <f>mech_uptime</f>
        <v/>
      </c>
      <c r="O122" s="37">
        <f>IF(AND(B122="South Korea",scenario="MID"),korea_mid_revleg,revleg_sel)</f>
        <v/>
      </c>
      <c r="P122" s="36">
        <f>IF(ABS(MOD(ABS((L122*M122*O122)),1)-0.5)&lt;1E-9,2*ROUND((L122*M122*O122)/2,0),ROUND((L122*M122*O122),0))</f>
        <v/>
      </c>
      <c r="Q122" s="37">
        <f>IF(AND(B122="South Korea",scenario="MID"),korea_mid_load,load_sel)</f>
        <v/>
      </c>
      <c r="R122" s="38">
        <f>pax_cap*Q122</f>
        <v/>
      </c>
      <c r="S122" s="36">
        <f>R122*P122</f>
        <v/>
      </c>
      <c r="T122" s="39">
        <f>E122*discount</f>
        <v/>
      </c>
      <c r="U122" s="40">
        <f>T122*S122</f>
        <v/>
      </c>
      <c r="V122" s="40">
        <f>(battery/range_nm)*D122*P122*VLOOKUP(B122,country_opex,3,FALSE)</f>
        <v/>
      </c>
      <c r="W122" s="40">
        <f>VLOOKUP(B122,country_opex,2,FALSE)*crew_factor</f>
        <v/>
      </c>
      <c r="X122" s="40">
        <f>VLOOKUP(B122,country_opex,5,FALSE)</f>
        <v/>
      </c>
      <c r="Y122" s="40">
        <f>maint</f>
        <v/>
      </c>
      <c r="Z122" s="40">
        <f>VLOOKUP(B122,country_opex,7,FALSE)*ins_pct</f>
        <v/>
      </c>
      <c r="AA122" s="40">
        <f>charge_berth</f>
        <v/>
      </c>
      <c r="AB122" s="40">
        <f>V122+W122+X122+Y122+Z122+AA122</f>
        <v/>
      </c>
      <c r="AC122" s="40">
        <f>VLOOKUP(B122,country_opex,7,FALSE)/dep_years</f>
        <v/>
      </c>
      <c r="AD122" s="40">
        <f>U122-AB122</f>
        <v/>
      </c>
      <c r="AE122" s="37">
        <f>IF(U122=0,"",AD122/U122)</f>
        <v/>
      </c>
      <c r="AF122" s="38">
        <f>IF(AD122&lt;=0,"",VLOOKUP(B122,country_opex,7,FALSE)/AD122)</f>
        <v/>
      </c>
      <c r="AG122" s="35">
        <f>((D122*P122/diesel_nmpg)*diesel_co2pg-(battery/range_nm)*D122*P122*VLOOKUP(B122,country_opex,4,FALSE))/1000</f>
        <v/>
      </c>
      <c r="AH122" s="33" t="n">
        <v>168383</v>
      </c>
      <c r="AI122" s="34" t="n"/>
      <c r="AJ122" s="34" t="inlineStr">
        <is>
          <t>med</t>
        </is>
      </c>
      <c r="AK122" s="41" t="n">
        <v>0.25</v>
      </c>
      <c r="AL122" s="36">
        <f>IF(AH122="","",AH122*AK122)</f>
        <v/>
      </c>
      <c r="AM122" s="36">
        <f>IF(OR(AH122="",S122=0),"",MIN(IF(AU122="",9.9E+99,AU122),FLOOR(AL122/S122,1)))</f>
        <v/>
      </c>
      <c r="AN122" s="40">
        <f>IF(AM122="","",AM122*IF(ABS(MOD(ABS((U122)),1)-0.5)&lt;1E-9,2*ROUND((U122)/2,0),ROUND((U122),0)))</f>
        <v/>
      </c>
      <c r="AO122" s="38">
        <f>IF(OR(AH122="",S122=0),"",MIN(IF(AU122="",9.9E+99,AU122),AL122/S122))</f>
        <v/>
      </c>
      <c r="AP122" s="40">
        <f>IF(AO122="","",AO122*IF(B122="South Korea",IF(ABS(MOD(ABS((U122)),1)-0.5)&lt;1E-9,2*ROUND((U122)/2,0),ROUND((U122),0)),U122))</f>
        <v/>
      </c>
      <c r="AQ122" s="42" t="n"/>
      <c r="AR122" s="34" t="inlineStr">
        <is>
          <t>Grounded</t>
        </is>
      </c>
      <c r="AS122" s="43" t="n"/>
      <c r="AT122" s="43" t="n"/>
      <c r="AU122" s="44" t="n"/>
      <c r="AV122" s="45">
        <f>IF(((T122*pax_cap*load_thin*IF(ABS(MOD(ABS((L122*M122*revleg_thin)),1)-0.5)&lt;1E-9,2*ROUND((L122*M122*revleg_thin)/2,0),ROUND((L122*M122*revleg_thin),0)))-(((battery/range_nm)*D122*IF(ABS(MOD(ABS((L122*M122*revleg_thin)),1)-0.5)&lt;1E-9,2*ROUND((L122*M122*revleg_thin)/2,0),ROUND((L122*M122*revleg_thin),0))*VLOOKUP(B122,country_opex,3,FALSE))+W122+X122+Y122+Z122+AA122))&lt;=0,"",VLOOKUP(B122,country_opex,7,FALSE)/((T122*pax_cap*load_thin*IF(ABS(MOD(ABS((L122*M122*revleg_thin)),1)-0.5)&lt;1E-9,2*ROUND((L122*M122*revleg_thin)/2,0),ROUND((L122*M122*revleg_thin),0)))-(((battery/range_nm)*D122*IF(ABS(MOD(ABS((L122*M122*revleg_thin)),1)-0.5)&lt;1E-9,2*ROUND((L122*M122*revleg_thin)/2,0),ROUND((L122*M122*revleg_thin),0))*VLOOKUP(B122,country_opex,3,FALSE))+W122+X122+Y122+Z122+AA122)))</f>
        <v/>
      </c>
      <c r="AW122" s="45">
        <f>IF(((T122*pax_cap*IF(B122="South Korea",korea_mid_load,load_mid)*IF(ABS(MOD(ABS((L122*M122*IF(B122="South Korea",korea_mid_revleg,revleg_mid))),1)-0.5)&lt;1E-9,2*ROUND((L122*M122*IF(B122="South Korea",korea_mid_revleg,revleg_mid))/2,0),ROUND((L122*M122*IF(B122="South Korea",korea_mid_revleg,revleg_mid)),0)))-(((battery/range_nm)*D122*IF(ABS(MOD(ABS((L122*M122*IF(B122="South Korea",korea_mid_revleg,revleg_mid))),1)-0.5)&lt;1E-9,2*ROUND((L122*M122*IF(B122="South Korea",korea_mid_revleg,revleg_mid))/2,0),ROUND((L122*M122*IF(B122="South Korea",korea_mid_revleg,revleg_mid)),0))*VLOOKUP(B122,country_opex,3,FALSE))+W122+X122+Y122+Z122+AA122))&lt;=0,"",VLOOKUP(B122,country_opex,7,FALSE)/((T122*pax_cap*IF(B122="South Korea",korea_mid_load,load_mid)*IF(ABS(MOD(ABS((L122*M122*IF(B122="South Korea",korea_mid_revleg,revleg_mid))),1)-0.5)&lt;1E-9,2*ROUND((L122*M122*IF(B122="South Korea",korea_mid_revleg,revleg_mid))/2,0),ROUND((L122*M122*IF(B122="South Korea",korea_mid_revleg,revleg_mid)),0)))-(((battery/range_nm)*D122*IF(ABS(MOD(ABS((L122*M122*IF(B122="South Korea",korea_mid_revleg,revleg_mid))),1)-0.5)&lt;1E-9,2*ROUND((L122*M122*IF(B122="South Korea",korea_mid_revleg,revleg_mid))/2,0),ROUND((L122*M122*IF(B122="South Korea",korea_mid_revleg,revleg_mid)),0))*VLOOKUP(B122,country_opex,3,FALSE))+W122+X122+Y122+Z122+AA122)))</f>
        <v/>
      </c>
      <c r="AX122" s="45">
        <f>IF(((T122*pax_cap*load_full*IF(ABS(MOD(ABS((L122*M122*revleg_full)),1)-0.5)&lt;1E-9,2*ROUND((L122*M122*revleg_full)/2,0),ROUND((L122*M122*revleg_full),0)))-(((battery/range_nm)*D122*IF(ABS(MOD(ABS((L122*M122*revleg_full)),1)-0.5)&lt;1E-9,2*ROUND((L122*M122*revleg_full)/2,0),ROUND((L122*M122*revleg_full),0))*VLOOKUP(B122,country_opex,3,FALSE))+W122+X122+Y122+Z122+AA122))&lt;=0,"",VLOOKUP(B122,country_opex,7,FALSE)/((T122*pax_cap*load_full*IF(ABS(MOD(ABS((L122*M122*revleg_full)),1)-0.5)&lt;1E-9,2*ROUND((L122*M122*revleg_full)/2,0),ROUND((L122*M122*revleg_full),0)))-(((battery/range_nm)*D122*IF(ABS(MOD(ABS((L122*M122*revleg_full)),1)-0.5)&lt;1E-9,2*ROUND((L122*M122*revleg_full)/2,0),ROUND((L122*M122*revleg_full),0))*VLOOKUP(B122,country_opex,3,FALSE))+W122+X122+Y122+Z122+AA122)))</f>
        <v/>
      </c>
      <c r="AY122" s="46" t="inlineStr">
        <is>
          <t>[LB-255 PREMIUM RE-FARE: subsidized comparable $3.4 lifted to premium on-demand floor $18.0] Public-transit adult single Montijo/Cais do Sodre = EUR 3.15 (TTSL 2024 tariff) x1.08 = ~$3.40.</t>
        </is>
      </c>
      <c r="AZ122" s="46" t="n"/>
      <c r="BA122" s="34" t="n"/>
    </row>
    <row r="123">
      <c r="A123" s="31" t="inlineStr">
        <is>
          <t>Bolt Portugal</t>
        </is>
      </c>
      <c r="B123" s="31" t="inlineStr">
        <is>
          <t>Portugal</t>
        </is>
      </c>
      <c r="C123" s="32" t="inlineStr">
        <is>
          <t>Cais do Sodre (Lisbon) → Cascais</t>
        </is>
      </c>
      <c r="D123" s="33" t="n">
        <v>13</v>
      </c>
      <c r="E123" s="27" t="n"/>
      <c r="F123" s="34" t="n"/>
      <c r="G123" s="34" t="n"/>
      <c r="H123" s="20" t="n">
        <v>1</v>
      </c>
      <c r="I123" s="35">
        <f>60*D123/cruise_kt</f>
        <v/>
      </c>
      <c r="J123" s="35">
        <f>IF(B123="South Korea",D123/korea_charge_range_nm*korea_full_range_charge_min,0)</f>
        <v/>
      </c>
      <c r="K123" s="35">
        <f>IF(B123="South Korea",I123+korea_turn_min+korea_dwell_min+J123,I123+turn_min+dwell_min)</f>
        <v/>
      </c>
      <c r="L123" s="36">
        <f>IF(B123="South Korea",FLOOR(60*korea_service_hr/K123,1),MIN(24,FLOOR(60*service_hr/K123,1)))</f>
        <v/>
      </c>
      <c r="M123" s="36">
        <f>IF(ABS(MOD(ABS((365*mech_uptime*H123)),1)-0.5)&lt;1E-9,2*ROUND((365*mech_uptime*H123)/2,0),ROUND((365*mech_uptime*H123),0))</f>
        <v/>
      </c>
      <c r="N123" s="37">
        <f>mech_uptime</f>
        <v/>
      </c>
      <c r="O123" s="37">
        <f>IF(AND(B123="South Korea",scenario="MID"),korea_mid_revleg,revleg_sel)</f>
        <v/>
      </c>
      <c r="P123" s="36">
        <f>IF(ABS(MOD(ABS((L123*M123*O123)),1)-0.5)&lt;1E-9,2*ROUND((L123*M123*O123)/2,0),ROUND((L123*M123*O123),0))</f>
        <v/>
      </c>
      <c r="Q123" s="37">
        <f>IF(AND(B123="South Korea",scenario="MID"),korea_mid_load,load_sel)</f>
        <v/>
      </c>
      <c r="R123" s="38">
        <f>pax_cap*Q123</f>
        <v/>
      </c>
      <c r="S123" s="36">
        <f>R123*P123</f>
        <v/>
      </c>
      <c r="T123" s="39">
        <f>E123*discount</f>
        <v/>
      </c>
      <c r="U123" s="40">
        <f>T123*S123</f>
        <v/>
      </c>
      <c r="V123" s="40">
        <f>(battery/range_nm)*D123*P123*VLOOKUP(B123,country_opex,3,FALSE)</f>
        <v/>
      </c>
      <c r="W123" s="40">
        <f>VLOOKUP(B123,country_opex,2,FALSE)*crew_factor</f>
        <v/>
      </c>
      <c r="X123" s="40">
        <f>VLOOKUP(B123,country_opex,5,FALSE)</f>
        <v/>
      </c>
      <c r="Y123" s="40">
        <f>maint</f>
        <v/>
      </c>
      <c r="Z123" s="40">
        <f>VLOOKUP(B123,country_opex,7,FALSE)*ins_pct</f>
        <v/>
      </c>
      <c r="AA123" s="40">
        <f>charge_berth</f>
        <v/>
      </c>
      <c r="AB123" s="40">
        <f>V123+W123+X123+Y123+Z123+AA123</f>
        <v/>
      </c>
      <c r="AC123" s="40">
        <f>VLOOKUP(B123,country_opex,7,FALSE)/dep_years</f>
        <v/>
      </c>
      <c r="AD123" s="40">
        <f>U123-AB123</f>
        <v/>
      </c>
      <c r="AE123" s="37">
        <f>IF(U123=0,"",AD123/U123)</f>
        <v/>
      </c>
      <c r="AF123" s="38">
        <f>IF(AD123&lt;=0,"",VLOOKUP(B123,country_opex,7,FALSE)/AD123)</f>
        <v/>
      </c>
      <c r="AG123" s="35">
        <f>((D123*P123/diesel_nmpg)*diesel_co2pg-(battery/range_nm)*D123*P123*VLOOKUP(B123,country_opex,4,FALSE))/1000</f>
        <v/>
      </c>
      <c r="AH123" s="33" t="n">
        <v>1020000</v>
      </c>
      <c r="AI123" s="34" t="n"/>
      <c r="AJ123" s="34" t="n"/>
      <c r="AK123" s="41" t="n">
        <v>0.1</v>
      </c>
      <c r="AL123" s="36">
        <f>IF(AH123="","",AH123*AK123)</f>
        <v/>
      </c>
      <c r="AM123" s="36">
        <f>IF(OR(AH123="",S123=0),"",MIN(IF(AU123="",9.9E+99,AU123),FLOOR(AL123/S123,1)))</f>
        <v/>
      </c>
      <c r="AN123" s="40">
        <f>IF(AM123="","",AM123*IF(ABS(MOD(ABS((U123)),1)-0.5)&lt;1E-9,2*ROUND((U123)/2,0),ROUND((U123),0)))</f>
        <v/>
      </c>
      <c r="AO123" s="38">
        <f>IF(OR(AH123="",S123=0),"",MIN(IF(AU123="",9.9E+99,AU123),AL123/S123))</f>
        <v/>
      </c>
      <c r="AP123" s="40">
        <f>IF(AO123="","",AO123*IF(B123="South Korea",IF(ABS(MOD(ABS((U123)),1)-0.5)&lt;1E-9,2*ROUND((U123)/2,0),ROUND((U123),0)),U123))</f>
        <v/>
      </c>
      <c r="AQ123" s="42" t="n"/>
      <c r="AR123" s="34" t="inlineStr">
        <is>
          <t>Estimated</t>
        </is>
      </c>
      <c r="AS123" s="43" t="n"/>
      <c r="AT123" s="43" t="n"/>
      <c r="AU123" s="44" t="n"/>
      <c r="AV123" s="45">
        <f>IF(((T123*pax_cap*load_thin*IF(ABS(MOD(ABS((L123*M123*revleg_thin)),1)-0.5)&lt;1E-9,2*ROUND((L123*M123*revleg_thin)/2,0),ROUND((L123*M123*revleg_thin),0)))-(((battery/range_nm)*D123*IF(ABS(MOD(ABS((L123*M123*revleg_thin)),1)-0.5)&lt;1E-9,2*ROUND((L123*M123*revleg_thin)/2,0),ROUND((L123*M123*revleg_thin),0))*VLOOKUP(B123,country_opex,3,FALSE))+W123+X123+Y123+Z123+AA123))&lt;=0,"",VLOOKUP(B123,country_opex,7,FALSE)/((T123*pax_cap*load_thin*IF(ABS(MOD(ABS((L123*M123*revleg_thin)),1)-0.5)&lt;1E-9,2*ROUND((L123*M123*revleg_thin)/2,0),ROUND((L123*M123*revleg_thin),0)))-(((battery/range_nm)*D123*IF(ABS(MOD(ABS((L123*M123*revleg_thin)),1)-0.5)&lt;1E-9,2*ROUND((L123*M123*revleg_thin)/2,0),ROUND((L123*M123*revleg_thin),0))*VLOOKUP(B123,country_opex,3,FALSE))+W123+X123+Y123+Z123+AA123)))</f>
        <v/>
      </c>
      <c r="AW123" s="45">
        <f>IF(((T123*pax_cap*IF(B123="South Korea",korea_mid_load,load_mid)*IF(ABS(MOD(ABS((L123*M123*IF(B123="South Korea",korea_mid_revleg,revleg_mid))),1)-0.5)&lt;1E-9,2*ROUND((L123*M123*IF(B123="South Korea",korea_mid_revleg,revleg_mid))/2,0),ROUND((L123*M123*IF(B123="South Korea",korea_mid_revleg,revleg_mid)),0)))-(((battery/range_nm)*D123*IF(ABS(MOD(ABS((L123*M123*IF(B123="South Korea",korea_mid_revleg,revleg_mid))),1)-0.5)&lt;1E-9,2*ROUND((L123*M123*IF(B123="South Korea",korea_mid_revleg,revleg_mid))/2,0),ROUND((L123*M123*IF(B123="South Korea",korea_mid_revleg,revleg_mid)),0))*VLOOKUP(B123,country_opex,3,FALSE))+W123+X123+Y123+Z123+AA123))&lt;=0,"",VLOOKUP(B123,country_opex,7,FALSE)/((T123*pax_cap*IF(B123="South Korea",korea_mid_load,load_mid)*IF(ABS(MOD(ABS((L123*M123*IF(B123="South Korea",korea_mid_revleg,revleg_mid))),1)-0.5)&lt;1E-9,2*ROUND((L123*M123*IF(B123="South Korea",korea_mid_revleg,revleg_mid))/2,0),ROUND((L123*M123*IF(B123="South Korea",korea_mid_revleg,revleg_mid)),0)))-(((battery/range_nm)*D123*IF(ABS(MOD(ABS((L123*M123*IF(B123="South Korea",korea_mid_revleg,revleg_mid))),1)-0.5)&lt;1E-9,2*ROUND((L123*M123*IF(B123="South Korea",korea_mid_revleg,revleg_mid))/2,0),ROUND((L123*M123*IF(B123="South Korea",korea_mid_revleg,revleg_mid)),0))*VLOOKUP(B123,country_opex,3,FALSE))+W123+X123+Y123+Z123+AA123)))</f>
        <v/>
      </c>
      <c r="AX123" s="45">
        <f>IF(((T123*pax_cap*load_full*IF(ABS(MOD(ABS((L123*M123*revleg_full)),1)-0.5)&lt;1E-9,2*ROUND((L123*M123*revleg_full)/2,0),ROUND((L123*M123*revleg_full),0)))-(((battery/range_nm)*D123*IF(ABS(MOD(ABS((L123*M123*revleg_full)),1)-0.5)&lt;1E-9,2*ROUND((L123*M123*revleg_full)/2,0),ROUND((L123*M123*revleg_full),0))*VLOOKUP(B123,country_opex,3,FALSE))+W123+X123+Y123+Z123+AA123))&lt;=0,"",VLOOKUP(B123,country_opex,7,FALSE)/((T123*pax_cap*load_full*IF(ABS(MOD(ABS((L123*M123*revleg_full)),1)-0.5)&lt;1E-9,2*ROUND((L123*M123*revleg_full)/2,0),ROUND((L123*M123*revleg_full),0)))-(((battery/range_nm)*D123*IF(ABS(MOD(ABS((L123*M123*revleg_full)),1)-0.5)&lt;1E-9,2*ROUND((L123*M123*revleg_full)/2,0),ROUND((L123*M123*revleg_full),0))*VLOOKUP(B123,country_opex,3,FALSE))+W123+X123+Y123+Z123+AA123)))</f>
        <v/>
      </c>
      <c r="AY123" s="46" t="n"/>
      <c r="AZ123" s="46" t="n"/>
      <c r="BA123" s="34" t="n"/>
    </row>
    <row r="124">
      <c r="A124" s="31" t="inlineStr">
        <is>
          <t>Bolt Qatar</t>
        </is>
      </c>
      <c r="B124" s="31" t="inlineStr">
        <is>
          <t>Qatar</t>
        </is>
      </c>
      <c r="C124" s="32" t="inlineStr">
        <is>
          <t>Lusail Marina → The Pearl</t>
        </is>
      </c>
      <c r="D124" s="33" t="n">
        <v>3.5</v>
      </c>
      <c r="E124" s="27" t="n"/>
      <c r="F124" s="34" t="n"/>
      <c r="G124" s="34" t="n"/>
      <c r="H124" s="20" t="n">
        <v>1</v>
      </c>
      <c r="I124" s="35">
        <f>60*D124/cruise_kt</f>
        <v/>
      </c>
      <c r="J124" s="35">
        <f>IF(B124="South Korea",D124/korea_charge_range_nm*korea_full_range_charge_min,0)</f>
        <v/>
      </c>
      <c r="K124" s="35">
        <f>IF(B124="South Korea",I124+korea_turn_min+korea_dwell_min+J124,I124+turn_min+dwell_min)</f>
        <v/>
      </c>
      <c r="L124" s="36">
        <f>IF(B124="South Korea",FLOOR(60*korea_service_hr/K124,1),MIN(15,FLOOR(60*service_hr/K124,1)))</f>
        <v/>
      </c>
      <c r="M124" s="36">
        <f>IF(ABS(MOD(ABS((365*mech_uptime*H124)),1)-0.5)&lt;1E-9,2*ROUND((365*mech_uptime*H124)/2,0),ROUND((365*mech_uptime*H124),0))</f>
        <v/>
      </c>
      <c r="N124" s="37">
        <f>mech_uptime</f>
        <v/>
      </c>
      <c r="O124" s="37">
        <f>IF(AND(B124="South Korea",scenario="MID"),korea_mid_revleg,revleg_sel)</f>
        <v/>
      </c>
      <c r="P124" s="36">
        <f>IF(ABS(MOD(ABS((L124*M124*O124)),1)-0.5)&lt;1E-9,2*ROUND((L124*M124*O124)/2,0),ROUND((L124*M124*O124),0))</f>
        <v/>
      </c>
      <c r="Q124" s="37">
        <f>IF(AND(B124="South Korea",scenario="MID"),korea_mid_load,load_sel)</f>
        <v/>
      </c>
      <c r="R124" s="38">
        <f>pax_cap*Q124</f>
        <v/>
      </c>
      <c r="S124" s="36">
        <f>R124*P124</f>
        <v/>
      </c>
      <c r="T124" s="39">
        <f>E124*discount</f>
        <v/>
      </c>
      <c r="U124" s="40">
        <f>T124*S124</f>
        <v/>
      </c>
      <c r="V124" s="40">
        <f>(battery/range_nm)*D124*P124*VLOOKUP(B124,country_opex,3,FALSE)</f>
        <v/>
      </c>
      <c r="W124" s="40">
        <f>VLOOKUP(B124,country_opex,2,FALSE)*crew_factor</f>
        <v/>
      </c>
      <c r="X124" s="40">
        <f>VLOOKUP(B124,country_opex,5,FALSE)</f>
        <v/>
      </c>
      <c r="Y124" s="40">
        <f>maint</f>
        <v/>
      </c>
      <c r="Z124" s="40">
        <f>VLOOKUP(B124,country_opex,7,FALSE)*ins_pct</f>
        <v/>
      </c>
      <c r="AA124" s="40">
        <f>charge_berth</f>
        <v/>
      </c>
      <c r="AB124" s="40">
        <f>V124+W124+X124+Y124+Z124+AA124</f>
        <v/>
      </c>
      <c r="AC124" s="40">
        <f>VLOOKUP(B124,country_opex,7,FALSE)/dep_years</f>
        <v/>
      </c>
      <c r="AD124" s="40">
        <f>U124-AB124</f>
        <v/>
      </c>
      <c r="AE124" s="37">
        <f>IF(U124=0,"",AD124/U124)</f>
        <v/>
      </c>
      <c r="AF124" s="38">
        <f>IF(AD124&lt;=0,"",VLOOKUP(B124,country_opex,7,FALSE)/AD124)</f>
        <v/>
      </c>
      <c r="AG124" s="35">
        <f>((D124*P124/diesel_nmpg)*diesel_co2pg-(battery/range_nm)*D124*P124*VLOOKUP(B124,country_opex,4,FALSE))/1000</f>
        <v/>
      </c>
      <c r="AH124" s="33" t="n"/>
      <c r="AI124" s="34" t="n"/>
      <c r="AJ124" s="34" t="n"/>
      <c r="AK124" s="41" t="n">
        <v>0.1</v>
      </c>
      <c r="AL124" s="36">
        <f>IF(AH124="","",AH124*AK124)</f>
        <v/>
      </c>
      <c r="AM124" s="36">
        <f>IF(OR(AH124="",S124=0),"",MIN(IF(AU124="",9.9E+99,AU124),FLOOR(AL124/S124,1)))</f>
        <v/>
      </c>
      <c r="AN124" s="40">
        <f>IF(AM124="","",AM124*IF(ABS(MOD(ABS((U124)),1)-0.5)&lt;1E-9,2*ROUND((U124)/2,0),ROUND((U124),0)))</f>
        <v/>
      </c>
      <c r="AO124" s="38">
        <f>IF(OR(AH124="",S124=0),"",MIN(IF(AU124="",9.9E+99,AU124),AL124/S124))</f>
        <v/>
      </c>
      <c r="AP124" s="40">
        <f>IF(AO124="","",AO124*IF(B124="South Korea",IF(ABS(MOD(ABS((U124)),1)-0.5)&lt;1E-9,2*ROUND((U124)/2,0),ROUND((U124),0)),U124))</f>
        <v/>
      </c>
      <c r="AQ124" s="42" t="n"/>
      <c r="AR124" s="34" t="inlineStr">
        <is>
          <t>Estimated</t>
        </is>
      </c>
      <c r="AS124" s="43" t="n"/>
      <c r="AT124" s="43" t="n"/>
      <c r="AU124" s="44" t="n"/>
      <c r="AV124" s="45">
        <f>IF(((T124*pax_cap*load_thin*IF(ABS(MOD(ABS((L124*M124*revleg_thin)),1)-0.5)&lt;1E-9,2*ROUND((L124*M124*revleg_thin)/2,0),ROUND((L124*M124*revleg_thin),0)))-(((battery/range_nm)*D124*IF(ABS(MOD(ABS((L124*M124*revleg_thin)),1)-0.5)&lt;1E-9,2*ROUND((L124*M124*revleg_thin)/2,0),ROUND((L124*M124*revleg_thin),0))*VLOOKUP(B124,country_opex,3,FALSE))+W124+X124+Y124+Z124+AA124))&lt;=0,"",VLOOKUP(B124,country_opex,7,FALSE)/((T124*pax_cap*load_thin*IF(ABS(MOD(ABS((L124*M124*revleg_thin)),1)-0.5)&lt;1E-9,2*ROUND((L124*M124*revleg_thin)/2,0),ROUND((L124*M124*revleg_thin),0)))-(((battery/range_nm)*D124*IF(ABS(MOD(ABS((L124*M124*revleg_thin)),1)-0.5)&lt;1E-9,2*ROUND((L124*M124*revleg_thin)/2,0),ROUND((L124*M124*revleg_thin),0))*VLOOKUP(B124,country_opex,3,FALSE))+W124+X124+Y124+Z124+AA124)))</f>
        <v/>
      </c>
      <c r="AW124" s="45">
        <f>IF(((T124*pax_cap*IF(B124="South Korea",korea_mid_load,load_mid)*IF(ABS(MOD(ABS((L124*M124*IF(B124="South Korea",korea_mid_revleg,revleg_mid))),1)-0.5)&lt;1E-9,2*ROUND((L124*M124*IF(B124="South Korea",korea_mid_revleg,revleg_mid))/2,0),ROUND((L124*M124*IF(B124="South Korea",korea_mid_revleg,revleg_mid)),0)))-(((battery/range_nm)*D124*IF(ABS(MOD(ABS((L124*M124*IF(B124="South Korea",korea_mid_revleg,revleg_mid))),1)-0.5)&lt;1E-9,2*ROUND((L124*M124*IF(B124="South Korea",korea_mid_revleg,revleg_mid))/2,0),ROUND((L124*M124*IF(B124="South Korea",korea_mid_revleg,revleg_mid)),0))*VLOOKUP(B124,country_opex,3,FALSE))+W124+X124+Y124+Z124+AA124))&lt;=0,"",VLOOKUP(B124,country_opex,7,FALSE)/((T124*pax_cap*IF(B124="South Korea",korea_mid_load,load_mid)*IF(ABS(MOD(ABS((L124*M124*IF(B124="South Korea",korea_mid_revleg,revleg_mid))),1)-0.5)&lt;1E-9,2*ROUND((L124*M124*IF(B124="South Korea",korea_mid_revleg,revleg_mid))/2,0),ROUND((L124*M124*IF(B124="South Korea",korea_mid_revleg,revleg_mid)),0)))-(((battery/range_nm)*D124*IF(ABS(MOD(ABS((L124*M124*IF(B124="South Korea",korea_mid_revleg,revleg_mid))),1)-0.5)&lt;1E-9,2*ROUND((L124*M124*IF(B124="South Korea",korea_mid_revleg,revleg_mid))/2,0),ROUND((L124*M124*IF(B124="South Korea",korea_mid_revleg,revleg_mid)),0))*VLOOKUP(B124,country_opex,3,FALSE))+W124+X124+Y124+Z124+AA124)))</f>
        <v/>
      </c>
      <c r="AX124" s="45">
        <f>IF(((T124*pax_cap*load_full*IF(ABS(MOD(ABS((L124*M124*revleg_full)),1)-0.5)&lt;1E-9,2*ROUND((L124*M124*revleg_full)/2,0),ROUND((L124*M124*revleg_full),0)))-(((battery/range_nm)*D124*IF(ABS(MOD(ABS((L124*M124*revleg_full)),1)-0.5)&lt;1E-9,2*ROUND((L124*M124*revleg_full)/2,0),ROUND((L124*M124*revleg_full),0))*VLOOKUP(B124,country_opex,3,FALSE))+W124+X124+Y124+Z124+AA124))&lt;=0,"",VLOOKUP(B124,country_opex,7,FALSE)/((T124*pax_cap*load_full*IF(ABS(MOD(ABS((L124*M124*revleg_full)),1)-0.5)&lt;1E-9,2*ROUND((L124*M124*revleg_full)/2,0),ROUND((L124*M124*revleg_full),0)))-(((battery/range_nm)*D124*IF(ABS(MOD(ABS((L124*M124*revleg_full)),1)-0.5)&lt;1E-9,2*ROUND((L124*M124*revleg_full)/2,0),ROUND((L124*M124*revleg_full),0))*VLOOKUP(B124,country_opex,3,FALSE))+W124+X124+Y124+Z124+AA124)))</f>
        <v/>
      </c>
      <c r="AY124" s="46" t="n"/>
      <c r="AZ124" s="46" t="n"/>
      <c r="BA124" s="34" t="inlineStr">
        <is>
          <t>rn-714b08705cf1</t>
        </is>
      </c>
    </row>
    <row r="125">
      <c r="A125" s="31" t="inlineStr">
        <is>
          <t>Bolt Qatar</t>
        </is>
      </c>
      <c r="B125" s="31" t="inlineStr">
        <is>
          <t>Qatar</t>
        </is>
      </c>
      <c r="C125" s="32" t="inlineStr">
        <is>
          <t>Doha Corniche → The Pearl</t>
        </is>
      </c>
      <c r="D125" s="33" t="n">
        <v>4</v>
      </c>
      <c r="E125" s="27" t="n"/>
      <c r="F125" s="34" t="n"/>
      <c r="G125" s="34" t="n"/>
      <c r="H125" s="20" t="n">
        <v>1</v>
      </c>
      <c r="I125" s="35">
        <f>60*D125/cruise_kt</f>
        <v/>
      </c>
      <c r="J125" s="35">
        <f>IF(B125="South Korea",D125/korea_charge_range_nm*korea_full_range_charge_min,0)</f>
        <v/>
      </c>
      <c r="K125" s="35">
        <f>IF(B125="South Korea",I125+korea_turn_min+korea_dwell_min+J125,I125+turn_min+dwell_min)</f>
        <v/>
      </c>
      <c r="L125" s="36">
        <f>IF(B125="South Korea",FLOOR(60*korea_service_hr/K125,1),MIN(15,FLOOR(60*service_hr/K125,1)))</f>
        <v/>
      </c>
      <c r="M125" s="36">
        <f>IF(ABS(MOD(ABS((365*mech_uptime*H125)),1)-0.5)&lt;1E-9,2*ROUND((365*mech_uptime*H125)/2,0),ROUND((365*mech_uptime*H125),0))</f>
        <v/>
      </c>
      <c r="N125" s="37">
        <f>mech_uptime</f>
        <v/>
      </c>
      <c r="O125" s="37">
        <f>IF(AND(B125="South Korea",scenario="MID"),korea_mid_revleg,revleg_sel)</f>
        <v/>
      </c>
      <c r="P125" s="36">
        <f>IF(ABS(MOD(ABS((L125*M125*O125)),1)-0.5)&lt;1E-9,2*ROUND((L125*M125*O125)/2,0),ROUND((L125*M125*O125),0))</f>
        <v/>
      </c>
      <c r="Q125" s="37">
        <f>IF(AND(B125="South Korea",scenario="MID"),korea_mid_load,load_sel)</f>
        <v/>
      </c>
      <c r="R125" s="38">
        <f>pax_cap*Q125</f>
        <v/>
      </c>
      <c r="S125" s="36">
        <f>R125*P125</f>
        <v/>
      </c>
      <c r="T125" s="39">
        <f>E125*discount</f>
        <v/>
      </c>
      <c r="U125" s="40">
        <f>T125*S125</f>
        <v/>
      </c>
      <c r="V125" s="40">
        <f>(battery/range_nm)*D125*P125*VLOOKUP(B125,country_opex,3,FALSE)</f>
        <v/>
      </c>
      <c r="W125" s="40">
        <f>VLOOKUP(B125,country_opex,2,FALSE)*crew_factor</f>
        <v/>
      </c>
      <c r="X125" s="40">
        <f>VLOOKUP(B125,country_opex,5,FALSE)</f>
        <v/>
      </c>
      <c r="Y125" s="40">
        <f>maint</f>
        <v/>
      </c>
      <c r="Z125" s="40">
        <f>VLOOKUP(B125,country_opex,7,FALSE)*ins_pct</f>
        <v/>
      </c>
      <c r="AA125" s="40">
        <f>charge_berth</f>
        <v/>
      </c>
      <c r="AB125" s="40">
        <f>V125+W125+X125+Y125+Z125+AA125</f>
        <v/>
      </c>
      <c r="AC125" s="40">
        <f>VLOOKUP(B125,country_opex,7,FALSE)/dep_years</f>
        <v/>
      </c>
      <c r="AD125" s="40">
        <f>U125-AB125</f>
        <v/>
      </c>
      <c r="AE125" s="37">
        <f>IF(U125=0,"",AD125/U125)</f>
        <v/>
      </c>
      <c r="AF125" s="38">
        <f>IF(AD125&lt;=0,"",VLOOKUP(B125,country_opex,7,FALSE)/AD125)</f>
        <v/>
      </c>
      <c r="AG125" s="35">
        <f>((D125*P125/diesel_nmpg)*diesel_co2pg-(battery/range_nm)*D125*P125*VLOOKUP(B125,country_opex,4,FALSE))/1000</f>
        <v/>
      </c>
      <c r="AH125" s="33" t="n"/>
      <c r="AI125" s="34" t="n"/>
      <c r="AJ125" s="34" t="n"/>
      <c r="AK125" s="41" t="n">
        <v>0.1</v>
      </c>
      <c r="AL125" s="36">
        <f>IF(AH125="","",AH125*AK125)</f>
        <v/>
      </c>
      <c r="AM125" s="36">
        <f>IF(OR(AH125="",S125=0),"",MIN(IF(AU125="",9.9E+99,AU125),FLOOR(AL125/S125,1)))</f>
        <v/>
      </c>
      <c r="AN125" s="40">
        <f>IF(AM125="","",AM125*IF(ABS(MOD(ABS((U125)),1)-0.5)&lt;1E-9,2*ROUND((U125)/2,0),ROUND((U125),0)))</f>
        <v/>
      </c>
      <c r="AO125" s="38">
        <f>IF(OR(AH125="",S125=0),"",MIN(IF(AU125="",9.9E+99,AU125),AL125/S125))</f>
        <v/>
      </c>
      <c r="AP125" s="40">
        <f>IF(AO125="","",AO125*IF(B125="South Korea",IF(ABS(MOD(ABS((U125)),1)-0.5)&lt;1E-9,2*ROUND((U125)/2,0),ROUND((U125),0)),U125))</f>
        <v/>
      </c>
      <c r="AQ125" s="42" t="n"/>
      <c r="AR125" s="34" t="inlineStr">
        <is>
          <t>Estimated</t>
        </is>
      </c>
      <c r="AS125" s="43" t="n"/>
      <c r="AT125" s="43" t="n"/>
      <c r="AU125" s="44" t="n"/>
      <c r="AV125" s="45">
        <f>IF(((T125*pax_cap*load_thin*IF(ABS(MOD(ABS((L125*M125*revleg_thin)),1)-0.5)&lt;1E-9,2*ROUND((L125*M125*revleg_thin)/2,0),ROUND((L125*M125*revleg_thin),0)))-(((battery/range_nm)*D125*IF(ABS(MOD(ABS((L125*M125*revleg_thin)),1)-0.5)&lt;1E-9,2*ROUND((L125*M125*revleg_thin)/2,0),ROUND((L125*M125*revleg_thin),0))*VLOOKUP(B125,country_opex,3,FALSE))+W125+X125+Y125+Z125+AA125))&lt;=0,"",VLOOKUP(B125,country_opex,7,FALSE)/((T125*pax_cap*load_thin*IF(ABS(MOD(ABS((L125*M125*revleg_thin)),1)-0.5)&lt;1E-9,2*ROUND((L125*M125*revleg_thin)/2,0),ROUND((L125*M125*revleg_thin),0)))-(((battery/range_nm)*D125*IF(ABS(MOD(ABS((L125*M125*revleg_thin)),1)-0.5)&lt;1E-9,2*ROUND((L125*M125*revleg_thin)/2,0),ROUND((L125*M125*revleg_thin),0))*VLOOKUP(B125,country_opex,3,FALSE))+W125+X125+Y125+Z125+AA125)))</f>
        <v/>
      </c>
      <c r="AW125" s="45">
        <f>IF(((T125*pax_cap*IF(B125="South Korea",korea_mid_load,load_mid)*IF(ABS(MOD(ABS((L125*M125*IF(B125="South Korea",korea_mid_revleg,revleg_mid))),1)-0.5)&lt;1E-9,2*ROUND((L125*M125*IF(B125="South Korea",korea_mid_revleg,revleg_mid))/2,0),ROUND((L125*M125*IF(B125="South Korea",korea_mid_revleg,revleg_mid)),0)))-(((battery/range_nm)*D125*IF(ABS(MOD(ABS((L125*M125*IF(B125="South Korea",korea_mid_revleg,revleg_mid))),1)-0.5)&lt;1E-9,2*ROUND((L125*M125*IF(B125="South Korea",korea_mid_revleg,revleg_mid))/2,0),ROUND((L125*M125*IF(B125="South Korea",korea_mid_revleg,revleg_mid)),0))*VLOOKUP(B125,country_opex,3,FALSE))+W125+X125+Y125+Z125+AA125))&lt;=0,"",VLOOKUP(B125,country_opex,7,FALSE)/((T125*pax_cap*IF(B125="South Korea",korea_mid_load,load_mid)*IF(ABS(MOD(ABS((L125*M125*IF(B125="South Korea",korea_mid_revleg,revleg_mid))),1)-0.5)&lt;1E-9,2*ROUND((L125*M125*IF(B125="South Korea",korea_mid_revleg,revleg_mid))/2,0),ROUND((L125*M125*IF(B125="South Korea",korea_mid_revleg,revleg_mid)),0)))-(((battery/range_nm)*D125*IF(ABS(MOD(ABS((L125*M125*IF(B125="South Korea",korea_mid_revleg,revleg_mid))),1)-0.5)&lt;1E-9,2*ROUND((L125*M125*IF(B125="South Korea",korea_mid_revleg,revleg_mid))/2,0),ROUND((L125*M125*IF(B125="South Korea",korea_mid_revleg,revleg_mid)),0))*VLOOKUP(B125,country_opex,3,FALSE))+W125+X125+Y125+Z125+AA125)))</f>
        <v/>
      </c>
      <c r="AX125" s="45">
        <f>IF(((T125*pax_cap*load_full*IF(ABS(MOD(ABS((L125*M125*revleg_full)),1)-0.5)&lt;1E-9,2*ROUND((L125*M125*revleg_full)/2,0),ROUND((L125*M125*revleg_full),0)))-(((battery/range_nm)*D125*IF(ABS(MOD(ABS((L125*M125*revleg_full)),1)-0.5)&lt;1E-9,2*ROUND((L125*M125*revleg_full)/2,0),ROUND((L125*M125*revleg_full),0))*VLOOKUP(B125,country_opex,3,FALSE))+W125+X125+Y125+Z125+AA125))&lt;=0,"",VLOOKUP(B125,country_opex,7,FALSE)/((T125*pax_cap*load_full*IF(ABS(MOD(ABS((L125*M125*revleg_full)),1)-0.5)&lt;1E-9,2*ROUND((L125*M125*revleg_full)/2,0),ROUND((L125*M125*revleg_full),0)))-(((battery/range_nm)*D125*IF(ABS(MOD(ABS((L125*M125*revleg_full)),1)-0.5)&lt;1E-9,2*ROUND((L125*M125*revleg_full)/2,0),ROUND((L125*M125*revleg_full),0))*VLOOKUP(B125,country_opex,3,FALSE))+W125+X125+Y125+Z125+AA125)))</f>
        <v/>
      </c>
      <c r="AY125" s="46" t="n"/>
      <c r="AZ125" s="46" t="n"/>
      <c r="BA125" s="34" t="inlineStr">
        <is>
          <t>rn-bd6924470bd3</t>
        </is>
      </c>
    </row>
    <row r="126">
      <c r="A126" s="31" t="inlineStr">
        <is>
          <t>Bolt Qatar</t>
        </is>
      </c>
      <c r="B126" s="31" t="inlineStr">
        <is>
          <t>Qatar</t>
        </is>
      </c>
      <c r="C126" s="32" t="inlineStr">
        <is>
          <t>The Pearl-Qatar (Marsa Arabia) → Doha Corniche / Old Doha Port</t>
        </is>
      </c>
      <c r="D126" s="33" t="n">
        <v>4.4</v>
      </c>
      <c r="E126" s="27" t="n">
        <v>10.99</v>
      </c>
      <c r="F126" s="34" t="inlineStr">
        <is>
          <t>T3</t>
        </is>
      </c>
      <c r="G126" s="34" t="inlineStr">
        <is>
          <t>med</t>
        </is>
      </c>
      <c r="H126" s="20" t="n">
        <v>1</v>
      </c>
      <c r="I126" s="35">
        <f>60*D126/cruise_kt</f>
        <v/>
      </c>
      <c r="J126" s="35">
        <f>IF(B126="South Korea",D126/korea_charge_range_nm*korea_full_range_charge_min,0)</f>
        <v/>
      </c>
      <c r="K126" s="35">
        <f>IF(B126="South Korea",I126+korea_turn_min+korea_dwell_min+J126,I126+turn_min+dwell_min)</f>
        <v/>
      </c>
      <c r="L126" s="36">
        <f>IF(B126="South Korea",FLOOR(60*korea_service_hr/K126,1),MIN(15,FLOOR(60*service_hr/K126,1)))</f>
        <v/>
      </c>
      <c r="M126" s="36">
        <f>IF(ABS(MOD(ABS((365*mech_uptime*H126)),1)-0.5)&lt;1E-9,2*ROUND((365*mech_uptime*H126)/2,0),ROUND((365*mech_uptime*H126),0))</f>
        <v/>
      </c>
      <c r="N126" s="37">
        <f>mech_uptime</f>
        <v/>
      </c>
      <c r="O126" s="37">
        <f>IF(AND(B126="South Korea",scenario="MID"),korea_mid_revleg,revleg_sel)</f>
        <v/>
      </c>
      <c r="P126" s="36">
        <f>IF(ABS(MOD(ABS((L126*M126*O126)),1)-0.5)&lt;1E-9,2*ROUND((L126*M126*O126)/2,0),ROUND((L126*M126*O126),0))</f>
        <v/>
      </c>
      <c r="Q126" s="37">
        <f>IF(AND(B126="South Korea",scenario="MID"),korea_mid_load,load_sel)</f>
        <v/>
      </c>
      <c r="R126" s="38">
        <f>pax_cap*Q126</f>
        <v/>
      </c>
      <c r="S126" s="36">
        <f>R126*P126</f>
        <v/>
      </c>
      <c r="T126" s="39">
        <f>E126*discount</f>
        <v/>
      </c>
      <c r="U126" s="40">
        <f>T126*S126</f>
        <v/>
      </c>
      <c r="V126" s="40">
        <f>(battery/range_nm)*D126*P126*VLOOKUP(B126,country_opex,3,FALSE)</f>
        <v/>
      </c>
      <c r="W126" s="40">
        <f>VLOOKUP(B126,country_opex,2,FALSE)*crew_factor</f>
        <v/>
      </c>
      <c r="X126" s="40">
        <f>VLOOKUP(B126,country_opex,5,FALSE)</f>
        <v/>
      </c>
      <c r="Y126" s="40">
        <f>maint</f>
        <v/>
      </c>
      <c r="Z126" s="40">
        <f>VLOOKUP(B126,country_opex,7,FALSE)*ins_pct</f>
        <v/>
      </c>
      <c r="AA126" s="40">
        <f>charge_berth</f>
        <v/>
      </c>
      <c r="AB126" s="40">
        <f>V126+W126+X126+Y126+Z126+AA126</f>
        <v/>
      </c>
      <c r="AC126" s="40">
        <f>VLOOKUP(B126,country_opex,7,FALSE)/dep_years</f>
        <v/>
      </c>
      <c r="AD126" s="40">
        <f>U126-AB126</f>
        <v/>
      </c>
      <c r="AE126" s="37">
        <f>IF(U126=0,"",AD126/U126)</f>
        <v/>
      </c>
      <c r="AF126" s="38">
        <f>IF(AD126&lt;=0,"",VLOOKUP(B126,country_opex,7,FALSE)/AD126)</f>
        <v/>
      </c>
      <c r="AG126" s="35">
        <f>((D126*P126/diesel_nmpg)*diesel_co2pg-(battery/range_nm)*D126*P126*VLOOKUP(B126,country_opex,4,FALSE))/1000</f>
        <v/>
      </c>
      <c r="AH126" s="33" t="n">
        <v>50000</v>
      </c>
      <c r="AI126" s="34" t="inlineStr">
        <is>
          <t>T5</t>
        </is>
      </c>
      <c r="AJ126" s="34" t="inlineStr">
        <is>
          <t>low</t>
        </is>
      </c>
      <c r="AK126" s="41" t="n">
        <v>0.1</v>
      </c>
      <c r="AL126" s="36">
        <f>IF(AH126="","",AH126*AK126)</f>
        <v/>
      </c>
      <c r="AM126" s="36">
        <f>IF(OR(AH126="",S126=0),"",MIN(IF(AU126="",9.9E+99,AU126),FLOOR(AL126/S126,1)))</f>
        <v/>
      </c>
      <c r="AN126" s="40">
        <f>IF(AM126="","",AM126*IF(ABS(MOD(ABS((U126)),1)-0.5)&lt;1E-9,2*ROUND((U126)/2,0),ROUND((U126),0)))</f>
        <v/>
      </c>
      <c r="AO126" s="38">
        <f>IF(OR(AH126="",S126=0),"",MIN(IF(AU126="",9.9E+99,AU126),AL126/S126))</f>
        <v/>
      </c>
      <c r="AP126" s="40">
        <f>IF(AO126="","",AO126*IF(B126="South Korea",IF(ABS(MOD(ABS((U126)),1)-0.5)&lt;1E-9,2*ROUND((U126)/2,0),ROUND((U126),0)),U126))</f>
        <v/>
      </c>
      <c r="AQ126" s="42" t="n"/>
      <c r="AR126" s="34" t="inlineStr">
        <is>
          <t>Estimated</t>
        </is>
      </c>
      <c r="AS126" s="43" t="n"/>
      <c r="AT126" s="43" t="n"/>
      <c r="AU126" s="44" t="n"/>
      <c r="AV126" s="45">
        <f>IF(((T126*pax_cap*load_thin*IF(ABS(MOD(ABS((L126*M126*revleg_thin)),1)-0.5)&lt;1E-9,2*ROUND((L126*M126*revleg_thin)/2,0),ROUND((L126*M126*revleg_thin),0)))-(((battery/range_nm)*D126*IF(ABS(MOD(ABS((L126*M126*revleg_thin)),1)-0.5)&lt;1E-9,2*ROUND((L126*M126*revleg_thin)/2,0),ROUND((L126*M126*revleg_thin),0))*VLOOKUP(B126,country_opex,3,FALSE))+W126+X126+Y126+Z126+AA126))&lt;=0,"",VLOOKUP(B126,country_opex,7,FALSE)/((T126*pax_cap*load_thin*IF(ABS(MOD(ABS((L126*M126*revleg_thin)),1)-0.5)&lt;1E-9,2*ROUND((L126*M126*revleg_thin)/2,0),ROUND((L126*M126*revleg_thin),0)))-(((battery/range_nm)*D126*IF(ABS(MOD(ABS((L126*M126*revleg_thin)),1)-0.5)&lt;1E-9,2*ROUND((L126*M126*revleg_thin)/2,0),ROUND((L126*M126*revleg_thin),0))*VLOOKUP(B126,country_opex,3,FALSE))+W126+X126+Y126+Z126+AA126)))</f>
        <v/>
      </c>
      <c r="AW126" s="45">
        <f>IF(((T126*pax_cap*IF(B126="South Korea",korea_mid_load,load_mid)*IF(ABS(MOD(ABS((L126*M126*IF(B126="South Korea",korea_mid_revleg,revleg_mid))),1)-0.5)&lt;1E-9,2*ROUND((L126*M126*IF(B126="South Korea",korea_mid_revleg,revleg_mid))/2,0),ROUND((L126*M126*IF(B126="South Korea",korea_mid_revleg,revleg_mid)),0)))-(((battery/range_nm)*D126*IF(ABS(MOD(ABS((L126*M126*IF(B126="South Korea",korea_mid_revleg,revleg_mid))),1)-0.5)&lt;1E-9,2*ROUND((L126*M126*IF(B126="South Korea",korea_mid_revleg,revleg_mid))/2,0),ROUND((L126*M126*IF(B126="South Korea",korea_mid_revleg,revleg_mid)),0))*VLOOKUP(B126,country_opex,3,FALSE))+W126+X126+Y126+Z126+AA126))&lt;=0,"",VLOOKUP(B126,country_opex,7,FALSE)/((T126*pax_cap*IF(B126="South Korea",korea_mid_load,load_mid)*IF(ABS(MOD(ABS((L126*M126*IF(B126="South Korea",korea_mid_revleg,revleg_mid))),1)-0.5)&lt;1E-9,2*ROUND((L126*M126*IF(B126="South Korea",korea_mid_revleg,revleg_mid))/2,0),ROUND((L126*M126*IF(B126="South Korea",korea_mid_revleg,revleg_mid)),0)))-(((battery/range_nm)*D126*IF(ABS(MOD(ABS((L126*M126*IF(B126="South Korea",korea_mid_revleg,revleg_mid))),1)-0.5)&lt;1E-9,2*ROUND((L126*M126*IF(B126="South Korea",korea_mid_revleg,revleg_mid))/2,0),ROUND((L126*M126*IF(B126="South Korea",korea_mid_revleg,revleg_mid)),0))*VLOOKUP(B126,country_opex,3,FALSE))+W126+X126+Y126+Z126+AA126)))</f>
        <v/>
      </c>
      <c r="AX126" s="45">
        <f>IF(((T126*pax_cap*load_full*IF(ABS(MOD(ABS((L126*M126*revleg_full)),1)-0.5)&lt;1E-9,2*ROUND((L126*M126*revleg_full)/2,0),ROUND((L126*M126*revleg_full),0)))-(((battery/range_nm)*D126*IF(ABS(MOD(ABS((L126*M126*revleg_full)),1)-0.5)&lt;1E-9,2*ROUND((L126*M126*revleg_full)/2,0),ROUND((L126*M126*revleg_full),0))*VLOOKUP(B126,country_opex,3,FALSE))+W126+X126+Y126+Z126+AA126))&lt;=0,"",VLOOKUP(B126,country_opex,7,FALSE)/((T126*pax_cap*load_full*IF(ABS(MOD(ABS((L126*M126*revleg_full)),1)-0.5)&lt;1E-9,2*ROUND((L126*M126*revleg_full)/2,0),ROUND((L126*M126*revleg_full),0)))-(((battery/range_nm)*D126*IF(ABS(MOD(ABS((L126*M126*revleg_full)),1)-0.5)&lt;1E-9,2*ROUND((L126*M126*revleg_full)/2,0),ROUND((L126*M126*revleg_full),0))*VLOOKUP(B126,country_opex,3,FALSE))+W126+X126+Y126+Z126+AA126)))</f>
        <v/>
      </c>
      <c r="AY126" s="46" t="inlineStr">
        <is>
          <t>Ronautica (UDC official Pearl marine operator) gate-to-gate water shuttle QAR 40/pp (USD 10.99) — premium per-seat tier on-corridor. Cheap tier: Mina Link scheduled shuttle QAR 25/pp (USD 6.87, launched Jul 2025; geography conflict between sources — timeoutdoha says Old Doha Port&lt;-&gt;Pearl, launch coverage says intra-port loop — so held to ladder, not anchor). Intra-Pearl premium: Porto Arabia&lt;-&gt;Qanat Quartier QAR 80/pp ($21.98).</t>
        </is>
      </c>
      <c r="AZ126" s="46" t="inlineStr">
        <is>
          <t>On-corridor T1 anchors: Old Doha Port 7M+ visitors 2025 with 97% leasing occupancy, and 87 cruise ships / 396,000+ cruise passengers in the 2024-25 season (QNA/Old Doha Port CEO, 31-Dec-2025 — T1). Pearl Island ~52,000 residents, ~20M vehicle entries/yr (UDC). MOT Pearl Ferry Stop infrastructure complete (mot.gov.qa). Mina Link shuttle (QAR 25/pp, Brooq Tourism, daily 10:00-21:30): ridership unpublished; GEOGRAPHY FLAG — most launch coverage describes it as Containers Yard &lt;-&gt; Mina District (an INTRA-PORT scenic loop), not Old Doha Port &lt;-&gt; The Pearl, so it is a weak on-corridor proxy.</t>
        </is>
      </c>
      <c r="BA126" s="34" t="inlineStr">
        <is>
          <t>rn-bf5805f03313</t>
        </is>
      </c>
    </row>
    <row r="127">
      <c r="A127" s="31" t="inlineStr">
        <is>
          <t>Bolt Qatar</t>
        </is>
      </c>
      <c r="B127" s="31" t="inlineStr">
        <is>
          <t>Qatar</t>
        </is>
      </c>
      <c r="C127" s="32" t="inlineStr">
        <is>
          <t>The Pearl-Qatar (Marsa Arabia) → Doha Corniche / Old Doha Port</t>
        </is>
      </c>
      <c r="D127" s="33" t="n">
        <v>4.4</v>
      </c>
      <c r="E127" s="27" t="n"/>
      <c r="F127" s="34" t="n"/>
      <c r="G127" s="34" t="n"/>
      <c r="H127" s="20" t="n">
        <v>1</v>
      </c>
      <c r="I127" s="35">
        <f>60*D127/cruise_kt</f>
        <v/>
      </c>
      <c r="J127" s="35">
        <f>IF(B127="South Korea",D127/korea_charge_range_nm*korea_full_range_charge_min,0)</f>
        <v/>
      </c>
      <c r="K127" s="35">
        <f>IF(B127="South Korea",I127+korea_turn_min+korea_dwell_min+J127,I127+turn_min+dwell_min)</f>
        <v/>
      </c>
      <c r="L127" s="36">
        <f>IF(B127="South Korea",FLOOR(60*korea_service_hr/K127,1),MIN(15,FLOOR(60*service_hr/K127,1)))</f>
        <v/>
      </c>
      <c r="M127" s="36">
        <f>IF(ABS(MOD(ABS((365*mech_uptime*H127)),1)-0.5)&lt;1E-9,2*ROUND((365*mech_uptime*H127)/2,0),ROUND((365*mech_uptime*H127),0))</f>
        <v/>
      </c>
      <c r="N127" s="37">
        <f>mech_uptime</f>
        <v/>
      </c>
      <c r="O127" s="37">
        <f>IF(AND(B127="South Korea",scenario="MID"),korea_mid_revleg,revleg_sel)</f>
        <v/>
      </c>
      <c r="P127" s="36">
        <f>IF(ABS(MOD(ABS((L127*M127*O127)),1)-0.5)&lt;1E-9,2*ROUND((L127*M127*O127)/2,0),ROUND((L127*M127*O127),0))</f>
        <v/>
      </c>
      <c r="Q127" s="37">
        <f>IF(AND(B127="South Korea",scenario="MID"),korea_mid_load,load_sel)</f>
        <v/>
      </c>
      <c r="R127" s="38">
        <f>pax_cap*Q127</f>
        <v/>
      </c>
      <c r="S127" s="36">
        <f>R127*P127</f>
        <v/>
      </c>
      <c r="T127" s="39">
        <f>E127*discount</f>
        <v/>
      </c>
      <c r="U127" s="40">
        <f>T127*S127</f>
        <v/>
      </c>
      <c r="V127" s="40">
        <f>(battery/range_nm)*D127*P127*VLOOKUP(B127,country_opex,3,FALSE)</f>
        <v/>
      </c>
      <c r="W127" s="40">
        <f>VLOOKUP(B127,country_opex,2,FALSE)*crew_factor</f>
        <v/>
      </c>
      <c r="X127" s="40">
        <f>VLOOKUP(B127,country_opex,5,FALSE)</f>
        <v/>
      </c>
      <c r="Y127" s="40">
        <f>maint</f>
        <v/>
      </c>
      <c r="Z127" s="40">
        <f>VLOOKUP(B127,country_opex,7,FALSE)*ins_pct</f>
        <v/>
      </c>
      <c r="AA127" s="40">
        <f>charge_berth</f>
        <v/>
      </c>
      <c r="AB127" s="40">
        <f>V127+W127+X127+Y127+Z127+AA127</f>
        <v/>
      </c>
      <c r="AC127" s="40">
        <f>VLOOKUP(B127,country_opex,7,FALSE)/dep_years</f>
        <v/>
      </c>
      <c r="AD127" s="40">
        <f>U127-AB127</f>
        <v/>
      </c>
      <c r="AE127" s="37">
        <f>IF(U127=0,"",AD127/U127)</f>
        <v/>
      </c>
      <c r="AF127" s="38">
        <f>IF(AD127&lt;=0,"",VLOOKUP(B127,country_opex,7,FALSE)/AD127)</f>
        <v/>
      </c>
      <c r="AG127" s="35">
        <f>((D127*P127/diesel_nmpg)*diesel_co2pg-(battery/range_nm)*D127*P127*VLOOKUP(B127,country_opex,4,FALSE))/1000</f>
        <v/>
      </c>
      <c r="AH127" s="33" t="n"/>
      <c r="AI127" s="34" t="n"/>
      <c r="AJ127" s="34" t="n"/>
      <c r="AK127" s="41" t="n">
        <v>0.1</v>
      </c>
      <c r="AL127" s="36">
        <f>IF(AH127="","",AH127*AK127)</f>
        <v/>
      </c>
      <c r="AM127" s="36">
        <f>IF(OR(AH127="",S127=0),"",MIN(IF(AU127="",9.9E+99,AU127),FLOOR(AL127/S127,1)))</f>
        <v/>
      </c>
      <c r="AN127" s="40">
        <f>IF(AM127="","",AM127*IF(ABS(MOD(ABS((U127)),1)-0.5)&lt;1E-9,2*ROUND((U127)/2,0),ROUND((U127),0)))</f>
        <v/>
      </c>
      <c r="AO127" s="38">
        <f>IF(OR(AH127="",S127=0),"",MIN(IF(AU127="",9.9E+99,AU127),AL127/S127))</f>
        <v/>
      </c>
      <c r="AP127" s="40">
        <f>IF(AO127="","",AO127*IF(B127="South Korea",IF(ABS(MOD(ABS((U127)),1)-0.5)&lt;1E-9,2*ROUND((U127)/2,0),ROUND((U127),0)),U127))</f>
        <v/>
      </c>
      <c r="AQ127" s="42" t="n"/>
      <c r="AR127" s="34" t="inlineStr">
        <is>
          <t>Estimated</t>
        </is>
      </c>
      <c r="AS127" s="43" t="n"/>
      <c r="AT127" s="43" t="n"/>
      <c r="AU127" s="44" t="n"/>
      <c r="AV127" s="45">
        <f>IF(((T127*pax_cap*load_thin*IF(ABS(MOD(ABS((L127*M127*revleg_thin)),1)-0.5)&lt;1E-9,2*ROUND((L127*M127*revleg_thin)/2,0),ROUND((L127*M127*revleg_thin),0)))-(((battery/range_nm)*D127*IF(ABS(MOD(ABS((L127*M127*revleg_thin)),1)-0.5)&lt;1E-9,2*ROUND((L127*M127*revleg_thin)/2,0),ROUND((L127*M127*revleg_thin),0))*VLOOKUP(B127,country_opex,3,FALSE))+W127+X127+Y127+Z127+AA127))&lt;=0,"",VLOOKUP(B127,country_opex,7,FALSE)/((T127*pax_cap*load_thin*IF(ABS(MOD(ABS((L127*M127*revleg_thin)),1)-0.5)&lt;1E-9,2*ROUND((L127*M127*revleg_thin)/2,0),ROUND((L127*M127*revleg_thin),0)))-(((battery/range_nm)*D127*IF(ABS(MOD(ABS((L127*M127*revleg_thin)),1)-0.5)&lt;1E-9,2*ROUND((L127*M127*revleg_thin)/2,0),ROUND((L127*M127*revleg_thin),0))*VLOOKUP(B127,country_opex,3,FALSE))+W127+X127+Y127+Z127+AA127)))</f>
        <v/>
      </c>
      <c r="AW127" s="45">
        <f>IF(((T127*pax_cap*IF(B127="South Korea",korea_mid_load,load_mid)*IF(ABS(MOD(ABS((L127*M127*IF(B127="South Korea",korea_mid_revleg,revleg_mid))),1)-0.5)&lt;1E-9,2*ROUND((L127*M127*IF(B127="South Korea",korea_mid_revleg,revleg_mid))/2,0),ROUND((L127*M127*IF(B127="South Korea",korea_mid_revleg,revleg_mid)),0)))-(((battery/range_nm)*D127*IF(ABS(MOD(ABS((L127*M127*IF(B127="South Korea",korea_mid_revleg,revleg_mid))),1)-0.5)&lt;1E-9,2*ROUND((L127*M127*IF(B127="South Korea",korea_mid_revleg,revleg_mid))/2,0),ROUND((L127*M127*IF(B127="South Korea",korea_mid_revleg,revleg_mid)),0))*VLOOKUP(B127,country_opex,3,FALSE))+W127+X127+Y127+Z127+AA127))&lt;=0,"",VLOOKUP(B127,country_opex,7,FALSE)/((T127*pax_cap*IF(B127="South Korea",korea_mid_load,load_mid)*IF(ABS(MOD(ABS((L127*M127*IF(B127="South Korea",korea_mid_revleg,revleg_mid))),1)-0.5)&lt;1E-9,2*ROUND((L127*M127*IF(B127="South Korea",korea_mid_revleg,revleg_mid))/2,0),ROUND((L127*M127*IF(B127="South Korea",korea_mid_revleg,revleg_mid)),0)))-(((battery/range_nm)*D127*IF(ABS(MOD(ABS((L127*M127*IF(B127="South Korea",korea_mid_revleg,revleg_mid))),1)-0.5)&lt;1E-9,2*ROUND((L127*M127*IF(B127="South Korea",korea_mid_revleg,revleg_mid))/2,0),ROUND((L127*M127*IF(B127="South Korea",korea_mid_revleg,revleg_mid)),0))*VLOOKUP(B127,country_opex,3,FALSE))+W127+X127+Y127+Z127+AA127)))</f>
        <v/>
      </c>
      <c r="AX127" s="45">
        <f>IF(((T127*pax_cap*load_full*IF(ABS(MOD(ABS((L127*M127*revleg_full)),1)-0.5)&lt;1E-9,2*ROUND((L127*M127*revleg_full)/2,0),ROUND((L127*M127*revleg_full),0)))-(((battery/range_nm)*D127*IF(ABS(MOD(ABS((L127*M127*revleg_full)),1)-0.5)&lt;1E-9,2*ROUND((L127*M127*revleg_full)/2,0),ROUND((L127*M127*revleg_full),0))*VLOOKUP(B127,country_opex,3,FALSE))+W127+X127+Y127+Z127+AA127))&lt;=0,"",VLOOKUP(B127,country_opex,7,FALSE)/((T127*pax_cap*load_full*IF(ABS(MOD(ABS((L127*M127*revleg_full)),1)-0.5)&lt;1E-9,2*ROUND((L127*M127*revleg_full)/2,0),ROUND((L127*M127*revleg_full),0)))-(((battery/range_nm)*D127*IF(ABS(MOD(ABS((L127*M127*revleg_full)),1)-0.5)&lt;1E-9,2*ROUND((L127*M127*revleg_full)/2,0),ROUND((L127*M127*revleg_full),0))*VLOOKUP(B127,country_opex,3,FALSE))+W127+X127+Y127+Z127+AA127)))</f>
        <v/>
      </c>
      <c r="AY127" s="46" t="n"/>
      <c r="AZ127" s="46" t="n"/>
      <c r="BA127" s="34" t="inlineStr">
        <is>
          <t>rn-bd6924470bd3</t>
        </is>
      </c>
    </row>
    <row r="128">
      <c r="A128" s="31" t="inlineStr">
        <is>
          <t>Bolt Qatar</t>
        </is>
      </c>
      <c r="B128" s="31" t="inlineStr">
        <is>
          <t>Qatar</t>
        </is>
      </c>
      <c r="C128" s="32" t="inlineStr">
        <is>
          <t>Doha → Banana Island</t>
        </is>
      </c>
      <c r="D128" s="33" t="n">
        <v>4.5</v>
      </c>
      <c r="E128" s="27" t="n"/>
      <c r="F128" s="34" t="n"/>
      <c r="G128" s="34" t="n"/>
      <c r="H128" s="20" t="n">
        <v>1</v>
      </c>
      <c r="I128" s="35">
        <f>60*D128/cruise_kt</f>
        <v/>
      </c>
      <c r="J128" s="35">
        <f>IF(B128="South Korea",D128/korea_charge_range_nm*korea_full_range_charge_min,0)</f>
        <v/>
      </c>
      <c r="K128" s="35">
        <f>IF(B128="South Korea",I128+korea_turn_min+korea_dwell_min+J128,I128+turn_min+dwell_min)</f>
        <v/>
      </c>
      <c r="L128" s="36">
        <f>IF(B128="South Korea",FLOOR(60*korea_service_hr/K128,1),MIN(15,FLOOR(60*service_hr/K128,1)))</f>
        <v/>
      </c>
      <c r="M128" s="36">
        <f>IF(ABS(MOD(ABS((365*mech_uptime*H128)),1)-0.5)&lt;1E-9,2*ROUND((365*mech_uptime*H128)/2,0),ROUND((365*mech_uptime*H128),0))</f>
        <v/>
      </c>
      <c r="N128" s="37">
        <f>mech_uptime</f>
        <v/>
      </c>
      <c r="O128" s="37">
        <f>IF(AND(B128="South Korea",scenario="MID"),korea_mid_revleg,revleg_sel)</f>
        <v/>
      </c>
      <c r="P128" s="36">
        <f>IF(ABS(MOD(ABS((L128*M128*O128)),1)-0.5)&lt;1E-9,2*ROUND((L128*M128*O128)/2,0),ROUND((L128*M128*O128),0))</f>
        <v/>
      </c>
      <c r="Q128" s="37">
        <f>IF(AND(B128="South Korea",scenario="MID"),korea_mid_load,load_sel)</f>
        <v/>
      </c>
      <c r="R128" s="38">
        <f>pax_cap*Q128</f>
        <v/>
      </c>
      <c r="S128" s="36">
        <f>R128*P128</f>
        <v/>
      </c>
      <c r="T128" s="39">
        <f>E128*discount</f>
        <v/>
      </c>
      <c r="U128" s="40">
        <f>T128*S128</f>
        <v/>
      </c>
      <c r="V128" s="40">
        <f>(battery/range_nm)*D128*P128*VLOOKUP(B128,country_opex,3,FALSE)</f>
        <v/>
      </c>
      <c r="W128" s="40">
        <f>VLOOKUP(B128,country_opex,2,FALSE)*crew_factor</f>
        <v/>
      </c>
      <c r="X128" s="40">
        <f>VLOOKUP(B128,country_opex,5,FALSE)</f>
        <v/>
      </c>
      <c r="Y128" s="40">
        <f>maint</f>
        <v/>
      </c>
      <c r="Z128" s="40">
        <f>VLOOKUP(B128,country_opex,7,FALSE)*ins_pct</f>
        <v/>
      </c>
      <c r="AA128" s="40">
        <f>charge_berth</f>
        <v/>
      </c>
      <c r="AB128" s="40">
        <f>V128+W128+X128+Y128+Z128+AA128</f>
        <v/>
      </c>
      <c r="AC128" s="40">
        <f>VLOOKUP(B128,country_opex,7,FALSE)/dep_years</f>
        <v/>
      </c>
      <c r="AD128" s="40">
        <f>U128-AB128</f>
        <v/>
      </c>
      <c r="AE128" s="37">
        <f>IF(U128=0,"",AD128/U128)</f>
        <v/>
      </c>
      <c r="AF128" s="38">
        <f>IF(AD128&lt;=0,"",VLOOKUP(B128,country_opex,7,FALSE)/AD128)</f>
        <v/>
      </c>
      <c r="AG128" s="35">
        <f>((D128*P128/diesel_nmpg)*diesel_co2pg-(battery/range_nm)*D128*P128*VLOOKUP(B128,country_opex,4,FALSE))/1000</f>
        <v/>
      </c>
      <c r="AH128" s="33" t="n"/>
      <c r="AI128" s="34" t="n"/>
      <c r="AJ128" s="34" t="n"/>
      <c r="AK128" s="41" t="n">
        <v>0.1</v>
      </c>
      <c r="AL128" s="36">
        <f>IF(AH128="","",AH128*AK128)</f>
        <v/>
      </c>
      <c r="AM128" s="36">
        <f>IF(OR(AH128="",S128=0),"",MIN(IF(AU128="",9.9E+99,AU128),FLOOR(AL128/S128,1)))</f>
        <v/>
      </c>
      <c r="AN128" s="40">
        <f>IF(AM128="","",AM128*IF(ABS(MOD(ABS((U128)),1)-0.5)&lt;1E-9,2*ROUND((U128)/2,0),ROUND((U128),0)))</f>
        <v/>
      </c>
      <c r="AO128" s="38">
        <f>IF(OR(AH128="",S128=0),"",MIN(IF(AU128="",9.9E+99,AU128),AL128/S128))</f>
        <v/>
      </c>
      <c r="AP128" s="40">
        <f>IF(AO128="","",AO128*IF(B128="South Korea",IF(ABS(MOD(ABS((U128)),1)-0.5)&lt;1E-9,2*ROUND((U128)/2,0),ROUND((U128),0)),U128))</f>
        <v/>
      </c>
      <c r="AQ128" s="42" t="n"/>
      <c r="AR128" s="34" t="inlineStr">
        <is>
          <t>Estimated</t>
        </is>
      </c>
      <c r="AS128" s="43" t="n"/>
      <c r="AT128" s="43" t="n"/>
      <c r="AU128" s="44" t="n"/>
      <c r="AV128" s="45">
        <f>IF(((T128*pax_cap*load_thin*IF(ABS(MOD(ABS((L128*M128*revleg_thin)),1)-0.5)&lt;1E-9,2*ROUND((L128*M128*revleg_thin)/2,0),ROUND((L128*M128*revleg_thin),0)))-(((battery/range_nm)*D128*IF(ABS(MOD(ABS((L128*M128*revleg_thin)),1)-0.5)&lt;1E-9,2*ROUND((L128*M128*revleg_thin)/2,0),ROUND((L128*M128*revleg_thin),0))*VLOOKUP(B128,country_opex,3,FALSE))+W128+X128+Y128+Z128+AA128))&lt;=0,"",VLOOKUP(B128,country_opex,7,FALSE)/((T128*pax_cap*load_thin*IF(ABS(MOD(ABS((L128*M128*revleg_thin)),1)-0.5)&lt;1E-9,2*ROUND((L128*M128*revleg_thin)/2,0),ROUND((L128*M128*revleg_thin),0)))-(((battery/range_nm)*D128*IF(ABS(MOD(ABS((L128*M128*revleg_thin)),1)-0.5)&lt;1E-9,2*ROUND((L128*M128*revleg_thin)/2,0),ROUND((L128*M128*revleg_thin),0))*VLOOKUP(B128,country_opex,3,FALSE))+W128+X128+Y128+Z128+AA128)))</f>
        <v/>
      </c>
      <c r="AW128" s="45">
        <f>IF(((T128*pax_cap*IF(B128="South Korea",korea_mid_load,load_mid)*IF(ABS(MOD(ABS((L128*M128*IF(B128="South Korea",korea_mid_revleg,revleg_mid))),1)-0.5)&lt;1E-9,2*ROUND((L128*M128*IF(B128="South Korea",korea_mid_revleg,revleg_mid))/2,0),ROUND((L128*M128*IF(B128="South Korea",korea_mid_revleg,revleg_mid)),0)))-(((battery/range_nm)*D128*IF(ABS(MOD(ABS((L128*M128*IF(B128="South Korea",korea_mid_revleg,revleg_mid))),1)-0.5)&lt;1E-9,2*ROUND((L128*M128*IF(B128="South Korea",korea_mid_revleg,revleg_mid))/2,0),ROUND((L128*M128*IF(B128="South Korea",korea_mid_revleg,revleg_mid)),0))*VLOOKUP(B128,country_opex,3,FALSE))+W128+X128+Y128+Z128+AA128))&lt;=0,"",VLOOKUP(B128,country_opex,7,FALSE)/((T128*pax_cap*IF(B128="South Korea",korea_mid_load,load_mid)*IF(ABS(MOD(ABS((L128*M128*IF(B128="South Korea",korea_mid_revleg,revleg_mid))),1)-0.5)&lt;1E-9,2*ROUND((L128*M128*IF(B128="South Korea",korea_mid_revleg,revleg_mid))/2,0),ROUND((L128*M128*IF(B128="South Korea",korea_mid_revleg,revleg_mid)),0)))-(((battery/range_nm)*D128*IF(ABS(MOD(ABS((L128*M128*IF(B128="South Korea",korea_mid_revleg,revleg_mid))),1)-0.5)&lt;1E-9,2*ROUND((L128*M128*IF(B128="South Korea",korea_mid_revleg,revleg_mid))/2,0),ROUND((L128*M128*IF(B128="South Korea",korea_mid_revleg,revleg_mid)),0))*VLOOKUP(B128,country_opex,3,FALSE))+W128+X128+Y128+Z128+AA128)))</f>
        <v/>
      </c>
      <c r="AX128" s="45">
        <f>IF(((T128*pax_cap*load_full*IF(ABS(MOD(ABS((L128*M128*revleg_full)),1)-0.5)&lt;1E-9,2*ROUND((L128*M128*revleg_full)/2,0),ROUND((L128*M128*revleg_full),0)))-(((battery/range_nm)*D128*IF(ABS(MOD(ABS((L128*M128*revleg_full)),1)-0.5)&lt;1E-9,2*ROUND((L128*M128*revleg_full)/2,0),ROUND((L128*M128*revleg_full),0))*VLOOKUP(B128,country_opex,3,FALSE))+W128+X128+Y128+Z128+AA128))&lt;=0,"",VLOOKUP(B128,country_opex,7,FALSE)/((T128*pax_cap*load_full*IF(ABS(MOD(ABS((L128*M128*revleg_full)),1)-0.5)&lt;1E-9,2*ROUND((L128*M128*revleg_full)/2,0),ROUND((L128*M128*revleg_full),0)))-(((battery/range_nm)*D128*IF(ABS(MOD(ABS((L128*M128*revleg_full)),1)-0.5)&lt;1E-9,2*ROUND((L128*M128*revleg_full)/2,0),ROUND((L128*M128*revleg_full),0))*VLOOKUP(B128,country_opex,3,FALSE))+W128+X128+Y128+Z128+AA128)))</f>
        <v/>
      </c>
      <c r="AY128" s="46" t="n"/>
      <c r="AZ128" s="46" t="n"/>
      <c r="BA128" s="34" t="inlineStr">
        <is>
          <t>rn-888f95dd0915</t>
        </is>
      </c>
    </row>
    <row r="129">
      <c r="A129" s="31" t="inlineStr">
        <is>
          <t>Bolt Qatar</t>
        </is>
      </c>
      <c r="B129" s="31" t="inlineStr">
        <is>
          <t>Qatar</t>
        </is>
      </c>
      <c r="C129" s="32" t="inlineStr">
        <is>
          <t>Doha (Al Shyoukh Terminal) → Banana Island Resort (Anantara)</t>
        </is>
      </c>
      <c r="D129" s="33" t="n">
        <v>4.9</v>
      </c>
      <c r="E129" s="27" t="n">
        <v>27.5</v>
      </c>
      <c r="F129" s="34" t="inlineStr">
        <is>
          <t>T3</t>
        </is>
      </c>
      <c r="G129" s="34" t="inlineStr">
        <is>
          <t>med</t>
        </is>
      </c>
      <c r="H129" s="20" t="n">
        <v>1</v>
      </c>
      <c r="I129" s="35">
        <f>60*D129/cruise_kt</f>
        <v/>
      </c>
      <c r="J129" s="35">
        <f>IF(B129="South Korea",D129/korea_charge_range_nm*korea_full_range_charge_min,0)</f>
        <v/>
      </c>
      <c r="K129" s="35">
        <f>IF(B129="South Korea",I129+korea_turn_min+korea_dwell_min+J129,I129+turn_min+dwell_min)</f>
        <v/>
      </c>
      <c r="L129" s="36">
        <f>IF(B129="South Korea",FLOOR(60*korea_service_hr/K129,1),MIN(15,FLOOR(60*service_hr/K129,1)))</f>
        <v/>
      </c>
      <c r="M129" s="36">
        <f>IF(ABS(MOD(ABS((365*mech_uptime*H129)),1)-0.5)&lt;1E-9,2*ROUND((365*mech_uptime*H129)/2,0),ROUND((365*mech_uptime*H129),0))</f>
        <v/>
      </c>
      <c r="N129" s="37">
        <f>mech_uptime</f>
        <v/>
      </c>
      <c r="O129" s="37">
        <f>IF(AND(B129="South Korea",scenario="MID"),korea_mid_revleg,revleg_sel)</f>
        <v/>
      </c>
      <c r="P129" s="36">
        <f>IF(ABS(MOD(ABS((L129*M129*O129)),1)-0.5)&lt;1E-9,2*ROUND((L129*M129*O129)/2,0),ROUND((L129*M129*O129),0))</f>
        <v/>
      </c>
      <c r="Q129" s="37">
        <f>IF(AND(B129="South Korea",scenario="MID"),korea_mid_load,load_sel)</f>
        <v/>
      </c>
      <c r="R129" s="38">
        <f>pax_cap*Q129</f>
        <v/>
      </c>
      <c r="S129" s="36">
        <f>R129*P129</f>
        <v/>
      </c>
      <c r="T129" s="39">
        <f>E129*discount</f>
        <v/>
      </c>
      <c r="U129" s="40">
        <f>T129*S129</f>
        <v/>
      </c>
      <c r="V129" s="40">
        <f>(battery/range_nm)*D129*P129*VLOOKUP(B129,country_opex,3,FALSE)</f>
        <v/>
      </c>
      <c r="W129" s="40">
        <f>VLOOKUP(B129,country_opex,2,FALSE)*crew_factor</f>
        <v/>
      </c>
      <c r="X129" s="40">
        <f>VLOOKUP(B129,country_opex,5,FALSE)</f>
        <v/>
      </c>
      <c r="Y129" s="40">
        <f>maint</f>
        <v/>
      </c>
      <c r="Z129" s="40">
        <f>VLOOKUP(B129,country_opex,7,FALSE)*ins_pct</f>
        <v/>
      </c>
      <c r="AA129" s="40">
        <f>charge_berth</f>
        <v/>
      </c>
      <c r="AB129" s="40">
        <f>V129+W129+X129+Y129+Z129+AA129</f>
        <v/>
      </c>
      <c r="AC129" s="40">
        <f>VLOOKUP(B129,country_opex,7,FALSE)/dep_years</f>
        <v/>
      </c>
      <c r="AD129" s="40">
        <f>U129-AB129</f>
        <v/>
      </c>
      <c r="AE129" s="37">
        <f>IF(U129=0,"",AD129/U129)</f>
        <v/>
      </c>
      <c r="AF129" s="38">
        <f>IF(AD129&lt;=0,"",VLOOKUP(B129,country_opex,7,FALSE)/AD129)</f>
        <v/>
      </c>
      <c r="AG129" s="35">
        <f>((D129*P129/diesel_nmpg)*diesel_co2pg-(battery/range_nm)*D129*P129*VLOOKUP(B129,country_opex,4,FALSE))/1000</f>
        <v/>
      </c>
      <c r="AH129" s="33" t="n">
        <v>85000</v>
      </c>
      <c r="AI129" s="34" t="inlineStr">
        <is>
          <t>T4</t>
        </is>
      </c>
      <c r="AJ129" s="34" t="inlineStr">
        <is>
          <t>med-low</t>
        </is>
      </c>
      <c r="AK129" s="41" t="n">
        <v>0.1</v>
      </c>
      <c r="AL129" s="36">
        <f>IF(AH129="","",AH129*AK129)</f>
        <v/>
      </c>
      <c r="AM129" s="36">
        <f>IF(OR(AH129="",S129=0),"",MIN(IF(AU129="",9.9E+99,AU129),FLOOR(AL129/S129,1)))</f>
        <v/>
      </c>
      <c r="AN129" s="40">
        <f>IF(AM129="","",AM129*IF(ABS(MOD(ABS((U129)),1)-0.5)&lt;1E-9,2*ROUND((U129)/2,0),ROUND((U129),0)))</f>
        <v/>
      </c>
      <c r="AO129" s="38">
        <f>IF(OR(AH129="",S129=0),"",MIN(IF(AU129="",9.9E+99,AU129),AL129/S129))</f>
        <v/>
      </c>
      <c r="AP129" s="40">
        <f>IF(AO129="","",AO129*IF(B129="South Korea",IF(ABS(MOD(ABS((U129)),1)-0.5)&lt;1E-9,2*ROUND((U129)/2,0),ROUND((U129),0)),U129))</f>
        <v/>
      </c>
      <c r="AQ129" s="42" t="n"/>
      <c r="AR129" s="34" t="inlineStr">
        <is>
          <t>Estimated</t>
        </is>
      </c>
      <c r="AS129" s="43" t="n"/>
      <c r="AT129" s="43" t="n"/>
      <c r="AU129" s="44" t="n"/>
      <c r="AV129" s="45">
        <f>IF(((T129*pax_cap*load_thin*IF(ABS(MOD(ABS((L129*M129*revleg_thin)),1)-0.5)&lt;1E-9,2*ROUND((L129*M129*revleg_thin)/2,0),ROUND((L129*M129*revleg_thin),0)))-(((battery/range_nm)*D129*IF(ABS(MOD(ABS((L129*M129*revleg_thin)),1)-0.5)&lt;1E-9,2*ROUND((L129*M129*revleg_thin)/2,0),ROUND((L129*M129*revleg_thin),0))*VLOOKUP(B129,country_opex,3,FALSE))+W129+X129+Y129+Z129+AA129))&lt;=0,"",VLOOKUP(B129,country_opex,7,FALSE)/((T129*pax_cap*load_thin*IF(ABS(MOD(ABS((L129*M129*revleg_thin)),1)-0.5)&lt;1E-9,2*ROUND((L129*M129*revleg_thin)/2,0),ROUND((L129*M129*revleg_thin),0)))-(((battery/range_nm)*D129*IF(ABS(MOD(ABS((L129*M129*revleg_thin)),1)-0.5)&lt;1E-9,2*ROUND((L129*M129*revleg_thin)/2,0),ROUND((L129*M129*revleg_thin),0))*VLOOKUP(B129,country_opex,3,FALSE))+W129+X129+Y129+Z129+AA129)))</f>
        <v/>
      </c>
      <c r="AW129" s="45">
        <f>IF(((T129*pax_cap*IF(B129="South Korea",korea_mid_load,load_mid)*IF(ABS(MOD(ABS((L129*M129*IF(B129="South Korea",korea_mid_revleg,revleg_mid))),1)-0.5)&lt;1E-9,2*ROUND((L129*M129*IF(B129="South Korea",korea_mid_revleg,revleg_mid))/2,0),ROUND((L129*M129*IF(B129="South Korea",korea_mid_revleg,revleg_mid)),0)))-(((battery/range_nm)*D129*IF(ABS(MOD(ABS((L129*M129*IF(B129="South Korea",korea_mid_revleg,revleg_mid))),1)-0.5)&lt;1E-9,2*ROUND((L129*M129*IF(B129="South Korea",korea_mid_revleg,revleg_mid))/2,0),ROUND((L129*M129*IF(B129="South Korea",korea_mid_revleg,revleg_mid)),0))*VLOOKUP(B129,country_opex,3,FALSE))+W129+X129+Y129+Z129+AA129))&lt;=0,"",VLOOKUP(B129,country_opex,7,FALSE)/((T129*pax_cap*IF(B129="South Korea",korea_mid_load,load_mid)*IF(ABS(MOD(ABS((L129*M129*IF(B129="South Korea",korea_mid_revleg,revleg_mid))),1)-0.5)&lt;1E-9,2*ROUND((L129*M129*IF(B129="South Korea",korea_mid_revleg,revleg_mid))/2,0),ROUND((L129*M129*IF(B129="South Korea",korea_mid_revleg,revleg_mid)),0)))-(((battery/range_nm)*D129*IF(ABS(MOD(ABS((L129*M129*IF(B129="South Korea",korea_mid_revleg,revleg_mid))),1)-0.5)&lt;1E-9,2*ROUND((L129*M129*IF(B129="South Korea",korea_mid_revleg,revleg_mid))/2,0),ROUND((L129*M129*IF(B129="South Korea",korea_mid_revleg,revleg_mid)),0))*VLOOKUP(B129,country_opex,3,FALSE))+W129+X129+Y129+Z129+AA129)))</f>
        <v/>
      </c>
      <c r="AX129" s="45">
        <f>IF(((T129*pax_cap*load_full*IF(ABS(MOD(ABS((L129*M129*revleg_full)),1)-0.5)&lt;1E-9,2*ROUND((L129*M129*revleg_full)/2,0),ROUND((L129*M129*revleg_full),0)))-(((battery/range_nm)*D129*IF(ABS(MOD(ABS((L129*M129*revleg_full)),1)-0.5)&lt;1E-9,2*ROUND((L129*M129*revleg_full)/2,0),ROUND((L129*M129*revleg_full),0))*VLOOKUP(B129,country_opex,3,FALSE))+W129+X129+Y129+Z129+AA129))&lt;=0,"",VLOOKUP(B129,country_opex,7,FALSE)/((T129*pax_cap*load_full*IF(ABS(MOD(ABS((L129*M129*revleg_full)),1)-0.5)&lt;1E-9,2*ROUND((L129*M129*revleg_full)/2,0),ROUND((L129*M129*revleg_full),0)))-(((battery/range_nm)*D129*IF(ABS(MOD(ABS((L129*M129*revleg_full)),1)-0.5)&lt;1E-9,2*ROUND((L129*M129*revleg_full)/2,0),ROUND((L129*M129*revleg_full),0))*VLOOKUP(B129,country_opex,3,FALSE))+W129+X129+Y129+Z129+AA129)))</f>
        <v/>
      </c>
      <c r="AY129" s="46" t="inlineStr">
        <is>
          <t>Anantara official: day pass QAR 395/adult ($108.51) incl RT luxury catamaran transfer + QAR 345 credits. De-bundled transfer component: child rate QAR 200 RT no credits =&gt; ~QAR 100/way ~ USD 27.5/pp one-way pure-transfer value (honest band $14-55 RT).</t>
        </is>
      </c>
      <c r="AZ129" s="46" t="inlineStr">
        <is>
          <t>Anantara Banana Island official: 141 keys (anantara.com/visitqatar, T1); access is BOAT-ONLY via ~45-51-pax luxury catamaran from Al Shyoukh Terminal, 25-30 min, scheduled ~hourly 09:00-21:00 (booking.com listing; adventureparkdoha.com '45-passenger catamaran operates regularly'; observed 51-pax config). Qatar national hotel occupancy 71% 2025 (Qatar Tourism/ValuStrat, T2). Day-pass product QAR 395/adult incl. RT transfer (anantara.com, T1) adds day-tripper volume.</t>
        </is>
      </c>
      <c r="BA129" s="34" t="inlineStr">
        <is>
          <t>rn-619269ea6bb1</t>
        </is>
      </c>
    </row>
    <row r="130">
      <c r="A130" s="31" t="inlineStr">
        <is>
          <t>Bolt Qatar</t>
        </is>
      </c>
      <c r="B130" s="31" t="inlineStr">
        <is>
          <t>Qatar</t>
        </is>
      </c>
      <c r="C130" s="32" t="inlineStr">
        <is>
          <t>Doha (Al Shyoukh Terminal) → Banana Island Resort (Anantara)</t>
        </is>
      </c>
      <c r="D130" s="33" t="n">
        <v>4.9</v>
      </c>
      <c r="E130" s="27" t="n"/>
      <c r="F130" s="34" t="n"/>
      <c r="G130" s="34" t="n"/>
      <c r="H130" s="20" t="n">
        <v>1</v>
      </c>
      <c r="I130" s="35">
        <f>60*D130/cruise_kt</f>
        <v/>
      </c>
      <c r="J130" s="35">
        <f>IF(B130="South Korea",D130/korea_charge_range_nm*korea_full_range_charge_min,0)</f>
        <v/>
      </c>
      <c r="K130" s="35">
        <f>IF(B130="South Korea",I130+korea_turn_min+korea_dwell_min+J130,I130+turn_min+dwell_min)</f>
        <v/>
      </c>
      <c r="L130" s="36">
        <f>IF(B130="South Korea",FLOOR(60*korea_service_hr/K130,1),MIN(15,FLOOR(60*service_hr/K130,1)))</f>
        <v/>
      </c>
      <c r="M130" s="36">
        <f>IF(ABS(MOD(ABS((365*mech_uptime*H130)),1)-0.5)&lt;1E-9,2*ROUND((365*mech_uptime*H130)/2,0),ROUND((365*mech_uptime*H130),0))</f>
        <v/>
      </c>
      <c r="N130" s="37">
        <f>mech_uptime</f>
        <v/>
      </c>
      <c r="O130" s="37">
        <f>IF(AND(B130="South Korea",scenario="MID"),korea_mid_revleg,revleg_sel)</f>
        <v/>
      </c>
      <c r="P130" s="36">
        <f>IF(ABS(MOD(ABS((L130*M130*O130)),1)-0.5)&lt;1E-9,2*ROUND((L130*M130*O130)/2,0),ROUND((L130*M130*O130),0))</f>
        <v/>
      </c>
      <c r="Q130" s="37">
        <f>IF(AND(B130="South Korea",scenario="MID"),korea_mid_load,load_sel)</f>
        <v/>
      </c>
      <c r="R130" s="38">
        <f>pax_cap*Q130</f>
        <v/>
      </c>
      <c r="S130" s="36">
        <f>R130*P130</f>
        <v/>
      </c>
      <c r="T130" s="39">
        <f>E130*discount</f>
        <v/>
      </c>
      <c r="U130" s="40">
        <f>T130*S130</f>
        <v/>
      </c>
      <c r="V130" s="40">
        <f>(battery/range_nm)*D130*P130*VLOOKUP(B130,country_opex,3,FALSE)</f>
        <v/>
      </c>
      <c r="W130" s="40">
        <f>VLOOKUP(B130,country_opex,2,FALSE)*crew_factor</f>
        <v/>
      </c>
      <c r="X130" s="40">
        <f>VLOOKUP(B130,country_opex,5,FALSE)</f>
        <v/>
      </c>
      <c r="Y130" s="40">
        <f>maint</f>
        <v/>
      </c>
      <c r="Z130" s="40">
        <f>VLOOKUP(B130,country_opex,7,FALSE)*ins_pct</f>
        <v/>
      </c>
      <c r="AA130" s="40">
        <f>charge_berth</f>
        <v/>
      </c>
      <c r="AB130" s="40">
        <f>V130+W130+X130+Y130+Z130+AA130</f>
        <v/>
      </c>
      <c r="AC130" s="40">
        <f>VLOOKUP(B130,country_opex,7,FALSE)/dep_years</f>
        <v/>
      </c>
      <c r="AD130" s="40">
        <f>U130-AB130</f>
        <v/>
      </c>
      <c r="AE130" s="37">
        <f>IF(U130=0,"",AD130/U130)</f>
        <v/>
      </c>
      <c r="AF130" s="38">
        <f>IF(AD130&lt;=0,"",VLOOKUP(B130,country_opex,7,FALSE)/AD130)</f>
        <v/>
      </c>
      <c r="AG130" s="35">
        <f>((D130*P130/diesel_nmpg)*diesel_co2pg-(battery/range_nm)*D130*P130*VLOOKUP(B130,country_opex,4,FALSE))/1000</f>
        <v/>
      </c>
      <c r="AH130" s="33" t="n"/>
      <c r="AI130" s="34" t="n"/>
      <c r="AJ130" s="34" t="n"/>
      <c r="AK130" s="41" t="n">
        <v>0.9</v>
      </c>
      <c r="AL130" s="36">
        <f>IF(AH130="","",AH130*AK130)</f>
        <v/>
      </c>
      <c r="AM130" s="36">
        <f>IF(OR(AH130="",S130=0),"",MIN(IF(AU130="",9.9E+99,AU130),FLOOR(AL130/S130,1)))</f>
        <v/>
      </c>
      <c r="AN130" s="40">
        <f>IF(AM130="","",AM130*IF(ABS(MOD(ABS((U130)),1)-0.5)&lt;1E-9,2*ROUND((U130)/2,0),ROUND((U130),0)))</f>
        <v/>
      </c>
      <c r="AO130" s="38">
        <f>IF(OR(AH130="",S130=0),"",MIN(IF(AU130="",9.9E+99,AU130),AL130/S130))</f>
        <v/>
      </c>
      <c r="AP130" s="40">
        <f>IF(AO130="","",AO130*IF(B130="South Korea",IF(ABS(MOD(ABS((U130)),1)-0.5)&lt;1E-9,2*ROUND((U130)/2,0),ROUND((U130),0)),U130))</f>
        <v/>
      </c>
      <c r="AQ130" s="42" t="n"/>
      <c r="AR130" s="34" t="inlineStr">
        <is>
          <t>Estimated</t>
        </is>
      </c>
      <c r="AS130" s="43" t="n"/>
      <c r="AT130" s="43" t="n"/>
      <c r="AU130" s="44" t="n"/>
      <c r="AV130" s="45">
        <f>IF(((T130*pax_cap*load_thin*IF(ABS(MOD(ABS((L130*M130*revleg_thin)),1)-0.5)&lt;1E-9,2*ROUND((L130*M130*revleg_thin)/2,0),ROUND((L130*M130*revleg_thin),0)))-(((battery/range_nm)*D130*IF(ABS(MOD(ABS((L130*M130*revleg_thin)),1)-0.5)&lt;1E-9,2*ROUND((L130*M130*revleg_thin)/2,0),ROUND((L130*M130*revleg_thin),0))*VLOOKUP(B130,country_opex,3,FALSE))+W130+X130+Y130+Z130+AA130))&lt;=0,"",VLOOKUP(B130,country_opex,7,FALSE)/((T130*pax_cap*load_thin*IF(ABS(MOD(ABS((L130*M130*revleg_thin)),1)-0.5)&lt;1E-9,2*ROUND((L130*M130*revleg_thin)/2,0),ROUND((L130*M130*revleg_thin),0)))-(((battery/range_nm)*D130*IF(ABS(MOD(ABS((L130*M130*revleg_thin)),1)-0.5)&lt;1E-9,2*ROUND((L130*M130*revleg_thin)/2,0),ROUND((L130*M130*revleg_thin),0))*VLOOKUP(B130,country_opex,3,FALSE))+W130+X130+Y130+Z130+AA130)))</f>
        <v/>
      </c>
      <c r="AW130" s="45">
        <f>IF(((T130*pax_cap*IF(B130="South Korea",korea_mid_load,load_mid)*IF(ABS(MOD(ABS((L130*M130*IF(B130="South Korea",korea_mid_revleg,revleg_mid))),1)-0.5)&lt;1E-9,2*ROUND((L130*M130*IF(B130="South Korea",korea_mid_revleg,revleg_mid))/2,0),ROUND((L130*M130*IF(B130="South Korea",korea_mid_revleg,revleg_mid)),0)))-(((battery/range_nm)*D130*IF(ABS(MOD(ABS((L130*M130*IF(B130="South Korea",korea_mid_revleg,revleg_mid))),1)-0.5)&lt;1E-9,2*ROUND((L130*M130*IF(B130="South Korea",korea_mid_revleg,revleg_mid))/2,0),ROUND((L130*M130*IF(B130="South Korea",korea_mid_revleg,revleg_mid)),0))*VLOOKUP(B130,country_opex,3,FALSE))+W130+X130+Y130+Z130+AA130))&lt;=0,"",VLOOKUP(B130,country_opex,7,FALSE)/((T130*pax_cap*IF(B130="South Korea",korea_mid_load,load_mid)*IF(ABS(MOD(ABS((L130*M130*IF(B130="South Korea",korea_mid_revleg,revleg_mid))),1)-0.5)&lt;1E-9,2*ROUND((L130*M130*IF(B130="South Korea",korea_mid_revleg,revleg_mid))/2,0),ROUND((L130*M130*IF(B130="South Korea",korea_mid_revleg,revleg_mid)),0)))-(((battery/range_nm)*D130*IF(ABS(MOD(ABS((L130*M130*IF(B130="South Korea",korea_mid_revleg,revleg_mid))),1)-0.5)&lt;1E-9,2*ROUND((L130*M130*IF(B130="South Korea",korea_mid_revleg,revleg_mid))/2,0),ROUND((L130*M130*IF(B130="South Korea",korea_mid_revleg,revleg_mid)),0))*VLOOKUP(B130,country_opex,3,FALSE))+W130+X130+Y130+Z130+AA130)))</f>
        <v/>
      </c>
      <c r="AX130" s="45">
        <f>IF(((T130*pax_cap*load_full*IF(ABS(MOD(ABS((L130*M130*revleg_full)),1)-0.5)&lt;1E-9,2*ROUND((L130*M130*revleg_full)/2,0),ROUND((L130*M130*revleg_full),0)))-(((battery/range_nm)*D130*IF(ABS(MOD(ABS((L130*M130*revleg_full)),1)-0.5)&lt;1E-9,2*ROUND((L130*M130*revleg_full)/2,0),ROUND((L130*M130*revleg_full),0))*VLOOKUP(B130,country_opex,3,FALSE))+W130+X130+Y130+Z130+AA130))&lt;=0,"",VLOOKUP(B130,country_opex,7,FALSE)/((T130*pax_cap*load_full*IF(ABS(MOD(ABS((L130*M130*revleg_full)),1)-0.5)&lt;1E-9,2*ROUND((L130*M130*revleg_full)/2,0),ROUND((L130*M130*revleg_full),0)))-(((battery/range_nm)*D130*IF(ABS(MOD(ABS((L130*M130*revleg_full)),1)-0.5)&lt;1E-9,2*ROUND((L130*M130*revleg_full)/2,0),ROUND((L130*M130*revleg_full),0))*VLOOKUP(B130,country_opex,3,FALSE))+W130+X130+Y130+Z130+AA130)))</f>
        <v/>
      </c>
      <c r="AY130" s="46" t="n"/>
      <c r="AZ130" s="46" t="n"/>
      <c r="BA130" s="34" t="inlineStr">
        <is>
          <t>rn-888f95dd0915</t>
        </is>
      </c>
    </row>
    <row r="131">
      <c r="A131" s="31" t="inlineStr">
        <is>
          <t>Bolt Qatar</t>
        </is>
      </c>
      <c r="B131" s="31" t="inlineStr">
        <is>
          <t>Qatar</t>
        </is>
      </c>
      <c r="C131" s="32" t="inlineStr">
        <is>
          <t>West Bay / Corniche (Doha) → Lusail Marina &amp; Place Vendôme</t>
        </is>
      </c>
      <c r="D131" s="33" t="n">
        <v>6.3</v>
      </c>
      <c r="E131" s="27" t="n">
        <v>16</v>
      </c>
      <c r="F131" s="34" t="inlineStr">
        <is>
          <t>T5</t>
        </is>
      </c>
      <c r="G131" s="34" t="inlineStr">
        <is>
          <t>low</t>
        </is>
      </c>
      <c r="H131" s="20" t="n">
        <v>1</v>
      </c>
      <c r="I131" s="35">
        <f>60*D131/cruise_kt</f>
        <v/>
      </c>
      <c r="J131" s="35">
        <f>IF(B131="South Korea",D131/korea_charge_range_nm*korea_full_range_charge_min,0)</f>
        <v/>
      </c>
      <c r="K131" s="35">
        <f>IF(B131="South Korea",I131+korea_turn_min+korea_dwell_min+J131,I131+turn_min+dwell_min)</f>
        <v/>
      </c>
      <c r="L131" s="36">
        <f>IF(B131="South Korea",FLOOR(60*korea_service_hr/K131,1),MIN(15,FLOOR(60*service_hr/K131,1)))</f>
        <v/>
      </c>
      <c r="M131" s="36">
        <f>IF(ABS(MOD(ABS((365*mech_uptime*H131)),1)-0.5)&lt;1E-9,2*ROUND((365*mech_uptime*H131)/2,0),ROUND((365*mech_uptime*H131),0))</f>
        <v/>
      </c>
      <c r="N131" s="37">
        <f>mech_uptime</f>
        <v/>
      </c>
      <c r="O131" s="37">
        <f>IF(AND(B131="South Korea",scenario="MID"),korea_mid_revleg,revleg_sel)</f>
        <v/>
      </c>
      <c r="P131" s="36">
        <f>IF(ABS(MOD(ABS((L131*M131*O131)),1)-0.5)&lt;1E-9,2*ROUND((L131*M131*O131)/2,0),ROUND((L131*M131*O131),0))</f>
        <v/>
      </c>
      <c r="Q131" s="37">
        <f>IF(AND(B131="South Korea",scenario="MID"),korea_mid_load,load_sel)</f>
        <v/>
      </c>
      <c r="R131" s="38">
        <f>pax_cap*Q131</f>
        <v/>
      </c>
      <c r="S131" s="36">
        <f>R131*P131</f>
        <v/>
      </c>
      <c r="T131" s="39">
        <f>E131*discount</f>
        <v/>
      </c>
      <c r="U131" s="40">
        <f>T131*S131</f>
        <v/>
      </c>
      <c r="V131" s="40">
        <f>(battery/range_nm)*D131*P131*VLOOKUP(B131,country_opex,3,FALSE)</f>
        <v/>
      </c>
      <c r="W131" s="40">
        <f>VLOOKUP(B131,country_opex,2,FALSE)*crew_factor</f>
        <v/>
      </c>
      <c r="X131" s="40">
        <f>VLOOKUP(B131,country_opex,5,FALSE)</f>
        <v/>
      </c>
      <c r="Y131" s="40">
        <f>maint</f>
        <v/>
      </c>
      <c r="Z131" s="40">
        <f>VLOOKUP(B131,country_opex,7,FALSE)*ins_pct</f>
        <v/>
      </c>
      <c r="AA131" s="40">
        <f>charge_berth</f>
        <v/>
      </c>
      <c r="AB131" s="40">
        <f>V131+W131+X131+Y131+Z131+AA131</f>
        <v/>
      </c>
      <c r="AC131" s="40">
        <f>VLOOKUP(B131,country_opex,7,FALSE)/dep_years</f>
        <v/>
      </c>
      <c r="AD131" s="40">
        <f>U131-AB131</f>
        <v/>
      </c>
      <c r="AE131" s="37">
        <f>IF(U131=0,"",AD131/U131)</f>
        <v/>
      </c>
      <c r="AF131" s="38">
        <f>IF(AD131&lt;=0,"",VLOOKUP(B131,country_opex,7,FALSE)/AD131)</f>
        <v/>
      </c>
      <c r="AG131" s="35">
        <f>((D131*P131/diesel_nmpg)*diesel_co2pg-(battery/range_nm)*D131*P131*VLOOKUP(B131,country_opex,4,FALSE))/1000</f>
        <v/>
      </c>
      <c r="AH131" s="33" t="n">
        <v>75000</v>
      </c>
      <c r="AI131" s="34" t="inlineStr">
        <is>
          <t>T5</t>
        </is>
      </c>
      <c r="AJ131" s="34" t="inlineStr">
        <is>
          <t>low</t>
        </is>
      </c>
      <c r="AK131" s="41" t="n">
        <v>0.1</v>
      </c>
      <c r="AL131" s="36">
        <f>IF(AH131="","",AH131*AK131)</f>
        <v/>
      </c>
      <c r="AM131" s="36">
        <f>IF(OR(AH131="",S131=0),"",MIN(IF(AU131="",9.9E+99,AU131),FLOOR(AL131/S131,1)))</f>
        <v/>
      </c>
      <c r="AN131" s="40">
        <f>IF(AM131="","",AM131*IF(ABS(MOD(ABS((U131)),1)-0.5)&lt;1E-9,2*ROUND((U131)/2,0),ROUND((U131),0)))</f>
        <v/>
      </c>
      <c r="AO131" s="38">
        <f>IF(OR(AH131="",S131=0),"",MIN(IF(AU131="",9.9E+99,AU131),AL131/S131))</f>
        <v/>
      </c>
      <c r="AP131" s="40">
        <f>IF(AO131="","",AO131*IF(B131="South Korea",IF(ABS(MOD(ABS((U131)),1)-0.5)&lt;1E-9,2*ROUND((U131)/2,0),ROUND((U131),0)),U131))</f>
        <v/>
      </c>
      <c r="AQ131" s="42" t="n"/>
      <c r="AR131" s="34" t="inlineStr">
        <is>
          <t>Forward SAM</t>
        </is>
      </c>
      <c r="AS131" s="43" t="n"/>
      <c r="AT131" s="43" t="n"/>
      <c r="AU131" s="44" t="n"/>
      <c r="AV131" s="45">
        <f>IF(((T131*pax_cap*load_thin*IF(ABS(MOD(ABS((L131*M131*revleg_thin)),1)-0.5)&lt;1E-9,2*ROUND((L131*M131*revleg_thin)/2,0),ROUND((L131*M131*revleg_thin),0)))-(((battery/range_nm)*D131*IF(ABS(MOD(ABS((L131*M131*revleg_thin)),1)-0.5)&lt;1E-9,2*ROUND((L131*M131*revleg_thin)/2,0),ROUND((L131*M131*revleg_thin),0))*VLOOKUP(B131,country_opex,3,FALSE))+W131+X131+Y131+Z131+AA131))&lt;=0,"",VLOOKUP(B131,country_opex,7,FALSE)/((T131*pax_cap*load_thin*IF(ABS(MOD(ABS((L131*M131*revleg_thin)),1)-0.5)&lt;1E-9,2*ROUND((L131*M131*revleg_thin)/2,0),ROUND((L131*M131*revleg_thin),0)))-(((battery/range_nm)*D131*IF(ABS(MOD(ABS((L131*M131*revleg_thin)),1)-0.5)&lt;1E-9,2*ROUND((L131*M131*revleg_thin)/2,0),ROUND((L131*M131*revleg_thin),0))*VLOOKUP(B131,country_opex,3,FALSE))+W131+X131+Y131+Z131+AA131)))</f>
        <v/>
      </c>
      <c r="AW131" s="45">
        <f>IF(((T131*pax_cap*IF(B131="South Korea",korea_mid_load,load_mid)*IF(ABS(MOD(ABS((L131*M131*IF(B131="South Korea",korea_mid_revleg,revleg_mid))),1)-0.5)&lt;1E-9,2*ROUND((L131*M131*IF(B131="South Korea",korea_mid_revleg,revleg_mid))/2,0),ROUND((L131*M131*IF(B131="South Korea",korea_mid_revleg,revleg_mid)),0)))-(((battery/range_nm)*D131*IF(ABS(MOD(ABS((L131*M131*IF(B131="South Korea",korea_mid_revleg,revleg_mid))),1)-0.5)&lt;1E-9,2*ROUND((L131*M131*IF(B131="South Korea",korea_mid_revleg,revleg_mid))/2,0),ROUND((L131*M131*IF(B131="South Korea",korea_mid_revleg,revleg_mid)),0))*VLOOKUP(B131,country_opex,3,FALSE))+W131+X131+Y131+Z131+AA131))&lt;=0,"",VLOOKUP(B131,country_opex,7,FALSE)/((T131*pax_cap*IF(B131="South Korea",korea_mid_load,load_mid)*IF(ABS(MOD(ABS((L131*M131*IF(B131="South Korea",korea_mid_revleg,revleg_mid))),1)-0.5)&lt;1E-9,2*ROUND((L131*M131*IF(B131="South Korea",korea_mid_revleg,revleg_mid))/2,0),ROUND((L131*M131*IF(B131="South Korea",korea_mid_revleg,revleg_mid)),0)))-(((battery/range_nm)*D131*IF(ABS(MOD(ABS((L131*M131*IF(B131="South Korea",korea_mid_revleg,revleg_mid))),1)-0.5)&lt;1E-9,2*ROUND((L131*M131*IF(B131="South Korea",korea_mid_revleg,revleg_mid))/2,0),ROUND((L131*M131*IF(B131="South Korea",korea_mid_revleg,revleg_mid)),0))*VLOOKUP(B131,country_opex,3,FALSE))+W131+X131+Y131+Z131+AA131)))</f>
        <v/>
      </c>
      <c r="AX131" s="45">
        <f>IF(((T131*pax_cap*load_full*IF(ABS(MOD(ABS((L131*M131*revleg_full)),1)-0.5)&lt;1E-9,2*ROUND((L131*M131*revleg_full)/2,0),ROUND((L131*M131*revleg_full),0)))-(((battery/range_nm)*D131*IF(ABS(MOD(ABS((L131*M131*revleg_full)),1)-0.5)&lt;1E-9,2*ROUND((L131*M131*revleg_full)/2,0),ROUND((L131*M131*revleg_full),0))*VLOOKUP(B131,country_opex,3,FALSE))+W131+X131+Y131+Z131+AA131))&lt;=0,"",VLOOKUP(B131,country_opex,7,FALSE)/((T131*pax_cap*load_full*IF(ABS(MOD(ABS((L131*M131*revleg_full)),1)-0.5)&lt;1E-9,2*ROUND((L131*M131*revleg_full)/2,0),ROUND((L131*M131*revleg_full),0)))-(((battery/range_nm)*D131*IF(ABS(MOD(ABS((L131*M131*revleg_full)),1)-0.5)&lt;1E-9,2*ROUND((L131*M131*revleg_full)/2,0),ROUND((L131*M131*revleg_full),0))*VLOOKUP(B131,country_opex,3,FALSE))+W131+X131+Y131+Z131+AA131)))</f>
        <v/>
      </c>
      <c r="AY131" s="46" t="inlineStr">
        <is>
          <t>No scheduled service yet: MOT Water Taxi Phase-1 INFRASTRUCTURE complete 7 Nov 2024 (Lusail Ferry Terminal + Pearl &amp; Corniche stops, EV-charger-fitted) but operator unselected, no fare published (mot.gov.qa). Cascaded from on-network premium per-seat anchor Ronautica Pearl gate-to-gate QAR 40/pp (USD 10.99) scaled per-nm 4.4-&gt;6.3nm =&gt; ~$15.7. Leisure upper bound: Blue Pearl shared speedboat West Bay QAR 160/pp ($43.95).</t>
        </is>
      </c>
      <c r="AZ131" s="46" t="inlineStr">
        <is>
          <t>No marine service operates on this corridor today (greenfield; MOT Water Taxi Phase-1 INFRASTRUCTURE complete Nov-2024 — Lusail Ferry Terminal + Corniche Ferry Stop sit EXACTLY on this corridor's endpoints, with electric-ferry chargers — but operator not yet selected; network capacity unpublished, mot.gov.qa). Destination pools (all LAND-arriving, R3-LAND caveat): Al Maha Island Lusail target 1.5M visitors/yr (Gulf Times/developer); Place Vendome mall claims 16.5M annual footfall (UDC leasing brochure 2025, marketing-grade); Lusail Boulevard 250k visitors on NYE 2025 alone (wgoqatar); Doha Corniche promenade has NO published count. Qatar 5.08M intl visitors 2024 / 5.1M 2025 (Qatar Tourism, T1).</t>
        </is>
      </c>
      <c r="BA131" s="34" t="inlineStr">
        <is>
          <t>rn-e8434c243233</t>
        </is>
      </c>
    </row>
    <row r="132">
      <c r="A132" s="31" t="inlineStr">
        <is>
          <t>Bolt Qatar</t>
        </is>
      </c>
      <c r="B132" s="31" t="inlineStr">
        <is>
          <t>Qatar</t>
        </is>
      </c>
      <c r="C132" s="32" t="inlineStr">
        <is>
          <t>West Bay / Corniche (Doha) → Lusail Marina &amp; Place Vendôme</t>
        </is>
      </c>
      <c r="D132" s="33" t="n">
        <v>6.3</v>
      </c>
      <c r="E132" s="27" t="n"/>
      <c r="F132" s="34" t="n"/>
      <c r="G132" s="34" t="n"/>
      <c r="H132" s="20" t="n">
        <v>1</v>
      </c>
      <c r="I132" s="35">
        <f>60*D132/cruise_kt</f>
        <v/>
      </c>
      <c r="J132" s="35">
        <f>IF(B132="South Korea",D132/korea_charge_range_nm*korea_full_range_charge_min,0)</f>
        <v/>
      </c>
      <c r="K132" s="35">
        <f>IF(B132="South Korea",I132+korea_turn_min+korea_dwell_min+J132,I132+turn_min+dwell_min)</f>
        <v/>
      </c>
      <c r="L132" s="36">
        <f>IF(B132="South Korea",FLOOR(60*korea_service_hr/K132,1),MIN(15,FLOOR(60*service_hr/K132,1)))</f>
        <v/>
      </c>
      <c r="M132" s="36">
        <f>IF(ABS(MOD(ABS((365*mech_uptime*H132)),1)-0.5)&lt;1E-9,2*ROUND((365*mech_uptime*H132)/2,0),ROUND((365*mech_uptime*H132),0))</f>
        <v/>
      </c>
      <c r="N132" s="37">
        <f>mech_uptime</f>
        <v/>
      </c>
      <c r="O132" s="37">
        <f>IF(AND(B132="South Korea",scenario="MID"),korea_mid_revleg,revleg_sel)</f>
        <v/>
      </c>
      <c r="P132" s="36">
        <f>IF(ABS(MOD(ABS((L132*M132*O132)),1)-0.5)&lt;1E-9,2*ROUND((L132*M132*O132)/2,0),ROUND((L132*M132*O132),0))</f>
        <v/>
      </c>
      <c r="Q132" s="37">
        <f>IF(AND(B132="South Korea",scenario="MID"),korea_mid_load,load_sel)</f>
        <v/>
      </c>
      <c r="R132" s="38">
        <f>pax_cap*Q132</f>
        <v/>
      </c>
      <c r="S132" s="36">
        <f>R132*P132</f>
        <v/>
      </c>
      <c r="T132" s="39">
        <f>E132*discount</f>
        <v/>
      </c>
      <c r="U132" s="40">
        <f>T132*S132</f>
        <v/>
      </c>
      <c r="V132" s="40">
        <f>(battery/range_nm)*D132*P132*VLOOKUP(B132,country_opex,3,FALSE)</f>
        <v/>
      </c>
      <c r="W132" s="40">
        <f>VLOOKUP(B132,country_opex,2,FALSE)*crew_factor</f>
        <v/>
      </c>
      <c r="X132" s="40">
        <f>VLOOKUP(B132,country_opex,5,FALSE)</f>
        <v/>
      </c>
      <c r="Y132" s="40">
        <f>maint</f>
        <v/>
      </c>
      <c r="Z132" s="40">
        <f>VLOOKUP(B132,country_opex,7,FALSE)*ins_pct</f>
        <v/>
      </c>
      <c r="AA132" s="40">
        <f>charge_berth</f>
        <v/>
      </c>
      <c r="AB132" s="40">
        <f>V132+W132+X132+Y132+Z132+AA132</f>
        <v/>
      </c>
      <c r="AC132" s="40">
        <f>VLOOKUP(B132,country_opex,7,FALSE)/dep_years</f>
        <v/>
      </c>
      <c r="AD132" s="40">
        <f>U132-AB132</f>
        <v/>
      </c>
      <c r="AE132" s="37">
        <f>IF(U132=0,"",AD132/U132)</f>
        <v/>
      </c>
      <c r="AF132" s="38">
        <f>IF(AD132&lt;=0,"",VLOOKUP(B132,country_opex,7,FALSE)/AD132)</f>
        <v/>
      </c>
      <c r="AG132" s="35">
        <f>((D132*P132/diesel_nmpg)*diesel_co2pg-(battery/range_nm)*D132*P132*VLOOKUP(B132,country_opex,4,FALSE))/1000</f>
        <v/>
      </c>
      <c r="AH132" s="33" t="n"/>
      <c r="AI132" s="34" t="n"/>
      <c r="AJ132" s="34" t="n"/>
      <c r="AK132" s="41" t="n">
        <v>0.1</v>
      </c>
      <c r="AL132" s="36">
        <f>IF(AH132="","",AH132*AK132)</f>
        <v/>
      </c>
      <c r="AM132" s="36">
        <f>IF(OR(AH132="",S132=0),"",MIN(IF(AU132="",9.9E+99,AU132),FLOOR(AL132/S132,1)))</f>
        <v/>
      </c>
      <c r="AN132" s="40">
        <f>IF(AM132="","",AM132*IF(ABS(MOD(ABS((U132)),1)-0.5)&lt;1E-9,2*ROUND((U132)/2,0),ROUND((U132),0)))</f>
        <v/>
      </c>
      <c r="AO132" s="38">
        <f>IF(OR(AH132="",S132=0),"",MIN(IF(AU132="",9.9E+99,AU132),AL132/S132))</f>
        <v/>
      </c>
      <c r="AP132" s="40">
        <f>IF(AO132="","",AO132*IF(B132="South Korea",IF(ABS(MOD(ABS((U132)),1)-0.5)&lt;1E-9,2*ROUND((U132)/2,0),ROUND((U132),0)),U132))</f>
        <v/>
      </c>
      <c r="AQ132" s="42" t="n"/>
      <c r="AR132" s="34" t="inlineStr">
        <is>
          <t>Forward SAM</t>
        </is>
      </c>
      <c r="AS132" s="43" t="inlineStr">
        <is>
          <t>FWD-SAM (2030)</t>
        </is>
      </c>
      <c r="AT132" s="43" t="n"/>
      <c r="AU132" s="44" t="n"/>
      <c r="AV132" s="45">
        <f>IF(((T132*pax_cap*load_thin*IF(ABS(MOD(ABS((L132*M132*revleg_thin)),1)-0.5)&lt;1E-9,2*ROUND((L132*M132*revleg_thin)/2,0),ROUND((L132*M132*revleg_thin),0)))-(((battery/range_nm)*D132*IF(ABS(MOD(ABS((L132*M132*revleg_thin)),1)-0.5)&lt;1E-9,2*ROUND((L132*M132*revleg_thin)/2,0),ROUND((L132*M132*revleg_thin),0))*VLOOKUP(B132,country_opex,3,FALSE))+W132+X132+Y132+Z132+AA132))&lt;=0,"",VLOOKUP(B132,country_opex,7,FALSE)/((T132*pax_cap*load_thin*IF(ABS(MOD(ABS((L132*M132*revleg_thin)),1)-0.5)&lt;1E-9,2*ROUND((L132*M132*revleg_thin)/2,0),ROUND((L132*M132*revleg_thin),0)))-(((battery/range_nm)*D132*IF(ABS(MOD(ABS((L132*M132*revleg_thin)),1)-0.5)&lt;1E-9,2*ROUND((L132*M132*revleg_thin)/2,0),ROUND((L132*M132*revleg_thin),0))*VLOOKUP(B132,country_opex,3,FALSE))+W132+X132+Y132+Z132+AA132)))</f>
        <v/>
      </c>
      <c r="AW132" s="45">
        <f>IF(((T132*pax_cap*IF(B132="South Korea",korea_mid_load,load_mid)*IF(ABS(MOD(ABS((L132*M132*IF(B132="South Korea",korea_mid_revleg,revleg_mid))),1)-0.5)&lt;1E-9,2*ROUND((L132*M132*IF(B132="South Korea",korea_mid_revleg,revleg_mid))/2,0),ROUND((L132*M132*IF(B132="South Korea",korea_mid_revleg,revleg_mid)),0)))-(((battery/range_nm)*D132*IF(ABS(MOD(ABS((L132*M132*IF(B132="South Korea",korea_mid_revleg,revleg_mid))),1)-0.5)&lt;1E-9,2*ROUND((L132*M132*IF(B132="South Korea",korea_mid_revleg,revleg_mid))/2,0),ROUND((L132*M132*IF(B132="South Korea",korea_mid_revleg,revleg_mid)),0))*VLOOKUP(B132,country_opex,3,FALSE))+W132+X132+Y132+Z132+AA132))&lt;=0,"",VLOOKUP(B132,country_opex,7,FALSE)/((T132*pax_cap*IF(B132="South Korea",korea_mid_load,load_mid)*IF(ABS(MOD(ABS((L132*M132*IF(B132="South Korea",korea_mid_revleg,revleg_mid))),1)-0.5)&lt;1E-9,2*ROUND((L132*M132*IF(B132="South Korea",korea_mid_revleg,revleg_mid))/2,0),ROUND((L132*M132*IF(B132="South Korea",korea_mid_revleg,revleg_mid)),0)))-(((battery/range_nm)*D132*IF(ABS(MOD(ABS((L132*M132*IF(B132="South Korea",korea_mid_revleg,revleg_mid))),1)-0.5)&lt;1E-9,2*ROUND((L132*M132*IF(B132="South Korea",korea_mid_revleg,revleg_mid))/2,0),ROUND((L132*M132*IF(B132="South Korea",korea_mid_revleg,revleg_mid)),0))*VLOOKUP(B132,country_opex,3,FALSE))+W132+X132+Y132+Z132+AA132)))</f>
        <v/>
      </c>
      <c r="AX132" s="45">
        <f>IF(((T132*pax_cap*load_full*IF(ABS(MOD(ABS((L132*M132*revleg_full)),1)-0.5)&lt;1E-9,2*ROUND((L132*M132*revleg_full)/2,0),ROUND((L132*M132*revleg_full),0)))-(((battery/range_nm)*D132*IF(ABS(MOD(ABS((L132*M132*revleg_full)),1)-0.5)&lt;1E-9,2*ROUND((L132*M132*revleg_full)/2,0),ROUND((L132*M132*revleg_full),0))*VLOOKUP(B132,country_opex,3,FALSE))+W132+X132+Y132+Z132+AA132))&lt;=0,"",VLOOKUP(B132,country_opex,7,FALSE)/((T132*pax_cap*load_full*IF(ABS(MOD(ABS((L132*M132*revleg_full)),1)-0.5)&lt;1E-9,2*ROUND((L132*M132*revleg_full)/2,0),ROUND((L132*M132*revleg_full),0)))-(((battery/range_nm)*D132*IF(ABS(MOD(ABS((L132*M132*revleg_full)),1)-0.5)&lt;1E-9,2*ROUND((L132*M132*revleg_full)/2,0),ROUND((L132*M132*revleg_full),0))*VLOOKUP(B132,country_opex,3,FALSE))+W132+X132+Y132+Z132+AA132)))</f>
        <v/>
      </c>
      <c r="AY132" s="46" t="n"/>
      <c r="AZ132" s="46" t="n"/>
      <c r="BA132" s="34" t="inlineStr">
        <is>
          <t>rn-e8434c243233</t>
        </is>
      </c>
    </row>
    <row r="133">
      <c r="A133" s="31" t="inlineStr">
        <is>
          <t>Bolt Qatar</t>
        </is>
      </c>
      <c r="B133" s="31" t="inlineStr">
        <is>
          <t>Qatar</t>
        </is>
      </c>
      <c r="C133" s="32" t="inlineStr">
        <is>
          <t>Doha → Lusail Marina</t>
        </is>
      </c>
      <c r="D133" s="33" t="n">
        <v>6.5</v>
      </c>
      <c r="E133" s="27" t="n"/>
      <c r="F133" s="34" t="n"/>
      <c r="G133" s="34" t="n"/>
      <c r="H133" s="20" t="n">
        <v>1</v>
      </c>
      <c r="I133" s="35">
        <f>60*D133/cruise_kt</f>
        <v/>
      </c>
      <c r="J133" s="35">
        <f>IF(B133="South Korea",D133/korea_charge_range_nm*korea_full_range_charge_min,0)</f>
        <v/>
      </c>
      <c r="K133" s="35">
        <f>IF(B133="South Korea",I133+korea_turn_min+korea_dwell_min+J133,I133+turn_min+dwell_min)</f>
        <v/>
      </c>
      <c r="L133" s="36">
        <f>IF(B133="South Korea",FLOOR(60*korea_service_hr/K133,1),MIN(15,FLOOR(60*service_hr/K133,1)))</f>
        <v/>
      </c>
      <c r="M133" s="36">
        <f>IF(ABS(MOD(ABS((365*mech_uptime*H133)),1)-0.5)&lt;1E-9,2*ROUND((365*mech_uptime*H133)/2,0),ROUND((365*mech_uptime*H133),0))</f>
        <v/>
      </c>
      <c r="N133" s="37">
        <f>mech_uptime</f>
        <v/>
      </c>
      <c r="O133" s="37">
        <f>IF(AND(B133="South Korea",scenario="MID"),korea_mid_revleg,revleg_sel)</f>
        <v/>
      </c>
      <c r="P133" s="36">
        <f>IF(ABS(MOD(ABS((L133*M133*O133)),1)-0.5)&lt;1E-9,2*ROUND((L133*M133*O133)/2,0),ROUND((L133*M133*O133),0))</f>
        <v/>
      </c>
      <c r="Q133" s="37">
        <f>IF(AND(B133="South Korea",scenario="MID"),korea_mid_load,load_sel)</f>
        <v/>
      </c>
      <c r="R133" s="38">
        <f>pax_cap*Q133</f>
        <v/>
      </c>
      <c r="S133" s="36">
        <f>R133*P133</f>
        <v/>
      </c>
      <c r="T133" s="39">
        <f>E133*discount</f>
        <v/>
      </c>
      <c r="U133" s="40">
        <f>T133*S133</f>
        <v/>
      </c>
      <c r="V133" s="40">
        <f>(battery/range_nm)*D133*P133*VLOOKUP(B133,country_opex,3,FALSE)</f>
        <v/>
      </c>
      <c r="W133" s="40">
        <f>VLOOKUP(B133,country_opex,2,FALSE)*crew_factor</f>
        <v/>
      </c>
      <c r="X133" s="40">
        <f>VLOOKUP(B133,country_opex,5,FALSE)</f>
        <v/>
      </c>
      <c r="Y133" s="40">
        <f>maint</f>
        <v/>
      </c>
      <c r="Z133" s="40">
        <f>VLOOKUP(B133,country_opex,7,FALSE)*ins_pct</f>
        <v/>
      </c>
      <c r="AA133" s="40">
        <f>charge_berth</f>
        <v/>
      </c>
      <c r="AB133" s="40">
        <f>V133+W133+X133+Y133+Z133+AA133</f>
        <v/>
      </c>
      <c r="AC133" s="40">
        <f>VLOOKUP(B133,country_opex,7,FALSE)/dep_years</f>
        <v/>
      </c>
      <c r="AD133" s="40">
        <f>U133-AB133</f>
        <v/>
      </c>
      <c r="AE133" s="37">
        <f>IF(U133=0,"",AD133/U133)</f>
        <v/>
      </c>
      <c r="AF133" s="38">
        <f>IF(AD133&lt;=0,"",VLOOKUP(B133,country_opex,7,FALSE)/AD133)</f>
        <v/>
      </c>
      <c r="AG133" s="35">
        <f>((D133*P133/diesel_nmpg)*diesel_co2pg-(battery/range_nm)*D133*P133*VLOOKUP(B133,country_opex,4,FALSE))/1000</f>
        <v/>
      </c>
      <c r="AH133" s="33" t="n"/>
      <c r="AI133" s="34" t="n"/>
      <c r="AJ133" s="34" t="n"/>
      <c r="AK133" s="41" t="n">
        <v>0.1</v>
      </c>
      <c r="AL133" s="36">
        <f>IF(AH133="","",AH133*AK133)</f>
        <v/>
      </c>
      <c r="AM133" s="36">
        <f>IF(OR(AH133="",S133=0),"",MIN(IF(AU133="",9.9E+99,AU133),FLOOR(AL133/S133,1)))</f>
        <v/>
      </c>
      <c r="AN133" s="40">
        <f>IF(AM133="","",AM133*IF(ABS(MOD(ABS((U133)),1)-0.5)&lt;1E-9,2*ROUND((U133)/2,0),ROUND((U133),0)))</f>
        <v/>
      </c>
      <c r="AO133" s="38">
        <f>IF(OR(AH133="",S133=0),"",MIN(IF(AU133="",9.9E+99,AU133),AL133/S133))</f>
        <v/>
      </c>
      <c r="AP133" s="40">
        <f>IF(AO133="","",AO133*IF(B133="South Korea",IF(ABS(MOD(ABS((U133)),1)-0.5)&lt;1E-9,2*ROUND((U133)/2,0),ROUND((U133),0)),U133))</f>
        <v/>
      </c>
      <c r="AQ133" s="42" t="n"/>
      <c r="AR133" s="34" t="inlineStr">
        <is>
          <t>Estimated</t>
        </is>
      </c>
      <c r="AS133" s="43" t="n"/>
      <c r="AT133" s="43" t="n"/>
      <c r="AU133" s="44" t="n"/>
      <c r="AV133" s="45">
        <f>IF(((T133*pax_cap*load_thin*IF(ABS(MOD(ABS((L133*M133*revleg_thin)),1)-0.5)&lt;1E-9,2*ROUND((L133*M133*revleg_thin)/2,0),ROUND((L133*M133*revleg_thin),0)))-(((battery/range_nm)*D133*IF(ABS(MOD(ABS((L133*M133*revleg_thin)),1)-0.5)&lt;1E-9,2*ROUND((L133*M133*revleg_thin)/2,0),ROUND((L133*M133*revleg_thin),0))*VLOOKUP(B133,country_opex,3,FALSE))+W133+X133+Y133+Z133+AA133))&lt;=0,"",VLOOKUP(B133,country_opex,7,FALSE)/((T133*pax_cap*load_thin*IF(ABS(MOD(ABS((L133*M133*revleg_thin)),1)-0.5)&lt;1E-9,2*ROUND((L133*M133*revleg_thin)/2,0),ROUND((L133*M133*revleg_thin),0)))-(((battery/range_nm)*D133*IF(ABS(MOD(ABS((L133*M133*revleg_thin)),1)-0.5)&lt;1E-9,2*ROUND((L133*M133*revleg_thin)/2,0),ROUND((L133*M133*revleg_thin),0))*VLOOKUP(B133,country_opex,3,FALSE))+W133+X133+Y133+Z133+AA133)))</f>
        <v/>
      </c>
      <c r="AW133" s="45">
        <f>IF(((T133*pax_cap*IF(B133="South Korea",korea_mid_load,load_mid)*IF(ABS(MOD(ABS((L133*M133*IF(B133="South Korea",korea_mid_revleg,revleg_mid))),1)-0.5)&lt;1E-9,2*ROUND((L133*M133*IF(B133="South Korea",korea_mid_revleg,revleg_mid))/2,0),ROUND((L133*M133*IF(B133="South Korea",korea_mid_revleg,revleg_mid)),0)))-(((battery/range_nm)*D133*IF(ABS(MOD(ABS((L133*M133*IF(B133="South Korea",korea_mid_revleg,revleg_mid))),1)-0.5)&lt;1E-9,2*ROUND((L133*M133*IF(B133="South Korea",korea_mid_revleg,revleg_mid))/2,0),ROUND((L133*M133*IF(B133="South Korea",korea_mid_revleg,revleg_mid)),0))*VLOOKUP(B133,country_opex,3,FALSE))+W133+X133+Y133+Z133+AA133))&lt;=0,"",VLOOKUP(B133,country_opex,7,FALSE)/((T133*pax_cap*IF(B133="South Korea",korea_mid_load,load_mid)*IF(ABS(MOD(ABS((L133*M133*IF(B133="South Korea",korea_mid_revleg,revleg_mid))),1)-0.5)&lt;1E-9,2*ROUND((L133*M133*IF(B133="South Korea",korea_mid_revleg,revleg_mid))/2,0),ROUND((L133*M133*IF(B133="South Korea",korea_mid_revleg,revleg_mid)),0)))-(((battery/range_nm)*D133*IF(ABS(MOD(ABS((L133*M133*IF(B133="South Korea",korea_mid_revleg,revleg_mid))),1)-0.5)&lt;1E-9,2*ROUND((L133*M133*IF(B133="South Korea",korea_mid_revleg,revleg_mid))/2,0),ROUND((L133*M133*IF(B133="South Korea",korea_mid_revleg,revleg_mid)),0))*VLOOKUP(B133,country_opex,3,FALSE))+W133+X133+Y133+Z133+AA133)))</f>
        <v/>
      </c>
      <c r="AX133" s="45">
        <f>IF(((T133*pax_cap*load_full*IF(ABS(MOD(ABS((L133*M133*revleg_full)),1)-0.5)&lt;1E-9,2*ROUND((L133*M133*revleg_full)/2,0),ROUND((L133*M133*revleg_full),0)))-(((battery/range_nm)*D133*IF(ABS(MOD(ABS((L133*M133*revleg_full)),1)-0.5)&lt;1E-9,2*ROUND((L133*M133*revleg_full)/2,0),ROUND((L133*M133*revleg_full),0))*VLOOKUP(B133,country_opex,3,FALSE))+W133+X133+Y133+Z133+AA133))&lt;=0,"",VLOOKUP(B133,country_opex,7,FALSE)/((T133*pax_cap*load_full*IF(ABS(MOD(ABS((L133*M133*revleg_full)),1)-0.5)&lt;1E-9,2*ROUND((L133*M133*revleg_full)/2,0),ROUND((L133*M133*revleg_full),0)))-(((battery/range_nm)*D133*IF(ABS(MOD(ABS((L133*M133*revleg_full)),1)-0.5)&lt;1E-9,2*ROUND((L133*M133*revleg_full)/2,0),ROUND((L133*M133*revleg_full),0))*VLOOKUP(B133,country_opex,3,FALSE))+W133+X133+Y133+Z133+AA133)))</f>
        <v/>
      </c>
      <c r="AY133" s="46" t="n"/>
      <c r="AZ133" s="46" t="n"/>
      <c r="BA133" s="34" t="inlineStr">
        <is>
          <t>rn-e8434c243233</t>
        </is>
      </c>
    </row>
    <row r="134">
      <c r="A134" s="31" t="inlineStr">
        <is>
          <t>Bolt Qatar</t>
        </is>
      </c>
      <c r="B134" s="31" t="inlineStr">
        <is>
          <t>Qatar</t>
        </is>
      </c>
      <c r="C134" s="32" t="inlineStr">
        <is>
          <t>Al Wakrah → Banana Island</t>
        </is>
      </c>
      <c r="D134" s="33" t="n">
        <v>9.5</v>
      </c>
      <c r="E134" s="27" t="n"/>
      <c r="F134" s="34" t="n"/>
      <c r="G134" s="34" t="n"/>
      <c r="H134" s="20" t="n">
        <v>1</v>
      </c>
      <c r="I134" s="35">
        <f>60*D134/cruise_kt</f>
        <v/>
      </c>
      <c r="J134" s="35">
        <f>IF(B134="South Korea",D134/korea_charge_range_nm*korea_full_range_charge_min,0)</f>
        <v/>
      </c>
      <c r="K134" s="35">
        <f>IF(B134="South Korea",I134+korea_turn_min+korea_dwell_min+J134,I134+turn_min+dwell_min)</f>
        <v/>
      </c>
      <c r="L134" s="36">
        <f>IF(B134="South Korea",FLOOR(60*korea_service_hr/K134,1),MIN(15,FLOOR(60*service_hr/K134,1)))</f>
        <v/>
      </c>
      <c r="M134" s="36">
        <f>IF(ABS(MOD(ABS((365*mech_uptime*H134)),1)-0.5)&lt;1E-9,2*ROUND((365*mech_uptime*H134)/2,0),ROUND((365*mech_uptime*H134),0))</f>
        <v/>
      </c>
      <c r="N134" s="37">
        <f>mech_uptime</f>
        <v/>
      </c>
      <c r="O134" s="37">
        <f>IF(AND(B134="South Korea",scenario="MID"),korea_mid_revleg,revleg_sel)</f>
        <v/>
      </c>
      <c r="P134" s="36">
        <f>IF(ABS(MOD(ABS((L134*M134*O134)),1)-0.5)&lt;1E-9,2*ROUND((L134*M134*O134)/2,0),ROUND((L134*M134*O134),0))</f>
        <v/>
      </c>
      <c r="Q134" s="37">
        <f>IF(AND(B134="South Korea",scenario="MID"),korea_mid_load,load_sel)</f>
        <v/>
      </c>
      <c r="R134" s="38">
        <f>pax_cap*Q134</f>
        <v/>
      </c>
      <c r="S134" s="36">
        <f>R134*P134</f>
        <v/>
      </c>
      <c r="T134" s="39">
        <f>E134*discount</f>
        <v/>
      </c>
      <c r="U134" s="40">
        <f>T134*S134</f>
        <v/>
      </c>
      <c r="V134" s="40">
        <f>(battery/range_nm)*D134*P134*VLOOKUP(B134,country_opex,3,FALSE)</f>
        <v/>
      </c>
      <c r="W134" s="40">
        <f>VLOOKUP(B134,country_opex,2,FALSE)*crew_factor</f>
        <v/>
      </c>
      <c r="X134" s="40">
        <f>VLOOKUP(B134,country_opex,5,FALSE)</f>
        <v/>
      </c>
      <c r="Y134" s="40">
        <f>maint</f>
        <v/>
      </c>
      <c r="Z134" s="40">
        <f>VLOOKUP(B134,country_opex,7,FALSE)*ins_pct</f>
        <v/>
      </c>
      <c r="AA134" s="40">
        <f>charge_berth</f>
        <v/>
      </c>
      <c r="AB134" s="40">
        <f>V134+W134+X134+Y134+Z134+AA134</f>
        <v/>
      </c>
      <c r="AC134" s="40">
        <f>VLOOKUP(B134,country_opex,7,FALSE)/dep_years</f>
        <v/>
      </c>
      <c r="AD134" s="40">
        <f>U134-AB134</f>
        <v/>
      </c>
      <c r="AE134" s="37">
        <f>IF(U134=0,"",AD134/U134)</f>
        <v/>
      </c>
      <c r="AF134" s="38">
        <f>IF(AD134&lt;=0,"",VLOOKUP(B134,country_opex,7,FALSE)/AD134)</f>
        <v/>
      </c>
      <c r="AG134" s="35">
        <f>((D134*P134/diesel_nmpg)*diesel_co2pg-(battery/range_nm)*D134*P134*VLOOKUP(B134,country_opex,4,FALSE))/1000</f>
        <v/>
      </c>
      <c r="AH134" s="33" t="n"/>
      <c r="AI134" s="34" t="n"/>
      <c r="AJ134" s="34" t="n"/>
      <c r="AK134" s="41" t="n">
        <v>0.1</v>
      </c>
      <c r="AL134" s="36">
        <f>IF(AH134="","",AH134*AK134)</f>
        <v/>
      </c>
      <c r="AM134" s="36">
        <f>IF(OR(AH134="",S134=0),"",MIN(IF(AU134="",9.9E+99,AU134),FLOOR(AL134/S134,1)))</f>
        <v/>
      </c>
      <c r="AN134" s="40">
        <f>IF(AM134="","",AM134*IF(ABS(MOD(ABS((U134)),1)-0.5)&lt;1E-9,2*ROUND((U134)/2,0),ROUND((U134),0)))</f>
        <v/>
      </c>
      <c r="AO134" s="38">
        <f>IF(OR(AH134="",S134=0),"",MIN(IF(AU134="",9.9E+99,AU134),AL134/S134))</f>
        <v/>
      </c>
      <c r="AP134" s="40">
        <f>IF(AO134="","",AO134*IF(B134="South Korea",IF(ABS(MOD(ABS((U134)),1)-0.5)&lt;1E-9,2*ROUND((U134)/2,0),ROUND((U134),0)),U134))</f>
        <v/>
      </c>
      <c r="AQ134" s="42" t="n"/>
      <c r="AR134" s="34" t="inlineStr">
        <is>
          <t>Estimated</t>
        </is>
      </c>
      <c r="AS134" s="43" t="n"/>
      <c r="AT134" s="43" t="n"/>
      <c r="AU134" s="44" t="n"/>
      <c r="AV134" s="45">
        <f>IF(((T134*pax_cap*load_thin*IF(ABS(MOD(ABS((L134*M134*revleg_thin)),1)-0.5)&lt;1E-9,2*ROUND((L134*M134*revleg_thin)/2,0),ROUND((L134*M134*revleg_thin),0)))-(((battery/range_nm)*D134*IF(ABS(MOD(ABS((L134*M134*revleg_thin)),1)-0.5)&lt;1E-9,2*ROUND((L134*M134*revleg_thin)/2,0),ROUND((L134*M134*revleg_thin),0))*VLOOKUP(B134,country_opex,3,FALSE))+W134+X134+Y134+Z134+AA134))&lt;=0,"",VLOOKUP(B134,country_opex,7,FALSE)/((T134*pax_cap*load_thin*IF(ABS(MOD(ABS((L134*M134*revleg_thin)),1)-0.5)&lt;1E-9,2*ROUND((L134*M134*revleg_thin)/2,0),ROUND((L134*M134*revleg_thin),0)))-(((battery/range_nm)*D134*IF(ABS(MOD(ABS((L134*M134*revleg_thin)),1)-0.5)&lt;1E-9,2*ROUND((L134*M134*revleg_thin)/2,0),ROUND((L134*M134*revleg_thin),0))*VLOOKUP(B134,country_opex,3,FALSE))+W134+X134+Y134+Z134+AA134)))</f>
        <v/>
      </c>
      <c r="AW134" s="45">
        <f>IF(((T134*pax_cap*IF(B134="South Korea",korea_mid_load,load_mid)*IF(ABS(MOD(ABS((L134*M134*IF(B134="South Korea",korea_mid_revleg,revleg_mid))),1)-0.5)&lt;1E-9,2*ROUND((L134*M134*IF(B134="South Korea",korea_mid_revleg,revleg_mid))/2,0),ROUND((L134*M134*IF(B134="South Korea",korea_mid_revleg,revleg_mid)),0)))-(((battery/range_nm)*D134*IF(ABS(MOD(ABS((L134*M134*IF(B134="South Korea",korea_mid_revleg,revleg_mid))),1)-0.5)&lt;1E-9,2*ROUND((L134*M134*IF(B134="South Korea",korea_mid_revleg,revleg_mid))/2,0),ROUND((L134*M134*IF(B134="South Korea",korea_mid_revleg,revleg_mid)),0))*VLOOKUP(B134,country_opex,3,FALSE))+W134+X134+Y134+Z134+AA134))&lt;=0,"",VLOOKUP(B134,country_opex,7,FALSE)/((T134*pax_cap*IF(B134="South Korea",korea_mid_load,load_mid)*IF(ABS(MOD(ABS((L134*M134*IF(B134="South Korea",korea_mid_revleg,revleg_mid))),1)-0.5)&lt;1E-9,2*ROUND((L134*M134*IF(B134="South Korea",korea_mid_revleg,revleg_mid))/2,0),ROUND((L134*M134*IF(B134="South Korea",korea_mid_revleg,revleg_mid)),0)))-(((battery/range_nm)*D134*IF(ABS(MOD(ABS((L134*M134*IF(B134="South Korea",korea_mid_revleg,revleg_mid))),1)-0.5)&lt;1E-9,2*ROUND((L134*M134*IF(B134="South Korea",korea_mid_revleg,revleg_mid))/2,0),ROUND((L134*M134*IF(B134="South Korea",korea_mid_revleg,revleg_mid)),0))*VLOOKUP(B134,country_opex,3,FALSE))+W134+X134+Y134+Z134+AA134)))</f>
        <v/>
      </c>
      <c r="AX134" s="45">
        <f>IF(((T134*pax_cap*load_full*IF(ABS(MOD(ABS((L134*M134*revleg_full)),1)-0.5)&lt;1E-9,2*ROUND((L134*M134*revleg_full)/2,0),ROUND((L134*M134*revleg_full),0)))-(((battery/range_nm)*D134*IF(ABS(MOD(ABS((L134*M134*revleg_full)),1)-0.5)&lt;1E-9,2*ROUND((L134*M134*revleg_full)/2,0),ROUND((L134*M134*revleg_full),0))*VLOOKUP(B134,country_opex,3,FALSE))+W134+X134+Y134+Z134+AA134))&lt;=0,"",VLOOKUP(B134,country_opex,7,FALSE)/((T134*pax_cap*load_full*IF(ABS(MOD(ABS((L134*M134*revleg_full)),1)-0.5)&lt;1E-9,2*ROUND((L134*M134*revleg_full)/2,0),ROUND((L134*M134*revleg_full),0)))-(((battery/range_nm)*D134*IF(ABS(MOD(ABS((L134*M134*revleg_full)),1)-0.5)&lt;1E-9,2*ROUND((L134*M134*revleg_full)/2,0),ROUND((L134*M134*revleg_full),0))*VLOOKUP(B134,country_opex,3,FALSE))+W134+X134+Y134+Z134+AA134)))</f>
        <v/>
      </c>
      <c r="AY134" s="46" t="n"/>
      <c r="AZ134" s="46" t="n"/>
      <c r="BA134" s="34" t="inlineStr">
        <is>
          <t>rn-ad6f66610b8c</t>
        </is>
      </c>
    </row>
    <row r="135">
      <c r="A135" s="31" t="inlineStr">
        <is>
          <t>Bolt Qatar</t>
        </is>
      </c>
      <c r="B135" s="31" t="inlineStr">
        <is>
          <t>Qatar</t>
        </is>
      </c>
      <c r="C135" s="32" t="inlineStr">
        <is>
          <t>Doha → Al Wakrah Marina</t>
        </is>
      </c>
      <c r="D135" s="33" t="n">
        <v>11</v>
      </c>
      <c r="E135" s="27" t="n"/>
      <c r="F135" s="34" t="n"/>
      <c r="G135" s="34" t="n"/>
      <c r="H135" s="20" t="n">
        <v>1</v>
      </c>
      <c r="I135" s="35">
        <f>60*D135/cruise_kt</f>
        <v/>
      </c>
      <c r="J135" s="35">
        <f>IF(B135="South Korea",D135/korea_charge_range_nm*korea_full_range_charge_min,0)</f>
        <v/>
      </c>
      <c r="K135" s="35">
        <f>IF(B135="South Korea",I135+korea_turn_min+korea_dwell_min+J135,I135+turn_min+dwell_min)</f>
        <v/>
      </c>
      <c r="L135" s="36">
        <f>IF(B135="South Korea",FLOOR(60*korea_service_hr/K135,1),MIN(15,FLOOR(60*service_hr/K135,1)))</f>
        <v/>
      </c>
      <c r="M135" s="36">
        <f>IF(ABS(MOD(ABS((365*mech_uptime*H135)),1)-0.5)&lt;1E-9,2*ROUND((365*mech_uptime*H135)/2,0),ROUND((365*mech_uptime*H135),0))</f>
        <v/>
      </c>
      <c r="N135" s="37">
        <f>mech_uptime</f>
        <v/>
      </c>
      <c r="O135" s="37">
        <f>IF(AND(B135="South Korea",scenario="MID"),korea_mid_revleg,revleg_sel)</f>
        <v/>
      </c>
      <c r="P135" s="36">
        <f>IF(ABS(MOD(ABS((L135*M135*O135)),1)-0.5)&lt;1E-9,2*ROUND((L135*M135*O135)/2,0),ROUND((L135*M135*O135),0))</f>
        <v/>
      </c>
      <c r="Q135" s="37">
        <f>IF(AND(B135="South Korea",scenario="MID"),korea_mid_load,load_sel)</f>
        <v/>
      </c>
      <c r="R135" s="38">
        <f>pax_cap*Q135</f>
        <v/>
      </c>
      <c r="S135" s="36">
        <f>R135*P135</f>
        <v/>
      </c>
      <c r="T135" s="39">
        <f>E135*discount</f>
        <v/>
      </c>
      <c r="U135" s="40">
        <f>T135*S135</f>
        <v/>
      </c>
      <c r="V135" s="40">
        <f>(battery/range_nm)*D135*P135*VLOOKUP(B135,country_opex,3,FALSE)</f>
        <v/>
      </c>
      <c r="W135" s="40">
        <f>VLOOKUP(B135,country_opex,2,FALSE)*crew_factor</f>
        <v/>
      </c>
      <c r="X135" s="40">
        <f>VLOOKUP(B135,country_opex,5,FALSE)</f>
        <v/>
      </c>
      <c r="Y135" s="40">
        <f>maint</f>
        <v/>
      </c>
      <c r="Z135" s="40">
        <f>VLOOKUP(B135,country_opex,7,FALSE)*ins_pct</f>
        <v/>
      </c>
      <c r="AA135" s="40">
        <f>charge_berth</f>
        <v/>
      </c>
      <c r="AB135" s="40">
        <f>V135+W135+X135+Y135+Z135+AA135</f>
        <v/>
      </c>
      <c r="AC135" s="40">
        <f>VLOOKUP(B135,country_opex,7,FALSE)/dep_years</f>
        <v/>
      </c>
      <c r="AD135" s="40">
        <f>U135-AB135</f>
        <v/>
      </c>
      <c r="AE135" s="37">
        <f>IF(U135=0,"",AD135/U135)</f>
        <v/>
      </c>
      <c r="AF135" s="38">
        <f>IF(AD135&lt;=0,"",VLOOKUP(B135,country_opex,7,FALSE)/AD135)</f>
        <v/>
      </c>
      <c r="AG135" s="35">
        <f>((D135*P135/diesel_nmpg)*diesel_co2pg-(battery/range_nm)*D135*P135*VLOOKUP(B135,country_opex,4,FALSE))/1000</f>
        <v/>
      </c>
      <c r="AH135" s="33" t="n"/>
      <c r="AI135" s="34" t="n"/>
      <c r="AJ135" s="34" t="n"/>
      <c r="AK135" s="41" t="n">
        <v>0.1</v>
      </c>
      <c r="AL135" s="36">
        <f>IF(AH135="","",AH135*AK135)</f>
        <v/>
      </c>
      <c r="AM135" s="36">
        <f>IF(OR(AH135="",S135=0),"",MIN(IF(AU135="",9.9E+99,AU135),FLOOR(AL135/S135,1)))</f>
        <v/>
      </c>
      <c r="AN135" s="40">
        <f>IF(AM135="","",AM135*IF(ABS(MOD(ABS((U135)),1)-0.5)&lt;1E-9,2*ROUND((U135)/2,0),ROUND((U135),0)))</f>
        <v/>
      </c>
      <c r="AO135" s="38">
        <f>IF(OR(AH135="",S135=0),"",MIN(IF(AU135="",9.9E+99,AU135),AL135/S135))</f>
        <v/>
      </c>
      <c r="AP135" s="40">
        <f>IF(AO135="","",AO135*IF(B135="South Korea",IF(ABS(MOD(ABS((U135)),1)-0.5)&lt;1E-9,2*ROUND((U135)/2,0),ROUND((U135),0)),U135))</f>
        <v/>
      </c>
      <c r="AQ135" s="42" t="n"/>
      <c r="AR135" s="34" t="inlineStr">
        <is>
          <t>Estimated</t>
        </is>
      </c>
      <c r="AS135" s="43" t="n"/>
      <c r="AT135" s="43" t="n"/>
      <c r="AU135" s="44" t="n"/>
      <c r="AV135" s="45">
        <f>IF(((T135*pax_cap*load_thin*IF(ABS(MOD(ABS((L135*M135*revleg_thin)),1)-0.5)&lt;1E-9,2*ROUND((L135*M135*revleg_thin)/2,0),ROUND((L135*M135*revleg_thin),0)))-(((battery/range_nm)*D135*IF(ABS(MOD(ABS((L135*M135*revleg_thin)),1)-0.5)&lt;1E-9,2*ROUND((L135*M135*revleg_thin)/2,0),ROUND((L135*M135*revleg_thin),0))*VLOOKUP(B135,country_opex,3,FALSE))+W135+X135+Y135+Z135+AA135))&lt;=0,"",VLOOKUP(B135,country_opex,7,FALSE)/((T135*pax_cap*load_thin*IF(ABS(MOD(ABS((L135*M135*revleg_thin)),1)-0.5)&lt;1E-9,2*ROUND((L135*M135*revleg_thin)/2,0),ROUND((L135*M135*revleg_thin),0)))-(((battery/range_nm)*D135*IF(ABS(MOD(ABS((L135*M135*revleg_thin)),1)-0.5)&lt;1E-9,2*ROUND((L135*M135*revleg_thin)/2,0),ROUND((L135*M135*revleg_thin),0))*VLOOKUP(B135,country_opex,3,FALSE))+W135+X135+Y135+Z135+AA135)))</f>
        <v/>
      </c>
      <c r="AW135" s="45">
        <f>IF(((T135*pax_cap*IF(B135="South Korea",korea_mid_load,load_mid)*IF(ABS(MOD(ABS((L135*M135*IF(B135="South Korea",korea_mid_revleg,revleg_mid))),1)-0.5)&lt;1E-9,2*ROUND((L135*M135*IF(B135="South Korea",korea_mid_revleg,revleg_mid))/2,0),ROUND((L135*M135*IF(B135="South Korea",korea_mid_revleg,revleg_mid)),0)))-(((battery/range_nm)*D135*IF(ABS(MOD(ABS((L135*M135*IF(B135="South Korea",korea_mid_revleg,revleg_mid))),1)-0.5)&lt;1E-9,2*ROUND((L135*M135*IF(B135="South Korea",korea_mid_revleg,revleg_mid))/2,0),ROUND((L135*M135*IF(B135="South Korea",korea_mid_revleg,revleg_mid)),0))*VLOOKUP(B135,country_opex,3,FALSE))+W135+X135+Y135+Z135+AA135))&lt;=0,"",VLOOKUP(B135,country_opex,7,FALSE)/((T135*pax_cap*IF(B135="South Korea",korea_mid_load,load_mid)*IF(ABS(MOD(ABS((L135*M135*IF(B135="South Korea",korea_mid_revleg,revleg_mid))),1)-0.5)&lt;1E-9,2*ROUND((L135*M135*IF(B135="South Korea",korea_mid_revleg,revleg_mid))/2,0),ROUND((L135*M135*IF(B135="South Korea",korea_mid_revleg,revleg_mid)),0)))-(((battery/range_nm)*D135*IF(ABS(MOD(ABS((L135*M135*IF(B135="South Korea",korea_mid_revleg,revleg_mid))),1)-0.5)&lt;1E-9,2*ROUND((L135*M135*IF(B135="South Korea",korea_mid_revleg,revleg_mid))/2,0),ROUND((L135*M135*IF(B135="South Korea",korea_mid_revleg,revleg_mid)),0))*VLOOKUP(B135,country_opex,3,FALSE))+W135+X135+Y135+Z135+AA135)))</f>
        <v/>
      </c>
      <c r="AX135" s="45">
        <f>IF(((T135*pax_cap*load_full*IF(ABS(MOD(ABS((L135*M135*revleg_full)),1)-0.5)&lt;1E-9,2*ROUND((L135*M135*revleg_full)/2,0),ROUND((L135*M135*revleg_full),0)))-(((battery/range_nm)*D135*IF(ABS(MOD(ABS((L135*M135*revleg_full)),1)-0.5)&lt;1E-9,2*ROUND((L135*M135*revleg_full)/2,0),ROUND((L135*M135*revleg_full),0))*VLOOKUP(B135,country_opex,3,FALSE))+W135+X135+Y135+Z135+AA135))&lt;=0,"",VLOOKUP(B135,country_opex,7,FALSE)/((T135*pax_cap*load_full*IF(ABS(MOD(ABS((L135*M135*revleg_full)),1)-0.5)&lt;1E-9,2*ROUND((L135*M135*revleg_full)/2,0),ROUND((L135*M135*revleg_full),0)))-(((battery/range_nm)*D135*IF(ABS(MOD(ABS((L135*M135*revleg_full)),1)-0.5)&lt;1E-9,2*ROUND((L135*M135*revleg_full)/2,0),ROUND((L135*M135*revleg_full),0))*VLOOKUP(B135,country_opex,3,FALSE))+W135+X135+Y135+Z135+AA135)))</f>
        <v/>
      </c>
      <c r="AY135" s="46" t="n"/>
      <c r="AZ135" s="46" t="n"/>
      <c r="BA135" s="34" t="inlineStr">
        <is>
          <t>gcn-e2b0929d6f-qatar</t>
        </is>
      </c>
    </row>
    <row r="136">
      <c r="A136" s="31" t="inlineStr">
        <is>
          <t>Bolt Romania</t>
        </is>
      </c>
      <c r="B136" s="31" t="inlineStr">
        <is>
          <t>Romania</t>
        </is>
      </c>
      <c r="C136" s="32" t="inlineStr">
        <is>
          <t>Constanța → Mamaia</t>
        </is>
      </c>
      <c r="D136" s="33" t="n">
        <v>5</v>
      </c>
      <c r="E136" s="27" t="n">
        <v>13</v>
      </c>
      <c r="F136" s="34" t="inlineStr">
        <is>
          <t>T2</t>
        </is>
      </c>
      <c r="G136" s="34" t="inlineStr">
        <is>
          <t>med</t>
        </is>
      </c>
      <c r="H136" s="20" t="n">
        <v>1</v>
      </c>
      <c r="I136" s="35">
        <f>60*D136/cruise_kt</f>
        <v/>
      </c>
      <c r="J136" s="35">
        <f>IF(B136="South Korea",D136/korea_charge_range_nm*korea_full_range_charge_min,0)</f>
        <v/>
      </c>
      <c r="K136" s="35">
        <f>IF(B136="South Korea",I136+korea_turn_min+korea_dwell_min+J136,I136+turn_min+dwell_min)</f>
        <v/>
      </c>
      <c r="L136" s="36">
        <f>IF(B136="South Korea",FLOOR(60*korea_service_hr/K136,1),MIN(15,FLOOR(60*service_hr/K136,1)))</f>
        <v/>
      </c>
      <c r="M136" s="36">
        <f>IF(ABS(MOD(ABS((365*mech_uptime*H136)),1)-0.5)&lt;1E-9,2*ROUND((365*mech_uptime*H136)/2,0),ROUND((365*mech_uptime*H136),0))</f>
        <v/>
      </c>
      <c r="N136" s="37">
        <f>mech_uptime</f>
        <v/>
      </c>
      <c r="O136" s="37">
        <f>IF(AND(B136="South Korea",scenario="MID"),korea_mid_revleg,revleg_sel)</f>
        <v/>
      </c>
      <c r="P136" s="36">
        <f>IF(ABS(MOD(ABS((L136*M136*O136)),1)-0.5)&lt;1E-9,2*ROUND((L136*M136*O136)/2,0),ROUND((L136*M136*O136),0))</f>
        <v/>
      </c>
      <c r="Q136" s="37">
        <f>IF(AND(B136="South Korea",scenario="MID"),korea_mid_load,load_sel)</f>
        <v/>
      </c>
      <c r="R136" s="38">
        <f>pax_cap*Q136</f>
        <v/>
      </c>
      <c r="S136" s="36">
        <f>R136*P136</f>
        <v/>
      </c>
      <c r="T136" s="39">
        <f>E136*discount</f>
        <v/>
      </c>
      <c r="U136" s="40">
        <f>T136*S136</f>
        <v/>
      </c>
      <c r="V136" s="40">
        <f>(battery/range_nm)*D136*P136*VLOOKUP(B136,country_opex,3,FALSE)</f>
        <v/>
      </c>
      <c r="W136" s="40">
        <f>VLOOKUP(B136,country_opex,2,FALSE)*crew_factor</f>
        <v/>
      </c>
      <c r="X136" s="40">
        <f>VLOOKUP(B136,country_opex,5,FALSE)</f>
        <v/>
      </c>
      <c r="Y136" s="40">
        <f>maint</f>
        <v/>
      </c>
      <c r="Z136" s="40">
        <f>VLOOKUP(B136,country_opex,7,FALSE)*ins_pct</f>
        <v/>
      </c>
      <c r="AA136" s="40">
        <f>charge_berth</f>
        <v/>
      </c>
      <c r="AB136" s="40">
        <f>V136+W136+X136+Y136+Z136+AA136</f>
        <v/>
      </c>
      <c r="AC136" s="40">
        <f>VLOOKUP(B136,country_opex,7,FALSE)/dep_years</f>
        <v/>
      </c>
      <c r="AD136" s="40">
        <f>U136-AB136</f>
        <v/>
      </c>
      <c r="AE136" s="37">
        <f>IF(U136=0,"",AD136/U136)</f>
        <v/>
      </c>
      <c r="AF136" s="38">
        <f>IF(AD136&lt;=0,"",VLOOKUP(B136,country_opex,7,FALSE)/AD136)</f>
        <v/>
      </c>
      <c r="AG136" s="35">
        <f>((D136*P136/diesel_nmpg)*diesel_co2pg-(battery/range_nm)*D136*P136*VLOOKUP(B136,country_opex,4,FALSE))/1000</f>
        <v/>
      </c>
      <c r="AH136" s="33" t="n">
        <v>17806</v>
      </c>
      <c r="AI136" s="34" t="n"/>
      <c r="AJ136" s="34" t="n"/>
      <c r="AK136" s="41" t="n">
        <v>0.1</v>
      </c>
      <c r="AL136" s="36">
        <f>IF(AH136="","",AH136*AK136)</f>
        <v/>
      </c>
      <c r="AM136" s="36">
        <f>IF(OR(AH136="",S136=0),"",MIN(IF(AU136="",9.9E+99,AU136),FLOOR(AL136/S136,1)))</f>
        <v/>
      </c>
      <c r="AN136" s="40">
        <f>IF(AM136="","",AM136*IF(ABS(MOD(ABS((U136)),1)-0.5)&lt;1E-9,2*ROUND((U136)/2,0),ROUND((U136),0)))</f>
        <v/>
      </c>
      <c r="AO136" s="38">
        <f>IF(OR(AH136="",S136=0),"",MIN(IF(AU136="",9.9E+99,AU136),AL136/S136))</f>
        <v/>
      </c>
      <c r="AP136" s="40">
        <f>IF(AO136="","",AO136*IF(B136="South Korea",IF(ABS(MOD(ABS((U136)),1)-0.5)&lt;1E-9,2*ROUND((U136)/2,0),ROUND((U136),0)),U136))</f>
        <v/>
      </c>
      <c r="AQ136" s="42" t="n"/>
      <c r="AR136" s="34" t="inlineStr">
        <is>
          <t>Estimated</t>
        </is>
      </c>
      <c r="AS136" s="43" t="n"/>
      <c r="AT136" s="43" t="n"/>
      <c r="AU136" s="44" t="n"/>
      <c r="AV136" s="45">
        <f>IF(((T136*pax_cap*load_thin*IF(ABS(MOD(ABS((L136*M136*revleg_thin)),1)-0.5)&lt;1E-9,2*ROUND((L136*M136*revleg_thin)/2,0),ROUND((L136*M136*revleg_thin),0)))-(((battery/range_nm)*D136*IF(ABS(MOD(ABS((L136*M136*revleg_thin)),1)-0.5)&lt;1E-9,2*ROUND((L136*M136*revleg_thin)/2,0),ROUND((L136*M136*revleg_thin),0))*VLOOKUP(B136,country_opex,3,FALSE))+W136+X136+Y136+Z136+AA136))&lt;=0,"",VLOOKUP(B136,country_opex,7,FALSE)/((T136*pax_cap*load_thin*IF(ABS(MOD(ABS((L136*M136*revleg_thin)),1)-0.5)&lt;1E-9,2*ROUND((L136*M136*revleg_thin)/2,0),ROUND((L136*M136*revleg_thin),0)))-(((battery/range_nm)*D136*IF(ABS(MOD(ABS((L136*M136*revleg_thin)),1)-0.5)&lt;1E-9,2*ROUND((L136*M136*revleg_thin)/2,0),ROUND((L136*M136*revleg_thin),0))*VLOOKUP(B136,country_opex,3,FALSE))+W136+X136+Y136+Z136+AA136)))</f>
        <v/>
      </c>
      <c r="AW136" s="45">
        <f>IF(((T136*pax_cap*IF(B136="South Korea",korea_mid_load,load_mid)*IF(ABS(MOD(ABS((L136*M136*IF(B136="South Korea",korea_mid_revleg,revleg_mid))),1)-0.5)&lt;1E-9,2*ROUND((L136*M136*IF(B136="South Korea",korea_mid_revleg,revleg_mid))/2,0),ROUND((L136*M136*IF(B136="South Korea",korea_mid_revleg,revleg_mid)),0)))-(((battery/range_nm)*D136*IF(ABS(MOD(ABS((L136*M136*IF(B136="South Korea",korea_mid_revleg,revleg_mid))),1)-0.5)&lt;1E-9,2*ROUND((L136*M136*IF(B136="South Korea",korea_mid_revleg,revleg_mid))/2,0),ROUND((L136*M136*IF(B136="South Korea",korea_mid_revleg,revleg_mid)),0))*VLOOKUP(B136,country_opex,3,FALSE))+W136+X136+Y136+Z136+AA136))&lt;=0,"",VLOOKUP(B136,country_opex,7,FALSE)/((T136*pax_cap*IF(B136="South Korea",korea_mid_load,load_mid)*IF(ABS(MOD(ABS((L136*M136*IF(B136="South Korea",korea_mid_revleg,revleg_mid))),1)-0.5)&lt;1E-9,2*ROUND((L136*M136*IF(B136="South Korea",korea_mid_revleg,revleg_mid))/2,0),ROUND((L136*M136*IF(B136="South Korea",korea_mid_revleg,revleg_mid)),0)))-(((battery/range_nm)*D136*IF(ABS(MOD(ABS((L136*M136*IF(B136="South Korea",korea_mid_revleg,revleg_mid))),1)-0.5)&lt;1E-9,2*ROUND((L136*M136*IF(B136="South Korea",korea_mid_revleg,revleg_mid))/2,0),ROUND((L136*M136*IF(B136="South Korea",korea_mid_revleg,revleg_mid)),0))*VLOOKUP(B136,country_opex,3,FALSE))+W136+X136+Y136+Z136+AA136)))</f>
        <v/>
      </c>
      <c r="AX136" s="45">
        <f>IF(((T136*pax_cap*load_full*IF(ABS(MOD(ABS((L136*M136*revleg_full)),1)-0.5)&lt;1E-9,2*ROUND((L136*M136*revleg_full)/2,0),ROUND((L136*M136*revleg_full),0)))-(((battery/range_nm)*D136*IF(ABS(MOD(ABS((L136*M136*revleg_full)),1)-0.5)&lt;1E-9,2*ROUND((L136*M136*revleg_full)/2,0),ROUND((L136*M136*revleg_full),0))*VLOOKUP(B136,country_opex,3,FALSE))+W136+X136+Y136+Z136+AA136))&lt;=0,"",VLOOKUP(B136,country_opex,7,FALSE)/((T136*pax_cap*load_full*IF(ABS(MOD(ABS((L136*M136*revleg_full)),1)-0.5)&lt;1E-9,2*ROUND((L136*M136*revleg_full)/2,0),ROUND((L136*M136*revleg_full),0)))-(((battery/range_nm)*D136*IF(ABS(MOD(ABS((L136*M136*revleg_full)),1)-0.5)&lt;1E-9,2*ROUND((L136*M136*revleg_full)/2,0),ROUND((L136*M136*revleg_full),0))*VLOOKUP(B136,country_opex,3,FALSE))+W136+X136+Y136+Z136+AA136)))</f>
        <v/>
      </c>
      <c r="AY136" s="46" t="inlineStr">
        <is>
          <t>PREMIUM tier: charter-divided per-seat ~60 RON (Portul Tomis Condor/Tomis/Euphoria group sea charters 400-1400 RON per group / ~10-12 pax). 60 RON / 4.6 = ~$13.0. No scheduled premium fast-shuttle exists today on this hop.</t>
        </is>
      </c>
      <c r="AZ136" s="46" t="n"/>
      <c r="BA136" s="34" t="n"/>
    </row>
    <row r="137">
      <c r="A137" s="31" t="inlineStr">
        <is>
          <t>Bolt Romania</t>
        </is>
      </c>
      <c r="B137" s="31" t="inlineStr">
        <is>
          <t>Romania</t>
        </is>
      </c>
      <c r="C137" s="32" t="inlineStr">
        <is>
          <t>Constanta → Eforie Nord</t>
        </is>
      </c>
      <c r="D137" s="33" t="n">
        <v>8</v>
      </c>
      <c r="E137" s="27" t="n">
        <v>13</v>
      </c>
      <c r="F137" s="34" t="inlineStr">
        <is>
          <t>T2</t>
        </is>
      </c>
      <c r="G137" s="34" t="inlineStr">
        <is>
          <t>med</t>
        </is>
      </c>
      <c r="H137" s="20" t="n">
        <v>1</v>
      </c>
      <c r="I137" s="35">
        <f>60*D137/cruise_kt</f>
        <v/>
      </c>
      <c r="J137" s="35">
        <f>IF(B137="South Korea",D137/korea_charge_range_nm*korea_full_range_charge_min,0)</f>
        <v/>
      </c>
      <c r="K137" s="35">
        <f>IF(B137="South Korea",I137+korea_turn_min+korea_dwell_min+J137,I137+turn_min+dwell_min)</f>
        <v/>
      </c>
      <c r="L137" s="36">
        <f>IF(B137="South Korea",FLOOR(60*korea_service_hr/K137,1),MIN(24,FLOOR(60*service_hr/K137,1)))</f>
        <v/>
      </c>
      <c r="M137" s="36">
        <f>IF(ABS(MOD(ABS((365*mech_uptime*H137)),1)-0.5)&lt;1E-9,2*ROUND((365*mech_uptime*H137)/2,0),ROUND((365*mech_uptime*H137),0))</f>
        <v/>
      </c>
      <c r="N137" s="37">
        <f>mech_uptime</f>
        <v/>
      </c>
      <c r="O137" s="37">
        <f>IF(AND(B137="South Korea",scenario="MID"),korea_mid_revleg,revleg_sel)</f>
        <v/>
      </c>
      <c r="P137" s="36">
        <f>IF(ABS(MOD(ABS((L137*M137*O137)),1)-0.5)&lt;1E-9,2*ROUND((L137*M137*O137)/2,0),ROUND((L137*M137*O137),0))</f>
        <v/>
      </c>
      <c r="Q137" s="37">
        <f>IF(AND(B137="South Korea",scenario="MID"),korea_mid_load,load_sel)</f>
        <v/>
      </c>
      <c r="R137" s="38">
        <f>pax_cap*Q137</f>
        <v/>
      </c>
      <c r="S137" s="36">
        <f>R137*P137</f>
        <v/>
      </c>
      <c r="T137" s="39">
        <f>E137*discount</f>
        <v/>
      </c>
      <c r="U137" s="40">
        <f>T137*S137</f>
        <v/>
      </c>
      <c r="V137" s="40">
        <f>(battery/range_nm)*D137*P137*VLOOKUP(B137,country_opex,3,FALSE)</f>
        <v/>
      </c>
      <c r="W137" s="40">
        <f>VLOOKUP(B137,country_opex,2,FALSE)*crew_factor</f>
        <v/>
      </c>
      <c r="X137" s="40">
        <f>VLOOKUP(B137,country_opex,5,FALSE)</f>
        <v/>
      </c>
      <c r="Y137" s="40">
        <f>maint</f>
        <v/>
      </c>
      <c r="Z137" s="40">
        <f>VLOOKUP(B137,country_opex,7,FALSE)*ins_pct</f>
        <v/>
      </c>
      <c r="AA137" s="40">
        <f>charge_berth</f>
        <v/>
      </c>
      <c r="AB137" s="40">
        <f>V137+W137+X137+Y137+Z137+AA137</f>
        <v/>
      </c>
      <c r="AC137" s="40">
        <f>VLOOKUP(B137,country_opex,7,FALSE)/dep_years</f>
        <v/>
      </c>
      <c r="AD137" s="40">
        <f>U137-AB137</f>
        <v/>
      </c>
      <c r="AE137" s="37">
        <f>IF(U137=0,"",AD137/U137)</f>
        <v/>
      </c>
      <c r="AF137" s="38">
        <f>IF(AD137&lt;=0,"",VLOOKUP(B137,country_opex,7,FALSE)/AD137)</f>
        <v/>
      </c>
      <c r="AG137" s="35">
        <f>((D137*P137/diesel_nmpg)*diesel_co2pg-(battery/range_nm)*D137*P137*VLOOKUP(B137,country_opex,4,FALSE))/1000</f>
        <v/>
      </c>
      <c r="AH137" s="33" t="n">
        <v>14736</v>
      </c>
      <c r="AI137" s="34" t="n"/>
      <c r="AJ137" s="34" t="n"/>
      <c r="AK137" s="41" t="n">
        <v>0.1</v>
      </c>
      <c r="AL137" s="36">
        <f>IF(AH137="","",AH137*AK137)</f>
        <v/>
      </c>
      <c r="AM137" s="36">
        <f>IF(OR(AH137="",S137=0),"",MIN(IF(AU137="",9.9E+99,AU137),FLOOR(AL137/S137,1)))</f>
        <v/>
      </c>
      <c r="AN137" s="40">
        <f>IF(AM137="","",AM137*IF(ABS(MOD(ABS((U137)),1)-0.5)&lt;1E-9,2*ROUND((U137)/2,0),ROUND((U137),0)))</f>
        <v/>
      </c>
      <c r="AO137" s="38">
        <f>IF(OR(AH137="",S137=0),"",MIN(IF(AU137="",9.9E+99,AU137),AL137/S137))</f>
        <v/>
      </c>
      <c r="AP137" s="40">
        <f>IF(AO137="","",AO137*IF(B137="South Korea",IF(ABS(MOD(ABS((U137)),1)-0.5)&lt;1E-9,2*ROUND((U137)/2,0),ROUND((U137),0)),U137))</f>
        <v/>
      </c>
      <c r="AQ137" s="42" t="n"/>
      <c r="AR137" s="34" t="inlineStr">
        <is>
          <t>Estimated</t>
        </is>
      </c>
      <c r="AS137" s="43" t="n"/>
      <c r="AT137" s="43" t="n"/>
      <c r="AU137" s="44" t="n"/>
      <c r="AV137" s="45">
        <f>IF(((T137*pax_cap*load_thin*IF(ABS(MOD(ABS((L137*M137*revleg_thin)),1)-0.5)&lt;1E-9,2*ROUND((L137*M137*revleg_thin)/2,0),ROUND((L137*M137*revleg_thin),0)))-(((battery/range_nm)*D137*IF(ABS(MOD(ABS((L137*M137*revleg_thin)),1)-0.5)&lt;1E-9,2*ROUND((L137*M137*revleg_thin)/2,0),ROUND((L137*M137*revleg_thin),0))*VLOOKUP(B137,country_opex,3,FALSE))+W137+X137+Y137+Z137+AA137))&lt;=0,"",VLOOKUP(B137,country_opex,7,FALSE)/((T137*pax_cap*load_thin*IF(ABS(MOD(ABS((L137*M137*revleg_thin)),1)-0.5)&lt;1E-9,2*ROUND((L137*M137*revleg_thin)/2,0),ROUND((L137*M137*revleg_thin),0)))-(((battery/range_nm)*D137*IF(ABS(MOD(ABS((L137*M137*revleg_thin)),1)-0.5)&lt;1E-9,2*ROUND((L137*M137*revleg_thin)/2,0),ROUND((L137*M137*revleg_thin),0))*VLOOKUP(B137,country_opex,3,FALSE))+W137+X137+Y137+Z137+AA137)))</f>
        <v/>
      </c>
      <c r="AW137" s="45">
        <f>IF(((T137*pax_cap*IF(B137="South Korea",korea_mid_load,load_mid)*IF(ABS(MOD(ABS((L137*M137*IF(B137="South Korea",korea_mid_revleg,revleg_mid))),1)-0.5)&lt;1E-9,2*ROUND((L137*M137*IF(B137="South Korea",korea_mid_revleg,revleg_mid))/2,0),ROUND((L137*M137*IF(B137="South Korea",korea_mid_revleg,revleg_mid)),0)))-(((battery/range_nm)*D137*IF(ABS(MOD(ABS((L137*M137*IF(B137="South Korea",korea_mid_revleg,revleg_mid))),1)-0.5)&lt;1E-9,2*ROUND((L137*M137*IF(B137="South Korea",korea_mid_revleg,revleg_mid))/2,0),ROUND((L137*M137*IF(B137="South Korea",korea_mid_revleg,revleg_mid)),0))*VLOOKUP(B137,country_opex,3,FALSE))+W137+X137+Y137+Z137+AA137))&lt;=0,"",VLOOKUP(B137,country_opex,7,FALSE)/((T137*pax_cap*IF(B137="South Korea",korea_mid_load,load_mid)*IF(ABS(MOD(ABS((L137*M137*IF(B137="South Korea",korea_mid_revleg,revleg_mid))),1)-0.5)&lt;1E-9,2*ROUND((L137*M137*IF(B137="South Korea",korea_mid_revleg,revleg_mid))/2,0),ROUND((L137*M137*IF(B137="South Korea",korea_mid_revleg,revleg_mid)),0)))-(((battery/range_nm)*D137*IF(ABS(MOD(ABS((L137*M137*IF(B137="South Korea",korea_mid_revleg,revleg_mid))),1)-0.5)&lt;1E-9,2*ROUND((L137*M137*IF(B137="South Korea",korea_mid_revleg,revleg_mid))/2,0),ROUND((L137*M137*IF(B137="South Korea",korea_mid_revleg,revleg_mid)),0))*VLOOKUP(B137,country_opex,3,FALSE))+W137+X137+Y137+Z137+AA137)))</f>
        <v/>
      </c>
      <c r="AX137" s="45">
        <f>IF(((T137*pax_cap*load_full*IF(ABS(MOD(ABS((L137*M137*revleg_full)),1)-0.5)&lt;1E-9,2*ROUND((L137*M137*revleg_full)/2,0),ROUND((L137*M137*revleg_full),0)))-(((battery/range_nm)*D137*IF(ABS(MOD(ABS((L137*M137*revleg_full)),1)-0.5)&lt;1E-9,2*ROUND((L137*M137*revleg_full)/2,0),ROUND((L137*M137*revleg_full),0))*VLOOKUP(B137,country_opex,3,FALSE))+W137+X137+Y137+Z137+AA137))&lt;=0,"",VLOOKUP(B137,country_opex,7,FALSE)/((T137*pax_cap*load_full*IF(ABS(MOD(ABS((L137*M137*revleg_full)),1)-0.5)&lt;1E-9,2*ROUND((L137*M137*revleg_full)/2,0),ROUND((L137*M137*revleg_full),0)))-(((battery/range_nm)*D137*IF(ABS(MOD(ABS((L137*M137*revleg_full)),1)-0.5)&lt;1E-9,2*ROUND((L137*M137*revleg_full)/2,0),ROUND((L137*M137*revleg_full),0))*VLOOKUP(B137,country_opex,3,FALSE))+W137+X137+Y137+Z137+AA137)))</f>
        <v/>
      </c>
      <c r="AY137" s="46" t="inlineStr">
        <is>
          <t>Coast premium per-seat ~60 RON (charter-divided). ~$13.0.</t>
        </is>
      </c>
      <c r="AZ137" s="46" t="n"/>
      <c r="BA137" s="34" t="n"/>
    </row>
    <row r="138">
      <c r="A138" s="31" t="inlineStr">
        <is>
          <t>Bolt Romania</t>
        </is>
      </c>
      <c r="B138" s="31" t="inlineStr">
        <is>
          <t>Romania</t>
        </is>
      </c>
      <c r="C138" s="32" t="inlineStr">
        <is>
          <t>Constanta → Navodari (Mamaia Nord)</t>
        </is>
      </c>
      <c r="D138" s="33" t="n">
        <v>9</v>
      </c>
      <c r="E138" s="27" t="n">
        <v>13</v>
      </c>
      <c r="F138" s="34" t="inlineStr">
        <is>
          <t>T2</t>
        </is>
      </c>
      <c r="G138" s="34" t="inlineStr">
        <is>
          <t>med</t>
        </is>
      </c>
      <c r="H138" s="20" t="n">
        <v>1</v>
      </c>
      <c r="I138" s="35">
        <f>60*D138/cruise_kt</f>
        <v/>
      </c>
      <c r="J138" s="35">
        <f>IF(B138="South Korea",D138/korea_charge_range_nm*korea_full_range_charge_min,0)</f>
        <v/>
      </c>
      <c r="K138" s="35">
        <f>IF(B138="South Korea",I138+korea_turn_min+korea_dwell_min+J138,I138+turn_min+dwell_min)</f>
        <v/>
      </c>
      <c r="L138" s="36">
        <f>IF(B138="South Korea",FLOOR(60*korea_service_hr/K138,1),MIN(24,FLOOR(60*service_hr/K138,1)))</f>
        <v/>
      </c>
      <c r="M138" s="36">
        <f>IF(ABS(MOD(ABS((365*mech_uptime*H138)),1)-0.5)&lt;1E-9,2*ROUND((365*mech_uptime*H138)/2,0),ROUND((365*mech_uptime*H138),0))</f>
        <v/>
      </c>
      <c r="N138" s="37">
        <f>mech_uptime</f>
        <v/>
      </c>
      <c r="O138" s="37">
        <f>IF(AND(B138="South Korea",scenario="MID"),korea_mid_revleg,revleg_sel)</f>
        <v/>
      </c>
      <c r="P138" s="36">
        <f>IF(ABS(MOD(ABS((L138*M138*O138)),1)-0.5)&lt;1E-9,2*ROUND((L138*M138*O138)/2,0),ROUND((L138*M138*O138),0))</f>
        <v/>
      </c>
      <c r="Q138" s="37">
        <f>IF(AND(B138="South Korea",scenario="MID"),korea_mid_load,load_sel)</f>
        <v/>
      </c>
      <c r="R138" s="38">
        <f>pax_cap*Q138</f>
        <v/>
      </c>
      <c r="S138" s="36">
        <f>R138*P138</f>
        <v/>
      </c>
      <c r="T138" s="39">
        <f>E138*discount</f>
        <v/>
      </c>
      <c r="U138" s="40">
        <f>T138*S138</f>
        <v/>
      </c>
      <c r="V138" s="40">
        <f>(battery/range_nm)*D138*P138*VLOOKUP(B138,country_opex,3,FALSE)</f>
        <v/>
      </c>
      <c r="W138" s="40">
        <f>VLOOKUP(B138,country_opex,2,FALSE)*crew_factor</f>
        <v/>
      </c>
      <c r="X138" s="40">
        <f>VLOOKUP(B138,country_opex,5,FALSE)</f>
        <v/>
      </c>
      <c r="Y138" s="40">
        <f>maint</f>
        <v/>
      </c>
      <c r="Z138" s="40">
        <f>VLOOKUP(B138,country_opex,7,FALSE)*ins_pct</f>
        <v/>
      </c>
      <c r="AA138" s="40">
        <f>charge_berth</f>
        <v/>
      </c>
      <c r="AB138" s="40">
        <f>V138+W138+X138+Y138+Z138+AA138</f>
        <v/>
      </c>
      <c r="AC138" s="40">
        <f>VLOOKUP(B138,country_opex,7,FALSE)/dep_years</f>
        <v/>
      </c>
      <c r="AD138" s="40">
        <f>U138-AB138</f>
        <v/>
      </c>
      <c r="AE138" s="37">
        <f>IF(U138=0,"",AD138/U138)</f>
        <v/>
      </c>
      <c r="AF138" s="38">
        <f>IF(AD138&lt;=0,"",VLOOKUP(B138,country_opex,7,FALSE)/AD138)</f>
        <v/>
      </c>
      <c r="AG138" s="35">
        <f>((D138*P138/diesel_nmpg)*diesel_co2pg-(battery/range_nm)*D138*P138*VLOOKUP(B138,country_opex,4,FALSE))/1000</f>
        <v/>
      </c>
      <c r="AH138" s="33" t="n"/>
      <c r="AI138" s="34" t="n"/>
      <c r="AJ138" s="34" t="n"/>
      <c r="AK138" s="41" t="n">
        <v>0.1</v>
      </c>
      <c r="AL138" s="36">
        <f>IF(AH138="","",AH138*AK138)</f>
        <v/>
      </c>
      <c r="AM138" s="36">
        <f>IF(OR(AH138="",S138=0),"",MIN(IF(AU138="",9.9E+99,AU138),FLOOR(AL138/S138,1)))</f>
        <v/>
      </c>
      <c r="AN138" s="40">
        <f>IF(AM138="","",AM138*IF(ABS(MOD(ABS((U138)),1)-0.5)&lt;1E-9,2*ROUND((U138)/2,0),ROUND((U138),0)))</f>
        <v/>
      </c>
      <c r="AO138" s="38">
        <f>IF(OR(AH138="",S138=0),"",MIN(IF(AU138="",9.9E+99,AU138),AL138/S138))</f>
        <v/>
      </c>
      <c r="AP138" s="40">
        <f>IF(AO138="","",AO138*IF(B138="South Korea",IF(ABS(MOD(ABS((U138)),1)-0.5)&lt;1E-9,2*ROUND((U138)/2,0),ROUND((U138),0)),U138))</f>
        <v/>
      </c>
      <c r="AQ138" s="42" t="n"/>
      <c r="AR138" s="34" t="inlineStr">
        <is>
          <t>Estimated</t>
        </is>
      </c>
      <c r="AS138" s="43" t="n"/>
      <c r="AT138" s="43" t="n"/>
      <c r="AU138" s="44" t="n"/>
      <c r="AV138" s="45">
        <f>IF(((T138*pax_cap*load_thin*IF(ABS(MOD(ABS((L138*M138*revleg_thin)),1)-0.5)&lt;1E-9,2*ROUND((L138*M138*revleg_thin)/2,0),ROUND((L138*M138*revleg_thin),0)))-(((battery/range_nm)*D138*IF(ABS(MOD(ABS((L138*M138*revleg_thin)),1)-0.5)&lt;1E-9,2*ROUND((L138*M138*revleg_thin)/2,0),ROUND((L138*M138*revleg_thin),0))*VLOOKUP(B138,country_opex,3,FALSE))+W138+X138+Y138+Z138+AA138))&lt;=0,"",VLOOKUP(B138,country_opex,7,FALSE)/((T138*pax_cap*load_thin*IF(ABS(MOD(ABS((L138*M138*revleg_thin)),1)-0.5)&lt;1E-9,2*ROUND((L138*M138*revleg_thin)/2,0),ROUND((L138*M138*revleg_thin),0)))-(((battery/range_nm)*D138*IF(ABS(MOD(ABS((L138*M138*revleg_thin)),1)-0.5)&lt;1E-9,2*ROUND((L138*M138*revleg_thin)/2,0),ROUND((L138*M138*revleg_thin),0))*VLOOKUP(B138,country_opex,3,FALSE))+W138+X138+Y138+Z138+AA138)))</f>
        <v/>
      </c>
      <c r="AW138" s="45">
        <f>IF(((T138*pax_cap*IF(B138="South Korea",korea_mid_load,load_mid)*IF(ABS(MOD(ABS((L138*M138*IF(B138="South Korea",korea_mid_revleg,revleg_mid))),1)-0.5)&lt;1E-9,2*ROUND((L138*M138*IF(B138="South Korea",korea_mid_revleg,revleg_mid))/2,0),ROUND((L138*M138*IF(B138="South Korea",korea_mid_revleg,revleg_mid)),0)))-(((battery/range_nm)*D138*IF(ABS(MOD(ABS((L138*M138*IF(B138="South Korea",korea_mid_revleg,revleg_mid))),1)-0.5)&lt;1E-9,2*ROUND((L138*M138*IF(B138="South Korea",korea_mid_revleg,revleg_mid))/2,0),ROUND((L138*M138*IF(B138="South Korea",korea_mid_revleg,revleg_mid)),0))*VLOOKUP(B138,country_opex,3,FALSE))+W138+X138+Y138+Z138+AA138))&lt;=0,"",VLOOKUP(B138,country_opex,7,FALSE)/((T138*pax_cap*IF(B138="South Korea",korea_mid_load,load_mid)*IF(ABS(MOD(ABS((L138*M138*IF(B138="South Korea",korea_mid_revleg,revleg_mid))),1)-0.5)&lt;1E-9,2*ROUND((L138*M138*IF(B138="South Korea",korea_mid_revleg,revleg_mid))/2,0),ROUND((L138*M138*IF(B138="South Korea",korea_mid_revleg,revleg_mid)),0)))-(((battery/range_nm)*D138*IF(ABS(MOD(ABS((L138*M138*IF(B138="South Korea",korea_mid_revleg,revleg_mid))),1)-0.5)&lt;1E-9,2*ROUND((L138*M138*IF(B138="South Korea",korea_mid_revleg,revleg_mid))/2,0),ROUND((L138*M138*IF(B138="South Korea",korea_mid_revleg,revleg_mid)),0))*VLOOKUP(B138,country_opex,3,FALSE))+W138+X138+Y138+Z138+AA138)))</f>
        <v/>
      </c>
      <c r="AX138" s="45">
        <f>IF(((T138*pax_cap*load_full*IF(ABS(MOD(ABS((L138*M138*revleg_full)),1)-0.5)&lt;1E-9,2*ROUND((L138*M138*revleg_full)/2,0),ROUND((L138*M138*revleg_full),0)))-(((battery/range_nm)*D138*IF(ABS(MOD(ABS((L138*M138*revleg_full)),1)-0.5)&lt;1E-9,2*ROUND((L138*M138*revleg_full)/2,0),ROUND((L138*M138*revleg_full),0))*VLOOKUP(B138,country_opex,3,FALSE))+W138+X138+Y138+Z138+AA138))&lt;=0,"",VLOOKUP(B138,country_opex,7,FALSE)/((T138*pax_cap*load_full*IF(ABS(MOD(ABS((L138*M138*revleg_full)),1)-0.5)&lt;1E-9,2*ROUND((L138*M138*revleg_full)/2,0),ROUND((L138*M138*revleg_full),0)))-(((battery/range_nm)*D138*IF(ABS(MOD(ABS((L138*M138*revleg_full)),1)-0.5)&lt;1E-9,2*ROUND((L138*M138*revleg_full)/2,0),ROUND((L138*M138*revleg_full),0))*VLOOKUP(B138,country_opex,3,FALSE))+W138+X138+Y138+Z138+AA138)))</f>
        <v/>
      </c>
      <c r="AY138" s="46" t="inlineStr">
        <is>
          <t>Same coast premium per-seat ~60 RON (charter-divided). ~$13.0.</t>
        </is>
      </c>
      <c r="AZ138" s="46" t="n"/>
      <c r="BA138" s="34" t="n"/>
    </row>
    <row r="139">
      <c r="A139" s="31" t="inlineStr">
        <is>
          <t>Bolt Romania</t>
        </is>
      </c>
      <c r="B139" s="31" t="inlineStr">
        <is>
          <t>Romania</t>
        </is>
      </c>
      <c r="C139" s="32" t="inlineStr">
        <is>
          <t>Constanta → Costinesti</t>
        </is>
      </c>
      <c r="D139" s="33" t="n">
        <v>15</v>
      </c>
      <c r="E139" s="27" t="n">
        <v>13</v>
      </c>
      <c r="F139" s="34" t="inlineStr">
        <is>
          <t>T2</t>
        </is>
      </c>
      <c r="G139" s="34" t="inlineStr">
        <is>
          <t>med</t>
        </is>
      </c>
      <c r="H139" s="20" t="n">
        <v>1</v>
      </c>
      <c r="I139" s="35">
        <f>60*D139/cruise_kt</f>
        <v/>
      </c>
      <c r="J139" s="35">
        <f>IF(B139="South Korea",D139/korea_charge_range_nm*korea_full_range_charge_min,0)</f>
        <v/>
      </c>
      <c r="K139" s="35">
        <f>IF(B139="South Korea",I139+korea_turn_min+korea_dwell_min+J139,I139+turn_min+dwell_min)</f>
        <v/>
      </c>
      <c r="L139" s="36">
        <f>IF(B139="South Korea",FLOOR(60*korea_service_hr/K139,1),MIN(24,FLOOR(60*service_hr/K139,1)))</f>
        <v/>
      </c>
      <c r="M139" s="36">
        <f>IF(ABS(MOD(ABS((365*mech_uptime*H139)),1)-0.5)&lt;1E-9,2*ROUND((365*mech_uptime*H139)/2,0),ROUND((365*mech_uptime*H139),0))</f>
        <v/>
      </c>
      <c r="N139" s="37">
        <f>mech_uptime</f>
        <v/>
      </c>
      <c r="O139" s="37">
        <f>IF(AND(B139="South Korea",scenario="MID"),korea_mid_revleg,revleg_sel)</f>
        <v/>
      </c>
      <c r="P139" s="36">
        <f>IF(ABS(MOD(ABS((L139*M139*O139)),1)-0.5)&lt;1E-9,2*ROUND((L139*M139*O139)/2,0),ROUND((L139*M139*O139),0))</f>
        <v/>
      </c>
      <c r="Q139" s="37">
        <f>IF(AND(B139="South Korea",scenario="MID"),korea_mid_load,load_sel)</f>
        <v/>
      </c>
      <c r="R139" s="38">
        <f>pax_cap*Q139</f>
        <v/>
      </c>
      <c r="S139" s="36">
        <f>R139*P139</f>
        <v/>
      </c>
      <c r="T139" s="39">
        <f>E139*discount</f>
        <v/>
      </c>
      <c r="U139" s="40">
        <f>T139*S139</f>
        <v/>
      </c>
      <c r="V139" s="40">
        <f>(battery/range_nm)*D139*P139*VLOOKUP(B139,country_opex,3,FALSE)</f>
        <v/>
      </c>
      <c r="W139" s="40">
        <f>VLOOKUP(B139,country_opex,2,FALSE)*crew_factor</f>
        <v/>
      </c>
      <c r="X139" s="40">
        <f>VLOOKUP(B139,country_opex,5,FALSE)</f>
        <v/>
      </c>
      <c r="Y139" s="40">
        <f>maint</f>
        <v/>
      </c>
      <c r="Z139" s="40">
        <f>VLOOKUP(B139,country_opex,7,FALSE)*ins_pct</f>
        <v/>
      </c>
      <c r="AA139" s="40">
        <f>charge_berth</f>
        <v/>
      </c>
      <c r="AB139" s="40">
        <f>V139+W139+X139+Y139+Z139+AA139</f>
        <v/>
      </c>
      <c r="AC139" s="40">
        <f>VLOOKUP(B139,country_opex,7,FALSE)/dep_years</f>
        <v/>
      </c>
      <c r="AD139" s="40">
        <f>U139-AB139</f>
        <v/>
      </c>
      <c r="AE139" s="37">
        <f>IF(U139=0,"",AD139/U139)</f>
        <v/>
      </c>
      <c r="AF139" s="38">
        <f>IF(AD139&lt;=0,"",VLOOKUP(B139,country_opex,7,FALSE)/AD139)</f>
        <v/>
      </c>
      <c r="AG139" s="35">
        <f>((D139*P139/diesel_nmpg)*diesel_co2pg-(battery/range_nm)*D139*P139*VLOOKUP(B139,country_opex,4,FALSE))/1000</f>
        <v/>
      </c>
      <c r="AH139" s="33" t="n">
        <v>7894</v>
      </c>
      <c r="AI139" s="34" t="n"/>
      <c r="AJ139" s="34" t="n"/>
      <c r="AK139" s="41" t="n">
        <v>0.1</v>
      </c>
      <c r="AL139" s="36">
        <f>IF(AH139="","",AH139*AK139)</f>
        <v/>
      </c>
      <c r="AM139" s="36">
        <f>IF(OR(AH139="",S139=0),"",MIN(IF(AU139="",9.9E+99,AU139),FLOOR(AL139/S139,1)))</f>
        <v/>
      </c>
      <c r="AN139" s="40">
        <f>IF(AM139="","",AM139*IF(ABS(MOD(ABS((U139)),1)-0.5)&lt;1E-9,2*ROUND((U139)/2,0),ROUND((U139),0)))</f>
        <v/>
      </c>
      <c r="AO139" s="38">
        <f>IF(OR(AH139="",S139=0),"",MIN(IF(AU139="",9.9E+99,AU139),AL139/S139))</f>
        <v/>
      </c>
      <c r="AP139" s="40">
        <f>IF(AO139="","",AO139*IF(B139="South Korea",IF(ABS(MOD(ABS((U139)),1)-0.5)&lt;1E-9,2*ROUND((U139)/2,0),ROUND((U139),0)),U139))</f>
        <v/>
      </c>
      <c r="AQ139" s="42" t="n"/>
      <c r="AR139" s="34" t="inlineStr">
        <is>
          <t>Estimated</t>
        </is>
      </c>
      <c r="AS139" s="43" t="n"/>
      <c r="AT139" s="43" t="n"/>
      <c r="AU139" s="44" t="n"/>
      <c r="AV139" s="45">
        <f>IF(((T139*pax_cap*load_thin*IF(ABS(MOD(ABS((L139*M139*revleg_thin)),1)-0.5)&lt;1E-9,2*ROUND((L139*M139*revleg_thin)/2,0),ROUND((L139*M139*revleg_thin),0)))-(((battery/range_nm)*D139*IF(ABS(MOD(ABS((L139*M139*revleg_thin)),1)-0.5)&lt;1E-9,2*ROUND((L139*M139*revleg_thin)/2,0),ROUND((L139*M139*revleg_thin),0))*VLOOKUP(B139,country_opex,3,FALSE))+W139+X139+Y139+Z139+AA139))&lt;=0,"",VLOOKUP(B139,country_opex,7,FALSE)/((T139*pax_cap*load_thin*IF(ABS(MOD(ABS((L139*M139*revleg_thin)),1)-0.5)&lt;1E-9,2*ROUND((L139*M139*revleg_thin)/2,0),ROUND((L139*M139*revleg_thin),0)))-(((battery/range_nm)*D139*IF(ABS(MOD(ABS((L139*M139*revleg_thin)),1)-0.5)&lt;1E-9,2*ROUND((L139*M139*revleg_thin)/2,0),ROUND((L139*M139*revleg_thin),0))*VLOOKUP(B139,country_opex,3,FALSE))+W139+X139+Y139+Z139+AA139)))</f>
        <v/>
      </c>
      <c r="AW139" s="45">
        <f>IF(((T139*pax_cap*IF(B139="South Korea",korea_mid_load,load_mid)*IF(ABS(MOD(ABS((L139*M139*IF(B139="South Korea",korea_mid_revleg,revleg_mid))),1)-0.5)&lt;1E-9,2*ROUND((L139*M139*IF(B139="South Korea",korea_mid_revleg,revleg_mid))/2,0),ROUND((L139*M139*IF(B139="South Korea",korea_mid_revleg,revleg_mid)),0)))-(((battery/range_nm)*D139*IF(ABS(MOD(ABS((L139*M139*IF(B139="South Korea",korea_mid_revleg,revleg_mid))),1)-0.5)&lt;1E-9,2*ROUND((L139*M139*IF(B139="South Korea",korea_mid_revleg,revleg_mid))/2,0),ROUND((L139*M139*IF(B139="South Korea",korea_mid_revleg,revleg_mid)),0))*VLOOKUP(B139,country_opex,3,FALSE))+W139+X139+Y139+Z139+AA139))&lt;=0,"",VLOOKUP(B139,country_opex,7,FALSE)/((T139*pax_cap*IF(B139="South Korea",korea_mid_load,load_mid)*IF(ABS(MOD(ABS((L139*M139*IF(B139="South Korea",korea_mid_revleg,revleg_mid))),1)-0.5)&lt;1E-9,2*ROUND((L139*M139*IF(B139="South Korea",korea_mid_revleg,revleg_mid))/2,0),ROUND((L139*M139*IF(B139="South Korea",korea_mid_revleg,revleg_mid)),0)))-(((battery/range_nm)*D139*IF(ABS(MOD(ABS((L139*M139*IF(B139="South Korea",korea_mid_revleg,revleg_mid))),1)-0.5)&lt;1E-9,2*ROUND((L139*M139*IF(B139="South Korea",korea_mid_revleg,revleg_mid))/2,0),ROUND((L139*M139*IF(B139="South Korea",korea_mid_revleg,revleg_mid)),0))*VLOOKUP(B139,country_opex,3,FALSE))+W139+X139+Y139+Z139+AA139)))</f>
        <v/>
      </c>
      <c r="AX139" s="45">
        <f>IF(((T139*pax_cap*load_full*IF(ABS(MOD(ABS((L139*M139*revleg_full)),1)-0.5)&lt;1E-9,2*ROUND((L139*M139*revleg_full)/2,0),ROUND((L139*M139*revleg_full),0)))-(((battery/range_nm)*D139*IF(ABS(MOD(ABS((L139*M139*revleg_full)),1)-0.5)&lt;1E-9,2*ROUND((L139*M139*revleg_full)/2,0),ROUND((L139*M139*revleg_full),0))*VLOOKUP(B139,country_opex,3,FALSE))+W139+X139+Y139+Z139+AA139))&lt;=0,"",VLOOKUP(B139,country_opex,7,FALSE)/((T139*pax_cap*load_full*IF(ABS(MOD(ABS((L139*M139*revleg_full)),1)-0.5)&lt;1E-9,2*ROUND((L139*M139*revleg_full)/2,0),ROUND((L139*M139*revleg_full),0)))-(((battery/range_nm)*D139*IF(ABS(MOD(ABS((L139*M139*revleg_full)),1)-0.5)&lt;1E-9,2*ROUND((L139*M139*revleg_full)/2,0),ROUND((L139*M139*revleg_full),0))*VLOOKUP(B139,country_opex,3,FALSE))+W139+X139+Y139+Z139+AA139)))</f>
        <v/>
      </c>
      <c r="AY139" s="46" t="inlineStr">
        <is>
          <t>Coast premium per-seat ~60 RON (charter-divided). ~$13.0.</t>
        </is>
      </c>
      <c r="AZ139" s="46" t="n"/>
      <c r="BA139" s="34" t="n"/>
    </row>
    <row r="140">
      <c r="A140" s="31" t="inlineStr">
        <is>
          <t>Bolt Romania</t>
        </is>
      </c>
      <c r="B140" s="31" t="inlineStr">
        <is>
          <t>Romania</t>
        </is>
      </c>
      <c r="C140" s="32" t="inlineStr">
        <is>
          <t>Bucharest → Snagov</t>
        </is>
      </c>
      <c r="D140" s="33" t="n">
        <v>19</v>
      </c>
      <c r="E140" s="27" t="n"/>
      <c r="F140" s="34" t="n"/>
      <c r="G140" s="34" t="n"/>
      <c r="H140" s="20" t="n">
        <v>1</v>
      </c>
      <c r="I140" s="35">
        <f>60*D140/cruise_kt</f>
        <v/>
      </c>
      <c r="J140" s="35">
        <f>IF(B140="South Korea",D140/korea_charge_range_nm*korea_full_range_charge_min,0)</f>
        <v/>
      </c>
      <c r="K140" s="35">
        <f>IF(B140="South Korea",I140+korea_turn_min+korea_dwell_min+J140,I140+turn_min+dwell_min)</f>
        <v/>
      </c>
      <c r="L140" s="36">
        <f>IF(B140="South Korea",FLOOR(60*korea_service_hr/K140,1),MIN(24,FLOOR(60*service_hr/K140,1)))</f>
        <v/>
      </c>
      <c r="M140" s="36">
        <f>IF(ABS(MOD(ABS((365*mech_uptime*H140)),1)-0.5)&lt;1E-9,2*ROUND((365*mech_uptime*H140)/2,0),ROUND((365*mech_uptime*H140),0))</f>
        <v/>
      </c>
      <c r="N140" s="37">
        <f>mech_uptime</f>
        <v/>
      </c>
      <c r="O140" s="37">
        <f>IF(AND(B140="South Korea",scenario="MID"),korea_mid_revleg,revleg_sel)</f>
        <v/>
      </c>
      <c r="P140" s="36">
        <f>IF(ABS(MOD(ABS((L140*M140*O140)),1)-0.5)&lt;1E-9,2*ROUND((L140*M140*O140)/2,0),ROUND((L140*M140*O140),0))</f>
        <v/>
      </c>
      <c r="Q140" s="37">
        <f>IF(AND(B140="South Korea",scenario="MID"),korea_mid_load,load_sel)</f>
        <v/>
      </c>
      <c r="R140" s="38">
        <f>pax_cap*Q140</f>
        <v/>
      </c>
      <c r="S140" s="36">
        <f>R140*P140</f>
        <v/>
      </c>
      <c r="T140" s="39">
        <f>E140*discount</f>
        <v/>
      </c>
      <c r="U140" s="40">
        <f>T140*S140</f>
        <v/>
      </c>
      <c r="V140" s="40">
        <f>(battery/range_nm)*D140*P140*VLOOKUP(B140,country_opex,3,FALSE)</f>
        <v/>
      </c>
      <c r="W140" s="40">
        <f>VLOOKUP(B140,country_opex,2,FALSE)*crew_factor</f>
        <v/>
      </c>
      <c r="X140" s="40">
        <f>VLOOKUP(B140,country_opex,5,FALSE)</f>
        <v/>
      </c>
      <c r="Y140" s="40">
        <f>maint</f>
        <v/>
      </c>
      <c r="Z140" s="40">
        <f>VLOOKUP(B140,country_opex,7,FALSE)*ins_pct</f>
        <v/>
      </c>
      <c r="AA140" s="40">
        <f>charge_berth</f>
        <v/>
      </c>
      <c r="AB140" s="40">
        <f>V140+W140+X140+Y140+Z140+AA140</f>
        <v/>
      </c>
      <c r="AC140" s="40">
        <f>VLOOKUP(B140,country_opex,7,FALSE)/dep_years</f>
        <v/>
      </c>
      <c r="AD140" s="40">
        <f>U140-AB140</f>
        <v/>
      </c>
      <c r="AE140" s="37">
        <f>IF(U140=0,"",AD140/U140)</f>
        <v/>
      </c>
      <c r="AF140" s="38">
        <f>IF(AD140&lt;=0,"",VLOOKUP(B140,country_opex,7,FALSE)/AD140)</f>
        <v/>
      </c>
      <c r="AG140" s="35">
        <f>((D140*P140/diesel_nmpg)*diesel_co2pg-(battery/range_nm)*D140*P140*VLOOKUP(B140,country_opex,4,FALSE))/1000</f>
        <v/>
      </c>
      <c r="AH140" s="33" t="n"/>
      <c r="AI140" s="34" t="n"/>
      <c r="AJ140" s="34" t="n"/>
      <c r="AK140" s="41" t="n">
        <v>0.1</v>
      </c>
      <c r="AL140" s="36">
        <f>IF(AH140="","",AH140*AK140)</f>
        <v/>
      </c>
      <c r="AM140" s="36">
        <f>IF(OR(AH140="",S140=0),"",MIN(IF(AU140="",9.9E+99,AU140),FLOOR(AL140/S140,1)))</f>
        <v/>
      </c>
      <c r="AN140" s="40">
        <f>IF(AM140="","",AM140*IF(ABS(MOD(ABS((U140)),1)-0.5)&lt;1E-9,2*ROUND((U140)/2,0),ROUND((U140),0)))</f>
        <v/>
      </c>
      <c r="AO140" s="38">
        <f>IF(OR(AH140="",S140=0),"",MIN(IF(AU140="",9.9E+99,AU140),AL140/S140))</f>
        <v/>
      </c>
      <c r="AP140" s="40">
        <f>IF(AO140="","",AO140*IF(B140="South Korea",IF(ABS(MOD(ABS((U140)),1)-0.5)&lt;1E-9,2*ROUND((U140)/2,0),ROUND((U140),0)),U140))</f>
        <v/>
      </c>
      <c r="AQ140" s="42" t="n"/>
      <c r="AR140" s="34" t="inlineStr">
        <is>
          <t>Estimated</t>
        </is>
      </c>
      <c r="AS140" s="43" t="n"/>
      <c r="AT140" s="43" t="n"/>
      <c r="AU140" s="44" t="n"/>
      <c r="AV140" s="45">
        <f>IF(((T140*pax_cap*load_thin*IF(ABS(MOD(ABS((L140*M140*revleg_thin)),1)-0.5)&lt;1E-9,2*ROUND((L140*M140*revleg_thin)/2,0),ROUND((L140*M140*revleg_thin),0)))-(((battery/range_nm)*D140*IF(ABS(MOD(ABS((L140*M140*revleg_thin)),1)-0.5)&lt;1E-9,2*ROUND((L140*M140*revleg_thin)/2,0),ROUND((L140*M140*revleg_thin),0))*VLOOKUP(B140,country_opex,3,FALSE))+W140+X140+Y140+Z140+AA140))&lt;=0,"",VLOOKUP(B140,country_opex,7,FALSE)/((T140*pax_cap*load_thin*IF(ABS(MOD(ABS((L140*M140*revleg_thin)),1)-0.5)&lt;1E-9,2*ROUND((L140*M140*revleg_thin)/2,0),ROUND((L140*M140*revleg_thin),0)))-(((battery/range_nm)*D140*IF(ABS(MOD(ABS((L140*M140*revleg_thin)),1)-0.5)&lt;1E-9,2*ROUND((L140*M140*revleg_thin)/2,0),ROUND((L140*M140*revleg_thin),0))*VLOOKUP(B140,country_opex,3,FALSE))+W140+X140+Y140+Z140+AA140)))</f>
        <v/>
      </c>
      <c r="AW140" s="45">
        <f>IF(((T140*pax_cap*IF(B140="South Korea",korea_mid_load,load_mid)*IF(ABS(MOD(ABS((L140*M140*IF(B140="South Korea",korea_mid_revleg,revleg_mid))),1)-0.5)&lt;1E-9,2*ROUND((L140*M140*IF(B140="South Korea",korea_mid_revleg,revleg_mid))/2,0),ROUND((L140*M140*IF(B140="South Korea",korea_mid_revleg,revleg_mid)),0)))-(((battery/range_nm)*D140*IF(ABS(MOD(ABS((L140*M140*IF(B140="South Korea",korea_mid_revleg,revleg_mid))),1)-0.5)&lt;1E-9,2*ROUND((L140*M140*IF(B140="South Korea",korea_mid_revleg,revleg_mid))/2,0),ROUND((L140*M140*IF(B140="South Korea",korea_mid_revleg,revleg_mid)),0))*VLOOKUP(B140,country_opex,3,FALSE))+W140+X140+Y140+Z140+AA140))&lt;=0,"",VLOOKUP(B140,country_opex,7,FALSE)/((T140*pax_cap*IF(B140="South Korea",korea_mid_load,load_mid)*IF(ABS(MOD(ABS((L140*M140*IF(B140="South Korea",korea_mid_revleg,revleg_mid))),1)-0.5)&lt;1E-9,2*ROUND((L140*M140*IF(B140="South Korea",korea_mid_revleg,revleg_mid))/2,0),ROUND((L140*M140*IF(B140="South Korea",korea_mid_revleg,revleg_mid)),0)))-(((battery/range_nm)*D140*IF(ABS(MOD(ABS((L140*M140*IF(B140="South Korea",korea_mid_revleg,revleg_mid))),1)-0.5)&lt;1E-9,2*ROUND((L140*M140*IF(B140="South Korea",korea_mid_revleg,revleg_mid))/2,0),ROUND((L140*M140*IF(B140="South Korea",korea_mid_revleg,revleg_mid)),0))*VLOOKUP(B140,country_opex,3,FALSE))+W140+X140+Y140+Z140+AA140)))</f>
        <v/>
      </c>
      <c r="AX140" s="45">
        <f>IF(((T140*pax_cap*load_full*IF(ABS(MOD(ABS((L140*M140*revleg_full)),1)-0.5)&lt;1E-9,2*ROUND((L140*M140*revleg_full)/2,0),ROUND((L140*M140*revleg_full),0)))-(((battery/range_nm)*D140*IF(ABS(MOD(ABS((L140*M140*revleg_full)),1)-0.5)&lt;1E-9,2*ROUND((L140*M140*revleg_full)/2,0),ROUND((L140*M140*revleg_full),0))*VLOOKUP(B140,country_opex,3,FALSE))+W140+X140+Y140+Z140+AA140))&lt;=0,"",VLOOKUP(B140,country_opex,7,FALSE)/((T140*pax_cap*load_full*IF(ABS(MOD(ABS((L140*M140*revleg_full)),1)-0.5)&lt;1E-9,2*ROUND((L140*M140*revleg_full)/2,0),ROUND((L140*M140*revleg_full),0)))-(((battery/range_nm)*D140*IF(ABS(MOD(ABS((L140*M140*revleg_full)),1)-0.5)&lt;1E-9,2*ROUND((L140*M140*revleg_full)/2,0),ROUND((L140*M140*revleg_full),0))*VLOOKUP(B140,country_opex,3,FALSE))+W140+X140+Y140+Z140+AA140)))</f>
        <v/>
      </c>
      <c r="AY140" s="46" t="n"/>
      <c r="AZ140" s="46" t="n"/>
      <c r="BA140" s="34" t="n"/>
    </row>
    <row r="141">
      <c r="A141" s="31" t="inlineStr">
        <is>
          <t>Bolt Romania</t>
        </is>
      </c>
      <c r="B141" s="31" t="inlineStr">
        <is>
          <t>Romania</t>
        </is>
      </c>
      <c r="C141" s="32" t="inlineStr">
        <is>
          <t>Mangalia → Balchik (Bulgaria)</t>
        </is>
      </c>
      <c r="D141" s="33" t="n">
        <v>22</v>
      </c>
      <c r="E141" s="27" t="n"/>
      <c r="F141" s="34" t="n"/>
      <c r="G141" s="34" t="n"/>
      <c r="H141" s="20" t="n">
        <v>1</v>
      </c>
      <c r="I141" s="35">
        <f>60*D141/cruise_kt</f>
        <v/>
      </c>
      <c r="J141" s="35">
        <f>IF(B141="South Korea",D141/korea_charge_range_nm*korea_full_range_charge_min,0)</f>
        <v/>
      </c>
      <c r="K141" s="35">
        <f>IF(B141="South Korea",I141+korea_turn_min+korea_dwell_min+J141,I141+turn_min+dwell_min)</f>
        <v/>
      </c>
      <c r="L141" s="36">
        <f>IF(B141="South Korea",FLOOR(60*korea_service_hr/K141,1),MIN(15,FLOOR(60*service_hr/K141,1)))</f>
        <v/>
      </c>
      <c r="M141" s="36">
        <f>IF(ABS(MOD(ABS((365*mech_uptime*H141)),1)-0.5)&lt;1E-9,2*ROUND((365*mech_uptime*H141)/2,0),ROUND((365*mech_uptime*H141),0))</f>
        <v/>
      </c>
      <c r="N141" s="37">
        <f>mech_uptime</f>
        <v/>
      </c>
      <c r="O141" s="37">
        <f>IF(AND(B141="South Korea",scenario="MID"),korea_mid_revleg,revleg_sel)</f>
        <v/>
      </c>
      <c r="P141" s="36">
        <f>IF(ABS(MOD(ABS((L141*M141*O141)),1)-0.5)&lt;1E-9,2*ROUND((L141*M141*O141)/2,0),ROUND((L141*M141*O141),0))</f>
        <v/>
      </c>
      <c r="Q141" s="37">
        <f>IF(AND(B141="South Korea",scenario="MID"),korea_mid_load,load_sel)</f>
        <v/>
      </c>
      <c r="R141" s="38">
        <f>pax_cap*Q141</f>
        <v/>
      </c>
      <c r="S141" s="36">
        <f>R141*P141</f>
        <v/>
      </c>
      <c r="T141" s="39">
        <f>E141*discount</f>
        <v/>
      </c>
      <c r="U141" s="40">
        <f>T141*S141</f>
        <v/>
      </c>
      <c r="V141" s="40">
        <f>(battery/range_nm)*D141*P141*VLOOKUP(B141,country_opex,3,FALSE)</f>
        <v/>
      </c>
      <c r="W141" s="40">
        <f>VLOOKUP(B141,country_opex,2,FALSE)*crew_factor</f>
        <v/>
      </c>
      <c r="X141" s="40">
        <f>VLOOKUP(B141,country_opex,5,FALSE)</f>
        <v/>
      </c>
      <c r="Y141" s="40">
        <f>maint</f>
        <v/>
      </c>
      <c r="Z141" s="40">
        <f>VLOOKUP(B141,country_opex,7,FALSE)*ins_pct</f>
        <v/>
      </c>
      <c r="AA141" s="40">
        <f>charge_berth</f>
        <v/>
      </c>
      <c r="AB141" s="40">
        <f>V141+W141+X141+Y141+Z141+AA141</f>
        <v/>
      </c>
      <c r="AC141" s="40">
        <f>VLOOKUP(B141,country_opex,7,FALSE)/dep_years</f>
        <v/>
      </c>
      <c r="AD141" s="40">
        <f>U141-AB141</f>
        <v/>
      </c>
      <c r="AE141" s="37">
        <f>IF(U141=0,"",AD141/U141)</f>
        <v/>
      </c>
      <c r="AF141" s="38">
        <f>IF(AD141&lt;=0,"",VLOOKUP(B141,country_opex,7,FALSE)/AD141)</f>
        <v/>
      </c>
      <c r="AG141" s="35">
        <f>((D141*P141/diesel_nmpg)*diesel_co2pg-(battery/range_nm)*D141*P141*VLOOKUP(B141,country_opex,4,FALSE))/1000</f>
        <v/>
      </c>
      <c r="AH141" s="33" t="n"/>
      <c r="AI141" s="34" t="n"/>
      <c r="AJ141" s="34" t="n"/>
      <c r="AK141" s="41" t="n">
        <v>0.1</v>
      </c>
      <c r="AL141" s="36">
        <f>IF(AH141="","",AH141*AK141)</f>
        <v/>
      </c>
      <c r="AM141" s="36">
        <f>IF(OR(AH141="",S141=0),"",MIN(IF(AU141="",9.9E+99,AU141),FLOOR(AL141/S141,1)))</f>
        <v/>
      </c>
      <c r="AN141" s="40">
        <f>IF(AM141="","",AM141*IF(ABS(MOD(ABS((U141)),1)-0.5)&lt;1E-9,2*ROUND((U141)/2,0),ROUND((U141),0)))</f>
        <v/>
      </c>
      <c r="AO141" s="38">
        <f>IF(OR(AH141="",S141=0),"",MIN(IF(AU141="",9.9E+99,AU141),AL141/S141))</f>
        <v/>
      </c>
      <c r="AP141" s="40">
        <f>IF(AO141="","",AO141*IF(B141="South Korea",IF(ABS(MOD(ABS((U141)),1)-0.5)&lt;1E-9,2*ROUND((U141)/2,0),ROUND((U141),0)),U141))</f>
        <v/>
      </c>
      <c r="AQ141" s="42" t="n"/>
      <c r="AR141" s="34" t="inlineStr">
        <is>
          <t>Estimated</t>
        </is>
      </c>
      <c r="AS141" s="43" t="n"/>
      <c r="AT141" s="43" t="n"/>
      <c r="AU141" s="44" t="n"/>
      <c r="AV141" s="45">
        <f>IF(((T141*pax_cap*load_thin*IF(ABS(MOD(ABS((L141*M141*revleg_thin)),1)-0.5)&lt;1E-9,2*ROUND((L141*M141*revleg_thin)/2,0),ROUND((L141*M141*revleg_thin),0)))-(((battery/range_nm)*D141*IF(ABS(MOD(ABS((L141*M141*revleg_thin)),1)-0.5)&lt;1E-9,2*ROUND((L141*M141*revleg_thin)/2,0),ROUND((L141*M141*revleg_thin),0))*VLOOKUP(B141,country_opex,3,FALSE))+W141+X141+Y141+Z141+AA141))&lt;=0,"",VLOOKUP(B141,country_opex,7,FALSE)/((T141*pax_cap*load_thin*IF(ABS(MOD(ABS((L141*M141*revleg_thin)),1)-0.5)&lt;1E-9,2*ROUND((L141*M141*revleg_thin)/2,0),ROUND((L141*M141*revleg_thin),0)))-(((battery/range_nm)*D141*IF(ABS(MOD(ABS((L141*M141*revleg_thin)),1)-0.5)&lt;1E-9,2*ROUND((L141*M141*revleg_thin)/2,0),ROUND((L141*M141*revleg_thin),0))*VLOOKUP(B141,country_opex,3,FALSE))+W141+X141+Y141+Z141+AA141)))</f>
        <v/>
      </c>
      <c r="AW141" s="45">
        <f>IF(((T141*pax_cap*IF(B141="South Korea",korea_mid_load,load_mid)*IF(ABS(MOD(ABS((L141*M141*IF(B141="South Korea",korea_mid_revleg,revleg_mid))),1)-0.5)&lt;1E-9,2*ROUND((L141*M141*IF(B141="South Korea",korea_mid_revleg,revleg_mid))/2,0),ROUND((L141*M141*IF(B141="South Korea",korea_mid_revleg,revleg_mid)),0)))-(((battery/range_nm)*D141*IF(ABS(MOD(ABS((L141*M141*IF(B141="South Korea",korea_mid_revleg,revleg_mid))),1)-0.5)&lt;1E-9,2*ROUND((L141*M141*IF(B141="South Korea",korea_mid_revleg,revleg_mid))/2,0),ROUND((L141*M141*IF(B141="South Korea",korea_mid_revleg,revleg_mid)),0))*VLOOKUP(B141,country_opex,3,FALSE))+W141+X141+Y141+Z141+AA141))&lt;=0,"",VLOOKUP(B141,country_opex,7,FALSE)/((T141*pax_cap*IF(B141="South Korea",korea_mid_load,load_mid)*IF(ABS(MOD(ABS((L141*M141*IF(B141="South Korea",korea_mid_revleg,revleg_mid))),1)-0.5)&lt;1E-9,2*ROUND((L141*M141*IF(B141="South Korea",korea_mid_revleg,revleg_mid))/2,0),ROUND((L141*M141*IF(B141="South Korea",korea_mid_revleg,revleg_mid)),0)))-(((battery/range_nm)*D141*IF(ABS(MOD(ABS((L141*M141*IF(B141="South Korea",korea_mid_revleg,revleg_mid))),1)-0.5)&lt;1E-9,2*ROUND((L141*M141*IF(B141="South Korea",korea_mid_revleg,revleg_mid))/2,0),ROUND((L141*M141*IF(B141="South Korea",korea_mid_revleg,revleg_mid)),0))*VLOOKUP(B141,country_opex,3,FALSE))+W141+X141+Y141+Z141+AA141)))</f>
        <v/>
      </c>
      <c r="AX141" s="45">
        <f>IF(((T141*pax_cap*load_full*IF(ABS(MOD(ABS((L141*M141*revleg_full)),1)-0.5)&lt;1E-9,2*ROUND((L141*M141*revleg_full)/2,0),ROUND((L141*M141*revleg_full),0)))-(((battery/range_nm)*D141*IF(ABS(MOD(ABS((L141*M141*revleg_full)),1)-0.5)&lt;1E-9,2*ROUND((L141*M141*revleg_full)/2,0),ROUND((L141*M141*revleg_full),0))*VLOOKUP(B141,country_opex,3,FALSE))+W141+X141+Y141+Z141+AA141))&lt;=0,"",VLOOKUP(B141,country_opex,7,FALSE)/((T141*pax_cap*load_full*IF(ABS(MOD(ABS((L141*M141*revleg_full)),1)-0.5)&lt;1E-9,2*ROUND((L141*M141*revleg_full)/2,0),ROUND((L141*M141*revleg_full),0)))-(((battery/range_nm)*D141*IF(ABS(MOD(ABS((L141*M141*revleg_full)),1)-0.5)&lt;1E-9,2*ROUND((L141*M141*revleg_full)/2,0),ROUND((L141*M141*revleg_full),0))*VLOOKUP(B141,country_opex,3,FALSE))+W141+X141+Y141+Z141+AA141)))</f>
        <v/>
      </c>
      <c r="AY141" s="46" t="n"/>
      <c r="AZ141" s="46" t="n"/>
      <c r="BA141" s="34" t="n"/>
    </row>
    <row r="142">
      <c r="A142" s="31" t="inlineStr">
        <is>
          <t>Bolt Romania</t>
        </is>
      </c>
      <c r="B142" s="31" t="inlineStr">
        <is>
          <t>Romania</t>
        </is>
      </c>
      <c r="C142" s="32" t="inlineStr">
        <is>
          <t>Constanta → Mangalia</t>
        </is>
      </c>
      <c r="D142" s="33" t="n">
        <v>23</v>
      </c>
      <c r="E142" s="27" t="n">
        <v>13</v>
      </c>
      <c r="F142" s="34" t="inlineStr">
        <is>
          <t>T2</t>
        </is>
      </c>
      <c r="G142" s="34" t="inlineStr">
        <is>
          <t>med</t>
        </is>
      </c>
      <c r="H142" s="20" t="n">
        <v>1</v>
      </c>
      <c r="I142" s="35">
        <f>60*D142/cruise_kt</f>
        <v/>
      </c>
      <c r="J142" s="35">
        <f>IF(B142="South Korea",D142/korea_charge_range_nm*korea_full_range_charge_min,0)</f>
        <v/>
      </c>
      <c r="K142" s="35">
        <f>IF(B142="South Korea",I142+korea_turn_min+korea_dwell_min+J142,I142+turn_min+dwell_min)</f>
        <v/>
      </c>
      <c r="L142" s="36">
        <f>IF(B142="South Korea",FLOOR(60*korea_service_hr/K142,1),MIN(24,FLOOR(60*service_hr/K142,1)))</f>
        <v/>
      </c>
      <c r="M142" s="36">
        <f>IF(ABS(MOD(ABS((365*mech_uptime*H142)),1)-0.5)&lt;1E-9,2*ROUND((365*mech_uptime*H142)/2,0),ROUND((365*mech_uptime*H142),0))</f>
        <v/>
      </c>
      <c r="N142" s="37">
        <f>mech_uptime</f>
        <v/>
      </c>
      <c r="O142" s="37">
        <f>IF(AND(B142="South Korea",scenario="MID"),korea_mid_revleg,revleg_sel)</f>
        <v/>
      </c>
      <c r="P142" s="36">
        <f>IF(ABS(MOD(ABS((L142*M142*O142)),1)-0.5)&lt;1E-9,2*ROUND((L142*M142*O142)/2,0),ROUND((L142*M142*O142),0))</f>
        <v/>
      </c>
      <c r="Q142" s="37">
        <f>IF(AND(B142="South Korea",scenario="MID"),korea_mid_load,load_sel)</f>
        <v/>
      </c>
      <c r="R142" s="38">
        <f>pax_cap*Q142</f>
        <v/>
      </c>
      <c r="S142" s="36">
        <f>R142*P142</f>
        <v/>
      </c>
      <c r="T142" s="39">
        <f>E142*discount</f>
        <v/>
      </c>
      <c r="U142" s="40">
        <f>T142*S142</f>
        <v/>
      </c>
      <c r="V142" s="40">
        <f>(battery/range_nm)*D142*P142*VLOOKUP(B142,country_opex,3,FALSE)</f>
        <v/>
      </c>
      <c r="W142" s="40">
        <f>VLOOKUP(B142,country_opex,2,FALSE)*crew_factor</f>
        <v/>
      </c>
      <c r="X142" s="40">
        <f>VLOOKUP(B142,country_opex,5,FALSE)</f>
        <v/>
      </c>
      <c r="Y142" s="40">
        <f>maint</f>
        <v/>
      </c>
      <c r="Z142" s="40">
        <f>VLOOKUP(B142,country_opex,7,FALSE)*ins_pct</f>
        <v/>
      </c>
      <c r="AA142" s="40">
        <f>charge_berth</f>
        <v/>
      </c>
      <c r="AB142" s="40">
        <f>V142+W142+X142+Y142+Z142+AA142</f>
        <v/>
      </c>
      <c r="AC142" s="40">
        <f>VLOOKUP(B142,country_opex,7,FALSE)/dep_years</f>
        <v/>
      </c>
      <c r="AD142" s="40">
        <f>U142-AB142</f>
        <v/>
      </c>
      <c r="AE142" s="37">
        <f>IF(U142=0,"",AD142/U142)</f>
        <v/>
      </c>
      <c r="AF142" s="38">
        <f>IF(AD142&lt;=0,"",VLOOKUP(B142,country_opex,7,FALSE)/AD142)</f>
        <v/>
      </c>
      <c r="AG142" s="35">
        <f>((D142*P142/diesel_nmpg)*diesel_co2pg-(battery/range_nm)*D142*P142*VLOOKUP(B142,country_opex,4,FALSE))/1000</f>
        <v/>
      </c>
      <c r="AH142" s="33" t="n">
        <v>7017</v>
      </c>
      <c r="AI142" s="34" t="n"/>
      <c r="AJ142" s="34" t="n"/>
      <c r="AK142" s="41" t="n">
        <v>0.1</v>
      </c>
      <c r="AL142" s="36">
        <f>IF(AH142="","",AH142*AK142)</f>
        <v/>
      </c>
      <c r="AM142" s="36">
        <f>IF(OR(AH142="",S142=0),"",MIN(IF(AU142="",9.9E+99,AU142),FLOOR(AL142/S142,1)))</f>
        <v/>
      </c>
      <c r="AN142" s="40">
        <f>IF(AM142="","",AM142*IF(ABS(MOD(ABS((U142)),1)-0.5)&lt;1E-9,2*ROUND((U142)/2,0),ROUND((U142),0)))</f>
        <v/>
      </c>
      <c r="AO142" s="38">
        <f>IF(OR(AH142="",S142=0),"",MIN(IF(AU142="",9.9E+99,AU142),AL142/S142))</f>
        <v/>
      </c>
      <c r="AP142" s="40">
        <f>IF(AO142="","",AO142*IF(B142="South Korea",IF(ABS(MOD(ABS((U142)),1)-0.5)&lt;1E-9,2*ROUND((U142)/2,0),ROUND((U142),0)),U142))</f>
        <v/>
      </c>
      <c r="AQ142" s="42" t="n"/>
      <c r="AR142" s="34" t="inlineStr">
        <is>
          <t>Estimated</t>
        </is>
      </c>
      <c r="AS142" s="43" t="n"/>
      <c r="AT142" s="43" t="n"/>
      <c r="AU142" s="44" t="n"/>
      <c r="AV142" s="45">
        <f>IF(((T142*pax_cap*load_thin*IF(ABS(MOD(ABS((L142*M142*revleg_thin)),1)-0.5)&lt;1E-9,2*ROUND((L142*M142*revleg_thin)/2,0),ROUND((L142*M142*revleg_thin),0)))-(((battery/range_nm)*D142*IF(ABS(MOD(ABS((L142*M142*revleg_thin)),1)-0.5)&lt;1E-9,2*ROUND((L142*M142*revleg_thin)/2,0),ROUND((L142*M142*revleg_thin),0))*VLOOKUP(B142,country_opex,3,FALSE))+W142+X142+Y142+Z142+AA142))&lt;=0,"",VLOOKUP(B142,country_opex,7,FALSE)/((T142*pax_cap*load_thin*IF(ABS(MOD(ABS((L142*M142*revleg_thin)),1)-0.5)&lt;1E-9,2*ROUND((L142*M142*revleg_thin)/2,0),ROUND((L142*M142*revleg_thin),0)))-(((battery/range_nm)*D142*IF(ABS(MOD(ABS((L142*M142*revleg_thin)),1)-0.5)&lt;1E-9,2*ROUND((L142*M142*revleg_thin)/2,0),ROUND((L142*M142*revleg_thin),0))*VLOOKUP(B142,country_opex,3,FALSE))+W142+X142+Y142+Z142+AA142)))</f>
        <v/>
      </c>
      <c r="AW142" s="45">
        <f>IF(((T142*pax_cap*IF(B142="South Korea",korea_mid_load,load_mid)*IF(ABS(MOD(ABS((L142*M142*IF(B142="South Korea",korea_mid_revleg,revleg_mid))),1)-0.5)&lt;1E-9,2*ROUND((L142*M142*IF(B142="South Korea",korea_mid_revleg,revleg_mid))/2,0),ROUND((L142*M142*IF(B142="South Korea",korea_mid_revleg,revleg_mid)),0)))-(((battery/range_nm)*D142*IF(ABS(MOD(ABS((L142*M142*IF(B142="South Korea",korea_mid_revleg,revleg_mid))),1)-0.5)&lt;1E-9,2*ROUND((L142*M142*IF(B142="South Korea",korea_mid_revleg,revleg_mid))/2,0),ROUND((L142*M142*IF(B142="South Korea",korea_mid_revleg,revleg_mid)),0))*VLOOKUP(B142,country_opex,3,FALSE))+W142+X142+Y142+Z142+AA142))&lt;=0,"",VLOOKUP(B142,country_opex,7,FALSE)/((T142*pax_cap*IF(B142="South Korea",korea_mid_load,load_mid)*IF(ABS(MOD(ABS((L142*M142*IF(B142="South Korea",korea_mid_revleg,revleg_mid))),1)-0.5)&lt;1E-9,2*ROUND((L142*M142*IF(B142="South Korea",korea_mid_revleg,revleg_mid))/2,0),ROUND((L142*M142*IF(B142="South Korea",korea_mid_revleg,revleg_mid)),0)))-(((battery/range_nm)*D142*IF(ABS(MOD(ABS((L142*M142*IF(B142="South Korea",korea_mid_revleg,revleg_mid))),1)-0.5)&lt;1E-9,2*ROUND((L142*M142*IF(B142="South Korea",korea_mid_revleg,revleg_mid))/2,0),ROUND((L142*M142*IF(B142="South Korea",korea_mid_revleg,revleg_mid)),0))*VLOOKUP(B142,country_opex,3,FALSE))+W142+X142+Y142+Z142+AA142)))</f>
        <v/>
      </c>
      <c r="AX142" s="45">
        <f>IF(((T142*pax_cap*load_full*IF(ABS(MOD(ABS((L142*M142*revleg_full)),1)-0.5)&lt;1E-9,2*ROUND((L142*M142*revleg_full)/2,0),ROUND((L142*M142*revleg_full),0)))-(((battery/range_nm)*D142*IF(ABS(MOD(ABS((L142*M142*revleg_full)),1)-0.5)&lt;1E-9,2*ROUND((L142*M142*revleg_full)/2,0),ROUND((L142*M142*revleg_full),0))*VLOOKUP(B142,country_opex,3,FALSE))+W142+X142+Y142+Z142+AA142))&lt;=0,"",VLOOKUP(B142,country_opex,7,FALSE)/((T142*pax_cap*load_full*IF(ABS(MOD(ABS((L142*M142*revleg_full)),1)-0.5)&lt;1E-9,2*ROUND((L142*M142*revleg_full)/2,0),ROUND((L142*M142*revleg_full),0)))-(((battery/range_nm)*D142*IF(ABS(MOD(ABS((L142*M142*revleg_full)),1)-0.5)&lt;1E-9,2*ROUND((L142*M142*revleg_full)/2,0),ROUND((L142*M142*revleg_full),0))*VLOOKUP(B142,country_opex,3,FALSE))+W142+X142+Y142+Z142+AA142)))</f>
        <v/>
      </c>
      <c r="AY142" s="46" t="inlineStr">
        <is>
          <t>Coast premium per-seat ~60 RON (charter-divided). ~$13.0. (Longer leg could justify a higher seat; unsourced -&gt; hold at coast anchor.)</t>
        </is>
      </c>
      <c r="AZ142" s="46" t="n"/>
      <c r="BA142" s="34" t="n"/>
    </row>
    <row r="143">
      <c r="A143" s="31" t="inlineStr">
        <is>
          <t>Bolt Romania</t>
        </is>
      </c>
      <c r="B143" s="31" t="inlineStr">
        <is>
          <t>Romania</t>
        </is>
      </c>
      <c r="C143" s="32" t="inlineStr">
        <is>
          <t>Tulcea → Crisan</t>
        </is>
      </c>
      <c r="D143" s="33" t="n">
        <v>23</v>
      </c>
      <c r="E143" s="27" t="n">
        <v>10.9</v>
      </c>
      <c r="F143" s="34" t="inlineStr">
        <is>
          <t>T2</t>
        </is>
      </c>
      <c r="G143" s="34" t="inlineStr">
        <is>
          <t>med</t>
        </is>
      </c>
      <c r="H143" s="20" t="n">
        <v>1</v>
      </c>
      <c r="I143" s="35">
        <f>60*D143/cruise_kt</f>
        <v/>
      </c>
      <c r="J143" s="35">
        <f>IF(B143="South Korea",D143/korea_charge_range_nm*korea_full_range_charge_min,0)</f>
        <v/>
      </c>
      <c r="K143" s="35">
        <f>IF(B143="South Korea",I143+korea_turn_min+korea_dwell_min+J143,I143+turn_min+dwell_min)</f>
        <v/>
      </c>
      <c r="L143" s="36">
        <f>IF(B143="South Korea",FLOOR(60*korea_service_hr/K143,1),MIN(15,FLOOR(60*service_hr/K143,1)))</f>
        <v/>
      </c>
      <c r="M143" s="36">
        <f>IF(ABS(MOD(ABS((365*mech_uptime*H143)),1)-0.5)&lt;1E-9,2*ROUND((365*mech_uptime*H143)/2,0),ROUND((365*mech_uptime*H143),0))</f>
        <v/>
      </c>
      <c r="N143" s="37">
        <f>mech_uptime</f>
        <v/>
      </c>
      <c r="O143" s="37">
        <f>IF(AND(B143="South Korea",scenario="MID"),korea_mid_revleg,revleg_sel)</f>
        <v/>
      </c>
      <c r="P143" s="36">
        <f>IF(ABS(MOD(ABS((L143*M143*O143)),1)-0.5)&lt;1E-9,2*ROUND((L143*M143*O143)/2,0),ROUND((L143*M143*O143),0))</f>
        <v/>
      </c>
      <c r="Q143" s="37">
        <f>IF(AND(B143="South Korea",scenario="MID"),korea_mid_load,load_sel)</f>
        <v/>
      </c>
      <c r="R143" s="38">
        <f>pax_cap*Q143</f>
        <v/>
      </c>
      <c r="S143" s="36">
        <f>R143*P143</f>
        <v/>
      </c>
      <c r="T143" s="39">
        <f>E143*discount</f>
        <v/>
      </c>
      <c r="U143" s="40">
        <f>T143*S143</f>
        <v/>
      </c>
      <c r="V143" s="40">
        <f>(battery/range_nm)*D143*P143*VLOOKUP(B143,country_opex,3,FALSE)</f>
        <v/>
      </c>
      <c r="W143" s="40">
        <f>VLOOKUP(B143,country_opex,2,FALSE)*crew_factor</f>
        <v/>
      </c>
      <c r="X143" s="40">
        <f>VLOOKUP(B143,country_opex,5,FALSE)</f>
        <v/>
      </c>
      <c r="Y143" s="40">
        <f>maint</f>
        <v/>
      </c>
      <c r="Z143" s="40">
        <f>VLOOKUP(B143,country_opex,7,FALSE)*ins_pct</f>
        <v/>
      </c>
      <c r="AA143" s="40">
        <f>charge_berth</f>
        <v/>
      </c>
      <c r="AB143" s="40">
        <f>V143+W143+X143+Y143+Z143+AA143</f>
        <v/>
      </c>
      <c r="AC143" s="40">
        <f>VLOOKUP(B143,country_opex,7,FALSE)/dep_years</f>
        <v/>
      </c>
      <c r="AD143" s="40">
        <f>U143-AB143</f>
        <v/>
      </c>
      <c r="AE143" s="37">
        <f>IF(U143=0,"",AD143/U143)</f>
        <v/>
      </c>
      <c r="AF143" s="38">
        <f>IF(AD143&lt;=0,"",VLOOKUP(B143,country_opex,7,FALSE)/AD143)</f>
        <v/>
      </c>
      <c r="AG143" s="35">
        <f>((D143*P143/diesel_nmpg)*diesel_co2pg-(battery/range_nm)*D143*P143*VLOOKUP(B143,country_opex,4,FALSE))/1000</f>
        <v/>
      </c>
      <c r="AH143" s="33" t="n"/>
      <c r="AI143" s="34" t="n"/>
      <c r="AJ143" s="34" t="n"/>
      <c r="AK143" s="41" t="n">
        <v>0.1</v>
      </c>
      <c r="AL143" s="36">
        <f>IF(AH143="","",AH143*AK143)</f>
        <v/>
      </c>
      <c r="AM143" s="36">
        <f>IF(OR(AH143="",S143=0),"",MIN(IF(AU143="",9.9E+99,AU143),FLOOR(AL143/S143,1)))</f>
        <v/>
      </c>
      <c r="AN143" s="40">
        <f>IF(AM143="","",AM143*IF(ABS(MOD(ABS((U143)),1)-0.5)&lt;1E-9,2*ROUND((U143)/2,0),ROUND((U143),0)))</f>
        <v/>
      </c>
      <c r="AO143" s="38">
        <f>IF(OR(AH143="",S143=0),"",MIN(IF(AU143="",9.9E+99,AU143),AL143/S143))</f>
        <v/>
      </c>
      <c r="AP143" s="40">
        <f>IF(AO143="","",AO143*IF(B143="South Korea",IF(ABS(MOD(ABS((U143)),1)-0.5)&lt;1E-9,2*ROUND((U143)/2,0),ROUND((U143),0)),U143))</f>
        <v/>
      </c>
      <c r="AQ143" s="42" t="n"/>
      <c r="AR143" s="34" t="inlineStr">
        <is>
          <t>Estimated</t>
        </is>
      </c>
      <c r="AS143" s="43" t="n"/>
      <c r="AT143" s="43" t="n"/>
      <c r="AU143" s="44" t="n"/>
      <c r="AV143" s="45">
        <f>IF(((T143*pax_cap*load_thin*IF(ABS(MOD(ABS((L143*M143*revleg_thin)),1)-0.5)&lt;1E-9,2*ROUND((L143*M143*revleg_thin)/2,0),ROUND((L143*M143*revleg_thin),0)))-(((battery/range_nm)*D143*IF(ABS(MOD(ABS((L143*M143*revleg_thin)),1)-0.5)&lt;1E-9,2*ROUND((L143*M143*revleg_thin)/2,0),ROUND((L143*M143*revleg_thin),0))*VLOOKUP(B143,country_opex,3,FALSE))+W143+X143+Y143+Z143+AA143))&lt;=0,"",VLOOKUP(B143,country_opex,7,FALSE)/((T143*pax_cap*load_thin*IF(ABS(MOD(ABS((L143*M143*revleg_thin)),1)-0.5)&lt;1E-9,2*ROUND((L143*M143*revleg_thin)/2,0),ROUND((L143*M143*revleg_thin),0)))-(((battery/range_nm)*D143*IF(ABS(MOD(ABS((L143*M143*revleg_thin)),1)-0.5)&lt;1E-9,2*ROUND((L143*M143*revleg_thin)/2,0),ROUND((L143*M143*revleg_thin),0))*VLOOKUP(B143,country_opex,3,FALSE))+W143+X143+Y143+Z143+AA143)))</f>
        <v/>
      </c>
      <c r="AW143" s="45">
        <f>IF(((T143*pax_cap*IF(B143="South Korea",korea_mid_load,load_mid)*IF(ABS(MOD(ABS((L143*M143*IF(B143="South Korea",korea_mid_revleg,revleg_mid))),1)-0.5)&lt;1E-9,2*ROUND((L143*M143*IF(B143="South Korea",korea_mid_revleg,revleg_mid))/2,0),ROUND((L143*M143*IF(B143="South Korea",korea_mid_revleg,revleg_mid)),0)))-(((battery/range_nm)*D143*IF(ABS(MOD(ABS((L143*M143*IF(B143="South Korea",korea_mid_revleg,revleg_mid))),1)-0.5)&lt;1E-9,2*ROUND((L143*M143*IF(B143="South Korea",korea_mid_revleg,revleg_mid))/2,0),ROUND((L143*M143*IF(B143="South Korea",korea_mid_revleg,revleg_mid)),0))*VLOOKUP(B143,country_opex,3,FALSE))+W143+X143+Y143+Z143+AA143))&lt;=0,"",VLOOKUP(B143,country_opex,7,FALSE)/((T143*pax_cap*IF(B143="South Korea",korea_mid_load,load_mid)*IF(ABS(MOD(ABS((L143*M143*IF(B143="South Korea",korea_mid_revleg,revleg_mid))),1)-0.5)&lt;1E-9,2*ROUND((L143*M143*IF(B143="South Korea",korea_mid_revleg,revleg_mid))/2,0),ROUND((L143*M143*IF(B143="South Korea",korea_mid_revleg,revleg_mid)),0)))-(((battery/range_nm)*D143*IF(ABS(MOD(ABS((L143*M143*IF(B143="South Korea",korea_mid_revleg,revleg_mid))),1)-0.5)&lt;1E-9,2*ROUND((L143*M143*IF(B143="South Korea",korea_mid_revleg,revleg_mid))/2,0),ROUND((L143*M143*IF(B143="South Korea",korea_mid_revleg,revleg_mid)),0))*VLOOKUP(B143,country_opex,3,FALSE))+W143+X143+Y143+Z143+AA143)))</f>
        <v/>
      </c>
      <c r="AX143" s="45">
        <f>IF(((T143*pax_cap*load_full*IF(ABS(MOD(ABS((L143*M143*revleg_full)),1)-0.5)&lt;1E-9,2*ROUND((L143*M143*revleg_full)/2,0),ROUND((L143*M143*revleg_full),0)))-(((battery/range_nm)*D143*IF(ABS(MOD(ABS((L143*M143*revleg_full)),1)-0.5)&lt;1E-9,2*ROUND((L143*M143*revleg_full)/2,0),ROUND((L143*M143*revleg_full),0))*VLOOKUP(B143,country_opex,3,FALSE))+W143+X143+Y143+Z143+AA143))&lt;=0,"",VLOOKUP(B143,country_opex,7,FALSE)/((T143*pax_cap*load_full*IF(ABS(MOD(ABS((L143*M143*revleg_full)),1)-0.5)&lt;1E-9,2*ROUND((L143*M143*revleg_full)/2,0),ROUND((L143*M143*revleg_full),0)))-(((battery/range_nm)*D143*IF(ABS(MOD(ABS((L143*M143*revleg_full)),1)-0.5)&lt;1E-9,2*ROUND((L143*M143*revleg_full)/2,0),ROUND((L143*M143*revleg_full),0))*VLOOKUP(B143,country_opex,3,FALSE))+W143+X143+Y143+Z143+AA143)))</f>
        <v/>
      </c>
      <c r="AY143" s="46" t="inlineStr">
        <is>
          <t>Navrom clasica Tulcea-Crisan 50 RON (official table). 50 / 4.6 = ~$10.9.</t>
        </is>
      </c>
      <c r="AZ143" s="46" t="n"/>
      <c r="BA143" s="34" t="n"/>
    </row>
    <row r="144">
      <c r="A144" s="31" t="inlineStr">
        <is>
          <t>Bolt Romania</t>
        </is>
      </c>
      <c r="B144" s="31" t="inlineStr">
        <is>
          <t>Romania</t>
        </is>
      </c>
      <c r="C144" s="32" t="inlineStr">
        <is>
          <t>Tulcea → Sfantu Gheorghe</t>
        </is>
      </c>
      <c r="D144" s="33" t="n">
        <v>30</v>
      </c>
      <c r="E144" s="27" t="n">
        <v>13</v>
      </c>
      <c r="F144" s="34" t="inlineStr">
        <is>
          <t>T2</t>
        </is>
      </c>
      <c r="G144" s="34" t="inlineStr">
        <is>
          <t>med</t>
        </is>
      </c>
      <c r="H144" s="20" t="n">
        <v>1</v>
      </c>
      <c r="I144" s="35">
        <f>60*D144/cruise_kt</f>
        <v/>
      </c>
      <c r="J144" s="35">
        <f>IF(B144="South Korea",D144/korea_charge_range_nm*korea_full_range_charge_min,0)</f>
        <v/>
      </c>
      <c r="K144" s="35">
        <f>IF(B144="South Korea",I144+korea_turn_min+korea_dwell_min+J144,I144+turn_min+dwell_min)</f>
        <v/>
      </c>
      <c r="L144" s="36">
        <f>IF(B144="South Korea",FLOOR(60*korea_service_hr/K144,1),MIN(15,FLOOR(60*service_hr/K144,1)))</f>
        <v/>
      </c>
      <c r="M144" s="36">
        <f>IF(ABS(MOD(ABS((365*mech_uptime*H144)),1)-0.5)&lt;1E-9,2*ROUND((365*mech_uptime*H144)/2,0),ROUND((365*mech_uptime*H144),0))</f>
        <v/>
      </c>
      <c r="N144" s="37">
        <f>mech_uptime</f>
        <v/>
      </c>
      <c r="O144" s="37">
        <f>IF(AND(B144="South Korea",scenario="MID"),korea_mid_revleg,revleg_sel)</f>
        <v/>
      </c>
      <c r="P144" s="36">
        <f>IF(ABS(MOD(ABS((L144*M144*O144)),1)-0.5)&lt;1E-9,2*ROUND((L144*M144*O144)/2,0),ROUND((L144*M144*O144),0))</f>
        <v/>
      </c>
      <c r="Q144" s="37">
        <f>IF(AND(B144="South Korea",scenario="MID"),korea_mid_load,load_sel)</f>
        <v/>
      </c>
      <c r="R144" s="38">
        <f>pax_cap*Q144</f>
        <v/>
      </c>
      <c r="S144" s="36">
        <f>R144*P144</f>
        <v/>
      </c>
      <c r="T144" s="39">
        <f>E144*discount</f>
        <v/>
      </c>
      <c r="U144" s="40">
        <f>T144*S144</f>
        <v/>
      </c>
      <c r="V144" s="40">
        <f>(battery/range_nm)*D144*P144*VLOOKUP(B144,country_opex,3,FALSE)</f>
        <v/>
      </c>
      <c r="W144" s="40">
        <f>VLOOKUP(B144,country_opex,2,FALSE)*crew_factor</f>
        <v/>
      </c>
      <c r="X144" s="40">
        <f>VLOOKUP(B144,country_opex,5,FALSE)</f>
        <v/>
      </c>
      <c r="Y144" s="40">
        <f>maint</f>
        <v/>
      </c>
      <c r="Z144" s="40">
        <f>VLOOKUP(B144,country_opex,7,FALSE)*ins_pct</f>
        <v/>
      </c>
      <c r="AA144" s="40">
        <f>charge_berth</f>
        <v/>
      </c>
      <c r="AB144" s="40">
        <f>V144+W144+X144+Y144+Z144+AA144</f>
        <v/>
      </c>
      <c r="AC144" s="40">
        <f>VLOOKUP(B144,country_opex,7,FALSE)/dep_years</f>
        <v/>
      </c>
      <c r="AD144" s="40">
        <f>U144-AB144</f>
        <v/>
      </c>
      <c r="AE144" s="37">
        <f>IF(U144=0,"",AD144/U144)</f>
        <v/>
      </c>
      <c r="AF144" s="38">
        <f>IF(AD144&lt;=0,"",VLOOKUP(B144,country_opex,7,FALSE)/AD144)</f>
        <v/>
      </c>
      <c r="AG144" s="35">
        <f>((D144*P144/diesel_nmpg)*diesel_co2pg-(battery/range_nm)*D144*P144*VLOOKUP(B144,country_opex,4,FALSE))/1000</f>
        <v/>
      </c>
      <c r="AH144" s="33" t="n"/>
      <c r="AI144" s="34" t="n"/>
      <c r="AJ144" s="34" t="n"/>
      <c r="AK144" s="41" t="n">
        <v>0.1</v>
      </c>
      <c r="AL144" s="36">
        <f>IF(AH144="","",AH144*AK144)</f>
        <v/>
      </c>
      <c r="AM144" s="36">
        <f>IF(OR(AH144="",S144=0),"",MIN(IF(AU144="",9.9E+99,AU144),FLOOR(AL144/S144,1)))</f>
        <v/>
      </c>
      <c r="AN144" s="40">
        <f>IF(AM144="","",AM144*IF(ABS(MOD(ABS((U144)),1)-0.5)&lt;1E-9,2*ROUND((U144)/2,0),ROUND((U144),0)))</f>
        <v/>
      </c>
      <c r="AO144" s="38">
        <f>IF(OR(AH144="",S144=0),"",MIN(IF(AU144="",9.9E+99,AU144),AL144/S144))</f>
        <v/>
      </c>
      <c r="AP144" s="40">
        <f>IF(AO144="","",AO144*IF(B144="South Korea",IF(ABS(MOD(ABS((U144)),1)-0.5)&lt;1E-9,2*ROUND((U144)/2,0),ROUND((U144),0)),U144))</f>
        <v/>
      </c>
      <c r="AQ144" s="42" t="n"/>
      <c r="AR144" s="34" t="inlineStr">
        <is>
          <t>Estimated</t>
        </is>
      </c>
      <c r="AS144" s="43" t="n"/>
      <c r="AT144" s="43" t="n"/>
      <c r="AU144" s="44" t="n"/>
      <c r="AV144" s="45">
        <f>IF(((T144*pax_cap*load_thin*IF(ABS(MOD(ABS((L144*M144*revleg_thin)),1)-0.5)&lt;1E-9,2*ROUND((L144*M144*revleg_thin)/2,0),ROUND((L144*M144*revleg_thin),0)))-(((battery/range_nm)*D144*IF(ABS(MOD(ABS((L144*M144*revleg_thin)),1)-0.5)&lt;1E-9,2*ROUND((L144*M144*revleg_thin)/2,0),ROUND((L144*M144*revleg_thin),0))*VLOOKUP(B144,country_opex,3,FALSE))+W144+X144+Y144+Z144+AA144))&lt;=0,"",VLOOKUP(B144,country_opex,7,FALSE)/((T144*pax_cap*load_thin*IF(ABS(MOD(ABS((L144*M144*revleg_thin)),1)-0.5)&lt;1E-9,2*ROUND((L144*M144*revleg_thin)/2,0),ROUND((L144*M144*revleg_thin),0)))-(((battery/range_nm)*D144*IF(ABS(MOD(ABS((L144*M144*revleg_thin)),1)-0.5)&lt;1E-9,2*ROUND((L144*M144*revleg_thin)/2,0),ROUND((L144*M144*revleg_thin),0))*VLOOKUP(B144,country_opex,3,FALSE))+W144+X144+Y144+Z144+AA144)))</f>
        <v/>
      </c>
      <c r="AW144" s="45">
        <f>IF(((T144*pax_cap*IF(B144="South Korea",korea_mid_load,load_mid)*IF(ABS(MOD(ABS((L144*M144*IF(B144="South Korea",korea_mid_revleg,revleg_mid))),1)-0.5)&lt;1E-9,2*ROUND((L144*M144*IF(B144="South Korea",korea_mid_revleg,revleg_mid))/2,0),ROUND((L144*M144*IF(B144="South Korea",korea_mid_revleg,revleg_mid)),0)))-(((battery/range_nm)*D144*IF(ABS(MOD(ABS((L144*M144*IF(B144="South Korea",korea_mid_revleg,revleg_mid))),1)-0.5)&lt;1E-9,2*ROUND((L144*M144*IF(B144="South Korea",korea_mid_revleg,revleg_mid))/2,0),ROUND((L144*M144*IF(B144="South Korea",korea_mid_revleg,revleg_mid)),0))*VLOOKUP(B144,country_opex,3,FALSE))+W144+X144+Y144+Z144+AA144))&lt;=0,"",VLOOKUP(B144,country_opex,7,FALSE)/((T144*pax_cap*IF(B144="South Korea",korea_mid_load,load_mid)*IF(ABS(MOD(ABS((L144*M144*IF(B144="South Korea",korea_mid_revleg,revleg_mid))),1)-0.5)&lt;1E-9,2*ROUND((L144*M144*IF(B144="South Korea",korea_mid_revleg,revleg_mid))/2,0),ROUND((L144*M144*IF(B144="South Korea",korea_mid_revleg,revleg_mid)),0)))-(((battery/range_nm)*D144*IF(ABS(MOD(ABS((L144*M144*IF(B144="South Korea",korea_mid_revleg,revleg_mid))),1)-0.5)&lt;1E-9,2*ROUND((L144*M144*IF(B144="South Korea",korea_mid_revleg,revleg_mid))/2,0),ROUND((L144*M144*IF(B144="South Korea",korea_mid_revleg,revleg_mid)),0))*VLOOKUP(B144,country_opex,3,FALSE))+W144+X144+Y144+Z144+AA144)))</f>
        <v/>
      </c>
      <c r="AX144" s="45">
        <f>IF(((T144*pax_cap*load_full*IF(ABS(MOD(ABS((L144*M144*revleg_full)),1)-0.5)&lt;1E-9,2*ROUND((L144*M144*revleg_full)/2,0),ROUND((L144*M144*revleg_full),0)))-(((battery/range_nm)*D144*IF(ABS(MOD(ABS((L144*M144*revleg_full)),1)-0.5)&lt;1E-9,2*ROUND((L144*M144*revleg_full)/2,0),ROUND((L144*M144*revleg_full),0))*VLOOKUP(B144,country_opex,3,FALSE))+W144+X144+Y144+Z144+AA144))&lt;=0,"",VLOOKUP(B144,country_opex,7,FALSE)/((T144*pax_cap*load_full*IF(ABS(MOD(ABS((L144*M144*revleg_full)),1)-0.5)&lt;1E-9,2*ROUND((L144*M144*revleg_full)/2,0),ROUND((L144*M144*revleg_full),0)))-(((battery/range_nm)*D144*IF(ABS(MOD(ABS((L144*M144*revleg_full)),1)-0.5)&lt;1E-9,2*ROUND((L144*M144*revleg_full)/2,0),ROUND((L144*M144*revleg_full),0))*VLOOKUP(B144,country_opex,3,FALSE))+W144+X144+Y144+Z144+AA144)))</f>
        <v/>
      </c>
      <c r="AY144" s="46" t="inlineStr">
        <is>
          <t>Estimated ~60 RON (comparable arm length to Sulina; Navrom Sfantu Gheorghe fare not in the scraped Sulina-arm table). ~$13.0 — UNCONFIRMED, flag.</t>
        </is>
      </c>
      <c r="AZ144" s="46" t="n"/>
      <c r="BA144" s="34" t="n"/>
    </row>
    <row r="145">
      <c r="A145" s="31" t="inlineStr">
        <is>
          <t>Bolt Romania</t>
        </is>
      </c>
      <c r="B145" s="31" t="inlineStr">
        <is>
          <t>Romania</t>
        </is>
      </c>
      <c r="C145" s="32" t="inlineStr">
        <is>
          <t>Tulcea → Periprava</t>
        </is>
      </c>
      <c r="D145" s="33" t="n">
        <v>33</v>
      </c>
      <c r="E145" s="27" t="n"/>
      <c r="F145" s="34" t="n"/>
      <c r="G145" s="34" t="n"/>
      <c r="H145" s="20" t="n">
        <v>1</v>
      </c>
      <c r="I145" s="35">
        <f>60*D145/cruise_kt</f>
        <v/>
      </c>
      <c r="J145" s="35">
        <f>IF(B145="South Korea",D145/korea_charge_range_nm*korea_full_range_charge_min,0)</f>
        <v/>
      </c>
      <c r="K145" s="35">
        <f>IF(B145="South Korea",I145+korea_turn_min+korea_dwell_min+J145,I145+turn_min+dwell_min)</f>
        <v/>
      </c>
      <c r="L145" s="36">
        <f>IF(B145="South Korea",FLOOR(60*korea_service_hr/K145,1),MIN(15,FLOOR(60*service_hr/K145,1)))</f>
        <v/>
      </c>
      <c r="M145" s="36">
        <f>IF(ABS(MOD(ABS((365*mech_uptime*H145)),1)-0.5)&lt;1E-9,2*ROUND((365*mech_uptime*H145)/2,0),ROUND((365*mech_uptime*H145),0))</f>
        <v/>
      </c>
      <c r="N145" s="37">
        <f>mech_uptime</f>
        <v/>
      </c>
      <c r="O145" s="37">
        <f>IF(AND(B145="South Korea",scenario="MID"),korea_mid_revleg,revleg_sel)</f>
        <v/>
      </c>
      <c r="P145" s="36">
        <f>IF(ABS(MOD(ABS((L145*M145*O145)),1)-0.5)&lt;1E-9,2*ROUND((L145*M145*O145)/2,0),ROUND((L145*M145*O145),0))</f>
        <v/>
      </c>
      <c r="Q145" s="37">
        <f>IF(AND(B145="South Korea",scenario="MID"),korea_mid_load,load_sel)</f>
        <v/>
      </c>
      <c r="R145" s="38">
        <f>pax_cap*Q145</f>
        <v/>
      </c>
      <c r="S145" s="36">
        <f>R145*P145</f>
        <v/>
      </c>
      <c r="T145" s="39">
        <f>E145*discount</f>
        <v/>
      </c>
      <c r="U145" s="40">
        <f>T145*S145</f>
        <v/>
      </c>
      <c r="V145" s="40">
        <f>(battery/range_nm)*D145*P145*VLOOKUP(B145,country_opex,3,FALSE)</f>
        <v/>
      </c>
      <c r="W145" s="40">
        <f>VLOOKUP(B145,country_opex,2,FALSE)*crew_factor</f>
        <v/>
      </c>
      <c r="X145" s="40">
        <f>VLOOKUP(B145,country_opex,5,FALSE)</f>
        <v/>
      </c>
      <c r="Y145" s="40">
        <f>maint</f>
        <v/>
      </c>
      <c r="Z145" s="40">
        <f>VLOOKUP(B145,country_opex,7,FALSE)*ins_pct</f>
        <v/>
      </c>
      <c r="AA145" s="40">
        <f>charge_berth</f>
        <v/>
      </c>
      <c r="AB145" s="40">
        <f>V145+W145+X145+Y145+Z145+AA145</f>
        <v/>
      </c>
      <c r="AC145" s="40">
        <f>VLOOKUP(B145,country_opex,7,FALSE)/dep_years</f>
        <v/>
      </c>
      <c r="AD145" s="40">
        <f>U145-AB145</f>
        <v/>
      </c>
      <c r="AE145" s="37">
        <f>IF(U145=0,"",AD145/U145)</f>
        <v/>
      </c>
      <c r="AF145" s="38">
        <f>IF(AD145&lt;=0,"",VLOOKUP(B145,country_opex,7,FALSE)/AD145)</f>
        <v/>
      </c>
      <c r="AG145" s="35">
        <f>((D145*P145/diesel_nmpg)*diesel_co2pg-(battery/range_nm)*D145*P145*VLOOKUP(B145,country_opex,4,FALSE))/1000</f>
        <v/>
      </c>
      <c r="AH145" s="33" t="n"/>
      <c r="AI145" s="34" t="n"/>
      <c r="AJ145" s="34" t="n"/>
      <c r="AK145" s="41" t="n">
        <v>0.1</v>
      </c>
      <c r="AL145" s="36">
        <f>IF(AH145="","",AH145*AK145)</f>
        <v/>
      </c>
      <c r="AM145" s="36">
        <f>IF(OR(AH145="",S145=0),"",MIN(IF(AU145="",9.9E+99,AU145),FLOOR(AL145/S145,1)))</f>
        <v/>
      </c>
      <c r="AN145" s="40">
        <f>IF(AM145="","",AM145*IF(ABS(MOD(ABS((U145)),1)-0.5)&lt;1E-9,2*ROUND((U145)/2,0),ROUND((U145),0)))</f>
        <v/>
      </c>
      <c r="AO145" s="38">
        <f>IF(OR(AH145="",S145=0),"",MIN(IF(AU145="",9.9E+99,AU145),AL145/S145))</f>
        <v/>
      </c>
      <c r="AP145" s="40">
        <f>IF(AO145="","",AO145*IF(B145="South Korea",IF(ABS(MOD(ABS((U145)),1)-0.5)&lt;1E-9,2*ROUND((U145)/2,0),ROUND((U145),0)),U145))</f>
        <v/>
      </c>
      <c r="AQ145" s="42" t="n"/>
      <c r="AR145" s="34" t="inlineStr">
        <is>
          <t>Estimated</t>
        </is>
      </c>
      <c r="AS145" s="43" t="n"/>
      <c r="AT145" s="43" t="n"/>
      <c r="AU145" s="44" t="n"/>
      <c r="AV145" s="45">
        <f>IF(((T145*pax_cap*load_thin*IF(ABS(MOD(ABS((L145*M145*revleg_thin)),1)-0.5)&lt;1E-9,2*ROUND((L145*M145*revleg_thin)/2,0),ROUND((L145*M145*revleg_thin),0)))-(((battery/range_nm)*D145*IF(ABS(MOD(ABS((L145*M145*revleg_thin)),1)-0.5)&lt;1E-9,2*ROUND((L145*M145*revleg_thin)/2,0),ROUND((L145*M145*revleg_thin),0))*VLOOKUP(B145,country_opex,3,FALSE))+W145+X145+Y145+Z145+AA145))&lt;=0,"",VLOOKUP(B145,country_opex,7,FALSE)/((T145*pax_cap*load_thin*IF(ABS(MOD(ABS((L145*M145*revleg_thin)),1)-0.5)&lt;1E-9,2*ROUND((L145*M145*revleg_thin)/2,0),ROUND((L145*M145*revleg_thin),0)))-(((battery/range_nm)*D145*IF(ABS(MOD(ABS((L145*M145*revleg_thin)),1)-0.5)&lt;1E-9,2*ROUND((L145*M145*revleg_thin)/2,0),ROUND((L145*M145*revleg_thin),0))*VLOOKUP(B145,country_opex,3,FALSE))+W145+X145+Y145+Z145+AA145)))</f>
        <v/>
      </c>
      <c r="AW145" s="45">
        <f>IF(((T145*pax_cap*IF(B145="South Korea",korea_mid_load,load_mid)*IF(ABS(MOD(ABS((L145*M145*IF(B145="South Korea",korea_mid_revleg,revleg_mid))),1)-0.5)&lt;1E-9,2*ROUND((L145*M145*IF(B145="South Korea",korea_mid_revleg,revleg_mid))/2,0),ROUND((L145*M145*IF(B145="South Korea",korea_mid_revleg,revleg_mid)),0)))-(((battery/range_nm)*D145*IF(ABS(MOD(ABS((L145*M145*IF(B145="South Korea",korea_mid_revleg,revleg_mid))),1)-0.5)&lt;1E-9,2*ROUND((L145*M145*IF(B145="South Korea",korea_mid_revleg,revleg_mid))/2,0),ROUND((L145*M145*IF(B145="South Korea",korea_mid_revleg,revleg_mid)),0))*VLOOKUP(B145,country_opex,3,FALSE))+W145+X145+Y145+Z145+AA145))&lt;=0,"",VLOOKUP(B145,country_opex,7,FALSE)/((T145*pax_cap*IF(B145="South Korea",korea_mid_load,load_mid)*IF(ABS(MOD(ABS((L145*M145*IF(B145="South Korea",korea_mid_revleg,revleg_mid))),1)-0.5)&lt;1E-9,2*ROUND((L145*M145*IF(B145="South Korea",korea_mid_revleg,revleg_mid))/2,0),ROUND((L145*M145*IF(B145="South Korea",korea_mid_revleg,revleg_mid)),0)))-(((battery/range_nm)*D145*IF(ABS(MOD(ABS((L145*M145*IF(B145="South Korea",korea_mid_revleg,revleg_mid))),1)-0.5)&lt;1E-9,2*ROUND((L145*M145*IF(B145="South Korea",korea_mid_revleg,revleg_mid))/2,0),ROUND((L145*M145*IF(B145="South Korea",korea_mid_revleg,revleg_mid)),0))*VLOOKUP(B145,country_opex,3,FALSE))+W145+X145+Y145+Z145+AA145)))</f>
        <v/>
      </c>
      <c r="AX145" s="45">
        <f>IF(((T145*pax_cap*load_full*IF(ABS(MOD(ABS((L145*M145*revleg_full)),1)-0.5)&lt;1E-9,2*ROUND((L145*M145*revleg_full)/2,0),ROUND((L145*M145*revleg_full),0)))-(((battery/range_nm)*D145*IF(ABS(MOD(ABS((L145*M145*revleg_full)),1)-0.5)&lt;1E-9,2*ROUND((L145*M145*revleg_full)/2,0),ROUND((L145*M145*revleg_full),0))*VLOOKUP(B145,country_opex,3,FALSE))+W145+X145+Y145+Z145+AA145))&lt;=0,"",VLOOKUP(B145,country_opex,7,FALSE)/((T145*pax_cap*load_full*IF(ABS(MOD(ABS((L145*M145*revleg_full)),1)-0.5)&lt;1E-9,2*ROUND((L145*M145*revleg_full)/2,0),ROUND((L145*M145*revleg_full),0)))-(((battery/range_nm)*D145*IF(ABS(MOD(ABS((L145*M145*revleg_full)),1)-0.5)&lt;1E-9,2*ROUND((L145*M145*revleg_full)/2,0),ROUND((L145*M145*revleg_full),0))*VLOOKUP(B145,country_opex,3,FALSE))+W145+X145+Y145+Z145+AA145)))</f>
        <v/>
      </c>
      <c r="AY145" s="46" t="n"/>
      <c r="AZ145" s="46" t="n"/>
      <c r="BA145" s="34" t="n"/>
    </row>
    <row r="146">
      <c r="A146" s="31" t="inlineStr">
        <is>
          <t>Bolt Romania</t>
        </is>
      </c>
      <c r="B146" s="31" t="inlineStr">
        <is>
          <t>Romania</t>
        </is>
      </c>
      <c r="C146" s="32" t="inlineStr">
        <is>
          <t>Tulcea → Sulina</t>
        </is>
      </c>
      <c r="D146" s="33" t="n">
        <v>34</v>
      </c>
      <c r="E146" s="27" t="n">
        <v>15.2</v>
      </c>
      <c r="F146" s="34" t="inlineStr">
        <is>
          <t>T2</t>
        </is>
      </c>
      <c r="G146" s="34" t="inlineStr">
        <is>
          <t>med</t>
        </is>
      </c>
      <c r="H146" s="20" t="n">
        <v>1</v>
      </c>
      <c r="I146" s="35">
        <f>60*D146/cruise_kt</f>
        <v/>
      </c>
      <c r="J146" s="35">
        <f>IF(B146="South Korea",D146/korea_charge_range_nm*korea_full_range_charge_min,0)</f>
        <v/>
      </c>
      <c r="K146" s="35">
        <f>IF(B146="South Korea",I146+korea_turn_min+korea_dwell_min+J146,I146+turn_min+dwell_min)</f>
        <v/>
      </c>
      <c r="L146" s="36">
        <f>IF(B146="South Korea",FLOOR(60*korea_service_hr/K146,1),MIN(15,FLOOR(60*service_hr/K146,1)))</f>
        <v/>
      </c>
      <c r="M146" s="36">
        <f>IF(ABS(MOD(ABS((365*mech_uptime*H146)),1)-0.5)&lt;1E-9,2*ROUND((365*mech_uptime*H146)/2,0),ROUND((365*mech_uptime*H146),0))</f>
        <v/>
      </c>
      <c r="N146" s="37">
        <f>mech_uptime</f>
        <v/>
      </c>
      <c r="O146" s="37">
        <f>IF(AND(B146="South Korea",scenario="MID"),korea_mid_revleg,revleg_sel)</f>
        <v/>
      </c>
      <c r="P146" s="36">
        <f>IF(ABS(MOD(ABS((L146*M146*O146)),1)-0.5)&lt;1E-9,2*ROUND((L146*M146*O146)/2,0),ROUND((L146*M146*O146),0))</f>
        <v/>
      </c>
      <c r="Q146" s="37">
        <f>IF(AND(B146="South Korea",scenario="MID"),korea_mid_load,load_sel)</f>
        <v/>
      </c>
      <c r="R146" s="38">
        <f>pax_cap*Q146</f>
        <v/>
      </c>
      <c r="S146" s="36">
        <f>R146*P146</f>
        <v/>
      </c>
      <c r="T146" s="39">
        <f>E146*discount</f>
        <v/>
      </c>
      <c r="U146" s="40">
        <f>T146*S146</f>
        <v/>
      </c>
      <c r="V146" s="40">
        <f>(battery/range_nm)*D146*P146*VLOOKUP(B146,country_opex,3,FALSE)</f>
        <v/>
      </c>
      <c r="W146" s="40">
        <f>VLOOKUP(B146,country_opex,2,FALSE)*crew_factor</f>
        <v/>
      </c>
      <c r="X146" s="40">
        <f>VLOOKUP(B146,country_opex,5,FALSE)</f>
        <v/>
      </c>
      <c r="Y146" s="40">
        <f>maint</f>
        <v/>
      </c>
      <c r="Z146" s="40">
        <f>VLOOKUP(B146,country_opex,7,FALSE)*ins_pct</f>
        <v/>
      </c>
      <c r="AA146" s="40">
        <f>charge_berth</f>
        <v/>
      </c>
      <c r="AB146" s="40">
        <f>V146+W146+X146+Y146+Z146+AA146</f>
        <v/>
      </c>
      <c r="AC146" s="40">
        <f>VLOOKUP(B146,country_opex,7,FALSE)/dep_years</f>
        <v/>
      </c>
      <c r="AD146" s="40">
        <f>U146-AB146</f>
        <v/>
      </c>
      <c r="AE146" s="37">
        <f>IF(U146=0,"",AD146/U146)</f>
        <v/>
      </c>
      <c r="AF146" s="38">
        <f>IF(AD146&lt;=0,"",VLOOKUP(B146,country_opex,7,FALSE)/AD146)</f>
        <v/>
      </c>
      <c r="AG146" s="35">
        <f>((D146*P146/diesel_nmpg)*diesel_co2pg-(battery/range_nm)*D146*P146*VLOOKUP(B146,country_opex,4,FALSE))/1000</f>
        <v/>
      </c>
      <c r="AH146" s="33" t="n">
        <v>165000</v>
      </c>
      <c r="AI146" s="34" t="n"/>
      <c r="AJ146" s="34" t="n"/>
      <c r="AK146" s="41" t="n">
        <v>0.1</v>
      </c>
      <c r="AL146" s="36">
        <f>IF(AH146="","",AH146*AK146)</f>
        <v/>
      </c>
      <c r="AM146" s="36">
        <f>IF(OR(AH146="",S146=0),"",MIN(IF(AU146="",9.9E+99,AU146),FLOOR(AL146/S146,1)))</f>
        <v/>
      </c>
      <c r="AN146" s="40">
        <f>IF(AM146="","",AM146*IF(ABS(MOD(ABS((U146)),1)-0.5)&lt;1E-9,2*ROUND((U146)/2,0),ROUND((U146),0)))</f>
        <v/>
      </c>
      <c r="AO146" s="38">
        <f>IF(OR(AH146="",S146=0),"",MIN(IF(AU146="",9.9E+99,AU146),AL146/S146))</f>
        <v/>
      </c>
      <c r="AP146" s="40">
        <f>IF(AO146="","",AO146*IF(B146="South Korea",IF(ABS(MOD(ABS((U146)),1)-0.5)&lt;1E-9,2*ROUND((U146)/2,0),ROUND((U146),0)),U146))</f>
        <v/>
      </c>
      <c r="AQ146" s="42" t="n"/>
      <c r="AR146" s="34" t="inlineStr">
        <is>
          <t>Grounded</t>
        </is>
      </c>
      <c r="AS146" s="43" t="n"/>
      <c r="AT146" s="43" t="n"/>
      <c r="AU146" s="44" t="n"/>
      <c r="AV146" s="45">
        <f>IF(((T146*pax_cap*load_thin*IF(ABS(MOD(ABS((L146*M146*revleg_thin)),1)-0.5)&lt;1E-9,2*ROUND((L146*M146*revleg_thin)/2,0),ROUND((L146*M146*revleg_thin),0)))-(((battery/range_nm)*D146*IF(ABS(MOD(ABS((L146*M146*revleg_thin)),1)-0.5)&lt;1E-9,2*ROUND((L146*M146*revleg_thin)/2,0),ROUND((L146*M146*revleg_thin),0))*VLOOKUP(B146,country_opex,3,FALSE))+W146+X146+Y146+Z146+AA146))&lt;=0,"",VLOOKUP(B146,country_opex,7,FALSE)/((T146*pax_cap*load_thin*IF(ABS(MOD(ABS((L146*M146*revleg_thin)),1)-0.5)&lt;1E-9,2*ROUND((L146*M146*revleg_thin)/2,0),ROUND((L146*M146*revleg_thin),0)))-(((battery/range_nm)*D146*IF(ABS(MOD(ABS((L146*M146*revleg_thin)),1)-0.5)&lt;1E-9,2*ROUND((L146*M146*revleg_thin)/2,0),ROUND((L146*M146*revleg_thin),0))*VLOOKUP(B146,country_opex,3,FALSE))+W146+X146+Y146+Z146+AA146)))</f>
        <v/>
      </c>
      <c r="AW146" s="45">
        <f>IF(((T146*pax_cap*IF(B146="South Korea",korea_mid_load,load_mid)*IF(ABS(MOD(ABS((L146*M146*IF(B146="South Korea",korea_mid_revleg,revleg_mid))),1)-0.5)&lt;1E-9,2*ROUND((L146*M146*IF(B146="South Korea",korea_mid_revleg,revleg_mid))/2,0),ROUND((L146*M146*IF(B146="South Korea",korea_mid_revleg,revleg_mid)),0)))-(((battery/range_nm)*D146*IF(ABS(MOD(ABS((L146*M146*IF(B146="South Korea",korea_mid_revleg,revleg_mid))),1)-0.5)&lt;1E-9,2*ROUND((L146*M146*IF(B146="South Korea",korea_mid_revleg,revleg_mid))/2,0),ROUND((L146*M146*IF(B146="South Korea",korea_mid_revleg,revleg_mid)),0))*VLOOKUP(B146,country_opex,3,FALSE))+W146+X146+Y146+Z146+AA146))&lt;=0,"",VLOOKUP(B146,country_opex,7,FALSE)/((T146*pax_cap*IF(B146="South Korea",korea_mid_load,load_mid)*IF(ABS(MOD(ABS((L146*M146*IF(B146="South Korea",korea_mid_revleg,revleg_mid))),1)-0.5)&lt;1E-9,2*ROUND((L146*M146*IF(B146="South Korea",korea_mid_revleg,revleg_mid))/2,0),ROUND((L146*M146*IF(B146="South Korea",korea_mid_revleg,revleg_mid)),0)))-(((battery/range_nm)*D146*IF(ABS(MOD(ABS((L146*M146*IF(B146="South Korea",korea_mid_revleg,revleg_mid))),1)-0.5)&lt;1E-9,2*ROUND((L146*M146*IF(B146="South Korea",korea_mid_revleg,revleg_mid))/2,0),ROUND((L146*M146*IF(B146="South Korea",korea_mid_revleg,revleg_mid)),0))*VLOOKUP(B146,country_opex,3,FALSE))+W146+X146+Y146+Z146+AA146)))</f>
        <v/>
      </c>
      <c r="AX146" s="45">
        <f>IF(((T146*pax_cap*load_full*IF(ABS(MOD(ABS((L146*M146*revleg_full)),1)-0.5)&lt;1E-9,2*ROUND((L146*M146*revleg_full)/2,0),ROUND((L146*M146*revleg_full),0)))-(((battery/range_nm)*D146*IF(ABS(MOD(ABS((L146*M146*revleg_full)),1)-0.5)&lt;1E-9,2*ROUND((L146*M146*revleg_full)/2,0),ROUND((L146*M146*revleg_full),0))*VLOOKUP(B146,country_opex,3,FALSE))+W146+X146+Y146+Z146+AA146))&lt;=0,"",VLOOKUP(B146,country_opex,7,FALSE)/((T146*pax_cap*load_full*IF(ABS(MOD(ABS((L146*M146*revleg_full)),1)-0.5)&lt;1E-9,2*ROUND((L146*M146*revleg_full)/2,0),ROUND((L146*M146*revleg_full),0)))-(((battery/range_nm)*D146*IF(ABS(MOD(ABS((L146*M146*revleg_full)),1)-0.5)&lt;1E-9,2*ROUND((L146*M146*revleg_full)/2,0),ROUND((L146*M146*revleg_full),0))*VLOOKUP(B146,country_opex,3,FALSE))+W146+X146+Y146+Z146+AA146)))</f>
        <v/>
      </c>
      <c r="AY146" s="46" t="inlineStr">
        <is>
          <t>PREMIUM tier: Navrom Delta 'semirapida' (fast catamaran) Tulcea-Sulina ~70 RON adult (Radio Romania, 2025). 70 / 4.6 = ~$15.2. 'Clasica' slow ferry ~60-66 RON ($13.0-14.3) is the standard tier (official Navrom table: 66 RON).</t>
        </is>
      </c>
      <c r="AZ146" s="46" t="n"/>
      <c r="BA146" s="34" t="n"/>
    </row>
    <row r="147">
      <c r="A147" s="31" t="inlineStr">
        <is>
          <t>Bolt Ksa Commercial</t>
        </is>
      </c>
      <c r="B147" s="31" t="inlineStr">
        <is>
          <t>Saudi Arabia</t>
        </is>
      </c>
      <c r="C147" s="32" t="inlineStr">
        <is>
          <t>Jeddah Corniche → Jeddah Central (PIF waterfront)</t>
        </is>
      </c>
      <c r="D147" s="33" t="n">
        <v>2.4</v>
      </c>
      <c r="E147" s="27" t="n">
        <v>60</v>
      </c>
      <c r="F147" s="34" t="inlineStr">
        <is>
          <t>T5</t>
        </is>
      </c>
      <c r="G147" s="34" t="inlineStr">
        <is>
          <t>low</t>
        </is>
      </c>
      <c r="H147" s="20" t="n">
        <v>1</v>
      </c>
      <c r="I147" s="35">
        <f>60*D147/cruise_kt</f>
        <v/>
      </c>
      <c r="J147" s="35">
        <f>IF(B147="South Korea",D147/korea_charge_range_nm*korea_full_range_charge_min,0)</f>
        <v/>
      </c>
      <c r="K147" s="35">
        <f>IF(B147="South Korea",I147+korea_turn_min+korea_dwell_min+J147,I147+turn_min+dwell_min)</f>
        <v/>
      </c>
      <c r="L147" s="36">
        <f>IF(B147="South Korea",FLOOR(60*korea_service_hr/K147,1),MIN(15,FLOOR(60*service_hr/K147,1)))</f>
        <v/>
      </c>
      <c r="M147" s="36">
        <f>IF(ABS(MOD(ABS((365*mech_uptime*H147)),1)-0.5)&lt;1E-9,2*ROUND((365*mech_uptime*H147)/2,0),ROUND((365*mech_uptime*H147),0))</f>
        <v/>
      </c>
      <c r="N147" s="37">
        <f>mech_uptime</f>
        <v/>
      </c>
      <c r="O147" s="37">
        <f>IF(AND(B147="South Korea",scenario="MID"),korea_mid_revleg,revleg_sel)</f>
        <v/>
      </c>
      <c r="P147" s="36">
        <f>IF(ABS(MOD(ABS((L147*M147*O147)),1)-0.5)&lt;1E-9,2*ROUND((L147*M147*O147)/2,0),ROUND((L147*M147*O147),0))</f>
        <v/>
      </c>
      <c r="Q147" s="37">
        <f>IF(AND(B147="South Korea",scenario="MID"),korea_mid_load,load_sel)</f>
        <v/>
      </c>
      <c r="R147" s="38">
        <f>pax_cap*Q147</f>
        <v/>
      </c>
      <c r="S147" s="36">
        <f>R147*P147</f>
        <v/>
      </c>
      <c r="T147" s="39">
        <f>E147*discount</f>
        <v/>
      </c>
      <c r="U147" s="40">
        <f>T147*S147</f>
        <v/>
      </c>
      <c r="V147" s="40">
        <f>(battery/range_nm)*D147*P147*VLOOKUP(B147,country_opex,3,FALSE)</f>
        <v/>
      </c>
      <c r="W147" s="40">
        <f>VLOOKUP(B147,country_opex,2,FALSE)*crew_factor</f>
        <v/>
      </c>
      <c r="X147" s="40">
        <f>VLOOKUP(B147,country_opex,5,FALSE)</f>
        <v/>
      </c>
      <c r="Y147" s="40">
        <f>maint</f>
        <v/>
      </c>
      <c r="Z147" s="40">
        <f>VLOOKUP(B147,country_opex,7,FALSE)*ins_pct</f>
        <v/>
      </c>
      <c r="AA147" s="40">
        <f>charge_berth</f>
        <v/>
      </c>
      <c r="AB147" s="40">
        <f>V147+W147+X147+Y147+Z147+AA147</f>
        <v/>
      </c>
      <c r="AC147" s="40">
        <f>VLOOKUP(B147,country_opex,7,FALSE)/dep_years</f>
        <v/>
      </c>
      <c r="AD147" s="40">
        <f>U147-AB147</f>
        <v/>
      </c>
      <c r="AE147" s="37">
        <f>IF(U147=0,"",AD147/U147)</f>
        <v/>
      </c>
      <c r="AF147" s="38">
        <f>IF(AD147&lt;=0,"",VLOOKUP(B147,country_opex,7,FALSE)/AD147)</f>
        <v/>
      </c>
      <c r="AG147" s="35">
        <f>((D147*P147/diesel_nmpg)*diesel_co2pg-(battery/range_nm)*D147*P147*VLOOKUP(B147,country_opex,4,FALSE))/1000</f>
        <v/>
      </c>
      <c r="AH147" s="33" t="n"/>
      <c r="AI147" s="34" t="inlineStr">
        <is>
          <t>T5</t>
        </is>
      </c>
      <c r="AJ147" s="34" t="inlineStr">
        <is>
          <t>low</t>
        </is>
      </c>
      <c r="AK147" s="41" t="n">
        <v>0.1</v>
      </c>
      <c r="AL147" s="36">
        <f>IF(AH147="","",AH147*AK147)</f>
        <v/>
      </c>
      <c r="AM147" s="36">
        <f>IF(OR(AH147="",S147=0),"",MIN(IF(AU147="",9.9E+99,AU147),FLOOR(AL147/S147,1)))</f>
        <v/>
      </c>
      <c r="AN147" s="40">
        <f>IF(AM147="","",AM147*IF(ABS(MOD(ABS((U147)),1)-0.5)&lt;1E-9,2*ROUND((U147)/2,0),ROUND((U147),0)))</f>
        <v/>
      </c>
      <c r="AO147" s="38">
        <f>IF(OR(AH147="",S147=0),"",MIN(IF(AU147="",9.9E+99,AU147),AL147/S147))</f>
        <v/>
      </c>
      <c r="AP147" s="40">
        <f>IF(AO147="","",AO147*IF(B147="South Korea",IF(ABS(MOD(ABS((U147)),1)-0.5)&lt;1E-9,2*ROUND((U147)/2,0),ROUND((U147),0)),U147))</f>
        <v/>
      </c>
      <c r="AQ147" s="42" t="n"/>
      <c r="AR147" s="34" t="inlineStr">
        <is>
          <t>Estimated</t>
        </is>
      </c>
      <c r="AS147" s="43" t="n"/>
      <c r="AT147" s="43" t="n"/>
      <c r="AU147" s="44" t="n"/>
      <c r="AV147" s="45">
        <f>IF(((T147*pax_cap*load_thin*IF(ABS(MOD(ABS((L147*M147*revleg_thin)),1)-0.5)&lt;1E-9,2*ROUND((L147*M147*revleg_thin)/2,0),ROUND((L147*M147*revleg_thin),0)))-(((battery/range_nm)*D147*IF(ABS(MOD(ABS((L147*M147*revleg_thin)),1)-0.5)&lt;1E-9,2*ROUND((L147*M147*revleg_thin)/2,0),ROUND((L147*M147*revleg_thin),0))*VLOOKUP(B147,country_opex,3,FALSE))+W147+X147+Y147+Z147+AA147))&lt;=0,"",VLOOKUP(B147,country_opex,7,FALSE)/((T147*pax_cap*load_thin*IF(ABS(MOD(ABS((L147*M147*revleg_thin)),1)-0.5)&lt;1E-9,2*ROUND((L147*M147*revleg_thin)/2,0),ROUND((L147*M147*revleg_thin),0)))-(((battery/range_nm)*D147*IF(ABS(MOD(ABS((L147*M147*revleg_thin)),1)-0.5)&lt;1E-9,2*ROUND((L147*M147*revleg_thin)/2,0),ROUND((L147*M147*revleg_thin),0))*VLOOKUP(B147,country_opex,3,FALSE))+W147+X147+Y147+Z147+AA147)))</f>
        <v/>
      </c>
      <c r="AW147" s="45">
        <f>IF(((T147*pax_cap*IF(B147="South Korea",korea_mid_load,load_mid)*IF(ABS(MOD(ABS((L147*M147*IF(B147="South Korea",korea_mid_revleg,revleg_mid))),1)-0.5)&lt;1E-9,2*ROUND((L147*M147*IF(B147="South Korea",korea_mid_revleg,revleg_mid))/2,0),ROUND((L147*M147*IF(B147="South Korea",korea_mid_revleg,revleg_mid)),0)))-(((battery/range_nm)*D147*IF(ABS(MOD(ABS((L147*M147*IF(B147="South Korea",korea_mid_revleg,revleg_mid))),1)-0.5)&lt;1E-9,2*ROUND((L147*M147*IF(B147="South Korea",korea_mid_revleg,revleg_mid))/2,0),ROUND((L147*M147*IF(B147="South Korea",korea_mid_revleg,revleg_mid)),0))*VLOOKUP(B147,country_opex,3,FALSE))+W147+X147+Y147+Z147+AA147))&lt;=0,"",VLOOKUP(B147,country_opex,7,FALSE)/((T147*pax_cap*IF(B147="South Korea",korea_mid_load,load_mid)*IF(ABS(MOD(ABS((L147*M147*IF(B147="South Korea",korea_mid_revleg,revleg_mid))),1)-0.5)&lt;1E-9,2*ROUND((L147*M147*IF(B147="South Korea",korea_mid_revleg,revleg_mid))/2,0),ROUND((L147*M147*IF(B147="South Korea",korea_mid_revleg,revleg_mid)),0)))-(((battery/range_nm)*D147*IF(ABS(MOD(ABS((L147*M147*IF(B147="South Korea",korea_mid_revleg,revleg_mid))),1)-0.5)&lt;1E-9,2*ROUND((L147*M147*IF(B147="South Korea",korea_mid_revleg,revleg_mid))/2,0),ROUND((L147*M147*IF(B147="South Korea",korea_mid_revleg,revleg_mid)),0))*VLOOKUP(B147,country_opex,3,FALSE))+W147+X147+Y147+Z147+AA147)))</f>
        <v/>
      </c>
      <c r="AX147" s="45">
        <f>IF(((T147*pax_cap*load_full*IF(ABS(MOD(ABS((L147*M147*revleg_full)),1)-0.5)&lt;1E-9,2*ROUND((L147*M147*revleg_full)/2,0),ROUND((L147*M147*revleg_full),0)))-(((battery/range_nm)*D147*IF(ABS(MOD(ABS((L147*M147*revleg_full)),1)-0.5)&lt;1E-9,2*ROUND((L147*M147*revleg_full)/2,0),ROUND((L147*M147*revleg_full),0))*VLOOKUP(B147,country_opex,3,FALSE))+W147+X147+Y147+Z147+AA147))&lt;=0,"",VLOOKUP(B147,country_opex,7,FALSE)/((T147*pax_cap*load_full*IF(ABS(MOD(ABS((L147*M147*revleg_full)),1)-0.5)&lt;1E-9,2*ROUND((L147*M147*revleg_full)/2,0),ROUND((L147*M147*revleg_full),0)))-(((battery/range_nm)*D147*IF(ABS(MOD(ABS((L147*M147*revleg_full)),1)-0.5)&lt;1E-9,2*ROUND((L147*M147*revleg_full)/2,0),ROUND((L147*M147*revleg_full),0))*VLOOKUP(B147,country_opex,3,FALSE))+W147+X147+Y147+Z147+AA147)))</f>
        <v/>
      </c>
      <c r="AY147" s="46" t="inlineStr">
        <is>
          <t>Premium urban/coastal water-transfer comparable (Dubai/Gulf premium water-taxi tier ~$40-80/pax). Jeddah Central is a $20B PIF waterfront (5.7km2, marina/oceanarium/beaches, opening ~2027). No incumbent water transit -&gt; modeled premium per-seat $60.</t>
        </is>
      </c>
      <c r="AZ147" s="46" t="inlineStr">
        <is>
          <t>NULL (R2). No published Jeddah Central on-corridor / water-transit visitor target. Saudi national arrivals (100M 2024, target 150M 2030) and Jeddah city arrivals are AIR/ROAD-based (R3 strong mode mismatch) -&gt; not on-water crossing ridership. ALSO R6 FLAG: 45nm is geographically implausible for an intra-Jeddah Corniche&lt;-&gt;Jeddah Central waterfront hop (~few km apart) - likely a distance/routing artifact; report to parent.</t>
        </is>
      </c>
      <c r="BA147" s="34" t="inlineStr">
        <is>
          <t>gcn-adcdd3d09c-bolt</t>
        </is>
      </c>
    </row>
    <row r="148">
      <c r="A148" s="31" t="inlineStr">
        <is>
          <t>Bolt Ksa Commercial</t>
        </is>
      </c>
      <c r="B148" s="31" t="inlineStr">
        <is>
          <t>Saudi Arabia</t>
        </is>
      </c>
      <c r="C148" s="32" t="inlineStr">
        <is>
          <t>Outer-island resort → Outer-island resort cluster (Nujuma / Jumeirah / St Regis)</t>
        </is>
      </c>
      <c r="D148" s="33" t="n">
        <v>9.699999999999999</v>
      </c>
      <c r="E148" s="27" t="n">
        <v>125</v>
      </c>
      <c r="F148" s="34" t="inlineStr">
        <is>
          <t>T5</t>
        </is>
      </c>
      <c r="G148" s="34" t="inlineStr">
        <is>
          <t>low</t>
        </is>
      </c>
      <c r="H148" s="20" t="n">
        <v>1</v>
      </c>
      <c r="I148" s="35">
        <f>60*D148/cruise_kt</f>
        <v/>
      </c>
      <c r="J148" s="35">
        <f>IF(B148="South Korea",D148/korea_charge_range_nm*korea_full_range_charge_min,0)</f>
        <v/>
      </c>
      <c r="K148" s="35">
        <f>IF(B148="South Korea",I148+korea_turn_min+korea_dwell_min+J148,I148+turn_min+dwell_min)</f>
        <v/>
      </c>
      <c r="L148" s="36">
        <f>IF(B148="South Korea",FLOOR(60*korea_service_hr/K148,1),MIN(15,FLOOR(60*service_hr/K148,1)))</f>
        <v/>
      </c>
      <c r="M148" s="36">
        <f>IF(ABS(MOD(ABS((365*mech_uptime*H148)),1)-0.5)&lt;1E-9,2*ROUND((365*mech_uptime*H148)/2,0),ROUND((365*mech_uptime*H148),0))</f>
        <v/>
      </c>
      <c r="N148" s="37">
        <f>mech_uptime</f>
        <v/>
      </c>
      <c r="O148" s="37">
        <f>IF(AND(B148="South Korea",scenario="MID"),korea_mid_revleg,revleg_sel)</f>
        <v/>
      </c>
      <c r="P148" s="36">
        <f>IF(ABS(MOD(ABS((L148*M148*O148)),1)-0.5)&lt;1E-9,2*ROUND((L148*M148*O148)/2,0),ROUND((L148*M148*O148),0))</f>
        <v/>
      </c>
      <c r="Q148" s="37">
        <f>IF(AND(B148="South Korea",scenario="MID"),korea_mid_load,load_sel)</f>
        <v/>
      </c>
      <c r="R148" s="38">
        <f>pax_cap*Q148</f>
        <v/>
      </c>
      <c r="S148" s="36">
        <f>R148*P148</f>
        <v/>
      </c>
      <c r="T148" s="39">
        <f>E148*discount</f>
        <v/>
      </c>
      <c r="U148" s="40">
        <f>T148*S148</f>
        <v/>
      </c>
      <c r="V148" s="40">
        <f>(battery/range_nm)*D148*P148*VLOOKUP(B148,country_opex,3,FALSE)</f>
        <v/>
      </c>
      <c r="W148" s="40">
        <f>VLOOKUP(B148,country_opex,2,FALSE)*crew_factor</f>
        <v/>
      </c>
      <c r="X148" s="40">
        <f>VLOOKUP(B148,country_opex,5,FALSE)</f>
        <v/>
      </c>
      <c r="Y148" s="40">
        <f>maint</f>
        <v/>
      </c>
      <c r="Z148" s="40">
        <f>VLOOKUP(B148,country_opex,7,FALSE)*ins_pct</f>
        <v/>
      </c>
      <c r="AA148" s="40">
        <f>charge_berth</f>
        <v/>
      </c>
      <c r="AB148" s="40">
        <f>V148+W148+X148+Y148+Z148+AA148</f>
        <v/>
      </c>
      <c r="AC148" s="40">
        <f>VLOOKUP(B148,country_opex,7,FALSE)/dep_years</f>
        <v/>
      </c>
      <c r="AD148" s="40">
        <f>U148-AB148</f>
        <v/>
      </c>
      <c r="AE148" s="37">
        <f>IF(U148=0,"",AD148/U148)</f>
        <v/>
      </c>
      <c r="AF148" s="38">
        <f>IF(AD148&lt;=0,"",VLOOKUP(B148,country_opex,7,FALSE)/AD148)</f>
        <v/>
      </c>
      <c r="AG148" s="35">
        <f>((D148*P148/diesel_nmpg)*diesel_co2pg-(battery/range_nm)*D148*P148*VLOOKUP(B148,country_opex,4,FALSE))/1000</f>
        <v/>
      </c>
      <c r="AH148" s="33" t="n">
        <v>150000</v>
      </c>
      <c r="AI148" s="34" t="inlineStr">
        <is>
          <t>T5</t>
        </is>
      </c>
      <c r="AJ148" s="34" t="inlineStr">
        <is>
          <t>low</t>
        </is>
      </c>
      <c r="AK148" s="41" t="n">
        <v>0.1</v>
      </c>
      <c r="AL148" s="36">
        <f>IF(AH148="","",AH148*AK148)</f>
        <v/>
      </c>
      <c r="AM148" s="36">
        <f>IF(OR(AH148="",S148=0),"",MIN(IF(AU148="",9.9E+99,AU148),FLOOR(AL148/S148,1)))</f>
        <v/>
      </c>
      <c r="AN148" s="40">
        <f>IF(AM148="","",AM148*IF(ABS(MOD(ABS((U148)),1)-0.5)&lt;1E-9,2*ROUND((U148)/2,0),ROUND((U148),0)))</f>
        <v/>
      </c>
      <c r="AO148" s="38">
        <f>IF(OR(AH148="",S148=0),"",MIN(IF(AU148="",9.9E+99,AU148),AL148/S148))</f>
        <v/>
      </c>
      <c r="AP148" s="40">
        <f>IF(AO148="","",AO148*IF(B148="South Korea",IF(ABS(MOD(ABS((U148)),1)-0.5)&lt;1E-9,2*ROUND((U148)/2,0),ROUND((U148),0)),U148))</f>
        <v/>
      </c>
      <c r="AQ148" s="42" t="n"/>
      <c r="AR148" s="34" t="inlineStr">
        <is>
          <t>Grounded</t>
        </is>
      </c>
      <c r="AS148" s="43" t="n"/>
      <c r="AT148" s="43" t="n"/>
      <c r="AU148" s="44" t="n"/>
      <c r="AV148" s="45">
        <f>IF(((T148*pax_cap*load_thin*IF(ABS(MOD(ABS((L148*M148*revleg_thin)),1)-0.5)&lt;1E-9,2*ROUND((L148*M148*revleg_thin)/2,0),ROUND((L148*M148*revleg_thin),0)))-(((battery/range_nm)*D148*IF(ABS(MOD(ABS((L148*M148*revleg_thin)),1)-0.5)&lt;1E-9,2*ROUND((L148*M148*revleg_thin)/2,0),ROUND((L148*M148*revleg_thin),0))*VLOOKUP(B148,country_opex,3,FALSE))+W148+X148+Y148+Z148+AA148))&lt;=0,"",VLOOKUP(B148,country_opex,7,FALSE)/((T148*pax_cap*load_thin*IF(ABS(MOD(ABS((L148*M148*revleg_thin)),1)-0.5)&lt;1E-9,2*ROUND((L148*M148*revleg_thin)/2,0),ROUND((L148*M148*revleg_thin),0)))-(((battery/range_nm)*D148*IF(ABS(MOD(ABS((L148*M148*revleg_thin)),1)-0.5)&lt;1E-9,2*ROUND((L148*M148*revleg_thin)/2,0),ROUND((L148*M148*revleg_thin),0))*VLOOKUP(B148,country_opex,3,FALSE))+W148+X148+Y148+Z148+AA148)))</f>
        <v/>
      </c>
      <c r="AW148" s="45">
        <f>IF(((T148*pax_cap*IF(B148="South Korea",korea_mid_load,load_mid)*IF(ABS(MOD(ABS((L148*M148*IF(B148="South Korea",korea_mid_revleg,revleg_mid))),1)-0.5)&lt;1E-9,2*ROUND((L148*M148*IF(B148="South Korea",korea_mid_revleg,revleg_mid))/2,0),ROUND((L148*M148*IF(B148="South Korea",korea_mid_revleg,revleg_mid)),0)))-(((battery/range_nm)*D148*IF(ABS(MOD(ABS((L148*M148*IF(B148="South Korea",korea_mid_revleg,revleg_mid))),1)-0.5)&lt;1E-9,2*ROUND((L148*M148*IF(B148="South Korea",korea_mid_revleg,revleg_mid))/2,0),ROUND((L148*M148*IF(B148="South Korea",korea_mid_revleg,revleg_mid)),0))*VLOOKUP(B148,country_opex,3,FALSE))+W148+X148+Y148+Z148+AA148))&lt;=0,"",VLOOKUP(B148,country_opex,7,FALSE)/((T148*pax_cap*IF(B148="South Korea",korea_mid_load,load_mid)*IF(ABS(MOD(ABS((L148*M148*IF(B148="South Korea",korea_mid_revleg,revleg_mid))),1)-0.5)&lt;1E-9,2*ROUND((L148*M148*IF(B148="South Korea",korea_mid_revleg,revleg_mid))/2,0),ROUND((L148*M148*IF(B148="South Korea",korea_mid_revleg,revleg_mid)),0)))-(((battery/range_nm)*D148*IF(ABS(MOD(ABS((L148*M148*IF(B148="South Korea",korea_mid_revleg,revleg_mid))),1)-0.5)&lt;1E-9,2*ROUND((L148*M148*IF(B148="South Korea",korea_mid_revleg,revleg_mid))/2,0),ROUND((L148*M148*IF(B148="South Korea",korea_mid_revleg,revleg_mid)),0))*VLOOKUP(B148,country_opex,3,FALSE))+W148+X148+Y148+Z148+AA148)))</f>
        <v/>
      </c>
      <c r="AX148" s="45">
        <f>IF(((T148*pax_cap*load_full*IF(ABS(MOD(ABS((L148*M148*revleg_full)),1)-0.5)&lt;1E-9,2*ROUND((L148*M148*revleg_full)/2,0),ROUND((L148*M148*revleg_full),0)))-(((battery/range_nm)*D148*IF(ABS(MOD(ABS((L148*M148*revleg_full)),1)-0.5)&lt;1E-9,2*ROUND((L148*M148*revleg_full)/2,0),ROUND((L148*M148*revleg_full),0))*VLOOKUP(B148,country_opex,3,FALSE))+W148+X148+Y148+Z148+AA148))&lt;=0,"",VLOOKUP(B148,country_opex,7,FALSE)/((T148*pax_cap*load_full*IF(ABS(MOD(ABS((L148*M148*revleg_full)),1)-0.5)&lt;1E-9,2*ROUND((L148*M148*revleg_full)/2,0),ROUND((L148*M148*revleg_full),0)))-(((battery/range_nm)*D148*IF(ABS(MOD(ABS((L148*M148*revleg_full)),1)-0.5)&lt;1E-9,2*ROUND((L148*M148*revleg_full)/2,0),ROUND((L148*M148*revleg_full),0))*VLOOKUP(B148,country_opex,3,FALSE))+W148+X148+Y148+Z148+AA148)))</f>
        <v/>
      </c>
      <c r="AY148" s="46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12nm short intra-resort island hop -&gt; premium per-seat $125.</t>
        </is>
      </c>
      <c r="AZ148" s="46" t="inlineStr">
        <is>
          <t>Subset of RSG 1M/yr visitor cap doing outer-island-to-outer-island hops (not the main arrival leg). Modeled ~15% of the 1M pool ~150k. Speculative which guests hop islands; R2 borderline.</t>
        </is>
      </c>
      <c r="BA148" s="34" t="inlineStr">
        <is>
          <t>gcn-a3cb55c160-bolt</t>
        </is>
      </c>
    </row>
    <row r="149">
      <c r="A149" s="31" t="inlineStr">
        <is>
          <t>Bolt Ksa Commercial</t>
        </is>
      </c>
      <c r="B149" s="31" t="inlineStr">
        <is>
          <t>Saudi Arabia</t>
        </is>
      </c>
      <c r="C149" s="32" t="inlineStr">
        <is>
          <t>Shura Island Marina → Outer-island resorts (St Regis / Nujuma / Shebara)</t>
        </is>
      </c>
      <c r="D149" s="33" t="n">
        <v>11.5</v>
      </c>
      <c r="E149" s="27" t="n">
        <v>175</v>
      </c>
      <c r="F149" s="34" t="inlineStr">
        <is>
          <t>T5</t>
        </is>
      </c>
      <c r="G149" s="34" t="inlineStr">
        <is>
          <t>low</t>
        </is>
      </c>
      <c r="H149" s="20" t="n">
        <v>1</v>
      </c>
      <c r="I149" s="35">
        <f>60*D149/cruise_kt</f>
        <v/>
      </c>
      <c r="J149" s="35">
        <f>IF(B149="South Korea",D149/korea_charge_range_nm*korea_full_range_charge_min,0)</f>
        <v/>
      </c>
      <c r="K149" s="35">
        <f>IF(B149="South Korea",I149+korea_turn_min+korea_dwell_min+J149,I149+turn_min+dwell_min)</f>
        <v/>
      </c>
      <c r="L149" s="36">
        <f>IF(B149="South Korea",FLOOR(60*korea_service_hr/K149,1),MIN(15,FLOOR(60*service_hr/K149,1)))</f>
        <v/>
      </c>
      <c r="M149" s="36">
        <f>IF(ABS(MOD(ABS((365*mech_uptime*H149)),1)-0.5)&lt;1E-9,2*ROUND((365*mech_uptime*H149)/2,0),ROUND((365*mech_uptime*H149),0))</f>
        <v/>
      </c>
      <c r="N149" s="37">
        <f>mech_uptime</f>
        <v/>
      </c>
      <c r="O149" s="37">
        <f>IF(AND(B149="South Korea",scenario="MID"),korea_mid_revleg,revleg_sel)</f>
        <v/>
      </c>
      <c r="P149" s="36">
        <f>IF(ABS(MOD(ABS((L149*M149*O149)),1)-0.5)&lt;1E-9,2*ROUND((L149*M149*O149)/2,0),ROUND((L149*M149*O149),0))</f>
        <v/>
      </c>
      <c r="Q149" s="37">
        <f>IF(AND(B149="South Korea",scenario="MID"),korea_mid_load,load_sel)</f>
        <v/>
      </c>
      <c r="R149" s="38">
        <f>pax_cap*Q149</f>
        <v/>
      </c>
      <c r="S149" s="36">
        <f>R149*P149</f>
        <v/>
      </c>
      <c r="T149" s="39">
        <f>E149*discount</f>
        <v/>
      </c>
      <c r="U149" s="40">
        <f>T149*S149</f>
        <v/>
      </c>
      <c r="V149" s="40">
        <f>(battery/range_nm)*D149*P149*VLOOKUP(B149,country_opex,3,FALSE)</f>
        <v/>
      </c>
      <c r="W149" s="40">
        <f>VLOOKUP(B149,country_opex,2,FALSE)*crew_factor</f>
        <v/>
      </c>
      <c r="X149" s="40">
        <f>VLOOKUP(B149,country_opex,5,FALSE)</f>
        <v/>
      </c>
      <c r="Y149" s="40">
        <f>maint</f>
        <v/>
      </c>
      <c r="Z149" s="40">
        <f>VLOOKUP(B149,country_opex,7,FALSE)*ins_pct</f>
        <v/>
      </c>
      <c r="AA149" s="40">
        <f>charge_berth</f>
        <v/>
      </c>
      <c r="AB149" s="40">
        <f>V149+W149+X149+Y149+Z149+AA149</f>
        <v/>
      </c>
      <c r="AC149" s="40">
        <f>VLOOKUP(B149,country_opex,7,FALSE)/dep_years</f>
        <v/>
      </c>
      <c r="AD149" s="40">
        <f>U149-AB149</f>
        <v/>
      </c>
      <c r="AE149" s="37">
        <f>IF(U149=0,"",AD149/U149)</f>
        <v/>
      </c>
      <c r="AF149" s="38">
        <f>IF(AD149&lt;=0,"",VLOOKUP(B149,country_opex,7,FALSE)/AD149)</f>
        <v/>
      </c>
      <c r="AG149" s="35">
        <f>((D149*P149/diesel_nmpg)*diesel_co2pg-(battery/range_nm)*D149*P149*VLOOKUP(B149,country_opex,4,FALSE))/1000</f>
        <v/>
      </c>
      <c r="AH149" s="33" t="n">
        <v>500000</v>
      </c>
      <c r="AI149" s="34" t="inlineStr">
        <is>
          <t>T2</t>
        </is>
      </c>
      <c r="AJ149" s="34" t="inlineStr">
        <is>
          <t>low-med</t>
        </is>
      </c>
      <c r="AK149" s="41" t="n">
        <v>0.1</v>
      </c>
      <c r="AL149" s="36">
        <f>IF(AH149="","",AH149*AK149)</f>
        <v/>
      </c>
      <c r="AM149" s="36">
        <f>IF(OR(AH149="",S149=0),"",MIN(IF(AU149="",9.9E+99,AU149),FLOOR(AL149/S149,1)))</f>
        <v/>
      </c>
      <c r="AN149" s="40">
        <f>IF(AM149="","",AM149*IF(ABS(MOD(ABS((U149)),1)-0.5)&lt;1E-9,2*ROUND((U149)/2,0),ROUND((U149),0)))</f>
        <v/>
      </c>
      <c r="AO149" s="38">
        <f>IF(OR(AH149="",S149=0),"",MIN(IF(AU149="",9.9E+99,AU149),AL149/S149))</f>
        <v/>
      </c>
      <c r="AP149" s="40">
        <f>IF(AO149="","",AO149*IF(B149="South Korea",IF(ABS(MOD(ABS((U149)),1)-0.5)&lt;1E-9,2*ROUND((U149)/2,0),ROUND((U149),0)),U149))</f>
        <v/>
      </c>
      <c r="AQ149" s="42" t="n"/>
      <c r="AR149" s="34" t="inlineStr">
        <is>
          <t>Grounded</t>
        </is>
      </c>
      <c r="AS149" s="43" t="n"/>
      <c r="AT149" s="43" t="n"/>
      <c r="AU149" s="44" t="n"/>
      <c r="AV149" s="45">
        <f>IF(((T149*pax_cap*load_thin*IF(ABS(MOD(ABS((L149*M149*revleg_thin)),1)-0.5)&lt;1E-9,2*ROUND((L149*M149*revleg_thin)/2,0),ROUND((L149*M149*revleg_thin),0)))-(((battery/range_nm)*D149*IF(ABS(MOD(ABS((L149*M149*revleg_thin)),1)-0.5)&lt;1E-9,2*ROUND((L149*M149*revleg_thin)/2,0),ROUND((L149*M149*revleg_thin),0))*VLOOKUP(B149,country_opex,3,FALSE))+W149+X149+Y149+Z149+AA149))&lt;=0,"",VLOOKUP(B149,country_opex,7,FALSE)/((T149*pax_cap*load_thin*IF(ABS(MOD(ABS((L149*M149*revleg_thin)),1)-0.5)&lt;1E-9,2*ROUND((L149*M149*revleg_thin)/2,0),ROUND((L149*M149*revleg_thin),0)))-(((battery/range_nm)*D149*IF(ABS(MOD(ABS((L149*M149*revleg_thin)),1)-0.5)&lt;1E-9,2*ROUND((L149*M149*revleg_thin)/2,0),ROUND((L149*M149*revleg_thin),0))*VLOOKUP(B149,country_opex,3,FALSE))+W149+X149+Y149+Z149+AA149)))</f>
        <v/>
      </c>
      <c r="AW149" s="45">
        <f>IF(((T149*pax_cap*IF(B149="South Korea",korea_mid_load,load_mid)*IF(ABS(MOD(ABS((L149*M149*IF(B149="South Korea",korea_mid_revleg,revleg_mid))),1)-0.5)&lt;1E-9,2*ROUND((L149*M149*IF(B149="South Korea",korea_mid_revleg,revleg_mid))/2,0),ROUND((L149*M149*IF(B149="South Korea",korea_mid_revleg,revleg_mid)),0)))-(((battery/range_nm)*D149*IF(ABS(MOD(ABS((L149*M149*IF(B149="South Korea",korea_mid_revleg,revleg_mid))),1)-0.5)&lt;1E-9,2*ROUND((L149*M149*IF(B149="South Korea",korea_mid_revleg,revleg_mid))/2,0),ROUND((L149*M149*IF(B149="South Korea",korea_mid_revleg,revleg_mid)),0))*VLOOKUP(B149,country_opex,3,FALSE))+W149+X149+Y149+Z149+AA149))&lt;=0,"",VLOOKUP(B149,country_opex,7,FALSE)/((T149*pax_cap*IF(B149="South Korea",korea_mid_load,load_mid)*IF(ABS(MOD(ABS((L149*M149*IF(B149="South Korea",korea_mid_revleg,revleg_mid))),1)-0.5)&lt;1E-9,2*ROUND((L149*M149*IF(B149="South Korea",korea_mid_revleg,revleg_mid))/2,0),ROUND((L149*M149*IF(B149="South Korea",korea_mid_revleg,revleg_mid)),0)))-(((battery/range_nm)*D149*IF(ABS(MOD(ABS((L149*M149*IF(B149="South Korea",korea_mid_revleg,revleg_mid))),1)-0.5)&lt;1E-9,2*ROUND((L149*M149*IF(B149="South Korea",korea_mid_revleg,revleg_mid))/2,0),ROUND((L149*M149*IF(B149="South Korea",korea_mid_revleg,revleg_mid)),0))*VLOOKUP(B149,country_opex,3,FALSE))+W149+X149+Y149+Z149+AA149)))</f>
        <v/>
      </c>
      <c r="AX149" s="45">
        <f>IF(((T149*pax_cap*load_full*IF(ABS(MOD(ABS((L149*M149*revleg_full)),1)-0.5)&lt;1E-9,2*ROUND((L149*M149*revleg_full)/2,0),ROUND((L149*M149*revleg_full),0)))-(((battery/range_nm)*D149*IF(ABS(MOD(ABS((L149*M149*revleg_full)),1)-0.5)&lt;1E-9,2*ROUND((L149*M149*revleg_full)/2,0),ROUND((L149*M149*revleg_full),0))*VLOOKUP(B149,country_opex,3,FALSE))+W149+X149+Y149+Z149+AA149))&lt;=0,"",VLOOKUP(B149,country_opex,7,FALSE)/((T149*pax_cap*load_full*IF(ABS(MOD(ABS((L149*M149*revleg_full)),1)-0.5)&lt;1E-9,2*ROUND((L149*M149*revleg_full)/2,0),ROUND((L149*M149*revleg_full),0)))-(((battery/range_nm)*D149*IF(ABS(MOD(ABS((L149*M149*revleg_full)),1)-0.5)&lt;1E-9,2*ROUND((L149*M149*revleg_full)/2,0),ROUND((L149*M149*revleg_full),0))*VLOOKUP(B149,country_opex,3,FALSE))+W149+X149+Y149+Z149+AA149)))</f>
        <v/>
      </c>
      <c r="AY149" s="46" t="inlineStr">
        <is>
          <t>Maldives resort speedboat transfer per-seat comparable (no incumbent on this greenfield Red Sea crossing, R5): MaldivesNomad resort transfers $65-350/pax 1-way; AtollTransfer $90-450/pax; premium private-resort $150-250 1-way; PointsGuy Marriott speedboat $142 RT. Premium per-seat point picked. 25nm outer-island luxury resort transfer -&gt; premium per-seat $175.</t>
        </is>
      </c>
      <c r="AZ149" s="46" t="inlineStr">
        <is>
          <t>Red Sea Global / The Red Sea destination capped at 1,000,000 visitors/yr at full completion 2030 across 50 resorts/8,000+ keys (RSG official; Monaco Yacht Show factsheet 2025; blooloop; ICWA). Shura Island hub-&gt;outer-island resorts is THE primary internal transfer leg; R3 discount ~50% (not all resorts outer-island; some mainland/nearshore) -&gt; ~500k 1-way.</t>
        </is>
      </c>
      <c r="BA149" s="34" t="inlineStr">
        <is>
          <t>gcn-d51af091f2-bolt</t>
        </is>
      </c>
    </row>
    <row r="150">
      <c r="A150" s="31" t="inlineStr">
        <is>
          <t>Bolt Ksa Commercial</t>
        </is>
      </c>
      <c r="B150" s="31" t="inlineStr">
        <is>
          <t>Saudi Arabia</t>
        </is>
      </c>
      <c r="C150" s="32" t="inlineStr">
        <is>
          <t>Jeddah Corniche → Jeddah Yacht Club &amp; Marina</t>
        </is>
      </c>
      <c r="D150" s="33" t="n">
        <v>12</v>
      </c>
      <c r="E150" s="27" t="n"/>
      <c r="F150" s="34" t="n"/>
      <c r="G150" s="34" t="n"/>
      <c r="H150" s="20" t="n">
        <v>1</v>
      </c>
      <c r="I150" s="35">
        <f>60*D150/cruise_kt</f>
        <v/>
      </c>
      <c r="J150" s="35">
        <f>IF(B150="South Korea",D150/korea_charge_range_nm*korea_full_range_charge_min,0)</f>
        <v/>
      </c>
      <c r="K150" s="35">
        <f>IF(B150="South Korea",I150+korea_turn_min+korea_dwell_min+J150,I150+turn_min+dwell_min)</f>
        <v/>
      </c>
      <c r="L150" s="36">
        <f>IF(B150="South Korea",FLOOR(60*korea_service_hr/K150,1),MIN(15,FLOOR(60*service_hr/K150,1)))</f>
        <v/>
      </c>
      <c r="M150" s="36">
        <f>IF(ABS(MOD(ABS((365*mech_uptime*H150)),1)-0.5)&lt;1E-9,2*ROUND((365*mech_uptime*H150)/2,0),ROUND((365*mech_uptime*H150),0))</f>
        <v/>
      </c>
      <c r="N150" s="37">
        <f>mech_uptime</f>
        <v/>
      </c>
      <c r="O150" s="37">
        <f>IF(AND(B150="South Korea",scenario="MID"),korea_mid_revleg,revleg_sel)</f>
        <v/>
      </c>
      <c r="P150" s="36">
        <f>IF(ABS(MOD(ABS((L150*M150*O150)),1)-0.5)&lt;1E-9,2*ROUND((L150*M150*O150)/2,0),ROUND((L150*M150*O150),0))</f>
        <v/>
      </c>
      <c r="Q150" s="37">
        <f>IF(AND(B150="South Korea",scenario="MID"),korea_mid_load,load_sel)</f>
        <v/>
      </c>
      <c r="R150" s="38">
        <f>pax_cap*Q150</f>
        <v/>
      </c>
      <c r="S150" s="36">
        <f>R150*P150</f>
        <v/>
      </c>
      <c r="T150" s="39">
        <f>E150*discount</f>
        <v/>
      </c>
      <c r="U150" s="40">
        <f>T150*S150</f>
        <v/>
      </c>
      <c r="V150" s="40">
        <f>(battery/range_nm)*D150*P150*VLOOKUP(B150,country_opex,3,FALSE)</f>
        <v/>
      </c>
      <c r="W150" s="40">
        <f>VLOOKUP(B150,country_opex,2,FALSE)*crew_factor</f>
        <v/>
      </c>
      <c r="X150" s="40">
        <f>VLOOKUP(B150,country_opex,5,FALSE)</f>
        <v/>
      </c>
      <c r="Y150" s="40">
        <f>maint</f>
        <v/>
      </c>
      <c r="Z150" s="40">
        <f>VLOOKUP(B150,country_opex,7,FALSE)*ins_pct</f>
        <v/>
      </c>
      <c r="AA150" s="40">
        <f>charge_berth</f>
        <v/>
      </c>
      <c r="AB150" s="40">
        <f>V150+W150+X150+Y150+Z150+AA150</f>
        <v/>
      </c>
      <c r="AC150" s="40">
        <f>VLOOKUP(B150,country_opex,7,FALSE)/dep_years</f>
        <v/>
      </c>
      <c r="AD150" s="40">
        <f>U150-AB150</f>
        <v/>
      </c>
      <c r="AE150" s="37">
        <f>IF(U150=0,"",AD150/U150)</f>
        <v/>
      </c>
      <c r="AF150" s="38">
        <f>IF(AD150&lt;=0,"",VLOOKUP(B150,country_opex,7,FALSE)/AD150)</f>
        <v/>
      </c>
      <c r="AG150" s="35">
        <f>((D150*P150/diesel_nmpg)*diesel_co2pg-(battery/range_nm)*D150*P150*VLOOKUP(B150,country_opex,4,FALSE))/1000</f>
        <v/>
      </c>
      <c r="AH150" s="33" t="n"/>
      <c r="AI150" s="34" t="n"/>
      <c r="AJ150" s="34" t="n"/>
      <c r="AK150" s="41" t="n">
        <v>0.1</v>
      </c>
      <c r="AL150" s="36">
        <f>IF(AH150="","",AH150*AK150)</f>
        <v/>
      </c>
      <c r="AM150" s="36">
        <f>IF(OR(AH150="",S150=0),"",MIN(IF(AU150="",9.9E+99,AU150),FLOOR(AL150/S150,1)))</f>
        <v/>
      </c>
      <c r="AN150" s="40">
        <f>IF(AM150="","",AM150*IF(ABS(MOD(ABS((U150)),1)-0.5)&lt;1E-9,2*ROUND((U150)/2,0),ROUND((U150),0)))</f>
        <v/>
      </c>
      <c r="AO150" s="38">
        <f>IF(OR(AH150="",S150=0),"",MIN(IF(AU150="",9.9E+99,AU150),AL150/S150))</f>
        <v/>
      </c>
      <c r="AP150" s="40">
        <f>IF(AO150="","",AO150*IF(B150="South Korea",IF(ABS(MOD(ABS((U150)),1)-0.5)&lt;1E-9,2*ROUND((U150)/2,0),ROUND((U150),0)),U150))</f>
        <v/>
      </c>
      <c r="AQ150" s="42" t="n"/>
      <c r="AR150" s="34" t="inlineStr">
        <is>
          <t>Estimated</t>
        </is>
      </c>
      <c r="AS150" s="43" t="n"/>
      <c r="AT150" s="43" t="n"/>
      <c r="AU150" s="44" t="n"/>
      <c r="AV150" s="45">
        <f>IF(((T150*pax_cap*load_thin*IF(ABS(MOD(ABS((L150*M150*revleg_thin)),1)-0.5)&lt;1E-9,2*ROUND((L150*M150*revleg_thin)/2,0),ROUND((L150*M150*revleg_thin),0)))-(((battery/range_nm)*D150*IF(ABS(MOD(ABS((L150*M150*revleg_thin)),1)-0.5)&lt;1E-9,2*ROUND((L150*M150*revleg_thin)/2,0),ROUND((L150*M150*revleg_thin),0))*VLOOKUP(B150,country_opex,3,FALSE))+W150+X150+Y150+Z150+AA150))&lt;=0,"",VLOOKUP(B150,country_opex,7,FALSE)/((T150*pax_cap*load_thin*IF(ABS(MOD(ABS((L150*M150*revleg_thin)),1)-0.5)&lt;1E-9,2*ROUND((L150*M150*revleg_thin)/2,0),ROUND((L150*M150*revleg_thin),0)))-(((battery/range_nm)*D150*IF(ABS(MOD(ABS((L150*M150*revleg_thin)),1)-0.5)&lt;1E-9,2*ROUND((L150*M150*revleg_thin)/2,0),ROUND((L150*M150*revleg_thin),0))*VLOOKUP(B150,country_opex,3,FALSE))+W150+X150+Y150+Z150+AA150)))</f>
        <v/>
      </c>
      <c r="AW150" s="45">
        <f>IF(((T150*pax_cap*IF(B150="South Korea",korea_mid_load,load_mid)*IF(ABS(MOD(ABS((L150*M150*IF(B150="South Korea",korea_mid_revleg,revleg_mid))),1)-0.5)&lt;1E-9,2*ROUND((L150*M150*IF(B150="South Korea",korea_mid_revleg,revleg_mid))/2,0),ROUND((L150*M150*IF(B150="South Korea",korea_mid_revleg,revleg_mid)),0)))-(((battery/range_nm)*D150*IF(ABS(MOD(ABS((L150*M150*IF(B150="South Korea",korea_mid_revleg,revleg_mid))),1)-0.5)&lt;1E-9,2*ROUND((L150*M150*IF(B150="South Korea",korea_mid_revleg,revleg_mid))/2,0),ROUND((L150*M150*IF(B150="South Korea",korea_mid_revleg,revleg_mid)),0))*VLOOKUP(B150,country_opex,3,FALSE))+W150+X150+Y150+Z150+AA150))&lt;=0,"",VLOOKUP(B150,country_opex,7,FALSE)/((T150*pax_cap*IF(B150="South Korea",korea_mid_load,load_mid)*IF(ABS(MOD(ABS((L150*M150*IF(B150="South Korea",korea_mid_revleg,revleg_mid))),1)-0.5)&lt;1E-9,2*ROUND((L150*M150*IF(B150="South Korea",korea_mid_revleg,revleg_mid))/2,0),ROUND((L150*M150*IF(B150="South Korea",korea_mid_revleg,revleg_mid)),0)))-(((battery/range_nm)*D150*IF(ABS(MOD(ABS((L150*M150*IF(B150="South Korea",korea_mid_revleg,revleg_mid))),1)-0.5)&lt;1E-9,2*ROUND((L150*M150*IF(B150="South Korea",korea_mid_revleg,revleg_mid))/2,0),ROUND((L150*M150*IF(B150="South Korea",korea_mid_revleg,revleg_mid)),0))*VLOOKUP(B150,country_opex,3,FALSE))+W150+X150+Y150+Z150+AA150)))</f>
        <v/>
      </c>
      <c r="AX150" s="45">
        <f>IF(((T150*pax_cap*load_full*IF(ABS(MOD(ABS((L150*M150*revleg_full)),1)-0.5)&lt;1E-9,2*ROUND((L150*M150*revleg_full)/2,0),ROUND((L150*M150*revleg_full),0)))-(((battery/range_nm)*D150*IF(ABS(MOD(ABS((L150*M150*revleg_full)),1)-0.5)&lt;1E-9,2*ROUND((L150*M150*revleg_full)/2,0),ROUND((L150*M150*revleg_full),0))*VLOOKUP(B150,country_opex,3,FALSE))+W150+X150+Y150+Z150+AA150))&lt;=0,"",VLOOKUP(B150,country_opex,7,FALSE)/((T150*pax_cap*load_full*IF(ABS(MOD(ABS((L150*M150*revleg_full)),1)-0.5)&lt;1E-9,2*ROUND((L150*M150*revleg_full)/2,0),ROUND((L150*M150*revleg_full),0)))-(((battery/range_nm)*D150*IF(ABS(MOD(ABS((L150*M150*revleg_full)),1)-0.5)&lt;1E-9,2*ROUND((L150*M150*revleg_full)/2,0),ROUND((L150*M150*revleg_full),0))*VLOOKUP(B150,country_opex,3,FALSE))+W150+X150+Y150+Z150+AA150)))</f>
        <v/>
      </c>
      <c r="AY150" s="46" t="n"/>
      <c r="AZ150" s="46" t="n"/>
      <c r="BA150" s="34" t="n"/>
    </row>
    <row r="151">
      <c r="A151" s="31" t="inlineStr">
        <is>
          <t>Bolt Ksa Commercial</t>
        </is>
      </c>
      <c r="B151" s="31" t="inlineStr">
        <is>
          <t>Saudi Arabia</t>
        </is>
      </c>
      <c r="C151" s="32" t="inlineStr">
        <is>
          <t>Khobar / Dammam (Eastern Province) → Manama, Bahrain</t>
        </is>
      </c>
      <c r="D151" s="33" t="n">
        <v>18.6</v>
      </c>
      <c r="E151" s="27" t="n">
        <v>80</v>
      </c>
      <c r="F151" s="34" t="inlineStr">
        <is>
          <t>T5</t>
        </is>
      </c>
      <c r="G151" s="34" t="inlineStr">
        <is>
          <t>low</t>
        </is>
      </c>
      <c r="H151" s="20" t="n">
        <v>1</v>
      </c>
      <c r="I151" s="35">
        <f>60*D151/cruise_kt</f>
        <v/>
      </c>
      <c r="J151" s="35">
        <f>IF(B151="South Korea",D151/korea_charge_range_nm*korea_full_range_charge_min,0)</f>
        <v/>
      </c>
      <c r="K151" s="35">
        <f>IF(B151="South Korea",I151+korea_turn_min+korea_dwell_min+J151,I151+turn_min+dwell_min)</f>
        <v/>
      </c>
      <c r="L151" s="36">
        <f>IF(B151="South Korea",FLOOR(60*korea_service_hr/K151,1),MIN(15,FLOOR(60*service_hr/K151,1)))</f>
        <v/>
      </c>
      <c r="M151" s="36">
        <f>IF(ABS(MOD(ABS((365*mech_uptime*H151)),1)-0.5)&lt;1E-9,2*ROUND((365*mech_uptime*H151)/2,0),ROUND((365*mech_uptime*H151),0))</f>
        <v/>
      </c>
      <c r="N151" s="37">
        <f>mech_uptime</f>
        <v/>
      </c>
      <c r="O151" s="37">
        <f>IF(AND(B151="South Korea",scenario="MID"),korea_mid_revleg,revleg_sel)</f>
        <v/>
      </c>
      <c r="P151" s="36">
        <f>IF(ABS(MOD(ABS((L151*M151*O151)),1)-0.5)&lt;1E-9,2*ROUND((L151*M151*O151)/2,0),ROUND((L151*M151*O151),0))</f>
        <v/>
      </c>
      <c r="Q151" s="37">
        <f>IF(AND(B151="South Korea",scenario="MID"),korea_mid_load,load_sel)</f>
        <v/>
      </c>
      <c r="R151" s="38">
        <f>pax_cap*Q151</f>
        <v/>
      </c>
      <c r="S151" s="36">
        <f>R151*P151</f>
        <v/>
      </c>
      <c r="T151" s="39">
        <f>E151*discount</f>
        <v/>
      </c>
      <c r="U151" s="40">
        <f>T151*S151</f>
        <v/>
      </c>
      <c r="V151" s="40">
        <f>(battery/range_nm)*D151*P151*VLOOKUP(B151,country_opex,3,FALSE)</f>
        <v/>
      </c>
      <c r="W151" s="40">
        <f>VLOOKUP(B151,country_opex,2,FALSE)*crew_factor</f>
        <v/>
      </c>
      <c r="X151" s="40">
        <f>VLOOKUP(B151,country_opex,5,FALSE)</f>
        <v/>
      </c>
      <c r="Y151" s="40">
        <f>maint</f>
        <v/>
      </c>
      <c r="Z151" s="40">
        <f>VLOOKUP(B151,country_opex,7,FALSE)*ins_pct</f>
        <v/>
      </c>
      <c r="AA151" s="40">
        <f>charge_berth</f>
        <v/>
      </c>
      <c r="AB151" s="40">
        <f>V151+W151+X151+Y151+Z151+AA151</f>
        <v/>
      </c>
      <c r="AC151" s="40">
        <f>VLOOKUP(B151,country_opex,7,FALSE)/dep_years</f>
        <v/>
      </c>
      <c r="AD151" s="40">
        <f>U151-AB151</f>
        <v/>
      </c>
      <c r="AE151" s="37">
        <f>IF(U151=0,"",AD151/U151)</f>
        <v/>
      </c>
      <c r="AF151" s="38">
        <f>IF(AD151&lt;=0,"",VLOOKUP(B151,country_opex,7,FALSE)/AD151)</f>
        <v/>
      </c>
      <c r="AG151" s="35">
        <f>((D151*P151/diesel_nmpg)*diesel_co2pg-(battery/range_nm)*D151*P151*VLOOKUP(B151,country_opex,4,FALSE))/1000</f>
        <v/>
      </c>
      <c r="AH151" s="33" t="n">
        <v>330000</v>
      </c>
      <c r="AI151" s="34" t="inlineStr">
        <is>
          <t>T3</t>
        </is>
      </c>
      <c r="AJ151" s="34" t="inlineStr">
        <is>
          <t>low</t>
        </is>
      </c>
      <c r="AK151" s="41" t="n">
        <v>0.1</v>
      </c>
      <c r="AL151" s="36">
        <f>IF(AH151="","",AH151*AK151)</f>
        <v/>
      </c>
      <c r="AM151" s="36">
        <f>IF(OR(AH151="",S151=0),"",MIN(IF(AU151="",9.9E+99,AU151),FLOOR(AL151/S151,1)))</f>
        <v/>
      </c>
      <c r="AN151" s="40">
        <f>IF(AM151="","",AM151*IF(ABS(MOD(ABS((U151)),1)-0.5)&lt;1E-9,2*ROUND((U151)/2,0),ROUND((U151),0)))</f>
        <v/>
      </c>
      <c r="AO151" s="38">
        <f>IF(OR(AH151="",S151=0),"",MIN(IF(AU151="",9.9E+99,AU151),AL151/S151))</f>
        <v/>
      </c>
      <c r="AP151" s="40">
        <f>IF(AO151="","",AO151*IF(B151="South Korea",IF(ABS(MOD(ABS((U151)),1)-0.5)&lt;1E-9,2*ROUND((U151)/2,0),ROUND((U151),0)),U151))</f>
        <v/>
      </c>
      <c r="AQ151" s="42" t="n"/>
      <c r="AR151" s="34" t="inlineStr">
        <is>
          <t>Grounded</t>
        </is>
      </c>
      <c r="AS151" s="43" t="n"/>
      <c r="AT151" s="43" t="n"/>
      <c r="AU151" s="44" t="n"/>
      <c r="AV151" s="45">
        <f>IF(((T151*pax_cap*load_thin*IF(ABS(MOD(ABS((L151*M151*revleg_thin)),1)-0.5)&lt;1E-9,2*ROUND((L151*M151*revleg_thin)/2,0),ROUND((L151*M151*revleg_thin),0)))-(((battery/range_nm)*D151*IF(ABS(MOD(ABS((L151*M151*revleg_thin)),1)-0.5)&lt;1E-9,2*ROUND((L151*M151*revleg_thin)/2,0),ROUND((L151*M151*revleg_thin),0))*VLOOKUP(B151,country_opex,3,FALSE))+W151+X151+Y151+Z151+AA151))&lt;=0,"",VLOOKUP(B151,country_opex,7,FALSE)/((T151*pax_cap*load_thin*IF(ABS(MOD(ABS((L151*M151*revleg_thin)),1)-0.5)&lt;1E-9,2*ROUND((L151*M151*revleg_thin)/2,0),ROUND((L151*M151*revleg_thin),0)))-(((battery/range_nm)*D151*IF(ABS(MOD(ABS((L151*M151*revleg_thin)),1)-0.5)&lt;1E-9,2*ROUND((L151*M151*revleg_thin)/2,0),ROUND((L151*M151*revleg_thin),0))*VLOOKUP(B151,country_opex,3,FALSE))+W151+X151+Y151+Z151+AA151)))</f>
        <v/>
      </c>
      <c r="AW151" s="45">
        <f>IF(((T151*pax_cap*IF(B151="South Korea",korea_mid_load,load_mid)*IF(ABS(MOD(ABS((L151*M151*IF(B151="South Korea",korea_mid_revleg,revleg_mid))),1)-0.5)&lt;1E-9,2*ROUND((L151*M151*IF(B151="South Korea",korea_mid_revleg,revleg_mid))/2,0),ROUND((L151*M151*IF(B151="South Korea",korea_mid_revleg,revleg_mid)),0)))-(((battery/range_nm)*D151*IF(ABS(MOD(ABS((L151*M151*IF(B151="South Korea",korea_mid_revleg,revleg_mid))),1)-0.5)&lt;1E-9,2*ROUND((L151*M151*IF(B151="South Korea",korea_mid_revleg,revleg_mid))/2,0),ROUND((L151*M151*IF(B151="South Korea",korea_mid_revleg,revleg_mid)),0))*VLOOKUP(B151,country_opex,3,FALSE))+W151+X151+Y151+Z151+AA151))&lt;=0,"",VLOOKUP(B151,country_opex,7,FALSE)/((T151*pax_cap*IF(B151="South Korea",korea_mid_load,load_mid)*IF(ABS(MOD(ABS((L151*M151*IF(B151="South Korea",korea_mid_revleg,revleg_mid))),1)-0.5)&lt;1E-9,2*ROUND((L151*M151*IF(B151="South Korea",korea_mid_revleg,revleg_mid))/2,0),ROUND((L151*M151*IF(B151="South Korea",korea_mid_revleg,revleg_mid)),0)))-(((battery/range_nm)*D151*IF(ABS(MOD(ABS((L151*M151*IF(B151="South Korea",korea_mid_revleg,revleg_mid))),1)-0.5)&lt;1E-9,2*ROUND((L151*M151*IF(B151="South Korea",korea_mid_revleg,revleg_mid))/2,0),ROUND((L151*M151*IF(B151="South Korea",korea_mid_revleg,revleg_mid)),0))*VLOOKUP(B151,country_opex,3,FALSE))+W151+X151+Y151+Z151+AA151)))</f>
        <v/>
      </c>
      <c r="AX151" s="45">
        <f>IF(((T151*pax_cap*load_full*IF(ABS(MOD(ABS((L151*M151*revleg_full)),1)-0.5)&lt;1E-9,2*ROUND((L151*M151*revleg_full)/2,0),ROUND((L151*M151*revleg_full),0)))-(((battery/range_nm)*D151*IF(ABS(MOD(ABS((L151*M151*revleg_full)),1)-0.5)&lt;1E-9,2*ROUND((L151*M151*revleg_full)/2,0),ROUND((L151*M151*revleg_full),0))*VLOOKUP(B151,country_opex,3,FALSE))+W151+X151+Y151+Z151+AA151))&lt;=0,"",VLOOKUP(B151,country_opex,7,FALSE)/((T151*pax_cap*load_full*IF(ABS(MOD(ABS((L151*M151*revleg_full)),1)-0.5)&lt;1E-9,2*ROUND((L151*M151*revleg_full)/2,0),ROUND((L151*M151*revleg_full),0)))-(((battery/range_nm)*D151*IF(ABS(MOD(ABS((L151*M151*revleg_full)),1)-0.5)&lt;1E-9,2*ROUND((L151*M151*revleg_full)/2,0),ROUND((L151*M151*revleg_full),0))*VLOOKUP(B151,country_opex,3,FALSE))+W151+X151+Y151+Z151+AA151)))</f>
        <v/>
      </c>
      <c r="AY151" s="46" t="inlineStr">
        <is>
          <t>No passenger ferry on this 25nm cross-Gulf crossing today (everyone DRIVES the King Fahd Causeway). Premium per-seat cross-Gulf fast transfer modeled on Gulf premium intercity/business transfer tier -&gt; $80. R16 home-port opex = Saudi Arabia.</t>
        </is>
      </c>
      <c r="AZ151" s="46" t="inlineStr">
        <is>
          <t>King Fahd Causeway carried a RECORD 33,000,000 passengers in 2024 (Gulf News; ~52,450/day, +7%/yr) - but that is ROAD traffic (R3 strong mode mismatch). Do NOT claim full causeway volume. Addressable premium MARINE subset only: modeled ~1% of 33M = ~330k/yr 1-way (time-sensitive premium travelers who'd pay for a fast boat vs causeway congestion).</t>
        </is>
      </c>
      <c r="BA151" s="34" t="inlineStr">
        <is>
          <t>gcn-7aa2645694-bolt</t>
        </is>
      </c>
    </row>
    <row r="152">
      <c r="A152" s="31" t="inlineStr">
        <is>
          <t>Bolt Ksa Commercial</t>
        </is>
      </c>
      <c r="B152" s="31" t="inlineStr">
        <is>
          <t>Saudi Arabia</t>
        </is>
      </c>
      <c r="C152" s="32" t="inlineStr">
        <is>
          <t>The Red Sea → AMAALA (Triple Bay)</t>
        </is>
      </c>
      <c r="D152" s="33" t="n">
        <v>29.4</v>
      </c>
      <c r="E152" s="27" t="n">
        <v>250</v>
      </c>
      <c r="F152" s="34" t="inlineStr">
        <is>
          <t>T5</t>
        </is>
      </c>
      <c r="G152" s="34" t="inlineStr">
        <is>
          <t>low</t>
        </is>
      </c>
      <c r="H152" s="20" t="n">
        <v>1</v>
      </c>
      <c r="I152" s="35">
        <f>60*D152/cruise_kt</f>
        <v/>
      </c>
      <c r="J152" s="35">
        <f>IF(B152="South Korea",D152/korea_charge_range_nm*korea_full_range_charge_min,0)</f>
        <v/>
      </c>
      <c r="K152" s="35">
        <f>IF(B152="South Korea",I152+korea_turn_min+korea_dwell_min+J152,I152+turn_min+dwell_min)</f>
        <v/>
      </c>
      <c r="L152" s="36">
        <f>IF(B152="South Korea",FLOOR(60*korea_service_hr/K152,1),MIN(15,FLOOR(60*service_hr/K152,1)))</f>
        <v/>
      </c>
      <c r="M152" s="36">
        <f>IF(ABS(MOD(ABS((365*mech_uptime*H152)),1)-0.5)&lt;1E-9,2*ROUND((365*mech_uptime*H152)/2,0),ROUND((365*mech_uptime*H152),0))</f>
        <v/>
      </c>
      <c r="N152" s="37">
        <f>mech_uptime</f>
        <v/>
      </c>
      <c r="O152" s="37">
        <f>IF(AND(B152="South Korea",scenario="MID"),korea_mid_revleg,revleg_sel)</f>
        <v/>
      </c>
      <c r="P152" s="36">
        <f>IF(ABS(MOD(ABS((L152*M152*O152)),1)-0.5)&lt;1E-9,2*ROUND((L152*M152*O152)/2,0),ROUND((L152*M152*O152),0))</f>
        <v/>
      </c>
      <c r="Q152" s="37">
        <f>IF(AND(B152="South Korea",scenario="MID"),korea_mid_load,load_sel)</f>
        <v/>
      </c>
      <c r="R152" s="38">
        <f>pax_cap*Q152</f>
        <v/>
      </c>
      <c r="S152" s="36">
        <f>R152*P152</f>
        <v/>
      </c>
      <c r="T152" s="39">
        <f>E152*discount</f>
        <v/>
      </c>
      <c r="U152" s="40">
        <f>T152*S152</f>
        <v/>
      </c>
      <c r="V152" s="40">
        <f>(battery/range_nm)*D152*P152*VLOOKUP(B152,country_opex,3,FALSE)</f>
        <v/>
      </c>
      <c r="W152" s="40">
        <f>VLOOKUP(B152,country_opex,2,FALSE)*crew_factor</f>
        <v/>
      </c>
      <c r="X152" s="40">
        <f>VLOOKUP(B152,country_opex,5,FALSE)</f>
        <v/>
      </c>
      <c r="Y152" s="40">
        <f>maint</f>
        <v/>
      </c>
      <c r="Z152" s="40">
        <f>VLOOKUP(B152,country_opex,7,FALSE)*ins_pct</f>
        <v/>
      </c>
      <c r="AA152" s="40">
        <f>charge_berth</f>
        <v/>
      </c>
      <c r="AB152" s="40">
        <f>V152+W152+X152+Y152+Z152+AA152</f>
        <v/>
      </c>
      <c r="AC152" s="40">
        <f>VLOOKUP(B152,country_opex,7,FALSE)/dep_years</f>
        <v/>
      </c>
      <c r="AD152" s="40">
        <f>U152-AB152</f>
        <v/>
      </c>
      <c r="AE152" s="37">
        <f>IF(U152=0,"",AD152/U152)</f>
        <v/>
      </c>
      <c r="AF152" s="38">
        <f>IF(AD152&lt;=0,"",VLOOKUP(B152,country_opex,7,FALSE)/AD152)</f>
        <v/>
      </c>
      <c r="AG152" s="35">
        <f>((D152*P152/diesel_nmpg)*diesel_co2pg-(battery/range_nm)*D152*P152*VLOOKUP(B152,country_opex,4,FALSE))/1000</f>
        <v/>
      </c>
      <c r="AH152" s="33" t="n">
        <v>500000</v>
      </c>
      <c r="AI152" s="34" t="inlineStr">
        <is>
          <t>T4</t>
        </is>
      </c>
      <c r="AJ152" s="34" t="inlineStr">
        <is>
          <t>low</t>
        </is>
      </c>
      <c r="AK152" s="41" t="n">
        <v>0.1</v>
      </c>
      <c r="AL152" s="36">
        <f>IF(AH152="","",AH152*AK152)</f>
        <v/>
      </c>
      <c r="AM152" s="36">
        <f>IF(OR(AH152="",S152=0),"",MIN(IF(AU152="",9.9E+99,AU152),FLOOR(AL152/S152,1)))</f>
        <v/>
      </c>
      <c r="AN152" s="40">
        <f>IF(AM152="","",AM152*IF(ABS(MOD(ABS((U152)),1)-0.5)&lt;1E-9,2*ROUND((U152)/2,0),ROUND((U152),0)))</f>
        <v/>
      </c>
      <c r="AO152" s="38">
        <f>IF(OR(AH152="",S152=0),"",MIN(IF(AU152="",9.9E+99,AU152),AL152/S152))</f>
        <v/>
      </c>
      <c r="AP152" s="40">
        <f>IF(AO152="","",AO152*IF(B152="South Korea",IF(ABS(MOD(ABS((U152)),1)-0.5)&lt;1E-9,2*ROUND((U152)/2,0),ROUND((U152),0)),U152))</f>
        <v/>
      </c>
      <c r="AQ152" s="42" t="n"/>
      <c r="AR152" s="34" t="inlineStr">
        <is>
          <t>Grounded</t>
        </is>
      </c>
      <c r="AS152" s="43" t="n"/>
      <c r="AT152" s="43" t="n"/>
      <c r="AU152" s="44" t="n"/>
      <c r="AV152" s="45">
        <f>IF(((T152*pax_cap*load_thin*IF(ABS(MOD(ABS((L152*M152*revleg_thin)),1)-0.5)&lt;1E-9,2*ROUND((L152*M152*revleg_thin)/2,0),ROUND((L152*M152*revleg_thin),0)))-(((battery/range_nm)*D152*IF(ABS(MOD(ABS((L152*M152*revleg_thin)),1)-0.5)&lt;1E-9,2*ROUND((L152*M152*revleg_thin)/2,0),ROUND((L152*M152*revleg_thin),0))*VLOOKUP(B152,country_opex,3,FALSE))+W152+X152+Y152+Z152+AA152))&lt;=0,"",VLOOKUP(B152,country_opex,7,FALSE)/((T152*pax_cap*load_thin*IF(ABS(MOD(ABS((L152*M152*revleg_thin)),1)-0.5)&lt;1E-9,2*ROUND((L152*M152*revleg_thin)/2,0),ROUND((L152*M152*revleg_thin),0)))-(((battery/range_nm)*D152*IF(ABS(MOD(ABS((L152*M152*revleg_thin)),1)-0.5)&lt;1E-9,2*ROUND((L152*M152*revleg_thin)/2,0),ROUND((L152*M152*revleg_thin),0))*VLOOKUP(B152,country_opex,3,FALSE))+W152+X152+Y152+Z152+AA152)))</f>
        <v/>
      </c>
      <c r="AW152" s="45">
        <f>IF(((T152*pax_cap*IF(B152="South Korea",korea_mid_load,load_mid)*IF(ABS(MOD(ABS((L152*M152*IF(B152="South Korea",korea_mid_revleg,revleg_mid))),1)-0.5)&lt;1E-9,2*ROUND((L152*M152*IF(B152="South Korea",korea_mid_revleg,revleg_mid))/2,0),ROUND((L152*M152*IF(B152="South Korea",korea_mid_revleg,revleg_mid)),0)))-(((battery/range_nm)*D152*IF(ABS(MOD(ABS((L152*M152*IF(B152="South Korea",korea_mid_revleg,revleg_mid))),1)-0.5)&lt;1E-9,2*ROUND((L152*M152*IF(B152="South Korea",korea_mid_revleg,revleg_mid))/2,0),ROUND((L152*M152*IF(B152="South Korea",korea_mid_revleg,revleg_mid)),0))*VLOOKUP(B152,country_opex,3,FALSE))+W152+X152+Y152+Z152+AA152))&lt;=0,"",VLOOKUP(B152,country_opex,7,FALSE)/((T152*pax_cap*IF(B152="South Korea",korea_mid_load,load_mid)*IF(ABS(MOD(ABS((L152*M152*IF(B152="South Korea",korea_mid_revleg,revleg_mid))),1)-0.5)&lt;1E-9,2*ROUND((L152*M152*IF(B152="South Korea",korea_mid_revleg,revleg_mid))/2,0),ROUND((L152*M152*IF(B152="South Korea",korea_mid_revleg,revleg_mid)),0)))-(((battery/range_nm)*D152*IF(ABS(MOD(ABS((L152*M152*IF(B152="South Korea",korea_mid_revleg,revleg_mid))),1)-0.5)&lt;1E-9,2*ROUND((L152*M152*IF(B152="South Korea",korea_mid_revleg,revleg_mid))/2,0),ROUND((L152*M152*IF(B152="South Korea",korea_mid_revleg,revleg_mid)),0))*VLOOKUP(B152,country_opex,3,FALSE))+W152+X152+Y152+Z152+AA152)))</f>
        <v/>
      </c>
      <c r="AX152" s="45">
        <f>IF(((T152*pax_cap*load_full*IF(ABS(MOD(ABS((L152*M152*revleg_full)),1)-0.5)&lt;1E-9,2*ROUND((L152*M152*revleg_full)/2,0),ROUND((L152*M152*revleg_full),0)))-(((battery/range_nm)*D152*IF(ABS(MOD(ABS((L152*M152*revleg_full)),1)-0.5)&lt;1E-9,2*ROUND((L152*M152*revleg_full)/2,0),ROUND((L152*M152*revleg_full),0))*VLOOKUP(B152,country_opex,3,FALSE))+W152+X152+Y152+Z152+AA152))&lt;=0,"",VLOOKUP(B152,country_opex,7,FALSE)/((T152*pax_cap*load_full*IF(ABS(MOD(ABS((L152*M152*revleg_full)),1)-0.5)&lt;1E-9,2*ROUND((L152*M152*revleg_full)/2,0),ROUND((L152*M152*revleg_full),0)))-(((battery/range_nm)*D152*IF(ABS(MOD(ABS((L152*M152*revleg_full)),1)-0.5)&lt;1E-9,2*ROUND((L152*M152*revleg_full)/2,0),ROUND((L152*M152*revleg_full),0))*VLOOKUP(B152,country_opex,3,FALSE))+W152+X152+Y152+Z152+AA152)))</f>
        <v/>
      </c>
      <c r="AY152" s="46" t="inlineStr">
        <is>
          <t>80nm luxury inter-destination leg - flight/seaplane-substituted (R12). Anchored on Maldives seaplane tier ($300-600 RT ~ $200-300 1-way) -&gt; premium per-seat ~$250. Held-out Quanta-LR roadmap leg.</t>
        </is>
      </c>
      <c r="AZ152" s="46" t="inlineStr">
        <is>
          <t>AMAALA target ~500k/yr (The Red Sea + AMAALA combined aim ~1.5M visitors/yr; The Red Sea =1M -&gt; AMAALA ~0.5M). AMAALA full completion ~3,900 keys / up to 29-30 resorts (Four Seasons/RSG). Inter-destination transfer is a small subset; recorded AMAALA pool proxy low conf. Held-out leg.</t>
        </is>
      </c>
      <c r="BA152" s="34" t="inlineStr">
        <is>
          <t>gcn-5296100ae8-bolt</t>
        </is>
      </c>
    </row>
    <row r="153">
      <c r="A153" s="31" t="inlineStr">
        <is>
          <t>Bolt Ksa Commercial</t>
        </is>
      </c>
      <c r="B153" s="31" t="inlineStr">
        <is>
          <t>Saudi Arabia</t>
        </is>
      </c>
      <c r="C153" s="32" t="inlineStr">
        <is>
          <t>NEOM — Sindalah → Magna / Oxagon coast</t>
        </is>
      </c>
      <c r="D153" s="33" t="n">
        <v>30.8</v>
      </c>
      <c r="E153" s="27" t="n">
        <v>120</v>
      </c>
      <c r="F153" s="34" t="inlineStr">
        <is>
          <t>T5</t>
        </is>
      </c>
      <c r="G153" s="34" t="inlineStr">
        <is>
          <t>low</t>
        </is>
      </c>
      <c r="H153" s="20" t="n">
        <v>1</v>
      </c>
      <c r="I153" s="35">
        <f>60*D153/cruise_kt</f>
        <v/>
      </c>
      <c r="J153" s="35">
        <f>IF(B153="South Korea",D153/korea_charge_range_nm*korea_full_range_charge_min,0)</f>
        <v/>
      </c>
      <c r="K153" s="35">
        <f>IF(B153="South Korea",I153+korea_turn_min+korea_dwell_min+J153,I153+turn_min+dwell_min)</f>
        <v/>
      </c>
      <c r="L153" s="36">
        <f>IF(B153="South Korea",FLOOR(60*korea_service_hr/K153,1),MIN(15,FLOOR(60*service_hr/K153,1)))</f>
        <v/>
      </c>
      <c r="M153" s="36">
        <f>IF(ABS(MOD(ABS((365*mech_uptime*H153)),1)-0.5)&lt;1E-9,2*ROUND((365*mech_uptime*H153)/2,0),ROUND((365*mech_uptime*H153),0))</f>
        <v/>
      </c>
      <c r="N153" s="37">
        <f>mech_uptime</f>
        <v/>
      </c>
      <c r="O153" s="37">
        <f>IF(AND(B153="South Korea",scenario="MID"),korea_mid_revleg,revleg_sel)</f>
        <v/>
      </c>
      <c r="P153" s="36">
        <f>IF(ABS(MOD(ABS((L153*M153*O153)),1)-0.5)&lt;1E-9,2*ROUND((L153*M153*O153)/2,0),ROUND((L153*M153*O153),0))</f>
        <v/>
      </c>
      <c r="Q153" s="37">
        <f>IF(AND(B153="South Korea",scenario="MID"),korea_mid_load,load_sel)</f>
        <v/>
      </c>
      <c r="R153" s="38">
        <f>pax_cap*Q153</f>
        <v/>
      </c>
      <c r="S153" s="36">
        <f>R153*P153</f>
        <v/>
      </c>
      <c r="T153" s="39">
        <f>E153*discount</f>
        <v/>
      </c>
      <c r="U153" s="40">
        <f>T153*S153</f>
        <v/>
      </c>
      <c r="V153" s="40">
        <f>(battery/range_nm)*D153*P153*VLOOKUP(B153,country_opex,3,FALSE)</f>
        <v/>
      </c>
      <c r="W153" s="40">
        <f>VLOOKUP(B153,country_opex,2,FALSE)*crew_factor</f>
        <v/>
      </c>
      <c r="X153" s="40">
        <f>VLOOKUP(B153,country_opex,5,FALSE)</f>
        <v/>
      </c>
      <c r="Y153" s="40">
        <f>maint</f>
        <v/>
      </c>
      <c r="Z153" s="40">
        <f>VLOOKUP(B153,country_opex,7,FALSE)*ins_pct</f>
        <v/>
      </c>
      <c r="AA153" s="40">
        <f>charge_berth</f>
        <v/>
      </c>
      <c r="AB153" s="40">
        <f>V153+W153+X153+Y153+Z153+AA153</f>
        <v/>
      </c>
      <c r="AC153" s="40">
        <f>VLOOKUP(B153,country_opex,7,FALSE)/dep_years</f>
        <v/>
      </c>
      <c r="AD153" s="40">
        <f>U153-AB153</f>
        <v/>
      </c>
      <c r="AE153" s="37">
        <f>IF(U153=0,"",AD153/U153)</f>
        <v/>
      </c>
      <c r="AF153" s="38">
        <f>IF(AD153&lt;=0,"",VLOOKUP(B153,country_opex,7,FALSE)/AD153)</f>
        <v/>
      </c>
      <c r="AG153" s="35">
        <f>((D153*P153/diesel_nmpg)*diesel_co2pg-(battery/range_nm)*D153*P153*VLOOKUP(B153,country_opex,4,FALSE))/1000</f>
        <v/>
      </c>
      <c r="AH153" s="33" t="n">
        <v>250000</v>
      </c>
      <c r="AI153" s="34" t="inlineStr">
        <is>
          <t>T2</t>
        </is>
      </c>
      <c r="AJ153" s="34" t="inlineStr">
        <is>
          <t>low</t>
        </is>
      </c>
      <c r="AK153" s="41" t="n">
        <v>0.1</v>
      </c>
      <c r="AL153" s="36">
        <f>IF(AH153="","",AH153*AK153)</f>
        <v/>
      </c>
      <c r="AM153" s="36">
        <f>IF(OR(AH153="",S153=0),"",MIN(IF(AU153="",9.9E+99,AU153),FLOOR(AL153/S153,1)))</f>
        <v/>
      </c>
      <c r="AN153" s="40">
        <f>IF(AM153="","",AM153*IF(ABS(MOD(ABS((U153)),1)-0.5)&lt;1E-9,2*ROUND((U153)/2,0),ROUND((U153),0)))</f>
        <v/>
      </c>
      <c r="AO153" s="38">
        <f>IF(OR(AH153="",S153=0),"",MIN(IF(AU153="",9.9E+99,AU153),AL153/S153))</f>
        <v/>
      </c>
      <c r="AP153" s="40">
        <f>IF(AO153="","",AO153*IF(B153="South Korea",IF(ABS(MOD(ABS((U153)),1)-0.5)&lt;1E-9,2*ROUND((U153)/2,0),ROUND((U153),0)),U153))</f>
        <v/>
      </c>
      <c r="AQ153" s="42" t="n"/>
      <c r="AR153" s="34" t="inlineStr">
        <is>
          <t>Grounded</t>
        </is>
      </c>
      <c r="AS153" s="43" t="n"/>
      <c r="AT153" s="43" t="n"/>
      <c r="AU153" s="44" t="n"/>
      <c r="AV153" s="45">
        <f>IF(((T153*pax_cap*load_thin*IF(ABS(MOD(ABS((L153*M153*revleg_thin)),1)-0.5)&lt;1E-9,2*ROUND((L153*M153*revleg_thin)/2,0),ROUND((L153*M153*revleg_thin),0)))-(((battery/range_nm)*D153*IF(ABS(MOD(ABS((L153*M153*revleg_thin)),1)-0.5)&lt;1E-9,2*ROUND((L153*M153*revleg_thin)/2,0),ROUND((L153*M153*revleg_thin),0))*VLOOKUP(B153,country_opex,3,FALSE))+W153+X153+Y153+Z153+AA153))&lt;=0,"",VLOOKUP(B153,country_opex,7,FALSE)/((T153*pax_cap*load_thin*IF(ABS(MOD(ABS((L153*M153*revleg_thin)),1)-0.5)&lt;1E-9,2*ROUND((L153*M153*revleg_thin)/2,0),ROUND((L153*M153*revleg_thin),0)))-(((battery/range_nm)*D153*IF(ABS(MOD(ABS((L153*M153*revleg_thin)),1)-0.5)&lt;1E-9,2*ROUND((L153*M153*revleg_thin)/2,0),ROUND((L153*M153*revleg_thin),0))*VLOOKUP(B153,country_opex,3,FALSE))+W153+X153+Y153+Z153+AA153)))</f>
        <v/>
      </c>
      <c r="AW153" s="45">
        <f>IF(((T153*pax_cap*IF(B153="South Korea",korea_mid_load,load_mid)*IF(ABS(MOD(ABS((L153*M153*IF(B153="South Korea",korea_mid_revleg,revleg_mid))),1)-0.5)&lt;1E-9,2*ROUND((L153*M153*IF(B153="South Korea",korea_mid_revleg,revleg_mid))/2,0),ROUND((L153*M153*IF(B153="South Korea",korea_mid_revleg,revleg_mid)),0)))-(((battery/range_nm)*D153*IF(ABS(MOD(ABS((L153*M153*IF(B153="South Korea",korea_mid_revleg,revleg_mid))),1)-0.5)&lt;1E-9,2*ROUND((L153*M153*IF(B153="South Korea",korea_mid_revleg,revleg_mid))/2,0),ROUND((L153*M153*IF(B153="South Korea",korea_mid_revleg,revleg_mid)),0))*VLOOKUP(B153,country_opex,3,FALSE))+W153+X153+Y153+Z153+AA153))&lt;=0,"",VLOOKUP(B153,country_opex,7,FALSE)/((T153*pax_cap*IF(B153="South Korea",korea_mid_load,load_mid)*IF(ABS(MOD(ABS((L153*M153*IF(B153="South Korea",korea_mid_revleg,revleg_mid))),1)-0.5)&lt;1E-9,2*ROUND((L153*M153*IF(B153="South Korea",korea_mid_revleg,revleg_mid))/2,0),ROUND((L153*M153*IF(B153="South Korea",korea_mid_revleg,revleg_mid)),0)))-(((battery/range_nm)*D153*IF(ABS(MOD(ABS((L153*M153*IF(B153="South Korea",korea_mid_revleg,revleg_mid))),1)-0.5)&lt;1E-9,2*ROUND((L153*M153*IF(B153="South Korea",korea_mid_revleg,revleg_mid))/2,0),ROUND((L153*M153*IF(B153="South Korea",korea_mid_revleg,revleg_mid)),0))*VLOOKUP(B153,country_opex,3,FALSE))+W153+X153+Y153+Z153+AA153)))</f>
        <v/>
      </c>
      <c r="AX153" s="45">
        <f>IF(((T153*pax_cap*load_full*IF(ABS(MOD(ABS((L153*M153*revleg_full)),1)-0.5)&lt;1E-9,2*ROUND((L153*M153*revleg_full)/2,0),ROUND((L153*M153*revleg_full),0)))-(((battery/range_nm)*D153*IF(ABS(MOD(ABS((L153*M153*revleg_full)),1)-0.5)&lt;1E-9,2*ROUND((L153*M153*revleg_full)/2,0),ROUND((L153*M153*revleg_full),0))*VLOOKUP(B153,country_opex,3,FALSE))+W153+X153+Y153+Z153+AA153))&lt;=0,"",VLOOKUP(B153,country_opex,7,FALSE)/((T153*pax_cap*load_full*IF(ABS(MOD(ABS((L153*M153*revleg_full)),1)-0.5)&lt;1E-9,2*ROUND((L153*M153*revleg_full)/2,0),ROUND((L153*M153*revleg_full),0)))-(((battery/range_nm)*D153*IF(ABS(MOD(ABS((L153*M153*revleg_full)),1)-0.5)&lt;1E-9,2*ROUND((L153*M153*revleg_full)/2,0),ROUND((L153*M153*revleg_full),0))*VLOOKUP(B153,country_opex,3,FALSE))+W153+X153+Y153+Z153+AA153)))</f>
        <v/>
      </c>
      <c r="AY153" s="46" t="inlineStr">
        <is>
          <t>Sindalah is an ultra-premium yachting island (413-440 hotel rooms, 86-berth marina). NEOM inter-zone premium per-seat transfer modeled on Maldives/yacht-hub premium speedboat tier -&gt; $120.</t>
        </is>
      </c>
      <c r="AZ153" s="46" t="inlineStr">
        <is>
          <t>NEOM Sindalah target: up to 2,400 guests/day by 2028 (NEOM official; Dezeen; Wikipedia) = ~876,000 guest-days/yr capacity; at ~3-4 night avg stay ~= ~250k arrivals/yr. Sindalah-&gt;Magna/Oxagon inter-zone transit is a SUBSET (R3) - recorded full Sindalah arrival proxy ~250k, low conf (not all transit to Magna/Oxagon).</t>
        </is>
      </c>
      <c r="BA153" s="34" t="inlineStr">
        <is>
          <t>gcn-7bd6efa01a-bolt</t>
        </is>
      </c>
    </row>
    <row r="154">
      <c r="A154" s="31" t="inlineStr">
        <is>
          <t>Bolt Spain</t>
        </is>
      </c>
      <c r="B154" s="31" t="inlineStr">
        <is>
          <t>Spain</t>
        </is>
      </c>
      <c r="C154" s="32" t="inlineStr">
        <is>
          <t>L'Estartit → Illes Medes</t>
        </is>
      </c>
      <c r="D154" s="33" t="n">
        <v>0.8</v>
      </c>
      <c r="E154" s="27" t="n">
        <v>27</v>
      </c>
      <c r="F154" s="34" t="inlineStr">
        <is>
          <t>T2</t>
        </is>
      </c>
      <c r="G154" s="34" t="inlineStr">
        <is>
          <t>med</t>
        </is>
      </c>
      <c r="H154" s="20" t="n">
        <v>1</v>
      </c>
      <c r="I154" s="35">
        <f>60*D154/cruise_kt</f>
        <v/>
      </c>
      <c r="J154" s="35">
        <f>IF(B154="South Korea",D154/korea_charge_range_nm*korea_full_range_charge_min,0)</f>
        <v/>
      </c>
      <c r="K154" s="35">
        <f>IF(B154="South Korea",I154+korea_turn_min+korea_dwell_min+J154,I154+turn_min+dwell_min)</f>
        <v/>
      </c>
      <c r="L154" s="36">
        <f>IF(B154="South Korea",FLOOR(60*korea_service_hr/K154,1),MIN(15,FLOOR(60*service_hr/K154,1)))</f>
        <v/>
      </c>
      <c r="M154" s="36">
        <f>IF(ABS(MOD(ABS((365*mech_uptime*H154)),1)-0.5)&lt;1E-9,2*ROUND((365*mech_uptime*H154)/2,0),ROUND((365*mech_uptime*H154),0))</f>
        <v/>
      </c>
      <c r="N154" s="37">
        <f>mech_uptime</f>
        <v/>
      </c>
      <c r="O154" s="37">
        <f>IF(AND(B154="South Korea",scenario="MID"),korea_mid_revleg,revleg_sel)</f>
        <v/>
      </c>
      <c r="P154" s="36">
        <f>IF(ABS(MOD(ABS((L154*M154*O154)),1)-0.5)&lt;1E-9,2*ROUND((L154*M154*O154)/2,0),ROUND((L154*M154*O154),0))</f>
        <v/>
      </c>
      <c r="Q154" s="37">
        <f>IF(AND(B154="South Korea",scenario="MID"),korea_mid_load,load_sel)</f>
        <v/>
      </c>
      <c r="R154" s="38">
        <f>pax_cap*Q154</f>
        <v/>
      </c>
      <c r="S154" s="36">
        <f>R154*P154</f>
        <v/>
      </c>
      <c r="T154" s="39">
        <f>E154*discount</f>
        <v/>
      </c>
      <c r="U154" s="40">
        <f>T154*S154</f>
        <v/>
      </c>
      <c r="V154" s="40">
        <f>(battery/range_nm)*D154*P154*VLOOKUP(B154,country_opex,3,FALSE)</f>
        <v/>
      </c>
      <c r="W154" s="40">
        <f>VLOOKUP(B154,country_opex,2,FALSE)*crew_factor</f>
        <v/>
      </c>
      <c r="X154" s="40">
        <f>VLOOKUP(B154,country_opex,5,FALSE)</f>
        <v/>
      </c>
      <c r="Y154" s="40">
        <f>maint</f>
        <v/>
      </c>
      <c r="Z154" s="40">
        <f>VLOOKUP(B154,country_opex,7,FALSE)*ins_pct</f>
        <v/>
      </c>
      <c r="AA154" s="40">
        <f>charge_berth</f>
        <v/>
      </c>
      <c r="AB154" s="40">
        <f>V154+W154+X154+Y154+Z154+AA154</f>
        <v/>
      </c>
      <c r="AC154" s="40">
        <f>VLOOKUP(B154,country_opex,7,FALSE)/dep_years</f>
        <v/>
      </c>
      <c r="AD154" s="40">
        <f>U154-AB154</f>
        <v/>
      </c>
      <c r="AE154" s="37">
        <f>IF(U154=0,"",AD154/U154)</f>
        <v/>
      </c>
      <c r="AF154" s="38">
        <f>IF(AD154&lt;=0,"",VLOOKUP(B154,country_opex,7,FALSE)/AD154)</f>
        <v/>
      </c>
      <c r="AG154" s="35">
        <f>((D154*P154/diesel_nmpg)*diesel_co2pg-(battery/range_nm)*D154*P154*VLOOKUP(B154,country_opex,4,FALSE))/1000</f>
        <v/>
      </c>
      <c r="AH154" s="33" t="n"/>
      <c r="AI154" s="34" t="n"/>
      <c r="AJ154" s="34" t="n"/>
      <c r="AK154" s="41" t="n">
        <v>0.1</v>
      </c>
      <c r="AL154" s="36">
        <f>IF(AH154="","",AH154*AK154)</f>
        <v/>
      </c>
      <c r="AM154" s="36">
        <f>IF(OR(AH154="",S154=0),"",MIN(IF(AU154="",9.9E+99,AU154),FLOOR(AL154/S154,1)))</f>
        <v/>
      </c>
      <c r="AN154" s="40">
        <f>IF(AM154="","",AM154*IF(ABS(MOD(ABS((U154)),1)-0.5)&lt;1E-9,2*ROUND((U154)/2,0),ROUND((U154),0)))</f>
        <v/>
      </c>
      <c r="AO154" s="38">
        <f>IF(OR(AH154="",S154=0),"",MIN(IF(AU154="",9.9E+99,AU154),AL154/S154))</f>
        <v/>
      </c>
      <c r="AP154" s="40">
        <f>IF(AO154="","",AO154*IF(B154="South Korea",IF(ABS(MOD(ABS((U154)),1)-0.5)&lt;1E-9,2*ROUND((U154)/2,0),ROUND((U154),0)),U154))</f>
        <v/>
      </c>
      <c r="AQ154" s="42" t="n"/>
      <c r="AR154" s="34" t="inlineStr">
        <is>
          <t>Estimated</t>
        </is>
      </c>
      <c r="AS154" s="43" t="n"/>
      <c r="AT154" s="43" t="n"/>
      <c r="AU154" s="44" t="n"/>
      <c r="AV154" s="45">
        <f>IF(((T154*pax_cap*load_thin*IF(ABS(MOD(ABS((L154*M154*revleg_thin)),1)-0.5)&lt;1E-9,2*ROUND((L154*M154*revleg_thin)/2,0),ROUND((L154*M154*revleg_thin),0)))-(((battery/range_nm)*D154*IF(ABS(MOD(ABS((L154*M154*revleg_thin)),1)-0.5)&lt;1E-9,2*ROUND((L154*M154*revleg_thin)/2,0),ROUND((L154*M154*revleg_thin),0))*VLOOKUP(B154,country_opex,3,FALSE))+W154+X154+Y154+Z154+AA154))&lt;=0,"",VLOOKUP(B154,country_opex,7,FALSE)/((T154*pax_cap*load_thin*IF(ABS(MOD(ABS((L154*M154*revleg_thin)),1)-0.5)&lt;1E-9,2*ROUND((L154*M154*revleg_thin)/2,0),ROUND((L154*M154*revleg_thin),0)))-(((battery/range_nm)*D154*IF(ABS(MOD(ABS((L154*M154*revleg_thin)),1)-0.5)&lt;1E-9,2*ROUND((L154*M154*revleg_thin)/2,0),ROUND((L154*M154*revleg_thin),0))*VLOOKUP(B154,country_opex,3,FALSE))+W154+X154+Y154+Z154+AA154)))</f>
        <v/>
      </c>
      <c r="AW154" s="45">
        <f>IF(((T154*pax_cap*IF(B154="South Korea",korea_mid_load,load_mid)*IF(ABS(MOD(ABS((L154*M154*IF(B154="South Korea",korea_mid_revleg,revleg_mid))),1)-0.5)&lt;1E-9,2*ROUND((L154*M154*IF(B154="South Korea",korea_mid_revleg,revleg_mid))/2,0),ROUND((L154*M154*IF(B154="South Korea",korea_mid_revleg,revleg_mid)),0)))-(((battery/range_nm)*D154*IF(ABS(MOD(ABS((L154*M154*IF(B154="South Korea",korea_mid_revleg,revleg_mid))),1)-0.5)&lt;1E-9,2*ROUND((L154*M154*IF(B154="South Korea",korea_mid_revleg,revleg_mid))/2,0),ROUND((L154*M154*IF(B154="South Korea",korea_mid_revleg,revleg_mid)),0))*VLOOKUP(B154,country_opex,3,FALSE))+W154+X154+Y154+Z154+AA154))&lt;=0,"",VLOOKUP(B154,country_opex,7,FALSE)/((T154*pax_cap*IF(B154="South Korea",korea_mid_load,load_mid)*IF(ABS(MOD(ABS((L154*M154*IF(B154="South Korea",korea_mid_revleg,revleg_mid))),1)-0.5)&lt;1E-9,2*ROUND((L154*M154*IF(B154="South Korea",korea_mid_revleg,revleg_mid))/2,0),ROUND((L154*M154*IF(B154="South Korea",korea_mid_revleg,revleg_mid)),0)))-(((battery/range_nm)*D154*IF(ABS(MOD(ABS((L154*M154*IF(B154="South Korea",korea_mid_revleg,revleg_mid))),1)-0.5)&lt;1E-9,2*ROUND((L154*M154*IF(B154="South Korea",korea_mid_revleg,revleg_mid))/2,0),ROUND((L154*M154*IF(B154="South Korea",korea_mid_revleg,revleg_mid)),0))*VLOOKUP(B154,country_opex,3,FALSE))+W154+X154+Y154+Z154+AA154)))</f>
        <v/>
      </c>
      <c r="AX154" s="45">
        <f>IF(((T154*pax_cap*load_full*IF(ABS(MOD(ABS((L154*M154*revleg_full)),1)-0.5)&lt;1E-9,2*ROUND((L154*M154*revleg_full)/2,0),ROUND((L154*M154*revleg_full),0)))-(((battery/range_nm)*D154*IF(ABS(MOD(ABS((L154*M154*revleg_full)),1)-0.5)&lt;1E-9,2*ROUND((L154*M154*revleg_full)/2,0),ROUND((L154*M154*revleg_full),0))*VLOOKUP(B154,country_opex,3,FALSE))+W154+X154+Y154+Z154+AA154))&lt;=0,"",VLOOKUP(B154,country_opex,7,FALSE)/((T154*pax_cap*load_full*IF(ABS(MOD(ABS((L154*M154*revleg_full)),1)-0.5)&lt;1E-9,2*ROUND((L154*M154*revleg_full)/2,0),ROUND((L154*M154*revleg_full),0)))-(((battery/range_nm)*D154*IF(ABS(MOD(ABS((L154*M154*revleg_full)),1)-0.5)&lt;1E-9,2*ROUND((L154*M154*revleg_full)/2,0),ROUND((L154*M154*revleg_full),0))*VLOOKUP(B154,country_opex,3,FALSE))+W154+X154+Y154+Z154+AA154)))</f>
        <v/>
      </c>
      <c r="AY154" s="46" t="inlineStr">
        <is>
          <t>PREMIUM tier: L'Estartit-&gt;Illes Medes glass-bottom / snorkel boat ~EUR 25 (Dofi/Xaloc/local operators) x 1.08 = ~$27. RANGED (excursion products EUR 20-40 depending on snorkel/dive inclusion), flagged.</t>
        </is>
      </c>
      <c r="AZ154" s="46" t="n"/>
      <c r="BA154" s="34" t="n"/>
    </row>
    <row r="155">
      <c r="A155" s="31" t="inlineStr">
        <is>
          <t>Bolt Spain</t>
        </is>
      </c>
      <c r="B155" s="31" t="inlineStr">
        <is>
          <t>Spain</t>
        </is>
      </c>
      <c r="C155" s="32" t="inlineStr">
        <is>
          <t>Marbella → Puerto Banús</t>
        </is>
      </c>
      <c r="D155" s="33" t="n">
        <v>3.5</v>
      </c>
      <c r="E155" s="27" t="n">
        <v>11.9</v>
      </c>
      <c r="F155" s="34" t="inlineStr">
        <is>
          <t>T2</t>
        </is>
      </c>
      <c r="G155" s="34" t="inlineStr">
        <is>
          <t>med</t>
        </is>
      </c>
      <c r="H155" s="20" t="n">
        <v>1</v>
      </c>
      <c r="I155" s="35">
        <f>60*D155/cruise_kt</f>
        <v/>
      </c>
      <c r="J155" s="35">
        <f>IF(B155="South Korea",D155/korea_charge_range_nm*korea_full_range_charge_min,0)</f>
        <v/>
      </c>
      <c r="K155" s="35">
        <f>IF(B155="South Korea",I155+korea_turn_min+korea_dwell_min+J155,I155+turn_min+dwell_min)</f>
        <v/>
      </c>
      <c r="L155" s="36">
        <f>IF(B155="South Korea",FLOOR(60*korea_service_hr/K155,1),MIN(24,FLOOR(60*service_hr/K155,1)))</f>
        <v/>
      </c>
      <c r="M155" s="36">
        <f>IF(ABS(MOD(ABS((365*mech_uptime*H155)),1)-0.5)&lt;1E-9,2*ROUND((365*mech_uptime*H155)/2,0),ROUND((365*mech_uptime*H155),0))</f>
        <v/>
      </c>
      <c r="N155" s="37">
        <f>mech_uptime</f>
        <v/>
      </c>
      <c r="O155" s="37">
        <f>IF(AND(B155="South Korea",scenario="MID"),korea_mid_revleg,revleg_sel)</f>
        <v/>
      </c>
      <c r="P155" s="36">
        <f>IF(ABS(MOD(ABS((L155*M155*O155)),1)-0.5)&lt;1E-9,2*ROUND((L155*M155*O155)/2,0),ROUND((L155*M155*O155),0))</f>
        <v/>
      </c>
      <c r="Q155" s="37">
        <f>IF(AND(B155="South Korea",scenario="MID"),korea_mid_load,load_sel)</f>
        <v/>
      </c>
      <c r="R155" s="38">
        <f>pax_cap*Q155</f>
        <v/>
      </c>
      <c r="S155" s="36">
        <f>R155*P155</f>
        <v/>
      </c>
      <c r="T155" s="39">
        <f>E155*discount</f>
        <v/>
      </c>
      <c r="U155" s="40">
        <f>T155*S155</f>
        <v/>
      </c>
      <c r="V155" s="40">
        <f>(battery/range_nm)*D155*P155*VLOOKUP(B155,country_opex,3,FALSE)</f>
        <v/>
      </c>
      <c r="W155" s="40">
        <f>VLOOKUP(B155,country_opex,2,FALSE)*crew_factor</f>
        <v/>
      </c>
      <c r="X155" s="40">
        <f>VLOOKUP(B155,country_opex,5,FALSE)</f>
        <v/>
      </c>
      <c r="Y155" s="40">
        <f>maint</f>
        <v/>
      </c>
      <c r="Z155" s="40">
        <f>VLOOKUP(B155,country_opex,7,FALSE)*ins_pct</f>
        <v/>
      </c>
      <c r="AA155" s="40">
        <f>charge_berth</f>
        <v/>
      </c>
      <c r="AB155" s="40">
        <f>V155+W155+X155+Y155+Z155+AA155</f>
        <v/>
      </c>
      <c r="AC155" s="40">
        <f>VLOOKUP(B155,country_opex,7,FALSE)/dep_years</f>
        <v/>
      </c>
      <c r="AD155" s="40">
        <f>U155-AB155</f>
        <v/>
      </c>
      <c r="AE155" s="37">
        <f>IF(U155=0,"",AD155/U155)</f>
        <v/>
      </c>
      <c r="AF155" s="38">
        <f>IF(AD155&lt;=0,"",VLOOKUP(B155,country_opex,7,FALSE)/AD155)</f>
        <v/>
      </c>
      <c r="AG155" s="35">
        <f>((D155*P155/diesel_nmpg)*diesel_co2pg-(battery/range_nm)*D155*P155*VLOOKUP(B155,country_opex,4,FALSE))/1000</f>
        <v/>
      </c>
      <c r="AH155" s="33" t="n">
        <v>36000</v>
      </c>
      <c r="AI155" s="34" t="n"/>
      <c r="AJ155" s="34" t="n"/>
      <c r="AK155" s="41" t="n">
        <v>0.1</v>
      </c>
      <c r="AL155" s="36">
        <f>IF(AH155="","",AH155*AK155)</f>
        <v/>
      </c>
      <c r="AM155" s="36">
        <f>IF(OR(AH155="",S155=0),"",MIN(IF(AU155="",9.9E+99,AU155),FLOOR(AL155/S155,1)))</f>
        <v/>
      </c>
      <c r="AN155" s="40">
        <f>IF(AM155="","",AM155*IF(ABS(MOD(ABS((U155)),1)-0.5)&lt;1E-9,2*ROUND((U155)/2,0),ROUND((U155),0)))</f>
        <v/>
      </c>
      <c r="AO155" s="38">
        <f>IF(OR(AH155="",S155=0),"",MIN(IF(AU155="",9.9E+99,AU155),AL155/S155))</f>
        <v/>
      </c>
      <c r="AP155" s="40">
        <f>IF(AO155="","",AO155*IF(B155="South Korea",IF(ABS(MOD(ABS((U155)),1)-0.5)&lt;1E-9,2*ROUND((U155)/2,0),ROUND((U155),0)),U155))</f>
        <v/>
      </c>
      <c r="AQ155" s="42" t="n"/>
      <c r="AR155" s="34" t="inlineStr">
        <is>
          <t>Estimated</t>
        </is>
      </c>
      <c r="AS155" s="43" t="n"/>
      <c r="AT155" s="43" t="n"/>
      <c r="AU155" s="44" t="n"/>
      <c r="AV155" s="45">
        <f>IF(((T155*pax_cap*load_thin*IF(ABS(MOD(ABS((L155*M155*revleg_thin)),1)-0.5)&lt;1E-9,2*ROUND((L155*M155*revleg_thin)/2,0),ROUND((L155*M155*revleg_thin),0)))-(((battery/range_nm)*D155*IF(ABS(MOD(ABS((L155*M155*revleg_thin)),1)-0.5)&lt;1E-9,2*ROUND((L155*M155*revleg_thin)/2,0),ROUND((L155*M155*revleg_thin),0))*VLOOKUP(B155,country_opex,3,FALSE))+W155+X155+Y155+Z155+AA155))&lt;=0,"",VLOOKUP(B155,country_opex,7,FALSE)/((T155*pax_cap*load_thin*IF(ABS(MOD(ABS((L155*M155*revleg_thin)),1)-0.5)&lt;1E-9,2*ROUND((L155*M155*revleg_thin)/2,0),ROUND((L155*M155*revleg_thin),0)))-(((battery/range_nm)*D155*IF(ABS(MOD(ABS((L155*M155*revleg_thin)),1)-0.5)&lt;1E-9,2*ROUND((L155*M155*revleg_thin)/2,0),ROUND((L155*M155*revleg_thin),0))*VLOOKUP(B155,country_opex,3,FALSE))+W155+X155+Y155+Z155+AA155)))</f>
        <v/>
      </c>
      <c r="AW155" s="45">
        <f>IF(((T155*pax_cap*IF(B155="South Korea",korea_mid_load,load_mid)*IF(ABS(MOD(ABS((L155*M155*IF(B155="South Korea",korea_mid_revleg,revleg_mid))),1)-0.5)&lt;1E-9,2*ROUND((L155*M155*IF(B155="South Korea",korea_mid_revleg,revleg_mid))/2,0),ROUND((L155*M155*IF(B155="South Korea",korea_mid_revleg,revleg_mid)),0)))-(((battery/range_nm)*D155*IF(ABS(MOD(ABS((L155*M155*IF(B155="South Korea",korea_mid_revleg,revleg_mid))),1)-0.5)&lt;1E-9,2*ROUND((L155*M155*IF(B155="South Korea",korea_mid_revleg,revleg_mid))/2,0),ROUND((L155*M155*IF(B155="South Korea",korea_mid_revleg,revleg_mid)),0))*VLOOKUP(B155,country_opex,3,FALSE))+W155+X155+Y155+Z155+AA155))&lt;=0,"",VLOOKUP(B155,country_opex,7,FALSE)/((T155*pax_cap*IF(B155="South Korea",korea_mid_load,load_mid)*IF(ABS(MOD(ABS((L155*M155*IF(B155="South Korea",korea_mid_revleg,revleg_mid))),1)-0.5)&lt;1E-9,2*ROUND((L155*M155*IF(B155="South Korea",korea_mid_revleg,revleg_mid))/2,0),ROUND((L155*M155*IF(B155="South Korea",korea_mid_revleg,revleg_mid)),0)))-(((battery/range_nm)*D155*IF(ABS(MOD(ABS((L155*M155*IF(B155="South Korea",korea_mid_revleg,revleg_mid))),1)-0.5)&lt;1E-9,2*ROUND((L155*M155*IF(B155="South Korea",korea_mid_revleg,revleg_mid))/2,0),ROUND((L155*M155*IF(B155="South Korea",korea_mid_revleg,revleg_mid)),0))*VLOOKUP(B155,country_opex,3,FALSE))+W155+X155+Y155+Z155+AA155)))</f>
        <v/>
      </c>
      <c r="AX155" s="45">
        <f>IF(((T155*pax_cap*load_full*IF(ABS(MOD(ABS((L155*M155*revleg_full)),1)-0.5)&lt;1E-9,2*ROUND((L155*M155*revleg_full)/2,0),ROUND((L155*M155*revleg_full),0)))-(((battery/range_nm)*D155*IF(ABS(MOD(ABS((L155*M155*revleg_full)),1)-0.5)&lt;1E-9,2*ROUND((L155*M155*revleg_full)/2,0),ROUND((L155*M155*revleg_full),0))*VLOOKUP(B155,country_opex,3,FALSE))+W155+X155+Y155+Z155+AA155))&lt;=0,"",VLOOKUP(B155,country_opex,7,FALSE)/((T155*pax_cap*load_full*IF(ABS(MOD(ABS((L155*M155*revleg_full)),1)-0.5)&lt;1E-9,2*ROUND((L155*M155*revleg_full)/2,0),ROUND((L155*M155*revleg_full),0)))-(((battery/range_nm)*D155*IF(ABS(MOD(ABS((L155*M155*revleg_full)),1)-0.5)&lt;1E-9,2*ROUND((L155*M155*revleg_full)/2,0),ROUND((L155*M155*revleg_full),0))*VLOOKUP(B155,country_opex,3,FALSE))+W155+X155+Y155+Z155+AA155)))</f>
        <v/>
      </c>
      <c r="AY155" s="46" t="inlineStr">
        <is>
          <t>PREMIUM tier: Fly Blue catamaran Marbella&lt;-&gt;Puerto Banús ~EUR 11 one-way (traveller reports EUR 11 one-way; ~30 min) x 1.08 = ~$11.9. Short hop, inexpensive premium tier.</t>
        </is>
      </c>
      <c r="AZ155" s="46" t="n"/>
      <c r="BA155" s="34" t="n"/>
    </row>
    <row r="156">
      <c r="A156" s="31" t="inlineStr">
        <is>
          <t>Bolt Spain</t>
        </is>
      </c>
      <c r="B156" s="31" t="inlineStr">
        <is>
          <t>Spain</t>
        </is>
      </c>
      <c r="C156" s="32" t="inlineStr">
        <is>
          <t>Lloret de Mar → Tossa de Mar</t>
        </is>
      </c>
      <c r="D156" s="33" t="n">
        <v>4</v>
      </c>
      <c r="E156" s="27" t="n">
        <v>20</v>
      </c>
      <c r="F156" s="34" t="inlineStr">
        <is>
          <t>T2</t>
        </is>
      </c>
      <c r="G156" s="34" t="inlineStr">
        <is>
          <t>med</t>
        </is>
      </c>
      <c r="H156" s="20" t="n">
        <v>1</v>
      </c>
      <c r="I156" s="35">
        <f>60*D156/cruise_kt</f>
        <v/>
      </c>
      <c r="J156" s="35">
        <f>IF(B156="South Korea",D156/korea_charge_range_nm*korea_full_range_charge_min,0)</f>
        <v/>
      </c>
      <c r="K156" s="35">
        <f>IF(B156="South Korea",I156+korea_turn_min+korea_dwell_min+J156,I156+turn_min+dwell_min)</f>
        <v/>
      </c>
      <c r="L156" s="36">
        <f>IF(B156="South Korea",FLOOR(60*korea_service_hr/K156,1),MIN(24,FLOOR(60*service_hr/K156,1)))</f>
        <v/>
      </c>
      <c r="M156" s="36">
        <f>IF(ABS(MOD(ABS((365*mech_uptime*H156)),1)-0.5)&lt;1E-9,2*ROUND((365*mech_uptime*H156)/2,0),ROUND((365*mech_uptime*H156),0))</f>
        <v/>
      </c>
      <c r="N156" s="37">
        <f>mech_uptime</f>
        <v/>
      </c>
      <c r="O156" s="37">
        <f>IF(AND(B156="South Korea",scenario="MID"),korea_mid_revleg,revleg_sel)</f>
        <v/>
      </c>
      <c r="P156" s="36">
        <f>IF(ABS(MOD(ABS((L156*M156*O156)),1)-0.5)&lt;1E-9,2*ROUND((L156*M156*O156)/2,0),ROUND((L156*M156*O156),0))</f>
        <v/>
      </c>
      <c r="Q156" s="37">
        <f>IF(AND(B156="South Korea",scenario="MID"),korea_mid_load,load_sel)</f>
        <v/>
      </c>
      <c r="R156" s="38">
        <f>pax_cap*Q156</f>
        <v/>
      </c>
      <c r="S156" s="36">
        <f>R156*P156</f>
        <v/>
      </c>
      <c r="T156" s="39">
        <f>E156*discount</f>
        <v/>
      </c>
      <c r="U156" s="40">
        <f>T156*S156</f>
        <v/>
      </c>
      <c r="V156" s="40">
        <f>(battery/range_nm)*D156*P156*VLOOKUP(B156,country_opex,3,FALSE)</f>
        <v/>
      </c>
      <c r="W156" s="40">
        <f>VLOOKUP(B156,country_opex,2,FALSE)*crew_factor</f>
        <v/>
      </c>
      <c r="X156" s="40">
        <f>VLOOKUP(B156,country_opex,5,FALSE)</f>
        <v/>
      </c>
      <c r="Y156" s="40">
        <f>maint</f>
        <v/>
      </c>
      <c r="Z156" s="40">
        <f>VLOOKUP(B156,country_opex,7,FALSE)*ins_pct</f>
        <v/>
      </c>
      <c r="AA156" s="40">
        <f>charge_berth</f>
        <v/>
      </c>
      <c r="AB156" s="40">
        <f>V156+W156+X156+Y156+Z156+AA156</f>
        <v/>
      </c>
      <c r="AC156" s="40">
        <f>VLOOKUP(B156,country_opex,7,FALSE)/dep_years</f>
        <v/>
      </c>
      <c r="AD156" s="40">
        <f>U156-AB156</f>
        <v/>
      </c>
      <c r="AE156" s="37">
        <f>IF(U156=0,"",AD156/U156)</f>
        <v/>
      </c>
      <c r="AF156" s="38">
        <f>IF(AD156&lt;=0,"",VLOOKUP(B156,country_opex,7,FALSE)/AD156)</f>
        <v/>
      </c>
      <c r="AG156" s="35">
        <f>((D156*P156/diesel_nmpg)*diesel_co2pg-(battery/range_nm)*D156*P156*VLOOKUP(B156,country_opex,4,FALSE))/1000</f>
        <v/>
      </c>
      <c r="AH156" s="33" t="n">
        <v>112000</v>
      </c>
      <c r="AI156" s="34" t="n"/>
      <c r="AJ156" s="34" t="n"/>
      <c r="AK156" s="41" t="n">
        <v>0.1</v>
      </c>
      <c r="AL156" s="36">
        <f>IF(AH156="","",AH156*AK156)</f>
        <v/>
      </c>
      <c r="AM156" s="36">
        <f>IF(OR(AH156="",S156=0),"",MIN(IF(AU156="",9.9E+99,AU156),FLOOR(AL156/S156,1)))</f>
        <v/>
      </c>
      <c r="AN156" s="40">
        <f>IF(AM156="","",AM156*IF(ABS(MOD(ABS((U156)),1)-0.5)&lt;1E-9,2*ROUND((U156)/2,0),ROUND((U156),0)))</f>
        <v/>
      </c>
      <c r="AO156" s="38">
        <f>IF(OR(AH156="",S156=0),"",MIN(IF(AU156="",9.9E+99,AU156),AL156/S156))</f>
        <v/>
      </c>
      <c r="AP156" s="40">
        <f>IF(AO156="","",AO156*IF(B156="South Korea",IF(ABS(MOD(ABS((U156)),1)-0.5)&lt;1E-9,2*ROUND((U156)/2,0),ROUND((U156),0)),U156))</f>
        <v/>
      </c>
      <c r="AQ156" s="42" t="n"/>
      <c r="AR156" s="34" t="inlineStr">
        <is>
          <t>Estimated</t>
        </is>
      </c>
      <c r="AS156" s="43" t="n"/>
      <c r="AT156" s="43" t="n"/>
      <c r="AU156" s="44" t="n"/>
      <c r="AV156" s="45">
        <f>IF(((T156*pax_cap*load_thin*IF(ABS(MOD(ABS((L156*M156*revleg_thin)),1)-0.5)&lt;1E-9,2*ROUND((L156*M156*revleg_thin)/2,0),ROUND((L156*M156*revleg_thin),0)))-(((battery/range_nm)*D156*IF(ABS(MOD(ABS((L156*M156*revleg_thin)),1)-0.5)&lt;1E-9,2*ROUND((L156*M156*revleg_thin)/2,0),ROUND((L156*M156*revleg_thin),0))*VLOOKUP(B156,country_opex,3,FALSE))+W156+X156+Y156+Z156+AA156))&lt;=0,"",VLOOKUP(B156,country_opex,7,FALSE)/((T156*pax_cap*load_thin*IF(ABS(MOD(ABS((L156*M156*revleg_thin)),1)-0.5)&lt;1E-9,2*ROUND((L156*M156*revleg_thin)/2,0),ROUND((L156*M156*revleg_thin),0)))-(((battery/range_nm)*D156*IF(ABS(MOD(ABS((L156*M156*revleg_thin)),1)-0.5)&lt;1E-9,2*ROUND((L156*M156*revleg_thin)/2,0),ROUND((L156*M156*revleg_thin),0))*VLOOKUP(B156,country_opex,3,FALSE))+W156+X156+Y156+Z156+AA156)))</f>
        <v/>
      </c>
      <c r="AW156" s="45">
        <f>IF(((T156*pax_cap*IF(B156="South Korea",korea_mid_load,load_mid)*IF(ABS(MOD(ABS((L156*M156*IF(B156="South Korea",korea_mid_revleg,revleg_mid))),1)-0.5)&lt;1E-9,2*ROUND((L156*M156*IF(B156="South Korea",korea_mid_revleg,revleg_mid))/2,0),ROUND((L156*M156*IF(B156="South Korea",korea_mid_revleg,revleg_mid)),0)))-(((battery/range_nm)*D156*IF(ABS(MOD(ABS((L156*M156*IF(B156="South Korea",korea_mid_revleg,revleg_mid))),1)-0.5)&lt;1E-9,2*ROUND((L156*M156*IF(B156="South Korea",korea_mid_revleg,revleg_mid))/2,0),ROUND((L156*M156*IF(B156="South Korea",korea_mid_revleg,revleg_mid)),0))*VLOOKUP(B156,country_opex,3,FALSE))+W156+X156+Y156+Z156+AA156))&lt;=0,"",VLOOKUP(B156,country_opex,7,FALSE)/((T156*pax_cap*IF(B156="South Korea",korea_mid_load,load_mid)*IF(ABS(MOD(ABS((L156*M156*IF(B156="South Korea",korea_mid_revleg,revleg_mid))),1)-0.5)&lt;1E-9,2*ROUND((L156*M156*IF(B156="South Korea",korea_mid_revleg,revleg_mid))/2,0),ROUND((L156*M156*IF(B156="South Korea",korea_mid_revleg,revleg_mid)),0)))-(((battery/range_nm)*D156*IF(ABS(MOD(ABS((L156*M156*IF(B156="South Korea",korea_mid_revleg,revleg_mid))),1)-0.5)&lt;1E-9,2*ROUND((L156*M156*IF(B156="South Korea",korea_mid_revleg,revleg_mid))/2,0),ROUND((L156*M156*IF(B156="South Korea",korea_mid_revleg,revleg_mid)),0))*VLOOKUP(B156,country_opex,3,FALSE))+W156+X156+Y156+Z156+AA156)))</f>
        <v/>
      </c>
      <c r="AX156" s="45">
        <f>IF(((T156*pax_cap*load_full*IF(ABS(MOD(ABS((L156*M156*revleg_full)),1)-0.5)&lt;1E-9,2*ROUND((L156*M156*revleg_full)/2,0),ROUND((L156*M156*revleg_full),0)))-(((battery/range_nm)*D156*IF(ABS(MOD(ABS((L156*M156*revleg_full)),1)-0.5)&lt;1E-9,2*ROUND((L156*M156*revleg_full)/2,0),ROUND((L156*M156*revleg_full),0))*VLOOKUP(B156,country_opex,3,FALSE))+W156+X156+Y156+Z156+AA156))&lt;=0,"",VLOOKUP(B156,country_opex,7,FALSE)/((T156*pax_cap*load_full*IF(ABS(MOD(ABS((L156*M156*revleg_full)),1)-0.5)&lt;1E-9,2*ROUND((L156*M156*revleg_full)/2,0),ROUND((L156*M156*revleg_full),0)))-(((battery/range_nm)*D156*IF(ABS(MOD(ABS((L156*M156*revleg_full)),1)-0.5)&lt;1E-9,2*ROUND((L156*M156*revleg_full)/2,0),ROUND((L156*M156*revleg_full),0))*VLOOKUP(B156,country_opex,3,FALSE))+W156+X156+Y156+Z156+AA156)))</f>
        <v/>
      </c>
      <c r="AY156" s="46" t="inlineStr">
        <is>
          <t>PREMIUM tier proxy: Dofi Jet Boats Lloret&lt;-&gt;Tossa one-way ~EUR 18-19 (round-trip excursion product, ~EUR 30+; one-way ~half) x 1.08 = ~$20. RANGED estimate (operator advertises mainly round-trip), flagged.</t>
        </is>
      </c>
      <c r="AZ156" s="46" t="n"/>
      <c r="BA156" s="34" t="n"/>
    </row>
    <row r="157">
      <c r="A157" s="31" t="inlineStr">
        <is>
          <t>Bolt Spain</t>
        </is>
      </c>
      <c r="B157" s="31" t="inlineStr">
        <is>
          <t>Spain</t>
        </is>
      </c>
      <c r="C157" s="32" t="inlineStr">
        <is>
          <t>Port de Sóller (Mallorca) → Sa Calobra / Torrent de Pareis (Mallorca)</t>
        </is>
      </c>
      <c r="D157" s="33" t="n">
        <v>9</v>
      </c>
      <c r="E157" s="27" t="n">
        <v>24.8</v>
      </c>
      <c r="F157" s="34" t="inlineStr">
        <is>
          <t>T2</t>
        </is>
      </c>
      <c r="G157" s="34" t="inlineStr">
        <is>
          <t>med</t>
        </is>
      </c>
      <c r="H157" s="20" t="n">
        <v>1</v>
      </c>
      <c r="I157" s="35">
        <f>60*D157/cruise_kt</f>
        <v/>
      </c>
      <c r="J157" s="35">
        <f>IF(B157="South Korea",D157/korea_charge_range_nm*korea_full_range_charge_min,0)</f>
        <v/>
      </c>
      <c r="K157" s="35">
        <f>IF(B157="South Korea",I157+korea_turn_min+korea_dwell_min+J157,I157+turn_min+dwell_min)</f>
        <v/>
      </c>
      <c r="L157" s="36">
        <f>IF(B157="South Korea",FLOOR(60*korea_service_hr/K157,1),MIN(15,FLOOR(60*service_hr/K157,1)))</f>
        <v/>
      </c>
      <c r="M157" s="36">
        <f>IF(ABS(MOD(ABS((365*mech_uptime*H157)),1)-0.5)&lt;1E-9,2*ROUND((365*mech_uptime*H157)/2,0),ROUND((365*mech_uptime*H157),0))</f>
        <v/>
      </c>
      <c r="N157" s="37">
        <f>mech_uptime</f>
        <v/>
      </c>
      <c r="O157" s="37">
        <f>IF(AND(B157="South Korea",scenario="MID"),korea_mid_revleg,revleg_sel)</f>
        <v/>
      </c>
      <c r="P157" s="36">
        <f>IF(ABS(MOD(ABS((L157*M157*O157)),1)-0.5)&lt;1E-9,2*ROUND((L157*M157*O157)/2,0),ROUND((L157*M157*O157),0))</f>
        <v/>
      </c>
      <c r="Q157" s="37">
        <f>IF(AND(B157="South Korea",scenario="MID"),korea_mid_load,load_sel)</f>
        <v/>
      </c>
      <c r="R157" s="38">
        <f>pax_cap*Q157</f>
        <v/>
      </c>
      <c r="S157" s="36">
        <f>R157*P157</f>
        <v/>
      </c>
      <c r="T157" s="39">
        <f>E157*discount</f>
        <v/>
      </c>
      <c r="U157" s="40">
        <f>T157*S157</f>
        <v/>
      </c>
      <c r="V157" s="40">
        <f>(battery/range_nm)*D157*P157*VLOOKUP(B157,country_opex,3,FALSE)</f>
        <v/>
      </c>
      <c r="W157" s="40">
        <f>VLOOKUP(B157,country_opex,2,FALSE)*crew_factor</f>
        <v/>
      </c>
      <c r="X157" s="40">
        <f>VLOOKUP(B157,country_opex,5,FALSE)</f>
        <v/>
      </c>
      <c r="Y157" s="40">
        <f>maint</f>
        <v/>
      </c>
      <c r="Z157" s="40">
        <f>VLOOKUP(B157,country_opex,7,FALSE)*ins_pct</f>
        <v/>
      </c>
      <c r="AA157" s="40">
        <f>charge_berth</f>
        <v/>
      </c>
      <c r="AB157" s="40">
        <f>V157+W157+X157+Y157+Z157+AA157</f>
        <v/>
      </c>
      <c r="AC157" s="40">
        <f>VLOOKUP(B157,country_opex,7,FALSE)/dep_years</f>
        <v/>
      </c>
      <c r="AD157" s="40">
        <f>U157-AB157</f>
        <v/>
      </c>
      <c r="AE157" s="37">
        <f>IF(U157=0,"",AD157/U157)</f>
        <v/>
      </c>
      <c r="AF157" s="38">
        <f>IF(AD157&lt;=0,"",VLOOKUP(B157,country_opex,7,FALSE)/AD157)</f>
        <v/>
      </c>
      <c r="AG157" s="35">
        <f>((D157*P157/diesel_nmpg)*diesel_co2pg-(battery/range_nm)*D157*P157*VLOOKUP(B157,country_opex,4,FALSE))/1000</f>
        <v/>
      </c>
      <c r="AH157" s="33" t="n"/>
      <c r="AI157" s="34" t="n"/>
      <c r="AJ157" s="34" t="n"/>
      <c r="AK157" s="41" t="n">
        <v>0.1</v>
      </c>
      <c r="AL157" s="36">
        <f>IF(AH157="","",AH157*AK157)</f>
        <v/>
      </c>
      <c r="AM157" s="36">
        <f>IF(OR(AH157="",S157=0),"",MIN(IF(AU157="",9.9E+99,AU157),FLOOR(AL157/S157,1)))</f>
        <v/>
      </c>
      <c r="AN157" s="40">
        <f>IF(AM157="","",AM157*IF(ABS(MOD(ABS((U157)),1)-0.5)&lt;1E-9,2*ROUND((U157)/2,0),ROUND((U157),0)))</f>
        <v/>
      </c>
      <c r="AO157" s="38">
        <f>IF(OR(AH157="",S157=0),"",MIN(IF(AU157="",9.9E+99,AU157),AL157/S157))</f>
        <v/>
      </c>
      <c r="AP157" s="40">
        <f>IF(AO157="","",AO157*IF(B157="South Korea",IF(ABS(MOD(ABS((U157)),1)-0.5)&lt;1E-9,2*ROUND((U157)/2,0),ROUND((U157),0)),U157))</f>
        <v/>
      </c>
      <c r="AQ157" s="42" t="n"/>
      <c r="AR157" s="34" t="inlineStr">
        <is>
          <t>Estimated</t>
        </is>
      </c>
      <c r="AS157" s="43" t="n"/>
      <c r="AT157" s="43" t="n"/>
      <c r="AU157" s="44" t="n"/>
      <c r="AV157" s="45">
        <f>IF(((T157*pax_cap*load_thin*IF(ABS(MOD(ABS((L157*M157*revleg_thin)),1)-0.5)&lt;1E-9,2*ROUND((L157*M157*revleg_thin)/2,0),ROUND((L157*M157*revleg_thin),0)))-(((battery/range_nm)*D157*IF(ABS(MOD(ABS((L157*M157*revleg_thin)),1)-0.5)&lt;1E-9,2*ROUND((L157*M157*revleg_thin)/2,0),ROUND((L157*M157*revleg_thin),0))*VLOOKUP(B157,country_opex,3,FALSE))+W157+X157+Y157+Z157+AA157))&lt;=0,"",VLOOKUP(B157,country_opex,7,FALSE)/((T157*pax_cap*load_thin*IF(ABS(MOD(ABS((L157*M157*revleg_thin)),1)-0.5)&lt;1E-9,2*ROUND((L157*M157*revleg_thin)/2,0),ROUND((L157*M157*revleg_thin),0)))-(((battery/range_nm)*D157*IF(ABS(MOD(ABS((L157*M157*revleg_thin)),1)-0.5)&lt;1E-9,2*ROUND((L157*M157*revleg_thin)/2,0),ROUND((L157*M157*revleg_thin),0))*VLOOKUP(B157,country_opex,3,FALSE))+W157+X157+Y157+Z157+AA157)))</f>
        <v/>
      </c>
      <c r="AW157" s="45">
        <f>IF(((T157*pax_cap*IF(B157="South Korea",korea_mid_load,load_mid)*IF(ABS(MOD(ABS((L157*M157*IF(B157="South Korea",korea_mid_revleg,revleg_mid))),1)-0.5)&lt;1E-9,2*ROUND((L157*M157*IF(B157="South Korea",korea_mid_revleg,revleg_mid))/2,0),ROUND((L157*M157*IF(B157="South Korea",korea_mid_revleg,revleg_mid)),0)))-(((battery/range_nm)*D157*IF(ABS(MOD(ABS((L157*M157*IF(B157="South Korea",korea_mid_revleg,revleg_mid))),1)-0.5)&lt;1E-9,2*ROUND((L157*M157*IF(B157="South Korea",korea_mid_revleg,revleg_mid))/2,0),ROUND((L157*M157*IF(B157="South Korea",korea_mid_revleg,revleg_mid)),0))*VLOOKUP(B157,country_opex,3,FALSE))+W157+X157+Y157+Z157+AA157))&lt;=0,"",VLOOKUP(B157,country_opex,7,FALSE)/((T157*pax_cap*IF(B157="South Korea",korea_mid_load,load_mid)*IF(ABS(MOD(ABS((L157*M157*IF(B157="South Korea",korea_mid_revleg,revleg_mid))),1)-0.5)&lt;1E-9,2*ROUND((L157*M157*IF(B157="South Korea",korea_mid_revleg,revleg_mid))/2,0),ROUND((L157*M157*IF(B157="South Korea",korea_mid_revleg,revleg_mid)),0)))-(((battery/range_nm)*D157*IF(ABS(MOD(ABS((L157*M157*IF(B157="South Korea",korea_mid_revleg,revleg_mid))),1)-0.5)&lt;1E-9,2*ROUND((L157*M157*IF(B157="South Korea",korea_mid_revleg,revleg_mid))/2,0),ROUND((L157*M157*IF(B157="South Korea",korea_mid_revleg,revleg_mid)),0))*VLOOKUP(B157,country_opex,3,FALSE))+W157+X157+Y157+Z157+AA157)))</f>
        <v/>
      </c>
      <c r="AX157" s="45">
        <f>IF(((T157*pax_cap*load_full*IF(ABS(MOD(ABS((L157*M157*revleg_full)),1)-0.5)&lt;1E-9,2*ROUND((L157*M157*revleg_full)/2,0),ROUND((L157*M157*revleg_full),0)))-(((battery/range_nm)*D157*IF(ABS(MOD(ABS((L157*M157*revleg_full)),1)-0.5)&lt;1E-9,2*ROUND((L157*M157*revleg_full)/2,0),ROUND((L157*M157*revleg_full),0))*VLOOKUP(B157,country_opex,3,FALSE))+W157+X157+Y157+Z157+AA157))&lt;=0,"",VLOOKUP(B157,country_opex,7,FALSE)/((T157*pax_cap*load_full*IF(ABS(MOD(ABS((L157*M157*revleg_full)),1)-0.5)&lt;1E-9,2*ROUND((L157*M157*revleg_full)/2,0),ROUND((L157*M157*revleg_full),0)))-(((battery/range_nm)*D157*IF(ABS(MOD(ABS((L157*M157*revleg_full)),1)-0.5)&lt;1E-9,2*ROUND((L157*M157*revleg_full)/2,0),ROUND((L157*M157*revleg_full),0))*VLOOKUP(B157,country_opex,3,FALSE))+W157+X157+Y157+Z157+AA157)))</f>
        <v/>
      </c>
      <c r="AY157" s="46" t="inlineStr">
        <is>
          <t>PREMIUM tier: Barcos Azules Port de Sóller-&gt;Sa Calobra adult one-way (un trayecto) EUR 23 (2025/2026 tariff) x 1.08 = ~$24.8.</t>
        </is>
      </c>
      <c r="AZ157" s="46" t="n"/>
      <c r="BA157" s="34" t="n"/>
    </row>
    <row r="158">
      <c r="A158" s="31" t="inlineStr">
        <is>
          <t>Bolt Spain</t>
        </is>
      </c>
      <c r="B158" s="31" t="inlineStr">
        <is>
          <t>Spain</t>
        </is>
      </c>
      <c r="C158" s="32" t="inlineStr">
        <is>
          <t>Ibiza Town (Eivissa) → Formentera (La Savina)</t>
        </is>
      </c>
      <c r="D158" s="33" t="n">
        <v>12</v>
      </c>
      <c r="E158" s="27" t="n">
        <v>28.6</v>
      </c>
      <c r="F158" s="34" t="inlineStr">
        <is>
          <t>T2</t>
        </is>
      </c>
      <c r="G158" s="34" t="inlineStr">
        <is>
          <t>med</t>
        </is>
      </c>
      <c r="H158" s="20" t="n">
        <v>1</v>
      </c>
      <c r="I158" s="35">
        <f>60*D158/cruise_kt</f>
        <v/>
      </c>
      <c r="J158" s="35">
        <f>IF(B158="South Korea",D158/korea_charge_range_nm*korea_full_range_charge_min,0)</f>
        <v/>
      </c>
      <c r="K158" s="35">
        <f>IF(B158="South Korea",I158+korea_turn_min+korea_dwell_min+J158,I158+turn_min+dwell_min)</f>
        <v/>
      </c>
      <c r="L158" s="36">
        <f>IF(B158="South Korea",FLOOR(60*korea_service_hr/K158,1),MIN(15,FLOOR(60*service_hr/K158,1)))</f>
        <v/>
      </c>
      <c r="M158" s="36">
        <f>IF(ABS(MOD(ABS((365*mech_uptime*H158)),1)-0.5)&lt;1E-9,2*ROUND((365*mech_uptime*H158)/2,0),ROUND((365*mech_uptime*H158),0))</f>
        <v/>
      </c>
      <c r="N158" s="37">
        <f>mech_uptime</f>
        <v/>
      </c>
      <c r="O158" s="37">
        <f>IF(AND(B158="South Korea",scenario="MID"),korea_mid_revleg,revleg_sel)</f>
        <v/>
      </c>
      <c r="P158" s="36">
        <f>IF(ABS(MOD(ABS((L158*M158*O158)),1)-0.5)&lt;1E-9,2*ROUND((L158*M158*O158)/2,0),ROUND((L158*M158*O158),0))</f>
        <v/>
      </c>
      <c r="Q158" s="37">
        <f>IF(AND(B158="South Korea",scenario="MID"),korea_mid_load,load_sel)</f>
        <v/>
      </c>
      <c r="R158" s="38">
        <f>pax_cap*Q158</f>
        <v/>
      </c>
      <c r="S158" s="36">
        <f>R158*P158</f>
        <v/>
      </c>
      <c r="T158" s="39">
        <f>E158*discount</f>
        <v/>
      </c>
      <c r="U158" s="40">
        <f>T158*S158</f>
        <v/>
      </c>
      <c r="V158" s="40">
        <f>(battery/range_nm)*D158*P158*VLOOKUP(B158,country_opex,3,FALSE)</f>
        <v/>
      </c>
      <c r="W158" s="40">
        <f>VLOOKUP(B158,country_opex,2,FALSE)*crew_factor</f>
        <v/>
      </c>
      <c r="X158" s="40">
        <f>VLOOKUP(B158,country_opex,5,FALSE)</f>
        <v/>
      </c>
      <c r="Y158" s="40">
        <f>maint</f>
        <v/>
      </c>
      <c r="Z158" s="40">
        <f>VLOOKUP(B158,country_opex,7,FALSE)*ins_pct</f>
        <v/>
      </c>
      <c r="AA158" s="40">
        <f>charge_berth</f>
        <v/>
      </c>
      <c r="AB158" s="40">
        <f>V158+W158+X158+Y158+Z158+AA158</f>
        <v/>
      </c>
      <c r="AC158" s="40">
        <f>VLOOKUP(B158,country_opex,7,FALSE)/dep_years</f>
        <v/>
      </c>
      <c r="AD158" s="40">
        <f>U158-AB158</f>
        <v/>
      </c>
      <c r="AE158" s="37">
        <f>IF(U158=0,"",AD158/U158)</f>
        <v/>
      </c>
      <c r="AF158" s="38">
        <f>IF(AD158&lt;=0,"",VLOOKUP(B158,country_opex,7,FALSE)/AD158)</f>
        <v/>
      </c>
      <c r="AG158" s="35">
        <f>((D158*P158/diesel_nmpg)*diesel_co2pg-(battery/range_nm)*D158*P158*VLOOKUP(B158,country_opex,4,FALSE))/1000</f>
        <v/>
      </c>
      <c r="AH158" s="33" t="n">
        <v>1190000</v>
      </c>
      <c r="AI158" s="34" t="n"/>
      <c r="AJ158" s="34" t="n"/>
      <c r="AK158" s="41" t="n">
        <v>0.1</v>
      </c>
      <c r="AL158" s="36">
        <f>IF(AH158="","",AH158*AK158)</f>
        <v/>
      </c>
      <c r="AM158" s="36">
        <f>IF(OR(AH158="",S158=0),"",MIN(IF(AU158="",9.9E+99,AU158),FLOOR(AL158/S158,1)))</f>
        <v/>
      </c>
      <c r="AN158" s="40">
        <f>IF(AM158="","",AM158*IF(ABS(MOD(ABS((U158)),1)-0.5)&lt;1E-9,2*ROUND((U158)/2,0),ROUND((U158),0)))</f>
        <v/>
      </c>
      <c r="AO158" s="38">
        <f>IF(OR(AH158="",S158=0),"",MIN(IF(AU158="",9.9E+99,AU158),AL158/S158))</f>
        <v/>
      </c>
      <c r="AP158" s="40">
        <f>IF(AO158="","",AO158*IF(B158="South Korea",IF(ABS(MOD(ABS((U158)),1)-0.5)&lt;1E-9,2*ROUND((U158)/2,0),ROUND((U158),0)),U158))</f>
        <v/>
      </c>
      <c r="AQ158" s="42" t="n"/>
      <c r="AR158" s="34" t="inlineStr">
        <is>
          <t>Grounded</t>
        </is>
      </c>
      <c r="AS158" s="43" t="n"/>
      <c r="AT158" s="43" t="n"/>
      <c r="AU158" s="44" t="n"/>
      <c r="AV158" s="45">
        <f>IF(((T158*pax_cap*load_thin*IF(ABS(MOD(ABS((L158*M158*revleg_thin)),1)-0.5)&lt;1E-9,2*ROUND((L158*M158*revleg_thin)/2,0),ROUND((L158*M158*revleg_thin),0)))-(((battery/range_nm)*D158*IF(ABS(MOD(ABS((L158*M158*revleg_thin)),1)-0.5)&lt;1E-9,2*ROUND((L158*M158*revleg_thin)/2,0),ROUND((L158*M158*revleg_thin),0))*VLOOKUP(B158,country_opex,3,FALSE))+W158+X158+Y158+Z158+AA158))&lt;=0,"",VLOOKUP(B158,country_opex,7,FALSE)/((T158*pax_cap*load_thin*IF(ABS(MOD(ABS((L158*M158*revleg_thin)),1)-0.5)&lt;1E-9,2*ROUND((L158*M158*revleg_thin)/2,0),ROUND((L158*M158*revleg_thin),0)))-(((battery/range_nm)*D158*IF(ABS(MOD(ABS((L158*M158*revleg_thin)),1)-0.5)&lt;1E-9,2*ROUND((L158*M158*revleg_thin)/2,0),ROUND((L158*M158*revleg_thin),0))*VLOOKUP(B158,country_opex,3,FALSE))+W158+X158+Y158+Z158+AA158)))</f>
        <v/>
      </c>
      <c r="AW158" s="45">
        <f>IF(((T158*pax_cap*IF(B158="South Korea",korea_mid_load,load_mid)*IF(ABS(MOD(ABS((L158*M158*IF(B158="South Korea",korea_mid_revleg,revleg_mid))),1)-0.5)&lt;1E-9,2*ROUND((L158*M158*IF(B158="South Korea",korea_mid_revleg,revleg_mid))/2,0),ROUND((L158*M158*IF(B158="South Korea",korea_mid_revleg,revleg_mid)),0)))-(((battery/range_nm)*D158*IF(ABS(MOD(ABS((L158*M158*IF(B158="South Korea",korea_mid_revleg,revleg_mid))),1)-0.5)&lt;1E-9,2*ROUND((L158*M158*IF(B158="South Korea",korea_mid_revleg,revleg_mid))/2,0),ROUND((L158*M158*IF(B158="South Korea",korea_mid_revleg,revleg_mid)),0))*VLOOKUP(B158,country_opex,3,FALSE))+W158+X158+Y158+Z158+AA158))&lt;=0,"",VLOOKUP(B158,country_opex,7,FALSE)/((T158*pax_cap*IF(B158="South Korea",korea_mid_load,load_mid)*IF(ABS(MOD(ABS((L158*M158*IF(B158="South Korea",korea_mid_revleg,revleg_mid))),1)-0.5)&lt;1E-9,2*ROUND((L158*M158*IF(B158="South Korea",korea_mid_revleg,revleg_mid))/2,0),ROUND((L158*M158*IF(B158="South Korea",korea_mid_revleg,revleg_mid)),0)))-(((battery/range_nm)*D158*IF(ABS(MOD(ABS((L158*M158*IF(B158="South Korea",korea_mid_revleg,revleg_mid))),1)-0.5)&lt;1E-9,2*ROUND((L158*M158*IF(B158="South Korea",korea_mid_revleg,revleg_mid))/2,0),ROUND((L158*M158*IF(B158="South Korea",korea_mid_revleg,revleg_mid)),0))*VLOOKUP(B158,country_opex,3,FALSE))+W158+X158+Y158+Z158+AA158)))</f>
        <v/>
      </c>
      <c r="AX158" s="45">
        <f>IF(((T158*pax_cap*load_full*IF(ABS(MOD(ABS((L158*M158*revleg_full)),1)-0.5)&lt;1E-9,2*ROUND((L158*M158*revleg_full)/2,0),ROUND((L158*M158*revleg_full),0)))-(((battery/range_nm)*D158*IF(ABS(MOD(ABS((L158*M158*revleg_full)),1)-0.5)&lt;1E-9,2*ROUND((L158*M158*revleg_full)/2,0),ROUND((L158*M158*revleg_full),0))*VLOOKUP(B158,country_opex,3,FALSE))+W158+X158+Y158+Z158+AA158))&lt;=0,"",VLOOKUP(B158,country_opex,7,FALSE)/((T158*pax_cap*load_full*IF(ABS(MOD(ABS((L158*M158*revleg_full)),1)-0.5)&lt;1E-9,2*ROUND((L158*M158*revleg_full)/2,0),ROUND((L158*M158*revleg_full),0)))-(((battery/range_nm)*D158*IF(ABS(MOD(ABS((L158*M158*revleg_full)),1)-0.5)&lt;1E-9,2*ROUND((L158*M158*revleg_full)/2,0),ROUND((L158*M158*revleg_full),0))*VLOOKUP(B158,country_opex,3,FALSE))+W158+X158+Y158+Z158+AA158)))</f>
        <v/>
      </c>
      <c r="AY158" s="46" t="inlineStr">
        <is>
          <t>PREMIUM tier: Trasmapi/Balearia fast-ferry standard adult one-way ~EUR 26.50 (Trasmapi 'normal price 26.50 EUR one way') x 1.08 = ~$28.6 (fast-ferry tickets EUR 23-29; Balearia 'from EUR 25').</t>
        </is>
      </c>
      <c r="AZ158" s="46" t="n"/>
      <c r="BA158" s="34" t="n"/>
    </row>
    <row r="159">
      <c r="A159" s="31" t="inlineStr">
        <is>
          <t>Bolt Spain</t>
        </is>
      </c>
      <c r="B159" s="31" t="inlineStr">
        <is>
          <t>Spain</t>
        </is>
      </c>
      <c r="C159" s="32" t="inlineStr">
        <is>
          <t>Puerto Banús → Estepona</t>
        </is>
      </c>
      <c r="D159" s="33" t="n">
        <v>12</v>
      </c>
      <c r="E159" s="27" t="n">
        <v>16.2</v>
      </c>
      <c r="F159" s="34" t="inlineStr">
        <is>
          <t>T2</t>
        </is>
      </c>
      <c r="G159" s="34" t="inlineStr">
        <is>
          <t>med</t>
        </is>
      </c>
      <c r="H159" s="20" t="n">
        <v>1</v>
      </c>
      <c r="I159" s="35">
        <f>60*D159/cruise_kt</f>
        <v/>
      </c>
      <c r="J159" s="35">
        <f>IF(B159="South Korea",D159/korea_charge_range_nm*korea_full_range_charge_min,0)</f>
        <v/>
      </c>
      <c r="K159" s="35">
        <f>IF(B159="South Korea",I159+korea_turn_min+korea_dwell_min+J159,I159+turn_min+dwell_min)</f>
        <v/>
      </c>
      <c r="L159" s="36">
        <f>IF(B159="South Korea",FLOOR(60*korea_service_hr/K159,1),MIN(24,FLOOR(60*service_hr/K159,1)))</f>
        <v/>
      </c>
      <c r="M159" s="36">
        <f>IF(ABS(MOD(ABS((365*mech_uptime*H159)),1)-0.5)&lt;1E-9,2*ROUND((365*mech_uptime*H159)/2,0),ROUND((365*mech_uptime*H159),0))</f>
        <v/>
      </c>
      <c r="N159" s="37">
        <f>mech_uptime</f>
        <v/>
      </c>
      <c r="O159" s="37">
        <f>IF(AND(B159="South Korea",scenario="MID"),korea_mid_revleg,revleg_sel)</f>
        <v/>
      </c>
      <c r="P159" s="36">
        <f>IF(ABS(MOD(ABS((L159*M159*O159)),1)-0.5)&lt;1E-9,2*ROUND((L159*M159*O159)/2,0),ROUND((L159*M159*O159),0))</f>
        <v/>
      </c>
      <c r="Q159" s="37">
        <f>IF(AND(B159="South Korea",scenario="MID"),korea_mid_load,load_sel)</f>
        <v/>
      </c>
      <c r="R159" s="38">
        <f>pax_cap*Q159</f>
        <v/>
      </c>
      <c r="S159" s="36">
        <f>R159*P159</f>
        <v/>
      </c>
      <c r="T159" s="39">
        <f>E159*discount</f>
        <v/>
      </c>
      <c r="U159" s="40">
        <f>T159*S159</f>
        <v/>
      </c>
      <c r="V159" s="40">
        <f>(battery/range_nm)*D159*P159*VLOOKUP(B159,country_opex,3,FALSE)</f>
        <v/>
      </c>
      <c r="W159" s="40">
        <f>VLOOKUP(B159,country_opex,2,FALSE)*crew_factor</f>
        <v/>
      </c>
      <c r="X159" s="40">
        <f>VLOOKUP(B159,country_opex,5,FALSE)</f>
        <v/>
      </c>
      <c r="Y159" s="40">
        <f>maint</f>
        <v/>
      </c>
      <c r="Z159" s="40">
        <f>VLOOKUP(B159,country_opex,7,FALSE)*ins_pct</f>
        <v/>
      </c>
      <c r="AA159" s="40">
        <f>charge_berth</f>
        <v/>
      </c>
      <c r="AB159" s="40">
        <f>V159+W159+X159+Y159+Z159+AA159</f>
        <v/>
      </c>
      <c r="AC159" s="40">
        <f>VLOOKUP(B159,country_opex,7,FALSE)/dep_years</f>
        <v/>
      </c>
      <c r="AD159" s="40">
        <f>U159-AB159</f>
        <v/>
      </c>
      <c r="AE159" s="37">
        <f>IF(U159=0,"",AD159/U159)</f>
        <v/>
      </c>
      <c r="AF159" s="38">
        <f>IF(AD159&lt;=0,"",VLOOKUP(B159,country_opex,7,FALSE)/AD159)</f>
        <v/>
      </c>
      <c r="AG159" s="35">
        <f>((D159*P159/diesel_nmpg)*diesel_co2pg-(battery/range_nm)*D159*P159*VLOOKUP(B159,country_opex,4,FALSE))/1000</f>
        <v/>
      </c>
      <c r="AH159" s="33" t="n"/>
      <c r="AI159" s="34" t="n"/>
      <c r="AJ159" s="34" t="n"/>
      <c r="AK159" s="41" t="n">
        <v>0.1</v>
      </c>
      <c r="AL159" s="36">
        <f>IF(AH159="","",AH159*AK159)</f>
        <v/>
      </c>
      <c r="AM159" s="36">
        <f>IF(OR(AH159="",S159=0),"",MIN(IF(AU159="",9.9E+99,AU159),FLOOR(AL159/S159,1)))</f>
        <v/>
      </c>
      <c r="AN159" s="40">
        <f>IF(AM159="","",AM159*IF(ABS(MOD(ABS((U159)),1)-0.5)&lt;1E-9,2*ROUND((U159)/2,0),ROUND((U159),0)))</f>
        <v/>
      </c>
      <c r="AO159" s="38">
        <f>IF(OR(AH159="",S159=0),"",MIN(IF(AU159="",9.9E+99,AU159),AL159/S159))</f>
        <v/>
      </c>
      <c r="AP159" s="40">
        <f>IF(AO159="","",AO159*IF(B159="South Korea",IF(ABS(MOD(ABS((U159)),1)-0.5)&lt;1E-9,2*ROUND((U159)/2,0),ROUND((U159),0)),U159))</f>
        <v/>
      </c>
      <c r="AQ159" s="42" t="n"/>
      <c r="AR159" s="34" t="inlineStr">
        <is>
          <t>Estimated</t>
        </is>
      </c>
      <c r="AS159" s="43" t="n"/>
      <c r="AT159" s="43" t="n"/>
      <c r="AU159" s="44" t="n"/>
      <c r="AV159" s="45">
        <f>IF(((T159*pax_cap*load_thin*IF(ABS(MOD(ABS((L159*M159*revleg_thin)),1)-0.5)&lt;1E-9,2*ROUND((L159*M159*revleg_thin)/2,0),ROUND((L159*M159*revleg_thin),0)))-(((battery/range_nm)*D159*IF(ABS(MOD(ABS((L159*M159*revleg_thin)),1)-0.5)&lt;1E-9,2*ROUND((L159*M159*revleg_thin)/2,0),ROUND((L159*M159*revleg_thin),0))*VLOOKUP(B159,country_opex,3,FALSE))+W159+X159+Y159+Z159+AA159))&lt;=0,"",VLOOKUP(B159,country_opex,7,FALSE)/((T159*pax_cap*load_thin*IF(ABS(MOD(ABS((L159*M159*revleg_thin)),1)-0.5)&lt;1E-9,2*ROUND((L159*M159*revleg_thin)/2,0),ROUND((L159*M159*revleg_thin),0)))-(((battery/range_nm)*D159*IF(ABS(MOD(ABS((L159*M159*revleg_thin)),1)-0.5)&lt;1E-9,2*ROUND((L159*M159*revleg_thin)/2,0),ROUND((L159*M159*revleg_thin),0))*VLOOKUP(B159,country_opex,3,FALSE))+W159+X159+Y159+Z159+AA159)))</f>
        <v/>
      </c>
      <c r="AW159" s="45">
        <f>IF(((T159*pax_cap*IF(B159="South Korea",korea_mid_load,load_mid)*IF(ABS(MOD(ABS((L159*M159*IF(B159="South Korea",korea_mid_revleg,revleg_mid))),1)-0.5)&lt;1E-9,2*ROUND((L159*M159*IF(B159="South Korea",korea_mid_revleg,revleg_mid))/2,0),ROUND((L159*M159*IF(B159="South Korea",korea_mid_revleg,revleg_mid)),0)))-(((battery/range_nm)*D159*IF(ABS(MOD(ABS((L159*M159*IF(B159="South Korea",korea_mid_revleg,revleg_mid))),1)-0.5)&lt;1E-9,2*ROUND((L159*M159*IF(B159="South Korea",korea_mid_revleg,revleg_mid))/2,0),ROUND((L159*M159*IF(B159="South Korea",korea_mid_revleg,revleg_mid)),0))*VLOOKUP(B159,country_opex,3,FALSE))+W159+X159+Y159+Z159+AA159))&lt;=0,"",VLOOKUP(B159,country_opex,7,FALSE)/((T159*pax_cap*IF(B159="South Korea",korea_mid_load,load_mid)*IF(ABS(MOD(ABS((L159*M159*IF(B159="South Korea",korea_mid_revleg,revleg_mid))),1)-0.5)&lt;1E-9,2*ROUND((L159*M159*IF(B159="South Korea",korea_mid_revleg,revleg_mid))/2,0),ROUND((L159*M159*IF(B159="South Korea",korea_mid_revleg,revleg_mid)),0)))-(((battery/range_nm)*D159*IF(ABS(MOD(ABS((L159*M159*IF(B159="South Korea",korea_mid_revleg,revleg_mid))),1)-0.5)&lt;1E-9,2*ROUND((L159*M159*IF(B159="South Korea",korea_mid_revleg,revleg_mid))/2,0),ROUND((L159*M159*IF(B159="South Korea",korea_mid_revleg,revleg_mid)),0))*VLOOKUP(B159,country_opex,3,FALSE))+W159+X159+Y159+Z159+AA159)))</f>
        <v/>
      </c>
      <c r="AX159" s="45">
        <f>IF(((T159*pax_cap*load_full*IF(ABS(MOD(ABS((L159*M159*revleg_full)),1)-0.5)&lt;1E-9,2*ROUND((L159*M159*revleg_full)/2,0),ROUND((L159*M159*revleg_full),0)))-(((battery/range_nm)*D159*IF(ABS(MOD(ABS((L159*M159*revleg_full)),1)-0.5)&lt;1E-9,2*ROUND((L159*M159*revleg_full)/2,0),ROUND((L159*M159*revleg_full),0))*VLOOKUP(B159,country_opex,3,FALSE))+W159+X159+Y159+Z159+AA159))&lt;=0,"",VLOOKUP(B159,country_opex,7,FALSE)/((T159*pax_cap*load_full*IF(ABS(MOD(ABS((L159*M159*revleg_full)),1)-0.5)&lt;1E-9,2*ROUND((L159*M159*revleg_full)/2,0),ROUND((L159*M159*revleg_full),0)))-(((battery/range_nm)*D159*IF(ABS(MOD(ABS((L159*M159*revleg_full)),1)-0.5)&lt;1E-9,2*ROUND((L159*M159*revleg_full)/2,0),ROUND((L159*M159*revleg_full),0))*VLOOKUP(B159,country_opex,3,FALSE))+W159+X159+Y159+Z159+AA159)))</f>
        <v/>
      </c>
      <c r="AY159" s="46" t="inlineStr">
        <is>
          <t>PREMIUM tier proxy: Costa del Sol catamaran tourist hop ~EUR 15 one-way (longer leg than Marbella-Banús) x 1.08 = ~$16.2. RANGED proxy from the Fly Blue/Costa del Sol catamaran tariff band; flagged (not an Estepona-specific year-stamped fare).</t>
        </is>
      </c>
      <c r="AZ159" s="46" t="n"/>
      <c r="BA159" s="34" t="n"/>
    </row>
    <row r="160">
      <c r="A160" s="31" t="inlineStr">
        <is>
          <t>Bolt Spain</t>
        </is>
      </c>
      <c r="B160" s="31" t="inlineStr">
        <is>
          <t>Spain</t>
        </is>
      </c>
      <c r="C160" s="32" t="inlineStr">
        <is>
          <t>Tarifa → Tangier (Morocco)</t>
        </is>
      </c>
      <c r="D160" s="33" t="n">
        <v>18</v>
      </c>
      <c r="E160" s="27" t="n">
        <v>45.4</v>
      </c>
      <c r="F160" s="34" t="inlineStr">
        <is>
          <t>T2</t>
        </is>
      </c>
      <c r="G160" s="34" t="inlineStr">
        <is>
          <t>med</t>
        </is>
      </c>
      <c r="H160" s="20" t="n">
        <v>1</v>
      </c>
      <c r="I160" s="35">
        <f>60*D160/cruise_kt</f>
        <v/>
      </c>
      <c r="J160" s="35">
        <f>IF(B160="South Korea",D160/korea_charge_range_nm*korea_full_range_charge_min,0)</f>
        <v/>
      </c>
      <c r="K160" s="35">
        <f>IF(B160="South Korea",I160+korea_turn_min+korea_dwell_min+J160,I160+turn_min+dwell_min)</f>
        <v/>
      </c>
      <c r="L160" s="36">
        <f>IF(B160="South Korea",FLOOR(60*korea_service_hr/K160,1),MIN(15,FLOOR(60*service_hr/K160,1)))</f>
        <v/>
      </c>
      <c r="M160" s="36">
        <f>IF(ABS(MOD(ABS((365*mech_uptime*H160)),1)-0.5)&lt;1E-9,2*ROUND((365*mech_uptime*H160)/2,0),ROUND((365*mech_uptime*H160),0))</f>
        <v/>
      </c>
      <c r="N160" s="37">
        <f>mech_uptime</f>
        <v/>
      </c>
      <c r="O160" s="37">
        <f>IF(AND(B160="South Korea",scenario="MID"),korea_mid_revleg,revleg_sel)</f>
        <v/>
      </c>
      <c r="P160" s="36">
        <f>IF(ABS(MOD(ABS((L160*M160*O160)),1)-0.5)&lt;1E-9,2*ROUND((L160*M160*O160)/2,0),ROUND((L160*M160*O160),0))</f>
        <v/>
      </c>
      <c r="Q160" s="37">
        <f>IF(AND(B160="South Korea",scenario="MID"),korea_mid_load,load_sel)</f>
        <v/>
      </c>
      <c r="R160" s="38">
        <f>pax_cap*Q160</f>
        <v/>
      </c>
      <c r="S160" s="36">
        <f>R160*P160</f>
        <v/>
      </c>
      <c r="T160" s="39">
        <f>E160*discount</f>
        <v/>
      </c>
      <c r="U160" s="40">
        <f>T160*S160</f>
        <v/>
      </c>
      <c r="V160" s="40">
        <f>(battery/range_nm)*D160*P160*VLOOKUP(B160,country_opex,3,FALSE)</f>
        <v/>
      </c>
      <c r="W160" s="40">
        <f>VLOOKUP(B160,country_opex,2,FALSE)*crew_factor</f>
        <v/>
      </c>
      <c r="X160" s="40">
        <f>VLOOKUP(B160,country_opex,5,FALSE)</f>
        <v/>
      </c>
      <c r="Y160" s="40">
        <f>maint</f>
        <v/>
      </c>
      <c r="Z160" s="40">
        <f>VLOOKUP(B160,country_opex,7,FALSE)*ins_pct</f>
        <v/>
      </c>
      <c r="AA160" s="40">
        <f>charge_berth</f>
        <v/>
      </c>
      <c r="AB160" s="40">
        <f>V160+W160+X160+Y160+Z160+AA160</f>
        <v/>
      </c>
      <c r="AC160" s="40">
        <f>VLOOKUP(B160,country_opex,7,FALSE)/dep_years</f>
        <v/>
      </c>
      <c r="AD160" s="40">
        <f>U160-AB160</f>
        <v/>
      </c>
      <c r="AE160" s="37">
        <f>IF(U160=0,"",AD160/U160)</f>
        <v/>
      </c>
      <c r="AF160" s="38">
        <f>IF(AD160&lt;=0,"",VLOOKUP(B160,country_opex,7,FALSE)/AD160)</f>
        <v/>
      </c>
      <c r="AG160" s="35">
        <f>((D160*P160/diesel_nmpg)*diesel_co2pg-(battery/range_nm)*D160*P160*VLOOKUP(B160,country_opex,4,FALSE))/1000</f>
        <v/>
      </c>
      <c r="AH160" s="33" t="n">
        <v>700000</v>
      </c>
      <c r="AI160" s="34" t="n"/>
      <c r="AJ160" s="34" t="n"/>
      <c r="AK160" s="41" t="n">
        <v>0.1</v>
      </c>
      <c r="AL160" s="36">
        <f>IF(AH160="","",AH160*AK160)</f>
        <v/>
      </c>
      <c r="AM160" s="36">
        <f>IF(OR(AH160="",S160=0),"",MIN(IF(AU160="",9.9E+99,AU160),FLOOR(AL160/S160,1)))</f>
        <v/>
      </c>
      <c r="AN160" s="40">
        <f>IF(AM160="","",AM160*IF(ABS(MOD(ABS((U160)),1)-0.5)&lt;1E-9,2*ROUND((U160)/2,0),ROUND((U160),0)))</f>
        <v/>
      </c>
      <c r="AO160" s="38">
        <f>IF(OR(AH160="",S160=0),"",MIN(IF(AU160="",9.9E+99,AU160),AL160/S160))</f>
        <v/>
      </c>
      <c r="AP160" s="40">
        <f>IF(AO160="","",AO160*IF(B160="South Korea",IF(ABS(MOD(ABS((U160)),1)-0.5)&lt;1E-9,2*ROUND((U160)/2,0),ROUND((U160),0)),U160))</f>
        <v/>
      </c>
      <c r="AQ160" s="42" t="n"/>
      <c r="AR160" s="34" t="inlineStr">
        <is>
          <t>Grounded</t>
        </is>
      </c>
      <c r="AS160" s="43" t="n"/>
      <c r="AT160" s="43" t="n"/>
      <c r="AU160" s="44" t="n"/>
      <c r="AV160" s="45">
        <f>IF(((T160*pax_cap*load_thin*IF(ABS(MOD(ABS((L160*M160*revleg_thin)),1)-0.5)&lt;1E-9,2*ROUND((L160*M160*revleg_thin)/2,0),ROUND((L160*M160*revleg_thin),0)))-(((battery/range_nm)*D160*IF(ABS(MOD(ABS((L160*M160*revleg_thin)),1)-0.5)&lt;1E-9,2*ROUND((L160*M160*revleg_thin)/2,0),ROUND((L160*M160*revleg_thin),0))*VLOOKUP(B160,country_opex,3,FALSE))+W160+X160+Y160+Z160+AA160))&lt;=0,"",VLOOKUP(B160,country_opex,7,FALSE)/((T160*pax_cap*load_thin*IF(ABS(MOD(ABS((L160*M160*revleg_thin)),1)-0.5)&lt;1E-9,2*ROUND((L160*M160*revleg_thin)/2,0),ROUND((L160*M160*revleg_thin),0)))-(((battery/range_nm)*D160*IF(ABS(MOD(ABS((L160*M160*revleg_thin)),1)-0.5)&lt;1E-9,2*ROUND((L160*M160*revleg_thin)/2,0),ROUND((L160*M160*revleg_thin),0))*VLOOKUP(B160,country_opex,3,FALSE))+W160+X160+Y160+Z160+AA160)))</f>
        <v/>
      </c>
      <c r="AW160" s="45">
        <f>IF(((T160*pax_cap*IF(B160="South Korea",korea_mid_load,load_mid)*IF(ABS(MOD(ABS((L160*M160*IF(B160="South Korea",korea_mid_revleg,revleg_mid))),1)-0.5)&lt;1E-9,2*ROUND((L160*M160*IF(B160="South Korea",korea_mid_revleg,revleg_mid))/2,0),ROUND((L160*M160*IF(B160="South Korea",korea_mid_revleg,revleg_mid)),0)))-(((battery/range_nm)*D160*IF(ABS(MOD(ABS((L160*M160*IF(B160="South Korea",korea_mid_revleg,revleg_mid))),1)-0.5)&lt;1E-9,2*ROUND((L160*M160*IF(B160="South Korea",korea_mid_revleg,revleg_mid))/2,0),ROUND((L160*M160*IF(B160="South Korea",korea_mid_revleg,revleg_mid)),0))*VLOOKUP(B160,country_opex,3,FALSE))+W160+X160+Y160+Z160+AA160))&lt;=0,"",VLOOKUP(B160,country_opex,7,FALSE)/((T160*pax_cap*IF(B160="South Korea",korea_mid_load,load_mid)*IF(ABS(MOD(ABS((L160*M160*IF(B160="South Korea",korea_mid_revleg,revleg_mid))),1)-0.5)&lt;1E-9,2*ROUND((L160*M160*IF(B160="South Korea",korea_mid_revleg,revleg_mid))/2,0),ROUND((L160*M160*IF(B160="South Korea",korea_mid_revleg,revleg_mid)),0)))-(((battery/range_nm)*D160*IF(ABS(MOD(ABS((L160*M160*IF(B160="South Korea",korea_mid_revleg,revleg_mid))),1)-0.5)&lt;1E-9,2*ROUND((L160*M160*IF(B160="South Korea",korea_mid_revleg,revleg_mid))/2,0),ROUND((L160*M160*IF(B160="South Korea",korea_mid_revleg,revleg_mid)),0))*VLOOKUP(B160,country_opex,3,FALSE))+W160+X160+Y160+Z160+AA160)))</f>
        <v/>
      </c>
      <c r="AX160" s="45">
        <f>IF(((T160*pax_cap*load_full*IF(ABS(MOD(ABS((L160*M160*revleg_full)),1)-0.5)&lt;1E-9,2*ROUND((L160*M160*revleg_full)/2,0),ROUND((L160*M160*revleg_full),0)))-(((battery/range_nm)*D160*IF(ABS(MOD(ABS((L160*M160*revleg_full)),1)-0.5)&lt;1E-9,2*ROUND((L160*M160*revleg_full)/2,0),ROUND((L160*M160*revleg_full),0))*VLOOKUP(B160,country_opex,3,FALSE))+W160+X160+Y160+Z160+AA160))&lt;=0,"",VLOOKUP(B160,country_opex,7,FALSE)/((T160*pax_cap*load_full*IF(ABS(MOD(ABS((L160*M160*revleg_full)),1)-0.5)&lt;1E-9,2*ROUND((L160*M160*revleg_full)/2,0),ROUND((L160*M160*revleg_full),0)))-(((battery/range_nm)*D160*IF(ABS(MOD(ABS((L160*M160*revleg_full)),1)-0.5)&lt;1E-9,2*ROUND((L160*M160*revleg_full)/2,0),ROUND((L160*M160*revleg_full),0))*VLOOKUP(B160,country_opex,3,FALSE))+W160+X160+Y160+Z160+AA160)))</f>
        <v/>
      </c>
      <c r="AY160" s="46" t="inlineStr">
        <is>
          <t>PREMIUM tier: Tarifa-&gt;Tangier fast ferry one-way ~EUR 37.50-45 (Ferryhopper from ~EUR 37.50; FRS/DFDS) -&gt; ~EUR 42 x 1.08 = ~$45.4.</t>
        </is>
      </c>
      <c r="AZ160" s="46" t="n"/>
      <c r="BA160" s="34" t="n"/>
    </row>
    <row r="161">
      <c r="A161" s="31" t="inlineStr">
        <is>
          <t>Bolt Spain</t>
        </is>
      </c>
      <c r="B161" s="31" t="inlineStr">
        <is>
          <t>Spain</t>
        </is>
      </c>
      <c r="C161" s="32" t="inlineStr">
        <is>
          <t>Alcúdia (Mallorca) → Ciutadella (Menorca)</t>
        </is>
      </c>
      <c r="D161" s="33" t="n">
        <v>22</v>
      </c>
      <c r="E161" s="27" t="n">
        <v>80</v>
      </c>
      <c r="F161" s="34" t="inlineStr">
        <is>
          <t>T2</t>
        </is>
      </c>
      <c r="G161" s="34" t="inlineStr">
        <is>
          <t>med</t>
        </is>
      </c>
      <c r="H161" s="20" t="n">
        <v>1</v>
      </c>
      <c r="I161" s="35">
        <f>60*D161/cruise_kt</f>
        <v/>
      </c>
      <c r="J161" s="35">
        <f>IF(B161="South Korea",D161/korea_charge_range_nm*korea_full_range_charge_min,0)</f>
        <v/>
      </c>
      <c r="K161" s="35">
        <f>IF(B161="South Korea",I161+korea_turn_min+korea_dwell_min+J161,I161+turn_min+dwell_min)</f>
        <v/>
      </c>
      <c r="L161" s="36">
        <f>IF(B161="South Korea",FLOOR(60*korea_service_hr/K161,1),MIN(15,FLOOR(60*service_hr/K161,1)))</f>
        <v/>
      </c>
      <c r="M161" s="36">
        <f>IF(ABS(MOD(ABS((365*mech_uptime*H161)),1)-0.5)&lt;1E-9,2*ROUND((365*mech_uptime*H161)/2,0),ROUND((365*mech_uptime*H161),0))</f>
        <v/>
      </c>
      <c r="N161" s="37">
        <f>mech_uptime</f>
        <v/>
      </c>
      <c r="O161" s="37">
        <f>IF(AND(B161="South Korea",scenario="MID"),korea_mid_revleg,revleg_sel)</f>
        <v/>
      </c>
      <c r="P161" s="36">
        <f>IF(ABS(MOD(ABS((L161*M161*O161)),1)-0.5)&lt;1E-9,2*ROUND((L161*M161*O161)/2,0),ROUND((L161*M161*O161),0))</f>
        <v/>
      </c>
      <c r="Q161" s="37">
        <f>IF(AND(B161="South Korea",scenario="MID"),korea_mid_load,load_sel)</f>
        <v/>
      </c>
      <c r="R161" s="38">
        <f>pax_cap*Q161</f>
        <v/>
      </c>
      <c r="S161" s="36">
        <f>R161*P161</f>
        <v/>
      </c>
      <c r="T161" s="39">
        <f>E161*discount</f>
        <v/>
      </c>
      <c r="U161" s="40">
        <f>T161*S161</f>
        <v/>
      </c>
      <c r="V161" s="40">
        <f>(battery/range_nm)*D161*P161*VLOOKUP(B161,country_opex,3,FALSE)</f>
        <v/>
      </c>
      <c r="W161" s="40">
        <f>VLOOKUP(B161,country_opex,2,FALSE)*crew_factor</f>
        <v/>
      </c>
      <c r="X161" s="40">
        <f>VLOOKUP(B161,country_opex,5,FALSE)</f>
        <v/>
      </c>
      <c r="Y161" s="40">
        <f>maint</f>
        <v/>
      </c>
      <c r="Z161" s="40">
        <f>VLOOKUP(B161,country_opex,7,FALSE)*ins_pct</f>
        <v/>
      </c>
      <c r="AA161" s="40">
        <f>charge_berth</f>
        <v/>
      </c>
      <c r="AB161" s="40">
        <f>V161+W161+X161+Y161+Z161+AA161</f>
        <v/>
      </c>
      <c r="AC161" s="40">
        <f>VLOOKUP(B161,country_opex,7,FALSE)/dep_years</f>
        <v/>
      </c>
      <c r="AD161" s="40">
        <f>U161-AB161</f>
        <v/>
      </c>
      <c r="AE161" s="37">
        <f>IF(U161=0,"",AD161/U161)</f>
        <v/>
      </c>
      <c r="AF161" s="38">
        <f>IF(AD161&lt;=0,"",VLOOKUP(B161,country_opex,7,FALSE)/AD161)</f>
        <v/>
      </c>
      <c r="AG161" s="35">
        <f>((D161*P161/diesel_nmpg)*diesel_co2pg-(battery/range_nm)*D161*P161*VLOOKUP(B161,country_opex,4,FALSE))/1000</f>
        <v/>
      </c>
      <c r="AH161" s="33" t="n">
        <v>62400</v>
      </c>
      <c r="AI161" s="34" t="n"/>
      <c r="AJ161" s="34" t="n"/>
      <c r="AK161" s="41" t="n">
        <v>0.1</v>
      </c>
      <c r="AL161" s="36">
        <f>IF(AH161="","",AH161*AK161)</f>
        <v/>
      </c>
      <c r="AM161" s="36">
        <f>IF(OR(AH161="",S161=0),"",MIN(IF(AU161="",9.9E+99,AU161),FLOOR(AL161/S161,1)))</f>
        <v/>
      </c>
      <c r="AN161" s="40">
        <f>IF(AM161="","",AM161*IF(ABS(MOD(ABS((U161)),1)-0.5)&lt;1E-9,2*ROUND((U161)/2,0),ROUND((U161),0)))</f>
        <v/>
      </c>
      <c r="AO161" s="38">
        <f>IF(OR(AH161="",S161=0),"",MIN(IF(AU161="",9.9E+99,AU161),AL161/S161))</f>
        <v/>
      </c>
      <c r="AP161" s="40">
        <f>IF(AO161="","",AO161*IF(B161="South Korea",IF(ABS(MOD(ABS((U161)),1)-0.5)&lt;1E-9,2*ROUND((U161)/2,0),ROUND((U161),0)),U161))</f>
        <v/>
      </c>
      <c r="AQ161" s="42" t="n"/>
      <c r="AR161" s="34" t="inlineStr">
        <is>
          <t>Grounded</t>
        </is>
      </c>
      <c r="AS161" s="43" t="n"/>
      <c r="AT161" s="43" t="n"/>
      <c r="AU161" s="44" t="n"/>
      <c r="AV161" s="45">
        <f>IF(((T161*pax_cap*load_thin*IF(ABS(MOD(ABS((L161*M161*revleg_thin)),1)-0.5)&lt;1E-9,2*ROUND((L161*M161*revleg_thin)/2,0),ROUND((L161*M161*revleg_thin),0)))-(((battery/range_nm)*D161*IF(ABS(MOD(ABS((L161*M161*revleg_thin)),1)-0.5)&lt;1E-9,2*ROUND((L161*M161*revleg_thin)/2,0),ROUND((L161*M161*revleg_thin),0))*VLOOKUP(B161,country_opex,3,FALSE))+W161+X161+Y161+Z161+AA161))&lt;=0,"",VLOOKUP(B161,country_opex,7,FALSE)/((T161*pax_cap*load_thin*IF(ABS(MOD(ABS((L161*M161*revleg_thin)),1)-0.5)&lt;1E-9,2*ROUND((L161*M161*revleg_thin)/2,0),ROUND((L161*M161*revleg_thin),0)))-(((battery/range_nm)*D161*IF(ABS(MOD(ABS((L161*M161*revleg_thin)),1)-0.5)&lt;1E-9,2*ROUND((L161*M161*revleg_thin)/2,0),ROUND((L161*M161*revleg_thin),0))*VLOOKUP(B161,country_opex,3,FALSE))+W161+X161+Y161+Z161+AA161)))</f>
        <v/>
      </c>
      <c r="AW161" s="45">
        <f>IF(((T161*pax_cap*IF(B161="South Korea",korea_mid_load,load_mid)*IF(ABS(MOD(ABS((L161*M161*IF(B161="South Korea",korea_mid_revleg,revleg_mid))),1)-0.5)&lt;1E-9,2*ROUND((L161*M161*IF(B161="South Korea",korea_mid_revleg,revleg_mid))/2,0),ROUND((L161*M161*IF(B161="South Korea",korea_mid_revleg,revleg_mid)),0)))-(((battery/range_nm)*D161*IF(ABS(MOD(ABS((L161*M161*IF(B161="South Korea",korea_mid_revleg,revleg_mid))),1)-0.5)&lt;1E-9,2*ROUND((L161*M161*IF(B161="South Korea",korea_mid_revleg,revleg_mid))/2,0),ROUND((L161*M161*IF(B161="South Korea",korea_mid_revleg,revleg_mid)),0))*VLOOKUP(B161,country_opex,3,FALSE))+W161+X161+Y161+Z161+AA161))&lt;=0,"",VLOOKUP(B161,country_opex,7,FALSE)/((T161*pax_cap*IF(B161="South Korea",korea_mid_load,load_mid)*IF(ABS(MOD(ABS((L161*M161*IF(B161="South Korea",korea_mid_revleg,revleg_mid))),1)-0.5)&lt;1E-9,2*ROUND((L161*M161*IF(B161="South Korea",korea_mid_revleg,revleg_mid))/2,0),ROUND((L161*M161*IF(B161="South Korea",korea_mid_revleg,revleg_mid)),0)))-(((battery/range_nm)*D161*IF(ABS(MOD(ABS((L161*M161*IF(B161="South Korea",korea_mid_revleg,revleg_mid))),1)-0.5)&lt;1E-9,2*ROUND((L161*M161*IF(B161="South Korea",korea_mid_revleg,revleg_mid))/2,0),ROUND((L161*M161*IF(B161="South Korea",korea_mid_revleg,revleg_mid)),0))*VLOOKUP(B161,country_opex,3,FALSE))+W161+X161+Y161+Z161+AA161)))</f>
        <v/>
      </c>
      <c r="AX161" s="45">
        <f>IF(((T161*pax_cap*load_full*IF(ABS(MOD(ABS((L161*M161*revleg_full)),1)-0.5)&lt;1E-9,2*ROUND((L161*M161*revleg_full)/2,0),ROUND((L161*M161*revleg_full),0)))-(((battery/range_nm)*D161*IF(ABS(MOD(ABS((L161*M161*revleg_full)),1)-0.5)&lt;1E-9,2*ROUND((L161*M161*revleg_full)/2,0),ROUND((L161*M161*revleg_full),0))*VLOOKUP(B161,country_opex,3,FALSE))+W161+X161+Y161+Z161+AA161))&lt;=0,"",VLOOKUP(B161,country_opex,7,FALSE)/((T161*pax_cap*load_full*IF(ABS(MOD(ABS((L161*M161*revleg_full)),1)-0.5)&lt;1E-9,2*ROUND((L161*M161*revleg_full)/2,0),ROUND((L161*M161*revleg_full),0)))-(((battery/range_nm)*D161*IF(ABS(MOD(ABS((L161*M161*revleg_full)),1)-0.5)&lt;1E-9,2*ROUND((L161*M161*revleg_full)/2,0),ROUND((L161*M161*revleg_full),0))*VLOOKUP(B161,country_opex,3,FALSE))+W161+X161+Y161+Z161+AA161)))</f>
        <v/>
      </c>
      <c r="AY161" s="46" t="inlineStr">
        <is>
          <t>PREMIUM tier: Balearia/Menorca Lines fast ferry Alcudia-&gt;Ciutadella standard adult one-way ~EUR 74 (Balearia avg round-trip without vehicle from EUR 148 =&gt; ~EUR 74/leg; iloveferry 'from 76 EUR one way') x 1.08 = ~$80. Short but premium-priced fast craft.</t>
        </is>
      </c>
      <c r="AZ161" s="46" t="n"/>
      <c r="BA161" s="34" t="n"/>
    </row>
    <row r="162">
      <c r="A162" s="31" t="inlineStr">
        <is>
          <t>Bolt Spain</t>
        </is>
      </c>
      <c r="B162" s="31" t="inlineStr">
        <is>
          <t>Spain</t>
        </is>
      </c>
      <c r="C162" s="32" t="inlineStr">
        <is>
          <t>Dénia → Ibiza Town (Eivissa)</t>
        </is>
      </c>
      <c r="D162" s="33" t="n">
        <v>56</v>
      </c>
      <c r="E162" s="27" t="n">
        <v>54</v>
      </c>
      <c r="F162" s="34" t="inlineStr">
        <is>
          <t>T2</t>
        </is>
      </c>
      <c r="G162" s="34" t="inlineStr">
        <is>
          <t>med</t>
        </is>
      </c>
      <c r="H162" s="20" t="n">
        <v>1</v>
      </c>
      <c r="I162" s="35">
        <f>60*D162/cruise_kt</f>
        <v/>
      </c>
      <c r="J162" s="35">
        <f>IF(B162="South Korea",D162/korea_charge_range_nm*korea_full_range_charge_min,0)</f>
        <v/>
      </c>
      <c r="K162" s="35">
        <f>IF(B162="South Korea",I162+korea_turn_min+korea_dwell_min+J162,I162+turn_min+dwell_min)</f>
        <v/>
      </c>
      <c r="L162" s="36">
        <f>IF(B162="South Korea",FLOOR(60*korea_service_hr/K162,1),MIN(15,FLOOR(60*service_hr/K162,1)))</f>
        <v/>
      </c>
      <c r="M162" s="36">
        <f>IF(ABS(MOD(ABS((365*mech_uptime*H162)),1)-0.5)&lt;1E-9,2*ROUND((365*mech_uptime*H162)/2,0),ROUND((365*mech_uptime*H162),0))</f>
        <v/>
      </c>
      <c r="N162" s="37">
        <f>mech_uptime</f>
        <v/>
      </c>
      <c r="O162" s="37">
        <f>IF(AND(B162="South Korea",scenario="MID"),korea_mid_revleg,revleg_sel)</f>
        <v/>
      </c>
      <c r="P162" s="36">
        <f>IF(ABS(MOD(ABS((L162*M162*O162)),1)-0.5)&lt;1E-9,2*ROUND((L162*M162*O162)/2,0),ROUND((L162*M162*O162),0))</f>
        <v/>
      </c>
      <c r="Q162" s="37">
        <f>IF(AND(B162="South Korea",scenario="MID"),korea_mid_load,load_sel)</f>
        <v/>
      </c>
      <c r="R162" s="38">
        <f>pax_cap*Q162</f>
        <v/>
      </c>
      <c r="S162" s="36">
        <f>R162*P162</f>
        <v/>
      </c>
      <c r="T162" s="39">
        <f>E162*discount</f>
        <v/>
      </c>
      <c r="U162" s="40">
        <f>T162*S162</f>
        <v/>
      </c>
      <c r="V162" s="40">
        <f>(battery/range_nm)*D162*P162*VLOOKUP(B162,country_opex,3,FALSE)</f>
        <v/>
      </c>
      <c r="W162" s="40">
        <f>VLOOKUP(B162,country_opex,2,FALSE)*crew_factor</f>
        <v/>
      </c>
      <c r="X162" s="40">
        <f>VLOOKUP(B162,country_opex,5,FALSE)</f>
        <v/>
      </c>
      <c r="Y162" s="40">
        <f>maint</f>
        <v/>
      </c>
      <c r="Z162" s="40">
        <f>VLOOKUP(B162,country_opex,7,FALSE)*ins_pct</f>
        <v/>
      </c>
      <c r="AA162" s="40">
        <f>charge_berth</f>
        <v/>
      </c>
      <c r="AB162" s="40">
        <f>V162+W162+X162+Y162+Z162+AA162</f>
        <v/>
      </c>
      <c r="AC162" s="40">
        <f>VLOOKUP(B162,country_opex,7,FALSE)/dep_years</f>
        <v/>
      </c>
      <c r="AD162" s="40">
        <f>U162-AB162</f>
        <v/>
      </c>
      <c r="AE162" s="37">
        <f>IF(U162=0,"",AD162/U162)</f>
        <v/>
      </c>
      <c r="AF162" s="38">
        <f>IF(AD162&lt;=0,"",VLOOKUP(B162,country_opex,7,FALSE)/AD162)</f>
        <v/>
      </c>
      <c r="AG162" s="35">
        <f>((D162*P162/diesel_nmpg)*diesel_co2pg-(battery/range_nm)*D162*P162*VLOOKUP(B162,country_opex,4,FALSE))/1000</f>
        <v/>
      </c>
      <c r="AH162" s="33" t="n">
        <v>49000</v>
      </c>
      <c r="AI162" s="34" t="n"/>
      <c r="AJ162" s="34" t="n"/>
      <c r="AK162" s="41" t="n">
        <v>0.1</v>
      </c>
      <c r="AL162" s="36">
        <f>IF(AH162="","",AH162*AK162)</f>
        <v/>
      </c>
      <c r="AM162" s="36">
        <f>IF(OR(AH162="",S162=0),"",MIN(IF(AU162="",9.9E+99,AU162),FLOOR(AL162/S162,1)))</f>
        <v/>
      </c>
      <c r="AN162" s="40">
        <f>IF(AM162="","",AM162*IF(ABS(MOD(ABS((U162)),1)-0.5)&lt;1E-9,2*ROUND((U162)/2,0),ROUND((U162),0)))</f>
        <v/>
      </c>
      <c r="AO162" s="38">
        <f>IF(OR(AH162="",S162=0),"",MIN(IF(AU162="",9.9E+99,AU162),AL162/S162))</f>
        <v/>
      </c>
      <c r="AP162" s="40">
        <f>IF(AO162="","",AO162*IF(B162="South Korea",IF(ABS(MOD(ABS((U162)),1)-0.5)&lt;1E-9,2*ROUND((U162)/2,0),ROUND((U162),0)),U162))</f>
        <v/>
      </c>
      <c r="AQ162" s="42" t="n"/>
      <c r="AR162" s="34" t="inlineStr">
        <is>
          <t>Grounded</t>
        </is>
      </c>
      <c r="AS162" s="43" t="n"/>
      <c r="AT162" s="43" t="n"/>
      <c r="AU162" s="44" t="n"/>
      <c r="AV162" s="45">
        <f>IF(((T162*pax_cap*load_thin*IF(ABS(MOD(ABS((L162*M162*revleg_thin)),1)-0.5)&lt;1E-9,2*ROUND((L162*M162*revleg_thin)/2,0),ROUND((L162*M162*revleg_thin),0)))-(((battery/range_nm)*D162*IF(ABS(MOD(ABS((L162*M162*revleg_thin)),1)-0.5)&lt;1E-9,2*ROUND((L162*M162*revleg_thin)/2,0),ROUND((L162*M162*revleg_thin),0))*VLOOKUP(B162,country_opex,3,FALSE))+W162+X162+Y162+Z162+AA162))&lt;=0,"",VLOOKUP(B162,country_opex,7,FALSE)/((T162*pax_cap*load_thin*IF(ABS(MOD(ABS((L162*M162*revleg_thin)),1)-0.5)&lt;1E-9,2*ROUND((L162*M162*revleg_thin)/2,0),ROUND((L162*M162*revleg_thin),0)))-(((battery/range_nm)*D162*IF(ABS(MOD(ABS((L162*M162*revleg_thin)),1)-0.5)&lt;1E-9,2*ROUND((L162*M162*revleg_thin)/2,0),ROUND((L162*M162*revleg_thin),0))*VLOOKUP(B162,country_opex,3,FALSE))+W162+X162+Y162+Z162+AA162)))</f>
        <v/>
      </c>
      <c r="AW162" s="45">
        <f>IF(((T162*pax_cap*IF(B162="South Korea",korea_mid_load,load_mid)*IF(ABS(MOD(ABS((L162*M162*IF(B162="South Korea",korea_mid_revleg,revleg_mid))),1)-0.5)&lt;1E-9,2*ROUND((L162*M162*IF(B162="South Korea",korea_mid_revleg,revleg_mid))/2,0),ROUND((L162*M162*IF(B162="South Korea",korea_mid_revleg,revleg_mid)),0)))-(((battery/range_nm)*D162*IF(ABS(MOD(ABS((L162*M162*IF(B162="South Korea",korea_mid_revleg,revleg_mid))),1)-0.5)&lt;1E-9,2*ROUND((L162*M162*IF(B162="South Korea",korea_mid_revleg,revleg_mid))/2,0),ROUND((L162*M162*IF(B162="South Korea",korea_mid_revleg,revleg_mid)),0))*VLOOKUP(B162,country_opex,3,FALSE))+W162+X162+Y162+Z162+AA162))&lt;=0,"",VLOOKUP(B162,country_opex,7,FALSE)/((T162*pax_cap*IF(B162="South Korea",korea_mid_load,load_mid)*IF(ABS(MOD(ABS((L162*M162*IF(B162="South Korea",korea_mid_revleg,revleg_mid))),1)-0.5)&lt;1E-9,2*ROUND((L162*M162*IF(B162="South Korea",korea_mid_revleg,revleg_mid))/2,0),ROUND((L162*M162*IF(B162="South Korea",korea_mid_revleg,revleg_mid)),0)))-(((battery/range_nm)*D162*IF(ABS(MOD(ABS((L162*M162*IF(B162="South Korea",korea_mid_revleg,revleg_mid))),1)-0.5)&lt;1E-9,2*ROUND((L162*M162*IF(B162="South Korea",korea_mid_revleg,revleg_mid))/2,0),ROUND((L162*M162*IF(B162="South Korea",korea_mid_revleg,revleg_mid)),0))*VLOOKUP(B162,country_opex,3,FALSE))+W162+X162+Y162+Z162+AA162)))</f>
        <v/>
      </c>
      <c r="AX162" s="45">
        <f>IF(((T162*pax_cap*load_full*IF(ABS(MOD(ABS((L162*M162*revleg_full)),1)-0.5)&lt;1E-9,2*ROUND((L162*M162*revleg_full)/2,0),ROUND((L162*M162*revleg_full),0)))-(((battery/range_nm)*D162*IF(ABS(MOD(ABS((L162*M162*revleg_full)),1)-0.5)&lt;1E-9,2*ROUND((L162*M162*revleg_full)/2,0),ROUND((L162*M162*revleg_full),0))*VLOOKUP(B162,country_opex,3,FALSE))+W162+X162+Y162+Z162+AA162))&lt;=0,"",VLOOKUP(B162,country_opex,7,FALSE)/((T162*pax_cap*load_full*IF(ABS(MOD(ABS((L162*M162*revleg_full)),1)-0.5)&lt;1E-9,2*ROUND((L162*M162*revleg_full)/2,0),ROUND((L162*M162*revleg_full),0)))-(((battery/range_nm)*D162*IF(ABS(MOD(ABS((L162*M162*revleg_full)),1)-0.5)&lt;1E-9,2*ROUND((L162*M162*revleg_full)/2,0),ROUND((L162*M162*revleg_full),0))*VLOOKUP(B162,country_opex,3,FALSE))+W162+X162+Y162+Z162+AA162)))</f>
        <v/>
      </c>
      <c r="AY162" s="46" t="inlineStr">
        <is>
          <t>PREMIUM tier: Balearia fast ferry Dénia-&gt;Ibiza standard adult one-way ~EUR 50 (Direct Ferries ES 'desde 30 EUR' lead-in rising to ~EUR 50-77 standard/flex) x 1.08 = ~$54. RANGED estimate, flagged.</t>
        </is>
      </c>
      <c r="AZ162" s="46" t="n"/>
      <c r="BA162" s="34" t="n"/>
    </row>
    <row r="163">
      <c r="A163" s="31" t="inlineStr">
        <is>
          <t>Bolt Sweden</t>
        </is>
      </c>
      <c r="B163" s="31" t="inlineStr">
        <is>
          <t>Sweden</t>
        </is>
      </c>
      <c r="C163" s="32" t="inlineStr">
        <is>
          <t>Stockholm (Slussen) → Djurgarden</t>
        </is>
      </c>
      <c r="D163" s="33" t="n">
        <v>0.5</v>
      </c>
      <c r="E163" s="27" t="n">
        <v>18</v>
      </c>
      <c r="F163" s="34" t="inlineStr">
        <is>
          <t>T2</t>
        </is>
      </c>
      <c r="G163" s="34" t="inlineStr">
        <is>
          <t>med</t>
        </is>
      </c>
      <c r="H163" s="20" t="n">
        <v>1</v>
      </c>
      <c r="I163" s="35">
        <f>60*D163/cruise_kt</f>
        <v/>
      </c>
      <c r="J163" s="35">
        <f>IF(B163="South Korea",D163/korea_charge_range_nm*korea_full_range_charge_min,0)</f>
        <v/>
      </c>
      <c r="K163" s="35">
        <f>IF(B163="South Korea",I163+korea_turn_min+korea_dwell_min+J163,I163+turn_min+dwell_min)</f>
        <v/>
      </c>
      <c r="L163" s="36">
        <f>IF(B163="South Korea",FLOOR(60*korea_service_hr/K163,1),MIN(15,FLOOR(60*service_hr/K163,1)))</f>
        <v/>
      </c>
      <c r="M163" s="36">
        <f>IF(ABS(MOD(ABS((365*mech_uptime*H163)),1)-0.5)&lt;1E-9,2*ROUND((365*mech_uptime*H163)/2,0),ROUND((365*mech_uptime*H163),0))</f>
        <v/>
      </c>
      <c r="N163" s="37">
        <f>mech_uptime</f>
        <v/>
      </c>
      <c r="O163" s="37">
        <f>IF(AND(B163="South Korea",scenario="MID"),korea_mid_revleg,revleg_sel)</f>
        <v/>
      </c>
      <c r="P163" s="36">
        <f>IF(ABS(MOD(ABS((L163*M163*O163)),1)-0.5)&lt;1E-9,2*ROUND((L163*M163*O163)/2,0),ROUND((L163*M163*O163),0))</f>
        <v/>
      </c>
      <c r="Q163" s="37">
        <f>IF(AND(B163="South Korea",scenario="MID"),korea_mid_load,load_sel)</f>
        <v/>
      </c>
      <c r="R163" s="38">
        <f>pax_cap*Q163</f>
        <v/>
      </c>
      <c r="S163" s="36">
        <f>R163*P163</f>
        <v/>
      </c>
      <c r="T163" s="39">
        <f>E163*discount</f>
        <v/>
      </c>
      <c r="U163" s="40">
        <f>T163*S163</f>
        <v/>
      </c>
      <c r="V163" s="40">
        <f>(battery/range_nm)*D163*P163*VLOOKUP(B163,country_opex,3,FALSE)</f>
        <v/>
      </c>
      <c r="W163" s="40">
        <f>VLOOKUP(B163,country_opex,2,FALSE)*crew_factor</f>
        <v/>
      </c>
      <c r="X163" s="40">
        <f>VLOOKUP(B163,country_opex,5,FALSE)</f>
        <v/>
      </c>
      <c r="Y163" s="40">
        <f>maint</f>
        <v/>
      </c>
      <c r="Z163" s="40">
        <f>VLOOKUP(B163,country_opex,7,FALSE)*ins_pct</f>
        <v/>
      </c>
      <c r="AA163" s="40">
        <f>charge_berth</f>
        <v/>
      </c>
      <c r="AB163" s="40">
        <f>V163+W163+X163+Y163+Z163+AA163</f>
        <v/>
      </c>
      <c r="AC163" s="40">
        <f>VLOOKUP(B163,country_opex,7,FALSE)/dep_years</f>
        <v/>
      </c>
      <c r="AD163" s="40">
        <f>U163-AB163</f>
        <v/>
      </c>
      <c r="AE163" s="37">
        <f>IF(U163=0,"",AD163/U163)</f>
        <v/>
      </c>
      <c r="AF163" s="38">
        <f>IF(AD163&lt;=0,"",VLOOKUP(B163,country_opex,7,FALSE)/AD163)</f>
        <v/>
      </c>
      <c r="AG163" s="35">
        <f>((D163*P163/diesel_nmpg)*diesel_co2pg-(battery/range_nm)*D163*P163*VLOOKUP(B163,country_opex,4,FALSE))/1000</f>
        <v/>
      </c>
      <c r="AH163" s="33" t="n">
        <v>271332</v>
      </c>
      <c r="AI163" s="34" t="n"/>
      <c r="AJ163" s="34" t="inlineStr">
        <is>
          <t>med</t>
        </is>
      </c>
      <c r="AK163" s="41" t="n">
        <v>0.25</v>
      </c>
      <c r="AL163" s="36">
        <f>IF(AH163="","",AH163*AK163)</f>
        <v/>
      </c>
      <c r="AM163" s="36">
        <f>IF(OR(AH163="",S163=0),"",MIN(IF(AU163="",9.9E+99,AU163),FLOOR(AL163/S163,1)))</f>
        <v/>
      </c>
      <c r="AN163" s="40">
        <f>IF(AM163="","",AM163*IF(ABS(MOD(ABS((U163)),1)-0.5)&lt;1E-9,2*ROUND((U163)/2,0),ROUND((U163),0)))</f>
        <v/>
      </c>
      <c r="AO163" s="38">
        <f>IF(OR(AH163="",S163=0),"",MIN(IF(AU163="",9.9E+99,AU163),AL163/S163))</f>
        <v/>
      </c>
      <c r="AP163" s="40">
        <f>IF(AO163="","",AO163*IF(B163="South Korea",IF(ABS(MOD(ABS((U163)),1)-0.5)&lt;1E-9,2*ROUND((U163)/2,0),ROUND((U163),0)),U163))</f>
        <v/>
      </c>
      <c r="AQ163" s="42" t="n"/>
      <c r="AR163" s="34" t="inlineStr">
        <is>
          <t>Grounded</t>
        </is>
      </c>
      <c r="AS163" s="43" t="n"/>
      <c r="AT163" s="43" t="n"/>
      <c r="AU163" s="44" t="n"/>
      <c r="AV163" s="45">
        <f>IF(((T163*pax_cap*load_thin*IF(ABS(MOD(ABS((L163*M163*revleg_thin)),1)-0.5)&lt;1E-9,2*ROUND((L163*M163*revleg_thin)/2,0),ROUND((L163*M163*revleg_thin),0)))-(((battery/range_nm)*D163*IF(ABS(MOD(ABS((L163*M163*revleg_thin)),1)-0.5)&lt;1E-9,2*ROUND((L163*M163*revleg_thin)/2,0),ROUND((L163*M163*revleg_thin),0))*VLOOKUP(B163,country_opex,3,FALSE))+W163+X163+Y163+Z163+AA163))&lt;=0,"",VLOOKUP(B163,country_opex,7,FALSE)/((T163*pax_cap*load_thin*IF(ABS(MOD(ABS((L163*M163*revleg_thin)),1)-0.5)&lt;1E-9,2*ROUND((L163*M163*revleg_thin)/2,0),ROUND((L163*M163*revleg_thin),0)))-(((battery/range_nm)*D163*IF(ABS(MOD(ABS((L163*M163*revleg_thin)),1)-0.5)&lt;1E-9,2*ROUND((L163*M163*revleg_thin)/2,0),ROUND((L163*M163*revleg_thin),0))*VLOOKUP(B163,country_opex,3,FALSE))+W163+X163+Y163+Z163+AA163)))</f>
        <v/>
      </c>
      <c r="AW163" s="45">
        <f>IF(((T163*pax_cap*IF(B163="South Korea",korea_mid_load,load_mid)*IF(ABS(MOD(ABS((L163*M163*IF(B163="South Korea",korea_mid_revleg,revleg_mid))),1)-0.5)&lt;1E-9,2*ROUND((L163*M163*IF(B163="South Korea",korea_mid_revleg,revleg_mid))/2,0),ROUND((L163*M163*IF(B163="South Korea",korea_mid_revleg,revleg_mid)),0)))-(((battery/range_nm)*D163*IF(ABS(MOD(ABS((L163*M163*IF(B163="South Korea",korea_mid_revleg,revleg_mid))),1)-0.5)&lt;1E-9,2*ROUND((L163*M163*IF(B163="South Korea",korea_mid_revleg,revleg_mid))/2,0),ROUND((L163*M163*IF(B163="South Korea",korea_mid_revleg,revleg_mid)),0))*VLOOKUP(B163,country_opex,3,FALSE))+W163+X163+Y163+Z163+AA163))&lt;=0,"",VLOOKUP(B163,country_opex,7,FALSE)/((T163*pax_cap*IF(B163="South Korea",korea_mid_load,load_mid)*IF(ABS(MOD(ABS((L163*M163*IF(B163="South Korea",korea_mid_revleg,revleg_mid))),1)-0.5)&lt;1E-9,2*ROUND((L163*M163*IF(B163="South Korea",korea_mid_revleg,revleg_mid))/2,0),ROUND((L163*M163*IF(B163="South Korea",korea_mid_revleg,revleg_mid)),0)))-(((battery/range_nm)*D163*IF(ABS(MOD(ABS((L163*M163*IF(B163="South Korea",korea_mid_revleg,revleg_mid))),1)-0.5)&lt;1E-9,2*ROUND((L163*M163*IF(B163="South Korea",korea_mid_revleg,revleg_mid))/2,0),ROUND((L163*M163*IF(B163="South Korea",korea_mid_revleg,revleg_mid)),0))*VLOOKUP(B163,country_opex,3,FALSE))+W163+X163+Y163+Z163+AA163)))</f>
        <v/>
      </c>
      <c r="AX163" s="45">
        <f>IF(((T163*pax_cap*load_full*IF(ABS(MOD(ABS((L163*M163*revleg_full)),1)-0.5)&lt;1E-9,2*ROUND((L163*M163*revleg_full)/2,0),ROUND((L163*M163*revleg_full),0)))-(((battery/range_nm)*D163*IF(ABS(MOD(ABS((L163*M163*revleg_full)),1)-0.5)&lt;1E-9,2*ROUND((L163*M163*revleg_full)/2,0),ROUND((L163*M163*revleg_full),0))*VLOOKUP(B163,country_opex,3,FALSE))+W163+X163+Y163+Z163+AA163))&lt;=0,"",VLOOKUP(B163,country_opex,7,FALSE)/((T163*pax_cap*load_full*IF(ABS(MOD(ABS((L163*M163*revleg_full)),1)-0.5)&lt;1E-9,2*ROUND((L163*M163*revleg_full)/2,0),ROUND((L163*M163*revleg_full),0)))-(((battery/range_nm)*D163*IF(ABS(MOD(ABS((L163*M163*revleg_full)),1)-0.5)&lt;1E-9,2*ROUND((L163*M163*revleg_full)/2,0),ROUND((L163*M163*revleg_full),0))*VLOOKUP(B163,country_opex,3,FALSE))+W163+X163+Y163+Z163+AA163)))</f>
        <v/>
      </c>
      <c r="AY163" s="46" t="inlineStr">
        <is>
          <t>[LB-255 PREMIUM RE-FARE: subsidized comparable $4.1 lifted to premium on-demand floor $18.0] SL single ticket SEK 43 (2025; SEK 42 in 2024). Line 82 is a pure SL mass-transit commuter ferry (SL travelcard valid) - NO premium scheduled tier exists on this leg, so fare_anchor = the SL single. SEK 43 x 0.0952 = $4.1. (Premium sightseeing context only: Stromma hop-on-hop-off / Royal Canal tours ~SEK 220+/day cover this water but are not a per-seat point-to-point fare.)</t>
        </is>
      </c>
      <c r="AZ163" s="46" t="n"/>
      <c r="BA163" s="34" t="n"/>
    </row>
    <row r="164">
      <c r="A164" s="31" t="inlineStr">
        <is>
          <t>Bolt Sweden</t>
        </is>
      </c>
      <c r="B164" s="31" t="inlineStr">
        <is>
          <t>Sweden</t>
        </is>
      </c>
      <c r="C164" s="32" t="inlineStr">
        <is>
          <t>Stockholm (Nybroplan) → Nacka Strand / Ropsten</t>
        </is>
      </c>
      <c r="D164" s="33" t="n">
        <v>3</v>
      </c>
      <c r="E164" s="27" t="n">
        <v>18</v>
      </c>
      <c r="F164" s="34" t="inlineStr">
        <is>
          <t>T2</t>
        </is>
      </c>
      <c r="G164" s="34" t="inlineStr">
        <is>
          <t>med</t>
        </is>
      </c>
      <c r="H164" s="20" t="n">
        <v>1</v>
      </c>
      <c r="I164" s="35">
        <f>60*D164/cruise_kt</f>
        <v/>
      </c>
      <c r="J164" s="35">
        <f>IF(B164="South Korea",D164/korea_charge_range_nm*korea_full_range_charge_min,0)</f>
        <v/>
      </c>
      <c r="K164" s="35">
        <f>IF(B164="South Korea",I164+korea_turn_min+korea_dwell_min+J164,I164+turn_min+dwell_min)</f>
        <v/>
      </c>
      <c r="L164" s="36">
        <f>IF(B164="South Korea",FLOOR(60*korea_service_hr/K164,1),MIN(24,FLOOR(60*service_hr/K164,1)))</f>
        <v/>
      </c>
      <c r="M164" s="36">
        <f>IF(ABS(MOD(ABS((365*mech_uptime*H164)),1)-0.5)&lt;1E-9,2*ROUND((365*mech_uptime*H164)/2,0),ROUND((365*mech_uptime*H164),0))</f>
        <v/>
      </c>
      <c r="N164" s="37">
        <f>mech_uptime</f>
        <v/>
      </c>
      <c r="O164" s="37">
        <f>IF(AND(B164="South Korea",scenario="MID"),korea_mid_revleg,revleg_sel)</f>
        <v/>
      </c>
      <c r="P164" s="36">
        <f>IF(ABS(MOD(ABS((L164*M164*O164)),1)-0.5)&lt;1E-9,2*ROUND((L164*M164*O164)/2,0),ROUND((L164*M164*O164),0))</f>
        <v/>
      </c>
      <c r="Q164" s="37">
        <f>IF(AND(B164="South Korea",scenario="MID"),korea_mid_load,load_sel)</f>
        <v/>
      </c>
      <c r="R164" s="38">
        <f>pax_cap*Q164</f>
        <v/>
      </c>
      <c r="S164" s="36">
        <f>R164*P164</f>
        <v/>
      </c>
      <c r="T164" s="39">
        <f>E164*discount</f>
        <v/>
      </c>
      <c r="U164" s="40">
        <f>T164*S164</f>
        <v/>
      </c>
      <c r="V164" s="40">
        <f>(battery/range_nm)*D164*P164*VLOOKUP(B164,country_opex,3,FALSE)</f>
        <v/>
      </c>
      <c r="W164" s="40">
        <f>VLOOKUP(B164,country_opex,2,FALSE)*crew_factor</f>
        <v/>
      </c>
      <c r="X164" s="40">
        <f>VLOOKUP(B164,country_opex,5,FALSE)</f>
        <v/>
      </c>
      <c r="Y164" s="40">
        <f>maint</f>
        <v/>
      </c>
      <c r="Z164" s="40">
        <f>VLOOKUP(B164,country_opex,7,FALSE)*ins_pct</f>
        <v/>
      </c>
      <c r="AA164" s="40">
        <f>charge_berth</f>
        <v/>
      </c>
      <c r="AB164" s="40">
        <f>V164+W164+X164+Y164+Z164+AA164</f>
        <v/>
      </c>
      <c r="AC164" s="40">
        <f>VLOOKUP(B164,country_opex,7,FALSE)/dep_years</f>
        <v/>
      </c>
      <c r="AD164" s="40">
        <f>U164-AB164</f>
        <v/>
      </c>
      <c r="AE164" s="37">
        <f>IF(U164=0,"",AD164/U164)</f>
        <v/>
      </c>
      <c r="AF164" s="38">
        <f>IF(AD164&lt;=0,"",VLOOKUP(B164,country_opex,7,FALSE)/AD164)</f>
        <v/>
      </c>
      <c r="AG164" s="35">
        <f>((D164*P164/diesel_nmpg)*diesel_co2pg-(battery/range_nm)*D164*P164*VLOOKUP(B164,country_opex,4,FALSE))/1000</f>
        <v/>
      </c>
      <c r="AH164" s="33" t="n">
        <v>365638</v>
      </c>
      <c r="AI164" s="34" t="n"/>
      <c r="AJ164" s="34" t="inlineStr">
        <is>
          <t>med</t>
        </is>
      </c>
      <c r="AK164" s="41" t="n">
        <v>0.25</v>
      </c>
      <c r="AL164" s="36">
        <f>IF(AH164="","",AH164*AK164)</f>
        <v/>
      </c>
      <c r="AM164" s="36">
        <f>IF(OR(AH164="",S164=0),"",MIN(IF(AU164="",9.9E+99,AU164),FLOOR(AL164/S164,1)))</f>
        <v/>
      </c>
      <c r="AN164" s="40">
        <f>IF(AM164="","",AM164*IF(ABS(MOD(ABS((U164)),1)-0.5)&lt;1E-9,2*ROUND((U164)/2,0),ROUND((U164),0)))</f>
        <v/>
      </c>
      <c r="AO164" s="38">
        <f>IF(OR(AH164="",S164=0),"",MIN(IF(AU164="",9.9E+99,AU164),AL164/S164))</f>
        <v/>
      </c>
      <c r="AP164" s="40">
        <f>IF(AO164="","",AO164*IF(B164="South Korea",IF(ABS(MOD(ABS((U164)),1)-0.5)&lt;1E-9,2*ROUND((U164)/2,0),ROUND((U164),0)),U164))</f>
        <v/>
      </c>
      <c r="AQ164" s="42" t="n"/>
      <c r="AR164" s="34" t="inlineStr">
        <is>
          <t>Grounded</t>
        </is>
      </c>
      <c r="AS164" s="43" t="n"/>
      <c r="AT164" s="43" t="n"/>
      <c r="AU164" s="44" t="n"/>
      <c r="AV164" s="45">
        <f>IF(((T164*pax_cap*load_thin*IF(ABS(MOD(ABS((L164*M164*revleg_thin)),1)-0.5)&lt;1E-9,2*ROUND((L164*M164*revleg_thin)/2,0),ROUND((L164*M164*revleg_thin),0)))-(((battery/range_nm)*D164*IF(ABS(MOD(ABS((L164*M164*revleg_thin)),1)-0.5)&lt;1E-9,2*ROUND((L164*M164*revleg_thin)/2,0),ROUND((L164*M164*revleg_thin),0))*VLOOKUP(B164,country_opex,3,FALSE))+W164+X164+Y164+Z164+AA164))&lt;=0,"",VLOOKUP(B164,country_opex,7,FALSE)/((T164*pax_cap*load_thin*IF(ABS(MOD(ABS((L164*M164*revleg_thin)),1)-0.5)&lt;1E-9,2*ROUND((L164*M164*revleg_thin)/2,0),ROUND((L164*M164*revleg_thin),0)))-(((battery/range_nm)*D164*IF(ABS(MOD(ABS((L164*M164*revleg_thin)),1)-0.5)&lt;1E-9,2*ROUND((L164*M164*revleg_thin)/2,0),ROUND((L164*M164*revleg_thin),0))*VLOOKUP(B164,country_opex,3,FALSE))+W164+X164+Y164+Z164+AA164)))</f>
        <v/>
      </c>
      <c r="AW164" s="45">
        <f>IF(((T164*pax_cap*IF(B164="South Korea",korea_mid_load,load_mid)*IF(ABS(MOD(ABS((L164*M164*IF(B164="South Korea",korea_mid_revleg,revleg_mid))),1)-0.5)&lt;1E-9,2*ROUND((L164*M164*IF(B164="South Korea",korea_mid_revleg,revleg_mid))/2,0),ROUND((L164*M164*IF(B164="South Korea",korea_mid_revleg,revleg_mid)),0)))-(((battery/range_nm)*D164*IF(ABS(MOD(ABS((L164*M164*IF(B164="South Korea",korea_mid_revleg,revleg_mid))),1)-0.5)&lt;1E-9,2*ROUND((L164*M164*IF(B164="South Korea",korea_mid_revleg,revleg_mid))/2,0),ROUND((L164*M164*IF(B164="South Korea",korea_mid_revleg,revleg_mid)),0))*VLOOKUP(B164,country_opex,3,FALSE))+W164+X164+Y164+Z164+AA164))&lt;=0,"",VLOOKUP(B164,country_opex,7,FALSE)/((T164*pax_cap*IF(B164="South Korea",korea_mid_load,load_mid)*IF(ABS(MOD(ABS((L164*M164*IF(B164="South Korea",korea_mid_revleg,revleg_mid))),1)-0.5)&lt;1E-9,2*ROUND((L164*M164*IF(B164="South Korea",korea_mid_revleg,revleg_mid))/2,0),ROUND((L164*M164*IF(B164="South Korea",korea_mid_revleg,revleg_mid)),0)))-(((battery/range_nm)*D164*IF(ABS(MOD(ABS((L164*M164*IF(B164="South Korea",korea_mid_revleg,revleg_mid))),1)-0.5)&lt;1E-9,2*ROUND((L164*M164*IF(B164="South Korea",korea_mid_revleg,revleg_mid))/2,0),ROUND((L164*M164*IF(B164="South Korea",korea_mid_revleg,revleg_mid)),0))*VLOOKUP(B164,country_opex,3,FALSE))+W164+X164+Y164+Z164+AA164)))</f>
        <v/>
      </c>
      <c r="AX164" s="45">
        <f>IF(((T164*pax_cap*load_full*IF(ABS(MOD(ABS((L164*M164*revleg_full)),1)-0.5)&lt;1E-9,2*ROUND((L164*M164*revleg_full)/2,0),ROUND((L164*M164*revleg_full),0)))-(((battery/range_nm)*D164*IF(ABS(MOD(ABS((L164*M164*revleg_full)),1)-0.5)&lt;1E-9,2*ROUND((L164*M164*revleg_full)/2,0),ROUND((L164*M164*revleg_full),0))*VLOOKUP(B164,country_opex,3,FALSE))+W164+X164+Y164+Z164+AA164))&lt;=0,"",VLOOKUP(B164,country_opex,7,FALSE)/((T164*pax_cap*load_full*IF(ABS(MOD(ABS((L164*M164*revleg_full)),1)-0.5)&lt;1E-9,2*ROUND((L164*M164*revleg_full)/2,0),ROUND((L164*M164*revleg_full),0)))-(((battery/range_nm)*D164*IF(ABS(MOD(ABS((L164*M164*revleg_full)),1)-0.5)&lt;1E-9,2*ROUND((L164*M164*revleg_full)/2,0),ROUND((L164*M164*revleg_full),0))*VLOOKUP(B164,country_opex,3,FALSE))+W164+X164+Y164+Z164+AA164)))</f>
        <v/>
      </c>
      <c r="AY164" s="46" t="inlineStr">
        <is>
          <t>[LB-255 PREMIUM RE-FARE: subsidized comparable $4.1 lifted to premium on-demand floor $18.0] SL single ticket SEK 43 (2025). Line 80 is an SL mass-transit commuter boat (SL travelcard valid) - no premium tier. SEK 43 x 0.0952 = $4.1.</t>
        </is>
      </c>
      <c r="AZ164" s="46" t="n"/>
      <c r="BA164" s="34" t="n"/>
    </row>
    <row r="165">
      <c r="A165" s="31" t="inlineStr">
        <is>
          <t>Bolt Sweden</t>
        </is>
      </c>
      <c r="B165" s="31" t="inlineStr">
        <is>
          <t>Sweden</t>
        </is>
      </c>
      <c r="C165" s="32" t="inlineStr">
        <is>
          <t>Stockholm (Stadshuskajen / Klara Malarstrand) → Drottningholm</t>
        </is>
      </c>
      <c r="D165" s="33" t="n">
        <v>6</v>
      </c>
      <c r="E165" s="27" t="n">
        <v>13.8</v>
      </c>
      <c r="F165" s="34" t="inlineStr">
        <is>
          <t>T2</t>
        </is>
      </c>
      <c r="G165" s="34" t="inlineStr">
        <is>
          <t>med</t>
        </is>
      </c>
      <c r="H165" s="20" t="n">
        <v>1</v>
      </c>
      <c r="I165" s="35">
        <f>60*D165/cruise_kt</f>
        <v/>
      </c>
      <c r="J165" s="35">
        <f>IF(B165="South Korea",D165/korea_charge_range_nm*korea_full_range_charge_min,0)</f>
        <v/>
      </c>
      <c r="K165" s="35">
        <f>IF(B165="South Korea",I165+korea_turn_min+korea_dwell_min+J165,I165+turn_min+dwell_min)</f>
        <v/>
      </c>
      <c r="L165" s="36">
        <f>IF(B165="South Korea",FLOOR(60*korea_service_hr/K165,1),MIN(15,FLOOR(60*service_hr/K165,1)))</f>
        <v/>
      </c>
      <c r="M165" s="36">
        <f>IF(ABS(MOD(ABS((365*mech_uptime*H165)),1)-0.5)&lt;1E-9,2*ROUND((365*mech_uptime*H165)/2,0),ROUND((365*mech_uptime*H165),0))</f>
        <v/>
      </c>
      <c r="N165" s="37">
        <f>mech_uptime</f>
        <v/>
      </c>
      <c r="O165" s="37">
        <f>IF(AND(B165="South Korea",scenario="MID"),korea_mid_revleg,revleg_sel)</f>
        <v/>
      </c>
      <c r="P165" s="36">
        <f>IF(ABS(MOD(ABS((L165*M165*O165)),1)-0.5)&lt;1E-9,2*ROUND((L165*M165*O165)/2,0),ROUND((L165*M165*O165),0))</f>
        <v/>
      </c>
      <c r="Q165" s="37">
        <f>IF(AND(B165="South Korea",scenario="MID"),korea_mid_load,load_sel)</f>
        <v/>
      </c>
      <c r="R165" s="38">
        <f>pax_cap*Q165</f>
        <v/>
      </c>
      <c r="S165" s="36">
        <f>R165*P165</f>
        <v/>
      </c>
      <c r="T165" s="39">
        <f>E165*discount</f>
        <v/>
      </c>
      <c r="U165" s="40">
        <f>T165*S165</f>
        <v/>
      </c>
      <c r="V165" s="40">
        <f>(battery/range_nm)*D165*P165*VLOOKUP(B165,country_opex,3,FALSE)</f>
        <v/>
      </c>
      <c r="W165" s="40">
        <f>VLOOKUP(B165,country_opex,2,FALSE)*crew_factor</f>
        <v/>
      </c>
      <c r="X165" s="40">
        <f>VLOOKUP(B165,country_opex,5,FALSE)</f>
        <v/>
      </c>
      <c r="Y165" s="40">
        <f>maint</f>
        <v/>
      </c>
      <c r="Z165" s="40">
        <f>VLOOKUP(B165,country_opex,7,FALSE)*ins_pct</f>
        <v/>
      </c>
      <c r="AA165" s="40">
        <f>charge_berth</f>
        <v/>
      </c>
      <c r="AB165" s="40">
        <f>V165+W165+X165+Y165+Z165+AA165</f>
        <v/>
      </c>
      <c r="AC165" s="40">
        <f>VLOOKUP(B165,country_opex,7,FALSE)/dep_years</f>
        <v/>
      </c>
      <c r="AD165" s="40">
        <f>U165-AB165</f>
        <v/>
      </c>
      <c r="AE165" s="37">
        <f>IF(U165=0,"",AD165/U165)</f>
        <v/>
      </c>
      <c r="AF165" s="38">
        <f>IF(AD165&lt;=0,"",VLOOKUP(B165,country_opex,7,FALSE)/AD165)</f>
        <v/>
      </c>
      <c r="AG165" s="35">
        <f>((D165*P165/diesel_nmpg)*diesel_co2pg-(battery/range_nm)*D165*P165*VLOOKUP(B165,country_opex,4,FALSE))/1000</f>
        <v/>
      </c>
      <c r="AH165" s="33" t="n">
        <v>700000</v>
      </c>
      <c r="AI165" s="34" t="n"/>
      <c r="AJ165" s="34" t="n"/>
      <c r="AK165" s="41" t="n">
        <v>0.1</v>
      </c>
      <c r="AL165" s="36">
        <f>IF(AH165="","",AH165*AK165)</f>
        <v/>
      </c>
      <c r="AM165" s="36">
        <f>IF(OR(AH165="",S165=0),"",MIN(IF(AU165="",9.9E+99,AU165),FLOOR(AL165/S165,1)))</f>
        <v/>
      </c>
      <c r="AN165" s="40">
        <f>IF(AM165="","",AM165*IF(ABS(MOD(ABS((U165)),1)-0.5)&lt;1E-9,2*ROUND((U165)/2,0),ROUND((U165),0)))</f>
        <v/>
      </c>
      <c r="AO165" s="38">
        <f>IF(OR(AH165="",S165=0),"",MIN(IF(AU165="",9.9E+99,AU165),AL165/S165))</f>
        <v/>
      </c>
      <c r="AP165" s="40">
        <f>IF(AO165="","",AO165*IF(B165="South Korea",IF(ABS(MOD(ABS((U165)),1)-0.5)&lt;1E-9,2*ROUND((U165)/2,0),ROUND((U165),0)),U165))</f>
        <v/>
      </c>
      <c r="AQ165" s="42" t="n"/>
      <c r="AR165" s="34" t="inlineStr">
        <is>
          <t>Grounded</t>
        </is>
      </c>
      <c r="AS165" s="43" t="n"/>
      <c r="AT165" s="43" t="n"/>
      <c r="AU165" s="44" t="n"/>
      <c r="AV165" s="45">
        <f>IF(((T165*pax_cap*load_thin*IF(ABS(MOD(ABS((L165*M165*revleg_thin)),1)-0.5)&lt;1E-9,2*ROUND((L165*M165*revleg_thin)/2,0),ROUND((L165*M165*revleg_thin),0)))-(((battery/range_nm)*D165*IF(ABS(MOD(ABS((L165*M165*revleg_thin)),1)-0.5)&lt;1E-9,2*ROUND((L165*M165*revleg_thin)/2,0),ROUND((L165*M165*revleg_thin),0))*VLOOKUP(B165,country_opex,3,FALSE))+W165+X165+Y165+Z165+AA165))&lt;=0,"",VLOOKUP(B165,country_opex,7,FALSE)/((T165*pax_cap*load_thin*IF(ABS(MOD(ABS((L165*M165*revleg_thin)),1)-0.5)&lt;1E-9,2*ROUND((L165*M165*revleg_thin)/2,0),ROUND((L165*M165*revleg_thin),0)))-(((battery/range_nm)*D165*IF(ABS(MOD(ABS((L165*M165*revleg_thin)),1)-0.5)&lt;1E-9,2*ROUND((L165*M165*revleg_thin)/2,0),ROUND((L165*M165*revleg_thin),0))*VLOOKUP(B165,country_opex,3,FALSE))+W165+X165+Y165+Z165+AA165)))</f>
        <v/>
      </c>
      <c r="AW165" s="45">
        <f>IF(((T165*pax_cap*IF(B165="South Korea",korea_mid_load,load_mid)*IF(ABS(MOD(ABS((L165*M165*IF(B165="South Korea",korea_mid_revleg,revleg_mid))),1)-0.5)&lt;1E-9,2*ROUND((L165*M165*IF(B165="South Korea",korea_mid_revleg,revleg_mid))/2,0),ROUND((L165*M165*IF(B165="South Korea",korea_mid_revleg,revleg_mid)),0)))-(((battery/range_nm)*D165*IF(ABS(MOD(ABS((L165*M165*IF(B165="South Korea",korea_mid_revleg,revleg_mid))),1)-0.5)&lt;1E-9,2*ROUND((L165*M165*IF(B165="South Korea",korea_mid_revleg,revleg_mid))/2,0),ROUND((L165*M165*IF(B165="South Korea",korea_mid_revleg,revleg_mid)),0))*VLOOKUP(B165,country_opex,3,FALSE))+W165+X165+Y165+Z165+AA165))&lt;=0,"",VLOOKUP(B165,country_opex,7,FALSE)/((T165*pax_cap*IF(B165="South Korea",korea_mid_load,load_mid)*IF(ABS(MOD(ABS((L165*M165*IF(B165="South Korea",korea_mid_revleg,revleg_mid))),1)-0.5)&lt;1E-9,2*ROUND((L165*M165*IF(B165="South Korea",korea_mid_revleg,revleg_mid))/2,0),ROUND((L165*M165*IF(B165="South Korea",korea_mid_revleg,revleg_mid)),0)))-(((battery/range_nm)*D165*IF(ABS(MOD(ABS((L165*M165*IF(B165="South Korea",korea_mid_revleg,revleg_mid))),1)-0.5)&lt;1E-9,2*ROUND((L165*M165*IF(B165="South Korea",korea_mid_revleg,revleg_mid))/2,0),ROUND((L165*M165*IF(B165="South Korea",korea_mid_revleg,revleg_mid)),0))*VLOOKUP(B165,country_opex,3,FALSE))+W165+X165+Y165+Z165+AA165)))</f>
        <v/>
      </c>
      <c r="AX165" s="45">
        <f>IF(((T165*pax_cap*load_full*IF(ABS(MOD(ABS((L165*M165*revleg_full)),1)-0.5)&lt;1E-9,2*ROUND((L165*M165*revleg_full)/2,0),ROUND((L165*M165*revleg_full),0)))-(((battery/range_nm)*D165*IF(ABS(MOD(ABS((L165*M165*revleg_full)),1)-0.5)&lt;1E-9,2*ROUND((L165*M165*revleg_full)/2,0),ROUND((L165*M165*revleg_full),0))*VLOOKUP(B165,country_opex,3,FALSE))+W165+X165+Y165+Z165+AA165))&lt;=0,"",VLOOKUP(B165,country_opex,7,FALSE)/((T165*pax_cap*load_full*IF(ABS(MOD(ABS((L165*M165*revleg_full)),1)-0.5)&lt;1E-9,2*ROUND((L165*M165*revleg_full)/2,0),ROUND((L165*M165*revleg_full),0)))-(((battery/range_nm)*D165*IF(ABS(MOD(ABS((L165*M165*revleg_full)),1)-0.5)&lt;1E-9,2*ROUND((L165*M165*revleg_full)/2,0),ROUND((L165*M165*revleg_full),0))*VLOOKUP(B165,country_opex,3,FALSE))+W165+X165+Y165+Z165+AA165)))</f>
        <v/>
      </c>
      <c r="AY165" s="46" t="inlineStr">
        <is>
          <t>PREMIUM tier: Stromma Klara Malarstrand/Stadshuskajen-&gt;Drottningholm scenic steamer; return ferry ~SEK 220 (2026) -&gt; one-way ~SEK 145 = $13.8. (Historic 2017 quote: SEK 210 return.)</t>
        </is>
      </c>
      <c r="AZ165" s="46" t="n"/>
      <c r="BA165" s="34" t="n"/>
    </row>
    <row r="166">
      <c r="A166" s="31" t="inlineStr">
        <is>
          <t>Bolt Sweden</t>
        </is>
      </c>
      <c r="B166" s="31" t="inlineStr">
        <is>
          <t>Sweden</t>
        </is>
      </c>
      <c r="C166" s="32" t="inlineStr">
        <is>
          <t>Stockholm (Klara Malarstrand) → Ekero (Tappstrom)</t>
        </is>
      </c>
      <c r="D166" s="33" t="n">
        <v>8.6</v>
      </c>
      <c r="E166" s="27" t="n">
        <v>18</v>
      </c>
      <c r="F166" s="34" t="inlineStr">
        <is>
          <t>T2</t>
        </is>
      </c>
      <c r="G166" s="34" t="inlineStr">
        <is>
          <t>med</t>
        </is>
      </c>
      <c r="H166" s="20" t="n">
        <v>1</v>
      </c>
      <c r="I166" s="35">
        <f>60*D166/cruise_kt</f>
        <v/>
      </c>
      <c r="J166" s="35">
        <f>IF(B166="South Korea",D166/korea_charge_range_nm*korea_full_range_charge_min,0)</f>
        <v/>
      </c>
      <c r="K166" s="35">
        <f>IF(B166="South Korea",I166+korea_turn_min+korea_dwell_min+J166,I166+turn_min+dwell_min)</f>
        <v/>
      </c>
      <c r="L166" s="36">
        <f>IF(B166="South Korea",FLOOR(60*korea_service_hr/K166,1),MIN(24,FLOOR(60*service_hr/K166,1)))</f>
        <v/>
      </c>
      <c r="M166" s="36">
        <f>IF(ABS(MOD(ABS((365*mech_uptime*H166)),1)-0.5)&lt;1E-9,2*ROUND((365*mech_uptime*H166)/2,0),ROUND((365*mech_uptime*H166),0))</f>
        <v/>
      </c>
      <c r="N166" s="37">
        <f>mech_uptime</f>
        <v/>
      </c>
      <c r="O166" s="37">
        <f>IF(AND(B166="South Korea",scenario="MID"),korea_mid_revleg,revleg_sel)</f>
        <v/>
      </c>
      <c r="P166" s="36">
        <f>IF(ABS(MOD(ABS((L166*M166*O166)),1)-0.5)&lt;1E-9,2*ROUND((L166*M166*O166)/2,0),ROUND((L166*M166*O166),0))</f>
        <v/>
      </c>
      <c r="Q166" s="37">
        <f>IF(AND(B166="South Korea",scenario="MID"),korea_mid_load,load_sel)</f>
        <v/>
      </c>
      <c r="R166" s="38">
        <f>pax_cap*Q166</f>
        <v/>
      </c>
      <c r="S166" s="36">
        <f>R166*P166</f>
        <v/>
      </c>
      <c r="T166" s="39">
        <f>E166*discount</f>
        <v/>
      </c>
      <c r="U166" s="40">
        <f>T166*S166</f>
        <v/>
      </c>
      <c r="V166" s="40">
        <f>(battery/range_nm)*D166*P166*VLOOKUP(B166,country_opex,3,FALSE)</f>
        <v/>
      </c>
      <c r="W166" s="40">
        <f>VLOOKUP(B166,country_opex,2,FALSE)*crew_factor</f>
        <v/>
      </c>
      <c r="X166" s="40">
        <f>VLOOKUP(B166,country_opex,5,FALSE)</f>
        <v/>
      </c>
      <c r="Y166" s="40">
        <f>maint</f>
        <v/>
      </c>
      <c r="Z166" s="40">
        <f>VLOOKUP(B166,country_opex,7,FALSE)*ins_pct</f>
        <v/>
      </c>
      <c r="AA166" s="40">
        <f>charge_berth</f>
        <v/>
      </c>
      <c r="AB166" s="40">
        <f>V166+W166+X166+Y166+Z166+AA166</f>
        <v/>
      </c>
      <c r="AC166" s="40">
        <f>VLOOKUP(B166,country_opex,7,FALSE)/dep_years</f>
        <v/>
      </c>
      <c r="AD166" s="40">
        <f>U166-AB166</f>
        <v/>
      </c>
      <c r="AE166" s="37">
        <f>IF(U166=0,"",AD166/U166)</f>
        <v/>
      </c>
      <c r="AF166" s="38">
        <f>IF(AD166&lt;=0,"",VLOOKUP(B166,country_opex,7,FALSE)/AD166)</f>
        <v/>
      </c>
      <c r="AG166" s="35">
        <f>((D166*P166/diesel_nmpg)*diesel_co2pg-(battery/range_nm)*D166*P166*VLOOKUP(B166,country_opex,4,FALSE))/1000</f>
        <v/>
      </c>
      <c r="AH166" s="33" t="n">
        <v>23673</v>
      </c>
      <c r="AI166" s="34" t="n"/>
      <c r="AJ166" s="34" t="inlineStr">
        <is>
          <t>med</t>
        </is>
      </c>
      <c r="AK166" s="41" t="n">
        <v>0.25</v>
      </c>
      <c r="AL166" s="36">
        <f>IF(AH166="","",AH166*AK166)</f>
        <v/>
      </c>
      <c r="AM166" s="36">
        <f>IF(OR(AH166="",S166=0),"",MIN(IF(AU166="",9.9E+99,AU166),FLOOR(AL166/S166,1)))</f>
        <v/>
      </c>
      <c r="AN166" s="40">
        <f>IF(AM166="","",AM166*IF(ABS(MOD(ABS((U166)),1)-0.5)&lt;1E-9,2*ROUND((U166)/2,0),ROUND((U166),0)))</f>
        <v/>
      </c>
      <c r="AO166" s="38">
        <f>IF(OR(AH166="",S166=0),"",MIN(IF(AU166="",9.9E+99,AU166),AL166/S166))</f>
        <v/>
      </c>
      <c r="AP166" s="40">
        <f>IF(AO166="","",AO166*IF(B166="South Korea",IF(ABS(MOD(ABS((U166)),1)-0.5)&lt;1E-9,2*ROUND((U166)/2,0),ROUND((U166),0)),U166))</f>
        <v/>
      </c>
      <c r="AQ166" s="42" t="n"/>
      <c r="AR166" s="34" t="inlineStr">
        <is>
          <t>Estimated</t>
        </is>
      </c>
      <c r="AS166" s="43" t="n"/>
      <c r="AT166" s="43" t="n"/>
      <c r="AU166" s="44" t="n"/>
      <c r="AV166" s="45">
        <f>IF(((T166*pax_cap*load_thin*IF(ABS(MOD(ABS((L166*M166*revleg_thin)),1)-0.5)&lt;1E-9,2*ROUND((L166*M166*revleg_thin)/2,0),ROUND((L166*M166*revleg_thin),0)))-(((battery/range_nm)*D166*IF(ABS(MOD(ABS((L166*M166*revleg_thin)),1)-0.5)&lt;1E-9,2*ROUND((L166*M166*revleg_thin)/2,0),ROUND((L166*M166*revleg_thin),0))*VLOOKUP(B166,country_opex,3,FALSE))+W166+X166+Y166+Z166+AA166))&lt;=0,"",VLOOKUP(B166,country_opex,7,FALSE)/((T166*pax_cap*load_thin*IF(ABS(MOD(ABS((L166*M166*revleg_thin)),1)-0.5)&lt;1E-9,2*ROUND((L166*M166*revleg_thin)/2,0),ROUND((L166*M166*revleg_thin),0)))-(((battery/range_nm)*D166*IF(ABS(MOD(ABS((L166*M166*revleg_thin)),1)-0.5)&lt;1E-9,2*ROUND((L166*M166*revleg_thin)/2,0),ROUND((L166*M166*revleg_thin),0))*VLOOKUP(B166,country_opex,3,FALSE))+W166+X166+Y166+Z166+AA166)))</f>
        <v/>
      </c>
      <c r="AW166" s="45">
        <f>IF(((T166*pax_cap*IF(B166="South Korea",korea_mid_load,load_mid)*IF(ABS(MOD(ABS((L166*M166*IF(B166="South Korea",korea_mid_revleg,revleg_mid))),1)-0.5)&lt;1E-9,2*ROUND((L166*M166*IF(B166="South Korea",korea_mid_revleg,revleg_mid))/2,0),ROUND((L166*M166*IF(B166="South Korea",korea_mid_revleg,revleg_mid)),0)))-(((battery/range_nm)*D166*IF(ABS(MOD(ABS((L166*M166*IF(B166="South Korea",korea_mid_revleg,revleg_mid))),1)-0.5)&lt;1E-9,2*ROUND((L166*M166*IF(B166="South Korea",korea_mid_revleg,revleg_mid))/2,0),ROUND((L166*M166*IF(B166="South Korea",korea_mid_revleg,revleg_mid)),0))*VLOOKUP(B166,country_opex,3,FALSE))+W166+X166+Y166+Z166+AA166))&lt;=0,"",VLOOKUP(B166,country_opex,7,FALSE)/((T166*pax_cap*IF(B166="South Korea",korea_mid_load,load_mid)*IF(ABS(MOD(ABS((L166*M166*IF(B166="South Korea",korea_mid_revleg,revleg_mid))),1)-0.5)&lt;1E-9,2*ROUND((L166*M166*IF(B166="South Korea",korea_mid_revleg,revleg_mid))/2,0),ROUND((L166*M166*IF(B166="South Korea",korea_mid_revleg,revleg_mid)),0)))-(((battery/range_nm)*D166*IF(ABS(MOD(ABS((L166*M166*IF(B166="South Korea",korea_mid_revleg,revleg_mid))),1)-0.5)&lt;1E-9,2*ROUND((L166*M166*IF(B166="South Korea",korea_mid_revleg,revleg_mid))/2,0),ROUND((L166*M166*IF(B166="South Korea",korea_mid_revleg,revleg_mid)),0))*VLOOKUP(B166,country_opex,3,FALSE))+W166+X166+Y166+Z166+AA166)))</f>
        <v/>
      </c>
      <c r="AX166" s="45">
        <f>IF(((T166*pax_cap*load_full*IF(ABS(MOD(ABS((L166*M166*revleg_full)),1)-0.5)&lt;1E-9,2*ROUND((L166*M166*revleg_full)/2,0),ROUND((L166*M166*revleg_full),0)))-(((battery/range_nm)*D166*IF(ABS(MOD(ABS((L166*M166*revleg_full)),1)-0.5)&lt;1E-9,2*ROUND((L166*M166*revleg_full)/2,0),ROUND((L166*M166*revleg_full),0))*VLOOKUP(B166,country_opex,3,FALSE))+W166+X166+Y166+Z166+AA166))&lt;=0,"",VLOOKUP(B166,country_opex,7,FALSE)/((T166*pax_cap*load_full*IF(ABS(MOD(ABS((L166*M166*revleg_full)),1)-0.5)&lt;1E-9,2*ROUND((L166*M166*revleg_full)/2,0),ROUND((L166*M166*revleg_full),0)))-(((battery/range_nm)*D166*IF(ABS(MOD(ABS((L166*M166*revleg_full)),1)-0.5)&lt;1E-9,2*ROUND((L166*M166*revleg_full)/2,0),ROUND((L166*M166*revleg_full),0))*VLOOKUP(B166,country_opex,3,FALSE))+W166+X166+Y166+Z166+AA166)))</f>
        <v/>
      </c>
      <c r="AY166" s="46" t="inlineStr">
        <is>
          <t>[LB-255 PREMIUM RE-FARE: subsidized comparable $4.1 lifted to premium on-demand floor $18.0] SL single ticket SEK 43 (2025). SL mass-transit commuter boat; no premium tier. SEK 43 x 0.0952 = $4.1.</t>
        </is>
      </c>
      <c r="AZ166" s="46" t="n"/>
      <c r="BA166" s="34" t="n"/>
    </row>
    <row r="167">
      <c r="A167" s="31" t="inlineStr">
        <is>
          <t>Bolt Sweden</t>
        </is>
      </c>
      <c r="B167" s="31" t="inlineStr">
        <is>
          <t>Sweden</t>
        </is>
      </c>
      <c r="C167" s="32" t="inlineStr">
        <is>
          <t>Stockholm → Saltsjobaden (Nacka)</t>
        </is>
      </c>
      <c r="D167" s="33" t="n">
        <v>9</v>
      </c>
      <c r="E167" s="27" t="n"/>
      <c r="F167" s="34" t="n"/>
      <c r="G167" s="34" t="n"/>
      <c r="H167" s="20" t="n">
        <v>1</v>
      </c>
      <c r="I167" s="35">
        <f>60*D167/cruise_kt</f>
        <v/>
      </c>
      <c r="J167" s="35">
        <f>IF(B167="South Korea",D167/korea_charge_range_nm*korea_full_range_charge_min,0)</f>
        <v/>
      </c>
      <c r="K167" s="35">
        <f>IF(B167="South Korea",I167+korea_turn_min+korea_dwell_min+J167,I167+turn_min+dwell_min)</f>
        <v/>
      </c>
      <c r="L167" s="36">
        <f>IF(B167="South Korea",FLOOR(60*korea_service_hr/K167,1),MIN(24,FLOOR(60*service_hr/K167,1)))</f>
        <v/>
      </c>
      <c r="M167" s="36">
        <f>IF(ABS(MOD(ABS((365*mech_uptime*H167)),1)-0.5)&lt;1E-9,2*ROUND((365*mech_uptime*H167)/2,0),ROUND((365*mech_uptime*H167),0))</f>
        <v/>
      </c>
      <c r="N167" s="37">
        <f>mech_uptime</f>
        <v/>
      </c>
      <c r="O167" s="37">
        <f>IF(AND(B167="South Korea",scenario="MID"),korea_mid_revleg,revleg_sel)</f>
        <v/>
      </c>
      <c r="P167" s="36">
        <f>IF(ABS(MOD(ABS((L167*M167*O167)),1)-0.5)&lt;1E-9,2*ROUND((L167*M167*O167)/2,0),ROUND((L167*M167*O167),0))</f>
        <v/>
      </c>
      <c r="Q167" s="37">
        <f>IF(AND(B167="South Korea",scenario="MID"),korea_mid_load,load_sel)</f>
        <v/>
      </c>
      <c r="R167" s="38">
        <f>pax_cap*Q167</f>
        <v/>
      </c>
      <c r="S167" s="36">
        <f>R167*P167</f>
        <v/>
      </c>
      <c r="T167" s="39">
        <f>E167*discount</f>
        <v/>
      </c>
      <c r="U167" s="40">
        <f>T167*S167</f>
        <v/>
      </c>
      <c r="V167" s="40">
        <f>(battery/range_nm)*D167*P167*VLOOKUP(B167,country_opex,3,FALSE)</f>
        <v/>
      </c>
      <c r="W167" s="40">
        <f>VLOOKUP(B167,country_opex,2,FALSE)*crew_factor</f>
        <v/>
      </c>
      <c r="X167" s="40">
        <f>VLOOKUP(B167,country_opex,5,FALSE)</f>
        <v/>
      </c>
      <c r="Y167" s="40">
        <f>maint</f>
        <v/>
      </c>
      <c r="Z167" s="40">
        <f>VLOOKUP(B167,country_opex,7,FALSE)*ins_pct</f>
        <v/>
      </c>
      <c r="AA167" s="40">
        <f>charge_berth</f>
        <v/>
      </c>
      <c r="AB167" s="40">
        <f>V167+W167+X167+Y167+Z167+AA167</f>
        <v/>
      </c>
      <c r="AC167" s="40">
        <f>VLOOKUP(B167,country_opex,7,FALSE)/dep_years</f>
        <v/>
      </c>
      <c r="AD167" s="40">
        <f>U167-AB167</f>
        <v/>
      </c>
      <c r="AE167" s="37">
        <f>IF(U167=0,"",AD167/U167)</f>
        <v/>
      </c>
      <c r="AF167" s="38">
        <f>IF(AD167&lt;=0,"",VLOOKUP(B167,country_opex,7,FALSE)/AD167)</f>
        <v/>
      </c>
      <c r="AG167" s="35">
        <f>((D167*P167/diesel_nmpg)*diesel_co2pg-(battery/range_nm)*D167*P167*VLOOKUP(B167,country_opex,4,FALSE))/1000</f>
        <v/>
      </c>
      <c r="AH167" s="33" t="n"/>
      <c r="AI167" s="34" t="n"/>
      <c r="AJ167" s="34" t="n"/>
      <c r="AK167" s="41" t="n">
        <v>0.1</v>
      </c>
      <c r="AL167" s="36">
        <f>IF(AH167="","",AH167*AK167)</f>
        <v/>
      </c>
      <c r="AM167" s="36">
        <f>IF(OR(AH167="",S167=0),"",MIN(IF(AU167="",9.9E+99,AU167),FLOOR(AL167/S167,1)))</f>
        <v/>
      </c>
      <c r="AN167" s="40">
        <f>IF(AM167="","",AM167*IF(ABS(MOD(ABS((U167)),1)-0.5)&lt;1E-9,2*ROUND((U167)/2,0),ROUND((U167),0)))</f>
        <v/>
      </c>
      <c r="AO167" s="38">
        <f>IF(OR(AH167="",S167=0),"",MIN(IF(AU167="",9.9E+99,AU167),AL167/S167))</f>
        <v/>
      </c>
      <c r="AP167" s="40">
        <f>IF(AO167="","",AO167*IF(B167="South Korea",IF(ABS(MOD(ABS((U167)),1)-0.5)&lt;1E-9,2*ROUND((U167)/2,0),ROUND((U167),0)),U167))</f>
        <v/>
      </c>
      <c r="AQ167" s="42" t="n"/>
      <c r="AR167" s="34" t="inlineStr">
        <is>
          <t>Estimated</t>
        </is>
      </c>
      <c r="AS167" s="43" t="n"/>
      <c r="AT167" s="43" t="n"/>
      <c r="AU167" s="44" t="n"/>
      <c r="AV167" s="45">
        <f>IF(((T167*pax_cap*load_thin*IF(ABS(MOD(ABS((L167*M167*revleg_thin)),1)-0.5)&lt;1E-9,2*ROUND((L167*M167*revleg_thin)/2,0),ROUND((L167*M167*revleg_thin),0)))-(((battery/range_nm)*D167*IF(ABS(MOD(ABS((L167*M167*revleg_thin)),1)-0.5)&lt;1E-9,2*ROUND((L167*M167*revleg_thin)/2,0),ROUND((L167*M167*revleg_thin),0))*VLOOKUP(B167,country_opex,3,FALSE))+W167+X167+Y167+Z167+AA167))&lt;=0,"",VLOOKUP(B167,country_opex,7,FALSE)/((T167*pax_cap*load_thin*IF(ABS(MOD(ABS((L167*M167*revleg_thin)),1)-0.5)&lt;1E-9,2*ROUND((L167*M167*revleg_thin)/2,0),ROUND((L167*M167*revleg_thin),0)))-(((battery/range_nm)*D167*IF(ABS(MOD(ABS((L167*M167*revleg_thin)),1)-0.5)&lt;1E-9,2*ROUND((L167*M167*revleg_thin)/2,0),ROUND((L167*M167*revleg_thin),0))*VLOOKUP(B167,country_opex,3,FALSE))+W167+X167+Y167+Z167+AA167)))</f>
        <v/>
      </c>
      <c r="AW167" s="45">
        <f>IF(((T167*pax_cap*IF(B167="South Korea",korea_mid_load,load_mid)*IF(ABS(MOD(ABS((L167*M167*IF(B167="South Korea",korea_mid_revleg,revleg_mid))),1)-0.5)&lt;1E-9,2*ROUND((L167*M167*IF(B167="South Korea",korea_mid_revleg,revleg_mid))/2,0),ROUND((L167*M167*IF(B167="South Korea",korea_mid_revleg,revleg_mid)),0)))-(((battery/range_nm)*D167*IF(ABS(MOD(ABS((L167*M167*IF(B167="South Korea",korea_mid_revleg,revleg_mid))),1)-0.5)&lt;1E-9,2*ROUND((L167*M167*IF(B167="South Korea",korea_mid_revleg,revleg_mid))/2,0),ROUND((L167*M167*IF(B167="South Korea",korea_mid_revleg,revleg_mid)),0))*VLOOKUP(B167,country_opex,3,FALSE))+W167+X167+Y167+Z167+AA167))&lt;=0,"",VLOOKUP(B167,country_opex,7,FALSE)/((T167*pax_cap*IF(B167="South Korea",korea_mid_load,load_mid)*IF(ABS(MOD(ABS((L167*M167*IF(B167="South Korea",korea_mid_revleg,revleg_mid))),1)-0.5)&lt;1E-9,2*ROUND((L167*M167*IF(B167="South Korea",korea_mid_revleg,revleg_mid))/2,0),ROUND((L167*M167*IF(B167="South Korea",korea_mid_revleg,revleg_mid)),0)))-(((battery/range_nm)*D167*IF(ABS(MOD(ABS((L167*M167*IF(B167="South Korea",korea_mid_revleg,revleg_mid))),1)-0.5)&lt;1E-9,2*ROUND((L167*M167*IF(B167="South Korea",korea_mid_revleg,revleg_mid))/2,0),ROUND((L167*M167*IF(B167="South Korea",korea_mid_revleg,revleg_mid)),0))*VLOOKUP(B167,country_opex,3,FALSE))+W167+X167+Y167+Z167+AA167)))</f>
        <v/>
      </c>
      <c r="AX167" s="45">
        <f>IF(((T167*pax_cap*load_full*IF(ABS(MOD(ABS((L167*M167*revleg_full)),1)-0.5)&lt;1E-9,2*ROUND((L167*M167*revleg_full)/2,0),ROUND((L167*M167*revleg_full),0)))-(((battery/range_nm)*D167*IF(ABS(MOD(ABS((L167*M167*revleg_full)),1)-0.5)&lt;1E-9,2*ROUND((L167*M167*revleg_full)/2,0),ROUND((L167*M167*revleg_full),0))*VLOOKUP(B167,country_opex,3,FALSE))+W167+X167+Y167+Z167+AA167))&lt;=0,"",VLOOKUP(B167,country_opex,7,FALSE)/((T167*pax_cap*load_full*IF(ABS(MOD(ABS((L167*M167*revleg_full)),1)-0.5)&lt;1E-9,2*ROUND((L167*M167*revleg_full)/2,0),ROUND((L167*M167*revleg_full),0)))-(((battery/range_nm)*D167*IF(ABS(MOD(ABS((L167*M167*revleg_full)),1)-0.5)&lt;1E-9,2*ROUND((L167*M167*revleg_full)/2,0),ROUND((L167*M167*revleg_full),0))*VLOOKUP(B167,country_opex,3,FALSE))+W167+X167+Y167+Z167+AA167)))</f>
        <v/>
      </c>
      <c r="AY167" s="46" t="n"/>
      <c r="AZ167" s="46" t="n"/>
      <c r="BA167" s="34" t="n"/>
    </row>
    <row r="168">
      <c r="A168" s="31" t="inlineStr">
        <is>
          <t>Bolt Sweden</t>
        </is>
      </c>
      <c r="B168" s="31" t="inlineStr">
        <is>
          <t>Sweden</t>
        </is>
      </c>
      <c r="C168" s="32" t="inlineStr">
        <is>
          <t>Stockholm (Stromkajen) → Alstaket (Varmdo)</t>
        </is>
      </c>
      <c r="D168" s="33" t="n">
        <v>11</v>
      </c>
      <c r="E168" s="27" t="n">
        <v>18</v>
      </c>
      <c r="F168" s="34" t="inlineStr">
        <is>
          <t>T2</t>
        </is>
      </c>
      <c r="G168" s="34" t="inlineStr">
        <is>
          <t>med</t>
        </is>
      </c>
      <c r="H168" s="20" t="n">
        <v>1</v>
      </c>
      <c r="I168" s="35">
        <f>60*D168/cruise_kt</f>
        <v/>
      </c>
      <c r="J168" s="35">
        <f>IF(B168="South Korea",D168/korea_charge_range_nm*korea_full_range_charge_min,0)</f>
        <v/>
      </c>
      <c r="K168" s="35">
        <f>IF(B168="South Korea",I168+korea_turn_min+korea_dwell_min+J168,I168+turn_min+dwell_min)</f>
        <v/>
      </c>
      <c r="L168" s="36">
        <f>IF(B168="South Korea",FLOOR(60*korea_service_hr/K168,1),MIN(24,FLOOR(60*service_hr/K168,1)))</f>
        <v/>
      </c>
      <c r="M168" s="36">
        <f>IF(ABS(MOD(ABS((365*mech_uptime*H168)),1)-0.5)&lt;1E-9,2*ROUND((365*mech_uptime*H168)/2,0),ROUND((365*mech_uptime*H168),0))</f>
        <v/>
      </c>
      <c r="N168" s="37">
        <f>mech_uptime</f>
        <v/>
      </c>
      <c r="O168" s="37">
        <f>IF(AND(B168="South Korea",scenario="MID"),korea_mid_revleg,revleg_sel)</f>
        <v/>
      </c>
      <c r="P168" s="36">
        <f>IF(ABS(MOD(ABS((L168*M168*O168)),1)-0.5)&lt;1E-9,2*ROUND((L168*M168*O168)/2,0),ROUND((L168*M168*O168),0))</f>
        <v/>
      </c>
      <c r="Q168" s="37">
        <f>IF(AND(B168="South Korea",scenario="MID"),korea_mid_load,load_sel)</f>
        <v/>
      </c>
      <c r="R168" s="38">
        <f>pax_cap*Q168</f>
        <v/>
      </c>
      <c r="S168" s="36">
        <f>R168*P168</f>
        <v/>
      </c>
      <c r="T168" s="39">
        <f>E168*discount</f>
        <v/>
      </c>
      <c r="U168" s="40">
        <f>T168*S168</f>
        <v/>
      </c>
      <c r="V168" s="40">
        <f>(battery/range_nm)*D168*P168*VLOOKUP(B168,country_opex,3,FALSE)</f>
        <v/>
      </c>
      <c r="W168" s="40">
        <f>VLOOKUP(B168,country_opex,2,FALSE)*crew_factor</f>
        <v/>
      </c>
      <c r="X168" s="40">
        <f>VLOOKUP(B168,country_opex,5,FALSE)</f>
        <v/>
      </c>
      <c r="Y168" s="40">
        <f>maint</f>
        <v/>
      </c>
      <c r="Z168" s="40">
        <f>VLOOKUP(B168,country_opex,7,FALSE)*ins_pct</f>
        <v/>
      </c>
      <c r="AA168" s="40">
        <f>charge_berth</f>
        <v/>
      </c>
      <c r="AB168" s="40">
        <f>V168+W168+X168+Y168+Z168+AA168</f>
        <v/>
      </c>
      <c r="AC168" s="40">
        <f>VLOOKUP(B168,country_opex,7,FALSE)/dep_years</f>
        <v/>
      </c>
      <c r="AD168" s="40">
        <f>U168-AB168</f>
        <v/>
      </c>
      <c r="AE168" s="37">
        <f>IF(U168=0,"",AD168/U168)</f>
        <v/>
      </c>
      <c r="AF168" s="38">
        <f>IF(AD168&lt;=0,"",VLOOKUP(B168,country_opex,7,FALSE)/AD168)</f>
        <v/>
      </c>
      <c r="AG168" s="35">
        <f>((D168*P168/diesel_nmpg)*diesel_co2pg-(battery/range_nm)*D168*P168*VLOOKUP(B168,country_opex,4,FALSE))/1000</f>
        <v/>
      </c>
      <c r="AH168" s="33" t="n">
        <v>13761</v>
      </c>
      <c r="AI168" s="34" t="n"/>
      <c r="AJ168" s="34" t="inlineStr">
        <is>
          <t>med</t>
        </is>
      </c>
      <c r="AK168" s="41" t="n">
        <v>0.25</v>
      </c>
      <c r="AL168" s="36">
        <f>IF(AH168="","",AH168*AK168)</f>
        <v/>
      </c>
      <c r="AM168" s="36">
        <f>IF(OR(AH168="",S168=0),"",MIN(IF(AU168="",9.9E+99,AU168),FLOOR(AL168/S168,1)))</f>
        <v/>
      </c>
      <c r="AN168" s="40">
        <f>IF(AM168="","",AM168*IF(ABS(MOD(ABS((U168)),1)-0.5)&lt;1E-9,2*ROUND((U168)/2,0),ROUND((U168),0)))</f>
        <v/>
      </c>
      <c r="AO168" s="38">
        <f>IF(OR(AH168="",S168=0),"",MIN(IF(AU168="",9.9E+99,AU168),AL168/S168))</f>
        <v/>
      </c>
      <c r="AP168" s="40">
        <f>IF(AO168="","",AO168*IF(B168="South Korea",IF(ABS(MOD(ABS((U168)),1)-0.5)&lt;1E-9,2*ROUND((U168)/2,0),ROUND((U168),0)),U168))</f>
        <v/>
      </c>
      <c r="AQ168" s="42" t="n"/>
      <c r="AR168" s="34" t="inlineStr">
        <is>
          <t>Estimated</t>
        </is>
      </c>
      <c r="AS168" s="43" t="n"/>
      <c r="AT168" s="43" t="n"/>
      <c r="AU168" s="44" t="n"/>
      <c r="AV168" s="45">
        <f>IF(((T168*pax_cap*load_thin*IF(ABS(MOD(ABS((L168*M168*revleg_thin)),1)-0.5)&lt;1E-9,2*ROUND((L168*M168*revleg_thin)/2,0),ROUND((L168*M168*revleg_thin),0)))-(((battery/range_nm)*D168*IF(ABS(MOD(ABS((L168*M168*revleg_thin)),1)-0.5)&lt;1E-9,2*ROUND((L168*M168*revleg_thin)/2,0),ROUND((L168*M168*revleg_thin),0))*VLOOKUP(B168,country_opex,3,FALSE))+W168+X168+Y168+Z168+AA168))&lt;=0,"",VLOOKUP(B168,country_opex,7,FALSE)/((T168*pax_cap*load_thin*IF(ABS(MOD(ABS((L168*M168*revleg_thin)),1)-0.5)&lt;1E-9,2*ROUND((L168*M168*revleg_thin)/2,0),ROUND((L168*M168*revleg_thin),0)))-(((battery/range_nm)*D168*IF(ABS(MOD(ABS((L168*M168*revleg_thin)),1)-0.5)&lt;1E-9,2*ROUND((L168*M168*revleg_thin)/2,0),ROUND((L168*M168*revleg_thin),0))*VLOOKUP(B168,country_opex,3,FALSE))+W168+X168+Y168+Z168+AA168)))</f>
        <v/>
      </c>
      <c r="AW168" s="45">
        <f>IF(((T168*pax_cap*IF(B168="South Korea",korea_mid_load,load_mid)*IF(ABS(MOD(ABS((L168*M168*IF(B168="South Korea",korea_mid_revleg,revleg_mid))),1)-0.5)&lt;1E-9,2*ROUND((L168*M168*IF(B168="South Korea",korea_mid_revleg,revleg_mid))/2,0),ROUND((L168*M168*IF(B168="South Korea",korea_mid_revleg,revleg_mid)),0)))-(((battery/range_nm)*D168*IF(ABS(MOD(ABS((L168*M168*IF(B168="South Korea",korea_mid_revleg,revleg_mid))),1)-0.5)&lt;1E-9,2*ROUND((L168*M168*IF(B168="South Korea",korea_mid_revleg,revleg_mid))/2,0),ROUND((L168*M168*IF(B168="South Korea",korea_mid_revleg,revleg_mid)),0))*VLOOKUP(B168,country_opex,3,FALSE))+W168+X168+Y168+Z168+AA168))&lt;=0,"",VLOOKUP(B168,country_opex,7,FALSE)/((T168*pax_cap*IF(B168="South Korea",korea_mid_load,load_mid)*IF(ABS(MOD(ABS((L168*M168*IF(B168="South Korea",korea_mid_revleg,revleg_mid))),1)-0.5)&lt;1E-9,2*ROUND((L168*M168*IF(B168="South Korea",korea_mid_revleg,revleg_mid))/2,0),ROUND((L168*M168*IF(B168="South Korea",korea_mid_revleg,revleg_mid)),0)))-(((battery/range_nm)*D168*IF(ABS(MOD(ABS((L168*M168*IF(B168="South Korea",korea_mid_revleg,revleg_mid))),1)-0.5)&lt;1E-9,2*ROUND((L168*M168*IF(B168="South Korea",korea_mid_revleg,revleg_mid))/2,0),ROUND((L168*M168*IF(B168="South Korea",korea_mid_revleg,revleg_mid)),0))*VLOOKUP(B168,country_opex,3,FALSE))+W168+X168+Y168+Z168+AA168)))</f>
        <v/>
      </c>
      <c r="AX168" s="45">
        <f>IF(((T168*pax_cap*load_full*IF(ABS(MOD(ABS((L168*M168*revleg_full)),1)-0.5)&lt;1E-9,2*ROUND((L168*M168*revleg_full)/2,0),ROUND((L168*M168*revleg_full),0)))-(((battery/range_nm)*D168*IF(ABS(MOD(ABS((L168*M168*revleg_full)),1)-0.5)&lt;1E-9,2*ROUND((L168*M168*revleg_full)/2,0),ROUND((L168*M168*revleg_full),0))*VLOOKUP(B168,country_opex,3,FALSE))+W168+X168+Y168+Z168+AA168))&lt;=0,"",VLOOKUP(B168,country_opex,7,FALSE)/((T168*pax_cap*load_full*IF(ABS(MOD(ABS((L168*M168*revleg_full)),1)-0.5)&lt;1E-9,2*ROUND((L168*M168*revleg_full)/2,0),ROUND((L168*M168*revleg_full),0)))-(((battery/range_nm)*D168*IF(ABS(MOD(ABS((L168*M168*revleg_full)),1)-0.5)&lt;1E-9,2*ROUND((L168*M168*revleg_full)/2,0),ROUND((L168*M168*revleg_full),0))*VLOOKUP(B168,country_opex,3,FALSE))+W168+X168+Y168+Z168+AA168)))</f>
        <v/>
      </c>
      <c r="AY168" s="46" t="inlineStr">
        <is>
          <t>[LB-255 PREMIUM RE-FARE: subsidized comparable $4.1 lifted to premium on-demand floor $18.0] SL single ticket SEK 43 (2025). SL mass-transit commuter boat; no premium tier. SEK 43 x 0.0952 = $4.1.</t>
        </is>
      </c>
      <c r="AZ168" s="46" t="n"/>
      <c r="BA168" s="34" t="n"/>
    </row>
    <row r="169">
      <c r="A169" s="31" t="inlineStr">
        <is>
          <t>Bolt Sweden</t>
        </is>
      </c>
      <c r="B169" s="31" t="inlineStr">
        <is>
          <t>Sweden</t>
        </is>
      </c>
      <c r="C169" s="32" t="inlineStr">
        <is>
          <t>Stockholm City → Vaxholm</t>
        </is>
      </c>
      <c r="D169" s="33" t="n">
        <v>12</v>
      </c>
      <c r="E169" s="27" t="n">
        <v>18.1</v>
      </c>
      <c r="F169" s="34" t="inlineStr">
        <is>
          <t>T2</t>
        </is>
      </c>
      <c r="G169" s="34" t="inlineStr">
        <is>
          <t>med</t>
        </is>
      </c>
      <c r="H169" s="20" t="n">
        <v>1</v>
      </c>
      <c r="I169" s="35">
        <f>60*D169/cruise_kt</f>
        <v/>
      </c>
      <c r="J169" s="35">
        <f>IF(B169="South Korea",D169/korea_charge_range_nm*korea_full_range_charge_min,0)</f>
        <v/>
      </c>
      <c r="K169" s="35">
        <f>IF(B169="South Korea",I169+korea_turn_min+korea_dwell_min+J169,I169+turn_min+dwell_min)</f>
        <v/>
      </c>
      <c r="L169" s="36">
        <f>IF(B169="South Korea",FLOOR(60*korea_service_hr/K169,1),MIN(15,FLOOR(60*service_hr/K169,1)))</f>
        <v/>
      </c>
      <c r="M169" s="36">
        <f>IF(ABS(MOD(ABS((365*mech_uptime*H169)),1)-0.5)&lt;1E-9,2*ROUND((365*mech_uptime*H169)/2,0),ROUND((365*mech_uptime*H169),0))</f>
        <v/>
      </c>
      <c r="N169" s="37">
        <f>mech_uptime</f>
        <v/>
      </c>
      <c r="O169" s="37">
        <f>IF(AND(B169="South Korea",scenario="MID"),korea_mid_revleg,revleg_sel)</f>
        <v/>
      </c>
      <c r="P169" s="36">
        <f>IF(ABS(MOD(ABS((L169*M169*O169)),1)-0.5)&lt;1E-9,2*ROUND((L169*M169*O169)/2,0),ROUND((L169*M169*O169),0))</f>
        <v/>
      </c>
      <c r="Q169" s="37">
        <f>IF(AND(B169="South Korea",scenario="MID"),korea_mid_load,load_sel)</f>
        <v/>
      </c>
      <c r="R169" s="38">
        <f>pax_cap*Q169</f>
        <v/>
      </c>
      <c r="S169" s="36">
        <f>R169*P169</f>
        <v/>
      </c>
      <c r="T169" s="39">
        <f>E169*discount</f>
        <v/>
      </c>
      <c r="U169" s="40">
        <f>T169*S169</f>
        <v/>
      </c>
      <c r="V169" s="40">
        <f>(battery/range_nm)*D169*P169*VLOOKUP(B169,country_opex,3,FALSE)</f>
        <v/>
      </c>
      <c r="W169" s="40">
        <f>VLOOKUP(B169,country_opex,2,FALSE)*crew_factor</f>
        <v/>
      </c>
      <c r="X169" s="40">
        <f>VLOOKUP(B169,country_opex,5,FALSE)</f>
        <v/>
      </c>
      <c r="Y169" s="40">
        <f>maint</f>
        <v/>
      </c>
      <c r="Z169" s="40">
        <f>VLOOKUP(B169,country_opex,7,FALSE)*ins_pct</f>
        <v/>
      </c>
      <c r="AA169" s="40">
        <f>charge_berth</f>
        <v/>
      </c>
      <c r="AB169" s="40">
        <f>V169+W169+X169+Y169+Z169+AA169</f>
        <v/>
      </c>
      <c r="AC169" s="40">
        <f>VLOOKUP(B169,country_opex,7,FALSE)/dep_years</f>
        <v/>
      </c>
      <c r="AD169" s="40">
        <f>U169-AB169</f>
        <v/>
      </c>
      <c r="AE169" s="37">
        <f>IF(U169=0,"",AD169/U169)</f>
        <v/>
      </c>
      <c r="AF169" s="38">
        <f>IF(AD169&lt;=0,"",VLOOKUP(B169,country_opex,7,FALSE)/AD169)</f>
        <v/>
      </c>
      <c r="AG169" s="35">
        <f>((D169*P169/diesel_nmpg)*diesel_co2pg-(battery/range_nm)*D169*P169*VLOOKUP(B169,country_opex,4,FALSE))/1000</f>
        <v/>
      </c>
      <c r="AH169" s="33" t="n">
        <v>365855</v>
      </c>
      <c r="AI169" s="34" t="n"/>
      <c r="AJ169" s="34" t="n"/>
      <c r="AK169" s="41" t="n">
        <v>0.1</v>
      </c>
      <c r="AL169" s="36">
        <f>IF(AH169="","",AH169*AK169)</f>
        <v/>
      </c>
      <c r="AM169" s="36">
        <f>IF(OR(AH169="",S169=0),"",MIN(IF(AU169="",9.9E+99,AU169),FLOOR(AL169/S169,1)))</f>
        <v/>
      </c>
      <c r="AN169" s="40">
        <f>IF(AM169="","",AM169*IF(ABS(MOD(ABS((U169)),1)-0.5)&lt;1E-9,2*ROUND((U169)/2,0),ROUND((U169),0)))</f>
        <v/>
      </c>
      <c r="AO169" s="38">
        <f>IF(OR(AH169="",S169=0),"",MIN(IF(AU169="",9.9E+99,AU169),AL169/S169))</f>
        <v/>
      </c>
      <c r="AP169" s="40">
        <f>IF(AO169="","",AO169*IF(B169="South Korea",IF(ABS(MOD(ABS((U169)),1)-0.5)&lt;1E-9,2*ROUND((U169)/2,0),ROUND((U169),0)),U169))</f>
        <v/>
      </c>
      <c r="AQ169" s="42" t="n"/>
      <c r="AR169" s="34" t="inlineStr">
        <is>
          <t>Grounded</t>
        </is>
      </c>
      <c r="AS169" s="43" t="n"/>
      <c r="AT169" s="43" t="n"/>
      <c r="AU169" s="44" t="n"/>
      <c r="AV169" s="45">
        <f>IF(((T169*pax_cap*load_thin*IF(ABS(MOD(ABS((L169*M169*revleg_thin)),1)-0.5)&lt;1E-9,2*ROUND((L169*M169*revleg_thin)/2,0),ROUND((L169*M169*revleg_thin),0)))-(((battery/range_nm)*D169*IF(ABS(MOD(ABS((L169*M169*revleg_thin)),1)-0.5)&lt;1E-9,2*ROUND((L169*M169*revleg_thin)/2,0),ROUND((L169*M169*revleg_thin),0))*VLOOKUP(B169,country_opex,3,FALSE))+W169+X169+Y169+Z169+AA169))&lt;=0,"",VLOOKUP(B169,country_opex,7,FALSE)/((T169*pax_cap*load_thin*IF(ABS(MOD(ABS((L169*M169*revleg_thin)),1)-0.5)&lt;1E-9,2*ROUND((L169*M169*revleg_thin)/2,0),ROUND((L169*M169*revleg_thin),0)))-(((battery/range_nm)*D169*IF(ABS(MOD(ABS((L169*M169*revleg_thin)),1)-0.5)&lt;1E-9,2*ROUND((L169*M169*revleg_thin)/2,0),ROUND((L169*M169*revleg_thin),0))*VLOOKUP(B169,country_opex,3,FALSE))+W169+X169+Y169+Z169+AA169)))</f>
        <v/>
      </c>
      <c r="AW169" s="45">
        <f>IF(((T169*pax_cap*IF(B169="South Korea",korea_mid_load,load_mid)*IF(ABS(MOD(ABS((L169*M169*IF(B169="South Korea",korea_mid_revleg,revleg_mid))),1)-0.5)&lt;1E-9,2*ROUND((L169*M169*IF(B169="South Korea",korea_mid_revleg,revleg_mid))/2,0),ROUND((L169*M169*IF(B169="South Korea",korea_mid_revleg,revleg_mid)),0)))-(((battery/range_nm)*D169*IF(ABS(MOD(ABS((L169*M169*IF(B169="South Korea",korea_mid_revleg,revleg_mid))),1)-0.5)&lt;1E-9,2*ROUND((L169*M169*IF(B169="South Korea",korea_mid_revleg,revleg_mid))/2,0),ROUND((L169*M169*IF(B169="South Korea",korea_mid_revleg,revleg_mid)),0))*VLOOKUP(B169,country_opex,3,FALSE))+W169+X169+Y169+Z169+AA169))&lt;=0,"",VLOOKUP(B169,country_opex,7,FALSE)/((T169*pax_cap*IF(B169="South Korea",korea_mid_load,load_mid)*IF(ABS(MOD(ABS((L169*M169*IF(B169="South Korea",korea_mid_revleg,revleg_mid))),1)-0.5)&lt;1E-9,2*ROUND((L169*M169*IF(B169="South Korea",korea_mid_revleg,revleg_mid))/2,0),ROUND((L169*M169*IF(B169="South Korea",korea_mid_revleg,revleg_mid)),0)))-(((battery/range_nm)*D169*IF(ABS(MOD(ABS((L169*M169*IF(B169="South Korea",korea_mid_revleg,revleg_mid))),1)-0.5)&lt;1E-9,2*ROUND((L169*M169*IF(B169="South Korea",korea_mid_revleg,revleg_mid))/2,0),ROUND((L169*M169*IF(B169="South Korea",korea_mid_revleg,revleg_mid)),0))*VLOOKUP(B169,country_opex,3,FALSE))+W169+X169+Y169+Z169+AA169)))</f>
        <v/>
      </c>
      <c r="AX169" s="45">
        <f>IF(((T169*pax_cap*load_full*IF(ABS(MOD(ABS((L169*M169*revleg_full)),1)-0.5)&lt;1E-9,2*ROUND((L169*M169*revleg_full)/2,0),ROUND((L169*M169*revleg_full),0)))-(((battery/range_nm)*D169*IF(ABS(MOD(ABS((L169*M169*revleg_full)),1)-0.5)&lt;1E-9,2*ROUND((L169*M169*revleg_full)/2,0),ROUND((L169*M169*revleg_full),0))*VLOOKUP(B169,country_opex,3,FALSE))+W169+X169+Y169+Z169+AA169))&lt;=0,"",VLOOKUP(B169,country_opex,7,FALSE)/((T169*pax_cap*load_full*IF(ABS(MOD(ABS((L169*M169*revleg_full)),1)-0.5)&lt;1E-9,2*ROUND((L169*M169*revleg_full)/2,0),ROUND((L169*M169*revleg_full),0)))-(((battery/range_nm)*D169*IF(ABS(MOD(ABS((L169*M169*revleg_full)),1)-0.5)&lt;1E-9,2*ROUND((L169*M169*revleg_full)/2,0),ROUND((L169*M169*revleg_full),0))*VLOOKUP(B169,country_opex,3,FALSE))+W169+X169+Y169+Z169+AA169)))</f>
        <v/>
      </c>
      <c r="AY169" s="46" t="inlineStr">
        <is>
          <t>PREMIUM tier: Stromma Cinderellabatarna one-way adult seat Strandvagen-&gt;Vaxholm from SEK 190 (2026 tariff). SEK 190 x 0.0952 = $18.1.</t>
        </is>
      </c>
      <c r="AZ169" s="46" t="n"/>
      <c r="BA169" s="34" t="n"/>
    </row>
    <row r="170">
      <c r="A170" s="31" t="inlineStr">
        <is>
          <t>Bolt Sweden</t>
        </is>
      </c>
      <c r="B170" s="31" t="inlineStr">
        <is>
          <t>Sweden</t>
        </is>
      </c>
      <c r="C170" s="32" t="inlineStr">
        <is>
          <t>Stockholm (Strandvagen) → Grinda</t>
        </is>
      </c>
      <c r="D170" s="33" t="n">
        <v>19</v>
      </c>
      <c r="E170" s="27" t="n">
        <v>22.4</v>
      </c>
      <c r="F170" s="34" t="inlineStr">
        <is>
          <t>T2</t>
        </is>
      </c>
      <c r="G170" s="34" t="inlineStr">
        <is>
          <t>med</t>
        </is>
      </c>
      <c r="H170" s="20" t="n">
        <v>1</v>
      </c>
      <c r="I170" s="35">
        <f>60*D170/cruise_kt</f>
        <v/>
      </c>
      <c r="J170" s="35">
        <f>IF(B170="South Korea",D170/korea_charge_range_nm*korea_full_range_charge_min,0)</f>
        <v/>
      </c>
      <c r="K170" s="35">
        <f>IF(B170="South Korea",I170+korea_turn_min+korea_dwell_min+J170,I170+turn_min+dwell_min)</f>
        <v/>
      </c>
      <c r="L170" s="36">
        <f>IF(B170="South Korea",FLOOR(60*korea_service_hr/K170,1),MIN(15,FLOOR(60*service_hr/K170,1)))</f>
        <v/>
      </c>
      <c r="M170" s="36">
        <f>IF(ABS(MOD(ABS((365*mech_uptime*H170)),1)-0.5)&lt;1E-9,2*ROUND((365*mech_uptime*H170)/2,0),ROUND((365*mech_uptime*H170),0))</f>
        <v/>
      </c>
      <c r="N170" s="37">
        <f>mech_uptime</f>
        <v/>
      </c>
      <c r="O170" s="37">
        <f>IF(AND(B170="South Korea",scenario="MID"),korea_mid_revleg,revleg_sel)</f>
        <v/>
      </c>
      <c r="P170" s="36">
        <f>IF(ABS(MOD(ABS((L170*M170*O170)),1)-0.5)&lt;1E-9,2*ROUND((L170*M170*O170)/2,0),ROUND((L170*M170*O170),0))</f>
        <v/>
      </c>
      <c r="Q170" s="37">
        <f>IF(AND(B170="South Korea",scenario="MID"),korea_mid_load,load_sel)</f>
        <v/>
      </c>
      <c r="R170" s="38">
        <f>pax_cap*Q170</f>
        <v/>
      </c>
      <c r="S170" s="36">
        <f>R170*P170</f>
        <v/>
      </c>
      <c r="T170" s="39">
        <f>E170*discount</f>
        <v/>
      </c>
      <c r="U170" s="40">
        <f>T170*S170</f>
        <v/>
      </c>
      <c r="V170" s="40">
        <f>(battery/range_nm)*D170*P170*VLOOKUP(B170,country_opex,3,FALSE)</f>
        <v/>
      </c>
      <c r="W170" s="40">
        <f>VLOOKUP(B170,country_opex,2,FALSE)*crew_factor</f>
        <v/>
      </c>
      <c r="X170" s="40">
        <f>VLOOKUP(B170,country_opex,5,FALSE)</f>
        <v/>
      </c>
      <c r="Y170" s="40">
        <f>maint</f>
        <v/>
      </c>
      <c r="Z170" s="40">
        <f>VLOOKUP(B170,country_opex,7,FALSE)*ins_pct</f>
        <v/>
      </c>
      <c r="AA170" s="40">
        <f>charge_berth</f>
        <v/>
      </c>
      <c r="AB170" s="40">
        <f>V170+W170+X170+Y170+Z170+AA170</f>
        <v/>
      </c>
      <c r="AC170" s="40">
        <f>VLOOKUP(B170,country_opex,7,FALSE)/dep_years</f>
        <v/>
      </c>
      <c r="AD170" s="40">
        <f>U170-AB170</f>
        <v/>
      </c>
      <c r="AE170" s="37">
        <f>IF(U170=0,"",AD170/U170)</f>
        <v/>
      </c>
      <c r="AF170" s="38">
        <f>IF(AD170&lt;=0,"",VLOOKUP(B170,country_opex,7,FALSE)/AD170)</f>
        <v/>
      </c>
      <c r="AG170" s="35">
        <f>((D170*P170/diesel_nmpg)*diesel_co2pg-(battery/range_nm)*D170*P170*VLOOKUP(B170,country_opex,4,FALSE))/1000</f>
        <v/>
      </c>
      <c r="AH170" s="33" t="n"/>
      <c r="AI170" s="34" t="n"/>
      <c r="AJ170" s="34" t="n"/>
      <c r="AK170" s="41" t="n">
        <v>0.1</v>
      </c>
      <c r="AL170" s="36">
        <f>IF(AH170="","",AH170*AK170)</f>
        <v/>
      </c>
      <c r="AM170" s="36">
        <f>IF(OR(AH170="",S170=0),"",MIN(IF(AU170="",9.9E+99,AU170),FLOOR(AL170/S170,1)))</f>
        <v/>
      </c>
      <c r="AN170" s="40">
        <f>IF(AM170="","",AM170*IF(ABS(MOD(ABS((U170)),1)-0.5)&lt;1E-9,2*ROUND((U170)/2,0),ROUND((U170),0)))</f>
        <v/>
      </c>
      <c r="AO170" s="38">
        <f>IF(OR(AH170="",S170=0),"",MIN(IF(AU170="",9.9E+99,AU170),AL170/S170))</f>
        <v/>
      </c>
      <c r="AP170" s="40">
        <f>IF(AO170="","",AO170*IF(B170="South Korea",IF(ABS(MOD(ABS((U170)),1)-0.5)&lt;1E-9,2*ROUND((U170)/2,0),ROUND((U170),0)),U170))</f>
        <v/>
      </c>
      <c r="AQ170" s="42" t="n"/>
      <c r="AR170" s="34" t="inlineStr">
        <is>
          <t>Estimated</t>
        </is>
      </c>
      <c r="AS170" s="43" t="n"/>
      <c r="AT170" s="43" t="n"/>
      <c r="AU170" s="44" t="n"/>
      <c r="AV170" s="45">
        <f>IF(((T170*pax_cap*load_thin*IF(ABS(MOD(ABS((L170*M170*revleg_thin)),1)-0.5)&lt;1E-9,2*ROUND((L170*M170*revleg_thin)/2,0),ROUND((L170*M170*revleg_thin),0)))-(((battery/range_nm)*D170*IF(ABS(MOD(ABS((L170*M170*revleg_thin)),1)-0.5)&lt;1E-9,2*ROUND((L170*M170*revleg_thin)/2,0),ROUND((L170*M170*revleg_thin),0))*VLOOKUP(B170,country_opex,3,FALSE))+W170+X170+Y170+Z170+AA170))&lt;=0,"",VLOOKUP(B170,country_opex,7,FALSE)/((T170*pax_cap*load_thin*IF(ABS(MOD(ABS((L170*M170*revleg_thin)),1)-0.5)&lt;1E-9,2*ROUND((L170*M170*revleg_thin)/2,0),ROUND((L170*M170*revleg_thin),0)))-(((battery/range_nm)*D170*IF(ABS(MOD(ABS((L170*M170*revleg_thin)),1)-0.5)&lt;1E-9,2*ROUND((L170*M170*revleg_thin)/2,0),ROUND((L170*M170*revleg_thin),0))*VLOOKUP(B170,country_opex,3,FALSE))+W170+X170+Y170+Z170+AA170)))</f>
        <v/>
      </c>
      <c r="AW170" s="45">
        <f>IF(((T170*pax_cap*IF(B170="South Korea",korea_mid_load,load_mid)*IF(ABS(MOD(ABS((L170*M170*IF(B170="South Korea",korea_mid_revleg,revleg_mid))),1)-0.5)&lt;1E-9,2*ROUND((L170*M170*IF(B170="South Korea",korea_mid_revleg,revleg_mid))/2,0),ROUND((L170*M170*IF(B170="South Korea",korea_mid_revleg,revleg_mid)),0)))-(((battery/range_nm)*D170*IF(ABS(MOD(ABS((L170*M170*IF(B170="South Korea",korea_mid_revleg,revleg_mid))),1)-0.5)&lt;1E-9,2*ROUND((L170*M170*IF(B170="South Korea",korea_mid_revleg,revleg_mid))/2,0),ROUND((L170*M170*IF(B170="South Korea",korea_mid_revleg,revleg_mid)),0))*VLOOKUP(B170,country_opex,3,FALSE))+W170+X170+Y170+Z170+AA170))&lt;=0,"",VLOOKUP(B170,country_opex,7,FALSE)/((T170*pax_cap*IF(B170="South Korea",korea_mid_load,load_mid)*IF(ABS(MOD(ABS((L170*M170*IF(B170="South Korea",korea_mid_revleg,revleg_mid))),1)-0.5)&lt;1E-9,2*ROUND((L170*M170*IF(B170="South Korea",korea_mid_revleg,revleg_mid))/2,0),ROUND((L170*M170*IF(B170="South Korea",korea_mid_revleg,revleg_mid)),0)))-(((battery/range_nm)*D170*IF(ABS(MOD(ABS((L170*M170*IF(B170="South Korea",korea_mid_revleg,revleg_mid))),1)-0.5)&lt;1E-9,2*ROUND((L170*M170*IF(B170="South Korea",korea_mid_revleg,revleg_mid))/2,0),ROUND((L170*M170*IF(B170="South Korea",korea_mid_revleg,revleg_mid)),0))*VLOOKUP(B170,country_opex,3,FALSE))+W170+X170+Y170+Z170+AA170)))</f>
        <v/>
      </c>
      <c r="AX170" s="45">
        <f>IF(((T170*pax_cap*load_full*IF(ABS(MOD(ABS((L170*M170*revleg_full)),1)-0.5)&lt;1E-9,2*ROUND((L170*M170*revleg_full)/2,0),ROUND((L170*M170*revleg_full),0)))-(((battery/range_nm)*D170*IF(ABS(MOD(ABS((L170*M170*revleg_full)),1)-0.5)&lt;1E-9,2*ROUND((L170*M170*revleg_full)/2,0),ROUND((L170*M170*revleg_full),0))*VLOOKUP(B170,country_opex,3,FALSE))+W170+X170+Y170+Z170+AA170))&lt;=0,"",VLOOKUP(B170,country_opex,7,FALSE)/((T170*pax_cap*load_full*IF(ABS(MOD(ABS((L170*M170*revleg_full)),1)-0.5)&lt;1E-9,2*ROUND((L170*M170*revleg_full)/2,0),ROUND((L170*M170*revleg_full),0)))-(((battery/range_nm)*D170*IF(ABS(MOD(ABS((L170*M170*revleg_full)),1)-0.5)&lt;1E-9,2*ROUND((L170*M170*revleg_full)/2,0),ROUND((L170*M170*revleg_full),0))*VLOOKUP(B170,country_opex,3,FALSE))+W170+X170+Y170+Z170+AA170)))</f>
        <v/>
      </c>
      <c r="AY170" s="46" t="inlineStr">
        <is>
          <t>PREMIUM tier: Stromma Cinderellabatarna one-way adult Strandvagen-&gt;Grinda from SEK 235 (2026 tariff). SEK 235 x 0.0952 = $22.4.</t>
        </is>
      </c>
      <c r="AZ170" s="46" t="n"/>
      <c r="BA170" s="34" t="n"/>
    </row>
    <row r="171">
      <c r="A171" s="31" t="inlineStr">
        <is>
          <t>Bolt Sweden</t>
        </is>
      </c>
      <c r="B171" s="31" t="inlineStr">
        <is>
          <t>Sweden</t>
        </is>
      </c>
      <c r="C171" s="32" t="inlineStr">
        <is>
          <t>Stockholm (Strandvagen) → Gallno</t>
        </is>
      </c>
      <c r="D171" s="33" t="n">
        <v>21</v>
      </c>
      <c r="E171" s="27" t="n">
        <v>22.4</v>
      </c>
      <c r="F171" s="34" t="inlineStr">
        <is>
          <t>T2</t>
        </is>
      </c>
      <c r="G171" s="34" t="inlineStr">
        <is>
          <t>med</t>
        </is>
      </c>
      <c r="H171" s="20" t="n">
        <v>1</v>
      </c>
      <c r="I171" s="35">
        <f>60*D171/cruise_kt</f>
        <v/>
      </c>
      <c r="J171" s="35">
        <f>IF(B171="South Korea",D171/korea_charge_range_nm*korea_full_range_charge_min,0)</f>
        <v/>
      </c>
      <c r="K171" s="35">
        <f>IF(B171="South Korea",I171+korea_turn_min+korea_dwell_min+J171,I171+turn_min+dwell_min)</f>
        <v/>
      </c>
      <c r="L171" s="36">
        <f>IF(B171="South Korea",FLOOR(60*korea_service_hr/K171,1),MIN(15,FLOOR(60*service_hr/K171,1)))</f>
        <v/>
      </c>
      <c r="M171" s="36">
        <f>IF(ABS(MOD(ABS((365*mech_uptime*H171)),1)-0.5)&lt;1E-9,2*ROUND((365*mech_uptime*H171)/2,0),ROUND((365*mech_uptime*H171),0))</f>
        <v/>
      </c>
      <c r="N171" s="37">
        <f>mech_uptime</f>
        <v/>
      </c>
      <c r="O171" s="37">
        <f>IF(AND(B171="South Korea",scenario="MID"),korea_mid_revleg,revleg_sel)</f>
        <v/>
      </c>
      <c r="P171" s="36">
        <f>IF(ABS(MOD(ABS((L171*M171*O171)),1)-0.5)&lt;1E-9,2*ROUND((L171*M171*O171)/2,0),ROUND((L171*M171*O171),0))</f>
        <v/>
      </c>
      <c r="Q171" s="37">
        <f>IF(AND(B171="South Korea",scenario="MID"),korea_mid_load,load_sel)</f>
        <v/>
      </c>
      <c r="R171" s="38">
        <f>pax_cap*Q171</f>
        <v/>
      </c>
      <c r="S171" s="36">
        <f>R171*P171</f>
        <v/>
      </c>
      <c r="T171" s="39">
        <f>E171*discount</f>
        <v/>
      </c>
      <c r="U171" s="40">
        <f>T171*S171</f>
        <v/>
      </c>
      <c r="V171" s="40">
        <f>(battery/range_nm)*D171*P171*VLOOKUP(B171,country_opex,3,FALSE)</f>
        <v/>
      </c>
      <c r="W171" s="40">
        <f>VLOOKUP(B171,country_opex,2,FALSE)*crew_factor</f>
        <v/>
      </c>
      <c r="X171" s="40">
        <f>VLOOKUP(B171,country_opex,5,FALSE)</f>
        <v/>
      </c>
      <c r="Y171" s="40">
        <f>maint</f>
        <v/>
      </c>
      <c r="Z171" s="40">
        <f>VLOOKUP(B171,country_opex,7,FALSE)*ins_pct</f>
        <v/>
      </c>
      <c r="AA171" s="40">
        <f>charge_berth</f>
        <v/>
      </c>
      <c r="AB171" s="40">
        <f>V171+W171+X171+Y171+Z171+AA171</f>
        <v/>
      </c>
      <c r="AC171" s="40">
        <f>VLOOKUP(B171,country_opex,7,FALSE)/dep_years</f>
        <v/>
      </c>
      <c r="AD171" s="40">
        <f>U171-AB171</f>
        <v/>
      </c>
      <c r="AE171" s="37">
        <f>IF(U171=0,"",AD171/U171)</f>
        <v/>
      </c>
      <c r="AF171" s="38">
        <f>IF(AD171&lt;=0,"",VLOOKUP(B171,country_opex,7,FALSE)/AD171)</f>
        <v/>
      </c>
      <c r="AG171" s="35">
        <f>((D171*P171/diesel_nmpg)*diesel_co2pg-(battery/range_nm)*D171*P171*VLOOKUP(B171,country_opex,4,FALSE))/1000</f>
        <v/>
      </c>
      <c r="AH171" s="33" t="n"/>
      <c r="AI171" s="34" t="n"/>
      <c r="AJ171" s="34" t="n"/>
      <c r="AK171" s="41" t="n">
        <v>0.1</v>
      </c>
      <c r="AL171" s="36">
        <f>IF(AH171="","",AH171*AK171)</f>
        <v/>
      </c>
      <c r="AM171" s="36">
        <f>IF(OR(AH171="",S171=0),"",MIN(IF(AU171="",9.9E+99,AU171),FLOOR(AL171/S171,1)))</f>
        <v/>
      </c>
      <c r="AN171" s="40">
        <f>IF(AM171="","",AM171*IF(ABS(MOD(ABS((U171)),1)-0.5)&lt;1E-9,2*ROUND((U171)/2,0),ROUND((U171),0)))</f>
        <v/>
      </c>
      <c r="AO171" s="38">
        <f>IF(OR(AH171="",S171=0),"",MIN(IF(AU171="",9.9E+99,AU171),AL171/S171))</f>
        <v/>
      </c>
      <c r="AP171" s="40">
        <f>IF(AO171="","",AO171*IF(B171="South Korea",IF(ABS(MOD(ABS((U171)),1)-0.5)&lt;1E-9,2*ROUND((U171)/2,0),ROUND((U171),0)),U171))</f>
        <v/>
      </c>
      <c r="AQ171" s="42" t="n"/>
      <c r="AR171" s="34" t="inlineStr">
        <is>
          <t>Estimated</t>
        </is>
      </c>
      <c r="AS171" s="43" t="n"/>
      <c r="AT171" s="43" t="n"/>
      <c r="AU171" s="44" t="n"/>
      <c r="AV171" s="45">
        <f>IF(((T171*pax_cap*load_thin*IF(ABS(MOD(ABS((L171*M171*revleg_thin)),1)-0.5)&lt;1E-9,2*ROUND((L171*M171*revleg_thin)/2,0),ROUND((L171*M171*revleg_thin),0)))-(((battery/range_nm)*D171*IF(ABS(MOD(ABS((L171*M171*revleg_thin)),1)-0.5)&lt;1E-9,2*ROUND((L171*M171*revleg_thin)/2,0),ROUND((L171*M171*revleg_thin),0))*VLOOKUP(B171,country_opex,3,FALSE))+W171+X171+Y171+Z171+AA171))&lt;=0,"",VLOOKUP(B171,country_opex,7,FALSE)/((T171*pax_cap*load_thin*IF(ABS(MOD(ABS((L171*M171*revleg_thin)),1)-0.5)&lt;1E-9,2*ROUND((L171*M171*revleg_thin)/2,0),ROUND((L171*M171*revleg_thin),0)))-(((battery/range_nm)*D171*IF(ABS(MOD(ABS((L171*M171*revleg_thin)),1)-0.5)&lt;1E-9,2*ROUND((L171*M171*revleg_thin)/2,0),ROUND((L171*M171*revleg_thin),0))*VLOOKUP(B171,country_opex,3,FALSE))+W171+X171+Y171+Z171+AA171)))</f>
        <v/>
      </c>
      <c r="AW171" s="45">
        <f>IF(((T171*pax_cap*IF(B171="South Korea",korea_mid_load,load_mid)*IF(ABS(MOD(ABS((L171*M171*IF(B171="South Korea",korea_mid_revleg,revleg_mid))),1)-0.5)&lt;1E-9,2*ROUND((L171*M171*IF(B171="South Korea",korea_mid_revleg,revleg_mid))/2,0),ROUND((L171*M171*IF(B171="South Korea",korea_mid_revleg,revleg_mid)),0)))-(((battery/range_nm)*D171*IF(ABS(MOD(ABS((L171*M171*IF(B171="South Korea",korea_mid_revleg,revleg_mid))),1)-0.5)&lt;1E-9,2*ROUND((L171*M171*IF(B171="South Korea",korea_mid_revleg,revleg_mid))/2,0),ROUND((L171*M171*IF(B171="South Korea",korea_mid_revleg,revleg_mid)),0))*VLOOKUP(B171,country_opex,3,FALSE))+W171+X171+Y171+Z171+AA171))&lt;=0,"",VLOOKUP(B171,country_opex,7,FALSE)/((T171*pax_cap*IF(B171="South Korea",korea_mid_load,load_mid)*IF(ABS(MOD(ABS((L171*M171*IF(B171="South Korea",korea_mid_revleg,revleg_mid))),1)-0.5)&lt;1E-9,2*ROUND((L171*M171*IF(B171="South Korea",korea_mid_revleg,revleg_mid))/2,0),ROUND((L171*M171*IF(B171="South Korea",korea_mid_revleg,revleg_mid)),0)))-(((battery/range_nm)*D171*IF(ABS(MOD(ABS((L171*M171*IF(B171="South Korea",korea_mid_revleg,revleg_mid))),1)-0.5)&lt;1E-9,2*ROUND((L171*M171*IF(B171="South Korea",korea_mid_revleg,revleg_mid))/2,0),ROUND((L171*M171*IF(B171="South Korea",korea_mid_revleg,revleg_mid)),0))*VLOOKUP(B171,country_opex,3,FALSE))+W171+X171+Y171+Z171+AA171)))</f>
        <v/>
      </c>
      <c r="AX171" s="45">
        <f>IF(((T171*pax_cap*load_full*IF(ABS(MOD(ABS((L171*M171*revleg_full)),1)-0.5)&lt;1E-9,2*ROUND((L171*M171*revleg_full)/2,0),ROUND((L171*M171*revleg_full),0)))-(((battery/range_nm)*D171*IF(ABS(MOD(ABS((L171*M171*revleg_full)),1)-0.5)&lt;1E-9,2*ROUND((L171*M171*revleg_full)/2,0),ROUND((L171*M171*revleg_full),0))*VLOOKUP(B171,country_opex,3,FALSE))+W171+X171+Y171+Z171+AA171))&lt;=0,"",VLOOKUP(B171,country_opex,7,FALSE)/((T171*pax_cap*load_full*IF(ABS(MOD(ABS((L171*M171*revleg_full)),1)-0.5)&lt;1E-9,2*ROUND((L171*M171*revleg_full)/2,0),ROUND((L171*M171*revleg_full),0)))-(((battery/range_nm)*D171*IF(ABS(MOD(ABS((L171*M171*revleg_full)),1)-0.5)&lt;1E-9,2*ROUND((L171*M171*revleg_full)/2,0),ROUND((L171*M171*revleg_full),0))*VLOOKUP(B171,country_opex,3,FALSE))+W171+X171+Y171+Z171+AA171)))</f>
        <v/>
      </c>
      <c r="AY171" s="46" t="inlineStr">
        <is>
          <t>PREMIUM tier: Stromma Cinderellabatarna one-way adult Strandvagen-&gt;Gallno from SEK 235 (2026 tariff). SEK 235 x 0.0952 = $22.4.</t>
        </is>
      </c>
      <c r="AZ171" s="46" t="n"/>
      <c r="BA171" s="34" t="n"/>
    </row>
    <row r="172">
      <c r="A172" s="31" t="inlineStr">
        <is>
          <t>Bolt Sweden</t>
        </is>
      </c>
      <c r="B172" s="31" t="inlineStr">
        <is>
          <t>Sweden</t>
        </is>
      </c>
      <c r="C172" s="32" t="inlineStr">
        <is>
          <t>Stockholm (Strandvagen) → Sandhamn</t>
        </is>
      </c>
      <c r="D172" s="33" t="n">
        <v>26</v>
      </c>
      <c r="E172" s="27" t="n">
        <v>24.3</v>
      </c>
      <c r="F172" s="34" t="inlineStr">
        <is>
          <t>T2</t>
        </is>
      </c>
      <c r="G172" s="34" t="inlineStr">
        <is>
          <t>med</t>
        </is>
      </c>
      <c r="H172" s="20" t="n">
        <v>1</v>
      </c>
      <c r="I172" s="35">
        <f>60*D172/cruise_kt</f>
        <v/>
      </c>
      <c r="J172" s="35">
        <f>IF(B172="South Korea",D172/korea_charge_range_nm*korea_full_range_charge_min,0)</f>
        <v/>
      </c>
      <c r="K172" s="35">
        <f>IF(B172="South Korea",I172+korea_turn_min+korea_dwell_min+J172,I172+turn_min+dwell_min)</f>
        <v/>
      </c>
      <c r="L172" s="36">
        <f>IF(B172="South Korea",FLOOR(60*korea_service_hr/K172,1),MIN(15,FLOOR(60*service_hr/K172,1)))</f>
        <v/>
      </c>
      <c r="M172" s="36">
        <f>IF(ABS(MOD(ABS((365*mech_uptime*H172)),1)-0.5)&lt;1E-9,2*ROUND((365*mech_uptime*H172)/2,0),ROUND((365*mech_uptime*H172),0))</f>
        <v/>
      </c>
      <c r="N172" s="37">
        <f>mech_uptime</f>
        <v/>
      </c>
      <c r="O172" s="37">
        <f>IF(AND(B172="South Korea",scenario="MID"),korea_mid_revleg,revleg_sel)</f>
        <v/>
      </c>
      <c r="P172" s="36">
        <f>IF(ABS(MOD(ABS((L172*M172*O172)),1)-0.5)&lt;1E-9,2*ROUND((L172*M172*O172)/2,0),ROUND((L172*M172*O172),0))</f>
        <v/>
      </c>
      <c r="Q172" s="37">
        <f>IF(AND(B172="South Korea",scenario="MID"),korea_mid_load,load_sel)</f>
        <v/>
      </c>
      <c r="R172" s="38">
        <f>pax_cap*Q172</f>
        <v/>
      </c>
      <c r="S172" s="36">
        <f>R172*P172</f>
        <v/>
      </c>
      <c r="T172" s="39">
        <f>E172*discount</f>
        <v/>
      </c>
      <c r="U172" s="40">
        <f>T172*S172</f>
        <v/>
      </c>
      <c r="V172" s="40">
        <f>(battery/range_nm)*D172*P172*VLOOKUP(B172,country_opex,3,FALSE)</f>
        <v/>
      </c>
      <c r="W172" s="40">
        <f>VLOOKUP(B172,country_opex,2,FALSE)*crew_factor</f>
        <v/>
      </c>
      <c r="X172" s="40">
        <f>VLOOKUP(B172,country_opex,5,FALSE)</f>
        <v/>
      </c>
      <c r="Y172" s="40">
        <f>maint</f>
        <v/>
      </c>
      <c r="Z172" s="40">
        <f>VLOOKUP(B172,country_opex,7,FALSE)*ins_pct</f>
        <v/>
      </c>
      <c r="AA172" s="40">
        <f>charge_berth</f>
        <v/>
      </c>
      <c r="AB172" s="40">
        <f>V172+W172+X172+Y172+Z172+AA172</f>
        <v/>
      </c>
      <c r="AC172" s="40">
        <f>VLOOKUP(B172,country_opex,7,FALSE)/dep_years</f>
        <v/>
      </c>
      <c r="AD172" s="40">
        <f>U172-AB172</f>
        <v/>
      </c>
      <c r="AE172" s="37">
        <f>IF(U172=0,"",AD172/U172)</f>
        <v/>
      </c>
      <c r="AF172" s="38">
        <f>IF(AD172&lt;=0,"",VLOOKUP(B172,country_opex,7,FALSE)/AD172)</f>
        <v/>
      </c>
      <c r="AG172" s="35">
        <f>((D172*P172/diesel_nmpg)*diesel_co2pg-(battery/range_nm)*D172*P172*VLOOKUP(B172,country_opex,4,FALSE))/1000</f>
        <v/>
      </c>
      <c r="AH172" s="33" t="n">
        <v>100000</v>
      </c>
      <c r="AI172" s="34" t="n"/>
      <c r="AJ172" s="34" t="n"/>
      <c r="AK172" s="41" t="n">
        <v>0.1</v>
      </c>
      <c r="AL172" s="36">
        <f>IF(AH172="","",AH172*AK172)</f>
        <v/>
      </c>
      <c r="AM172" s="36">
        <f>IF(OR(AH172="",S172=0),"",MIN(IF(AU172="",9.9E+99,AU172),FLOOR(AL172/S172,1)))</f>
        <v/>
      </c>
      <c r="AN172" s="40">
        <f>IF(AM172="","",AM172*IF(ABS(MOD(ABS((U172)),1)-0.5)&lt;1E-9,2*ROUND((U172)/2,0),ROUND((U172),0)))</f>
        <v/>
      </c>
      <c r="AO172" s="38">
        <f>IF(OR(AH172="",S172=0),"",MIN(IF(AU172="",9.9E+99,AU172),AL172/S172))</f>
        <v/>
      </c>
      <c r="AP172" s="40">
        <f>IF(AO172="","",AO172*IF(B172="South Korea",IF(ABS(MOD(ABS((U172)),1)-0.5)&lt;1E-9,2*ROUND((U172)/2,0),ROUND((U172),0)),U172))</f>
        <v/>
      </c>
      <c r="AQ172" s="42" t="n"/>
      <c r="AR172" s="34" t="inlineStr">
        <is>
          <t>Grounded</t>
        </is>
      </c>
      <c r="AS172" s="43" t="n"/>
      <c r="AT172" s="43" t="n"/>
      <c r="AU172" s="44" t="n"/>
      <c r="AV172" s="45">
        <f>IF(((T172*pax_cap*load_thin*IF(ABS(MOD(ABS((L172*M172*revleg_thin)),1)-0.5)&lt;1E-9,2*ROUND((L172*M172*revleg_thin)/2,0),ROUND((L172*M172*revleg_thin),0)))-(((battery/range_nm)*D172*IF(ABS(MOD(ABS((L172*M172*revleg_thin)),1)-0.5)&lt;1E-9,2*ROUND((L172*M172*revleg_thin)/2,0),ROUND((L172*M172*revleg_thin),0))*VLOOKUP(B172,country_opex,3,FALSE))+W172+X172+Y172+Z172+AA172))&lt;=0,"",VLOOKUP(B172,country_opex,7,FALSE)/((T172*pax_cap*load_thin*IF(ABS(MOD(ABS((L172*M172*revleg_thin)),1)-0.5)&lt;1E-9,2*ROUND((L172*M172*revleg_thin)/2,0),ROUND((L172*M172*revleg_thin),0)))-(((battery/range_nm)*D172*IF(ABS(MOD(ABS((L172*M172*revleg_thin)),1)-0.5)&lt;1E-9,2*ROUND((L172*M172*revleg_thin)/2,0),ROUND((L172*M172*revleg_thin),0))*VLOOKUP(B172,country_opex,3,FALSE))+W172+X172+Y172+Z172+AA172)))</f>
        <v/>
      </c>
      <c r="AW172" s="45">
        <f>IF(((T172*pax_cap*IF(B172="South Korea",korea_mid_load,load_mid)*IF(ABS(MOD(ABS((L172*M172*IF(B172="South Korea",korea_mid_revleg,revleg_mid))),1)-0.5)&lt;1E-9,2*ROUND((L172*M172*IF(B172="South Korea",korea_mid_revleg,revleg_mid))/2,0),ROUND((L172*M172*IF(B172="South Korea",korea_mid_revleg,revleg_mid)),0)))-(((battery/range_nm)*D172*IF(ABS(MOD(ABS((L172*M172*IF(B172="South Korea",korea_mid_revleg,revleg_mid))),1)-0.5)&lt;1E-9,2*ROUND((L172*M172*IF(B172="South Korea",korea_mid_revleg,revleg_mid))/2,0),ROUND((L172*M172*IF(B172="South Korea",korea_mid_revleg,revleg_mid)),0))*VLOOKUP(B172,country_opex,3,FALSE))+W172+X172+Y172+Z172+AA172))&lt;=0,"",VLOOKUP(B172,country_opex,7,FALSE)/((T172*pax_cap*IF(B172="South Korea",korea_mid_load,load_mid)*IF(ABS(MOD(ABS((L172*M172*IF(B172="South Korea",korea_mid_revleg,revleg_mid))),1)-0.5)&lt;1E-9,2*ROUND((L172*M172*IF(B172="South Korea",korea_mid_revleg,revleg_mid))/2,0),ROUND((L172*M172*IF(B172="South Korea",korea_mid_revleg,revleg_mid)),0)))-(((battery/range_nm)*D172*IF(ABS(MOD(ABS((L172*M172*IF(B172="South Korea",korea_mid_revleg,revleg_mid))),1)-0.5)&lt;1E-9,2*ROUND((L172*M172*IF(B172="South Korea",korea_mid_revleg,revleg_mid))/2,0),ROUND((L172*M172*IF(B172="South Korea",korea_mid_revleg,revleg_mid)),0))*VLOOKUP(B172,country_opex,3,FALSE))+W172+X172+Y172+Z172+AA172)))</f>
        <v/>
      </c>
      <c r="AX172" s="45">
        <f>IF(((T172*pax_cap*load_full*IF(ABS(MOD(ABS((L172*M172*revleg_full)),1)-0.5)&lt;1E-9,2*ROUND((L172*M172*revleg_full)/2,0),ROUND((L172*M172*revleg_full),0)))-(((battery/range_nm)*D172*IF(ABS(MOD(ABS((L172*M172*revleg_full)),1)-0.5)&lt;1E-9,2*ROUND((L172*M172*revleg_full)/2,0),ROUND((L172*M172*revleg_full),0))*VLOOKUP(B172,country_opex,3,FALSE))+W172+X172+Y172+Z172+AA172))&lt;=0,"",VLOOKUP(B172,country_opex,7,FALSE)/((T172*pax_cap*load_full*IF(ABS(MOD(ABS((L172*M172*revleg_full)),1)-0.5)&lt;1E-9,2*ROUND((L172*M172*revleg_full)/2,0),ROUND((L172*M172*revleg_full),0)))-(((battery/range_nm)*D172*IF(ABS(MOD(ABS((L172*M172*revleg_full)),1)-0.5)&lt;1E-9,2*ROUND((L172*M172*revleg_full)/2,0),ROUND((L172*M172*revleg_full),0))*VLOOKUP(B172,country_opex,3,FALSE))+W172+X172+Y172+Z172+AA172)))</f>
        <v/>
      </c>
      <c r="AY172" s="46" t="inlineStr">
        <is>
          <t>PREMIUM tier: Stromma Cinderellabatarna one-way adult Strandvagen-&gt;Sandhamn from SEK 255 (2026 tariff). SEK 255 x 0.0952 = $24.3.</t>
        </is>
      </c>
      <c r="AZ172" s="46" t="n"/>
      <c r="BA172" s="34" t="n"/>
    </row>
    <row r="173">
      <c r="A173" s="31" t="inlineStr">
        <is>
          <t>Bolt Uae</t>
        </is>
      </c>
      <c r="B173" s="31" t="inlineStr">
        <is>
          <t>United Arab Emirates</t>
        </is>
      </c>
      <c r="C173" s="32" t="inlineStr">
        <is>
          <t>One&amp;Only The Palm Jetty → Jumeirah Zabeel Saray Jetty</t>
        </is>
      </c>
      <c r="D173" s="33" t="n">
        <v>0.5</v>
      </c>
      <c r="E173" s="27" t="n">
        <v>130</v>
      </c>
      <c r="F173" s="34" t="inlineStr">
        <is>
          <t>T5</t>
        </is>
      </c>
      <c r="G173" s="34" t="inlineStr">
        <is>
          <t>low</t>
        </is>
      </c>
      <c r="H173" s="20" t="n">
        <v>1</v>
      </c>
      <c r="I173" s="35">
        <f>60*D173/cruise_kt</f>
        <v/>
      </c>
      <c r="J173" s="35">
        <f>IF(B173="South Korea",D173/korea_charge_range_nm*korea_full_range_charge_min,0)</f>
        <v/>
      </c>
      <c r="K173" s="35">
        <f>IF(B173="South Korea",I173+korea_turn_min+korea_dwell_min+J173,I173+turn_min+dwell_min)</f>
        <v/>
      </c>
      <c r="L173" s="36">
        <f>IF(B173="South Korea",FLOOR(60*korea_service_hr/K173,1),MIN(15,FLOOR(60*service_hr/K173,1)))</f>
        <v/>
      </c>
      <c r="M173" s="36">
        <f>IF(ABS(MOD(ABS((365*mech_uptime*H173)),1)-0.5)&lt;1E-9,2*ROUND((365*mech_uptime*H173)/2,0),ROUND((365*mech_uptime*H173),0))</f>
        <v/>
      </c>
      <c r="N173" s="37">
        <f>mech_uptime</f>
        <v/>
      </c>
      <c r="O173" s="37">
        <f>IF(AND(B173="South Korea",scenario="MID"),korea_mid_revleg,revleg_sel)</f>
        <v/>
      </c>
      <c r="P173" s="36">
        <f>IF(ABS(MOD(ABS((L173*M173*O173)),1)-0.5)&lt;1E-9,2*ROUND((L173*M173*O173)/2,0),ROUND((L173*M173*O173),0))</f>
        <v/>
      </c>
      <c r="Q173" s="37">
        <f>IF(AND(B173="South Korea",scenario="MID"),korea_mid_load,load_sel)</f>
        <v/>
      </c>
      <c r="R173" s="38">
        <f>pax_cap*Q173</f>
        <v/>
      </c>
      <c r="S173" s="36">
        <f>R173*P173</f>
        <v/>
      </c>
      <c r="T173" s="39">
        <f>E173*discount</f>
        <v/>
      </c>
      <c r="U173" s="40">
        <f>T173*S173</f>
        <v/>
      </c>
      <c r="V173" s="40">
        <f>(battery/range_nm)*D173*P173*VLOOKUP(B173,country_opex,3,FALSE)</f>
        <v/>
      </c>
      <c r="W173" s="40">
        <f>VLOOKUP(B173,country_opex,2,FALSE)*crew_factor</f>
        <v/>
      </c>
      <c r="X173" s="40">
        <f>VLOOKUP(B173,country_opex,5,FALSE)</f>
        <v/>
      </c>
      <c r="Y173" s="40">
        <f>maint</f>
        <v/>
      </c>
      <c r="Z173" s="40">
        <f>VLOOKUP(B173,country_opex,7,FALSE)*ins_pct</f>
        <v/>
      </c>
      <c r="AA173" s="40">
        <f>charge_berth</f>
        <v/>
      </c>
      <c r="AB173" s="40">
        <f>V173+W173+X173+Y173+Z173+AA173</f>
        <v/>
      </c>
      <c r="AC173" s="40">
        <f>VLOOKUP(B173,country_opex,7,FALSE)/dep_years</f>
        <v/>
      </c>
      <c r="AD173" s="40">
        <f>U173-AB173</f>
        <v/>
      </c>
      <c r="AE173" s="37">
        <f>IF(U173=0,"",AD173/U173)</f>
        <v/>
      </c>
      <c r="AF173" s="38">
        <f>IF(AD173&lt;=0,"",VLOOKUP(B173,country_opex,7,FALSE)/AD173)</f>
        <v/>
      </c>
      <c r="AG173" s="35">
        <f>((D173*P173/diesel_nmpg)*diesel_co2pg-(battery/range_nm)*D173*P173*VLOOKUP(B173,country_opex,4,FALSE))/1000</f>
        <v/>
      </c>
      <c r="AH173" s="33" t="n">
        <v>25000</v>
      </c>
      <c r="AI173" s="34" t="inlineStr">
        <is>
          <t>T3</t>
        </is>
      </c>
      <c r="AJ173" s="34" t="inlineStr">
        <is>
          <t>low</t>
        </is>
      </c>
      <c r="AK173" s="41" t="n">
        <v>0.1</v>
      </c>
      <c r="AL173" s="36">
        <f>IF(AH173="","",AH173*AK173)</f>
        <v/>
      </c>
      <c r="AM173" s="36">
        <f>IF(OR(AH173="",S173=0),"",MIN(IF(AU173="",9.9E+99,AU173),FLOOR(AL173/S173,1)))</f>
        <v/>
      </c>
      <c r="AN173" s="40">
        <f>IF(AM173="","",AM173*IF(ABS(MOD(ABS((U173)),1)-0.5)&lt;1E-9,2*ROUND((U173)/2,0),ROUND((U173),0)))</f>
        <v/>
      </c>
      <c r="AO173" s="38">
        <f>IF(OR(AH173="",S173=0),"",MIN(IF(AU173="",9.9E+99,AU173),AL173/S173))</f>
        <v/>
      </c>
      <c r="AP173" s="40">
        <f>IF(AO173="","",AO173*IF(B173="South Korea",IF(ABS(MOD(ABS((U173)),1)-0.5)&lt;1E-9,2*ROUND((U173)/2,0),ROUND((U173),0)),U173))</f>
        <v/>
      </c>
      <c r="AQ173" s="42" t="n"/>
      <c r="AR173" s="34" t="inlineStr">
        <is>
          <t>Estimated</t>
        </is>
      </c>
      <c r="AS173" s="43" t="n"/>
      <c r="AT173" s="43" t="n"/>
      <c r="AU173" s="44" t="n"/>
      <c r="AV173" s="45">
        <f>IF(((T173*pax_cap*load_thin*IF(ABS(MOD(ABS((L173*M173*revleg_thin)),1)-0.5)&lt;1E-9,2*ROUND((L173*M173*revleg_thin)/2,0),ROUND((L173*M173*revleg_thin),0)))-(((battery/range_nm)*D173*IF(ABS(MOD(ABS((L173*M173*revleg_thin)),1)-0.5)&lt;1E-9,2*ROUND((L173*M173*revleg_thin)/2,0),ROUND((L173*M173*revleg_thin),0))*VLOOKUP(B173,country_opex,3,FALSE))+W173+X173+Y173+Z173+AA173))&lt;=0,"",VLOOKUP(B173,country_opex,7,FALSE)/((T173*pax_cap*load_thin*IF(ABS(MOD(ABS((L173*M173*revleg_thin)),1)-0.5)&lt;1E-9,2*ROUND((L173*M173*revleg_thin)/2,0),ROUND((L173*M173*revleg_thin),0)))-(((battery/range_nm)*D173*IF(ABS(MOD(ABS((L173*M173*revleg_thin)),1)-0.5)&lt;1E-9,2*ROUND((L173*M173*revleg_thin)/2,0),ROUND((L173*M173*revleg_thin),0))*VLOOKUP(B173,country_opex,3,FALSE))+W173+X173+Y173+Z173+AA173)))</f>
        <v/>
      </c>
      <c r="AW173" s="45">
        <f>IF(((T173*pax_cap*IF(B173="South Korea",korea_mid_load,load_mid)*IF(ABS(MOD(ABS((L173*M173*IF(B173="South Korea",korea_mid_revleg,revleg_mid))),1)-0.5)&lt;1E-9,2*ROUND((L173*M173*IF(B173="South Korea",korea_mid_revleg,revleg_mid))/2,0),ROUND((L173*M173*IF(B173="South Korea",korea_mid_revleg,revleg_mid)),0)))-(((battery/range_nm)*D173*IF(ABS(MOD(ABS((L173*M173*IF(B173="South Korea",korea_mid_revleg,revleg_mid))),1)-0.5)&lt;1E-9,2*ROUND((L173*M173*IF(B173="South Korea",korea_mid_revleg,revleg_mid))/2,0),ROUND((L173*M173*IF(B173="South Korea",korea_mid_revleg,revleg_mid)),0))*VLOOKUP(B173,country_opex,3,FALSE))+W173+X173+Y173+Z173+AA173))&lt;=0,"",VLOOKUP(B173,country_opex,7,FALSE)/((T173*pax_cap*IF(B173="South Korea",korea_mid_load,load_mid)*IF(ABS(MOD(ABS((L173*M173*IF(B173="South Korea",korea_mid_revleg,revleg_mid))),1)-0.5)&lt;1E-9,2*ROUND((L173*M173*IF(B173="South Korea",korea_mid_revleg,revleg_mid))/2,0),ROUND((L173*M173*IF(B173="South Korea",korea_mid_revleg,revleg_mid)),0)))-(((battery/range_nm)*D173*IF(ABS(MOD(ABS((L173*M173*IF(B173="South Korea",korea_mid_revleg,revleg_mid))),1)-0.5)&lt;1E-9,2*ROUND((L173*M173*IF(B173="South Korea",korea_mid_revleg,revleg_mid))/2,0),ROUND((L173*M173*IF(B173="South Korea",korea_mid_revleg,revleg_mid)),0))*VLOOKUP(B173,country_opex,3,FALSE))+W173+X173+Y173+Z173+AA173)))</f>
        <v/>
      </c>
      <c r="AX173" s="45">
        <f>IF(((T173*pax_cap*load_full*IF(ABS(MOD(ABS((L173*M173*revleg_full)),1)-0.5)&lt;1E-9,2*ROUND((L173*M173*revleg_full)/2,0),ROUND((L173*M173*revleg_full),0)))-(((battery/range_nm)*D173*IF(ABS(MOD(ABS((L173*M173*revleg_full)),1)-0.5)&lt;1E-9,2*ROUND((L173*M173*revleg_full)/2,0),ROUND((L173*M173*revleg_full),0))*VLOOKUP(B173,country_opex,3,FALSE))+W173+X173+Y173+Z173+AA173))&lt;=0,"",VLOOKUP(B173,country_opex,7,FALSE)/((T173*pax_cap*load_full*IF(ABS(MOD(ABS((L173*M173*revleg_full)),1)-0.5)&lt;1E-9,2*ROUND((L173*M173*revleg_full)/2,0),ROUND((L173*M173*revleg_full),0)))-(((battery/range_nm)*D173*IF(ABS(MOD(ABS((L173*M173*revleg_full)),1)-0.5)&lt;1E-9,2*ROUND((L173*M173*revleg_full)/2,0),ROUND((L173*M173*revleg_full),0))*VLOOKUP(B173,country_opex,3,FALSE))+W173+X173+Y173+Z173+AA173)))</f>
        <v/>
      </c>
      <c r="AY173" s="46" t="inlineStr">
        <is>
          <t>Palm ultra-lux cluster (One&amp;Only&lt;-&gt;Zabeel Saray). Road-served. T5/low.</t>
        </is>
      </c>
      <c r="AZ173" s="46" t="inlineStr">
        <is>
          <t>UAE-DEMAND-ANCHORS-2026-06-17.json — tier-based addressable pool derived from sourcing wave anchors (hotel keys × occ × shuttle adoption, marina activity, RTA marine baseline).</t>
        </is>
      </c>
      <c r="BA173" s="34" t="inlineStr">
        <is>
          <t>rn-1ec5dd6a2bb4</t>
        </is>
      </c>
    </row>
    <row r="174">
      <c r="A174" s="31" t="inlineStr">
        <is>
          <t>Bolt Uae</t>
        </is>
      </c>
      <c r="B174" s="31" t="inlineStr">
        <is>
          <t>United Arab Emirates</t>
        </is>
      </c>
      <c r="C174" s="32" t="inlineStr">
        <is>
          <t>Dubai Harbour Marina → Bluewaters Marina</t>
        </is>
      </c>
      <c r="D174" s="33" t="n">
        <v>1.1</v>
      </c>
      <c r="E174" s="27" t="n">
        <v>45</v>
      </c>
      <c r="F174" s="34" t="inlineStr">
        <is>
          <t>T1</t>
        </is>
      </c>
      <c r="G174" s="34" t="inlineStr">
        <is>
          <t>high</t>
        </is>
      </c>
      <c r="H174" s="20" t="n">
        <v>1</v>
      </c>
      <c r="I174" s="35">
        <f>60*D174/cruise_kt</f>
        <v/>
      </c>
      <c r="J174" s="35">
        <f>IF(B174="South Korea",D174/korea_charge_range_nm*korea_full_range_charge_min,0)</f>
        <v/>
      </c>
      <c r="K174" s="35">
        <f>IF(B174="South Korea",I174+korea_turn_min+korea_dwell_min+J174,I174+turn_min+dwell_min)</f>
        <v/>
      </c>
      <c r="L174" s="36">
        <f>IF(B174="South Korea",FLOOR(60*korea_service_hr/K174,1),MIN(15,FLOOR(60*service_hr/K174,1)))</f>
        <v/>
      </c>
      <c r="M174" s="36">
        <f>IF(ABS(MOD(ABS((365*mech_uptime*H174)),1)-0.5)&lt;1E-9,2*ROUND((365*mech_uptime*H174)/2,0),ROUND((365*mech_uptime*H174),0))</f>
        <v/>
      </c>
      <c r="N174" s="37">
        <f>mech_uptime</f>
        <v/>
      </c>
      <c r="O174" s="37">
        <f>IF(AND(B174="South Korea",scenario="MID"),korea_mid_revleg,revleg_sel)</f>
        <v/>
      </c>
      <c r="P174" s="36">
        <f>IF(ABS(MOD(ABS((L174*M174*O174)),1)-0.5)&lt;1E-9,2*ROUND((L174*M174*O174)/2,0),ROUND((L174*M174*O174),0))</f>
        <v/>
      </c>
      <c r="Q174" s="37">
        <f>IF(AND(B174="South Korea",scenario="MID"),korea_mid_load,load_sel)</f>
        <v/>
      </c>
      <c r="R174" s="38">
        <f>pax_cap*Q174</f>
        <v/>
      </c>
      <c r="S174" s="36">
        <f>R174*P174</f>
        <v/>
      </c>
      <c r="T174" s="39">
        <f>E174*discount</f>
        <v/>
      </c>
      <c r="U174" s="40">
        <f>T174*S174</f>
        <v/>
      </c>
      <c r="V174" s="40">
        <f>(battery/range_nm)*D174*P174*VLOOKUP(B174,country_opex,3,FALSE)</f>
        <v/>
      </c>
      <c r="W174" s="40">
        <f>VLOOKUP(B174,country_opex,2,FALSE)*crew_factor</f>
        <v/>
      </c>
      <c r="X174" s="40">
        <f>VLOOKUP(B174,country_opex,5,FALSE)</f>
        <v/>
      </c>
      <c r="Y174" s="40">
        <f>maint</f>
        <v/>
      </c>
      <c r="Z174" s="40">
        <f>VLOOKUP(B174,country_opex,7,FALSE)*ins_pct</f>
        <v/>
      </c>
      <c r="AA174" s="40">
        <f>charge_berth</f>
        <v/>
      </c>
      <c r="AB174" s="40">
        <f>V174+W174+X174+Y174+Z174+AA174</f>
        <v/>
      </c>
      <c r="AC174" s="40">
        <f>VLOOKUP(B174,country_opex,7,FALSE)/dep_years</f>
        <v/>
      </c>
      <c r="AD174" s="40">
        <f>U174-AB174</f>
        <v/>
      </c>
      <c r="AE174" s="37">
        <f>IF(U174=0,"",AD174/U174)</f>
        <v/>
      </c>
      <c r="AF174" s="38">
        <f>IF(AD174&lt;=0,"",VLOOKUP(B174,country_opex,7,FALSE)/AD174)</f>
        <v/>
      </c>
      <c r="AG174" s="35">
        <f>((D174*P174/diesel_nmpg)*diesel_co2pg-(battery/range_nm)*D174*P174*VLOOKUP(B174,country_opex,4,FALSE))/1000</f>
        <v/>
      </c>
      <c r="AH174" s="33" t="n">
        <v>200000</v>
      </c>
      <c r="AI174" s="34" t="inlineStr">
        <is>
          <t>T5</t>
        </is>
      </c>
      <c r="AJ174" s="34" t="inlineStr">
        <is>
          <t>low</t>
        </is>
      </c>
      <c r="AK174" s="41" t="n">
        <v>0.1</v>
      </c>
      <c r="AL174" s="36">
        <f>IF(AH174="","",AH174*AK174)</f>
        <v/>
      </c>
      <c r="AM174" s="36">
        <f>IF(OR(AH174="",S174=0),"",MIN(IF(AU174="",9.9E+99,AU174),FLOOR(AL174/S174,1)))</f>
        <v/>
      </c>
      <c r="AN174" s="40">
        <f>IF(AM174="","",AM174*IF(ABS(MOD(ABS((U174)),1)-0.5)&lt;1E-9,2*ROUND((U174)/2,0),ROUND((U174),0)))</f>
        <v/>
      </c>
      <c r="AO174" s="38">
        <f>IF(OR(AH174="",S174=0),"",MIN(IF(AU174="",9.9E+99,AU174),AL174/S174))</f>
        <v/>
      </c>
      <c r="AP174" s="40">
        <f>IF(AO174="","",AO174*IF(B174="South Korea",IF(ABS(MOD(ABS((U174)),1)-0.5)&lt;1E-9,2*ROUND((U174)/2,0),ROUND((U174),0)),U174))</f>
        <v/>
      </c>
      <c r="AQ174" s="42" t="n"/>
      <c r="AR174" s="34" t="inlineStr">
        <is>
          <t>Grounded</t>
        </is>
      </c>
      <c r="AS174" s="43" t="n"/>
      <c r="AT174" s="43" t="n"/>
      <c r="AU174" s="44" t="n"/>
      <c r="AV174" s="45">
        <f>IF(((T174*pax_cap*load_thin*IF(ABS(MOD(ABS((L174*M174*revleg_thin)),1)-0.5)&lt;1E-9,2*ROUND((L174*M174*revleg_thin)/2,0),ROUND((L174*M174*revleg_thin),0)))-(((battery/range_nm)*D174*IF(ABS(MOD(ABS((L174*M174*revleg_thin)),1)-0.5)&lt;1E-9,2*ROUND((L174*M174*revleg_thin)/2,0),ROUND((L174*M174*revleg_thin),0))*VLOOKUP(B174,country_opex,3,FALSE))+W174+X174+Y174+Z174+AA174))&lt;=0,"",VLOOKUP(B174,country_opex,7,FALSE)/((T174*pax_cap*load_thin*IF(ABS(MOD(ABS((L174*M174*revleg_thin)),1)-0.5)&lt;1E-9,2*ROUND((L174*M174*revleg_thin)/2,0),ROUND((L174*M174*revleg_thin),0)))-(((battery/range_nm)*D174*IF(ABS(MOD(ABS((L174*M174*revleg_thin)),1)-0.5)&lt;1E-9,2*ROUND((L174*M174*revleg_thin)/2,0),ROUND((L174*M174*revleg_thin),0))*VLOOKUP(B174,country_opex,3,FALSE))+W174+X174+Y174+Z174+AA174)))</f>
        <v/>
      </c>
      <c r="AW174" s="45">
        <f>IF(((T174*pax_cap*IF(B174="South Korea",korea_mid_load,load_mid)*IF(ABS(MOD(ABS((L174*M174*IF(B174="South Korea",korea_mid_revleg,revleg_mid))),1)-0.5)&lt;1E-9,2*ROUND((L174*M174*IF(B174="South Korea",korea_mid_revleg,revleg_mid))/2,0),ROUND((L174*M174*IF(B174="South Korea",korea_mid_revleg,revleg_mid)),0)))-(((battery/range_nm)*D174*IF(ABS(MOD(ABS((L174*M174*IF(B174="South Korea",korea_mid_revleg,revleg_mid))),1)-0.5)&lt;1E-9,2*ROUND((L174*M174*IF(B174="South Korea",korea_mid_revleg,revleg_mid))/2,0),ROUND((L174*M174*IF(B174="South Korea",korea_mid_revleg,revleg_mid)),0))*VLOOKUP(B174,country_opex,3,FALSE))+W174+X174+Y174+Z174+AA174))&lt;=0,"",VLOOKUP(B174,country_opex,7,FALSE)/((T174*pax_cap*IF(B174="South Korea",korea_mid_load,load_mid)*IF(ABS(MOD(ABS((L174*M174*IF(B174="South Korea",korea_mid_revleg,revleg_mid))),1)-0.5)&lt;1E-9,2*ROUND((L174*M174*IF(B174="South Korea",korea_mid_revleg,revleg_mid))/2,0),ROUND((L174*M174*IF(B174="South Korea",korea_mid_revleg,revleg_mid)),0)))-(((battery/range_nm)*D174*IF(ABS(MOD(ABS((L174*M174*IF(B174="South Korea",korea_mid_revleg,revleg_mid))),1)-0.5)&lt;1E-9,2*ROUND((L174*M174*IF(B174="South Korea",korea_mid_revleg,revleg_mid))/2,0),ROUND((L174*M174*IF(B174="South Korea",korea_mid_revleg,revleg_mid)),0))*VLOOKUP(B174,country_opex,3,FALSE))+W174+X174+Y174+Z174+AA174)))</f>
        <v/>
      </c>
      <c r="AX174" s="45">
        <f>IF(((T174*pax_cap*load_full*IF(ABS(MOD(ABS((L174*M174*revleg_full)),1)-0.5)&lt;1E-9,2*ROUND((L174*M174*revleg_full)/2,0),ROUND((L174*M174*revleg_full),0)))-(((battery/range_nm)*D174*IF(ABS(MOD(ABS((L174*M174*revleg_full)),1)-0.5)&lt;1E-9,2*ROUND((L174*M174*revleg_full)/2,0),ROUND((L174*M174*revleg_full),0))*VLOOKUP(B174,country_opex,3,FALSE))+W174+X174+Y174+Z174+AA174))&lt;=0,"",VLOOKUP(B174,country_opex,7,FALSE)/((T174*pax_cap*load_full*IF(ABS(MOD(ABS((L174*M174*revleg_full)),1)-0.5)&lt;1E-9,2*ROUND((L174*M174*revleg_full)/2,0),ROUND((L174*M174*revleg_full),0)))-(((battery/range_nm)*D174*IF(ABS(MOD(ABS((L174*M174*revleg_full)),1)-0.5)&lt;1E-9,2*ROUND((L174*M174*revleg_full)/2,0),ROUND((L174*M174*revleg_full),0))*VLOOKUP(B174,country_opex,3,FALSE))+W174+X174+Y174+Z174+AA174)))</f>
        <v/>
      </c>
      <c r="AY174" s="46" t="inlineStr">
        <is>
          <t>RTA/Dubai-Ferry official ladder (R-RTA, T1): Water Taxi on-demand single AED 150/pax = $40.8; Dubai Ferry Gold AED 75 = $20.4, Silver AED 50 = $13.6; Water Bus AED 7; Abra AED 1. dubai-ferry.com / rta.ae 2025/26. Bluewaters/Ain Dubai is a genuine water-served island attraction adjacent to Dubai Marina.</t>
        </is>
      </c>
      <c r="AZ174" s="46" t="inlineStr">
        <is>
          <t>RTA marine = 18.4M riders 2025 (WAM, T1); bulk are ~1km Creek abras (R3-ABRA, different micro-corridor). Premium non-abra modes a small fraction.</t>
        </is>
      </c>
      <c r="BA174" s="34" t="inlineStr">
        <is>
          <t>rn-dcc7d4c3b9f9</t>
        </is>
      </c>
    </row>
    <row r="175">
      <c r="A175" s="31" t="inlineStr">
        <is>
          <t>Bolt Uae</t>
        </is>
      </c>
      <c r="B175" s="31" t="inlineStr">
        <is>
          <t>United Arab Emirates</t>
        </is>
      </c>
      <c r="C175" s="32" t="inlineStr">
        <is>
          <t>Kempinski Hotel &amp; Residences Palm Jumeirah Jetty → Atlantis The Palm Jetty</t>
        </is>
      </c>
      <c r="D175" s="33" t="n">
        <v>1.2</v>
      </c>
      <c r="E175" s="27" t="n">
        <v>130</v>
      </c>
      <c r="F175" s="34" t="inlineStr">
        <is>
          <t>T5</t>
        </is>
      </c>
      <c r="G175" s="34" t="inlineStr">
        <is>
          <t>low</t>
        </is>
      </c>
      <c r="H175" s="20" t="n">
        <v>1</v>
      </c>
      <c r="I175" s="35">
        <f>60*D175/cruise_kt</f>
        <v/>
      </c>
      <c r="J175" s="35">
        <f>IF(B175="South Korea",D175/korea_charge_range_nm*korea_full_range_charge_min,0)</f>
        <v/>
      </c>
      <c r="K175" s="35">
        <f>IF(B175="South Korea",I175+korea_turn_min+korea_dwell_min+J175,I175+turn_min+dwell_min)</f>
        <v/>
      </c>
      <c r="L175" s="36">
        <f>IF(B175="South Korea",FLOOR(60*korea_service_hr/K175,1),MIN(15,FLOOR(60*service_hr/K175,1)))</f>
        <v/>
      </c>
      <c r="M175" s="36">
        <f>IF(ABS(MOD(ABS((365*mech_uptime*H175)),1)-0.5)&lt;1E-9,2*ROUND((365*mech_uptime*H175)/2,0),ROUND((365*mech_uptime*H175),0))</f>
        <v/>
      </c>
      <c r="N175" s="37">
        <f>mech_uptime</f>
        <v/>
      </c>
      <c r="O175" s="37">
        <f>IF(AND(B175="South Korea",scenario="MID"),korea_mid_revleg,revleg_sel)</f>
        <v/>
      </c>
      <c r="P175" s="36">
        <f>IF(ABS(MOD(ABS((L175*M175*O175)),1)-0.5)&lt;1E-9,2*ROUND((L175*M175*O175)/2,0),ROUND((L175*M175*O175),0))</f>
        <v/>
      </c>
      <c r="Q175" s="37">
        <f>IF(AND(B175="South Korea",scenario="MID"),korea_mid_load,load_sel)</f>
        <v/>
      </c>
      <c r="R175" s="38">
        <f>pax_cap*Q175</f>
        <v/>
      </c>
      <c r="S175" s="36">
        <f>R175*P175</f>
        <v/>
      </c>
      <c r="T175" s="39">
        <f>E175*discount</f>
        <v/>
      </c>
      <c r="U175" s="40">
        <f>T175*S175</f>
        <v/>
      </c>
      <c r="V175" s="40">
        <f>(battery/range_nm)*D175*P175*VLOOKUP(B175,country_opex,3,FALSE)</f>
        <v/>
      </c>
      <c r="W175" s="40">
        <f>VLOOKUP(B175,country_opex,2,FALSE)*crew_factor</f>
        <v/>
      </c>
      <c r="X175" s="40">
        <f>VLOOKUP(B175,country_opex,5,FALSE)</f>
        <v/>
      </c>
      <c r="Y175" s="40">
        <f>maint</f>
        <v/>
      </c>
      <c r="Z175" s="40">
        <f>VLOOKUP(B175,country_opex,7,FALSE)*ins_pct</f>
        <v/>
      </c>
      <c r="AA175" s="40">
        <f>charge_berth</f>
        <v/>
      </c>
      <c r="AB175" s="40">
        <f>V175+W175+X175+Y175+Z175+AA175</f>
        <v/>
      </c>
      <c r="AC175" s="40">
        <f>VLOOKUP(B175,country_opex,7,FALSE)/dep_years</f>
        <v/>
      </c>
      <c r="AD175" s="40">
        <f>U175-AB175</f>
        <v/>
      </c>
      <c r="AE175" s="37">
        <f>IF(U175=0,"",AD175/U175)</f>
        <v/>
      </c>
      <c r="AF175" s="38">
        <f>IF(AD175&lt;=0,"",VLOOKUP(B175,country_opex,7,FALSE)/AD175)</f>
        <v/>
      </c>
      <c r="AG175" s="35">
        <f>((D175*P175/diesel_nmpg)*diesel_co2pg-(battery/range_nm)*D175*P175*VLOOKUP(B175,country_opex,4,FALSE))/1000</f>
        <v/>
      </c>
      <c r="AH175" s="33" t="n">
        <v>30000</v>
      </c>
      <c r="AI175" s="34" t="inlineStr">
        <is>
          <t>T3</t>
        </is>
      </c>
      <c r="AJ175" s="34" t="inlineStr">
        <is>
          <t>low</t>
        </is>
      </c>
      <c r="AK175" s="41" t="n">
        <v>0.1</v>
      </c>
      <c r="AL175" s="36">
        <f>IF(AH175="","",AH175*AK175)</f>
        <v/>
      </c>
      <c r="AM175" s="36">
        <f>IF(OR(AH175="",S175=0),"",MIN(IF(AU175="",9.9E+99,AU175),FLOOR(AL175/S175,1)))</f>
        <v/>
      </c>
      <c r="AN175" s="40">
        <f>IF(AM175="","",AM175*IF(ABS(MOD(ABS((U175)),1)-0.5)&lt;1E-9,2*ROUND((U175)/2,0),ROUND((U175),0)))</f>
        <v/>
      </c>
      <c r="AO175" s="38">
        <f>IF(OR(AH175="",S175=0),"",MIN(IF(AU175="",9.9E+99,AU175),AL175/S175))</f>
        <v/>
      </c>
      <c r="AP175" s="40">
        <f>IF(AO175="","",AO175*IF(B175="South Korea",IF(ABS(MOD(ABS((U175)),1)-0.5)&lt;1E-9,2*ROUND((U175)/2,0),ROUND((U175),0)),U175))</f>
        <v/>
      </c>
      <c r="AQ175" s="42" t="n"/>
      <c r="AR175" s="34" t="inlineStr">
        <is>
          <t>Estimated</t>
        </is>
      </c>
      <c r="AS175" s="43" t="n"/>
      <c r="AT175" s="43" t="n"/>
      <c r="AU175" s="44" t="n"/>
      <c r="AV175" s="45">
        <f>IF(((T175*pax_cap*load_thin*IF(ABS(MOD(ABS((L175*M175*revleg_thin)),1)-0.5)&lt;1E-9,2*ROUND((L175*M175*revleg_thin)/2,0),ROUND((L175*M175*revleg_thin),0)))-(((battery/range_nm)*D175*IF(ABS(MOD(ABS((L175*M175*revleg_thin)),1)-0.5)&lt;1E-9,2*ROUND((L175*M175*revleg_thin)/2,0),ROUND((L175*M175*revleg_thin),0))*VLOOKUP(B175,country_opex,3,FALSE))+W175+X175+Y175+Z175+AA175))&lt;=0,"",VLOOKUP(B175,country_opex,7,FALSE)/((T175*pax_cap*load_thin*IF(ABS(MOD(ABS((L175*M175*revleg_thin)),1)-0.5)&lt;1E-9,2*ROUND((L175*M175*revleg_thin)/2,0),ROUND((L175*M175*revleg_thin),0)))-(((battery/range_nm)*D175*IF(ABS(MOD(ABS((L175*M175*revleg_thin)),1)-0.5)&lt;1E-9,2*ROUND((L175*M175*revleg_thin)/2,0),ROUND((L175*M175*revleg_thin),0))*VLOOKUP(B175,country_opex,3,FALSE))+W175+X175+Y175+Z175+AA175)))</f>
        <v/>
      </c>
      <c r="AW175" s="45">
        <f>IF(((T175*pax_cap*IF(B175="South Korea",korea_mid_load,load_mid)*IF(ABS(MOD(ABS((L175*M175*IF(B175="South Korea",korea_mid_revleg,revleg_mid))),1)-0.5)&lt;1E-9,2*ROUND((L175*M175*IF(B175="South Korea",korea_mid_revleg,revleg_mid))/2,0),ROUND((L175*M175*IF(B175="South Korea",korea_mid_revleg,revleg_mid)),0)))-(((battery/range_nm)*D175*IF(ABS(MOD(ABS((L175*M175*IF(B175="South Korea",korea_mid_revleg,revleg_mid))),1)-0.5)&lt;1E-9,2*ROUND((L175*M175*IF(B175="South Korea",korea_mid_revleg,revleg_mid))/2,0),ROUND((L175*M175*IF(B175="South Korea",korea_mid_revleg,revleg_mid)),0))*VLOOKUP(B175,country_opex,3,FALSE))+W175+X175+Y175+Z175+AA175))&lt;=0,"",VLOOKUP(B175,country_opex,7,FALSE)/((T175*pax_cap*IF(B175="South Korea",korea_mid_load,load_mid)*IF(ABS(MOD(ABS((L175*M175*IF(B175="South Korea",korea_mid_revleg,revleg_mid))),1)-0.5)&lt;1E-9,2*ROUND((L175*M175*IF(B175="South Korea",korea_mid_revleg,revleg_mid))/2,0),ROUND((L175*M175*IF(B175="South Korea",korea_mid_revleg,revleg_mid)),0)))-(((battery/range_nm)*D175*IF(ABS(MOD(ABS((L175*M175*IF(B175="South Korea",korea_mid_revleg,revleg_mid))),1)-0.5)&lt;1E-9,2*ROUND((L175*M175*IF(B175="South Korea",korea_mid_revleg,revleg_mid))/2,0),ROUND((L175*M175*IF(B175="South Korea",korea_mid_revleg,revleg_mid)),0))*VLOOKUP(B175,country_opex,3,FALSE))+W175+X175+Y175+Z175+AA175)))</f>
        <v/>
      </c>
      <c r="AX175" s="45">
        <f>IF(((T175*pax_cap*load_full*IF(ABS(MOD(ABS((L175*M175*revleg_full)),1)-0.5)&lt;1E-9,2*ROUND((L175*M175*revleg_full)/2,0),ROUND((L175*M175*revleg_full),0)))-(((battery/range_nm)*D175*IF(ABS(MOD(ABS((L175*M175*revleg_full)),1)-0.5)&lt;1E-9,2*ROUND((L175*M175*revleg_full)/2,0),ROUND((L175*M175*revleg_full),0))*VLOOKUP(B175,country_opex,3,FALSE))+W175+X175+Y175+Z175+AA175))&lt;=0,"",VLOOKUP(B175,country_opex,7,FALSE)/((T175*pax_cap*load_full*IF(ABS(MOD(ABS((L175*M175*revleg_full)),1)-0.5)&lt;1E-9,2*ROUND((L175*M175*revleg_full)/2,0),ROUND((L175*M175*revleg_full),0)))-(((battery/range_nm)*D175*IF(ABS(MOD(ABS((L175*M175*revleg_full)),1)-0.5)&lt;1E-9,2*ROUND((L175*M175*revleg_full)/2,0),ROUND((L175*M175*revleg_full),0))*VLOOKUP(B175,country_opex,3,FALSE))+W175+X175+Y175+Z175+AA175)))</f>
        <v/>
      </c>
      <c r="AY175" s="46" t="inlineStr">
        <is>
          <t>Palm resort cluster (Kempinski&lt;-&gt;Atlantis). Road-served. T5/low.</t>
        </is>
      </c>
      <c r="AZ175" s="46" t="inlineStr">
        <is>
          <t>UAE-DEMAND-ANCHORS-2026-06-17.json — tier-based addressable pool derived from sourcing wave anchors (hotel keys × occ × shuttle adoption, marina activity, RTA marine baseline).</t>
        </is>
      </c>
      <c r="BA175" s="34" t="inlineStr">
        <is>
          <t>rn-04c94f935684</t>
        </is>
      </c>
    </row>
    <row r="176">
      <c r="A176" s="31" t="inlineStr">
        <is>
          <t>Bolt Uae</t>
        </is>
      </c>
      <c r="B176" s="31" t="inlineStr">
        <is>
          <t>United Arab Emirates</t>
        </is>
      </c>
      <c r="C176" s="32" t="inlineStr">
        <is>
          <t>La Mer / J1 Beach Jetty → Nikki Beach Resort Pearl Jumeirah Jetty</t>
        </is>
      </c>
      <c r="D176" s="33" t="n">
        <v>1.2</v>
      </c>
      <c r="E176" s="27" t="n">
        <v>110</v>
      </c>
      <c r="F176" s="34" t="inlineStr">
        <is>
          <t>T5</t>
        </is>
      </c>
      <c r="G176" s="34" t="inlineStr">
        <is>
          <t>low</t>
        </is>
      </c>
      <c r="H176" s="20" t="n">
        <v>1</v>
      </c>
      <c r="I176" s="35">
        <f>60*D176/cruise_kt</f>
        <v/>
      </c>
      <c r="J176" s="35">
        <f>IF(B176="South Korea",D176/korea_charge_range_nm*korea_full_range_charge_min,0)</f>
        <v/>
      </c>
      <c r="K176" s="35">
        <f>IF(B176="South Korea",I176+korea_turn_min+korea_dwell_min+J176,I176+turn_min+dwell_min)</f>
        <v/>
      </c>
      <c r="L176" s="36">
        <f>IF(B176="South Korea",FLOOR(60*korea_service_hr/K176,1),MIN(15,FLOOR(60*service_hr/K176,1)))</f>
        <v/>
      </c>
      <c r="M176" s="36">
        <f>IF(ABS(MOD(ABS((365*mech_uptime*H176)),1)-0.5)&lt;1E-9,2*ROUND((365*mech_uptime*H176)/2,0),ROUND((365*mech_uptime*H176),0))</f>
        <v/>
      </c>
      <c r="N176" s="37">
        <f>mech_uptime</f>
        <v/>
      </c>
      <c r="O176" s="37">
        <f>IF(AND(B176="South Korea",scenario="MID"),korea_mid_revleg,revleg_sel)</f>
        <v/>
      </c>
      <c r="P176" s="36">
        <f>IF(ABS(MOD(ABS((L176*M176*O176)),1)-0.5)&lt;1E-9,2*ROUND((L176*M176*O176)/2,0),ROUND((L176*M176*O176),0))</f>
        <v/>
      </c>
      <c r="Q176" s="37">
        <f>IF(AND(B176="South Korea",scenario="MID"),korea_mid_load,load_sel)</f>
        <v/>
      </c>
      <c r="R176" s="38">
        <f>pax_cap*Q176</f>
        <v/>
      </c>
      <c r="S176" s="36">
        <f>R176*P176</f>
        <v/>
      </c>
      <c r="T176" s="39">
        <f>E176*discount</f>
        <v/>
      </c>
      <c r="U176" s="40">
        <f>T176*S176</f>
        <v/>
      </c>
      <c r="V176" s="40">
        <f>(battery/range_nm)*D176*P176*VLOOKUP(B176,country_opex,3,FALSE)</f>
        <v/>
      </c>
      <c r="W176" s="40">
        <f>VLOOKUP(B176,country_opex,2,FALSE)*crew_factor</f>
        <v/>
      </c>
      <c r="X176" s="40">
        <f>VLOOKUP(B176,country_opex,5,FALSE)</f>
        <v/>
      </c>
      <c r="Y176" s="40">
        <f>maint</f>
        <v/>
      </c>
      <c r="Z176" s="40">
        <f>VLOOKUP(B176,country_opex,7,FALSE)*ins_pct</f>
        <v/>
      </c>
      <c r="AA176" s="40">
        <f>charge_berth</f>
        <v/>
      </c>
      <c r="AB176" s="40">
        <f>V176+W176+X176+Y176+Z176+AA176</f>
        <v/>
      </c>
      <c r="AC176" s="40">
        <f>VLOOKUP(B176,country_opex,7,FALSE)/dep_years</f>
        <v/>
      </c>
      <c r="AD176" s="40">
        <f>U176-AB176</f>
        <v/>
      </c>
      <c r="AE176" s="37">
        <f>IF(U176=0,"",AD176/U176)</f>
        <v/>
      </c>
      <c r="AF176" s="38">
        <f>IF(AD176&lt;=0,"",VLOOKUP(B176,country_opex,7,FALSE)/AD176)</f>
        <v/>
      </c>
      <c r="AG176" s="35">
        <f>((D176*P176/diesel_nmpg)*diesel_co2pg-(battery/range_nm)*D176*P176*VLOOKUP(B176,country_opex,4,FALSE))/1000</f>
        <v/>
      </c>
      <c r="AH176" s="33" t="n">
        <v>25000</v>
      </c>
      <c r="AI176" s="34" t="inlineStr">
        <is>
          <t>T3</t>
        </is>
      </c>
      <c r="AJ176" s="34" t="inlineStr">
        <is>
          <t>low</t>
        </is>
      </c>
      <c r="AK176" s="41" t="n">
        <v>0.1</v>
      </c>
      <c r="AL176" s="36">
        <f>IF(AH176="","",AH176*AK176)</f>
        <v/>
      </c>
      <c r="AM176" s="36">
        <f>IF(OR(AH176="",S176=0),"",MIN(IF(AU176="",9.9E+99,AU176),FLOOR(AL176/S176,1)))</f>
        <v/>
      </c>
      <c r="AN176" s="40">
        <f>IF(AM176="","",AM176*IF(ABS(MOD(ABS((U176)),1)-0.5)&lt;1E-9,2*ROUND((U176)/2,0),ROUND((U176),0)))</f>
        <v/>
      </c>
      <c r="AO176" s="38">
        <f>IF(OR(AH176="",S176=0),"",MIN(IF(AU176="",9.9E+99,AU176),AL176/S176))</f>
        <v/>
      </c>
      <c r="AP176" s="40">
        <f>IF(AO176="","",AO176*IF(B176="South Korea",IF(ABS(MOD(ABS((U176)),1)-0.5)&lt;1E-9,2*ROUND((U176)/2,0),ROUND((U176),0)),U176))</f>
        <v/>
      </c>
      <c r="AQ176" s="42" t="n"/>
      <c r="AR176" s="34" t="inlineStr">
        <is>
          <t>Estimated</t>
        </is>
      </c>
      <c r="AS176" s="43" t="n"/>
      <c r="AT176" s="43" t="n"/>
      <c r="AU176" s="44" t="n"/>
      <c r="AV176" s="45">
        <f>IF(((T176*pax_cap*load_thin*IF(ABS(MOD(ABS((L176*M176*revleg_thin)),1)-0.5)&lt;1E-9,2*ROUND((L176*M176*revleg_thin)/2,0),ROUND((L176*M176*revleg_thin),0)))-(((battery/range_nm)*D176*IF(ABS(MOD(ABS((L176*M176*revleg_thin)),1)-0.5)&lt;1E-9,2*ROUND((L176*M176*revleg_thin)/2,0),ROUND((L176*M176*revleg_thin),0))*VLOOKUP(B176,country_opex,3,FALSE))+W176+X176+Y176+Z176+AA176))&lt;=0,"",VLOOKUP(B176,country_opex,7,FALSE)/((T176*pax_cap*load_thin*IF(ABS(MOD(ABS((L176*M176*revleg_thin)),1)-0.5)&lt;1E-9,2*ROUND((L176*M176*revleg_thin)/2,0),ROUND((L176*M176*revleg_thin),0)))-(((battery/range_nm)*D176*IF(ABS(MOD(ABS((L176*M176*revleg_thin)),1)-0.5)&lt;1E-9,2*ROUND((L176*M176*revleg_thin)/2,0),ROUND((L176*M176*revleg_thin),0))*VLOOKUP(B176,country_opex,3,FALSE))+W176+X176+Y176+Z176+AA176)))</f>
        <v/>
      </c>
      <c r="AW176" s="45">
        <f>IF(((T176*pax_cap*IF(B176="South Korea",korea_mid_load,load_mid)*IF(ABS(MOD(ABS((L176*M176*IF(B176="South Korea",korea_mid_revleg,revleg_mid))),1)-0.5)&lt;1E-9,2*ROUND((L176*M176*IF(B176="South Korea",korea_mid_revleg,revleg_mid))/2,0),ROUND((L176*M176*IF(B176="South Korea",korea_mid_revleg,revleg_mid)),0)))-(((battery/range_nm)*D176*IF(ABS(MOD(ABS((L176*M176*IF(B176="South Korea",korea_mid_revleg,revleg_mid))),1)-0.5)&lt;1E-9,2*ROUND((L176*M176*IF(B176="South Korea",korea_mid_revleg,revleg_mid))/2,0),ROUND((L176*M176*IF(B176="South Korea",korea_mid_revleg,revleg_mid)),0))*VLOOKUP(B176,country_opex,3,FALSE))+W176+X176+Y176+Z176+AA176))&lt;=0,"",VLOOKUP(B176,country_opex,7,FALSE)/((T176*pax_cap*IF(B176="South Korea",korea_mid_load,load_mid)*IF(ABS(MOD(ABS((L176*M176*IF(B176="South Korea",korea_mid_revleg,revleg_mid))),1)-0.5)&lt;1E-9,2*ROUND((L176*M176*IF(B176="South Korea",korea_mid_revleg,revleg_mid))/2,0),ROUND((L176*M176*IF(B176="South Korea",korea_mid_revleg,revleg_mid)),0)))-(((battery/range_nm)*D176*IF(ABS(MOD(ABS((L176*M176*IF(B176="South Korea",korea_mid_revleg,revleg_mid))),1)-0.5)&lt;1E-9,2*ROUND((L176*M176*IF(B176="South Korea",korea_mid_revleg,revleg_mid))/2,0),ROUND((L176*M176*IF(B176="South Korea",korea_mid_revleg,revleg_mid)),0))*VLOOKUP(B176,country_opex,3,FALSE))+W176+X176+Y176+Z176+AA176)))</f>
        <v/>
      </c>
      <c r="AX176" s="45">
        <f>IF(((T176*pax_cap*load_full*IF(ABS(MOD(ABS((L176*M176*revleg_full)),1)-0.5)&lt;1E-9,2*ROUND((L176*M176*revleg_full)/2,0),ROUND((L176*M176*revleg_full),0)))-(((battery/range_nm)*D176*IF(ABS(MOD(ABS((L176*M176*revleg_full)),1)-0.5)&lt;1E-9,2*ROUND((L176*M176*revleg_full)/2,0),ROUND((L176*M176*revleg_full),0))*VLOOKUP(B176,country_opex,3,FALSE))+W176+X176+Y176+Z176+AA176))&lt;=0,"",VLOOKUP(B176,country_opex,7,FALSE)/((T176*pax_cap*load_full*IF(ABS(MOD(ABS((L176*M176*revleg_full)),1)-0.5)&lt;1E-9,2*ROUND((L176*M176*revleg_full)/2,0),ROUND((L176*M176*revleg_full),0)))-(((battery/range_nm)*D176*IF(ABS(MOD(ABS((L176*M176*revleg_full)),1)-0.5)&lt;1E-9,2*ROUND((L176*M176*revleg_full)/2,0),ROUND((L176*M176*revleg_full),0))*VLOOKUP(B176,country_opex,3,FALSE))+W176+X176+Y176+Z176+AA176)))</f>
        <v/>
      </c>
      <c r="AY176" s="46" t="inlineStr">
        <is>
          <t>Urban Dubai beach-club leisure hop. Road-served. T5/low.</t>
        </is>
      </c>
      <c r="AZ176" s="46" t="inlineStr">
        <is>
          <t>UAE-DEMAND-ANCHORS-2026-06-17.json — tier-based addressable pool derived from sourcing wave anchors (hotel keys × occ × shuttle adoption, marina activity, RTA marine baseline).</t>
        </is>
      </c>
      <c r="BA176" s="34" t="inlineStr">
        <is>
          <t>rn-9349160e716f</t>
        </is>
      </c>
    </row>
    <row r="177">
      <c r="A177" s="31" t="inlineStr">
        <is>
          <t>Bolt Uae</t>
        </is>
      </c>
      <c r="B177" s="31" t="inlineStr">
        <is>
          <t>United Arab Emirates</t>
        </is>
      </c>
      <c r="C177" s="32" t="inlineStr">
        <is>
          <t>Palm Jumeirah Marina West → Atlantis The Palm Jetty</t>
        </is>
      </c>
      <c r="D177" s="33" t="n">
        <v>1.3</v>
      </c>
      <c r="E177" s="27" t="n">
        <v>150</v>
      </c>
      <c r="F177" s="34" t="inlineStr">
        <is>
          <t>T5</t>
        </is>
      </c>
      <c r="G177" s="34" t="inlineStr">
        <is>
          <t>low</t>
        </is>
      </c>
      <c r="H177" s="20" t="n">
        <v>1</v>
      </c>
      <c r="I177" s="35">
        <f>60*D177/cruise_kt</f>
        <v/>
      </c>
      <c r="J177" s="35">
        <f>IF(B177="South Korea",D177/korea_charge_range_nm*korea_full_range_charge_min,0)</f>
        <v/>
      </c>
      <c r="K177" s="35">
        <f>IF(B177="South Korea",I177+korea_turn_min+korea_dwell_min+J177,I177+turn_min+dwell_min)</f>
        <v/>
      </c>
      <c r="L177" s="36">
        <f>IF(B177="South Korea",FLOOR(60*korea_service_hr/K177,1),MIN(15,FLOOR(60*service_hr/K177,1)))</f>
        <v/>
      </c>
      <c r="M177" s="36">
        <f>IF(ABS(MOD(ABS((365*mech_uptime*H177)),1)-0.5)&lt;1E-9,2*ROUND((365*mech_uptime*H177)/2,0),ROUND((365*mech_uptime*H177),0))</f>
        <v/>
      </c>
      <c r="N177" s="37">
        <f>mech_uptime</f>
        <v/>
      </c>
      <c r="O177" s="37">
        <f>IF(AND(B177="South Korea",scenario="MID"),korea_mid_revleg,revleg_sel)</f>
        <v/>
      </c>
      <c r="P177" s="36">
        <f>IF(ABS(MOD(ABS((L177*M177*O177)),1)-0.5)&lt;1E-9,2*ROUND((L177*M177*O177)/2,0),ROUND((L177*M177*O177),0))</f>
        <v/>
      </c>
      <c r="Q177" s="37">
        <f>IF(AND(B177="South Korea",scenario="MID"),korea_mid_load,load_sel)</f>
        <v/>
      </c>
      <c r="R177" s="38">
        <f>pax_cap*Q177</f>
        <v/>
      </c>
      <c r="S177" s="36">
        <f>R177*P177</f>
        <v/>
      </c>
      <c r="T177" s="39">
        <f>E177*discount</f>
        <v/>
      </c>
      <c r="U177" s="40">
        <f>T177*S177</f>
        <v/>
      </c>
      <c r="V177" s="40">
        <f>(battery/range_nm)*D177*P177*VLOOKUP(B177,country_opex,3,FALSE)</f>
        <v/>
      </c>
      <c r="W177" s="40">
        <f>VLOOKUP(B177,country_opex,2,FALSE)*crew_factor</f>
        <v/>
      </c>
      <c r="X177" s="40">
        <f>VLOOKUP(B177,country_opex,5,FALSE)</f>
        <v/>
      </c>
      <c r="Y177" s="40">
        <f>maint</f>
        <v/>
      </c>
      <c r="Z177" s="40">
        <f>VLOOKUP(B177,country_opex,7,FALSE)*ins_pct</f>
        <v/>
      </c>
      <c r="AA177" s="40">
        <f>charge_berth</f>
        <v/>
      </c>
      <c r="AB177" s="40">
        <f>V177+W177+X177+Y177+Z177+AA177</f>
        <v/>
      </c>
      <c r="AC177" s="40">
        <f>VLOOKUP(B177,country_opex,7,FALSE)/dep_years</f>
        <v/>
      </c>
      <c r="AD177" s="40">
        <f>U177-AB177</f>
        <v/>
      </c>
      <c r="AE177" s="37">
        <f>IF(U177=0,"",AD177/U177)</f>
        <v/>
      </c>
      <c r="AF177" s="38">
        <f>IF(AD177&lt;=0,"",VLOOKUP(B177,country_opex,7,FALSE)/AD177)</f>
        <v/>
      </c>
      <c r="AG177" s="35">
        <f>((D177*P177/diesel_nmpg)*diesel_co2pg-(battery/range_nm)*D177*P177*VLOOKUP(B177,country_opex,4,FALSE))/1000</f>
        <v/>
      </c>
      <c r="AH177" s="33" t="n">
        <v>120000</v>
      </c>
      <c r="AI177" s="34" t="inlineStr">
        <is>
          <t>T2</t>
        </is>
      </c>
      <c r="AJ177" s="34" t="inlineStr">
        <is>
          <t>medium</t>
        </is>
      </c>
      <c r="AK177" s="41" t="n">
        <v>0.1</v>
      </c>
      <c r="AL177" s="36">
        <f>IF(AH177="","",AH177*AK177)</f>
        <v/>
      </c>
      <c r="AM177" s="36">
        <f>IF(OR(AH177="",S177=0),"",MIN(IF(AU177="",9.9E+99,AU177),FLOOR(AL177/S177,1)))</f>
        <v/>
      </c>
      <c r="AN177" s="40">
        <f>IF(AM177="","",AM177*IF(ABS(MOD(ABS((U177)),1)-0.5)&lt;1E-9,2*ROUND((U177)/2,0),ROUND((U177),0)))</f>
        <v/>
      </c>
      <c r="AO177" s="38">
        <f>IF(OR(AH177="",S177=0),"",MIN(IF(AU177="",9.9E+99,AU177),AL177/S177))</f>
        <v/>
      </c>
      <c r="AP177" s="40">
        <f>IF(AO177="","",AO177*IF(B177="South Korea",IF(ABS(MOD(ABS((U177)),1)-0.5)&lt;1E-9,2*ROUND((U177)/2,0),ROUND((U177),0)),U177))</f>
        <v/>
      </c>
      <c r="AQ177" s="42" t="n"/>
      <c r="AR177" s="34" t="inlineStr">
        <is>
          <t>Grounded</t>
        </is>
      </c>
      <c r="AS177" s="43" t="n"/>
      <c r="AT177" s="43" t="n"/>
      <c r="AU177" s="44" t="n"/>
      <c r="AV177" s="45">
        <f>IF(((T177*pax_cap*load_thin*IF(ABS(MOD(ABS((L177*M177*revleg_thin)),1)-0.5)&lt;1E-9,2*ROUND((L177*M177*revleg_thin)/2,0),ROUND((L177*M177*revleg_thin),0)))-(((battery/range_nm)*D177*IF(ABS(MOD(ABS((L177*M177*revleg_thin)),1)-0.5)&lt;1E-9,2*ROUND((L177*M177*revleg_thin)/2,0),ROUND((L177*M177*revleg_thin),0))*VLOOKUP(B177,country_opex,3,FALSE))+W177+X177+Y177+Z177+AA177))&lt;=0,"",VLOOKUP(B177,country_opex,7,FALSE)/((T177*pax_cap*load_thin*IF(ABS(MOD(ABS((L177*M177*revleg_thin)),1)-0.5)&lt;1E-9,2*ROUND((L177*M177*revleg_thin)/2,0),ROUND((L177*M177*revleg_thin),0)))-(((battery/range_nm)*D177*IF(ABS(MOD(ABS((L177*M177*revleg_thin)),1)-0.5)&lt;1E-9,2*ROUND((L177*M177*revleg_thin)/2,0),ROUND((L177*M177*revleg_thin),0))*VLOOKUP(B177,country_opex,3,FALSE))+W177+X177+Y177+Z177+AA177)))</f>
        <v/>
      </c>
      <c r="AW177" s="45">
        <f>IF(((T177*pax_cap*IF(B177="South Korea",korea_mid_load,load_mid)*IF(ABS(MOD(ABS((L177*M177*IF(B177="South Korea",korea_mid_revleg,revleg_mid))),1)-0.5)&lt;1E-9,2*ROUND((L177*M177*IF(B177="South Korea",korea_mid_revleg,revleg_mid))/2,0),ROUND((L177*M177*IF(B177="South Korea",korea_mid_revleg,revleg_mid)),0)))-(((battery/range_nm)*D177*IF(ABS(MOD(ABS((L177*M177*IF(B177="South Korea",korea_mid_revleg,revleg_mid))),1)-0.5)&lt;1E-9,2*ROUND((L177*M177*IF(B177="South Korea",korea_mid_revleg,revleg_mid))/2,0),ROUND((L177*M177*IF(B177="South Korea",korea_mid_revleg,revleg_mid)),0))*VLOOKUP(B177,country_opex,3,FALSE))+W177+X177+Y177+Z177+AA177))&lt;=0,"",VLOOKUP(B177,country_opex,7,FALSE)/((T177*pax_cap*IF(B177="South Korea",korea_mid_load,load_mid)*IF(ABS(MOD(ABS((L177*M177*IF(B177="South Korea",korea_mid_revleg,revleg_mid))),1)-0.5)&lt;1E-9,2*ROUND((L177*M177*IF(B177="South Korea",korea_mid_revleg,revleg_mid))/2,0),ROUND((L177*M177*IF(B177="South Korea",korea_mid_revleg,revleg_mid)),0)))-(((battery/range_nm)*D177*IF(ABS(MOD(ABS((L177*M177*IF(B177="South Korea",korea_mid_revleg,revleg_mid))),1)-0.5)&lt;1E-9,2*ROUND((L177*M177*IF(B177="South Korea",korea_mid_revleg,revleg_mid))/2,0),ROUND((L177*M177*IF(B177="South Korea",korea_mid_revleg,revleg_mid)),0))*VLOOKUP(B177,country_opex,3,FALSE))+W177+X177+Y177+Z177+AA177)))</f>
        <v/>
      </c>
      <c r="AX177" s="45">
        <f>IF(((T177*pax_cap*load_full*IF(ABS(MOD(ABS((L177*M177*revleg_full)),1)-0.5)&lt;1E-9,2*ROUND((L177*M177*revleg_full)/2,0),ROUND((L177*M177*revleg_full),0)))-(((battery/range_nm)*D177*IF(ABS(MOD(ABS((L177*M177*revleg_full)),1)-0.5)&lt;1E-9,2*ROUND((L177*M177*revleg_full)/2,0),ROUND((L177*M177*revleg_full),0))*VLOOKUP(B177,country_opex,3,FALSE))+W177+X177+Y177+Z177+AA177))&lt;=0,"",VLOOKUP(B177,country_opex,7,FALSE)/((T177*pax_cap*load_full*IF(ABS(MOD(ABS((L177*M177*revleg_full)),1)-0.5)&lt;1E-9,2*ROUND((L177*M177*revleg_full)/2,0),ROUND((L177*M177*revleg_full),0)))-(((battery/range_nm)*D177*IF(ABS(MOD(ABS((L177*M177*revleg_full)),1)-0.5)&lt;1E-9,2*ROUND((L177*M177*revleg_full)/2,0),ROUND((L177*M177*revleg_full),0))*VLOOKUP(B177,country_opex,3,FALSE))+W177+X177+Y177+Z177+AA177)))</f>
        <v/>
      </c>
      <c r="AY177" s="46" t="inlineStr">
        <is>
          <t>Atlantis The Palm (1,544 rooms) road-served; premium marine arrival opportunity-to-create. T5/low.</t>
        </is>
      </c>
      <c r="AZ177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177" s="34" t="inlineStr">
        <is>
          <t>rn-b49c885ed913</t>
        </is>
      </c>
    </row>
    <row r="178">
      <c r="A178" s="31" t="inlineStr">
        <is>
          <t>Bolt Uae</t>
        </is>
      </c>
      <c r="B178" s="31" t="inlineStr">
        <is>
          <t>United Arab Emirates</t>
        </is>
      </c>
      <c r="C178" s="32" t="inlineStr">
        <is>
          <t>Dubai Creek Marina → Al Seef Marine Transport Station</t>
        </is>
      </c>
      <c r="D178" s="33" t="n">
        <v>1.5</v>
      </c>
      <c r="E178" s="27" t="n">
        <v>41</v>
      </c>
      <c r="F178" s="34" t="inlineStr">
        <is>
          <t>T1</t>
        </is>
      </c>
      <c r="G178" s="34" t="inlineStr">
        <is>
          <t>high</t>
        </is>
      </c>
      <c r="H178" s="20" t="n">
        <v>1</v>
      </c>
      <c r="I178" s="35">
        <f>60*D178/cruise_kt</f>
        <v/>
      </c>
      <c r="J178" s="35">
        <f>IF(B178="South Korea",D178/korea_charge_range_nm*korea_full_range_charge_min,0)</f>
        <v/>
      </c>
      <c r="K178" s="35">
        <f>IF(B178="South Korea",I178+korea_turn_min+korea_dwell_min+J178,I178+turn_min+dwell_min)</f>
        <v/>
      </c>
      <c r="L178" s="36">
        <f>IF(B178="South Korea",FLOOR(60*korea_service_hr/K178,1),MIN(15,FLOOR(60*service_hr/K178,1)))</f>
        <v/>
      </c>
      <c r="M178" s="36">
        <f>IF(ABS(MOD(ABS((365*mech_uptime*H178)),1)-0.5)&lt;1E-9,2*ROUND((365*mech_uptime*H178)/2,0),ROUND((365*mech_uptime*H178),0))</f>
        <v/>
      </c>
      <c r="N178" s="37">
        <f>mech_uptime</f>
        <v/>
      </c>
      <c r="O178" s="37">
        <f>IF(AND(B178="South Korea",scenario="MID"),korea_mid_revleg,revleg_sel)</f>
        <v/>
      </c>
      <c r="P178" s="36">
        <f>IF(ABS(MOD(ABS((L178*M178*O178)),1)-0.5)&lt;1E-9,2*ROUND((L178*M178*O178)/2,0),ROUND((L178*M178*O178),0))</f>
        <v/>
      </c>
      <c r="Q178" s="37">
        <f>IF(AND(B178="South Korea",scenario="MID"),korea_mid_load,load_sel)</f>
        <v/>
      </c>
      <c r="R178" s="38">
        <f>pax_cap*Q178</f>
        <v/>
      </c>
      <c r="S178" s="36">
        <f>R178*P178</f>
        <v/>
      </c>
      <c r="T178" s="39">
        <f>E178*discount</f>
        <v/>
      </c>
      <c r="U178" s="40">
        <f>T178*S178</f>
        <v/>
      </c>
      <c r="V178" s="40">
        <f>(battery/range_nm)*D178*P178*VLOOKUP(B178,country_opex,3,FALSE)</f>
        <v/>
      </c>
      <c r="W178" s="40">
        <f>VLOOKUP(B178,country_opex,2,FALSE)*crew_factor</f>
        <v/>
      </c>
      <c r="X178" s="40">
        <f>VLOOKUP(B178,country_opex,5,FALSE)</f>
        <v/>
      </c>
      <c r="Y178" s="40">
        <f>maint</f>
        <v/>
      </c>
      <c r="Z178" s="40">
        <f>VLOOKUP(B178,country_opex,7,FALSE)*ins_pct</f>
        <v/>
      </c>
      <c r="AA178" s="40">
        <f>charge_berth</f>
        <v/>
      </c>
      <c r="AB178" s="40">
        <f>V178+W178+X178+Y178+Z178+AA178</f>
        <v/>
      </c>
      <c r="AC178" s="40">
        <f>VLOOKUP(B178,country_opex,7,FALSE)/dep_years</f>
        <v/>
      </c>
      <c r="AD178" s="40">
        <f>U178-AB178</f>
        <v/>
      </c>
      <c r="AE178" s="37">
        <f>IF(U178=0,"",AD178/U178)</f>
        <v/>
      </c>
      <c r="AF178" s="38">
        <f>IF(AD178&lt;=0,"",VLOOKUP(B178,country_opex,7,FALSE)/AD178)</f>
        <v/>
      </c>
      <c r="AG178" s="35">
        <f>((D178*P178/diesel_nmpg)*diesel_co2pg-(battery/range_nm)*D178*P178*VLOOKUP(B178,country_opex,4,FALSE))/1000</f>
        <v/>
      </c>
      <c r="AH178" s="33" t="n">
        <v>120000</v>
      </c>
      <c r="AI178" s="34" t="inlineStr">
        <is>
          <t>T5</t>
        </is>
      </c>
      <c r="AJ178" s="34" t="inlineStr">
        <is>
          <t>low</t>
        </is>
      </c>
      <c r="AK178" s="41" t="n">
        <v>0.1</v>
      </c>
      <c r="AL178" s="36">
        <f>IF(AH178="","",AH178*AK178)</f>
        <v/>
      </c>
      <c r="AM178" s="36">
        <f>IF(OR(AH178="",S178=0),"",MIN(IF(AU178="",9.9E+99,AU178),FLOOR(AL178/S178,1)))</f>
        <v/>
      </c>
      <c r="AN178" s="40">
        <f>IF(AM178="","",AM178*IF(ABS(MOD(ABS((U178)),1)-0.5)&lt;1E-9,2*ROUND((U178)/2,0),ROUND((U178),0)))</f>
        <v/>
      </c>
      <c r="AO178" s="38">
        <f>IF(OR(AH178="",S178=0),"",MIN(IF(AU178="",9.9E+99,AU178),AL178/S178))</f>
        <v/>
      </c>
      <c r="AP178" s="40">
        <f>IF(AO178="","",AO178*IF(B178="South Korea",IF(ABS(MOD(ABS((U178)),1)-0.5)&lt;1E-9,2*ROUND((U178)/2,0),ROUND((U178),0)),U178))</f>
        <v/>
      </c>
      <c r="AQ178" s="42" t="n"/>
      <c r="AR178" s="34" t="inlineStr">
        <is>
          <t>Grounded</t>
        </is>
      </c>
      <c r="AS178" s="43" t="n"/>
      <c r="AT178" s="43" t="n"/>
      <c r="AU178" s="44" t="n"/>
      <c r="AV178" s="45">
        <f>IF(((T178*pax_cap*load_thin*IF(ABS(MOD(ABS((L178*M178*revleg_thin)),1)-0.5)&lt;1E-9,2*ROUND((L178*M178*revleg_thin)/2,0),ROUND((L178*M178*revleg_thin),0)))-(((battery/range_nm)*D178*IF(ABS(MOD(ABS((L178*M178*revleg_thin)),1)-0.5)&lt;1E-9,2*ROUND((L178*M178*revleg_thin)/2,0),ROUND((L178*M178*revleg_thin),0))*VLOOKUP(B178,country_opex,3,FALSE))+W178+X178+Y178+Z178+AA178))&lt;=0,"",VLOOKUP(B178,country_opex,7,FALSE)/((T178*pax_cap*load_thin*IF(ABS(MOD(ABS((L178*M178*revleg_thin)),1)-0.5)&lt;1E-9,2*ROUND((L178*M178*revleg_thin)/2,0),ROUND((L178*M178*revleg_thin),0)))-(((battery/range_nm)*D178*IF(ABS(MOD(ABS((L178*M178*revleg_thin)),1)-0.5)&lt;1E-9,2*ROUND((L178*M178*revleg_thin)/2,0),ROUND((L178*M178*revleg_thin),0))*VLOOKUP(B178,country_opex,3,FALSE))+W178+X178+Y178+Z178+AA178)))</f>
        <v/>
      </c>
      <c r="AW178" s="45">
        <f>IF(((T178*pax_cap*IF(B178="South Korea",korea_mid_load,load_mid)*IF(ABS(MOD(ABS((L178*M178*IF(B178="South Korea",korea_mid_revleg,revleg_mid))),1)-0.5)&lt;1E-9,2*ROUND((L178*M178*IF(B178="South Korea",korea_mid_revleg,revleg_mid))/2,0),ROUND((L178*M178*IF(B178="South Korea",korea_mid_revleg,revleg_mid)),0)))-(((battery/range_nm)*D178*IF(ABS(MOD(ABS((L178*M178*IF(B178="South Korea",korea_mid_revleg,revleg_mid))),1)-0.5)&lt;1E-9,2*ROUND((L178*M178*IF(B178="South Korea",korea_mid_revleg,revleg_mid))/2,0),ROUND((L178*M178*IF(B178="South Korea",korea_mid_revleg,revleg_mid)),0))*VLOOKUP(B178,country_opex,3,FALSE))+W178+X178+Y178+Z178+AA178))&lt;=0,"",VLOOKUP(B178,country_opex,7,FALSE)/((T178*pax_cap*IF(B178="South Korea",korea_mid_load,load_mid)*IF(ABS(MOD(ABS((L178*M178*IF(B178="South Korea",korea_mid_revleg,revleg_mid))),1)-0.5)&lt;1E-9,2*ROUND((L178*M178*IF(B178="South Korea",korea_mid_revleg,revleg_mid))/2,0),ROUND((L178*M178*IF(B178="South Korea",korea_mid_revleg,revleg_mid)),0)))-(((battery/range_nm)*D178*IF(ABS(MOD(ABS((L178*M178*IF(B178="South Korea",korea_mid_revleg,revleg_mid))),1)-0.5)&lt;1E-9,2*ROUND((L178*M178*IF(B178="South Korea",korea_mid_revleg,revleg_mid))/2,0),ROUND((L178*M178*IF(B178="South Korea",korea_mid_revleg,revleg_mid)),0))*VLOOKUP(B178,country_opex,3,FALSE))+W178+X178+Y178+Z178+AA178)))</f>
        <v/>
      </c>
      <c r="AX178" s="45">
        <f>IF(((T178*pax_cap*load_full*IF(ABS(MOD(ABS((L178*M178*revleg_full)),1)-0.5)&lt;1E-9,2*ROUND((L178*M178*revleg_full)/2,0),ROUND((L178*M178*revleg_full),0)))-(((battery/range_nm)*D178*IF(ABS(MOD(ABS((L178*M178*revleg_full)),1)-0.5)&lt;1E-9,2*ROUND((L178*M178*revleg_full)/2,0),ROUND((L178*M178*revleg_full),0))*VLOOKUP(B178,country_opex,3,FALSE))+W178+X178+Y178+Z178+AA178))&lt;=0,"",VLOOKUP(B178,country_opex,7,FALSE)/((T178*pax_cap*load_full*IF(ABS(MOD(ABS((L178*M178*revleg_full)),1)-0.5)&lt;1E-9,2*ROUND((L178*M178*revleg_full)/2,0),ROUND((L178*M178*revleg_full),0)))-(((battery/range_nm)*D178*IF(ABS(MOD(ABS((L178*M178*revleg_full)),1)-0.5)&lt;1E-9,2*ROUND((L178*M178*revleg_full)/2,0),ROUND((L178*M178*revleg_full),0))*VLOOKUP(B178,country_opex,3,FALSE))+W178+X178+Y178+Z178+AA178)))</f>
        <v/>
      </c>
      <c r="AY178" s="46" t="inlineStr">
        <is>
          <t>RTA/Dubai-Ferry official ladder (R-RTA, T1): Water Taxi on-demand single AED 150/pax = $40.8; Dubai Ferry Gold AED 75 = $20.4, Silver AED 50 = $13.6; Water Bus AED 7; Abra AED 1. dubai-ferry.com / rta.ae 2025/26. Creek Marina&lt;-&gt;Al Seef is an operating RTA marine corridor.</t>
        </is>
      </c>
      <c r="AZ178" s="46" t="inlineStr">
        <is>
          <t>18.4M RTA marine is ~all sub-1km abras (R3-ABRA); premium water-taxi/ferry tier is a small fraction.</t>
        </is>
      </c>
      <c r="BA178" s="34" t="inlineStr">
        <is>
          <t>rn-355d8ba3c15a</t>
        </is>
      </c>
    </row>
    <row r="179">
      <c r="A179" s="31" t="inlineStr">
        <is>
          <t>Bolt Uae</t>
        </is>
      </c>
      <c r="B179" s="31" t="inlineStr">
        <is>
          <t>United Arab Emirates</t>
        </is>
      </c>
      <c r="C179" s="32" t="inlineStr">
        <is>
          <t>Yacht Marina → The Westin Dubai Mina Seyahi Beach Resort &amp; Marina</t>
        </is>
      </c>
      <c r="D179" s="33" t="n">
        <v>1.5</v>
      </c>
      <c r="E179" s="27" t="n">
        <v>95</v>
      </c>
      <c r="F179" s="34" t="inlineStr">
        <is>
          <t>T4</t>
        </is>
      </c>
      <c r="G179" s="34" t="inlineStr">
        <is>
          <t>low</t>
        </is>
      </c>
      <c r="H179" s="20" t="n">
        <v>1</v>
      </c>
      <c r="I179" s="35">
        <f>60*D179/cruise_kt</f>
        <v/>
      </c>
      <c r="J179" s="35">
        <f>IF(B179="South Korea",D179/korea_charge_range_nm*korea_full_range_charge_min,0)</f>
        <v/>
      </c>
      <c r="K179" s="35">
        <f>IF(B179="South Korea",I179+korea_turn_min+korea_dwell_min+J179,I179+turn_min+dwell_min)</f>
        <v/>
      </c>
      <c r="L179" s="36">
        <f>IF(B179="South Korea",FLOOR(60*korea_service_hr/K179,1),MIN(15,FLOOR(60*service_hr/K179,1)))</f>
        <v/>
      </c>
      <c r="M179" s="36">
        <f>IF(ABS(MOD(ABS((365*mech_uptime*H179)),1)-0.5)&lt;1E-9,2*ROUND((365*mech_uptime*H179)/2,0),ROUND((365*mech_uptime*H179),0))</f>
        <v/>
      </c>
      <c r="N179" s="37">
        <f>mech_uptime</f>
        <v/>
      </c>
      <c r="O179" s="37">
        <f>IF(AND(B179="South Korea",scenario="MID"),korea_mid_revleg,revleg_sel)</f>
        <v/>
      </c>
      <c r="P179" s="36">
        <f>IF(ABS(MOD(ABS((L179*M179*O179)),1)-0.5)&lt;1E-9,2*ROUND((L179*M179*O179)/2,0),ROUND((L179*M179*O179),0))</f>
        <v/>
      </c>
      <c r="Q179" s="37">
        <f>IF(AND(B179="South Korea",scenario="MID"),korea_mid_load,load_sel)</f>
        <v/>
      </c>
      <c r="R179" s="38">
        <f>pax_cap*Q179</f>
        <v/>
      </c>
      <c r="S179" s="36">
        <f>R179*P179</f>
        <v/>
      </c>
      <c r="T179" s="39">
        <f>E179*discount</f>
        <v/>
      </c>
      <c r="U179" s="40">
        <f>T179*S179</f>
        <v/>
      </c>
      <c r="V179" s="40">
        <f>(battery/range_nm)*D179*P179*VLOOKUP(B179,country_opex,3,FALSE)</f>
        <v/>
      </c>
      <c r="W179" s="40">
        <f>VLOOKUP(B179,country_opex,2,FALSE)*crew_factor</f>
        <v/>
      </c>
      <c r="X179" s="40">
        <f>VLOOKUP(B179,country_opex,5,FALSE)</f>
        <v/>
      </c>
      <c r="Y179" s="40">
        <f>maint</f>
        <v/>
      </c>
      <c r="Z179" s="40">
        <f>VLOOKUP(B179,country_opex,7,FALSE)*ins_pct</f>
        <v/>
      </c>
      <c r="AA179" s="40">
        <f>charge_berth</f>
        <v/>
      </c>
      <c r="AB179" s="40">
        <f>V179+W179+X179+Y179+Z179+AA179</f>
        <v/>
      </c>
      <c r="AC179" s="40">
        <f>VLOOKUP(B179,country_opex,7,FALSE)/dep_years</f>
        <v/>
      </c>
      <c r="AD179" s="40">
        <f>U179-AB179</f>
        <v/>
      </c>
      <c r="AE179" s="37">
        <f>IF(U179=0,"",AD179/U179)</f>
        <v/>
      </c>
      <c r="AF179" s="38">
        <f>IF(AD179&lt;=0,"",VLOOKUP(B179,country_opex,7,FALSE)/AD179)</f>
        <v/>
      </c>
      <c r="AG179" s="35">
        <f>((D179*P179/diesel_nmpg)*diesel_co2pg-(battery/range_nm)*D179*P179*VLOOKUP(B179,country_opex,4,FALSE))/1000</f>
        <v/>
      </c>
      <c r="AH179" s="33" t="n">
        <v>25000</v>
      </c>
      <c r="AI179" s="34" t="inlineStr">
        <is>
          <t>T3</t>
        </is>
      </c>
      <c r="AJ179" s="34" t="inlineStr">
        <is>
          <t>low</t>
        </is>
      </c>
      <c r="AK179" s="41" t="n">
        <v>0.1</v>
      </c>
      <c r="AL179" s="36">
        <f>IF(AH179="","",AH179*AK179)</f>
        <v/>
      </c>
      <c r="AM179" s="36">
        <f>IF(OR(AH179="",S179=0),"",MIN(IF(AU179="",9.9E+99,AU179),FLOOR(AL179/S179,1)))</f>
        <v/>
      </c>
      <c r="AN179" s="40">
        <f>IF(AM179="","",AM179*IF(ABS(MOD(ABS((U179)),1)-0.5)&lt;1E-9,2*ROUND((U179)/2,0),ROUND((U179),0)))</f>
        <v/>
      </c>
      <c r="AO179" s="38">
        <f>IF(OR(AH179="",S179=0),"",MIN(IF(AU179="",9.9E+99,AU179),AL179/S179))</f>
        <v/>
      </c>
      <c r="AP179" s="40">
        <f>IF(AO179="","",AO179*IF(B179="South Korea",IF(ABS(MOD(ABS((U179)),1)-0.5)&lt;1E-9,2*ROUND((U179)/2,0),ROUND((U179),0)),U179))</f>
        <v/>
      </c>
      <c r="AQ179" s="42" t="n"/>
      <c r="AR179" s="34" t="inlineStr">
        <is>
          <t>Estimated</t>
        </is>
      </c>
      <c r="AS179" s="43" t="n"/>
      <c r="AT179" s="43" t="n"/>
      <c r="AU179" s="44" t="n"/>
      <c r="AV179" s="45">
        <f>IF(((T179*pax_cap*load_thin*IF(ABS(MOD(ABS((L179*M179*revleg_thin)),1)-0.5)&lt;1E-9,2*ROUND((L179*M179*revleg_thin)/2,0),ROUND((L179*M179*revleg_thin),0)))-(((battery/range_nm)*D179*IF(ABS(MOD(ABS((L179*M179*revleg_thin)),1)-0.5)&lt;1E-9,2*ROUND((L179*M179*revleg_thin)/2,0),ROUND((L179*M179*revleg_thin),0))*VLOOKUP(B179,country_opex,3,FALSE))+W179+X179+Y179+Z179+AA179))&lt;=0,"",VLOOKUP(B179,country_opex,7,FALSE)/((T179*pax_cap*load_thin*IF(ABS(MOD(ABS((L179*M179*revleg_thin)),1)-0.5)&lt;1E-9,2*ROUND((L179*M179*revleg_thin)/2,0),ROUND((L179*M179*revleg_thin),0)))-(((battery/range_nm)*D179*IF(ABS(MOD(ABS((L179*M179*revleg_thin)),1)-0.5)&lt;1E-9,2*ROUND((L179*M179*revleg_thin)/2,0),ROUND((L179*M179*revleg_thin),0))*VLOOKUP(B179,country_opex,3,FALSE))+W179+X179+Y179+Z179+AA179)))</f>
        <v/>
      </c>
      <c r="AW179" s="45">
        <f>IF(((T179*pax_cap*IF(B179="South Korea",korea_mid_load,load_mid)*IF(ABS(MOD(ABS((L179*M179*IF(B179="South Korea",korea_mid_revleg,revleg_mid))),1)-0.5)&lt;1E-9,2*ROUND((L179*M179*IF(B179="South Korea",korea_mid_revleg,revleg_mid))/2,0),ROUND((L179*M179*IF(B179="South Korea",korea_mid_revleg,revleg_mid)),0)))-(((battery/range_nm)*D179*IF(ABS(MOD(ABS((L179*M179*IF(B179="South Korea",korea_mid_revleg,revleg_mid))),1)-0.5)&lt;1E-9,2*ROUND((L179*M179*IF(B179="South Korea",korea_mid_revleg,revleg_mid))/2,0),ROUND((L179*M179*IF(B179="South Korea",korea_mid_revleg,revleg_mid)),0))*VLOOKUP(B179,country_opex,3,FALSE))+W179+X179+Y179+Z179+AA179))&lt;=0,"",VLOOKUP(B179,country_opex,7,FALSE)/((T179*pax_cap*IF(B179="South Korea",korea_mid_load,load_mid)*IF(ABS(MOD(ABS((L179*M179*IF(B179="South Korea",korea_mid_revleg,revleg_mid))),1)-0.5)&lt;1E-9,2*ROUND((L179*M179*IF(B179="South Korea",korea_mid_revleg,revleg_mid))/2,0),ROUND((L179*M179*IF(B179="South Korea",korea_mid_revleg,revleg_mid)),0)))-(((battery/range_nm)*D179*IF(ABS(MOD(ABS((L179*M179*IF(B179="South Korea",korea_mid_revleg,revleg_mid))),1)-0.5)&lt;1E-9,2*ROUND((L179*M179*IF(B179="South Korea",korea_mid_revleg,revleg_mid))/2,0),ROUND((L179*M179*IF(B179="South Korea",korea_mid_revleg,revleg_mid)),0))*VLOOKUP(B179,country_opex,3,FALSE))+W179+X179+Y179+Z179+AA179)))</f>
        <v/>
      </c>
      <c r="AX179" s="45">
        <f>IF(((T179*pax_cap*load_full*IF(ABS(MOD(ABS((L179*M179*revleg_full)),1)-0.5)&lt;1E-9,2*ROUND((L179*M179*revleg_full)/2,0),ROUND((L179*M179*revleg_full),0)))-(((battery/range_nm)*D179*IF(ABS(MOD(ABS((L179*M179*revleg_full)),1)-0.5)&lt;1E-9,2*ROUND((L179*M179*revleg_full)/2,0),ROUND((L179*M179*revleg_full),0))*VLOOKUP(B179,country_opex,3,FALSE))+W179+X179+Y179+Z179+AA179))&lt;=0,"",VLOOKUP(B179,country_opex,7,FALSE)/((T179*pax_cap*load_full*IF(ABS(MOD(ABS((L179*M179*revleg_full)),1)-0.5)&lt;1E-9,2*ROUND((L179*M179*revleg_full)/2,0),ROUND((L179*M179*revleg_full),0)))-(((battery/range_nm)*D179*IF(ABS(MOD(ABS((L179*M179*revleg_full)),1)-0.5)&lt;1E-9,2*ROUND((L179*M179*revleg_full)/2,0),ROUND((L179*M179*revleg_full),0))*VLOOKUP(B179,country_opex,3,FALSE))+W179+X179+Y179+Z179+AA179)))</f>
        <v/>
      </c>
      <c r="AY179" s="46" t="inlineStr">
        <is>
          <t>RTA/Dubai-Ferry official ladder (R-RTA, T1): Water Taxi on-demand single AED 150/pax = $40.8; Dubai Ferry Gold AED 75 = $20.4, Silver AED 50 = $13.6; Water Bus AED 7; Abra AED 1. dubai-ferry.com / rta.ae 2025/26. Dubai Marina (Mina Seyahi) premium resort hop.</t>
        </is>
      </c>
      <c r="AZ179" s="46" t="inlineStr">
        <is>
          <t>UAE-DEMAND-ANCHORS-2026-06-17.json — tier-based addressable pool derived from sourcing wave anchors (hotel keys × occ × shuttle adoption, marina activity, RTA marine baseline).</t>
        </is>
      </c>
      <c r="BA179" s="34" t="inlineStr">
        <is>
          <t>rn-1347ee2ca13f</t>
        </is>
      </c>
    </row>
    <row r="180">
      <c r="A180" s="31" t="inlineStr">
        <is>
          <t>Bolt Uae</t>
        </is>
      </c>
      <c r="B180" s="31" t="inlineStr">
        <is>
          <t>United Arab Emirates</t>
        </is>
      </c>
      <c r="C180" s="32" t="inlineStr">
        <is>
          <t>Marina Mall / Breakwater Marina → Lulu Island Jetty</t>
        </is>
      </c>
      <c r="D180" s="33" t="n">
        <v>1.7</v>
      </c>
      <c r="E180" s="27" t="n">
        <v>45</v>
      </c>
      <c r="F180" s="34" t="inlineStr">
        <is>
          <t>T4</t>
        </is>
      </c>
      <c r="G180" s="34" t="inlineStr">
        <is>
          <t>low</t>
        </is>
      </c>
      <c r="H180" s="20" t="n">
        <v>1</v>
      </c>
      <c r="I180" s="35">
        <f>60*D180/cruise_kt</f>
        <v/>
      </c>
      <c r="J180" s="35">
        <f>IF(B180="South Korea",D180/korea_charge_range_nm*korea_full_range_charge_min,0)</f>
        <v/>
      </c>
      <c r="K180" s="35">
        <f>IF(B180="South Korea",I180+korea_turn_min+korea_dwell_min+J180,I180+turn_min+dwell_min)</f>
        <v/>
      </c>
      <c r="L180" s="36">
        <f>IF(B180="South Korea",FLOOR(60*korea_service_hr/K180,1),MIN(15,FLOOR(60*service_hr/K180,1)))</f>
        <v/>
      </c>
      <c r="M180" s="36">
        <f>IF(ABS(MOD(ABS((365*mech_uptime*H180)),1)-0.5)&lt;1E-9,2*ROUND((365*mech_uptime*H180)/2,0),ROUND((365*mech_uptime*H180),0))</f>
        <v/>
      </c>
      <c r="N180" s="37">
        <f>mech_uptime</f>
        <v/>
      </c>
      <c r="O180" s="37">
        <f>IF(AND(B180="South Korea",scenario="MID"),korea_mid_revleg,revleg_sel)</f>
        <v/>
      </c>
      <c r="P180" s="36">
        <f>IF(ABS(MOD(ABS((L180*M180*O180)),1)-0.5)&lt;1E-9,2*ROUND((L180*M180*O180)/2,0),ROUND((L180*M180*O180),0))</f>
        <v/>
      </c>
      <c r="Q180" s="37">
        <f>IF(AND(B180="South Korea",scenario="MID"),korea_mid_load,load_sel)</f>
        <v/>
      </c>
      <c r="R180" s="38">
        <f>pax_cap*Q180</f>
        <v/>
      </c>
      <c r="S180" s="36">
        <f>R180*P180</f>
        <v/>
      </c>
      <c r="T180" s="39">
        <f>E180*discount</f>
        <v/>
      </c>
      <c r="U180" s="40">
        <f>T180*S180</f>
        <v/>
      </c>
      <c r="V180" s="40">
        <f>(battery/range_nm)*D180*P180*VLOOKUP(B180,country_opex,3,FALSE)</f>
        <v/>
      </c>
      <c r="W180" s="40">
        <f>VLOOKUP(B180,country_opex,2,FALSE)*crew_factor</f>
        <v/>
      </c>
      <c r="X180" s="40">
        <f>VLOOKUP(B180,country_opex,5,FALSE)</f>
        <v/>
      </c>
      <c r="Y180" s="40">
        <f>maint</f>
        <v/>
      </c>
      <c r="Z180" s="40">
        <f>VLOOKUP(B180,country_opex,7,FALSE)*ins_pct</f>
        <v/>
      </c>
      <c r="AA180" s="40">
        <f>charge_berth</f>
        <v/>
      </c>
      <c r="AB180" s="40">
        <f>V180+W180+X180+Y180+Z180+AA180</f>
        <v/>
      </c>
      <c r="AC180" s="40">
        <f>VLOOKUP(B180,country_opex,7,FALSE)/dep_years</f>
        <v/>
      </c>
      <c r="AD180" s="40">
        <f>U180-AB180</f>
        <v/>
      </c>
      <c r="AE180" s="37">
        <f>IF(U180=0,"",AD180/U180)</f>
        <v/>
      </c>
      <c r="AF180" s="38">
        <f>IF(AD180&lt;=0,"",VLOOKUP(B180,country_opex,7,FALSE)/AD180)</f>
        <v/>
      </c>
      <c r="AG180" s="35">
        <f>((D180*P180/diesel_nmpg)*diesel_co2pg-(battery/range_nm)*D180*P180*VLOOKUP(B180,country_opex,4,FALSE))/1000</f>
        <v/>
      </c>
      <c r="AH180" s="33" t="n">
        <v>20000</v>
      </c>
      <c r="AI180" s="34" t="inlineStr">
        <is>
          <t>T5</t>
        </is>
      </c>
      <c r="AJ180" s="34" t="inlineStr">
        <is>
          <t>low</t>
        </is>
      </c>
      <c r="AK180" s="41" t="n">
        <v>0.1</v>
      </c>
      <c r="AL180" s="36">
        <f>IF(AH180="","",AH180*AK180)</f>
        <v/>
      </c>
      <c r="AM180" s="36">
        <f>IF(OR(AH180="",S180=0),"",MIN(IF(AU180="",9.9E+99,AU180),FLOOR(AL180/S180,1)))</f>
        <v/>
      </c>
      <c r="AN180" s="40">
        <f>IF(AM180="","",AM180*IF(ABS(MOD(ABS((U180)),1)-0.5)&lt;1E-9,2*ROUND((U180)/2,0),ROUND((U180),0)))</f>
        <v/>
      </c>
      <c r="AO180" s="38">
        <f>IF(OR(AH180="",S180=0),"",MIN(IF(AU180="",9.9E+99,AU180),AL180/S180))</f>
        <v/>
      </c>
      <c r="AP180" s="40">
        <f>IF(AO180="","",AO180*IF(B180="South Korea",IF(ABS(MOD(ABS((U180)),1)-0.5)&lt;1E-9,2*ROUND((U180)/2,0),ROUND((U180),0)),U180))</f>
        <v/>
      </c>
      <c r="AQ180" s="42" t="n"/>
      <c r="AR180" s="34" t="inlineStr">
        <is>
          <t>Estimated</t>
        </is>
      </c>
      <c r="AS180" s="43" t="n"/>
      <c r="AT180" s="43" t="n"/>
      <c r="AU180" s="44" t="n"/>
      <c r="AV180" s="45">
        <f>IF(((T180*pax_cap*load_thin*IF(ABS(MOD(ABS((L180*M180*revleg_thin)),1)-0.5)&lt;1E-9,2*ROUND((L180*M180*revleg_thin)/2,0),ROUND((L180*M180*revleg_thin),0)))-(((battery/range_nm)*D180*IF(ABS(MOD(ABS((L180*M180*revleg_thin)),1)-0.5)&lt;1E-9,2*ROUND((L180*M180*revleg_thin)/2,0),ROUND((L180*M180*revleg_thin),0))*VLOOKUP(B180,country_opex,3,FALSE))+W180+X180+Y180+Z180+AA180))&lt;=0,"",VLOOKUP(B180,country_opex,7,FALSE)/((T180*pax_cap*load_thin*IF(ABS(MOD(ABS((L180*M180*revleg_thin)),1)-0.5)&lt;1E-9,2*ROUND((L180*M180*revleg_thin)/2,0),ROUND((L180*M180*revleg_thin),0)))-(((battery/range_nm)*D180*IF(ABS(MOD(ABS((L180*M180*revleg_thin)),1)-0.5)&lt;1E-9,2*ROUND((L180*M180*revleg_thin)/2,0),ROUND((L180*M180*revleg_thin),0))*VLOOKUP(B180,country_opex,3,FALSE))+W180+X180+Y180+Z180+AA180)))</f>
        <v/>
      </c>
      <c r="AW180" s="45">
        <f>IF(((T180*pax_cap*IF(B180="South Korea",korea_mid_load,load_mid)*IF(ABS(MOD(ABS((L180*M180*IF(B180="South Korea",korea_mid_revleg,revleg_mid))),1)-0.5)&lt;1E-9,2*ROUND((L180*M180*IF(B180="South Korea",korea_mid_revleg,revleg_mid))/2,0),ROUND((L180*M180*IF(B180="South Korea",korea_mid_revleg,revleg_mid)),0)))-(((battery/range_nm)*D180*IF(ABS(MOD(ABS((L180*M180*IF(B180="South Korea",korea_mid_revleg,revleg_mid))),1)-0.5)&lt;1E-9,2*ROUND((L180*M180*IF(B180="South Korea",korea_mid_revleg,revleg_mid))/2,0),ROUND((L180*M180*IF(B180="South Korea",korea_mid_revleg,revleg_mid)),0))*VLOOKUP(B180,country_opex,3,FALSE))+W180+X180+Y180+Z180+AA180))&lt;=0,"",VLOOKUP(B180,country_opex,7,FALSE)/((T180*pax_cap*IF(B180="South Korea",korea_mid_load,load_mid)*IF(ABS(MOD(ABS((L180*M180*IF(B180="South Korea",korea_mid_revleg,revleg_mid))),1)-0.5)&lt;1E-9,2*ROUND((L180*M180*IF(B180="South Korea",korea_mid_revleg,revleg_mid))/2,0),ROUND((L180*M180*IF(B180="South Korea",korea_mid_revleg,revleg_mid)),0)))-(((battery/range_nm)*D180*IF(ABS(MOD(ABS((L180*M180*IF(B180="South Korea",korea_mid_revleg,revleg_mid))),1)-0.5)&lt;1E-9,2*ROUND((L180*M180*IF(B180="South Korea",korea_mid_revleg,revleg_mid))/2,0),ROUND((L180*M180*IF(B180="South Korea",korea_mid_revleg,revleg_mid)),0))*VLOOKUP(B180,country_opex,3,FALSE))+W180+X180+Y180+Z180+AA180)))</f>
        <v/>
      </c>
      <c r="AX180" s="45">
        <f>IF(((T180*pax_cap*load_full*IF(ABS(MOD(ABS((L180*M180*revleg_full)),1)-0.5)&lt;1E-9,2*ROUND((L180*M180*revleg_full)/2,0),ROUND((L180*M180*revleg_full),0)))-(((battery/range_nm)*D180*IF(ABS(MOD(ABS((L180*M180*revleg_full)),1)-0.5)&lt;1E-9,2*ROUND((L180*M180*revleg_full)/2,0),ROUND((L180*M180*revleg_full),0))*VLOOKUP(B180,country_opex,3,FALSE))+W180+X180+Y180+Z180+AA180))&lt;=0,"",VLOOKUP(B180,country_opex,7,FALSE)/((T180*pax_cap*load_full*IF(ABS(MOD(ABS((L180*M180*revleg_full)),1)-0.5)&lt;1E-9,2*ROUND((L180*M180*revleg_full)/2,0),ROUND((L180*M180*revleg_full),0)))-(((battery/range_nm)*D180*IF(ABS(MOD(ABS((L180*M180*revleg_full)),1)-0.5)&lt;1E-9,2*ROUND((L180*M180*revleg_full)/2,0),ROUND((L180*M180*revleg_full),0))*VLOOKUP(B180,country_opex,3,FALSE))+W180+X180+Y180+Z180+AA180)))</f>
        <v/>
      </c>
      <c r="AY180" s="46" t="inlineStr">
        <is>
          <t>RTA/Dubai-Ferry official ladder (R-RTA, T1): Water Taxi on-demand single AED 150/pax = $40.8; Dubai Ferry Gold AED 75 = $20.4, Silver AED 50 = $13.6; Water Bus AED 7; Abra AED 1. dubai-ferry.com / rta.ae 2025/26. Lulu Island - boat-only undeveloped island fronting the Corniche.</t>
        </is>
      </c>
      <c r="AZ180" s="46" t="inlineStr">
        <is>
          <t>Lulu boat-only (R3-EXCEPTION) but undeveloped/limited-access -&gt; small day-visit pool.</t>
        </is>
      </c>
      <c r="BA180" s="34" t="inlineStr">
        <is>
          <t>rn-4d0113ef1fd5</t>
        </is>
      </c>
    </row>
    <row r="181">
      <c r="A181" s="31" t="inlineStr">
        <is>
          <t>Bolt Uae</t>
        </is>
      </c>
      <c r="B181" s="31" t="inlineStr">
        <is>
          <t>United Arab Emirates</t>
        </is>
      </c>
      <c r="C181" s="32" t="inlineStr">
        <is>
          <t>Dubai Harbour Marina → Palm Jumeirah Marina West</t>
        </is>
      </c>
      <c r="D181" s="33" t="n">
        <v>2.1</v>
      </c>
      <c r="E181" s="27" t="n">
        <v>48</v>
      </c>
      <c r="F181" s="34" t="inlineStr">
        <is>
          <t>T1</t>
        </is>
      </c>
      <c r="G181" s="34" t="inlineStr">
        <is>
          <t>high</t>
        </is>
      </c>
      <c r="H181" s="20" t="n">
        <v>1</v>
      </c>
      <c r="I181" s="35">
        <f>60*D181/cruise_kt</f>
        <v/>
      </c>
      <c r="J181" s="35">
        <f>IF(B181="South Korea",D181/korea_charge_range_nm*korea_full_range_charge_min,0)</f>
        <v/>
      </c>
      <c r="K181" s="35">
        <f>IF(B181="South Korea",I181+korea_turn_min+korea_dwell_min+J181,I181+turn_min+dwell_min)</f>
        <v/>
      </c>
      <c r="L181" s="36">
        <f>IF(B181="South Korea",FLOOR(60*korea_service_hr/K181,1),MIN(15,FLOOR(60*service_hr/K181,1)))</f>
        <v/>
      </c>
      <c r="M181" s="36">
        <f>IF(ABS(MOD(ABS((365*mech_uptime*H181)),1)-0.5)&lt;1E-9,2*ROUND((365*mech_uptime*H181)/2,0),ROUND((365*mech_uptime*H181),0))</f>
        <v/>
      </c>
      <c r="N181" s="37">
        <f>mech_uptime</f>
        <v/>
      </c>
      <c r="O181" s="37">
        <f>IF(AND(B181="South Korea",scenario="MID"),korea_mid_revleg,revleg_sel)</f>
        <v/>
      </c>
      <c r="P181" s="36">
        <f>IF(ABS(MOD(ABS((L181*M181*O181)),1)-0.5)&lt;1E-9,2*ROUND((L181*M181*O181)/2,0),ROUND((L181*M181*O181),0))</f>
        <v/>
      </c>
      <c r="Q181" s="37">
        <f>IF(AND(B181="South Korea",scenario="MID"),korea_mid_load,load_sel)</f>
        <v/>
      </c>
      <c r="R181" s="38">
        <f>pax_cap*Q181</f>
        <v/>
      </c>
      <c r="S181" s="36">
        <f>R181*P181</f>
        <v/>
      </c>
      <c r="T181" s="39">
        <f>E181*discount</f>
        <v/>
      </c>
      <c r="U181" s="40">
        <f>T181*S181</f>
        <v/>
      </c>
      <c r="V181" s="40">
        <f>(battery/range_nm)*D181*P181*VLOOKUP(B181,country_opex,3,FALSE)</f>
        <v/>
      </c>
      <c r="W181" s="40">
        <f>VLOOKUP(B181,country_opex,2,FALSE)*crew_factor</f>
        <v/>
      </c>
      <c r="X181" s="40">
        <f>VLOOKUP(B181,country_opex,5,FALSE)</f>
        <v/>
      </c>
      <c r="Y181" s="40">
        <f>maint</f>
        <v/>
      </c>
      <c r="Z181" s="40">
        <f>VLOOKUP(B181,country_opex,7,FALSE)*ins_pct</f>
        <v/>
      </c>
      <c r="AA181" s="40">
        <f>charge_berth</f>
        <v/>
      </c>
      <c r="AB181" s="40">
        <f>V181+W181+X181+Y181+Z181+AA181</f>
        <v/>
      </c>
      <c r="AC181" s="40">
        <f>VLOOKUP(B181,country_opex,7,FALSE)/dep_years</f>
        <v/>
      </c>
      <c r="AD181" s="40">
        <f>U181-AB181</f>
        <v/>
      </c>
      <c r="AE181" s="37">
        <f>IF(U181=0,"",AD181/U181)</f>
        <v/>
      </c>
      <c r="AF181" s="38">
        <f>IF(AD181&lt;=0,"",VLOOKUP(B181,country_opex,7,FALSE)/AD181)</f>
        <v/>
      </c>
      <c r="AG181" s="35">
        <f>((D181*P181/diesel_nmpg)*diesel_co2pg-(battery/range_nm)*D181*P181*VLOOKUP(B181,country_opex,4,FALSE))/1000</f>
        <v/>
      </c>
      <c r="AH181" s="33" t="n">
        <v>35000</v>
      </c>
      <c r="AI181" s="34" t="inlineStr">
        <is>
          <t>T3</t>
        </is>
      </c>
      <c r="AJ181" s="34" t="inlineStr">
        <is>
          <t>low</t>
        </is>
      </c>
      <c r="AK181" s="41" t="n">
        <v>0.1</v>
      </c>
      <c r="AL181" s="36">
        <f>IF(AH181="","",AH181*AK181)</f>
        <v/>
      </c>
      <c r="AM181" s="36">
        <f>IF(OR(AH181="",S181=0),"",MIN(IF(AU181="",9.9E+99,AU181),FLOOR(AL181/S181,1)))</f>
        <v/>
      </c>
      <c r="AN181" s="40">
        <f>IF(AM181="","",AM181*IF(ABS(MOD(ABS((U181)),1)-0.5)&lt;1E-9,2*ROUND((U181)/2,0),ROUND((U181),0)))</f>
        <v/>
      </c>
      <c r="AO181" s="38">
        <f>IF(OR(AH181="",S181=0),"",MIN(IF(AU181="",9.9E+99,AU181),AL181/S181))</f>
        <v/>
      </c>
      <c r="AP181" s="40">
        <f>IF(AO181="","",AO181*IF(B181="South Korea",IF(ABS(MOD(ABS((U181)),1)-0.5)&lt;1E-9,2*ROUND((U181)/2,0),ROUND((U181),0)),U181))</f>
        <v/>
      </c>
      <c r="AQ181" s="42" t="n"/>
      <c r="AR181" s="34" t="inlineStr">
        <is>
          <t>Estimated</t>
        </is>
      </c>
      <c r="AS181" s="43" t="n"/>
      <c r="AT181" s="43" t="n"/>
      <c r="AU181" s="44" t="n"/>
      <c r="AV181" s="45">
        <f>IF(((T181*pax_cap*load_thin*IF(ABS(MOD(ABS((L181*M181*revleg_thin)),1)-0.5)&lt;1E-9,2*ROUND((L181*M181*revleg_thin)/2,0),ROUND((L181*M181*revleg_thin),0)))-(((battery/range_nm)*D181*IF(ABS(MOD(ABS((L181*M181*revleg_thin)),1)-0.5)&lt;1E-9,2*ROUND((L181*M181*revleg_thin)/2,0),ROUND((L181*M181*revleg_thin),0))*VLOOKUP(B181,country_opex,3,FALSE))+W181+X181+Y181+Z181+AA181))&lt;=0,"",VLOOKUP(B181,country_opex,7,FALSE)/((T181*pax_cap*load_thin*IF(ABS(MOD(ABS((L181*M181*revleg_thin)),1)-0.5)&lt;1E-9,2*ROUND((L181*M181*revleg_thin)/2,0),ROUND((L181*M181*revleg_thin),0)))-(((battery/range_nm)*D181*IF(ABS(MOD(ABS((L181*M181*revleg_thin)),1)-0.5)&lt;1E-9,2*ROUND((L181*M181*revleg_thin)/2,0),ROUND((L181*M181*revleg_thin),0))*VLOOKUP(B181,country_opex,3,FALSE))+W181+X181+Y181+Z181+AA181)))</f>
        <v/>
      </c>
      <c r="AW181" s="45">
        <f>IF(((T181*pax_cap*IF(B181="South Korea",korea_mid_load,load_mid)*IF(ABS(MOD(ABS((L181*M181*IF(B181="South Korea",korea_mid_revleg,revleg_mid))),1)-0.5)&lt;1E-9,2*ROUND((L181*M181*IF(B181="South Korea",korea_mid_revleg,revleg_mid))/2,0),ROUND((L181*M181*IF(B181="South Korea",korea_mid_revleg,revleg_mid)),0)))-(((battery/range_nm)*D181*IF(ABS(MOD(ABS((L181*M181*IF(B181="South Korea",korea_mid_revleg,revleg_mid))),1)-0.5)&lt;1E-9,2*ROUND((L181*M181*IF(B181="South Korea",korea_mid_revleg,revleg_mid))/2,0),ROUND((L181*M181*IF(B181="South Korea",korea_mid_revleg,revleg_mid)),0))*VLOOKUP(B181,country_opex,3,FALSE))+W181+X181+Y181+Z181+AA181))&lt;=0,"",VLOOKUP(B181,country_opex,7,FALSE)/((T181*pax_cap*IF(B181="South Korea",korea_mid_load,load_mid)*IF(ABS(MOD(ABS((L181*M181*IF(B181="South Korea",korea_mid_revleg,revleg_mid))),1)-0.5)&lt;1E-9,2*ROUND((L181*M181*IF(B181="South Korea",korea_mid_revleg,revleg_mid))/2,0),ROUND((L181*M181*IF(B181="South Korea",korea_mid_revleg,revleg_mid)),0)))-(((battery/range_nm)*D181*IF(ABS(MOD(ABS((L181*M181*IF(B181="South Korea",korea_mid_revleg,revleg_mid))),1)-0.5)&lt;1E-9,2*ROUND((L181*M181*IF(B181="South Korea",korea_mid_revleg,revleg_mid))/2,0),ROUND((L181*M181*IF(B181="South Korea",korea_mid_revleg,revleg_mid)),0))*VLOOKUP(B181,country_opex,3,FALSE))+W181+X181+Y181+Z181+AA181)))</f>
        <v/>
      </c>
      <c r="AX181" s="45">
        <f>IF(((T181*pax_cap*load_full*IF(ABS(MOD(ABS((L181*M181*revleg_full)),1)-0.5)&lt;1E-9,2*ROUND((L181*M181*revleg_full)/2,0),ROUND((L181*M181*revleg_full),0)))-(((battery/range_nm)*D181*IF(ABS(MOD(ABS((L181*M181*revleg_full)),1)-0.5)&lt;1E-9,2*ROUND((L181*M181*revleg_full)/2,0),ROUND((L181*M181*revleg_full),0))*VLOOKUP(B181,country_opex,3,FALSE))+W181+X181+Y181+Z181+AA181))&lt;=0,"",VLOOKUP(B181,country_opex,7,FALSE)/((T181*pax_cap*load_full*IF(ABS(MOD(ABS((L181*M181*revleg_full)),1)-0.5)&lt;1E-9,2*ROUND((L181*M181*revleg_full)/2,0),ROUND((L181*M181*revleg_full),0)))-(((battery/range_nm)*D181*IF(ABS(MOD(ABS((L181*M181*revleg_full)),1)-0.5)&lt;1E-9,2*ROUND((L181*M181*revleg_full)/2,0),ROUND((L181*M181*revleg_full),0))*VLOOKUP(B181,country_opex,3,FALSE))+W181+X181+Y181+Z181+AA181)))</f>
        <v/>
      </c>
      <c r="AY181" s="46" t="inlineStr">
        <is>
          <t>RTA/Dubai-Ferry official ladder (R-RTA, T1): Water Taxi on-demand single AED 150/pax = $40.8; Dubai Ferry Gold AED 75 = $20.4, Silver AED 50 = $13.6; Water Bus AED 7; Abra AED 1. dubai-ferry.com / rta.ae 2025/26. Palm Jumeirah served by RTA Water Taxi + Dubai Ferry.</t>
        </is>
      </c>
      <c r="AZ181" s="46" t="inlineStr">
        <is>
          <t>UAE-DEMAND-ANCHORS-2026-06-17.json — tier-based addressable pool derived from sourcing wave anchors (hotel keys × occ × shuttle adoption, marina activity, RTA marine baseline).</t>
        </is>
      </c>
      <c r="BA181" s="34" t="inlineStr">
        <is>
          <t>rn-42aa1791bb60</t>
        </is>
      </c>
    </row>
    <row r="182">
      <c r="A182" s="31" t="inlineStr">
        <is>
          <t>Bolt Uae</t>
        </is>
      </c>
      <c r="B182" s="31" t="inlineStr">
        <is>
          <t>United Arab Emirates</t>
        </is>
      </c>
      <c r="C182" s="32" t="inlineStr">
        <is>
          <t>Al Bateen Marina → Emirates Palace Marina</t>
        </is>
      </c>
      <c r="D182" s="33" t="n">
        <v>2.2</v>
      </c>
      <c r="E182" s="27" t="n">
        <v>150</v>
      </c>
      <c r="F182" s="34" t="inlineStr">
        <is>
          <t>T5</t>
        </is>
      </c>
      <c r="G182" s="34" t="inlineStr">
        <is>
          <t>low</t>
        </is>
      </c>
      <c r="H182" s="20" t="n">
        <v>1</v>
      </c>
      <c r="I182" s="35">
        <f>60*D182/cruise_kt</f>
        <v/>
      </c>
      <c r="J182" s="35">
        <f>IF(B182="South Korea",D182/korea_charge_range_nm*korea_full_range_charge_min,0)</f>
        <v/>
      </c>
      <c r="K182" s="35">
        <f>IF(B182="South Korea",I182+korea_turn_min+korea_dwell_min+J182,I182+turn_min+dwell_min)</f>
        <v/>
      </c>
      <c r="L182" s="36">
        <f>IF(B182="South Korea",FLOOR(60*korea_service_hr/K182,1),MIN(15,FLOOR(60*service_hr/K182,1)))</f>
        <v/>
      </c>
      <c r="M182" s="36">
        <f>IF(ABS(MOD(ABS((365*mech_uptime*H182)),1)-0.5)&lt;1E-9,2*ROUND((365*mech_uptime*H182)/2,0),ROUND((365*mech_uptime*H182),0))</f>
        <v/>
      </c>
      <c r="N182" s="37">
        <f>mech_uptime</f>
        <v/>
      </c>
      <c r="O182" s="37">
        <f>IF(AND(B182="South Korea",scenario="MID"),korea_mid_revleg,revleg_sel)</f>
        <v/>
      </c>
      <c r="P182" s="36">
        <f>IF(ABS(MOD(ABS((L182*M182*O182)),1)-0.5)&lt;1E-9,2*ROUND((L182*M182*O182)/2,0),ROUND((L182*M182*O182),0))</f>
        <v/>
      </c>
      <c r="Q182" s="37">
        <f>IF(AND(B182="South Korea",scenario="MID"),korea_mid_load,load_sel)</f>
        <v/>
      </c>
      <c r="R182" s="38">
        <f>pax_cap*Q182</f>
        <v/>
      </c>
      <c r="S182" s="36">
        <f>R182*P182</f>
        <v/>
      </c>
      <c r="T182" s="39">
        <f>E182*discount</f>
        <v/>
      </c>
      <c r="U182" s="40">
        <f>T182*S182</f>
        <v/>
      </c>
      <c r="V182" s="40">
        <f>(battery/range_nm)*D182*P182*VLOOKUP(B182,country_opex,3,FALSE)</f>
        <v/>
      </c>
      <c r="W182" s="40">
        <f>VLOOKUP(B182,country_opex,2,FALSE)*crew_factor</f>
        <v/>
      </c>
      <c r="X182" s="40">
        <f>VLOOKUP(B182,country_opex,5,FALSE)</f>
        <v/>
      </c>
      <c r="Y182" s="40">
        <f>maint</f>
        <v/>
      </c>
      <c r="Z182" s="40">
        <f>VLOOKUP(B182,country_opex,7,FALSE)*ins_pct</f>
        <v/>
      </c>
      <c r="AA182" s="40">
        <f>charge_berth</f>
        <v/>
      </c>
      <c r="AB182" s="40">
        <f>V182+W182+X182+Y182+Z182+AA182</f>
        <v/>
      </c>
      <c r="AC182" s="40">
        <f>VLOOKUP(B182,country_opex,7,FALSE)/dep_years</f>
        <v/>
      </c>
      <c r="AD182" s="40">
        <f>U182-AB182</f>
        <v/>
      </c>
      <c r="AE182" s="37">
        <f>IF(U182=0,"",AD182/U182)</f>
        <v/>
      </c>
      <c r="AF182" s="38">
        <f>IF(AD182&lt;=0,"",VLOOKUP(B182,country_opex,7,FALSE)/AD182)</f>
        <v/>
      </c>
      <c r="AG182" s="35">
        <f>((D182*P182/diesel_nmpg)*diesel_co2pg-(battery/range_nm)*D182*P182*VLOOKUP(B182,country_opex,4,FALSE))/1000</f>
        <v/>
      </c>
      <c r="AH182" s="33" t="n">
        <v>20000</v>
      </c>
      <c r="AI182" s="34" t="inlineStr">
        <is>
          <t>T3</t>
        </is>
      </c>
      <c r="AJ182" s="34" t="inlineStr">
        <is>
          <t>low</t>
        </is>
      </c>
      <c r="AK182" s="41" t="n">
        <v>0.1</v>
      </c>
      <c r="AL182" s="36">
        <f>IF(AH182="","",AH182*AK182)</f>
        <v/>
      </c>
      <c r="AM182" s="36">
        <f>IF(OR(AH182="",S182=0),"",MIN(IF(AU182="",9.9E+99,AU182),FLOOR(AL182/S182,1)))</f>
        <v/>
      </c>
      <c r="AN182" s="40">
        <f>IF(AM182="","",AM182*IF(ABS(MOD(ABS((U182)),1)-0.5)&lt;1E-9,2*ROUND((U182)/2,0),ROUND((U182),0)))</f>
        <v/>
      </c>
      <c r="AO182" s="38">
        <f>IF(OR(AH182="",S182=0),"",MIN(IF(AU182="",9.9E+99,AU182),AL182/S182))</f>
        <v/>
      </c>
      <c r="AP182" s="40">
        <f>IF(AO182="","",AO182*IF(B182="South Korea",IF(ABS(MOD(ABS((U182)),1)-0.5)&lt;1E-9,2*ROUND((U182)/2,0),ROUND((U182),0)),U182))</f>
        <v/>
      </c>
      <c r="AQ182" s="42" t="n"/>
      <c r="AR182" s="34" t="inlineStr">
        <is>
          <t>Estimated</t>
        </is>
      </c>
      <c r="AS182" s="43" t="n"/>
      <c r="AT182" s="43" t="n"/>
      <c r="AU182" s="44" t="n"/>
      <c r="AV182" s="45">
        <f>IF(((T182*pax_cap*load_thin*IF(ABS(MOD(ABS((L182*M182*revleg_thin)),1)-0.5)&lt;1E-9,2*ROUND((L182*M182*revleg_thin)/2,0),ROUND((L182*M182*revleg_thin),0)))-(((battery/range_nm)*D182*IF(ABS(MOD(ABS((L182*M182*revleg_thin)),1)-0.5)&lt;1E-9,2*ROUND((L182*M182*revleg_thin)/2,0),ROUND((L182*M182*revleg_thin),0))*VLOOKUP(B182,country_opex,3,FALSE))+W182+X182+Y182+Z182+AA182))&lt;=0,"",VLOOKUP(B182,country_opex,7,FALSE)/((T182*pax_cap*load_thin*IF(ABS(MOD(ABS((L182*M182*revleg_thin)),1)-0.5)&lt;1E-9,2*ROUND((L182*M182*revleg_thin)/2,0),ROUND((L182*M182*revleg_thin),0)))-(((battery/range_nm)*D182*IF(ABS(MOD(ABS((L182*M182*revleg_thin)),1)-0.5)&lt;1E-9,2*ROUND((L182*M182*revleg_thin)/2,0),ROUND((L182*M182*revleg_thin),0))*VLOOKUP(B182,country_opex,3,FALSE))+W182+X182+Y182+Z182+AA182)))</f>
        <v/>
      </c>
      <c r="AW182" s="45">
        <f>IF(((T182*pax_cap*IF(B182="South Korea",korea_mid_load,load_mid)*IF(ABS(MOD(ABS((L182*M182*IF(B182="South Korea",korea_mid_revleg,revleg_mid))),1)-0.5)&lt;1E-9,2*ROUND((L182*M182*IF(B182="South Korea",korea_mid_revleg,revleg_mid))/2,0),ROUND((L182*M182*IF(B182="South Korea",korea_mid_revleg,revleg_mid)),0)))-(((battery/range_nm)*D182*IF(ABS(MOD(ABS((L182*M182*IF(B182="South Korea",korea_mid_revleg,revleg_mid))),1)-0.5)&lt;1E-9,2*ROUND((L182*M182*IF(B182="South Korea",korea_mid_revleg,revleg_mid))/2,0),ROUND((L182*M182*IF(B182="South Korea",korea_mid_revleg,revleg_mid)),0))*VLOOKUP(B182,country_opex,3,FALSE))+W182+X182+Y182+Z182+AA182))&lt;=0,"",VLOOKUP(B182,country_opex,7,FALSE)/((T182*pax_cap*IF(B182="South Korea",korea_mid_load,load_mid)*IF(ABS(MOD(ABS((L182*M182*IF(B182="South Korea",korea_mid_revleg,revleg_mid))),1)-0.5)&lt;1E-9,2*ROUND((L182*M182*IF(B182="South Korea",korea_mid_revleg,revleg_mid))/2,0),ROUND((L182*M182*IF(B182="South Korea",korea_mid_revleg,revleg_mid)),0)))-(((battery/range_nm)*D182*IF(ABS(MOD(ABS((L182*M182*IF(B182="South Korea",korea_mid_revleg,revleg_mid))),1)-0.5)&lt;1E-9,2*ROUND((L182*M182*IF(B182="South Korea",korea_mid_revleg,revleg_mid))/2,0),ROUND((L182*M182*IF(B182="South Korea",korea_mid_revleg,revleg_mid)),0))*VLOOKUP(B182,country_opex,3,FALSE))+W182+X182+Y182+Z182+AA182)))</f>
        <v/>
      </c>
      <c r="AX182" s="45">
        <f>IF(((T182*pax_cap*load_full*IF(ABS(MOD(ABS((L182*M182*revleg_full)),1)-0.5)&lt;1E-9,2*ROUND((L182*M182*revleg_full)/2,0),ROUND((L182*M182*revleg_full),0)))-(((battery/range_nm)*D182*IF(ABS(MOD(ABS((L182*M182*revleg_full)),1)-0.5)&lt;1E-9,2*ROUND((L182*M182*revleg_full)/2,0),ROUND((L182*M182*revleg_full),0))*VLOOKUP(B182,country_opex,3,FALSE))+W182+X182+Y182+Z182+AA182))&lt;=0,"",VLOOKUP(B182,country_opex,7,FALSE)/((T182*pax_cap*load_full*IF(ABS(MOD(ABS((L182*M182*revleg_full)),1)-0.5)&lt;1E-9,2*ROUND((L182*M182*revleg_full)/2,0),ROUND((L182*M182*revleg_full),0)))-(((battery/range_nm)*D182*IF(ABS(MOD(ABS((L182*M182*revleg_full)),1)-0.5)&lt;1E-9,2*ROUND((L182*M182*revleg_full)/2,0),ROUND((L182*M182*revleg_full),0))*VLOOKUP(B182,country_opex,3,FALSE))+W182+X182+Y182+Z182+AA182)))</f>
        <v/>
      </c>
      <c r="AY182" s="46" t="inlineStr">
        <is>
          <t>Emirates Palace (flagship AD luxury hotel) marina arrival; road-served; opportunity-to-create. T5/low.</t>
        </is>
      </c>
      <c r="AZ182" s="46" t="inlineStr">
        <is>
          <t>UAE-DEMAND-ANCHORS-2026-06-17.json — tier-based addressable pool derived from sourcing wave anchors (hotel keys × occ × shuttle adoption, marina activity, RTA marine baseline).</t>
        </is>
      </c>
      <c r="BA182" s="34" t="inlineStr">
        <is>
          <t>rn-afe7eee97714</t>
        </is>
      </c>
    </row>
    <row r="183">
      <c r="A183" s="31" t="inlineStr">
        <is>
          <t>Bolt Uae</t>
        </is>
      </c>
      <c r="B183" s="31" t="inlineStr">
        <is>
          <t>United Arab Emirates</t>
        </is>
      </c>
      <c r="C183" s="32" t="inlineStr">
        <is>
          <t>Côte d'Azur Resort Marina (Heart of Europe) → Anantara World Islands Resort Jetty (planned)</t>
        </is>
      </c>
      <c r="D183" s="33" t="n">
        <v>2.4</v>
      </c>
      <c r="E183" s="27" t="n">
        <v>150</v>
      </c>
      <c r="F183" s="34" t="inlineStr">
        <is>
          <t>T5</t>
        </is>
      </c>
      <c r="G183" s="34" t="inlineStr">
        <is>
          <t>low</t>
        </is>
      </c>
      <c r="H183" s="20" t="n">
        <v>1</v>
      </c>
      <c r="I183" s="35">
        <f>60*D183/cruise_kt</f>
        <v/>
      </c>
      <c r="J183" s="35">
        <f>IF(B183="South Korea",D183/korea_charge_range_nm*korea_full_range_charge_min,0)</f>
        <v/>
      </c>
      <c r="K183" s="35">
        <f>IF(B183="South Korea",I183+korea_turn_min+korea_dwell_min+J183,I183+turn_min+dwell_min)</f>
        <v/>
      </c>
      <c r="L183" s="36">
        <f>IF(B183="South Korea",FLOOR(60*korea_service_hr/K183,1),MIN(15,FLOOR(60*service_hr/K183,1)))</f>
        <v/>
      </c>
      <c r="M183" s="36">
        <f>IF(ABS(MOD(ABS((365*mech_uptime*H183)),1)-0.5)&lt;1E-9,2*ROUND((365*mech_uptime*H183)/2,0),ROUND((365*mech_uptime*H183),0))</f>
        <v/>
      </c>
      <c r="N183" s="37">
        <f>mech_uptime</f>
        <v/>
      </c>
      <c r="O183" s="37">
        <f>IF(AND(B183="South Korea",scenario="MID"),korea_mid_revleg,revleg_sel)</f>
        <v/>
      </c>
      <c r="P183" s="36">
        <f>IF(ABS(MOD(ABS((L183*M183*O183)),1)-0.5)&lt;1E-9,2*ROUND((L183*M183*O183)/2,0),ROUND((L183*M183*O183),0))</f>
        <v/>
      </c>
      <c r="Q183" s="37">
        <f>IF(AND(B183="South Korea",scenario="MID"),korea_mid_load,load_sel)</f>
        <v/>
      </c>
      <c r="R183" s="38">
        <f>pax_cap*Q183</f>
        <v/>
      </c>
      <c r="S183" s="36">
        <f>R183*P183</f>
        <v/>
      </c>
      <c r="T183" s="39">
        <f>E183*discount</f>
        <v/>
      </c>
      <c r="U183" s="40">
        <f>T183*S183</f>
        <v/>
      </c>
      <c r="V183" s="40">
        <f>(battery/range_nm)*D183*P183*VLOOKUP(B183,country_opex,3,FALSE)</f>
        <v/>
      </c>
      <c r="W183" s="40">
        <f>VLOOKUP(B183,country_opex,2,FALSE)*crew_factor</f>
        <v/>
      </c>
      <c r="X183" s="40">
        <f>VLOOKUP(B183,country_opex,5,FALSE)</f>
        <v/>
      </c>
      <c r="Y183" s="40">
        <f>maint</f>
        <v/>
      </c>
      <c r="Z183" s="40">
        <f>VLOOKUP(B183,country_opex,7,FALSE)*ins_pct</f>
        <v/>
      </c>
      <c r="AA183" s="40">
        <f>charge_berth</f>
        <v/>
      </c>
      <c r="AB183" s="40">
        <f>V183+W183+X183+Y183+Z183+AA183</f>
        <v/>
      </c>
      <c r="AC183" s="40">
        <f>VLOOKUP(B183,country_opex,7,FALSE)/dep_years</f>
        <v/>
      </c>
      <c r="AD183" s="40">
        <f>U183-AB183</f>
        <v/>
      </c>
      <c r="AE183" s="37">
        <f>IF(U183=0,"",AD183/U183)</f>
        <v/>
      </c>
      <c r="AF183" s="38">
        <f>IF(AD183&lt;=0,"",VLOOKUP(B183,country_opex,7,FALSE)/AD183)</f>
        <v/>
      </c>
      <c r="AG183" s="35">
        <f>((D183*P183/diesel_nmpg)*diesel_co2pg-(battery/range_nm)*D183*P183*VLOOKUP(B183,country_opex,4,FALSE))/1000</f>
        <v/>
      </c>
      <c r="AH183" s="33" t="n">
        <v>25000</v>
      </c>
      <c r="AI183" s="34" t="inlineStr">
        <is>
          <t>T3</t>
        </is>
      </c>
      <c r="AJ183" s="34" t="inlineStr">
        <is>
          <t>low</t>
        </is>
      </c>
      <c r="AK183" s="41" t="n">
        <v>0.1</v>
      </c>
      <c r="AL183" s="36">
        <f>IF(AH183="","",AH183*AK183)</f>
        <v/>
      </c>
      <c r="AM183" s="36">
        <f>IF(OR(AH183="",S183=0),"",MIN(IF(AU183="",9.9E+99,AU183),FLOOR(AL183/S183,1)))</f>
        <v/>
      </c>
      <c r="AN183" s="40">
        <f>IF(AM183="","",AM183*IF(ABS(MOD(ABS((U183)),1)-0.5)&lt;1E-9,2*ROUND((U183)/2,0),ROUND((U183),0)))</f>
        <v/>
      </c>
      <c r="AO183" s="38">
        <f>IF(OR(AH183="",S183=0),"",MIN(IF(AU183="",9.9E+99,AU183),AL183/S183))</f>
        <v/>
      </c>
      <c r="AP183" s="40">
        <f>IF(AO183="","",AO183*IF(B183="South Korea",IF(ABS(MOD(ABS((U183)),1)-0.5)&lt;1E-9,2*ROUND((U183)/2,0),ROUND((U183),0)),U183))</f>
        <v/>
      </c>
      <c r="AQ183" s="42" t="n"/>
      <c r="AR183" s="34" t="inlineStr">
        <is>
          <t>Estimated</t>
        </is>
      </c>
      <c r="AS183" s="43" t="n"/>
      <c r="AT183" s="43" t="n"/>
      <c r="AU183" s="44" t="n"/>
      <c r="AV183" s="45">
        <f>IF(((T183*pax_cap*load_thin*IF(ABS(MOD(ABS((L183*M183*revleg_thin)),1)-0.5)&lt;1E-9,2*ROUND((L183*M183*revleg_thin)/2,0),ROUND((L183*M183*revleg_thin),0)))-(((battery/range_nm)*D183*IF(ABS(MOD(ABS((L183*M183*revleg_thin)),1)-0.5)&lt;1E-9,2*ROUND((L183*M183*revleg_thin)/2,0),ROUND((L183*M183*revleg_thin),0))*VLOOKUP(B183,country_opex,3,FALSE))+W183+X183+Y183+Z183+AA183))&lt;=0,"",VLOOKUP(B183,country_opex,7,FALSE)/((T183*pax_cap*load_thin*IF(ABS(MOD(ABS((L183*M183*revleg_thin)),1)-0.5)&lt;1E-9,2*ROUND((L183*M183*revleg_thin)/2,0),ROUND((L183*M183*revleg_thin),0)))-(((battery/range_nm)*D183*IF(ABS(MOD(ABS((L183*M183*revleg_thin)),1)-0.5)&lt;1E-9,2*ROUND((L183*M183*revleg_thin)/2,0),ROUND((L183*M183*revleg_thin),0))*VLOOKUP(B183,country_opex,3,FALSE))+W183+X183+Y183+Z183+AA183)))</f>
        <v/>
      </c>
      <c r="AW183" s="45">
        <f>IF(((T183*pax_cap*IF(B183="South Korea",korea_mid_load,load_mid)*IF(ABS(MOD(ABS((L183*M183*IF(B183="South Korea",korea_mid_revleg,revleg_mid))),1)-0.5)&lt;1E-9,2*ROUND((L183*M183*IF(B183="South Korea",korea_mid_revleg,revleg_mid))/2,0),ROUND((L183*M183*IF(B183="South Korea",korea_mid_revleg,revleg_mid)),0)))-(((battery/range_nm)*D183*IF(ABS(MOD(ABS((L183*M183*IF(B183="South Korea",korea_mid_revleg,revleg_mid))),1)-0.5)&lt;1E-9,2*ROUND((L183*M183*IF(B183="South Korea",korea_mid_revleg,revleg_mid))/2,0),ROUND((L183*M183*IF(B183="South Korea",korea_mid_revleg,revleg_mid)),0))*VLOOKUP(B183,country_opex,3,FALSE))+W183+X183+Y183+Z183+AA183))&lt;=0,"",VLOOKUP(B183,country_opex,7,FALSE)/((T183*pax_cap*IF(B183="South Korea",korea_mid_load,load_mid)*IF(ABS(MOD(ABS((L183*M183*IF(B183="South Korea",korea_mid_revleg,revleg_mid))),1)-0.5)&lt;1E-9,2*ROUND((L183*M183*IF(B183="South Korea",korea_mid_revleg,revleg_mid))/2,0),ROUND((L183*M183*IF(B183="South Korea",korea_mid_revleg,revleg_mid)),0)))-(((battery/range_nm)*D183*IF(ABS(MOD(ABS((L183*M183*IF(B183="South Korea",korea_mid_revleg,revleg_mid))),1)-0.5)&lt;1E-9,2*ROUND((L183*M183*IF(B183="South Korea",korea_mid_revleg,revleg_mid))/2,0),ROUND((L183*M183*IF(B183="South Korea",korea_mid_revleg,revleg_mid)),0))*VLOOKUP(B183,country_opex,3,FALSE))+W183+X183+Y183+Z183+AA183)))</f>
        <v/>
      </c>
      <c r="AX183" s="45">
        <f>IF(((T183*pax_cap*load_full*IF(ABS(MOD(ABS((L183*M183*revleg_full)),1)-0.5)&lt;1E-9,2*ROUND((L183*M183*revleg_full)/2,0),ROUND((L183*M183*revleg_full),0)))-(((battery/range_nm)*D183*IF(ABS(MOD(ABS((L183*M183*revleg_full)),1)-0.5)&lt;1E-9,2*ROUND((L183*M183*revleg_full)/2,0),ROUND((L183*M183*revleg_full),0))*VLOOKUP(B183,country_opex,3,FALSE))+W183+X183+Y183+Z183+AA183))&lt;=0,"",VLOOKUP(B183,country_opex,7,FALSE)/((T183*pax_cap*load_full*IF(ABS(MOD(ABS((L183*M183*revleg_full)),1)-0.5)&lt;1E-9,2*ROUND((L183*M183*revleg_full)/2,0),ROUND((L183*M183*revleg_full),0)))-(((battery/range_nm)*D183*IF(ABS(MOD(ABS((L183*M183*revleg_full)),1)-0.5)&lt;1E-9,2*ROUND((L183*M183*revleg_full)/2,0),ROUND((L183*M183*revleg_full),0))*VLOOKUP(B183,country_opex,3,FALSE))+W183+X183+Y183+Z183+AA183)))</f>
        <v/>
      </c>
      <c r="AY183" s="46" t="inlineStr">
        <is>
          <t>Intra-The-World offshore hop; both boat-only. Greenfield premium per-seat. T5/low.</t>
        </is>
      </c>
      <c r="AZ183" s="46" t="inlineStr">
        <is>
          <t>UAE-DEMAND-ANCHORS-2026-06-17.json — tier-based addressable pool derived from sourcing wave anchors (hotel keys × occ × shuttle adoption, marina activity, RTA marine baseline).</t>
        </is>
      </c>
      <c r="BA183" s="34" t="inlineStr">
        <is>
          <t>rn-af9d261fd724</t>
        </is>
      </c>
    </row>
    <row r="184">
      <c r="A184" s="31" t="inlineStr">
        <is>
          <t>Bolt Uae</t>
        </is>
      </c>
      <c r="B184" s="31" t="inlineStr">
        <is>
          <t>United Arab Emirates</t>
        </is>
      </c>
      <c r="C184" s="32" t="inlineStr">
        <is>
          <t>Bulgari Yacht Club &amp; Marina → La Mer / J1 Beach Jetty</t>
        </is>
      </c>
      <c r="D184" s="33" t="n">
        <v>2.6</v>
      </c>
      <c r="E184" s="27" t="n">
        <v>120</v>
      </c>
      <c r="F184" s="34" t="inlineStr">
        <is>
          <t>T5</t>
        </is>
      </c>
      <c r="G184" s="34" t="inlineStr">
        <is>
          <t>low</t>
        </is>
      </c>
      <c r="H184" s="20" t="n">
        <v>1</v>
      </c>
      <c r="I184" s="35">
        <f>60*D184/cruise_kt</f>
        <v/>
      </c>
      <c r="J184" s="35">
        <f>IF(B184="South Korea",D184/korea_charge_range_nm*korea_full_range_charge_min,0)</f>
        <v/>
      </c>
      <c r="K184" s="35">
        <f>IF(B184="South Korea",I184+korea_turn_min+korea_dwell_min+J184,I184+turn_min+dwell_min)</f>
        <v/>
      </c>
      <c r="L184" s="36">
        <f>IF(B184="South Korea",FLOOR(60*korea_service_hr/K184,1),MIN(15,FLOOR(60*service_hr/K184,1)))</f>
        <v/>
      </c>
      <c r="M184" s="36">
        <f>IF(ABS(MOD(ABS((365*mech_uptime*H184)),1)-0.5)&lt;1E-9,2*ROUND((365*mech_uptime*H184)/2,0),ROUND((365*mech_uptime*H184),0))</f>
        <v/>
      </c>
      <c r="N184" s="37">
        <f>mech_uptime</f>
        <v/>
      </c>
      <c r="O184" s="37">
        <f>IF(AND(B184="South Korea",scenario="MID"),korea_mid_revleg,revleg_sel)</f>
        <v/>
      </c>
      <c r="P184" s="36">
        <f>IF(ABS(MOD(ABS((L184*M184*O184)),1)-0.5)&lt;1E-9,2*ROUND((L184*M184*O184)/2,0),ROUND((L184*M184*O184),0))</f>
        <v/>
      </c>
      <c r="Q184" s="37">
        <f>IF(AND(B184="South Korea",scenario="MID"),korea_mid_load,load_sel)</f>
        <v/>
      </c>
      <c r="R184" s="38">
        <f>pax_cap*Q184</f>
        <v/>
      </c>
      <c r="S184" s="36">
        <f>R184*P184</f>
        <v/>
      </c>
      <c r="T184" s="39">
        <f>E184*discount</f>
        <v/>
      </c>
      <c r="U184" s="40">
        <f>T184*S184</f>
        <v/>
      </c>
      <c r="V184" s="40">
        <f>(battery/range_nm)*D184*P184*VLOOKUP(B184,country_opex,3,FALSE)</f>
        <v/>
      </c>
      <c r="W184" s="40">
        <f>VLOOKUP(B184,country_opex,2,FALSE)*crew_factor</f>
        <v/>
      </c>
      <c r="X184" s="40">
        <f>VLOOKUP(B184,country_opex,5,FALSE)</f>
        <v/>
      </c>
      <c r="Y184" s="40">
        <f>maint</f>
        <v/>
      </c>
      <c r="Z184" s="40">
        <f>VLOOKUP(B184,country_opex,7,FALSE)*ins_pct</f>
        <v/>
      </c>
      <c r="AA184" s="40">
        <f>charge_berth</f>
        <v/>
      </c>
      <c r="AB184" s="40">
        <f>V184+W184+X184+Y184+Z184+AA184</f>
        <v/>
      </c>
      <c r="AC184" s="40">
        <f>VLOOKUP(B184,country_opex,7,FALSE)/dep_years</f>
        <v/>
      </c>
      <c r="AD184" s="40">
        <f>U184-AB184</f>
        <v/>
      </c>
      <c r="AE184" s="37">
        <f>IF(U184=0,"",AD184/U184)</f>
        <v/>
      </c>
      <c r="AF184" s="38">
        <f>IF(AD184&lt;=0,"",VLOOKUP(B184,country_opex,7,FALSE)/AD184)</f>
        <v/>
      </c>
      <c r="AG184" s="35">
        <f>((D184*P184/diesel_nmpg)*diesel_co2pg-(battery/range_nm)*D184*P184*VLOOKUP(B184,country_opex,4,FALSE))/1000</f>
        <v/>
      </c>
      <c r="AH184" s="33" t="n">
        <v>30000</v>
      </c>
      <c r="AI184" s="34" t="inlineStr">
        <is>
          <t>T3</t>
        </is>
      </c>
      <c r="AJ184" s="34" t="inlineStr">
        <is>
          <t>low</t>
        </is>
      </c>
      <c r="AK184" s="41" t="n">
        <v>0.1</v>
      </c>
      <c r="AL184" s="36">
        <f>IF(AH184="","",AH184*AK184)</f>
        <v/>
      </c>
      <c r="AM184" s="36">
        <f>IF(OR(AH184="",S184=0),"",MIN(IF(AU184="",9.9E+99,AU184),FLOOR(AL184/S184,1)))</f>
        <v/>
      </c>
      <c r="AN184" s="40">
        <f>IF(AM184="","",AM184*IF(ABS(MOD(ABS((U184)),1)-0.5)&lt;1E-9,2*ROUND((U184)/2,0),ROUND((U184),0)))</f>
        <v/>
      </c>
      <c r="AO184" s="38">
        <f>IF(OR(AH184="",S184=0),"",MIN(IF(AU184="",9.9E+99,AU184),AL184/S184))</f>
        <v/>
      </c>
      <c r="AP184" s="40">
        <f>IF(AO184="","",AO184*IF(B184="South Korea",IF(ABS(MOD(ABS((U184)),1)-0.5)&lt;1E-9,2*ROUND((U184)/2,0),ROUND((U184),0)),U184))</f>
        <v/>
      </c>
      <c r="AQ184" s="42" t="n"/>
      <c r="AR184" s="34" t="inlineStr">
        <is>
          <t>Estimated</t>
        </is>
      </c>
      <c r="AS184" s="43" t="n"/>
      <c r="AT184" s="43" t="n"/>
      <c r="AU184" s="44" t="n"/>
      <c r="AV184" s="45">
        <f>IF(((T184*pax_cap*load_thin*IF(ABS(MOD(ABS((L184*M184*revleg_thin)),1)-0.5)&lt;1E-9,2*ROUND((L184*M184*revleg_thin)/2,0),ROUND((L184*M184*revleg_thin),0)))-(((battery/range_nm)*D184*IF(ABS(MOD(ABS((L184*M184*revleg_thin)),1)-0.5)&lt;1E-9,2*ROUND((L184*M184*revleg_thin)/2,0),ROUND((L184*M184*revleg_thin),0))*VLOOKUP(B184,country_opex,3,FALSE))+W184+X184+Y184+Z184+AA184))&lt;=0,"",VLOOKUP(B184,country_opex,7,FALSE)/((T184*pax_cap*load_thin*IF(ABS(MOD(ABS((L184*M184*revleg_thin)),1)-0.5)&lt;1E-9,2*ROUND((L184*M184*revleg_thin)/2,0),ROUND((L184*M184*revleg_thin),0)))-(((battery/range_nm)*D184*IF(ABS(MOD(ABS((L184*M184*revleg_thin)),1)-0.5)&lt;1E-9,2*ROUND((L184*M184*revleg_thin)/2,0),ROUND((L184*M184*revleg_thin),0))*VLOOKUP(B184,country_opex,3,FALSE))+W184+X184+Y184+Z184+AA184)))</f>
        <v/>
      </c>
      <c r="AW184" s="45">
        <f>IF(((T184*pax_cap*IF(B184="South Korea",korea_mid_load,load_mid)*IF(ABS(MOD(ABS((L184*M184*IF(B184="South Korea",korea_mid_revleg,revleg_mid))),1)-0.5)&lt;1E-9,2*ROUND((L184*M184*IF(B184="South Korea",korea_mid_revleg,revleg_mid))/2,0),ROUND((L184*M184*IF(B184="South Korea",korea_mid_revleg,revleg_mid)),0)))-(((battery/range_nm)*D184*IF(ABS(MOD(ABS((L184*M184*IF(B184="South Korea",korea_mid_revleg,revleg_mid))),1)-0.5)&lt;1E-9,2*ROUND((L184*M184*IF(B184="South Korea",korea_mid_revleg,revleg_mid))/2,0),ROUND((L184*M184*IF(B184="South Korea",korea_mid_revleg,revleg_mid)),0))*VLOOKUP(B184,country_opex,3,FALSE))+W184+X184+Y184+Z184+AA184))&lt;=0,"",VLOOKUP(B184,country_opex,7,FALSE)/((T184*pax_cap*IF(B184="South Korea",korea_mid_load,load_mid)*IF(ABS(MOD(ABS((L184*M184*IF(B184="South Korea",korea_mid_revleg,revleg_mid))),1)-0.5)&lt;1E-9,2*ROUND((L184*M184*IF(B184="South Korea",korea_mid_revleg,revleg_mid))/2,0),ROUND((L184*M184*IF(B184="South Korea",korea_mid_revleg,revleg_mid)),0)))-(((battery/range_nm)*D184*IF(ABS(MOD(ABS((L184*M184*IF(B184="South Korea",korea_mid_revleg,revleg_mid))),1)-0.5)&lt;1E-9,2*ROUND((L184*M184*IF(B184="South Korea",korea_mid_revleg,revleg_mid))/2,0),ROUND((L184*M184*IF(B184="South Korea",korea_mid_revleg,revleg_mid)),0))*VLOOKUP(B184,country_opex,3,FALSE))+W184+X184+Y184+Z184+AA184)))</f>
        <v/>
      </c>
      <c r="AX184" s="45">
        <f>IF(((T184*pax_cap*load_full*IF(ABS(MOD(ABS((L184*M184*revleg_full)),1)-0.5)&lt;1E-9,2*ROUND((L184*M184*revleg_full)/2,0),ROUND((L184*M184*revleg_full),0)))-(((battery/range_nm)*D184*IF(ABS(MOD(ABS((L184*M184*revleg_full)),1)-0.5)&lt;1E-9,2*ROUND((L184*M184*revleg_full)/2,0),ROUND((L184*M184*revleg_full),0))*VLOOKUP(B184,country_opex,3,FALSE))+W184+X184+Y184+Z184+AA184))&lt;=0,"",VLOOKUP(B184,country_opex,7,FALSE)/((T184*pax_cap*load_full*IF(ABS(MOD(ABS((L184*M184*revleg_full)),1)-0.5)&lt;1E-9,2*ROUND((L184*M184*revleg_full)/2,0),ROUND((L184*M184*revleg_full),0)))-(((battery/range_nm)*D184*IF(ABS(MOD(ABS((L184*M184*revleg_full)),1)-0.5)&lt;1E-9,2*ROUND((L184*M184*revleg_full)/2,0),ROUND((L184*M184*revleg_full),0))*VLOOKUP(B184,country_opex,3,FALSE))+W184+X184+Y184+Z184+AA184)))</f>
        <v/>
      </c>
      <c r="AY184" s="46" t="inlineStr">
        <is>
          <t>Urban Dubai beach-club leisure hop (Bulgari Bay&lt;-&gt;La Mer/J1). Road-served. T5/low.</t>
        </is>
      </c>
      <c r="AZ184" s="46" t="inlineStr">
        <is>
          <t>UAE-DEMAND-ANCHORS-2026-06-17.json — tier-based addressable pool derived from sourcing wave anchors (hotel keys × occ × shuttle adoption, marina activity, RTA marine baseline).</t>
        </is>
      </c>
      <c r="BA184" s="34" t="inlineStr">
        <is>
          <t>rn-faac84ea1206</t>
        </is>
      </c>
    </row>
    <row r="185">
      <c r="A185" s="31" t="inlineStr">
        <is>
          <t>Bolt Uae</t>
        </is>
      </c>
      <c r="B185" s="31" t="inlineStr">
        <is>
          <t>United Arab Emirates</t>
        </is>
      </c>
      <c r="C185" s="32" t="inlineStr">
        <is>
          <t>Marina Mall / Breakwater Marina → Al Bateen Marina</t>
        </is>
      </c>
      <c r="D185" s="33" t="n">
        <v>2.6</v>
      </c>
      <c r="E185" s="27" t="n">
        <v>45</v>
      </c>
      <c r="F185" s="34" t="inlineStr">
        <is>
          <t>T4</t>
        </is>
      </c>
      <c r="G185" s="34" t="inlineStr">
        <is>
          <t>low</t>
        </is>
      </c>
      <c r="H185" s="20" t="n">
        <v>1</v>
      </c>
      <c r="I185" s="35">
        <f>60*D185/cruise_kt</f>
        <v/>
      </c>
      <c r="J185" s="35">
        <f>IF(B185="South Korea",D185/korea_charge_range_nm*korea_full_range_charge_min,0)</f>
        <v/>
      </c>
      <c r="K185" s="35">
        <f>IF(B185="South Korea",I185+korea_turn_min+korea_dwell_min+J185,I185+turn_min+dwell_min)</f>
        <v/>
      </c>
      <c r="L185" s="36">
        <f>IF(B185="South Korea",FLOOR(60*korea_service_hr/K185,1),MIN(15,FLOOR(60*service_hr/K185,1)))</f>
        <v/>
      </c>
      <c r="M185" s="36">
        <f>IF(ABS(MOD(ABS((365*mech_uptime*H185)),1)-0.5)&lt;1E-9,2*ROUND((365*mech_uptime*H185)/2,0),ROUND((365*mech_uptime*H185),0))</f>
        <v/>
      </c>
      <c r="N185" s="37">
        <f>mech_uptime</f>
        <v/>
      </c>
      <c r="O185" s="37">
        <f>IF(AND(B185="South Korea",scenario="MID"),korea_mid_revleg,revleg_sel)</f>
        <v/>
      </c>
      <c r="P185" s="36">
        <f>IF(ABS(MOD(ABS((L185*M185*O185)),1)-0.5)&lt;1E-9,2*ROUND((L185*M185*O185)/2,0),ROUND((L185*M185*O185),0))</f>
        <v/>
      </c>
      <c r="Q185" s="37">
        <f>IF(AND(B185="South Korea",scenario="MID"),korea_mid_load,load_sel)</f>
        <v/>
      </c>
      <c r="R185" s="38">
        <f>pax_cap*Q185</f>
        <v/>
      </c>
      <c r="S185" s="36">
        <f>R185*P185</f>
        <v/>
      </c>
      <c r="T185" s="39">
        <f>E185*discount</f>
        <v/>
      </c>
      <c r="U185" s="40">
        <f>T185*S185</f>
        <v/>
      </c>
      <c r="V185" s="40">
        <f>(battery/range_nm)*D185*P185*VLOOKUP(B185,country_opex,3,FALSE)</f>
        <v/>
      </c>
      <c r="W185" s="40">
        <f>VLOOKUP(B185,country_opex,2,FALSE)*crew_factor</f>
        <v/>
      </c>
      <c r="X185" s="40">
        <f>VLOOKUP(B185,country_opex,5,FALSE)</f>
        <v/>
      </c>
      <c r="Y185" s="40">
        <f>maint</f>
        <v/>
      </c>
      <c r="Z185" s="40">
        <f>VLOOKUP(B185,country_opex,7,FALSE)*ins_pct</f>
        <v/>
      </c>
      <c r="AA185" s="40">
        <f>charge_berth</f>
        <v/>
      </c>
      <c r="AB185" s="40">
        <f>V185+W185+X185+Y185+Z185+AA185</f>
        <v/>
      </c>
      <c r="AC185" s="40">
        <f>VLOOKUP(B185,country_opex,7,FALSE)/dep_years</f>
        <v/>
      </c>
      <c r="AD185" s="40">
        <f>U185-AB185</f>
        <v/>
      </c>
      <c r="AE185" s="37">
        <f>IF(U185=0,"",AD185/U185)</f>
        <v/>
      </c>
      <c r="AF185" s="38">
        <f>IF(AD185&lt;=0,"",VLOOKUP(B185,country_opex,7,FALSE)/AD185)</f>
        <v/>
      </c>
      <c r="AG185" s="35">
        <f>((D185*P185/diesel_nmpg)*diesel_co2pg-(battery/range_nm)*D185*P185*VLOOKUP(B185,country_opex,4,FALSE))/1000</f>
        <v/>
      </c>
      <c r="AH185" s="33" t="n">
        <v>50000</v>
      </c>
      <c r="AI185" s="34" t="inlineStr">
        <is>
          <t>T3</t>
        </is>
      </c>
      <c r="AJ185" s="34" t="inlineStr">
        <is>
          <t>low</t>
        </is>
      </c>
      <c r="AK185" s="41" t="n">
        <v>0.1</v>
      </c>
      <c r="AL185" s="36">
        <f>IF(AH185="","",AH185*AK185)</f>
        <v/>
      </c>
      <c r="AM185" s="36">
        <f>IF(OR(AH185="",S185=0),"",MIN(IF(AU185="",9.9E+99,AU185),FLOOR(AL185/S185,1)))</f>
        <v/>
      </c>
      <c r="AN185" s="40">
        <f>IF(AM185="","",AM185*IF(ABS(MOD(ABS((U185)),1)-0.5)&lt;1E-9,2*ROUND((U185)/2,0),ROUND((U185),0)))</f>
        <v/>
      </c>
      <c r="AO185" s="38">
        <f>IF(OR(AH185="",S185=0),"",MIN(IF(AU185="",9.9E+99,AU185),AL185/S185))</f>
        <v/>
      </c>
      <c r="AP185" s="40">
        <f>IF(AO185="","",AO185*IF(B185="South Korea",IF(ABS(MOD(ABS((U185)),1)-0.5)&lt;1E-9,2*ROUND((U185)/2,0),ROUND((U185),0)),U185))</f>
        <v/>
      </c>
      <c r="AQ185" s="42" t="n"/>
      <c r="AR185" s="34" t="inlineStr">
        <is>
          <t>Estimated</t>
        </is>
      </c>
      <c r="AS185" s="43" t="n"/>
      <c r="AT185" s="43" t="n"/>
      <c r="AU185" s="44" t="n"/>
      <c r="AV185" s="45">
        <f>IF(((T185*pax_cap*load_thin*IF(ABS(MOD(ABS((L185*M185*revleg_thin)),1)-0.5)&lt;1E-9,2*ROUND((L185*M185*revleg_thin)/2,0),ROUND((L185*M185*revleg_thin),0)))-(((battery/range_nm)*D185*IF(ABS(MOD(ABS((L185*M185*revleg_thin)),1)-0.5)&lt;1E-9,2*ROUND((L185*M185*revleg_thin)/2,0),ROUND((L185*M185*revleg_thin),0))*VLOOKUP(B185,country_opex,3,FALSE))+W185+X185+Y185+Z185+AA185))&lt;=0,"",VLOOKUP(B185,country_opex,7,FALSE)/((T185*pax_cap*load_thin*IF(ABS(MOD(ABS((L185*M185*revleg_thin)),1)-0.5)&lt;1E-9,2*ROUND((L185*M185*revleg_thin)/2,0),ROUND((L185*M185*revleg_thin),0)))-(((battery/range_nm)*D185*IF(ABS(MOD(ABS((L185*M185*revleg_thin)),1)-0.5)&lt;1E-9,2*ROUND((L185*M185*revleg_thin)/2,0),ROUND((L185*M185*revleg_thin),0))*VLOOKUP(B185,country_opex,3,FALSE))+W185+X185+Y185+Z185+AA185)))</f>
        <v/>
      </c>
      <c r="AW185" s="45">
        <f>IF(((T185*pax_cap*IF(B185="South Korea",korea_mid_load,load_mid)*IF(ABS(MOD(ABS((L185*M185*IF(B185="South Korea",korea_mid_revleg,revleg_mid))),1)-0.5)&lt;1E-9,2*ROUND((L185*M185*IF(B185="South Korea",korea_mid_revleg,revleg_mid))/2,0),ROUND((L185*M185*IF(B185="South Korea",korea_mid_revleg,revleg_mid)),0)))-(((battery/range_nm)*D185*IF(ABS(MOD(ABS((L185*M185*IF(B185="South Korea",korea_mid_revleg,revleg_mid))),1)-0.5)&lt;1E-9,2*ROUND((L185*M185*IF(B185="South Korea",korea_mid_revleg,revleg_mid))/2,0),ROUND((L185*M185*IF(B185="South Korea",korea_mid_revleg,revleg_mid)),0))*VLOOKUP(B185,country_opex,3,FALSE))+W185+X185+Y185+Z185+AA185))&lt;=0,"",VLOOKUP(B185,country_opex,7,FALSE)/((T185*pax_cap*IF(B185="South Korea",korea_mid_load,load_mid)*IF(ABS(MOD(ABS((L185*M185*IF(B185="South Korea",korea_mid_revleg,revleg_mid))),1)-0.5)&lt;1E-9,2*ROUND((L185*M185*IF(B185="South Korea",korea_mid_revleg,revleg_mid))/2,0),ROUND((L185*M185*IF(B185="South Korea",korea_mid_revleg,revleg_mid)),0)))-(((battery/range_nm)*D185*IF(ABS(MOD(ABS((L185*M185*IF(B185="South Korea",korea_mid_revleg,revleg_mid))),1)-0.5)&lt;1E-9,2*ROUND((L185*M185*IF(B185="South Korea",korea_mid_revleg,revleg_mid))/2,0),ROUND((L185*M185*IF(B185="South Korea",korea_mid_revleg,revleg_mid)),0))*VLOOKUP(B185,country_opex,3,FALSE))+W185+X185+Y185+Z185+AA185)))</f>
        <v/>
      </c>
      <c r="AX185" s="45">
        <f>IF(((T185*pax_cap*load_full*IF(ABS(MOD(ABS((L185*M185*revleg_full)),1)-0.5)&lt;1E-9,2*ROUND((L185*M185*revleg_full)/2,0),ROUND((L185*M185*revleg_full),0)))-(((battery/range_nm)*D185*IF(ABS(MOD(ABS((L185*M185*revleg_full)),1)-0.5)&lt;1E-9,2*ROUND((L185*M185*revleg_full)/2,0),ROUND((L185*M185*revleg_full),0))*VLOOKUP(B185,country_opex,3,FALSE))+W185+X185+Y185+Z185+AA185))&lt;=0,"",VLOOKUP(B185,country_opex,7,FALSE)/((T185*pax_cap*load_full*IF(ABS(MOD(ABS((L185*M185*revleg_full)),1)-0.5)&lt;1E-9,2*ROUND((L185*M185*revleg_full)/2,0),ROUND((L185*M185*revleg_full),0)))-(((battery/range_nm)*D185*IF(ABS(MOD(ABS((L185*M185*revleg_full)),1)-0.5)&lt;1E-9,2*ROUND((L185*M185*revleg_full)/2,0),ROUND((L185*M185*revleg_full),0))*VLOOKUP(B185,country_opex,3,FALSE))+W185+X185+Y185+Z185+AA185)))</f>
        <v/>
      </c>
      <c r="AY185" s="46" t="inlineStr">
        <is>
          <t>RTA/Dubai-Ferry official ladder (R-RTA, T1): Water Taxi on-demand single AED 150/pax = $40.8; Dubai Ferry Gold AED 75 = $20.4, Silver AED 50 = $13.6; Water Bus AED 7; Abra AED 1. dubai-ferry.com / rta.ae 2025/26. Al Bateen Marina, AD.</t>
        </is>
      </c>
      <c r="AZ185" s="46" t="inlineStr">
        <is>
          <t>UAE-DEMAND-ANCHORS-2026-06-17.json — tier-based addressable pool derived from sourcing wave anchors (hotel keys × occ × shuttle adoption, marina activity, RTA marine baseline).</t>
        </is>
      </c>
      <c r="BA185" s="34" t="inlineStr">
        <is>
          <t>rn-aef40f1a50bb</t>
        </is>
      </c>
    </row>
    <row r="186">
      <c r="A186" s="31" t="inlineStr">
        <is>
          <t>Bolt Uae</t>
        </is>
      </c>
      <c r="B186" s="31" t="inlineStr">
        <is>
          <t>United Arab Emirates</t>
        </is>
      </c>
      <c r="C186" s="32" t="inlineStr">
        <is>
          <t>Dubai Harbour Marina → Anantara The Palm Dubai Jetty</t>
        </is>
      </c>
      <c r="D186" s="33" t="n">
        <v>3.4</v>
      </c>
      <c r="E186" s="27" t="n"/>
      <c r="F186" s="34" t="n"/>
      <c r="G186" s="34" t="n"/>
      <c r="H186" s="20" t="n">
        <v>1</v>
      </c>
      <c r="I186" s="35">
        <f>60*D186/cruise_kt</f>
        <v/>
      </c>
      <c r="J186" s="35">
        <f>IF(B186="South Korea",D186/korea_charge_range_nm*korea_full_range_charge_min,0)</f>
        <v/>
      </c>
      <c r="K186" s="35">
        <f>IF(B186="South Korea",I186+korea_turn_min+korea_dwell_min+J186,I186+turn_min+dwell_min)</f>
        <v/>
      </c>
      <c r="L186" s="36">
        <f>IF(B186="South Korea",FLOOR(60*korea_service_hr/K186,1),MIN(15,FLOOR(60*service_hr/K186,1)))</f>
        <v/>
      </c>
      <c r="M186" s="36">
        <f>IF(ABS(MOD(ABS((365*mech_uptime*H186)),1)-0.5)&lt;1E-9,2*ROUND((365*mech_uptime*H186)/2,0),ROUND((365*mech_uptime*H186),0))</f>
        <v/>
      </c>
      <c r="N186" s="37">
        <f>mech_uptime</f>
        <v/>
      </c>
      <c r="O186" s="37">
        <f>IF(AND(B186="South Korea",scenario="MID"),korea_mid_revleg,revleg_sel)</f>
        <v/>
      </c>
      <c r="P186" s="36">
        <f>IF(ABS(MOD(ABS((L186*M186*O186)),1)-0.5)&lt;1E-9,2*ROUND((L186*M186*O186)/2,0),ROUND((L186*M186*O186),0))</f>
        <v/>
      </c>
      <c r="Q186" s="37">
        <f>IF(AND(B186="South Korea",scenario="MID"),korea_mid_load,load_sel)</f>
        <v/>
      </c>
      <c r="R186" s="38">
        <f>pax_cap*Q186</f>
        <v/>
      </c>
      <c r="S186" s="36">
        <f>R186*P186</f>
        <v/>
      </c>
      <c r="T186" s="39">
        <f>E186*discount</f>
        <v/>
      </c>
      <c r="U186" s="40">
        <f>T186*S186</f>
        <v/>
      </c>
      <c r="V186" s="40">
        <f>(battery/range_nm)*D186*P186*VLOOKUP(B186,country_opex,3,FALSE)</f>
        <v/>
      </c>
      <c r="W186" s="40">
        <f>VLOOKUP(B186,country_opex,2,FALSE)*crew_factor</f>
        <v/>
      </c>
      <c r="X186" s="40">
        <f>VLOOKUP(B186,country_opex,5,FALSE)</f>
        <v/>
      </c>
      <c r="Y186" s="40">
        <f>maint</f>
        <v/>
      </c>
      <c r="Z186" s="40">
        <f>VLOOKUP(B186,country_opex,7,FALSE)*ins_pct</f>
        <v/>
      </c>
      <c r="AA186" s="40">
        <f>charge_berth</f>
        <v/>
      </c>
      <c r="AB186" s="40">
        <f>V186+W186+X186+Y186+Z186+AA186</f>
        <v/>
      </c>
      <c r="AC186" s="40">
        <f>VLOOKUP(B186,country_opex,7,FALSE)/dep_years</f>
        <v/>
      </c>
      <c r="AD186" s="40">
        <f>U186-AB186</f>
        <v/>
      </c>
      <c r="AE186" s="37">
        <f>IF(U186=0,"",AD186/U186)</f>
        <v/>
      </c>
      <c r="AF186" s="38">
        <f>IF(AD186&lt;=0,"",VLOOKUP(B186,country_opex,7,FALSE)/AD186)</f>
        <v/>
      </c>
      <c r="AG186" s="35">
        <f>((D186*P186/diesel_nmpg)*diesel_co2pg-(battery/range_nm)*D186*P186*VLOOKUP(B186,country_opex,4,FALSE))/1000</f>
        <v/>
      </c>
      <c r="AH186" s="33" t="n"/>
      <c r="AI186" s="34" t="n"/>
      <c r="AJ186" s="34" t="n"/>
      <c r="AK186" s="41" t="n">
        <v>0.1</v>
      </c>
      <c r="AL186" s="36">
        <f>IF(AH186="","",AH186*AK186)</f>
        <v/>
      </c>
      <c r="AM186" s="36">
        <f>IF(OR(AH186="",S186=0),"",MIN(IF(AU186="",9.9E+99,AU186),FLOOR(AL186/S186,1)))</f>
        <v/>
      </c>
      <c r="AN186" s="40">
        <f>IF(AM186="","",AM186*IF(ABS(MOD(ABS((U186)),1)-0.5)&lt;1E-9,2*ROUND((U186)/2,0),ROUND((U186),0)))</f>
        <v/>
      </c>
      <c r="AO186" s="38">
        <f>IF(OR(AH186="",S186=0),"",MIN(IF(AU186="",9.9E+99,AU186),AL186/S186))</f>
        <v/>
      </c>
      <c r="AP186" s="40">
        <f>IF(AO186="","",AO186*IF(B186="South Korea",IF(ABS(MOD(ABS((U186)),1)-0.5)&lt;1E-9,2*ROUND((U186)/2,0),ROUND((U186),0)),U186))</f>
        <v/>
      </c>
      <c r="AQ186" s="42" t="n"/>
      <c r="AR186" s="34" t="inlineStr">
        <is>
          <t>Estimated</t>
        </is>
      </c>
      <c r="AS186" s="43" t="n"/>
      <c r="AT186" s="43" t="n"/>
      <c r="AU186" s="44" t="n"/>
      <c r="AV186" s="45">
        <f>IF(((T186*pax_cap*load_thin*IF(ABS(MOD(ABS((L186*M186*revleg_thin)),1)-0.5)&lt;1E-9,2*ROUND((L186*M186*revleg_thin)/2,0),ROUND((L186*M186*revleg_thin),0)))-(((battery/range_nm)*D186*IF(ABS(MOD(ABS((L186*M186*revleg_thin)),1)-0.5)&lt;1E-9,2*ROUND((L186*M186*revleg_thin)/2,0),ROUND((L186*M186*revleg_thin),0))*VLOOKUP(B186,country_opex,3,FALSE))+W186+X186+Y186+Z186+AA186))&lt;=0,"",VLOOKUP(B186,country_opex,7,FALSE)/((T186*pax_cap*load_thin*IF(ABS(MOD(ABS((L186*M186*revleg_thin)),1)-0.5)&lt;1E-9,2*ROUND((L186*M186*revleg_thin)/2,0),ROUND((L186*M186*revleg_thin),0)))-(((battery/range_nm)*D186*IF(ABS(MOD(ABS((L186*M186*revleg_thin)),1)-0.5)&lt;1E-9,2*ROUND((L186*M186*revleg_thin)/2,0),ROUND((L186*M186*revleg_thin),0))*VLOOKUP(B186,country_opex,3,FALSE))+W186+X186+Y186+Z186+AA186)))</f>
        <v/>
      </c>
      <c r="AW186" s="45">
        <f>IF(((T186*pax_cap*IF(B186="South Korea",korea_mid_load,load_mid)*IF(ABS(MOD(ABS((L186*M186*IF(B186="South Korea",korea_mid_revleg,revleg_mid))),1)-0.5)&lt;1E-9,2*ROUND((L186*M186*IF(B186="South Korea",korea_mid_revleg,revleg_mid))/2,0),ROUND((L186*M186*IF(B186="South Korea",korea_mid_revleg,revleg_mid)),0)))-(((battery/range_nm)*D186*IF(ABS(MOD(ABS((L186*M186*IF(B186="South Korea",korea_mid_revleg,revleg_mid))),1)-0.5)&lt;1E-9,2*ROUND((L186*M186*IF(B186="South Korea",korea_mid_revleg,revleg_mid))/2,0),ROUND((L186*M186*IF(B186="South Korea",korea_mid_revleg,revleg_mid)),0))*VLOOKUP(B186,country_opex,3,FALSE))+W186+X186+Y186+Z186+AA186))&lt;=0,"",VLOOKUP(B186,country_opex,7,FALSE)/((T186*pax_cap*IF(B186="South Korea",korea_mid_load,load_mid)*IF(ABS(MOD(ABS((L186*M186*IF(B186="South Korea",korea_mid_revleg,revleg_mid))),1)-0.5)&lt;1E-9,2*ROUND((L186*M186*IF(B186="South Korea",korea_mid_revleg,revleg_mid))/2,0),ROUND((L186*M186*IF(B186="South Korea",korea_mid_revleg,revleg_mid)),0)))-(((battery/range_nm)*D186*IF(ABS(MOD(ABS((L186*M186*IF(B186="South Korea",korea_mid_revleg,revleg_mid))),1)-0.5)&lt;1E-9,2*ROUND((L186*M186*IF(B186="South Korea",korea_mid_revleg,revleg_mid))/2,0),ROUND((L186*M186*IF(B186="South Korea",korea_mid_revleg,revleg_mid)),0))*VLOOKUP(B186,country_opex,3,FALSE))+W186+X186+Y186+Z186+AA186)))</f>
        <v/>
      </c>
      <c r="AX186" s="45">
        <f>IF(((T186*pax_cap*load_full*IF(ABS(MOD(ABS((L186*M186*revleg_full)),1)-0.5)&lt;1E-9,2*ROUND((L186*M186*revleg_full)/2,0),ROUND((L186*M186*revleg_full),0)))-(((battery/range_nm)*D186*IF(ABS(MOD(ABS((L186*M186*revleg_full)),1)-0.5)&lt;1E-9,2*ROUND((L186*M186*revleg_full)/2,0),ROUND((L186*M186*revleg_full),0))*VLOOKUP(B186,country_opex,3,FALSE))+W186+X186+Y186+Z186+AA186))&lt;=0,"",VLOOKUP(B186,country_opex,7,FALSE)/((T186*pax_cap*load_full*IF(ABS(MOD(ABS((L186*M186*revleg_full)),1)-0.5)&lt;1E-9,2*ROUND((L186*M186*revleg_full)/2,0),ROUND((L186*M186*revleg_full),0)))-(((battery/range_nm)*D186*IF(ABS(MOD(ABS((L186*M186*revleg_full)),1)-0.5)&lt;1E-9,2*ROUND((L186*M186*revleg_full)/2,0),ROUND((L186*M186*revleg_full),0))*VLOOKUP(B186,country_opex,3,FALSE))+W186+X186+Y186+Z186+AA186)))</f>
        <v/>
      </c>
      <c r="AY186" s="46" t="n"/>
      <c r="AZ186" s="46" t="n"/>
      <c r="BA186" s="34" t="inlineStr">
        <is>
          <t>rn-b0d5e6498ee4</t>
        </is>
      </c>
    </row>
    <row r="187">
      <c r="A187" s="31" t="inlineStr">
        <is>
          <t>Bolt Uae</t>
        </is>
      </c>
      <c r="B187" s="31" t="inlineStr">
        <is>
          <t>United Arab Emirates</t>
        </is>
      </c>
      <c r="C187" s="32" t="inlineStr">
        <is>
          <t>Al Bateen Marina → Hudayriat Marina</t>
        </is>
      </c>
      <c r="D187" s="33" t="n">
        <v>3.6</v>
      </c>
      <c r="E187" s="27" t="n">
        <v>90</v>
      </c>
      <c r="F187" s="34" t="inlineStr">
        <is>
          <t>T4</t>
        </is>
      </c>
      <c r="G187" s="34" t="inlineStr">
        <is>
          <t>low</t>
        </is>
      </c>
      <c r="H187" s="20" t="n">
        <v>1</v>
      </c>
      <c r="I187" s="35">
        <f>60*D187/cruise_kt</f>
        <v/>
      </c>
      <c r="J187" s="35">
        <f>IF(B187="South Korea",D187/korea_charge_range_nm*korea_full_range_charge_min,0)</f>
        <v/>
      </c>
      <c r="K187" s="35">
        <f>IF(B187="South Korea",I187+korea_turn_min+korea_dwell_min+J187,I187+turn_min+dwell_min)</f>
        <v/>
      </c>
      <c r="L187" s="36">
        <f>IF(B187="South Korea",FLOOR(60*korea_service_hr/K187,1),MIN(15,FLOOR(60*service_hr/K187,1)))</f>
        <v/>
      </c>
      <c r="M187" s="36">
        <f>IF(ABS(MOD(ABS((365*mech_uptime*H187)),1)-0.5)&lt;1E-9,2*ROUND((365*mech_uptime*H187)/2,0),ROUND((365*mech_uptime*H187),0))</f>
        <v/>
      </c>
      <c r="N187" s="37">
        <f>mech_uptime</f>
        <v/>
      </c>
      <c r="O187" s="37">
        <f>IF(AND(B187="South Korea",scenario="MID"),korea_mid_revleg,revleg_sel)</f>
        <v/>
      </c>
      <c r="P187" s="36">
        <f>IF(ABS(MOD(ABS((L187*M187*O187)),1)-0.5)&lt;1E-9,2*ROUND((L187*M187*O187)/2,0),ROUND((L187*M187*O187),0))</f>
        <v/>
      </c>
      <c r="Q187" s="37">
        <f>IF(AND(B187="South Korea",scenario="MID"),korea_mid_load,load_sel)</f>
        <v/>
      </c>
      <c r="R187" s="38">
        <f>pax_cap*Q187</f>
        <v/>
      </c>
      <c r="S187" s="36">
        <f>R187*P187</f>
        <v/>
      </c>
      <c r="T187" s="39">
        <f>E187*discount</f>
        <v/>
      </c>
      <c r="U187" s="40">
        <f>T187*S187</f>
        <v/>
      </c>
      <c r="V187" s="40">
        <f>(battery/range_nm)*D187*P187*VLOOKUP(B187,country_opex,3,FALSE)</f>
        <v/>
      </c>
      <c r="W187" s="40">
        <f>VLOOKUP(B187,country_opex,2,FALSE)*crew_factor</f>
        <v/>
      </c>
      <c r="X187" s="40">
        <f>VLOOKUP(B187,country_opex,5,FALSE)</f>
        <v/>
      </c>
      <c r="Y187" s="40">
        <f>maint</f>
        <v/>
      </c>
      <c r="Z187" s="40">
        <f>VLOOKUP(B187,country_opex,7,FALSE)*ins_pct</f>
        <v/>
      </c>
      <c r="AA187" s="40">
        <f>charge_berth</f>
        <v/>
      </c>
      <c r="AB187" s="40">
        <f>V187+W187+X187+Y187+Z187+AA187</f>
        <v/>
      </c>
      <c r="AC187" s="40">
        <f>VLOOKUP(B187,country_opex,7,FALSE)/dep_years</f>
        <v/>
      </c>
      <c r="AD187" s="40">
        <f>U187-AB187</f>
        <v/>
      </c>
      <c r="AE187" s="37">
        <f>IF(U187=0,"",AD187/U187)</f>
        <v/>
      </c>
      <c r="AF187" s="38">
        <f>IF(AD187&lt;=0,"",VLOOKUP(B187,country_opex,7,FALSE)/AD187)</f>
        <v/>
      </c>
      <c r="AG187" s="35">
        <f>((D187*P187/diesel_nmpg)*diesel_co2pg-(battery/range_nm)*D187*P187*VLOOKUP(B187,country_opex,4,FALSE))/1000</f>
        <v/>
      </c>
      <c r="AH187" s="33" t="n">
        <v>35000</v>
      </c>
      <c r="AI187" s="34" t="inlineStr">
        <is>
          <t>T3</t>
        </is>
      </c>
      <c r="AJ187" s="34" t="inlineStr">
        <is>
          <t>low</t>
        </is>
      </c>
      <c r="AK187" s="41" t="n">
        <v>0.1</v>
      </c>
      <c r="AL187" s="36">
        <f>IF(AH187="","",AH187*AK187)</f>
        <v/>
      </c>
      <c r="AM187" s="36">
        <f>IF(OR(AH187="",S187=0),"",MIN(IF(AU187="",9.9E+99,AU187),FLOOR(AL187/S187,1)))</f>
        <v/>
      </c>
      <c r="AN187" s="40">
        <f>IF(AM187="","",AM187*IF(ABS(MOD(ABS((U187)),1)-0.5)&lt;1E-9,2*ROUND((U187)/2,0),ROUND((U187),0)))</f>
        <v/>
      </c>
      <c r="AO187" s="38">
        <f>IF(OR(AH187="",S187=0),"",MIN(IF(AU187="",9.9E+99,AU187),AL187/S187))</f>
        <v/>
      </c>
      <c r="AP187" s="40">
        <f>IF(AO187="","",AO187*IF(B187="South Korea",IF(ABS(MOD(ABS((U187)),1)-0.5)&lt;1E-9,2*ROUND((U187)/2,0),ROUND((U187),0)),U187))</f>
        <v/>
      </c>
      <c r="AQ187" s="42" t="n"/>
      <c r="AR187" s="34" t="inlineStr">
        <is>
          <t>Estimated</t>
        </is>
      </c>
      <c r="AS187" s="43" t="n"/>
      <c r="AT187" s="43" t="n"/>
      <c r="AU187" s="44" t="n"/>
      <c r="AV187" s="45">
        <f>IF(((T187*pax_cap*load_thin*IF(ABS(MOD(ABS((L187*M187*revleg_thin)),1)-0.5)&lt;1E-9,2*ROUND((L187*M187*revleg_thin)/2,0),ROUND((L187*M187*revleg_thin),0)))-(((battery/range_nm)*D187*IF(ABS(MOD(ABS((L187*M187*revleg_thin)),1)-0.5)&lt;1E-9,2*ROUND((L187*M187*revleg_thin)/2,0),ROUND((L187*M187*revleg_thin),0))*VLOOKUP(B187,country_opex,3,FALSE))+W187+X187+Y187+Z187+AA187))&lt;=0,"",VLOOKUP(B187,country_opex,7,FALSE)/((T187*pax_cap*load_thin*IF(ABS(MOD(ABS((L187*M187*revleg_thin)),1)-0.5)&lt;1E-9,2*ROUND((L187*M187*revleg_thin)/2,0),ROUND((L187*M187*revleg_thin),0)))-(((battery/range_nm)*D187*IF(ABS(MOD(ABS((L187*M187*revleg_thin)),1)-0.5)&lt;1E-9,2*ROUND((L187*M187*revleg_thin)/2,0),ROUND((L187*M187*revleg_thin),0))*VLOOKUP(B187,country_opex,3,FALSE))+W187+X187+Y187+Z187+AA187)))</f>
        <v/>
      </c>
      <c r="AW187" s="45">
        <f>IF(((T187*pax_cap*IF(B187="South Korea",korea_mid_load,load_mid)*IF(ABS(MOD(ABS((L187*M187*IF(B187="South Korea",korea_mid_revleg,revleg_mid))),1)-0.5)&lt;1E-9,2*ROUND((L187*M187*IF(B187="South Korea",korea_mid_revleg,revleg_mid))/2,0),ROUND((L187*M187*IF(B187="South Korea",korea_mid_revleg,revleg_mid)),0)))-(((battery/range_nm)*D187*IF(ABS(MOD(ABS((L187*M187*IF(B187="South Korea",korea_mid_revleg,revleg_mid))),1)-0.5)&lt;1E-9,2*ROUND((L187*M187*IF(B187="South Korea",korea_mid_revleg,revleg_mid))/2,0),ROUND((L187*M187*IF(B187="South Korea",korea_mid_revleg,revleg_mid)),0))*VLOOKUP(B187,country_opex,3,FALSE))+W187+X187+Y187+Z187+AA187))&lt;=0,"",VLOOKUP(B187,country_opex,7,FALSE)/((T187*pax_cap*IF(B187="South Korea",korea_mid_load,load_mid)*IF(ABS(MOD(ABS((L187*M187*IF(B187="South Korea",korea_mid_revleg,revleg_mid))),1)-0.5)&lt;1E-9,2*ROUND((L187*M187*IF(B187="South Korea",korea_mid_revleg,revleg_mid))/2,0),ROUND((L187*M187*IF(B187="South Korea",korea_mid_revleg,revleg_mid)),0)))-(((battery/range_nm)*D187*IF(ABS(MOD(ABS((L187*M187*IF(B187="South Korea",korea_mid_revleg,revleg_mid))),1)-0.5)&lt;1E-9,2*ROUND((L187*M187*IF(B187="South Korea",korea_mid_revleg,revleg_mid))/2,0),ROUND((L187*M187*IF(B187="South Korea",korea_mid_revleg,revleg_mid)),0))*VLOOKUP(B187,country_opex,3,FALSE))+W187+X187+Y187+Z187+AA187)))</f>
        <v/>
      </c>
      <c r="AX187" s="45">
        <f>IF(((T187*pax_cap*load_full*IF(ABS(MOD(ABS((L187*M187*revleg_full)),1)-0.5)&lt;1E-9,2*ROUND((L187*M187*revleg_full)/2,0),ROUND((L187*M187*revleg_full),0)))-(((battery/range_nm)*D187*IF(ABS(MOD(ABS((L187*M187*revleg_full)),1)-0.5)&lt;1E-9,2*ROUND((L187*M187*revleg_full)/2,0),ROUND((L187*M187*revleg_full),0))*VLOOKUP(B187,country_opex,3,FALSE))+W187+X187+Y187+Z187+AA187))&lt;=0,"",VLOOKUP(B187,country_opex,7,FALSE)/((T187*pax_cap*load_full*IF(ABS(MOD(ABS((L187*M187*revleg_full)),1)-0.5)&lt;1E-9,2*ROUND((L187*M187*revleg_full)/2,0),ROUND((L187*M187*revleg_full),0)))-(((battery/range_nm)*D187*IF(ABS(MOD(ABS((L187*M187*revleg_full)),1)-0.5)&lt;1E-9,2*ROUND((L187*M187*revleg_full)/2,0),ROUND((L187*M187*revleg_full),0))*VLOOKUP(B187,country_opex,3,FALSE))+W187+X187+Y187+Z187+AA187)))</f>
        <v/>
      </c>
      <c r="AY187" s="46" t="inlineStr">
        <is>
          <t>RTA/Dubai-Ferry official ladder (R-RTA, T1): Water Taxi on-demand single AED 150/pax = $40.8; Dubai Ferry Gold AED 75 = $20.4, Silver AED 50 = $13.6; Water Bus AED 7; Abra AED 1. dubai-ferry.com / rta.ae 2025/26. Hudayriat Island leisure/beach destination, AD.</t>
        </is>
      </c>
      <c r="AZ187" s="46" t="inlineStr">
        <is>
          <t>UAE-DEMAND-ANCHORS-2026-06-17.json — tier-based addressable pool derived from sourcing wave anchors (hotel keys × occ × shuttle adoption, marina activity, RTA marine baseline).</t>
        </is>
      </c>
      <c r="BA187" s="34" t="inlineStr">
        <is>
          <t>rn-0721cde8d55b</t>
        </is>
      </c>
    </row>
    <row r="188">
      <c r="A188" s="31" t="inlineStr">
        <is>
          <t>Bolt Uae</t>
        </is>
      </c>
      <c r="B188" s="31" t="inlineStr">
        <is>
          <t>United Arab Emirates</t>
        </is>
      </c>
      <c r="C188" s="32" t="inlineStr">
        <is>
          <t>Côte d'Azur Resort Marina (Heart of Europe) → Bulgari Yacht Club &amp; Marina</t>
        </is>
      </c>
      <c r="D188" s="33" t="n">
        <v>4.2</v>
      </c>
      <c r="E188" s="27" t="n">
        <v>150</v>
      </c>
      <c r="F188" s="34" t="inlineStr">
        <is>
          <t>T5</t>
        </is>
      </c>
      <c r="G188" s="34" t="inlineStr">
        <is>
          <t>low</t>
        </is>
      </c>
      <c r="H188" s="20" t="n">
        <v>1</v>
      </c>
      <c r="I188" s="35">
        <f>60*D188/cruise_kt</f>
        <v/>
      </c>
      <c r="J188" s="35">
        <f>IF(B188="South Korea",D188/korea_charge_range_nm*korea_full_range_charge_min,0)</f>
        <v/>
      </c>
      <c r="K188" s="35">
        <f>IF(B188="South Korea",I188+korea_turn_min+korea_dwell_min+J188,I188+turn_min+dwell_min)</f>
        <v/>
      </c>
      <c r="L188" s="36">
        <f>IF(B188="South Korea",FLOOR(60*korea_service_hr/K188,1),MIN(15,FLOOR(60*service_hr/K188,1)))</f>
        <v/>
      </c>
      <c r="M188" s="36">
        <f>IF(ABS(MOD(ABS((365*mech_uptime*H188)),1)-0.5)&lt;1E-9,2*ROUND((365*mech_uptime*H188)/2,0),ROUND((365*mech_uptime*H188),0))</f>
        <v/>
      </c>
      <c r="N188" s="37">
        <f>mech_uptime</f>
        <v/>
      </c>
      <c r="O188" s="37">
        <f>IF(AND(B188="South Korea",scenario="MID"),korea_mid_revleg,revleg_sel)</f>
        <v/>
      </c>
      <c r="P188" s="36">
        <f>IF(ABS(MOD(ABS((L188*M188*O188)),1)-0.5)&lt;1E-9,2*ROUND((L188*M188*O188)/2,0),ROUND((L188*M188*O188),0))</f>
        <v/>
      </c>
      <c r="Q188" s="37">
        <f>IF(AND(B188="South Korea",scenario="MID"),korea_mid_load,load_sel)</f>
        <v/>
      </c>
      <c r="R188" s="38">
        <f>pax_cap*Q188</f>
        <v/>
      </c>
      <c r="S188" s="36">
        <f>R188*P188</f>
        <v/>
      </c>
      <c r="T188" s="39">
        <f>E188*discount</f>
        <v/>
      </c>
      <c r="U188" s="40">
        <f>T188*S188</f>
        <v/>
      </c>
      <c r="V188" s="40">
        <f>(battery/range_nm)*D188*P188*VLOOKUP(B188,country_opex,3,FALSE)</f>
        <v/>
      </c>
      <c r="W188" s="40">
        <f>VLOOKUP(B188,country_opex,2,FALSE)*crew_factor</f>
        <v/>
      </c>
      <c r="X188" s="40">
        <f>VLOOKUP(B188,country_opex,5,FALSE)</f>
        <v/>
      </c>
      <c r="Y188" s="40">
        <f>maint</f>
        <v/>
      </c>
      <c r="Z188" s="40">
        <f>VLOOKUP(B188,country_opex,7,FALSE)*ins_pct</f>
        <v/>
      </c>
      <c r="AA188" s="40">
        <f>charge_berth</f>
        <v/>
      </c>
      <c r="AB188" s="40">
        <f>V188+W188+X188+Y188+Z188+AA188</f>
        <v/>
      </c>
      <c r="AC188" s="40">
        <f>VLOOKUP(B188,country_opex,7,FALSE)/dep_years</f>
        <v/>
      </c>
      <c r="AD188" s="40">
        <f>U188-AB188</f>
        <v/>
      </c>
      <c r="AE188" s="37">
        <f>IF(U188=0,"",AD188/U188)</f>
        <v/>
      </c>
      <c r="AF188" s="38">
        <f>IF(AD188&lt;=0,"",VLOOKUP(B188,country_opex,7,FALSE)/AD188)</f>
        <v/>
      </c>
      <c r="AG188" s="35">
        <f>((D188*P188/diesel_nmpg)*diesel_co2pg-(battery/range_nm)*D188*P188*VLOOKUP(B188,country_opex,4,FALSE))/1000</f>
        <v/>
      </c>
      <c r="AH188" s="33" t="n">
        <v>20000</v>
      </c>
      <c r="AI188" s="34" t="inlineStr">
        <is>
          <t>T3</t>
        </is>
      </c>
      <c r="AJ188" s="34" t="inlineStr">
        <is>
          <t>low</t>
        </is>
      </c>
      <c r="AK188" s="41" t="n">
        <v>0.1</v>
      </c>
      <c r="AL188" s="36">
        <f>IF(AH188="","",AH188*AK188)</f>
        <v/>
      </c>
      <c r="AM188" s="36">
        <f>IF(OR(AH188="",S188=0),"",MIN(IF(AU188="",9.9E+99,AU188),FLOOR(AL188/S188,1)))</f>
        <v/>
      </c>
      <c r="AN188" s="40">
        <f>IF(AM188="","",AM188*IF(ABS(MOD(ABS((U188)),1)-0.5)&lt;1E-9,2*ROUND((U188)/2,0),ROUND((U188),0)))</f>
        <v/>
      </c>
      <c r="AO188" s="38">
        <f>IF(OR(AH188="",S188=0),"",MIN(IF(AU188="",9.9E+99,AU188),AL188/S188))</f>
        <v/>
      </c>
      <c r="AP188" s="40">
        <f>IF(AO188="","",AO188*IF(B188="South Korea",IF(ABS(MOD(ABS((U188)),1)-0.5)&lt;1E-9,2*ROUND((U188)/2,0),ROUND((U188),0)),U188))</f>
        <v/>
      </c>
      <c r="AQ188" s="42" t="n"/>
      <c r="AR188" s="34" t="inlineStr">
        <is>
          <t>Estimated</t>
        </is>
      </c>
      <c r="AS188" s="43" t="n"/>
      <c r="AT188" s="43" t="n"/>
      <c r="AU188" s="44" t="n"/>
      <c r="AV188" s="45">
        <f>IF(((T188*pax_cap*load_thin*IF(ABS(MOD(ABS((L188*M188*revleg_thin)),1)-0.5)&lt;1E-9,2*ROUND((L188*M188*revleg_thin)/2,0),ROUND((L188*M188*revleg_thin),0)))-(((battery/range_nm)*D188*IF(ABS(MOD(ABS((L188*M188*revleg_thin)),1)-0.5)&lt;1E-9,2*ROUND((L188*M188*revleg_thin)/2,0),ROUND((L188*M188*revleg_thin),0))*VLOOKUP(B188,country_opex,3,FALSE))+W188+X188+Y188+Z188+AA188))&lt;=0,"",VLOOKUP(B188,country_opex,7,FALSE)/((T188*pax_cap*load_thin*IF(ABS(MOD(ABS((L188*M188*revleg_thin)),1)-0.5)&lt;1E-9,2*ROUND((L188*M188*revleg_thin)/2,0),ROUND((L188*M188*revleg_thin),0)))-(((battery/range_nm)*D188*IF(ABS(MOD(ABS((L188*M188*revleg_thin)),1)-0.5)&lt;1E-9,2*ROUND((L188*M188*revleg_thin)/2,0),ROUND((L188*M188*revleg_thin),0))*VLOOKUP(B188,country_opex,3,FALSE))+W188+X188+Y188+Z188+AA188)))</f>
        <v/>
      </c>
      <c r="AW188" s="45">
        <f>IF(((T188*pax_cap*IF(B188="South Korea",korea_mid_load,load_mid)*IF(ABS(MOD(ABS((L188*M188*IF(B188="South Korea",korea_mid_revleg,revleg_mid))),1)-0.5)&lt;1E-9,2*ROUND((L188*M188*IF(B188="South Korea",korea_mid_revleg,revleg_mid))/2,0),ROUND((L188*M188*IF(B188="South Korea",korea_mid_revleg,revleg_mid)),0)))-(((battery/range_nm)*D188*IF(ABS(MOD(ABS((L188*M188*IF(B188="South Korea",korea_mid_revleg,revleg_mid))),1)-0.5)&lt;1E-9,2*ROUND((L188*M188*IF(B188="South Korea",korea_mid_revleg,revleg_mid))/2,0),ROUND((L188*M188*IF(B188="South Korea",korea_mid_revleg,revleg_mid)),0))*VLOOKUP(B188,country_opex,3,FALSE))+W188+X188+Y188+Z188+AA188))&lt;=0,"",VLOOKUP(B188,country_opex,7,FALSE)/((T188*pax_cap*IF(B188="South Korea",korea_mid_load,load_mid)*IF(ABS(MOD(ABS((L188*M188*IF(B188="South Korea",korea_mid_revleg,revleg_mid))),1)-0.5)&lt;1E-9,2*ROUND((L188*M188*IF(B188="South Korea",korea_mid_revleg,revleg_mid))/2,0),ROUND((L188*M188*IF(B188="South Korea",korea_mid_revleg,revleg_mid)),0)))-(((battery/range_nm)*D188*IF(ABS(MOD(ABS((L188*M188*IF(B188="South Korea",korea_mid_revleg,revleg_mid))),1)-0.5)&lt;1E-9,2*ROUND((L188*M188*IF(B188="South Korea",korea_mid_revleg,revleg_mid))/2,0),ROUND((L188*M188*IF(B188="South Korea",korea_mid_revleg,revleg_mid)),0))*VLOOKUP(B188,country_opex,3,FALSE))+W188+X188+Y188+Z188+AA188)))</f>
        <v/>
      </c>
      <c r="AX188" s="45">
        <f>IF(((T188*pax_cap*load_full*IF(ABS(MOD(ABS((L188*M188*revleg_full)),1)-0.5)&lt;1E-9,2*ROUND((L188*M188*revleg_full)/2,0),ROUND((L188*M188*revleg_full),0)))-(((battery/range_nm)*D188*IF(ABS(MOD(ABS((L188*M188*revleg_full)),1)-0.5)&lt;1E-9,2*ROUND((L188*M188*revleg_full)/2,0),ROUND((L188*M188*revleg_full),0))*VLOOKUP(B188,country_opex,3,FALSE))+W188+X188+Y188+Z188+AA188))&lt;=0,"",VLOOKUP(B188,country_opex,7,FALSE)/((T188*pax_cap*load_full*IF(ABS(MOD(ABS((L188*M188*revleg_full)),1)-0.5)&lt;1E-9,2*ROUND((L188*M188*revleg_full)/2,0),ROUND((L188*M188*revleg_full),0)))-(((battery/range_nm)*D188*IF(ABS(MOD(ABS((L188*M188*revleg_full)),1)-0.5)&lt;1E-9,2*ROUND((L188*M188*revleg_full)/2,0),ROUND((L188*M188*revleg_full),0))*VLOOKUP(B188,country_opex,3,FALSE))+W188+X188+Y188+Z188+AA188)))</f>
        <v/>
      </c>
      <c r="AY188" s="46" t="inlineStr">
        <is>
          <t>The World (boat-only)&lt;-&gt;Bulgari (Jumeirah Bay) luxury hop. Greenfield. T5/low.</t>
        </is>
      </c>
      <c r="AZ188" s="46" t="inlineStr">
        <is>
          <t>UAE-DEMAND-ANCHORS-2026-06-17.json — tier-based addressable pool derived from sourcing wave anchors (hotel keys × occ × shuttle adoption, marina activity, RTA marine baseline).</t>
        </is>
      </c>
      <c r="BA188" s="34" t="inlineStr">
        <is>
          <t>rn-122e1872dd04</t>
        </is>
      </c>
    </row>
    <row r="189">
      <c r="A189" s="31" t="inlineStr">
        <is>
          <t>Bolt Uae</t>
        </is>
      </c>
      <c r="B189" s="31" t="inlineStr">
        <is>
          <t>United Arab Emirates</t>
        </is>
      </c>
      <c r="C189" s="32" t="inlineStr">
        <is>
          <t>Saadiyat Beach Club Jetty → Zaya Nurai Island Jetty</t>
        </is>
      </c>
      <c r="D189" s="33" t="n">
        <v>4.4</v>
      </c>
      <c r="E189" s="27" t="n">
        <v>150</v>
      </c>
      <c r="F189" s="34" t="inlineStr">
        <is>
          <t>T3</t>
        </is>
      </c>
      <c r="G189" s="34" t="inlineStr">
        <is>
          <t>med</t>
        </is>
      </c>
      <c r="H189" s="20" t="n">
        <v>1</v>
      </c>
      <c r="I189" s="35">
        <f>60*D189/cruise_kt</f>
        <v/>
      </c>
      <c r="J189" s="35">
        <f>IF(B189="South Korea",D189/korea_charge_range_nm*korea_full_range_charge_min,0)</f>
        <v/>
      </c>
      <c r="K189" s="35">
        <f>IF(B189="South Korea",I189+korea_turn_min+korea_dwell_min+J189,I189+turn_min+dwell_min)</f>
        <v/>
      </c>
      <c r="L189" s="36">
        <f>IF(B189="South Korea",FLOOR(60*korea_service_hr/K189,1),MIN(15,FLOOR(60*service_hr/K189,1)))</f>
        <v/>
      </c>
      <c r="M189" s="36">
        <f>IF(ABS(MOD(ABS((365*mech_uptime*H189)),1)-0.5)&lt;1E-9,2*ROUND((365*mech_uptime*H189)/2,0),ROUND((365*mech_uptime*H189),0))</f>
        <v/>
      </c>
      <c r="N189" s="37">
        <f>mech_uptime</f>
        <v/>
      </c>
      <c r="O189" s="37">
        <f>IF(AND(B189="South Korea",scenario="MID"),korea_mid_revleg,revleg_sel)</f>
        <v/>
      </c>
      <c r="P189" s="36">
        <f>IF(ABS(MOD(ABS((L189*M189*O189)),1)-0.5)&lt;1E-9,2*ROUND((L189*M189*O189)/2,0),ROUND((L189*M189*O189),0))</f>
        <v/>
      </c>
      <c r="Q189" s="37">
        <f>IF(AND(B189="South Korea",scenario="MID"),korea_mid_load,load_sel)</f>
        <v/>
      </c>
      <c r="R189" s="38">
        <f>pax_cap*Q189</f>
        <v/>
      </c>
      <c r="S189" s="36">
        <f>R189*P189</f>
        <v/>
      </c>
      <c r="T189" s="39">
        <f>E189*discount</f>
        <v/>
      </c>
      <c r="U189" s="40">
        <f>T189*S189</f>
        <v/>
      </c>
      <c r="V189" s="40">
        <f>(battery/range_nm)*D189*P189*VLOOKUP(B189,country_opex,3,FALSE)</f>
        <v/>
      </c>
      <c r="W189" s="40">
        <f>VLOOKUP(B189,country_opex,2,FALSE)*crew_factor</f>
        <v/>
      </c>
      <c r="X189" s="40">
        <f>VLOOKUP(B189,country_opex,5,FALSE)</f>
        <v/>
      </c>
      <c r="Y189" s="40">
        <f>maint</f>
        <v/>
      </c>
      <c r="Z189" s="40">
        <f>VLOOKUP(B189,country_opex,7,FALSE)*ins_pct</f>
        <v/>
      </c>
      <c r="AA189" s="40">
        <f>charge_berth</f>
        <v/>
      </c>
      <c r="AB189" s="40">
        <f>V189+W189+X189+Y189+Z189+AA189</f>
        <v/>
      </c>
      <c r="AC189" s="40">
        <f>VLOOKUP(B189,country_opex,7,FALSE)/dep_years</f>
        <v/>
      </c>
      <c r="AD189" s="40">
        <f>U189-AB189</f>
        <v/>
      </c>
      <c r="AE189" s="37">
        <f>IF(U189=0,"",AD189/U189)</f>
        <v/>
      </c>
      <c r="AF189" s="38">
        <f>IF(AD189&lt;=0,"",VLOOKUP(B189,country_opex,7,FALSE)/AD189)</f>
        <v/>
      </c>
      <c r="AG189" s="35">
        <f>((D189*P189/diesel_nmpg)*diesel_co2pg-(battery/range_nm)*D189*P189*VLOOKUP(B189,country_opex,4,FALSE))/1000</f>
        <v/>
      </c>
      <c r="AH189" s="33" t="n">
        <v>45000</v>
      </c>
      <c r="AI189" s="34" t="inlineStr">
        <is>
          <t>T5</t>
        </is>
      </c>
      <c r="AJ189" s="34" t="inlineStr">
        <is>
          <t>low</t>
        </is>
      </c>
      <c r="AK189" s="41" t="n">
        <v>0.1</v>
      </c>
      <c r="AL189" s="36">
        <f>IF(AH189="","",AH189*AK189)</f>
        <v/>
      </c>
      <c r="AM189" s="36">
        <f>IF(OR(AH189="",S189=0),"",MIN(IF(AU189="",9.9E+99,AU189),FLOOR(AL189/S189,1)))</f>
        <v/>
      </c>
      <c r="AN189" s="40">
        <f>IF(AM189="","",AM189*IF(ABS(MOD(ABS((U189)),1)-0.5)&lt;1E-9,2*ROUND((U189)/2,0),ROUND((U189),0)))</f>
        <v/>
      </c>
      <c r="AO189" s="38">
        <f>IF(OR(AH189="",S189=0),"",MIN(IF(AU189="",9.9E+99,AU189),AL189/S189))</f>
        <v/>
      </c>
      <c r="AP189" s="40">
        <f>IF(AO189="","",AO189*IF(B189="South Korea",IF(ABS(MOD(ABS((U189)),1)-0.5)&lt;1E-9,2*ROUND((U189)/2,0),ROUND((U189),0)),U189))</f>
        <v/>
      </c>
      <c r="AQ189" s="42" t="n"/>
      <c r="AR189" s="34" t="inlineStr">
        <is>
          <t>Estimated</t>
        </is>
      </c>
      <c r="AS189" s="43" t="n"/>
      <c r="AT189" s="43" t="n"/>
      <c r="AU189" s="44" t="n"/>
      <c r="AV189" s="45">
        <f>IF(((T189*pax_cap*load_thin*IF(ABS(MOD(ABS((L189*M189*revleg_thin)),1)-0.5)&lt;1E-9,2*ROUND((L189*M189*revleg_thin)/2,0),ROUND((L189*M189*revleg_thin),0)))-(((battery/range_nm)*D189*IF(ABS(MOD(ABS((L189*M189*revleg_thin)),1)-0.5)&lt;1E-9,2*ROUND((L189*M189*revleg_thin)/2,0),ROUND((L189*M189*revleg_thin),0))*VLOOKUP(B189,country_opex,3,FALSE))+W189+X189+Y189+Z189+AA189))&lt;=0,"",VLOOKUP(B189,country_opex,7,FALSE)/((T189*pax_cap*load_thin*IF(ABS(MOD(ABS((L189*M189*revleg_thin)),1)-0.5)&lt;1E-9,2*ROUND((L189*M189*revleg_thin)/2,0),ROUND((L189*M189*revleg_thin),0)))-(((battery/range_nm)*D189*IF(ABS(MOD(ABS((L189*M189*revleg_thin)),1)-0.5)&lt;1E-9,2*ROUND((L189*M189*revleg_thin)/2,0),ROUND((L189*M189*revleg_thin),0))*VLOOKUP(B189,country_opex,3,FALSE))+W189+X189+Y189+Z189+AA189)))</f>
        <v/>
      </c>
      <c r="AW189" s="45">
        <f>IF(((T189*pax_cap*IF(B189="South Korea",korea_mid_load,load_mid)*IF(ABS(MOD(ABS((L189*M189*IF(B189="South Korea",korea_mid_revleg,revleg_mid))),1)-0.5)&lt;1E-9,2*ROUND((L189*M189*IF(B189="South Korea",korea_mid_revleg,revleg_mid))/2,0),ROUND((L189*M189*IF(B189="South Korea",korea_mid_revleg,revleg_mid)),0)))-(((battery/range_nm)*D189*IF(ABS(MOD(ABS((L189*M189*IF(B189="South Korea",korea_mid_revleg,revleg_mid))),1)-0.5)&lt;1E-9,2*ROUND((L189*M189*IF(B189="South Korea",korea_mid_revleg,revleg_mid))/2,0),ROUND((L189*M189*IF(B189="South Korea",korea_mid_revleg,revleg_mid)),0))*VLOOKUP(B189,country_opex,3,FALSE))+W189+X189+Y189+Z189+AA189))&lt;=0,"",VLOOKUP(B189,country_opex,7,FALSE)/((T189*pax_cap*IF(B189="South Korea",korea_mid_load,load_mid)*IF(ABS(MOD(ABS((L189*M189*IF(B189="South Korea",korea_mid_revleg,revleg_mid))),1)-0.5)&lt;1E-9,2*ROUND((L189*M189*IF(B189="South Korea",korea_mid_revleg,revleg_mid))/2,0),ROUND((L189*M189*IF(B189="South Korea",korea_mid_revleg,revleg_mid)),0)))-(((battery/range_nm)*D189*IF(ABS(MOD(ABS((L189*M189*IF(B189="South Korea",korea_mid_revleg,revleg_mid))),1)-0.5)&lt;1E-9,2*ROUND((L189*M189*IF(B189="South Korea",korea_mid_revleg,revleg_mid))/2,0),ROUND((L189*M189*IF(B189="South Korea",korea_mid_revleg,revleg_mid)),0))*VLOOKUP(B189,country_opex,3,FALSE))+W189+X189+Y189+Z189+AA189)))</f>
        <v/>
      </c>
      <c r="AX189" s="45">
        <f>IF(((T189*pax_cap*load_full*IF(ABS(MOD(ABS((L189*M189*revleg_full)),1)-0.5)&lt;1E-9,2*ROUND((L189*M189*revleg_full)/2,0),ROUND((L189*M189*revleg_full),0)))-(((battery/range_nm)*D189*IF(ABS(MOD(ABS((L189*M189*revleg_full)),1)-0.5)&lt;1E-9,2*ROUND((L189*M189*revleg_full)/2,0),ROUND((L189*M189*revleg_full),0))*VLOOKUP(B189,country_opex,3,FALSE))+W189+X189+Y189+Z189+AA189))&lt;=0,"",VLOOKUP(B189,country_opex,7,FALSE)/((T189*pax_cap*load_full*IF(ABS(MOD(ABS((L189*M189*revleg_full)),1)-0.5)&lt;1E-9,2*ROUND((L189*M189*revleg_full)/2,0),ROUND((L189*M189*revleg_full),0)))-(((battery/range_nm)*D189*IF(ABS(MOD(ABS((L189*M189*revleg_full)),1)-0.5)&lt;1E-9,2*ROUND((L189*M189*revleg_full)/2,0),ROUND((L189*M189*revleg_full),0))*VLOOKUP(B189,country_opex,3,FALSE))+W189+X189+Y189+Z189+AA189)))</f>
        <v/>
      </c>
      <c r="AY189" s="46" t="inlineStr">
        <is>
          <t>Saadiyat Beach Club-&gt;Zaya Nurai Island (4.4nm). WATER-ONLY (12-15min boat from Saadiyat; boat-only, 32 villas + 23 residences). Day-pass + transfer redemption ladder; premium per-seat $150.</t>
        </is>
      </c>
      <c r="AZ189" s="46" t="inlineStr">
        <is>
          <t>Boat-only -&gt; FULLY addressable (R3-EXCEPTION). 32 villas + 23 residences stay-pool + day-club guests (major Saadiyat day-trip).</t>
        </is>
      </c>
      <c r="BA189" s="34" t="inlineStr">
        <is>
          <t>rn-444748135d1b</t>
        </is>
      </c>
    </row>
    <row r="190">
      <c r="A190" s="31" t="inlineStr">
        <is>
          <t>Bolt Uae</t>
        </is>
      </c>
      <c r="B190" s="31" t="inlineStr">
        <is>
          <t>United Arab Emirates</t>
        </is>
      </c>
      <c r="C190" s="32" t="inlineStr">
        <is>
          <t>Dubai Harbour Marina → Atlantis The Royal Jetty</t>
        </is>
      </c>
      <c r="D190" s="33" t="n">
        <v>4.9</v>
      </c>
      <c r="E190" s="27" t="n">
        <v>175</v>
      </c>
      <c r="F190" s="34" t="inlineStr">
        <is>
          <t>T5</t>
        </is>
      </c>
      <c r="G190" s="34" t="inlineStr">
        <is>
          <t>low</t>
        </is>
      </c>
      <c r="H190" s="20" t="n">
        <v>1</v>
      </c>
      <c r="I190" s="35">
        <f>60*D190/cruise_kt</f>
        <v/>
      </c>
      <c r="J190" s="35">
        <f>IF(B190="South Korea",D190/korea_charge_range_nm*korea_full_range_charge_min,0)</f>
        <v/>
      </c>
      <c r="K190" s="35">
        <f>IF(B190="South Korea",I190+korea_turn_min+korea_dwell_min+J190,I190+turn_min+dwell_min)</f>
        <v/>
      </c>
      <c r="L190" s="36">
        <f>IF(B190="South Korea",FLOOR(60*korea_service_hr/K190,1),MIN(15,FLOOR(60*service_hr/K190,1)))</f>
        <v/>
      </c>
      <c r="M190" s="36">
        <f>IF(ABS(MOD(ABS((365*mech_uptime*H190)),1)-0.5)&lt;1E-9,2*ROUND((365*mech_uptime*H190)/2,0),ROUND((365*mech_uptime*H190),0))</f>
        <v/>
      </c>
      <c r="N190" s="37">
        <f>mech_uptime</f>
        <v/>
      </c>
      <c r="O190" s="37">
        <f>IF(AND(B190="South Korea",scenario="MID"),korea_mid_revleg,revleg_sel)</f>
        <v/>
      </c>
      <c r="P190" s="36">
        <f>IF(ABS(MOD(ABS((L190*M190*O190)),1)-0.5)&lt;1E-9,2*ROUND((L190*M190*O190)/2,0),ROUND((L190*M190*O190),0))</f>
        <v/>
      </c>
      <c r="Q190" s="37">
        <f>IF(AND(B190="South Korea",scenario="MID"),korea_mid_load,load_sel)</f>
        <v/>
      </c>
      <c r="R190" s="38">
        <f>pax_cap*Q190</f>
        <v/>
      </c>
      <c r="S190" s="36">
        <f>R190*P190</f>
        <v/>
      </c>
      <c r="T190" s="39">
        <f>E190*discount</f>
        <v/>
      </c>
      <c r="U190" s="40">
        <f>T190*S190</f>
        <v/>
      </c>
      <c r="V190" s="40">
        <f>(battery/range_nm)*D190*P190*VLOOKUP(B190,country_opex,3,FALSE)</f>
        <v/>
      </c>
      <c r="W190" s="40">
        <f>VLOOKUP(B190,country_opex,2,FALSE)*crew_factor</f>
        <v/>
      </c>
      <c r="X190" s="40">
        <f>VLOOKUP(B190,country_opex,5,FALSE)</f>
        <v/>
      </c>
      <c r="Y190" s="40">
        <f>maint</f>
        <v/>
      </c>
      <c r="Z190" s="40">
        <f>VLOOKUP(B190,country_opex,7,FALSE)*ins_pct</f>
        <v/>
      </c>
      <c r="AA190" s="40">
        <f>charge_berth</f>
        <v/>
      </c>
      <c r="AB190" s="40">
        <f>V190+W190+X190+Y190+Z190+AA190</f>
        <v/>
      </c>
      <c r="AC190" s="40">
        <f>VLOOKUP(B190,country_opex,7,FALSE)/dep_years</f>
        <v/>
      </c>
      <c r="AD190" s="40">
        <f>U190-AB190</f>
        <v/>
      </c>
      <c r="AE190" s="37">
        <f>IF(U190=0,"",AD190/U190)</f>
        <v/>
      </c>
      <c r="AF190" s="38">
        <f>IF(AD190&lt;=0,"",VLOOKUP(B190,country_opex,7,FALSE)/AD190)</f>
        <v/>
      </c>
      <c r="AG190" s="35">
        <f>((D190*P190/diesel_nmpg)*diesel_co2pg-(battery/range_nm)*D190*P190*VLOOKUP(B190,country_opex,4,FALSE))/1000</f>
        <v/>
      </c>
      <c r="AH190" s="33" t="n">
        <v>10000</v>
      </c>
      <c r="AI190" s="34" t="inlineStr">
        <is>
          <t>T5</t>
        </is>
      </c>
      <c r="AJ190" s="34" t="inlineStr">
        <is>
          <t>low</t>
        </is>
      </c>
      <c r="AK190" s="41" t="n">
        <v>0.1</v>
      </c>
      <c r="AL190" s="36">
        <f>IF(AH190="","",AH190*AK190)</f>
        <v/>
      </c>
      <c r="AM190" s="36">
        <f>IF(OR(AH190="",S190=0),"",MIN(IF(AU190="",9.9E+99,AU190),FLOOR(AL190/S190,1)))</f>
        <v/>
      </c>
      <c r="AN190" s="40">
        <f>IF(AM190="","",AM190*IF(ABS(MOD(ABS((U190)),1)-0.5)&lt;1E-9,2*ROUND((U190)/2,0),ROUND((U190),0)))</f>
        <v/>
      </c>
      <c r="AO190" s="38">
        <f>IF(OR(AH190="",S190=0),"",MIN(IF(AU190="",9.9E+99,AU190),AL190/S190))</f>
        <v/>
      </c>
      <c r="AP190" s="40">
        <f>IF(AO190="","",AO190*IF(B190="South Korea",IF(ABS(MOD(ABS((U190)),1)-0.5)&lt;1E-9,2*ROUND((U190)/2,0),ROUND((U190),0)),U190))</f>
        <v/>
      </c>
      <c r="AQ190" s="42" t="n"/>
      <c r="AR190" s="34" t="inlineStr">
        <is>
          <t>Estimated</t>
        </is>
      </c>
      <c r="AS190" s="43" t="n"/>
      <c r="AT190" s="43" t="n"/>
      <c r="AU190" s="44" t="n"/>
      <c r="AV190" s="45">
        <f>IF(((T190*pax_cap*load_thin*IF(ABS(MOD(ABS((L190*M190*revleg_thin)),1)-0.5)&lt;1E-9,2*ROUND((L190*M190*revleg_thin)/2,0),ROUND((L190*M190*revleg_thin),0)))-(((battery/range_nm)*D190*IF(ABS(MOD(ABS((L190*M190*revleg_thin)),1)-0.5)&lt;1E-9,2*ROUND((L190*M190*revleg_thin)/2,0),ROUND((L190*M190*revleg_thin),0))*VLOOKUP(B190,country_opex,3,FALSE))+W190+X190+Y190+Z190+AA190))&lt;=0,"",VLOOKUP(B190,country_opex,7,FALSE)/((T190*pax_cap*load_thin*IF(ABS(MOD(ABS((L190*M190*revleg_thin)),1)-0.5)&lt;1E-9,2*ROUND((L190*M190*revleg_thin)/2,0),ROUND((L190*M190*revleg_thin),0)))-(((battery/range_nm)*D190*IF(ABS(MOD(ABS((L190*M190*revleg_thin)),1)-0.5)&lt;1E-9,2*ROUND((L190*M190*revleg_thin)/2,0),ROUND((L190*M190*revleg_thin),0))*VLOOKUP(B190,country_opex,3,FALSE))+W190+X190+Y190+Z190+AA190)))</f>
        <v/>
      </c>
      <c r="AW190" s="45">
        <f>IF(((T190*pax_cap*IF(B190="South Korea",korea_mid_load,load_mid)*IF(ABS(MOD(ABS((L190*M190*IF(B190="South Korea",korea_mid_revleg,revleg_mid))),1)-0.5)&lt;1E-9,2*ROUND((L190*M190*IF(B190="South Korea",korea_mid_revleg,revleg_mid))/2,0),ROUND((L190*M190*IF(B190="South Korea",korea_mid_revleg,revleg_mid)),0)))-(((battery/range_nm)*D190*IF(ABS(MOD(ABS((L190*M190*IF(B190="South Korea",korea_mid_revleg,revleg_mid))),1)-0.5)&lt;1E-9,2*ROUND((L190*M190*IF(B190="South Korea",korea_mid_revleg,revleg_mid))/2,0),ROUND((L190*M190*IF(B190="South Korea",korea_mid_revleg,revleg_mid)),0))*VLOOKUP(B190,country_opex,3,FALSE))+W190+X190+Y190+Z190+AA190))&lt;=0,"",VLOOKUP(B190,country_opex,7,FALSE)/((T190*pax_cap*IF(B190="South Korea",korea_mid_load,load_mid)*IF(ABS(MOD(ABS((L190*M190*IF(B190="South Korea",korea_mid_revleg,revleg_mid))),1)-0.5)&lt;1E-9,2*ROUND((L190*M190*IF(B190="South Korea",korea_mid_revleg,revleg_mid))/2,0),ROUND((L190*M190*IF(B190="South Korea",korea_mid_revleg,revleg_mid)),0)))-(((battery/range_nm)*D190*IF(ABS(MOD(ABS((L190*M190*IF(B190="South Korea",korea_mid_revleg,revleg_mid))),1)-0.5)&lt;1E-9,2*ROUND((L190*M190*IF(B190="South Korea",korea_mid_revleg,revleg_mid))/2,0),ROUND((L190*M190*IF(B190="South Korea",korea_mid_revleg,revleg_mid)),0))*VLOOKUP(B190,country_opex,3,FALSE))+W190+X190+Y190+Z190+AA190)))</f>
        <v/>
      </c>
      <c r="AX190" s="45">
        <f>IF(((T190*pax_cap*load_full*IF(ABS(MOD(ABS((L190*M190*revleg_full)),1)-0.5)&lt;1E-9,2*ROUND((L190*M190*revleg_full)/2,0),ROUND((L190*M190*revleg_full),0)))-(((battery/range_nm)*D190*IF(ABS(MOD(ABS((L190*M190*revleg_full)),1)-0.5)&lt;1E-9,2*ROUND((L190*M190*revleg_full)/2,0),ROUND((L190*M190*revleg_full),0))*VLOOKUP(B190,country_opex,3,FALSE))+W190+X190+Y190+Z190+AA190))&lt;=0,"",VLOOKUP(B190,country_opex,7,FALSE)/((T190*pax_cap*load_full*IF(ABS(MOD(ABS((L190*M190*revleg_full)),1)-0.5)&lt;1E-9,2*ROUND((L190*M190*revleg_full)/2,0),ROUND((L190*M190*revleg_full),0)))-(((battery/range_nm)*D190*IF(ABS(MOD(ABS((L190*M190*revleg_full)),1)-0.5)&lt;1E-9,2*ROUND((L190*M190*revleg_full)/2,0),ROUND((L190*M190*revleg_full),0))*VLOOKUP(B190,country_opex,3,FALSE))+W190+X190+Y190+Z190+AA190)))</f>
        <v/>
      </c>
      <c r="AY190" s="46" t="inlineStr">
        <is>
          <t>Atlantis The Royal (795 keys) road-served; signature marine arrival opportunity-to-create. T5/low.</t>
        </is>
      </c>
      <c r="AZ190" s="46" t="inlineStr">
        <is>
          <t>OPT-IN luxury-arrival fraction only (R3-LAND road-served). 795 keys x occ -&gt; small opt-in marine pool.</t>
        </is>
      </c>
      <c r="BA190" s="34" t="inlineStr">
        <is>
          <t>rn-fe3fdf5c23c4</t>
        </is>
      </c>
    </row>
    <row r="191">
      <c r="A191" s="31" t="inlineStr">
        <is>
          <t>Bolt Uae</t>
        </is>
      </c>
      <c r="B191" s="31" t="inlineStr">
        <is>
          <t>United Arab Emirates</t>
        </is>
      </c>
      <c r="C191" s="32" t="inlineStr">
        <is>
          <t>Jebel Dhanna / Ruwais Ferry Terminal → Sir Bani Yas Cruise Port</t>
        </is>
      </c>
      <c r="D191" s="33" t="n">
        <v>5.3</v>
      </c>
      <c r="E191" s="27" t="n">
        <v>90</v>
      </c>
      <c r="F191" s="34" t="inlineStr">
        <is>
          <t>T5</t>
        </is>
      </c>
      <c r="G191" s="34" t="inlineStr">
        <is>
          <t>low</t>
        </is>
      </c>
      <c r="H191" s="20" t="n">
        <v>1</v>
      </c>
      <c r="I191" s="35">
        <f>60*D191/cruise_kt</f>
        <v/>
      </c>
      <c r="J191" s="35">
        <f>IF(B191="South Korea",D191/korea_charge_range_nm*korea_full_range_charge_min,0)</f>
        <v/>
      </c>
      <c r="K191" s="35">
        <f>IF(B191="South Korea",I191+korea_turn_min+korea_dwell_min+J191,I191+turn_min+dwell_min)</f>
        <v/>
      </c>
      <c r="L191" s="36">
        <f>IF(B191="South Korea",FLOOR(60*korea_service_hr/K191,1),MIN(15,FLOOR(60*service_hr/K191,1)))</f>
        <v/>
      </c>
      <c r="M191" s="36">
        <f>IF(ABS(MOD(ABS((365*mech_uptime*H191)),1)-0.5)&lt;1E-9,2*ROUND((365*mech_uptime*H191)/2,0),ROUND((365*mech_uptime*H191),0))</f>
        <v/>
      </c>
      <c r="N191" s="37">
        <f>mech_uptime</f>
        <v/>
      </c>
      <c r="O191" s="37">
        <f>IF(AND(B191="South Korea",scenario="MID"),korea_mid_revleg,revleg_sel)</f>
        <v/>
      </c>
      <c r="P191" s="36">
        <f>IF(ABS(MOD(ABS((L191*M191*O191)),1)-0.5)&lt;1E-9,2*ROUND((L191*M191*O191)/2,0),ROUND((L191*M191*O191),0))</f>
        <v/>
      </c>
      <c r="Q191" s="37">
        <f>IF(AND(B191="South Korea",scenario="MID"),korea_mid_load,load_sel)</f>
        <v/>
      </c>
      <c r="R191" s="38">
        <f>pax_cap*Q191</f>
        <v/>
      </c>
      <c r="S191" s="36">
        <f>R191*P191</f>
        <v/>
      </c>
      <c r="T191" s="39">
        <f>E191*discount</f>
        <v/>
      </c>
      <c r="U191" s="40">
        <f>T191*S191</f>
        <v/>
      </c>
      <c r="V191" s="40">
        <f>(battery/range_nm)*D191*P191*VLOOKUP(B191,country_opex,3,FALSE)</f>
        <v/>
      </c>
      <c r="W191" s="40">
        <f>VLOOKUP(B191,country_opex,2,FALSE)*crew_factor</f>
        <v/>
      </c>
      <c r="X191" s="40">
        <f>VLOOKUP(B191,country_opex,5,FALSE)</f>
        <v/>
      </c>
      <c r="Y191" s="40">
        <f>maint</f>
        <v/>
      </c>
      <c r="Z191" s="40">
        <f>VLOOKUP(B191,country_opex,7,FALSE)*ins_pct</f>
        <v/>
      </c>
      <c r="AA191" s="40">
        <f>charge_berth</f>
        <v/>
      </c>
      <c r="AB191" s="40">
        <f>V191+W191+X191+Y191+Z191+AA191</f>
        <v/>
      </c>
      <c r="AC191" s="40">
        <f>VLOOKUP(B191,country_opex,7,FALSE)/dep_years</f>
        <v/>
      </c>
      <c r="AD191" s="40">
        <f>U191-AB191</f>
        <v/>
      </c>
      <c r="AE191" s="37">
        <f>IF(U191=0,"",AD191/U191)</f>
        <v/>
      </c>
      <c r="AF191" s="38">
        <f>IF(AD191&lt;=0,"",VLOOKUP(B191,country_opex,7,FALSE)/AD191)</f>
        <v/>
      </c>
      <c r="AG191" s="35">
        <f>((D191*P191/diesel_nmpg)*diesel_co2pg-(battery/range_nm)*D191*P191*VLOOKUP(B191,country_opex,4,FALSE))/1000</f>
        <v/>
      </c>
      <c r="AH191" s="33" t="n">
        <v>60000</v>
      </c>
      <c r="AI191" s="34" t="inlineStr">
        <is>
          <t>T5</t>
        </is>
      </c>
      <c r="AJ191" s="34" t="inlineStr">
        <is>
          <t>low</t>
        </is>
      </c>
      <c r="AK191" s="41" t="n">
        <v>0.1</v>
      </c>
      <c r="AL191" s="36">
        <f>IF(AH191="","",AH191*AK191)</f>
        <v/>
      </c>
      <c r="AM191" s="36">
        <f>IF(OR(AH191="",S191=0),"",MIN(IF(AU191="",9.9E+99,AU191),FLOOR(AL191/S191,1)))</f>
        <v/>
      </c>
      <c r="AN191" s="40">
        <f>IF(AM191="","",AM191*IF(ABS(MOD(ABS((U191)),1)-0.5)&lt;1E-9,2*ROUND((U191)/2,0),ROUND((U191),0)))</f>
        <v/>
      </c>
      <c r="AO191" s="38">
        <f>IF(OR(AH191="",S191=0),"",MIN(IF(AU191="",9.9E+99,AU191),AL191/S191))</f>
        <v/>
      </c>
      <c r="AP191" s="40">
        <f>IF(AO191="","",AO191*IF(B191="South Korea",IF(ABS(MOD(ABS((U191)),1)-0.5)&lt;1E-9,2*ROUND((U191)/2,0),ROUND((U191),0)),U191))</f>
        <v/>
      </c>
      <c r="AQ191" s="42" t="n"/>
      <c r="AR191" s="34" t="inlineStr">
        <is>
          <t>Estimated</t>
        </is>
      </c>
      <c r="AS191" s="43" t="n"/>
      <c r="AT191" s="43" t="n"/>
      <c r="AU191" s="44" t="n"/>
      <c r="AV191" s="45">
        <f>IF(((T191*pax_cap*load_thin*IF(ABS(MOD(ABS((L191*M191*revleg_thin)),1)-0.5)&lt;1E-9,2*ROUND((L191*M191*revleg_thin)/2,0),ROUND((L191*M191*revleg_thin),0)))-(((battery/range_nm)*D191*IF(ABS(MOD(ABS((L191*M191*revleg_thin)),1)-0.5)&lt;1E-9,2*ROUND((L191*M191*revleg_thin)/2,0),ROUND((L191*M191*revleg_thin),0))*VLOOKUP(B191,country_opex,3,FALSE))+W191+X191+Y191+Z191+AA191))&lt;=0,"",VLOOKUP(B191,country_opex,7,FALSE)/((T191*pax_cap*load_thin*IF(ABS(MOD(ABS((L191*M191*revleg_thin)),1)-0.5)&lt;1E-9,2*ROUND((L191*M191*revleg_thin)/2,0),ROUND((L191*M191*revleg_thin),0)))-(((battery/range_nm)*D191*IF(ABS(MOD(ABS((L191*M191*revleg_thin)),1)-0.5)&lt;1E-9,2*ROUND((L191*M191*revleg_thin)/2,0),ROUND((L191*M191*revleg_thin),0))*VLOOKUP(B191,country_opex,3,FALSE))+W191+X191+Y191+Z191+AA191)))</f>
        <v/>
      </c>
      <c r="AW191" s="45">
        <f>IF(((T191*pax_cap*IF(B191="South Korea",korea_mid_load,load_mid)*IF(ABS(MOD(ABS((L191*M191*IF(B191="South Korea",korea_mid_revleg,revleg_mid))),1)-0.5)&lt;1E-9,2*ROUND((L191*M191*IF(B191="South Korea",korea_mid_revleg,revleg_mid))/2,0),ROUND((L191*M191*IF(B191="South Korea",korea_mid_revleg,revleg_mid)),0)))-(((battery/range_nm)*D191*IF(ABS(MOD(ABS((L191*M191*IF(B191="South Korea",korea_mid_revleg,revleg_mid))),1)-0.5)&lt;1E-9,2*ROUND((L191*M191*IF(B191="South Korea",korea_mid_revleg,revleg_mid))/2,0),ROUND((L191*M191*IF(B191="South Korea",korea_mid_revleg,revleg_mid)),0))*VLOOKUP(B191,country_opex,3,FALSE))+W191+X191+Y191+Z191+AA191))&lt;=0,"",VLOOKUP(B191,country_opex,7,FALSE)/((T191*pax_cap*IF(B191="South Korea",korea_mid_load,load_mid)*IF(ABS(MOD(ABS((L191*M191*IF(B191="South Korea",korea_mid_revleg,revleg_mid))),1)-0.5)&lt;1E-9,2*ROUND((L191*M191*IF(B191="South Korea",korea_mid_revleg,revleg_mid))/2,0),ROUND((L191*M191*IF(B191="South Korea",korea_mid_revleg,revleg_mid)),0)))-(((battery/range_nm)*D191*IF(ABS(MOD(ABS((L191*M191*IF(B191="South Korea",korea_mid_revleg,revleg_mid))),1)-0.5)&lt;1E-9,2*ROUND((L191*M191*IF(B191="South Korea",korea_mid_revleg,revleg_mid))/2,0),ROUND((L191*M191*IF(B191="South Korea",korea_mid_revleg,revleg_mid)),0))*VLOOKUP(B191,country_opex,3,FALSE))+W191+X191+Y191+Z191+AA191)))</f>
        <v/>
      </c>
      <c r="AX191" s="45">
        <f>IF(((T191*pax_cap*load_full*IF(ABS(MOD(ABS((L191*M191*revleg_full)),1)-0.5)&lt;1E-9,2*ROUND((L191*M191*revleg_full)/2,0),ROUND((L191*M191*revleg_full),0)))-(((battery/range_nm)*D191*IF(ABS(MOD(ABS((L191*M191*revleg_full)),1)-0.5)&lt;1E-9,2*ROUND((L191*M191*revleg_full)/2,0),ROUND((L191*M191*revleg_full),0))*VLOOKUP(B191,country_opex,3,FALSE))+W191+X191+Y191+Z191+AA191))&lt;=0,"",VLOOKUP(B191,country_opex,7,FALSE)/((T191*pax_cap*load_full*IF(ABS(MOD(ABS((L191*M191*revleg_full)),1)-0.5)&lt;1E-9,2*ROUND((L191*M191*revleg_full)/2,0),ROUND((L191*M191*revleg_full),0)))-(((battery/range_nm)*D191*IF(ABS(MOD(ABS((L191*M191*revleg_full)),1)-0.5)&lt;1E-9,2*ROUND((L191*M191*revleg_full)/2,0),ROUND((L191*M191*revleg_full),0))*VLOOKUP(B191,country_opex,3,FALSE))+W191+X191+Y191+Z191+AA191)))</f>
        <v/>
      </c>
      <c r="AY191" s="46" t="inlineStr">
        <is>
          <t>Sir Bani Yas boat-only (~8km offshore). 3 Anantara resorts ~124 keys. Guest boat transfer FREE today (R-UAE-1) -&gt; $90 opportunity-to-create / day-guest analog. T5/low.</t>
        </is>
      </c>
      <c r="AZ191" s="46" t="inlineStr">
        <is>
          <t>Sir Bani Yas boat-only (R3-EXCEPTION). 3 Anantara resorts ~124 keys + Arabian Wildlife Park day-visitors via Jebel Dhanna ferry.</t>
        </is>
      </c>
      <c r="BA191" s="34" t="inlineStr">
        <is>
          <t>rn-08f29522c5f2</t>
        </is>
      </c>
    </row>
    <row r="192">
      <c r="A192" s="31" t="inlineStr">
        <is>
          <t>Bolt Uae</t>
        </is>
      </c>
      <c r="B192" s="31" t="inlineStr">
        <is>
          <t>United Arab Emirates</t>
        </is>
      </c>
      <c r="C192" s="32" t="inlineStr">
        <is>
          <t>Dubai Harbour Marina → Burj Al Arab Private Jetty</t>
        </is>
      </c>
      <c r="D192" s="33" t="n">
        <v>6.9</v>
      </c>
      <c r="E192" s="27" t="n">
        <v>250</v>
      </c>
      <c r="F192" s="34" t="inlineStr">
        <is>
          <t>T5</t>
        </is>
      </c>
      <c r="G192" s="34" t="inlineStr">
        <is>
          <t>low</t>
        </is>
      </c>
      <c r="H192" s="20" t="n">
        <v>1</v>
      </c>
      <c r="I192" s="35">
        <f>60*D192/cruise_kt</f>
        <v/>
      </c>
      <c r="J192" s="35">
        <f>IF(B192="South Korea",D192/korea_charge_range_nm*korea_full_range_charge_min,0)</f>
        <v/>
      </c>
      <c r="K192" s="35">
        <f>IF(B192="South Korea",I192+korea_turn_min+korea_dwell_min+J192,I192+turn_min+dwell_min)</f>
        <v/>
      </c>
      <c r="L192" s="36">
        <f>IF(B192="South Korea",FLOOR(60*korea_service_hr/K192,1),MIN(15,FLOOR(60*service_hr/K192,1)))</f>
        <v/>
      </c>
      <c r="M192" s="36">
        <f>IF(ABS(MOD(ABS((365*mech_uptime*H192)),1)-0.5)&lt;1E-9,2*ROUND((365*mech_uptime*H192)/2,0),ROUND((365*mech_uptime*H192),0))</f>
        <v/>
      </c>
      <c r="N192" s="37">
        <f>mech_uptime</f>
        <v/>
      </c>
      <c r="O192" s="37">
        <f>IF(AND(B192="South Korea",scenario="MID"),korea_mid_revleg,revleg_sel)</f>
        <v/>
      </c>
      <c r="P192" s="36">
        <f>IF(ABS(MOD(ABS((L192*M192*O192)),1)-0.5)&lt;1E-9,2*ROUND((L192*M192*O192)/2,0),ROUND((L192*M192*O192),0))</f>
        <v/>
      </c>
      <c r="Q192" s="37">
        <f>IF(AND(B192="South Korea",scenario="MID"),korea_mid_load,load_sel)</f>
        <v/>
      </c>
      <c r="R192" s="38">
        <f>pax_cap*Q192</f>
        <v/>
      </c>
      <c r="S192" s="36">
        <f>R192*P192</f>
        <v/>
      </c>
      <c r="T192" s="39">
        <f>E192*discount</f>
        <v/>
      </c>
      <c r="U192" s="40">
        <f>T192*S192</f>
        <v/>
      </c>
      <c r="V192" s="40">
        <f>(battery/range_nm)*D192*P192*VLOOKUP(B192,country_opex,3,FALSE)</f>
        <v/>
      </c>
      <c r="W192" s="40">
        <f>VLOOKUP(B192,country_opex,2,FALSE)*crew_factor</f>
        <v/>
      </c>
      <c r="X192" s="40">
        <f>VLOOKUP(B192,country_opex,5,FALSE)</f>
        <v/>
      </c>
      <c r="Y192" s="40">
        <f>maint</f>
        <v/>
      </c>
      <c r="Z192" s="40">
        <f>VLOOKUP(B192,country_opex,7,FALSE)*ins_pct</f>
        <v/>
      </c>
      <c r="AA192" s="40">
        <f>charge_berth</f>
        <v/>
      </c>
      <c r="AB192" s="40">
        <f>V192+W192+X192+Y192+Z192+AA192</f>
        <v/>
      </c>
      <c r="AC192" s="40">
        <f>VLOOKUP(B192,country_opex,7,FALSE)/dep_years</f>
        <v/>
      </c>
      <c r="AD192" s="40">
        <f>U192-AB192</f>
        <v/>
      </c>
      <c r="AE192" s="37">
        <f>IF(U192=0,"",AD192/U192)</f>
        <v/>
      </c>
      <c r="AF192" s="38">
        <f>IF(AD192&lt;=0,"",VLOOKUP(B192,country_opex,7,FALSE)/AD192)</f>
        <v/>
      </c>
      <c r="AG192" s="35">
        <f>((D192*P192/diesel_nmpg)*diesel_co2pg-(battery/range_nm)*D192*P192*VLOOKUP(B192,country_opex,4,FALSE))/1000</f>
        <v/>
      </c>
      <c r="AH192" s="33" t="n">
        <v>5000</v>
      </c>
      <c r="AI192" s="34" t="inlineStr">
        <is>
          <t>T5</t>
        </is>
      </c>
      <c r="AJ192" s="34" t="inlineStr">
        <is>
          <t>low</t>
        </is>
      </c>
      <c r="AK192" s="41" t="n">
        <v>0.1</v>
      </c>
      <c r="AL192" s="36">
        <f>IF(AH192="","",AH192*AK192)</f>
        <v/>
      </c>
      <c r="AM192" s="36">
        <f>IF(OR(AH192="",S192=0),"",MIN(IF(AU192="",9.9E+99,AU192),FLOOR(AL192/S192,1)))</f>
        <v/>
      </c>
      <c r="AN192" s="40">
        <f>IF(AM192="","",AM192*IF(ABS(MOD(ABS((U192)),1)-0.5)&lt;1E-9,2*ROUND((U192)/2,0),ROUND((U192),0)))</f>
        <v/>
      </c>
      <c r="AO192" s="38">
        <f>IF(OR(AH192="",S192=0),"",MIN(IF(AU192="",9.9E+99,AU192),AL192/S192))</f>
        <v/>
      </c>
      <c r="AP192" s="40">
        <f>IF(AO192="","",AO192*IF(B192="South Korea",IF(ABS(MOD(ABS((U192)),1)-0.5)&lt;1E-9,2*ROUND((U192)/2,0),ROUND((U192),0)),U192))</f>
        <v/>
      </c>
      <c r="AQ192" s="42" t="n"/>
      <c r="AR192" s="34" t="inlineStr">
        <is>
          <t>Estimated</t>
        </is>
      </c>
      <c r="AS192" s="43" t="n"/>
      <c r="AT192" s="43" t="n"/>
      <c r="AU192" s="44" t="n"/>
      <c r="AV192" s="45">
        <f>IF(((T192*pax_cap*load_thin*IF(ABS(MOD(ABS((L192*M192*revleg_thin)),1)-0.5)&lt;1E-9,2*ROUND((L192*M192*revleg_thin)/2,0),ROUND((L192*M192*revleg_thin),0)))-(((battery/range_nm)*D192*IF(ABS(MOD(ABS((L192*M192*revleg_thin)),1)-0.5)&lt;1E-9,2*ROUND((L192*M192*revleg_thin)/2,0),ROUND((L192*M192*revleg_thin),0))*VLOOKUP(B192,country_opex,3,FALSE))+W192+X192+Y192+Z192+AA192))&lt;=0,"",VLOOKUP(B192,country_opex,7,FALSE)/((T192*pax_cap*load_thin*IF(ABS(MOD(ABS((L192*M192*revleg_thin)),1)-0.5)&lt;1E-9,2*ROUND((L192*M192*revleg_thin)/2,0),ROUND((L192*M192*revleg_thin),0)))-(((battery/range_nm)*D192*IF(ABS(MOD(ABS((L192*M192*revleg_thin)),1)-0.5)&lt;1E-9,2*ROUND((L192*M192*revleg_thin)/2,0),ROUND((L192*M192*revleg_thin),0))*VLOOKUP(B192,country_opex,3,FALSE))+W192+X192+Y192+Z192+AA192)))</f>
        <v/>
      </c>
      <c r="AW192" s="45">
        <f>IF(((T192*pax_cap*IF(B192="South Korea",korea_mid_load,load_mid)*IF(ABS(MOD(ABS((L192*M192*IF(B192="South Korea",korea_mid_revleg,revleg_mid))),1)-0.5)&lt;1E-9,2*ROUND((L192*M192*IF(B192="South Korea",korea_mid_revleg,revleg_mid))/2,0),ROUND((L192*M192*IF(B192="South Korea",korea_mid_revleg,revleg_mid)),0)))-(((battery/range_nm)*D192*IF(ABS(MOD(ABS((L192*M192*IF(B192="South Korea",korea_mid_revleg,revleg_mid))),1)-0.5)&lt;1E-9,2*ROUND((L192*M192*IF(B192="South Korea",korea_mid_revleg,revleg_mid))/2,0),ROUND((L192*M192*IF(B192="South Korea",korea_mid_revleg,revleg_mid)),0))*VLOOKUP(B192,country_opex,3,FALSE))+W192+X192+Y192+Z192+AA192))&lt;=0,"",VLOOKUP(B192,country_opex,7,FALSE)/((T192*pax_cap*IF(B192="South Korea",korea_mid_load,load_mid)*IF(ABS(MOD(ABS((L192*M192*IF(B192="South Korea",korea_mid_revleg,revleg_mid))),1)-0.5)&lt;1E-9,2*ROUND((L192*M192*IF(B192="South Korea",korea_mid_revleg,revleg_mid))/2,0),ROUND((L192*M192*IF(B192="South Korea",korea_mid_revleg,revleg_mid)),0)))-(((battery/range_nm)*D192*IF(ABS(MOD(ABS((L192*M192*IF(B192="South Korea",korea_mid_revleg,revleg_mid))),1)-0.5)&lt;1E-9,2*ROUND((L192*M192*IF(B192="South Korea",korea_mid_revleg,revleg_mid))/2,0),ROUND((L192*M192*IF(B192="South Korea",korea_mid_revleg,revleg_mid)),0))*VLOOKUP(B192,country_opex,3,FALSE))+W192+X192+Y192+Z192+AA192)))</f>
        <v/>
      </c>
      <c r="AX192" s="45">
        <f>IF(((T192*pax_cap*load_full*IF(ABS(MOD(ABS((L192*M192*revleg_full)),1)-0.5)&lt;1E-9,2*ROUND((L192*M192*revleg_full)/2,0),ROUND((L192*M192*revleg_full),0)))-(((battery/range_nm)*D192*IF(ABS(MOD(ABS((L192*M192*revleg_full)),1)-0.5)&lt;1E-9,2*ROUND((L192*M192*revleg_full)/2,0),ROUND((L192*M192*revleg_full),0))*VLOOKUP(B192,country_opex,3,FALSE))+W192+X192+Y192+Z192+AA192))&lt;=0,"",VLOOKUP(B192,country_opex,7,FALSE)/((T192*pax_cap*load_full*IF(ABS(MOD(ABS((L192*M192*revleg_full)),1)-0.5)&lt;1E-9,2*ROUND((L192*M192*revleg_full)/2,0),ROUND((L192*M192*revleg_full),0)))-(((battery/range_nm)*D192*IF(ABS(MOD(ABS((L192*M192*revleg_full)),1)-0.5)&lt;1E-9,2*ROUND((L192*M192*revleg_full)/2,0),ROUND((L192*M192*revleg_full),0))*VLOOKUP(B192,country_opex,3,FALSE))+W192+X192+Y192+Z192+AA192)))</f>
        <v/>
      </c>
      <c r="AY192" s="46" t="inlineStr">
        <is>
          <t>Burj Al Arab (202 suites) road-served; iconic signature marine arrival. T5/low.</t>
        </is>
      </c>
      <c r="AZ192" s="46" t="inlineStr">
        <is>
          <t>OPT-IN only (R3-LAND). 202 suites x occ -&gt; modest base + experiential day-guest yacht-arrivals.</t>
        </is>
      </c>
      <c r="BA192" s="34" t="inlineStr">
        <is>
          <t>rn-06eef0dc0a9a</t>
        </is>
      </c>
    </row>
    <row r="193">
      <c r="A193" s="31" t="inlineStr">
        <is>
          <t>Bolt Uae</t>
        </is>
      </c>
      <c r="B193" s="31" t="inlineStr">
        <is>
          <t>United Arab Emirates</t>
        </is>
      </c>
      <c r="C193" s="32" t="inlineStr">
        <is>
          <t>Marina Mall / Breakwater Marina → Reem Island Marina (Najmat / Marina Square)</t>
        </is>
      </c>
      <c r="D193" s="33" t="n">
        <v>7.1</v>
      </c>
      <c r="E193" s="27" t="n">
        <v>60</v>
      </c>
      <c r="F193" s="34" t="inlineStr">
        <is>
          <t>T4</t>
        </is>
      </c>
      <c r="G193" s="34" t="inlineStr">
        <is>
          <t>low</t>
        </is>
      </c>
      <c r="H193" s="20" t="n">
        <v>1</v>
      </c>
      <c r="I193" s="35">
        <f>60*D193/cruise_kt</f>
        <v/>
      </c>
      <c r="J193" s="35">
        <f>IF(B193="South Korea",D193/korea_charge_range_nm*korea_full_range_charge_min,0)</f>
        <v/>
      </c>
      <c r="K193" s="35">
        <f>IF(B193="South Korea",I193+korea_turn_min+korea_dwell_min+J193,I193+turn_min+dwell_min)</f>
        <v/>
      </c>
      <c r="L193" s="36">
        <f>IF(B193="South Korea",FLOOR(60*korea_service_hr/K193,1),MIN(15,FLOOR(60*service_hr/K193,1)))</f>
        <v/>
      </c>
      <c r="M193" s="36">
        <f>IF(ABS(MOD(ABS((365*mech_uptime*H193)),1)-0.5)&lt;1E-9,2*ROUND((365*mech_uptime*H193)/2,0),ROUND((365*mech_uptime*H193),0))</f>
        <v/>
      </c>
      <c r="N193" s="37">
        <f>mech_uptime</f>
        <v/>
      </c>
      <c r="O193" s="37">
        <f>IF(AND(B193="South Korea",scenario="MID"),korea_mid_revleg,revleg_sel)</f>
        <v/>
      </c>
      <c r="P193" s="36">
        <f>IF(ABS(MOD(ABS((L193*M193*O193)),1)-0.5)&lt;1E-9,2*ROUND((L193*M193*O193)/2,0),ROUND((L193*M193*O193),0))</f>
        <v/>
      </c>
      <c r="Q193" s="37">
        <f>IF(AND(B193="South Korea",scenario="MID"),korea_mid_load,load_sel)</f>
        <v/>
      </c>
      <c r="R193" s="38">
        <f>pax_cap*Q193</f>
        <v/>
      </c>
      <c r="S193" s="36">
        <f>R193*P193</f>
        <v/>
      </c>
      <c r="T193" s="39">
        <f>E193*discount</f>
        <v/>
      </c>
      <c r="U193" s="40">
        <f>T193*S193</f>
        <v/>
      </c>
      <c r="V193" s="40">
        <f>(battery/range_nm)*D193*P193*VLOOKUP(B193,country_opex,3,FALSE)</f>
        <v/>
      </c>
      <c r="W193" s="40">
        <f>VLOOKUP(B193,country_opex,2,FALSE)*crew_factor</f>
        <v/>
      </c>
      <c r="X193" s="40">
        <f>VLOOKUP(B193,country_opex,5,FALSE)</f>
        <v/>
      </c>
      <c r="Y193" s="40">
        <f>maint</f>
        <v/>
      </c>
      <c r="Z193" s="40">
        <f>VLOOKUP(B193,country_opex,7,FALSE)*ins_pct</f>
        <v/>
      </c>
      <c r="AA193" s="40">
        <f>charge_berth</f>
        <v/>
      </c>
      <c r="AB193" s="40">
        <f>V193+W193+X193+Y193+Z193+AA193</f>
        <v/>
      </c>
      <c r="AC193" s="40">
        <f>VLOOKUP(B193,country_opex,7,FALSE)/dep_years</f>
        <v/>
      </c>
      <c r="AD193" s="40">
        <f>U193-AB193</f>
        <v/>
      </c>
      <c r="AE193" s="37">
        <f>IF(U193=0,"",AD193/U193)</f>
        <v/>
      </c>
      <c r="AF193" s="38">
        <f>IF(AD193&lt;=0,"",VLOOKUP(B193,country_opex,7,FALSE)/AD193)</f>
        <v/>
      </c>
      <c r="AG193" s="35">
        <f>((D193*P193/diesel_nmpg)*diesel_co2pg-(battery/range_nm)*D193*P193*VLOOKUP(B193,country_opex,4,FALSE))/1000</f>
        <v/>
      </c>
      <c r="AH193" s="33" t="n">
        <v>35000</v>
      </c>
      <c r="AI193" s="34" t="inlineStr">
        <is>
          <t>T3</t>
        </is>
      </c>
      <c r="AJ193" s="34" t="inlineStr">
        <is>
          <t>low</t>
        </is>
      </c>
      <c r="AK193" s="41" t="n">
        <v>0.1</v>
      </c>
      <c r="AL193" s="36">
        <f>IF(AH193="","",AH193*AK193)</f>
        <v/>
      </c>
      <c r="AM193" s="36">
        <f>IF(OR(AH193="",S193=0),"",MIN(IF(AU193="",9.9E+99,AU193),FLOOR(AL193/S193,1)))</f>
        <v/>
      </c>
      <c r="AN193" s="40">
        <f>IF(AM193="","",AM193*IF(ABS(MOD(ABS((U193)),1)-0.5)&lt;1E-9,2*ROUND((U193)/2,0),ROUND((U193),0)))</f>
        <v/>
      </c>
      <c r="AO193" s="38">
        <f>IF(OR(AH193="",S193=0),"",MIN(IF(AU193="",9.9E+99,AU193),AL193/S193))</f>
        <v/>
      </c>
      <c r="AP193" s="40">
        <f>IF(AO193="","",AO193*IF(B193="South Korea",IF(ABS(MOD(ABS((U193)),1)-0.5)&lt;1E-9,2*ROUND((U193)/2,0),ROUND((U193),0)),U193))</f>
        <v/>
      </c>
      <c r="AQ193" s="42" t="n"/>
      <c r="AR193" s="34" t="inlineStr">
        <is>
          <t>Estimated</t>
        </is>
      </c>
      <c r="AS193" s="43" t="n"/>
      <c r="AT193" s="43" t="n"/>
      <c r="AU193" s="44" t="n"/>
      <c r="AV193" s="45">
        <f>IF(((T193*pax_cap*load_thin*IF(ABS(MOD(ABS((L193*M193*revleg_thin)),1)-0.5)&lt;1E-9,2*ROUND((L193*M193*revleg_thin)/2,0),ROUND((L193*M193*revleg_thin),0)))-(((battery/range_nm)*D193*IF(ABS(MOD(ABS((L193*M193*revleg_thin)),1)-0.5)&lt;1E-9,2*ROUND((L193*M193*revleg_thin)/2,0),ROUND((L193*M193*revleg_thin),0))*VLOOKUP(B193,country_opex,3,FALSE))+W193+X193+Y193+Z193+AA193))&lt;=0,"",VLOOKUP(B193,country_opex,7,FALSE)/((T193*pax_cap*load_thin*IF(ABS(MOD(ABS((L193*M193*revleg_thin)),1)-0.5)&lt;1E-9,2*ROUND((L193*M193*revleg_thin)/2,0),ROUND((L193*M193*revleg_thin),0)))-(((battery/range_nm)*D193*IF(ABS(MOD(ABS((L193*M193*revleg_thin)),1)-0.5)&lt;1E-9,2*ROUND((L193*M193*revleg_thin)/2,0),ROUND((L193*M193*revleg_thin),0))*VLOOKUP(B193,country_opex,3,FALSE))+W193+X193+Y193+Z193+AA193)))</f>
        <v/>
      </c>
      <c r="AW193" s="45">
        <f>IF(((T193*pax_cap*IF(B193="South Korea",korea_mid_load,load_mid)*IF(ABS(MOD(ABS((L193*M193*IF(B193="South Korea",korea_mid_revleg,revleg_mid))),1)-0.5)&lt;1E-9,2*ROUND((L193*M193*IF(B193="South Korea",korea_mid_revleg,revleg_mid))/2,0),ROUND((L193*M193*IF(B193="South Korea",korea_mid_revleg,revleg_mid)),0)))-(((battery/range_nm)*D193*IF(ABS(MOD(ABS((L193*M193*IF(B193="South Korea",korea_mid_revleg,revleg_mid))),1)-0.5)&lt;1E-9,2*ROUND((L193*M193*IF(B193="South Korea",korea_mid_revleg,revleg_mid))/2,0),ROUND((L193*M193*IF(B193="South Korea",korea_mid_revleg,revleg_mid)),0))*VLOOKUP(B193,country_opex,3,FALSE))+W193+X193+Y193+Z193+AA193))&lt;=0,"",VLOOKUP(B193,country_opex,7,FALSE)/((T193*pax_cap*IF(B193="South Korea",korea_mid_load,load_mid)*IF(ABS(MOD(ABS((L193*M193*IF(B193="South Korea",korea_mid_revleg,revleg_mid))),1)-0.5)&lt;1E-9,2*ROUND((L193*M193*IF(B193="South Korea",korea_mid_revleg,revleg_mid))/2,0),ROUND((L193*M193*IF(B193="South Korea",korea_mid_revleg,revleg_mid)),0)))-(((battery/range_nm)*D193*IF(ABS(MOD(ABS((L193*M193*IF(B193="South Korea",korea_mid_revleg,revleg_mid))),1)-0.5)&lt;1E-9,2*ROUND((L193*M193*IF(B193="South Korea",korea_mid_revleg,revleg_mid))/2,0),ROUND((L193*M193*IF(B193="South Korea",korea_mid_revleg,revleg_mid)),0))*VLOOKUP(B193,country_opex,3,FALSE))+W193+X193+Y193+Z193+AA193)))</f>
        <v/>
      </c>
      <c r="AX193" s="45">
        <f>IF(((T193*pax_cap*load_full*IF(ABS(MOD(ABS((L193*M193*revleg_full)),1)-0.5)&lt;1E-9,2*ROUND((L193*M193*revleg_full)/2,0),ROUND((L193*M193*revleg_full),0)))-(((battery/range_nm)*D193*IF(ABS(MOD(ABS((L193*M193*revleg_full)),1)-0.5)&lt;1E-9,2*ROUND((L193*M193*revleg_full)/2,0),ROUND((L193*M193*revleg_full),0))*VLOOKUP(B193,country_opex,3,FALSE))+W193+X193+Y193+Z193+AA193))&lt;=0,"",VLOOKUP(B193,country_opex,7,FALSE)/((T193*pax_cap*load_full*IF(ABS(MOD(ABS((L193*M193*revleg_full)),1)-0.5)&lt;1E-9,2*ROUND((L193*M193*revleg_full)/2,0),ROUND((L193*M193*revleg_full),0)))-(((battery/range_nm)*D193*IF(ABS(MOD(ABS((L193*M193*revleg_full)),1)-0.5)&lt;1E-9,2*ROUND((L193*M193*revleg_full)/2,0),ROUND((L193*M193*revleg_full),0))*VLOOKUP(B193,country_opex,3,FALSE))+W193+X193+Y193+Z193+AA193)))</f>
        <v/>
      </c>
      <c r="AY193" s="46" t="inlineStr">
        <is>
          <t>RTA/Dubai-Ferry official ladder (R-RTA, T1): Water Taxi on-demand single AED 150/pax = $40.8; Dubai Ferry Gold AED 75 = $20.4, Silver AED 50 = $13.6; Water Bus AED 7; Abra AED 1. dubai-ferry.com / rta.ae 2025/26. Reem Island (Najmat/Marina Square).</t>
        </is>
      </c>
      <c r="AZ193" s="46" t="inlineStr">
        <is>
          <t>UAE-DEMAND-ANCHORS-2026-06-17.json — tier-based addressable pool derived from sourcing wave anchors (hotel keys × occ × shuttle adoption, marina activity, RTA marine baseline).</t>
        </is>
      </c>
      <c r="BA193" s="34" t="inlineStr">
        <is>
          <t>rn-4a56839963b5</t>
        </is>
      </c>
    </row>
    <row r="194">
      <c r="A194" s="31" t="inlineStr">
        <is>
          <t>Bolt Uae</t>
        </is>
      </c>
      <c r="B194" s="31" t="inlineStr">
        <is>
          <t>United Arab Emirates</t>
        </is>
      </c>
      <c r="C194" s="32" t="inlineStr">
        <is>
          <t>Dubai Harbour Marina → Anantara World Islands Resort Jetty (planned)</t>
        </is>
      </c>
      <c r="D194" s="33" t="n">
        <v>7.9</v>
      </c>
      <c r="E194" s="27" t="n">
        <v>80</v>
      </c>
      <c r="F194" s="34" t="inlineStr">
        <is>
          <t>T4</t>
        </is>
      </c>
      <c r="G194" s="34" t="inlineStr">
        <is>
          <t>low</t>
        </is>
      </c>
      <c r="H194" s="20" t="n">
        <v>1</v>
      </c>
      <c r="I194" s="35">
        <f>60*D194/cruise_kt</f>
        <v/>
      </c>
      <c r="J194" s="35">
        <f>IF(B194="South Korea",D194/korea_charge_range_nm*korea_full_range_charge_min,0)</f>
        <v/>
      </c>
      <c r="K194" s="35">
        <f>IF(B194="South Korea",I194+korea_turn_min+korea_dwell_min+J194,I194+turn_min+dwell_min)</f>
        <v/>
      </c>
      <c r="L194" s="36">
        <f>IF(B194="South Korea",FLOOR(60*korea_service_hr/K194,1),MIN(15,FLOOR(60*service_hr/K194,1)))</f>
        <v/>
      </c>
      <c r="M194" s="36">
        <f>IF(ABS(MOD(ABS((365*mech_uptime*H194)),1)-0.5)&lt;1E-9,2*ROUND((365*mech_uptime*H194)/2,0),ROUND((365*mech_uptime*H194),0))</f>
        <v/>
      </c>
      <c r="N194" s="37">
        <f>mech_uptime</f>
        <v/>
      </c>
      <c r="O194" s="37">
        <f>IF(AND(B194="South Korea",scenario="MID"),korea_mid_revleg,revleg_sel)</f>
        <v/>
      </c>
      <c r="P194" s="36">
        <f>IF(ABS(MOD(ABS((L194*M194*O194)),1)-0.5)&lt;1E-9,2*ROUND((L194*M194*O194)/2,0),ROUND((L194*M194*O194),0))</f>
        <v/>
      </c>
      <c r="Q194" s="37">
        <f>IF(AND(B194="South Korea",scenario="MID"),korea_mid_load,load_sel)</f>
        <v/>
      </c>
      <c r="R194" s="38">
        <f>pax_cap*Q194</f>
        <v/>
      </c>
      <c r="S194" s="36">
        <f>R194*P194</f>
        <v/>
      </c>
      <c r="T194" s="39">
        <f>E194*discount</f>
        <v/>
      </c>
      <c r="U194" s="40">
        <f>T194*S194</f>
        <v/>
      </c>
      <c r="V194" s="40">
        <f>(battery/range_nm)*D194*P194*VLOOKUP(B194,country_opex,3,FALSE)</f>
        <v/>
      </c>
      <c r="W194" s="40">
        <f>VLOOKUP(B194,country_opex,2,FALSE)*crew_factor</f>
        <v/>
      </c>
      <c r="X194" s="40">
        <f>VLOOKUP(B194,country_opex,5,FALSE)</f>
        <v/>
      </c>
      <c r="Y194" s="40">
        <f>maint</f>
        <v/>
      </c>
      <c r="Z194" s="40">
        <f>VLOOKUP(B194,country_opex,7,FALSE)*ins_pct</f>
        <v/>
      </c>
      <c r="AA194" s="40">
        <f>charge_berth</f>
        <v/>
      </c>
      <c r="AB194" s="40">
        <f>V194+W194+X194+Y194+Z194+AA194</f>
        <v/>
      </c>
      <c r="AC194" s="40">
        <f>VLOOKUP(B194,country_opex,7,FALSE)/dep_years</f>
        <v/>
      </c>
      <c r="AD194" s="40">
        <f>U194-AB194</f>
        <v/>
      </c>
      <c r="AE194" s="37">
        <f>IF(U194=0,"",AD194/U194)</f>
        <v/>
      </c>
      <c r="AF194" s="38">
        <f>IF(AD194&lt;=0,"",VLOOKUP(B194,country_opex,7,FALSE)/AD194)</f>
        <v/>
      </c>
      <c r="AG194" s="35">
        <f>((D194*P194/diesel_nmpg)*diesel_co2pg-(battery/range_nm)*D194*P194*VLOOKUP(B194,country_opex,4,FALSE))/1000</f>
        <v/>
      </c>
      <c r="AH194" s="33" t="n">
        <v>30000</v>
      </c>
      <c r="AI194" s="34" t="inlineStr">
        <is>
          <t>T5</t>
        </is>
      </c>
      <c r="AJ194" s="34" t="inlineStr">
        <is>
          <t>low</t>
        </is>
      </c>
      <c r="AK194" s="41" t="n">
        <v>0.1</v>
      </c>
      <c r="AL194" s="36">
        <f>IF(AH194="","",AH194*AK194)</f>
        <v/>
      </c>
      <c r="AM194" s="36">
        <f>IF(OR(AH194="",S194=0),"",MIN(IF(AU194="",9.9E+99,AU194),FLOOR(AL194/S194,1)))</f>
        <v/>
      </c>
      <c r="AN194" s="40">
        <f>IF(AM194="","",AM194*IF(ABS(MOD(ABS((U194)),1)-0.5)&lt;1E-9,2*ROUND((U194)/2,0),ROUND((U194),0)))</f>
        <v/>
      </c>
      <c r="AO194" s="38">
        <f>IF(OR(AH194="",S194=0),"",MIN(IF(AU194="",9.9E+99,AU194),AL194/S194))</f>
        <v/>
      </c>
      <c r="AP194" s="40">
        <f>IF(AO194="","",AO194*IF(B194="South Korea",IF(ABS(MOD(ABS((U194)),1)-0.5)&lt;1E-9,2*ROUND((U194)/2,0),ROUND((U194),0)),U194))</f>
        <v/>
      </c>
      <c r="AQ194" s="42" t="n"/>
      <c r="AR194" s="34" t="inlineStr">
        <is>
          <t>Estimated</t>
        </is>
      </c>
      <c r="AS194" s="43" t="n"/>
      <c r="AT194" s="43" t="n"/>
      <c r="AU194" s="44" t="n"/>
      <c r="AV194" s="45">
        <f>IF(((T194*pax_cap*load_thin*IF(ABS(MOD(ABS((L194*M194*revleg_thin)),1)-0.5)&lt;1E-9,2*ROUND((L194*M194*revleg_thin)/2,0),ROUND((L194*M194*revleg_thin),0)))-(((battery/range_nm)*D194*IF(ABS(MOD(ABS((L194*M194*revleg_thin)),1)-0.5)&lt;1E-9,2*ROUND((L194*M194*revleg_thin)/2,0),ROUND((L194*M194*revleg_thin),0))*VLOOKUP(B194,country_opex,3,FALSE))+W194+X194+Y194+Z194+AA194))&lt;=0,"",VLOOKUP(B194,country_opex,7,FALSE)/((T194*pax_cap*load_thin*IF(ABS(MOD(ABS((L194*M194*revleg_thin)),1)-0.5)&lt;1E-9,2*ROUND((L194*M194*revleg_thin)/2,0),ROUND((L194*M194*revleg_thin),0)))-(((battery/range_nm)*D194*IF(ABS(MOD(ABS((L194*M194*revleg_thin)),1)-0.5)&lt;1E-9,2*ROUND((L194*M194*revleg_thin)/2,0),ROUND((L194*M194*revleg_thin),0))*VLOOKUP(B194,country_opex,3,FALSE))+W194+X194+Y194+Z194+AA194)))</f>
        <v/>
      </c>
      <c r="AW194" s="45">
        <f>IF(((T194*pax_cap*IF(B194="South Korea",korea_mid_load,load_mid)*IF(ABS(MOD(ABS((L194*M194*IF(B194="South Korea",korea_mid_revleg,revleg_mid))),1)-0.5)&lt;1E-9,2*ROUND((L194*M194*IF(B194="South Korea",korea_mid_revleg,revleg_mid))/2,0),ROUND((L194*M194*IF(B194="South Korea",korea_mid_revleg,revleg_mid)),0)))-(((battery/range_nm)*D194*IF(ABS(MOD(ABS((L194*M194*IF(B194="South Korea",korea_mid_revleg,revleg_mid))),1)-0.5)&lt;1E-9,2*ROUND((L194*M194*IF(B194="South Korea",korea_mid_revleg,revleg_mid))/2,0),ROUND((L194*M194*IF(B194="South Korea",korea_mid_revleg,revleg_mid)),0))*VLOOKUP(B194,country_opex,3,FALSE))+W194+X194+Y194+Z194+AA194))&lt;=0,"",VLOOKUP(B194,country_opex,7,FALSE)/((T194*pax_cap*IF(B194="South Korea",korea_mid_load,load_mid)*IF(ABS(MOD(ABS((L194*M194*IF(B194="South Korea",korea_mid_revleg,revleg_mid))),1)-0.5)&lt;1E-9,2*ROUND((L194*M194*IF(B194="South Korea",korea_mid_revleg,revleg_mid))/2,0),ROUND((L194*M194*IF(B194="South Korea",korea_mid_revleg,revleg_mid)),0)))-(((battery/range_nm)*D194*IF(ABS(MOD(ABS((L194*M194*IF(B194="South Korea",korea_mid_revleg,revleg_mid))),1)-0.5)&lt;1E-9,2*ROUND((L194*M194*IF(B194="South Korea",korea_mid_revleg,revleg_mid))/2,0),ROUND((L194*M194*IF(B194="South Korea",korea_mid_revleg,revleg_mid)),0))*VLOOKUP(B194,country_opex,3,FALSE))+W194+X194+Y194+Z194+AA194)))</f>
        <v/>
      </c>
      <c r="AX194" s="45">
        <f>IF(((T194*pax_cap*load_full*IF(ABS(MOD(ABS((L194*M194*revleg_full)),1)-0.5)&lt;1E-9,2*ROUND((L194*M194*revleg_full)/2,0),ROUND((L194*M194*revleg_full),0)))-(((battery/range_nm)*D194*IF(ABS(MOD(ABS((L194*M194*revleg_full)),1)-0.5)&lt;1E-9,2*ROUND((L194*M194*revleg_full)/2,0),ROUND((L194*M194*revleg_full),0))*VLOOKUP(B194,country_opex,3,FALSE))+W194+X194+Y194+Z194+AA194))&lt;=0,"",VLOOKUP(B194,country_opex,7,FALSE)/((T194*pax_cap*load_full*IF(ABS(MOD(ABS((L194*M194*revleg_full)),1)-0.5)&lt;1E-9,2*ROUND((L194*M194*revleg_full)/2,0),ROUND((L194*M194*revleg_full),0)))-(((battery/range_nm)*D194*IF(ABS(MOD(ABS((L194*M194*revleg_full)),1)-0.5)&lt;1E-9,2*ROUND((L194*M194*revleg_full)/2,0),ROUND((L194*M194*revleg_full),0))*VLOOKUP(B194,country_opex,3,FALSE))+W194+X194+Y194+Z194+AA194)))</f>
        <v/>
      </c>
      <c r="AY194" s="46" t="inlineStr">
        <is>
          <t>Anantara World Islands Resort (boat-only; Forbes/Expedia 'accessible only by boat'). Resort shuttle ~AED 150/pax RETURN (~$20/way); premium per-seat modeled $80.</t>
        </is>
      </c>
      <c r="AZ194" s="46" t="inlineStr">
        <is>
          <t>Boot-only -&gt; arrivals=crossing ridership FULLY addressable (R3-EXCEPTION). ~70 keys x ~65% occ + day-guests.</t>
        </is>
      </c>
      <c r="BA194" s="34" t="inlineStr">
        <is>
          <t>rn-a0295522defb</t>
        </is>
      </c>
    </row>
    <row r="195">
      <c r="A195" s="31" t="inlineStr">
        <is>
          <t>Bolt Uae</t>
        </is>
      </c>
      <c r="B195" s="31" t="inlineStr">
        <is>
          <t>United Arab Emirates</t>
        </is>
      </c>
      <c r="C195" s="32" t="inlineStr">
        <is>
          <t>Saadiyat Beach Club Jetty → Marina Mall / Breakwater Marina</t>
        </is>
      </c>
      <c r="D195" s="33" t="n">
        <v>8.9</v>
      </c>
      <c r="E195" s="27" t="n">
        <v>70</v>
      </c>
      <c r="F195" s="34" t="inlineStr">
        <is>
          <t>T4</t>
        </is>
      </c>
      <c r="G195" s="34" t="inlineStr">
        <is>
          <t>low</t>
        </is>
      </c>
      <c r="H195" s="20" t="n">
        <v>1</v>
      </c>
      <c r="I195" s="35">
        <f>60*D195/cruise_kt</f>
        <v/>
      </c>
      <c r="J195" s="35">
        <f>IF(B195="South Korea",D195/korea_charge_range_nm*korea_full_range_charge_min,0)</f>
        <v/>
      </c>
      <c r="K195" s="35">
        <f>IF(B195="South Korea",I195+korea_turn_min+korea_dwell_min+J195,I195+turn_min+dwell_min)</f>
        <v/>
      </c>
      <c r="L195" s="36">
        <f>IF(B195="South Korea",FLOOR(60*korea_service_hr/K195,1),MIN(15,FLOOR(60*service_hr/K195,1)))</f>
        <v/>
      </c>
      <c r="M195" s="36">
        <f>IF(ABS(MOD(ABS((365*mech_uptime*H195)),1)-0.5)&lt;1E-9,2*ROUND((365*mech_uptime*H195)/2,0),ROUND((365*mech_uptime*H195),0))</f>
        <v/>
      </c>
      <c r="N195" s="37">
        <f>mech_uptime</f>
        <v/>
      </c>
      <c r="O195" s="37">
        <f>IF(AND(B195="South Korea",scenario="MID"),korea_mid_revleg,revleg_sel)</f>
        <v/>
      </c>
      <c r="P195" s="36">
        <f>IF(ABS(MOD(ABS((L195*M195*O195)),1)-0.5)&lt;1E-9,2*ROUND((L195*M195*O195)/2,0),ROUND((L195*M195*O195),0))</f>
        <v/>
      </c>
      <c r="Q195" s="37">
        <f>IF(AND(B195="South Korea",scenario="MID"),korea_mid_load,load_sel)</f>
        <v/>
      </c>
      <c r="R195" s="38">
        <f>pax_cap*Q195</f>
        <v/>
      </c>
      <c r="S195" s="36">
        <f>R195*P195</f>
        <v/>
      </c>
      <c r="T195" s="39">
        <f>E195*discount</f>
        <v/>
      </c>
      <c r="U195" s="40">
        <f>T195*S195</f>
        <v/>
      </c>
      <c r="V195" s="40">
        <f>(battery/range_nm)*D195*P195*VLOOKUP(B195,country_opex,3,FALSE)</f>
        <v/>
      </c>
      <c r="W195" s="40">
        <f>VLOOKUP(B195,country_opex,2,FALSE)*crew_factor</f>
        <v/>
      </c>
      <c r="X195" s="40">
        <f>VLOOKUP(B195,country_opex,5,FALSE)</f>
        <v/>
      </c>
      <c r="Y195" s="40">
        <f>maint</f>
        <v/>
      </c>
      <c r="Z195" s="40">
        <f>VLOOKUP(B195,country_opex,7,FALSE)*ins_pct</f>
        <v/>
      </c>
      <c r="AA195" s="40">
        <f>charge_berth</f>
        <v/>
      </c>
      <c r="AB195" s="40">
        <f>V195+W195+X195+Y195+Z195+AA195</f>
        <v/>
      </c>
      <c r="AC195" s="40">
        <f>VLOOKUP(B195,country_opex,7,FALSE)/dep_years</f>
        <v/>
      </c>
      <c r="AD195" s="40">
        <f>U195-AB195</f>
        <v/>
      </c>
      <c r="AE195" s="37">
        <f>IF(U195=0,"",AD195/U195)</f>
        <v/>
      </c>
      <c r="AF195" s="38">
        <f>IF(AD195&lt;=0,"",VLOOKUP(B195,country_opex,7,FALSE)/AD195)</f>
        <v/>
      </c>
      <c r="AG195" s="35">
        <f>((D195*P195/diesel_nmpg)*diesel_co2pg-(battery/range_nm)*D195*P195*VLOOKUP(B195,country_opex,4,FALSE))/1000</f>
        <v/>
      </c>
      <c r="AH195" s="33" t="n">
        <v>25000</v>
      </c>
      <c r="AI195" s="34" t="inlineStr">
        <is>
          <t>T3</t>
        </is>
      </c>
      <c r="AJ195" s="34" t="inlineStr">
        <is>
          <t>low</t>
        </is>
      </c>
      <c r="AK195" s="41" t="n">
        <v>0.1</v>
      </c>
      <c r="AL195" s="36">
        <f>IF(AH195="","",AH195*AK195)</f>
        <v/>
      </c>
      <c r="AM195" s="36">
        <f>IF(OR(AH195="",S195=0),"",MIN(IF(AU195="",9.9E+99,AU195),FLOOR(AL195/S195,1)))</f>
        <v/>
      </c>
      <c r="AN195" s="40">
        <f>IF(AM195="","",AM195*IF(ABS(MOD(ABS((U195)),1)-0.5)&lt;1E-9,2*ROUND((U195)/2,0),ROUND((U195),0)))</f>
        <v/>
      </c>
      <c r="AO195" s="38">
        <f>IF(OR(AH195="",S195=0),"",MIN(IF(AU195="",9.9E+99,AU195),AL195/S195))</f>
        <v/>
      </c>
      <c r="AP195" s="40">
        <f>IF(AO195="","",AO195*IF(B195="South Korea",IF(ABS(MOD(ABS((U195)),1)-0.5)&lt;1E-9,2*ROUND((U195)/2,0),ROUND((U195),0)),U195))</f>
        <v/>
      </c>
      <c r="AQ195" s="42" t="n"/>
      <c r="AR195" s="34" t="inlineStr">
        <is>
          <t>Estimated</t>
        </is>
      </c>
      <c r="AS195" s="43" t="n"/>
      <c r="AT195" s="43" t="n"/>
      <c r="AU195" s="44" t="n"/>
      <c r="AV195" s="45">
        <f>IF(((T195*pax_cap*load_thin*IF(ABS(MOD(ABS((L195*M195*revleg_thin)),1)-0.5)&lt;1E-9,2*ROUND((L195*M195*revleg_thin)/2,0),ROUND((L195*M195*revleg_thin),0)))-(((battery/range_nm)*D195*IF(ABS(MOD(ABS((L195*M195*revleg_thin)),1)-0.5)&lt;1E-9,2*ROUND((L195*M195*revleg_thin)/2,0),ROUND((L195*M195*revleg_thin),0))*VLOOKUP(B195,country_opex,3,FALSE))+W195+X195+Y195+Z195+AA195))&lt;=0,"",VLOOKUP(B195,country_opex,7,FALSE)/((T195*pax_cap*load_thin*IF(ABS(MOD(ABS((L195*M195*revleg_thin)),1)-0.5)&lt;1E-9,2*ROUND((L195*M195*revleg_thin)/2,0),ROUND((L195*M195*revleg_thin),0)))-(((battery/range_nm)*D195*IF(ABS(MOD(ABS((L195*M195*revleg_thin)),1)-0.5)&lt;1E-9,2*ROUND((L195*M195*revleg_thin)/2,0),ROUND((L195*M195*revleg_thin),0))*VLOOKUP(B195,country_opex,3,FALSE))+W195+X195+Y195+Z195+AA195)))</f>
        <v/>
      </c>
      <c r="AW195" s="45">
        <f>IF(((T195*pax_cap*IF(B195="South Korea",korea_mid_load,load_mid)*IF(ABS(MOD(ABS((L195*M195*IF(B195="South Korea",korea_mid_revleg,revleg_mid))),1)-0.5)&lt;1E-9,2*ROUND((L195*M195*IF(B195="South Korea",korea_mid_revleg,revleg_mid))/2,0),ROUND((L195*M195*IF(B195="South Korea",korea_mid_revleg,revleg_mid)),0)))-(((battery/range_nm)*D195*IF(ABS(MOD(ABS((L195*M195*IF(B195="South Korea",korea_mid_revleg,revleg_mid))),1)-0.5)&lt;1E-9,2*ROUND((L195*M195*IF(B195="South Korea",korea_mid_revleg,revleg_mid))/2,0),ROUND((L195*M195*IF(B195="South Korea",korea_mid_revleg,revleg_mid)),0))*VLOOKUP(B195,country_opex,3,FALSE))+W195+X195+Y195+Z195+AA195))&lt;=0,"",VLOOKUP(B195,country_opex,7,FALSE)/((T195*pax_cap*IF(B195="South Korea",korea_mid_load,load_mid)*IF(ABS(MOD(ABS((L195*M195*IF(B195="South Korea",korea_mid_revleg,revleg_mid))),1)-0.5)&lt;1E-9,2*ROUND((L195*M195*IF(B195="South Korea",korea_mid_revleg,revleg_mid))/2,0),ROUND((L195*M195*IF(B195="South Korea",korea_mid_revleg,revleg_mid)),0)))-(((battery/range_nm)*D195*IF(ABS(MOD(ABS((L195*M195*IF(B195="South Korea",korea_mid_revleg,revleg_mid))),1)-0.5)&lt;1E-9,2*ROUND((L195*M195*IF(B195="South Korea",korea_mid_revleg,revleg_mid))/2,0),ROUND((L195*M195*IF(B195="South Korea",korea_mid_revleg,revleg_mid)),0))*VLOOKUP(B195,country_opex,3,FALSE))+W195+X195+Y195+Z195+AA195)))</f>
        <v/>
      </c>
      <c r="AX195" s="45">
        <f>IF(((T195*pax_cap*load_full*IF(ABS(MOD(ABS((L195*M195*revleg_full)),1)-0.5)&lt;1E-9,2*ROUND((L195*M195*revleg_full)/2,0),ROUND((L195*M195*revleg_full),0)))-(((battery/range_nm)*D195*IF(ABS(MOD(ABS((L195*M195*revleg_full)),1)-0.5)&lt;1E-9,2*ROUND((L195*M195*revleg_full)/2,0),ROUND((L195*M195*revleg_full),0))*VLOOKUP(B195,country_opex,3,FALSE))+W195+X195+Y195+Z195+AA195))&lt;=0,"",VLOOKUP(B195,country_opex,7,FALSE)/((T195*pax_cap*load_full*IF(ABS(MOD(ABS((L195*M195*revleg_full)),1)-0.5)&lt;1E-9,2*ROUND((L195*M195*revleg_full)/2,0),ROUND((L195*M195*revleg_full),0)))-(((battery/range_nm)*D195*IF(ABS(MOD(ABS((L195*M195*revleg_full)),1)-0.5)&lt;1E-9,2*ROUND((L195*M195*revleg_full)/2,0),ROUND((L195*M195*revleg_full),0))*VLOOKUP(B195,country_opex,3,FALSE))+W195+X195+Y195+Z195+AA195)))</f>
        <v/>
      </c>
      <c r="AY195" s="46" t="inlineStr">
        <is>
          <t>RTA/Dubai-Ferry official ladder (R-RTA, T1): Water Taxi on-demand single AED 150/pax = $40.8; Dubai Ferry Gold AED 75 = $20.4, Silver AED 50 = $13.6; Water Bus AED 7; Abra AED 1. dubai-ferry.com / rta.ae 2025/26. AD Corniche&lt;-&gt;Saadiyat marine hop.</t>
        </is>
      </c>
      <c r="AZ195" s="46" t="inlineStr">
        <is>
          <t>UAE-DEMAND-ANCHORS-2026-06-17.json — tier-based addressable pool derived from sourcing wave anchors (hotel keys × occ × shuttle adoption, marina activity, RTA marine baseline).</t>
        </is>
      </c>
      <c r="BA195" s="34" t="inlineStr">
        <is>
          <t>rn-6b584e8b2049</t>
        </is>
      </c>
    </row>
    <row r="196">
      <c r="A196" s="31" t="inlineStr">
        <is>
          <t>Bolt Uae</t>
        </is>
      </c>
      <c r="B196" s="31" t="inlineStr">
        <is>
          <t>United Arab Emirates</t>
        </is>
      </c>
      <c r="C196" s="32" t="inlineStr">
        <is>
          <t>Dubai Harbour Marina → Côte d'Azur Resort Marina (Heart of Europe)</t>
        </is>
      </c>
      <c r="D196" s="33" t="n">
        <v>9.199999999999999</v>
      </c>
      <c r="E196" s="27" t="n">
        <v>175</v>
      </c>
      <c r="F196" s="34" t="inlineStr">
        <is>
          <t>T5</t>
        </is>
      </c>
      <c r="G196" s="34" t="inlineStr">
        <is>
          <t>low</t>
        </is>
      </c>
      <c r="H196" s="20" t="n">
        <v>1</v>
      </c>
      <c r="I196" s="35">
        <f>60*D196/cruise_kt</f>
        <v/>
      </c>
      <c r="J196" s="35">
        <f>IF(B196="South Korea",D196/korea_charge_range_nm*korea_full_range_charge_min,0)</f>
        <v/>
      </c>
      <c r="K196" s="35">
        <f>IF(B196="South Korea",I196+korea_turn_min+korea_dwell_min+J196,I196+turn_min+dwell_min)</f>
        <v/>
      </c>
      <c r="L196" s="36">
        <f>IF(B196="South Korea",FLOOR(60*korea_service_hr/K196,1),MIN(15,FLOOR(60*service_hr/K196,1)))</f>
        <v/>
      </c>
      <c r="M196" s="36">
        <f>IF(ABS(MOD(ABS((365*mech_uptime*H196)),1)-0.5)&lt;1E-9,2*ROUND((365*mech_uptime*H196)/2,0),ROUND((365*mech_uptime*H196),0))</f>
        <v/>
      </c>
      <c r="N196" s="37">
        <f>mech_uptime</f>
        <v/>
      </c>
      <c r="O196" s="37">
        <f>IF(AND(B196="South Korea",scenario="MID"),korea_mid_revleg,revleg_sel)</f>
        <v/>
      </c>
      <c r="P196" s="36">
        <f>IF(ABS(MOD(ABS((L196*M196*O196)),1)-0.5)&lt;1E-9,2*ROUND((L196*M196*O196)/2,0),ROUND((L196*M196*O196),0))</f>
        <v/>
      </c>
      <c r="Q196" s="37">
        <f>IF(AND(B196="South Korea",scenario="MID"),korea_mid_load,load_sel)</f>
        <v/>
      </c>
      <c r="R196" s="38">
        <f>pax_cap*Q196</f>
        <v/>
      </c>
      <c r="S196" s="36">
        <f>R196*P196</f>
        <v/>
      </c>
      <c r="T196" s="39">
        <f>E196*discount</f>
        <v/>
      </c>
      <c r="U196" s="40">
        <f>T196*S196</f>
        <v/>
      </c>
      <c r="V196" s="40">
        <f>(battery/range_nm)*D196*P196*VLOOKUP(B196,country_opex,3,FALSE)</f>
        <v/>
      </c>
      <c r="W196" s="40">
        <f>VLOOKUP(B196,country_opex,2,FALSE)*crew_factor</f>
        <v/>
      </c>
      <c r="X196" s="40">
        <f>VLOOKUP(B196,country_opex,5,FALSE)</f>
        <v/>
      </c>
      <c r="Y196" s="40">
        <f>maint</f>
        <v/>
      </c>
      <c r="Z196" s="40">
        <f>VLOOKUP(B196,country_opex,7,FALSE)*ins_pct</f>
        <v/>
      </c>
      <c r="AA196" s="40">
        <f>charge_berth</f>
        <v/>
      </c>
      <c r="AB196" s="40">
        <f>V196+W196+X196+Y196+Z196+AA196</f>
        <v/>
      </c>
      <c r="AC196" s="40">
        <f>VLOOKUP(B196,country_opex,7,FALSE)/dep_years</f>
        <v/>
      </c>
      <c r="AD196" s="40">
        <f>U196-AB196</f>
        <v/>
      </c>
      <c r="AE196" s="37">
        <f>IF(U196=0,"",AD196/U196)</f>
        <v/>
      </c>
      <c r="AF196" s="38">
        <f>IF(AD196&lt;=0,"",VLOOKUP(B196,country_opex,7,FALSE)/AD196)</f>
        <v/>
      </c>
      <c r="AG196" s="35">
        <f>((D196*P196/diesel_nmpg)*diesel_co2pg-(battery/range_nm)*D196*P196*VLOOKUP(B196,country_opex,4,FALSE))/1000</f>
        <v/>
      </c>
      <c r="AH196" s="33" t="n">
        <v>70000</v>
      </c>
      <c r="AI196" s="34" t="inlineStr">
        <is>
          <t>T2</t>
        </is>
      </c>
      <c r="AJ196" s="34" t="inlineStr">
        <is>
          <t>medium</t>
        </is>
      </c>
      <c r="AK196" s="41" t="n">
        <v>0.1</v>
      </c>
      <c r="AL196" s="36">
        <f>IF(AH196="","",AH196*AK196)</f>
        <v/>
      </c>
      <c r="AM196" s="36">
        <f>IF(OR(AH196="",S196=0),"",MIN(IF(AU196="",9.9E+99,AU196),FLOOR(AL196/S196,1)))</f>
        <v/>
      </c>
      <c r="AN196" s="40">
        <f>IF(AM196="","",AM196*IF(ABS(MOD(ABS((U196)),1)-0.5)&lt;1E-9,2*ROUND((U196)/2,0),ROUND((U196),0)))</f>
        <v/>
      </c>
      <c r="AO196" s="38">
        <f>IF(OR(AH196="",S196=0),"",MIN(IF(AU196="",9.9E+99,AU196),AL196/S196))</f>
        <v/>
      </c>
      <c r="AP196" s="40">
        <f>IF(AO196="","",AO196*IF(B196="South Korea",IF(ABS(MOD(ABS((U196)),1)-0.5)&lt;1E-9,2*ROUND((U196)/2,0),ROUND((U196),0)),U196))</f>
        <v/>
      </c>
      <c r="AQ196" s="42" t="n"/>
      <c r="AR196" s="34" t="inlineStr">
        <is>
          <t>Estimated</t>
        </is>
      </c>
      <c r="AS196" s="43" t="n"/>
      <c r="AT196" s="43" t="n"/>
      <c r="AU196" s="44" t="n"/>
      <c r="AV196" s="45">
        <f>IF(((T196*pax_cap*load_thin*IF(ABS(MOD(ABS((L196*M196*revleg_thin)),1)-0.5)&lt;1E-9,2*ROUND((L196*M196*revleg_thin)/2,0),ROUND((L196*M196*revleg_thin),0)))-(((battery/range_nm)*D196*IF(ABS(MOD(ABS((L196*M196*revleg_thin)),1)-0.5)&lt;1E-9,2*ROUND((L196*M196*revleg_thin)/2,0),ROUND((L196*M196*revleg_thin),0))*VLOOKUP(B196,country_opex,3,FALSE))+W196+X196+Y196+Z196+AA196))&lt;=0,"",VLOOKUP(B196,country_opex,7,FALSE)/((T196*pax_cap*load_thin*IF(ABS(MOD(ABS((L196*M196*revleg_thin)),1)-0.5)&lt;1E-9,2*ROUND((L196*M196*revleg_thin)/2,0),ROUND((L196*M196*revleg_thin),0)))-(((battery/range_nm)*D196*IF(ABS(MOD(ABS((L196*M196*revleg_thin)),1)-0.5)&lt;1E-9,2*ROUND((L196*M196*revleg_thin)/2,0),ROUND((L196*M196*revleg_thin),0))*VLOOKUP(B196,country_opex,3,FALSE))+W196+X196+Y196+Z196+AA196)))</f>
        <v/>
      </c>
      <c r="AW196" s="45">
        <f>IF(((T196*pax_cap*IF(B196="South Korea",korea_mid_load,load_mid)*IF(ABS(MOD(ABS((L196*M196*IF(B196="South Korea",korea_mid_revleg,revleg_mid))),1)-0.5)&lt;1E-9,2*ROUND((L196*M196*IF(B196="South Korea",korea_mid_revleg,revleg_mid))/2,0),ROUND((L196*M196*IF(B196="South Korea",korea_mid_revleg,revleg_mid)),0)))-(((battery/range_nm)*D196*IF(ABS(MOD(ABS((L196*M196*IF(B196="South Korea",korea_mid_revleg,revleg_mid))),1)-0.5)&lt;1E-9,2*ROUND((L196*M196*IF(B196="South Korea",korea_mid_revleg,revleg_mid))/2,0),ROUND((L196*M196*IF(B196="South Korea",korea_mid_revleg,revleg_mid)),0))*VLOOKUP(B196,country_opex,3,FALSE))+W196+X196+Y196+Z196+AA196))&lt;=0,"",VLOOKUP(B196,country_opex,7,FALSE)/((T196*pax_cap*IF(B196="South Korea",korea_mid_load,load_mid)*IF(ABS(MOD(ABS((L196*M196*IF(B196="South Korea",korea_mid_revleg,revleg_mid))),1)-0.5)&lt;1E-9,2*ROUND((L196*M196*IF(B196="South Korea",korea_mid_revleg,revleg_mid))/2,0),ROUND((L196*M196*IF(B196="South Korea",korea_mid_revleg,revleg_mid)),0)))-(((battery/range_nm)*D196*IF(ABS(MOD(ABS((L196*M196*IF(B196="South Korea",korea_mid_revleg,revleg_mid))),1)-0.5)&lt;1E-9,2*ROUND((L196*M196*IF(B196="South Korea",korea_mid_revleg,revleg_mid))/2,0),ROUND((L196*M196*IF(B196="South Korea",korea_mid_revleg,revleg_mid)),0))*VLOOKUP(B196,country_opex,3,FALSE))+W196+X196+Y196+Z196+AA196)))</f>
        <v/>
      </c>
      <c r="AX196" s="45">
        <f>IF(((T196*pax_cap*load_full*IF(ABS(MOD(ABS((L196*M196*revleg_full)),1)-0.5)&lt;1E-9,2*ROUND((L196*M196*revleg_full)/2,0),ROUND((L196*M196*revleg_full),0)))-(((battery/range_nm)*D196*IF(ABS(MOD(ABS((L196*M196*revleg_full)),1)-0.5)&lt;1E-9,2*ROUND((L196*M196*revleg_full)/2,0),ROUND((L196*M196*revleg_full),0))*VLOOKUP(B196,country_opex,3,FALSE))+W196+X196+Y196+Z196+AA196))&lt;=0,"",VLOOKUP(B196,country_opex,7,FALSE)/((T196*pax_cap*load_full*IF(ABS(MOD(ABS((L196*M196*revleg_full)),1)-0.5)&lt;1E-9,2*ROUND((L196*M196*revleg_full)/2,0),ROUND((L196*M196*revleg_full),0)))-(((battery/range_nm)*D196*IF(ABS(MOD(ABS((L196*M196*revleg_full)),1)-0.5)&lt;1E-9,2*ROUND((L196*M196*revleg_full)/2,0),ROUND((L196*M196*revleg_full),0))*VLOOKUP(B196,country_opex,3,FALSE))+W196+X196+Y196+Z196+AA196)))</f>
        <v/>
      </c>
      <c r="AY196" s="46" t="inlineStr">
        <is>
          <t>The World (Heart of Europe/Cote d'Azur) boat-only offshore. Shared per-seat $56-120/pax; resort transfers bundled. T5/low - opportunity-to-create.</t>
        </is>
      </c>
      <c r="AZ196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196" s="34" t="inlineStr">
        <is>
          <t>rn-12f09bd4d4d6</t>
        </is>
      </c>
    </row>
    <row r="197">
      <c r="A197" s="31" t="inlineStr">
        <is>
          <t>Bolt Uae</t>
        </is>
      </c>
      <c r="B197" s="31" t="inlineStr">
        <is>
          <t>United Arab Emirates</t>
        </is>
      </c>
      <c r="C197" s="32" t="inlineStr">
        <is>
          <t>Vida Beach Resort Umm Al Quwain → Sharjah Waterfront City marina</t>
        </is>
      </c>
      <c r="D197" s="33" t="n">
        <v>9.6</v>
      </c>
      <c r="E197" s="27" t="n"/>
      <c r="F197" s="34" t="n"/>
      <c r="G197" s="34" t="n"/>
      <c r="H197" s="20" t="n">
        <v>1</v>
      </c>
      <c r="I197" s="35">
        <f>60*D197/cruise_kt</f>
        <v/>
      </c>
      <c r="J197" s="35">
        <f>IF(B197="South Korea",D197/korea_charge_range_nm*korea_full_range_charge_min,0)</f>
        <v/>
      </c>
      <c r="K197" s="35">
        <f>IF(B197="South Korea",I197+korea_turn_min+korea_dwell_min+J197,I197+turn_min+dwell_min)</f>
        <v/>
      </c>
      <c r="L197" s="36">
        <f>IF(B197="South Korea",FLOOR(60*korea_service_hr/K197,1),MIN(15,FLOOR(60*service_hr/K197,1)))</f>
        <v/>
      </c>
      <c r="M197" s="36">
        <f>IF(ABS(MOD(ABS((365*mech_uptime*H197)),1)-0.5)&lt;1E-9,2*ROUND((365*mech_uptime*H197)/2,0),ROUND((365*mech_uptime*H197),0))</f>
        <v/>
      </c>
      <c r="N197" s="37">
        <f>mech_uptime</f>
        <v/>
      </c>
      <c r="O197" s="37">
        <f>IF(AND(B197="South Korea",scenario="MID"),korea_mid_revleg,revleg_sel)</f>
        <v/>
      </c>
      <c r="P197" s="36">
        <f>IF(ABS(MOD(ABS((L197*M197*O197)),1)-0.5)&lt;1E-9,2*ROUND((L197*M197*O197)/2,0),ROUND((L197*M197*O197),0))</f>
        <v/>
      </c>
      <c r="Q197" s="37">
        <f>IF(AND(B197="South Korea",scenario="MID"),korea_mid_load,load_sel)</f>
        <v/>
      </c>
      <c r="R197" s="38">
        <f>pax_cap*Q197</f>
        <v/>
      </c>
      <c r="S197" s="36">
        <f>R197*P197</f>
        <v/>
      </c>
      <c r="T197" s="39">
        <f>E197*discount</f>
        <v/>
      </c>
      <c r="U197" s="40">
        <f>T197*S197</f>
        <v/>
      </c>
      <c r="V197" s="40">
        <f>(battery/range_nm)*D197*P197*VLOOKUP(B197,country_opex,3,FALSE)</f>
        <v/>
      </c>
      <c r="W197" s="40">
        <f>VLOOKUP(B197,country_opex,2,FALSE)*crew_factor</f>
        <v/>
      </c>
      <c r="X197" s="40">
        <f>VLOOKUP(B197,country_opex,5,FALSE)</f>
        <v/>
      </c>
      <c r="Y197" s="40">
        <f>maint</f>
        <v/>
      </c>
      <c r="Z197" s="40">
        <f>VLOOKUP(B197,country_opex,7,FALSE)*ins_pct</f>
        <v/>
      </c>
      <c r="AA197" s="40">
        <f>charge_berth</f>
        <v/>
      </c>
      <c r="AB197" s="40">
        <f>V197+W197+X197+Y197+Z197+AA197</f>
        <v/>
      </c>
      <c r="AC197" s="40">
        <f>VLOOKUP(B197,country_opex,7,FALSE)/dep_years</f>
        <v/>
      </c>
      <c r="AD197" s="40">
        <f>U197-AB197</f>
        <v/>
      </c>
      <c r="AE197" s="37">
        <f>IF(U197=0,"",AD197/U197)</f>
        <v/>
      </c>
      <c r="AF197" s="38">
        <f>IF(AD197&lt;=0,"",VLOOKUP(B197,country_opex,7,FALSE)/AD197)</f>
        <v/>
      </c>
      <c r="AG197" s="35">
        <f>((D197*P197/diesel_nmpg)*diesel_co2pg-(battery/range_nm)*D197*P197*VLOOKUP(B197,country_opex,4,FALSE))/1000</f>
        <v/>
      </c>
      <c r="AH197" s="33" t="n"/>
      <c r="AI197" s="34" t="n"/>
      <c r="AJ197" s="34" t="n"/>
      <c r="AK197" s="41" t="n">
        <v>0.1</v>
      </c>
      <c r="AL197" s="36">
        <f>IF(AH197="","",AH197*AK197)</f>
        <v/>
      </c>
      <c r="AM197" s="36">
        <f>IF(OR(AH197="",S197=0),"",MIN(IF(AU197="",9.9E+99,AU197),FLOOR(AL197/S197,1)))</f>
        <v/>
      </c>
      <c r="AN197" s="40">
        <f>IF(AM197="","",AM197*IF(ABS(MOD(ABS((U197)),1)-0.5)&lt;1E-9,2*ROUND((U197)/2,0),ROUND((U197),0)))</f>
        <v/>
      </c>
      <c r="AO197" s="38">
        <f>IF(OR(AH197="",S197=0),"",MIN(IF(AU197="",9.9E+99,AU197),AL197/S197))</f>
        <v/>
      </c>
      <c r="AP197" s="40">
        <f>IF(AO197="","",AO197*IF(B197="South Korea",IF(ABS(MOD(ABS((U197)),1)-0.5)&lt;1E-9,2*ROUND((U197)/2,0),ROUND((U197),0)),U197))</f>
        <v/>
      </c>
      <c r="AQ197" s="42" t="n"/>
      <c r="AR197" s="34" t="inlineStr">
        <is>
          <t>Estimated</t>
        </is>
      </c>
      <c r="AS197" s="43" t="n"/>
      <c r="AT197" s="43" t="n"/>
      <c r="AU197" s="44" t="n"/>
      <c r="AV197" s="45">
        <f>IF(((T197*pax_cap*load_thin*IF(ABS(MOD(ABS((L197*M197*revleg_thin)),1)-0.5)&lt;1E-9,2*ROUND((L197*M197*revleg_thin)/2,0),ROUND((L197*M197*revleg_thin),0)))-(((battery/range_nm)*D197*IF(ABS(MOD(ABS((L197*M197*revleg_thin)),1)-0.5)&lt;1E-9,2*ROUND((L197*M197*revleg_thin)/2,0),ROUND((L197*M197*revleg_thin),0))*VLOOKUP(B197,country_opex,3,FALSE))+W197+X197+Y197+Z197+AA197))&lt;=0,"",VLOOKUP(B197,country_opex,7,FALSE)/((T197*pax_cap*load_thin*IF(ABS(MOD(ABS((L197*M197*revleg_thin)),1)-0.5)&lt;1E-9,2*ROUND((L197*M197*revleg_thin)/2,0),ROUND((L197*M197*revleg_thin),0)))-(((battery/range_nm)*D197*IF(ABS(MOD(ABS((L197*M197*revleg_thin)),1)-0.5)&lt;1E-9,2*ROUND((L197*M197*revleg_thin)/2,0),ROUND((L197*M197*revleg_thin),0))*VLOOKUP(B197,country_opex,3,FALSE))+W197+X197+Y197+Z197+AA197)))</f>
        <v/>
      </c>
      <c r="AW197" s="45">
        <f>IF(((T197*pax_cap*IF(B197="South Korea",korea_mid_load,load_mid)*IF(ABS(MOD(ABS((L197*M197*IF(B197="South Korea",korea_mid_revleg,revleg_mid))),1)-0.5)&lt;1E-9,2*ROUND((L197*M197*IF(B197="South Korea",korea_mid_revleg,revleg_mid))/2,0),ROUND((L197*M197*IF(B197="South Korea",korea_mid_revleg,revleg_mid)),0)))-(((battery/range_nm)*D197*IF(ABS(MOD(ABS((L197*M197*IF(B197="South Korea",korea_mid_revleg,revleg_mid))),1)-0.5)&lt;1E-9,2*ROUND((L197*M197*IF(B197="South Korea",korea_mid_revleg,revleg_mid))/2,0),ROUND((L197*M197*IF(B197="South Korea",korea_mid_revleg,revleg_mid)),0))*VLOOKUP(B197,country_opex,3,FALSE))+W197+X197+Y197+Z197+AA197))&lt;=0,"",VLOOKUP(B197,country_opex,7,FALSE)/((T197*pax_cap*IF(B197="South Korea",korea_mid_load,load_mid)*IF(ABS(MOD(ABS((L197*M197*IF(B197="South Korea",korea_mid_revleg,revleg_mid))),1)-0.5)&lt;1E-9,2*ROUND((L197*M197*IF(B197="South Korea",korea_mid_revleg,revleg_mid))/2,0),ROUND((L197*M197*IF(B197="South Korea",korea_mid_revleg,revleg_mid)),0)))-(((battery/range_nm)*D197*IF(ABS(MOD(ABS((L197*M197*IF(B197="South Korea",korea_mid_revleg,revleg_mid))),1)-0.5)&lt;1E-9,2*ROUND((L197*M197*IF(B197="South Korea",korea_mid_revleg,revleg_mid))/2,0),ROUND((L197*M197*IF(B197="South Korea",korea_mid_revleg,revleg_mid)),0))*VLOOKUP(B197,country_opex,3,FALSE))+W197+X197+Y197+Z197+AA197)))</f>
        <v/>
      </c>
      <c r="AX197" s="45">
        <f>IF(((T197*pax_cap*load_full*IF(ABS(MOD(ABS((L197*M197*revleg_full)),1)-0.5)&lt;1E-9,2*ROUND((L197*M197*revleg_full)/2,0),ROUND((L197*M197*revleg_full),0)))-(((battery/range_nm)*D197*IF(ABS(MOD(ABS((L197*M197*revleg_full)),1)-0.5)&lt;1E-9,2*ROUND((L197*M197*revleg_full)/2,0),ROUND((L197*M197*revleg_full),0))*VLOOKUP(B197,country_opex,3,FALSE))+W197+X197+Y197+Z197+AA197))&lt;=0,"",VLOOKUP(B197,country_opex,7,FALSE)/((T197*pax_cap*load_full*IF(ABS(MOD(ABS((L197*M197*revleg_full)),1)-0.5)&lt;1E-9,2*ROUND((L197*M197*revleg_full)/2,0),ROUND((L197*M197*revleg_full),0)))-(((battery/range_nm)*D197*IF(ABS(MOD(ABS((L197*M197*revleg_full)),1)-0.5)&lt;1E-9,2*ROUND((L197*M197*revleg_full)/2,0),ROUND((L197*M197*revleg_full),0))*VLOOKUP(B197,country_opex,3,FALSE))+W197+X197+Y197+Z197+AA197)))</f>
        <v/>
      </c>
      <c r="AY197" s="46" t="n"/>
      <c r="AZ197" s="46" t="n"/>
      <c r="BA197" s="34" t="inlineStr">
        <is>
          <t>rn-02a40748974d</t>
        </is>
      </c>
    </row>
    <row r="198">
      <c r="A198" s="31" t="inlineStr">
        <is>
          <t>Bolt Uae</t>
        </is>
      </c>
      <c r="B198" s="31" t="inlineStr">
        <is>
          <t>United Arab Emirates</t>
        </is>
      </c>
      <c r="C198" s="32" t="inlineStr">
        <is>
          <t>Bluewaters Marina → Heart of Europe — Main Marina (The World)</t>
        </is>
      </c>
      <c r="D198" s="33" t="n">
        <v>9.880000000000001</v>
      </c>
      <c r="E198" s="27" t="n">
        <v>175</v>
      </c>
      <c r="F198" s="34" t="inlineStr">
        <is>
          <t>T5</t>
        </is>
      </c>
      <c r="G198" s="34" t="inlineStr">
        <is>
          <t>low</t>
        </is>
      </c>
      <c r="H198" s="20" t="n">
        <v>1</v>
      </c>
      <c r="I198" s="35">
        <f>60*D198/cruise_kt</f>
        <v/>
      </c>
      <c r="J198" s="35">
        <f>IF(B198="South Korea",D198/korea_charge_range_nm*korea_full_range_charge_min,0)</f>
        <v/>
      </c>
      <c r="K198" s="35">
        <f>IF(B198="South Korea",I198+korea_turn_min+korea_dwell_min+J198,I198+turn_min+dwell_min)</f>
        <v/>
      </c>
      <c r="L198" s="36">
        <f>IF(B198="South Korea",FLOOR(60*korea_service_hr/K198,1),MIN(15,FLOOR(60*service_hr/K198,1)))</f>
        <v/>
      </c>
      <c r="M198" s="36">
        <f>IF(ABS(MOD(ABS((365*mech_uptime*H198)),1)-0.5)&lt;1E-9,2*ROUND((365*mech_uptime*H198)/2,0),ROUND((365*mech_uptime*H198),0))</f>
        <v/>
      </c>
      <c r="N198" s="37">
        <f>mech_uptime</f>
        <v/>
      </c>
      <c r="O198" s="37">
        <f>IF(AND(B198="South Korea",scenario="MID"),korea_mid_revleg,revleg_sel)</f>
        <v/>
      </c>
      <c r="P198" s="36">
        <f>IF(ABS(MOD(ABS((L198*M198*O198)),1)-0.5)&lt;1E-9,2*ROUND((L198*M198*O198)/2,0),ROUND((L198*M198*O198),0))</f>
        <v/>
      </c>
      <c r="Q198" s="37">
        <f>IF(AND(B198="South Korea",scenario="MID"),korea_mid_load,load_sel)</f>
        <v/>
      </c>
      <c r="R198" s="38">
        <f>pax_cap*Q198</f>
        <v/>
      </c>
      <c r="S198" s="36">
        <f>R198*P198</f>
        <v/>
      </c>
      <c r="T198" s="39">
        <f>E198*discount</f>
        <v/>
      </c>
      <c r="U198" s="40">
        <f>T198*S198</f>
        <v/>
      </c>
      <c r="V198" s="40">
        <f>(battery/range_nm)*D198*P198*VLOOKUP(B198,country_opex,3,FALSE)</f>
        <v/>
      </c>
      <c r="W198" s="40">
        <f>VLOOKUP(B198,country_opex,2,FALSE)*crew_factor</f>
        <v/>
      </c>
      <c r="X198" s="40">
        <f>VLOOKUP(B198,country_opex,5,FALSE)</f>
        <v/>
      </c>
      <c r="Y198" s="40">
        <f>maint</f>
        <v/>
      </c>
      <c r="Z198" s="40">
        <f>VLOOKUP(B198,country_opex,7,FALSE)*ins_pct</f>
        <v/>
      </c>
      <c r="AA198" s="40">
        <f>charge_berth</f>
        <v/>
      </c>
      <c r="AB198" s="40">
        <f>V198+W198+X198+Y198+Z198+AA198</f>
        <v/>
      </c>
      <c r="AC198" s="40">
        <f>VLOOKUP(B198,country_opex,7,FALSE)/dep_years</f>
        <v/>
      </c>
      <c r="AD198" s="40">
        <f>U198-AB198</f>
        <v/>
      </c>
      <c r="AE198" s="37">
        <f>IF(U198=0,"",AD198/U198)</f>
        <v/>
      </c>
      <c r="AF198" s="38">
        <f>IF(AD198&lt;=0,"",VLOOKUP(B198,country_opex,7,FALSE)/AD198)</f>
        <v/>
      </c>
      <c r="AG198" s="35">
        <f>((D198*P198/diesel_nmpg)*diesel_co2pg-(battery/range_nm)*D198*P198*VLOOKUP(B198,country_opex,4,FALSE))/1000</f>
        <v/>
      </c>
      <c r="AH198" s="33" t="n">
        <v>20000</v>
      </c>
      <c r="AI198" s="34" t="inlineStr">
        <is>
          <t>T3</t>
        </is>
      </c>
      <c r="AJ198" s="34" t="inlineStr">
        <is>
          <t>low</t>
        </is>
      </c>
      <c r="AK198" s="41" t="n">
        <v>0.1</v>
      </c>
      <c r="AL198" s="36">
        <f>IF(AH198="","",AH198*AK198)</f>
        <v/>
      </c>
      <c r="AM198" s="36">
        <f>IF(OR(AH198="",S198=0),"",MIN(IF(AU198="",9.9E+99,AU198),FLOOR(AL198/S198,1)))</f>
        <v/>
      </c>
      <c r="AN198" s="40">
        <f>IF(AM198="","",AM198*IF(ABS(MOD(ABS((U198)),1)-0.5)&lt;1E-9,2*ROUND((U198)/2,0),ROUND((U198),0)))</f>
        <v/>
      </c>
      <c r="AO198" s="38">
        <f>IF(OR(AH198="",S198=0),"",MIN(IF(AU198="",9.9E+99,AU198),AL198/S198))</f>
        <v/>
      </c>
      <c r="AP198" s="40">
        <f>IF(AO198="","",AO198*IF(B198="South Korea",IF(ABS(MOD(ABS((U198)),1)-0.5)&lt;1E-9,2*ROUND((U198)/2,0),ROUND((U198),0)),U198))</f>
        <v/>
      </c>
      <c r="AQ198" s="42" t="n"/>
      <c r="AR198" s="34" t="inlineStr">
        <is>
          <t>Estimated</t>
        </is>
      </c>
      <c r="AS198" s="43" t="n"/>
      <c r="AT198" s="43" t="n"/>
      <c r="AU198" s="44" t="n"/>
      <c r="AV198" s="45">
        <f>IF(((T198*pax_cap*load_thin*IF(ABS(MOD(ABS((L198*M198*revleg_thin)),1)-0.5)&lt;1E-9,2*ROUND((L198*M198*revleg_thin)/2,0),ROUND((L198*M198*revleg_thin),0)))-(((battery/range_nm)*D198*IF(ABS(MOD(ABS((L198*M198*revleg_thin)),1)-0.5)&lt;1E-9,2*ROUND((L198*M198*revleg_thin)/2,0),ROUND((L198*M198*revleg_thin),0))*VLOOKUP(B198,country_opex,3,FALSE))+W198+X198+Y198+Z198+AA198))&lt;=0,"",VLOOKUP(B198,country_opex,7,FALSE)/((T198*pax_cap*load_thin*IF(ABS(MOD(ABS((L198*M198*revleg_thin)),1)-0.5)&lt;1E-9,2*ROUND((L198*M198*revleg_thin)/2,0),ROUND((L198*M198*revleg_thin),0)))-(((battery/range_nm)*D198*IF(ABS(MOD(ABS((L198*M198*revleg_thin)),1)-0.5)&lt;1E-9,2*ROUND((L198*M198*revleg_thin)/2,0),ROUND((L198*M198*revleg_thin),0))*VLOOKUP(B198,country_opex,3,FALSE))+W198+X198+Y198+Z198+AA198)))</f>
        <v/>
      </c>
      <c r="AW198" s="45">
        <f>IF(((T198*pax_cap*IF(B198="South Korea",korea_mid_load,load_mid)*IF(ABS(MOD(ABS((L198*M198*IF(B198="South Korea",korea_mid_revleg,revleg_mid))),1)-0.5)&lt;1E-9,2*ROUND((L198*M198*IF(B198="South Korea",korea_mid_revleg,revleg_mid))/2,0),ROUND((L198*M198*IF(B198="South Korea",korea_mid_revleg,revleg_mid)),0)))-(((battery/range_nm)*D198*IF(ABS(MOD(ABS((L198*M198*IF(B198="South Korea",korea_mid_revleg,revleg_mid))),1)-0.5)&lt;1E-9,2*ROUND((L198*M198*IF(B198="South Korea",korea_mid_revleg,revleg_mid))/2,0),ROUND((L198*M198*IF(B198="South Korea",korea_mid_revleg,revleg_mid)),0))*VLOOKUP(B198,country_opex,3,FALSE))+W198+X198+Y198+Z198+AA198))&lt;=0,"",VLOOKUP(B198,country_opex,7,FALSE)/((T198*pax_cap*IF(B198="South Korea",korea_mid_load,load_mid)*IF(ABS(MOD(ABS((L198*M198*IF(B198="South Korea",korea_mid_revleg,revleg_mid))),1)-0.5)&lt;1E-9,2*ROUND((L198*M198*IF(B198="South Korea",korea_mid_revleg,revleg_mid))/2,0),ROUND((L198*M198*IF(B198="South Korea",korea_mid_revleg,revleg_mid)),0)))-(((battery/range_nm)*D198*IF(ABS(MOD(ABS((L198*M198*IF(B198="South Korea",korea_mid_revleg,revleg_mid))),1)-0.5)&lt;1E-9,2*ROUND((L198*M198*IF(B198="South Korea",korea_mid_revleg,revleg_mid))/2,0),ROUND((L198*M198*IF(B198="South Korea",korea_mid_revleg,revleg_mid)),0))*VLOOKUP(B198,country_opex,3,FALSE))+W198+X198+Y198+Z198+AA198)))</f>
        <v/>
      </c>
      <c r="AX198" s="45">
        <f>IF(((T198*pax_cap*load_full*IF(ABS(MOD(ABS((L198*M198*revleg_full)),1)-0.5)&lt;1E-9,2*ROUND((L198*M198*revleg_full)/2,0),ROUND((L198*M198*revleg_full),0)))-(((battery/range_nm)*D198*IF(ABS(MOD(ABS((L198*M198*revleg_full)),1)-0.5)&lt;1E-9,2*ROUND((L198*M198*revleg_full)/2,0),ROUND((L198*M198*revleg_full),0))*VLOOKUP(B198,country_opex,3,FALSE))+W198+X198+Y198+Z198+AA198))&lt;=0,"",VLOOKUP(B198,country_opex,7,FALSE)/((T198*pax_cap*load_full*IF(ABS(MOD(ABS((L198*M198*revleg_full)),1)-0.5)&lt;1E-9,2*ROUND((L198*M198*revleg_full)/2,0),ROUND((L198*M198*revleg_full),0)))-(((battery/range_nm)*D198*IF(ABS(MOD(ABS((L198*M198*revleg_full)),1)-0.5)&lt;1E-9,2*ROUND((L198*M198*revleg_full)/2,0),ROUND((L198*M198*revleg_full),0))*VLOOKUP(B198,country_opex,3,FALSE))+W198+X198+Y198+Z198+AA198)))</f>
        <v/>
      </c>
      <c r="AY198" s="46" t="inlineStr">
        <is>
          <t>The World (Heart of Europe) boat-only offshore; greenfield. T5/low.</t>
        </is>
      </c>
      <c r="AZ198" s="46" t="inlineStr">
        <is>
          <t>UAE-DEMAND-ANCHORS-2026-06-17.json — tier-based addressable pool derived from sourcing wave anchors (hotel keys × occ × shuttle adoption, marina activity, RTA marine baseline).</t>
        </is>
      </c>
      <c r="BA198" s="34" t="inlineStr">
        <is>
          <t>rn-5a196635c94f</t>
        </is>
      </c>
    </row>
    <row r="199">
      <c r="A199" s="31" t="inlineStr">
        <is>
          <t>Bolt Uae</t>
        </is>
      </c>
      <c r="B199" s="31" t="inlineStr">
        <is>
          <t>United Arab Emirates</t>
        </is>
      </c>
      <c r="C199" s="32" t="inlineStr">
        <is>
          <t>Dubai Harbour Marina → Bulgari Yacht Club &amp; Marina</t>
        </is>
      </c>
      <c r="D199" s="33" t="n">
        <v>10.2</v>
      </c>
      <c r="E199" s="27" t="n">
        <v>200</v>
      </c>
      <c r="F199" s="34" t="inlineStr">
        <is>
          <t>T5</t>
        </is>
      </c>
      <c r="G199" s="34" t="inlineStr">
        <is>
          <t>low</t>
        </is>
      </c>
      <c r="H199" s="20" t="n">
        <v>1</v>
      </c>
      <c r="I199" s="35">
        <f>60*D199/cruise_kt</f>
        <v/>
      </c>
      <c r="J199" s="35">
        <f>IF(B199="South Korea",D199/korea_charge_range_nm*korea_full_range_charge_min,0)</f>
        <v/>
      </c>
      <c r="K199" s="35">
        <f>IF(B199="South Korea",I199+korea_turn_min+korea_dwell_min+J199,I199+turn_min+dwell_min)</f>
        <v/>
      </c>
      <c r="L199" s="36">
        <f>IF(B199="South Korea",FLOOR(60*korea_service_hr/K199,1),MIN(15,FLOOR(60*service_hr/K199,1)))</f>
        <v/>
      </c>
      <c r="M199" s="36">
        <f>IF(ABS(MOD(ABS((365*mech_uptime*H199)),1)-0.5)&lt;1E-9,2*ROUND((365*mech_uptime*H199)/2,0),ROUND((365*mech_uptime*H199),0))</f>
        <v/>
      </c>
      <c r="N199" s="37">
        <f>mech_uptime</f>
        <v/>
      </c>
      <c r="O199" s="37">
        <f>IF(AND(B199="South Korea",scenario="MID"),korea_mid_revleg,revleg_sel)</f>
        <v/>
      </c>
      <c r="P199" s="36">
        <f>IF(ABS(MOD(ABS((L199*M199*O199)),1)-0.5)&lt;1E-9,2*ROUND((L199*M199*O199)/2,0),ROUND((L199*M199*O199),0))</f>
        <v/>
      </c>
      <c r="Q199" s="37">
        <f>IF(AND(B199="South Korea",scenario="MID"),korea_mid_load,load_sel)</f>
        <v/>
      </c>
      <c r="R199" s="38">
        <f>pax_cap*Q199</f>
        <v/>
      </c>
      <c r="S199" s="36">
        <f>R199*P199</f>
        <v/>
      </c>
      <c r="T199" s="39">
        <f>E199*discount</f>
        <v/>
      </c>
      <c r="U199" s="40">
        <f>T199*S199</f>
        <v/>
      </c>
      <c r="V199" s="40">
        <f>(battery/range_nm)*D199*P199*VLOOKUP(B199,country_opex,3,FALSE)</f>
        <v/>
      </c>
      <c r="W199" s="40">
        <f>VLOOKUP(B199,country_opex,2,FALSE)*crew_factor</f>
        <v/>
      </c>
      <c r="X199" s="40">
        <f>VLOOKUP(B199,country_opex,5,FALSE)</f>
        <v/>
      </c>
      <c r="Y199" s="40">
        <f>maint</f>
        <v/>
      </c>
      <c r="Z199" s="40">
        <f>VLOOKUP(B199,country_opex,7,FALSE)*ins_pct</f>
        <v/>
      </c>
      <c r="AA199" s="40">
        <f>charge_berth</f>
        <v/>
      </c>
      <c r="AB199" s="40">
        <f>V199+W199+X199+Y199+Z199+AA199</f>
        <v/>
      </c>
      <c r="AC199" s="40">
        <f>VLOOKUP(B199,country_opex,7,FALSE)/dep_years</f>
        <v/>
      </c>
      <c r="AD199" s="40">
        <f>U199-AB199</f>
        <v/>
      </c>
      <c r="AE199" s="37">
        <f>IF(U199=0,"",AD199/U199)</f>
        <v/>
      </c>
      <c r="AF199" s="38">
        <f>IF(AD199&lt;=0,"",VLOOKUP(B199,country_opex,7,FALSE)/AD199)</f>
        <v/>
      </c>
      <c r="AG199" s="35">
        <f>((D199*P199/diesel_nmpg)*diesel_co2pg-(battery/range_nm)*D199*P199*VLOOKUP(B199,country_opex,4,FALSE))/1000</f>
        <v/>
      </c>
      <c r="AH199" s="33" t="n">
        <v>4000</v>
      </c>
      <c r="AI199" s="34" t="inlineStr">
        <is>
          <t>T5</t>
        </is>
      </c>
      <c r="AJ199" s="34" t="inlineStr">
        <is>
          <t>low</t>
        </is>
      </c>
      <c r="AK199" s="41" t="n">
        <v>0.1</v>
      </c>
      <c r="AL199" s="36">
        <f>IF(AH199="","",AH199*AK199)</f>
        <v/>
      </c>
      <c r="AM199" s="36">
        <f>IF(OR(AH199="",S199=0),"",MIN(IF(AU199="",9.9E+99,AU199),FLOOR(AL199/S199,1)))</f>
        <v/>
      </c>
      <c r="AN199" s="40">
        <f>IF(AM199="","",AM199*IF(ABS(MOD(ABS((U199)),1)-0.5)&lt;1E-9,2*ROUND((U199)/2,0),ROUND((U199),0)))</f>
        <v/>
      </c>
      <c r="AO199" s="38">
        <f>IF(OR(AH199="",S199=0),"",MIN(IF(AU199="",9.9E+99,AU199),AL199/S199))</f>
        <v/>
      </c>
      <c r="AP199" s="40">
        <f>IF(AO199="","",AO199*IF(B199="South Korea",IF(ABS(MOD(ABS((U199)),1)-0.5)&lt;1E-9,2*ROUND((U199)/2,0),ROUND((U199),0)),U199))</f>
        <v/>
      </c>
      <c r="AQ199" s="42" t="n"/>
      <c r="AR199" s="34" t="inlineStr">
        <is>
          <t>Estimated</t>
        </is>
      </c>
      <c r="AS199" s="43" t="n"/>
      <c r="AT199" s="43" t="n"/>
      <c r="AU199" s="44" t="n"/>
      <c r="AV199" s="45">
        <f>IF(((T199*pax_cap*load_thin*IF(ABS(MOD(ABS((L199*M199*revleg_thin)),1)-0.5)&lt;1E-9,2*ROUND((L199*M199*revleg_thin)/2,0),ROUND((L199*M199*revleg_thin),0)))-(((battery/range_nm)*D199*IF(ABS(MOD(ABS((L199*M199*revleg_thin)),1)-0.5)&lt;1E-9,2*ROUND((L199*M199*revleg_thin)/2,0),ROUND((L199*M199*revleg_thin),0))*VLOOKUP(B199,country_opex,3,FALSE))+W199+X199+Y199+Z199+AA199))&lt;=0,"",VLOOKUP(B199,country_opex,7,FALSE)/((T199*pax_cap*load_thin*IF(ABS(MOD(ABS((L199*M199*revleg_thin)),1)-0.5)&lt;1E-9,2*ROUND((L199*M199*revleg_thin)/2,0),ROUND((L199*M199*revleg_thin),0)))-(((battery/range_nm)*D199*IF(ABS(MOD(ABS((L199*M199*revleg_thin)),1)-0.5)&lt;1E-9,2*ROUND((L199*M199*revleg_thin)/2,0),ROUND((L199*M199*revleg_thin),0))*VLOOKUP(B199,country_opex,3,FALSE))+W199+X199+Y199+Z199+AA199)))</f>
        <v/>
      </c>
      <c r="AW199" s="45">
        <f>IF(((T199*pax_cap*IF(B199="South Korea",korea_mid_load,load_mid)*IF(ABS(MOD(ABS((L199*M199*IF(B199="South Korea",korea_mid_revleg,revleg_mid))),1)-0.5)&lt;1E-9,2*ROUND((L199*M199*IF(B199="South Korea",korea_mid_revleg,revleg_mid))/2,0),ROUND((L199*M199*IF(B199="South Korea",korea_mid_revleg,revleg_mid)),0)))-(((battery/range_nm)*D199*IF(ABS(MOD(ABS((L199*M199*IF(B199="South Korea",korea_mid_revleg,revleg_mid))),1)-0.5)&lt;1E-9,2*ROUND((L199*M199*IF(B199="South Korea",korea_mid_revleg,revleg_mid))/2,0),ROUND((L199*M199*IF(B199="South Korea",korea_mid_revleg,revleg_mid)),0))*VLOOKUP(B199,country_opex,3,FALSE))+W199+X199+Y199+Z199+AA199))&lt;=0,"",VLOOKUP(B199,country_opex,7,FALSE)/((T199*pax_cap*IF(B199="South Korea",korea_mid_load,load_mid)*IF(ABS(MOD(ABS((L199*M199*IF(B199="South Korea",korea_mid_revleg,revleg_mid))),1)-0.5)&lt;1E-9,2*ROUND((L199*M199*IF(B199="South Korea",korea_mid_revleg,revleg_mid))/2,0),ROUND((L199*M199*IF(B199="South Korea",korea_mid_revleg,revleg_mid)),0)))-(((battery/range_nm)*D199*IF(ABS(MOD(ABS((L199*M199*IF(B199="South Korea",korea_mid_revleg,revleg_mid))),1)-0.5)&lt;1E-9,2*ROUND((L199*M199*IF(B199="South Korea",korea_mid_revleg,revleg_mid))/2,0),ROUND((L199*M199*IF(B199="South Korea",korea_mid_revleg,revleg_mid)),0))*VLOOKUP(B199,country_opex,3,FALSE))+W199+X199+Y199+Z199+AA199)))</f>
        <v/>
      </c>
      <c r="AX199" s="45">
        <f>IF(((T199*pax_cap*load_full*IF(ABS(MOD(ABS((L199*M199*revleg_full)),1)-0.5)&lt;1E-9,2*ROUND((L199*M199*revleg_full)/2,0),ROUND((L199*M199*revleg_full),0)))-(((battery/range_nm)*D199*IF(ABS(MOD(ABS((L199*M199*revleg_full)),1)-0.5)&lt;1E-9,2*ROUND((L199*M199*revleg_full)/2,0),ROUND((L199*M199*revleg_full),0))*VLOOKUP(B199,country_opex,3,FALSE))+W199+X199+Y199+Z199+AA199))&lt;=0,"",VLOOKUP(B199,country_opex,7,FALSE)/((T199*pax_cap*load_full*IF(ABS(MOD(ABS((L199*M199*revleg_full)),1)-0.5)&lt;1E-9,2*ROUND((L199*M199*revleg_full)/2,0),ROUND((L199*M199*revleg_full),0)))-(((battery/range_nm)*D199*IF(ABS(MOD(ABS((L199*M199*revleg_full)),1)-0.5)&lt;1E-9,2*ROUND((L199*M199*revleg_full)/2,0),ROUND((L199*M199*revleg_full),0))*VLOOKUP(B199,country_opex,3,FALSE))+W199+X199+Y199+Z199+AA199)))</f>
        <v/>
      </c>
      <c r="AY199" s="46" t="inlineStr">
        <is>
          <t>Bulgari Resort Dubai ~129 keys + Bulgari Yacht Club &amp; Marina; road-served. T5/low.</t>
        </is>
      </c>
      <c r="AZ199" s="46" t="inlineStr">
        <is>
          <t>OPT-IN only (R3-LAND). ~129-key resort + yacht-club members.</t>
        </is>
      </c>
      <c r="BA199" s="34" t="inlineStr">
        <is>
          <t>rn-f1a7150d087e</t>
        </is>
      </c>
    </row>
    <row r="200">
      <c r="A200" s="31" t="inlineStr">
        <is>
          <t>Bolt Uae</t>
        </is>
      </c>
      <c r="B200" s="31" t="inlineStr">
        <is>
          <t>United Arab Emirates</t>
        </is>
      </c>
      <c r="C200" s="32" t="inlineStr">
        <is>
          <t>Emirates Palace Marina → Saadiyat Beach Club Jetty</t>
        </is>
      </c>
      <c r="D200" s="33" t="n">
        <v>10.4</v>
      </c>
      <c r="E200" s="27" t="n">
        <v>175</v>
      </c>
      <c r="F200" s="34" t="inlineStr">
        <is>
          <t>T5</t>
        </is>
      </c>
      <c r="G200" s="34" t="inlineStr">
        <is>
          <t>low</t>
        </is>
      </c>
      <c r="H200" s="20" t="n">
        <v>1</v>
      </c>
      <c r="I200" s="35">
        <f>60*D200/cruise_kt</f>
        <v/>
      </c>
      <c r="J200" s="35">
        <f>IF(B200="South Korea",D200/korea_charge_range_nm*korea_full_range_charge_min,0)</f>
        <v/>
      </c>
      <c r="K200" s="35">
        <f>IF(B200="South Korea",I200+korea_turn_min+korea_dwell_min+J200,I200+turn_min+dwell_min)</f>
        <v/>
      </c>
      <c r="L200" s="36">
        <f>IF(B200="South Korea",FLOOR(60*korea_service_hr/K200,1),MIN(15,FLOOR(60*service_hr/K200,1)))</f>
        <v/>
      </c>
      <c r="M200" s="36">
        <f>IF(ABS(MOD(ABS((365*mech_uptime*H200)),1)-0.5)&lt;1E-9,2*ROUND((365*mech_uptime*H200)/2,0),ROUND((365*mech_uptime*H200),0))</f>
        <v/>
      </c>
      <c r="N200" s="37">
        <f>mech_uptime</f>
        <v/>
      </c>
      <c r="O200" s="37">
        <f>IF(AND(B200="South Korea",scenario="MID"),korea_mid_revleg,revleg_sel)</f>
        <v/>
      </c>
      <c r="P200" s="36">
        <f>IF(ABS(MOD(ABS((L200*M200*O200)),1)-0.5)&lt;1E-9,2*ROUND((L200*M200*O200)/2,0),ROUND((L200*M200*O200),0))</f>
        <v/>
      </c>
      <c r="Q200" s="37">
        <f>IF(AND(B200="South Korea",scenario="MID"),korea_mid_load,load_sel)</f>
        <v/>
      </c>
      <c r="R200" s="38">
        <f>pax_cap*Q200</f>
        <v/>
      </c>
      <c r="S200" s="36">
        <f>R200*P200</f>
        <v/>
      </c>
      <c r="T200" s="39">
        <f>E200*discount</f>
        <v/>
      </c>
      <c r="U200" s="40">
        <f>T200*S200</f>
        <v/>
      </c>
      <c r="V200" s="40">
        <f>(battery/range_nm)*D200*P200*VLOOKUP(B200,country_opex,3,FALSE)</f>
        <v/>
      </c>
      <c r="W200" s="40">
        <f>VLOOKUP(B200,country_opex,2,FALSE)*crew_factor</f>
        <v/>
      </c>
      <c r="X200" s="40">
        <f>VLOOKUP(B200,country_opex,5,FALSE)</f>
        <v/>
      </c>
      <c r="Y200" s="40">
        <f>maint</f>
        <v/>
      </c>
      <c r="Z200" s="40">
        <f>VLOOKUP(B200,country_opex,7,FALSE)*ins_pct</f>
        <v/>
      </c>
      <c r="AA200" s="40">
        <f>charge_berth</f>
        <v/>
      </c>
      <c r="AB200" s="40">
        <f>V200+W200+X200+Y200+Z200+AA200</f>
        <v/>
      </c>
      <c r="AC200" s="40">
        <f>VLOOKUP(B200,country_opex,7,FALSE)/dep_years</f>
        <v/>
      </c>
      <c r="AD200" s="40">
        <f>U200-AB200</f>
        <v/>
      </c>
      <c r="AE200" s="37">
        <f>IF(U200=0,"",AD200/U200)</f>
        <v/>
      </c>
      <c r="AF200" s="38">
        <f>IF(AD200&lt;=0,"",VLOOKUP(B200,country_opex,7,FALSE)/AD200)</f>
        <v/>
      </c>
      <c r="AG200" s="35">
        <f>((D200*P200/diesel_nmpg)*diesel_co2pg-(battery/range_nm)*D200*P200*VLOOKUP(B200,country_opex,4,FALSE))/1000</f>
        <v/>
      </c>
      <c r="AH200" s="33" t="n">
        <v>3000</v>
      </c>
      <c r="AI200" s="34" t="inlineStr">
        <is>
          <t>T5</t>
        </is>
      </c>
      <c r="AJ200" s="34" t="inlineStr">
        <is>
          <t>low</t>
        </is>
      </c>
      <c r="AK200" s="41" t="n">
        <v>0.1</v>
      </c>
      <c r="AL200" s="36">
        <f>IF(AH200="","",AH200*AK200)</f>
        <v/>
      </c>
      <c r="AM200" s="36">
        <f>IF(OR(AH200="",S200=0),"",MIN(IF(AU200="",9.9E+99,AU200),FLOOR(AL200/S200,1)))</f>
        <v/>
      </c>
      <c r="AN200" s="40">
        <f>IF(AM200="","",AM200*IF(ABS(MOD(ABS((U200)),1)-0.5)&lt;1E-9,2*ROUND((U200)/2,0),ROUND((U200),0)))</f>
        <v/>
      </c>
      <c r="AO200" s="38">
        <f>IF(OR(AH200="",S200=0),"",MIN(IF(AU200="",9.9E+99,AU200),AL200/S200))</f>
        <v/>
      </c>
      <c r="AP200" s="40">
        <f>IF(AO200="","",AO200*IF(B200="South Korea",IF(ABS(MOD(ABS((U200)),1)-0.5)&lt;1E-9,2*ROUND((U200)/2,0),ROUND((U200),0)),U200))</f>
        <v/>
      </c>
      <c r="AQ200" s="42" t="n"/>
      <c r="AR200" s="34" t="inlineStr">
        <is>
          <t>Estimated</t>
        </is>
      </c>
      <c r="AS200" s="43" t="n"/>
      <c r="AT200" s="43" t="n"/>
      <c r="AU200" s="44" t="n"/>
      <c r="AV200" s="45">
        <f>IF(((T200*pax_cap*load_thin*IF(ABS(MOD(ABS((L200*M200*revleg_thin)),1)-0.5)&lt;1E-9,2*ROUND((L200*M200*revleg_thin)/2,0),ROUND((L200*M200*revleg_thin),0)))-(((battery/range_nm)*D200*IF(ABS(MOD(ABS((L200*M200*revleg_thin)),1)-0.5)&lt;1E-9,2*ROUND((L200*M200*revleg_thin)/2,0),ROUND((L200*M200*revleg_thin),0))*VLOOKUP(B200,country_opex,3,FALSE))+W200+X200+Y200+Z200+AA200))&lt;=0,"",VLOOKUP(B200,country_opex,7,FALSE)/((T200*pax_cap*load_thin*IF(ABS(MOD(ABS((L200*M200*revleg_thin)),1)-0.5)&lt;1E-9,2*ROUND((L200*M200*revleg_thin)/2,0),ROUND((L200*M200*revleg_thin),0)))-(((battery/range_nm)*D200*IF(ABS(MOD(ABS((L200*M200*revleg_thin)),1)-0.5)&lt;1E-9,2*ROUND((L200*M200*revleg_thin)/2,0),ROUND((L200*M200*revleg_thin),0))*VLOOKUP(B200,country_opex,3,FALSE))+W200+X200+Y200+Z200+AA200)))</f>
        <v/>
      </c>
      <c r="AW200" s="45">
        <f>IF(((T200*pax_cap*IF(B200="South Korea",korea_mid_load,load_mid)*IF(ABS(MOD(ABS((L200*M200*IF(B200="South Korea",korea_mid_revleg,revleg_mid))),1)-0.5)&lt;1E-9,2*ROUND((L200*M200*IF(B200="South Korea",korea_mid_revleg,revleg_mid))/2,0),ROUND((L200*M200*IF(B200="South Korea",korea_mid_revleg,revleg_mid)),0)))-(((battery/range_nm)*D200*IF(ABS(MOD(ABS((L200*M200*IF(B200="South Korea",korea_mid_revleg,revleg_mid))),1)-0.5)&lt;1E-9,2*ROUND((L200*M200*IF(B200="South Korea",korea_mid_revleg,revleg_mid))/2,0),ROUND((L200*M200*IF(B200="South Korea",korea_mid_revleg,revleg_mid)),0))*VLOOKUP(B200,country_opex,3,FALSE))+W200+X200+Y200+Z200+AA200))&lt;=0,"",VLOOKUP(B200,country_opex,7,FALSE)/((T200*pax_cap*IF(B200="South Korea",korea_mid_load,load_mid)*IF(ABS(MOD(ABS((L200*M200*IF(B200="South Korea",korea_mid_revleg,revleg_mid))),1)-0.5)&lt;1E-9,2*ROUND((L200*M200*IF(B200="South Korea",korea_mid_revleg,revleg_mid))/2,0),ROUND((L200*M200*IF(B200="South Korea",korea_mid_revleg,revleg_mid)),0)))-(((battery/range_nm)*D200*IF(ABS(MOD(ABS((L200*M200*IF(B200="South Korea",korea_mid_revleg,revleg_mid))),1)-0.5)&lt;1E-9,2*ROUND((L200*M200*IF(B200="South Korea",korea_mid_revleg,revleg_mid))/2,0),ROUND((L200*M200*IF(B200="South Korea",korea_mid_revleg,revleg_mid)),0))*VLOOKUP(B200,country_opex,3,FALSE))+W200+X200+Y200+Z200+AA200)))</f>
        <v/>
      </c>
      <c r="AX200" s="45">
        <f>IF(((T200*pax_cap*load_full*IF(ABS(MOD(ABS((L200*M200*revleg_full)),1)-0.5)&lt;1E-9,2*ROUND((L200*M200*revleg_full)/2,0),ROUND((L200*M200*revleg_full),0)))-(((battery/range_nm)*D200*IF(ABS(MOD(ABS((L200*M200*revleg_full)),1)-0.5)&lt;1E-9,2*ROUND((L200*M200*revleg_full)/2,0),ROUND((L200*M200*revleg_full),0))*VLOOKUP(B200,country_opex,3,FALSE))+W200+X200+Y200+Z200+AA200))&lt;=0,"",VLOOKUP(B200,country_opex,7,FALSE)/((T200*pax_cap*load_full*IF(ABS(MOD(ABS((L200*M200*revleg_full)),1)-0.5)&lt;1E-9,2*ROUND((L200*M200*revleg_full)/2,0),ROUND((L200*M200*revleg_full),0)))-(((battery/range_nm)*D200*IF(ABS(MOD(ABS((L200*M200*revleg_full)),1)-0.5)&lt;1E-9,2*ROUND((L200*M200*revleg_full)/2,0),ROUND((L200*M200*revleg_full),0))*VLOOKUP(B200,country_opex,3,FALSE))+W200+X200+Y200+Z200+AA200)))</f>
        <v/>
      </c>
      <c r="AY200" s="46" t="inlineStr">
        <is>
          <t>Emirates Palace&lt;-&gt;Saadiyat experiential luxury hop; both road-served. T5/low.</t>
        </is>
      </c>
      <c r="AZ200" s="46" t="inlineStr">
        <is>
          <t>OPT-IN only (R3-LAND: both road-served). Experiential luxury hop.</t>
        </is>
      </c>
      <c r="BA200" s="34" t="inlineStr">
        <is>
          <t>rn-9d65d29a88ec</t>
        </is>
      </c>
    </row>
    <row r="201">
      <c r="A201" s="31" t="inlineStr">
        <is>
          <t>Bolt Uae</t>
        </is>
      </c>
      <c r="B201" s="31" t="inlineStr">
        <is>
          <t>United Arab Emirates</t>
        </is>
      </c>
      <c r="C201" s="32" t="inlineStr">
        <is>
          <t>Fujairah → Khorfakkan Corniche / Port</t>
        </is>
      </c>
      <c r="D201" s="33" t="n">
        <v>11.4</v>
      </c>
      <c r="E201" s="27" t="n"/>
      <c r="F201" s="34" t="n"/>
      <c r="G201" s="34" t="n"/>
      <c r="H201" s="20" t="n">
        <v>1</v>
      </c>
      <c r="I201" s="35">
        <f>60*D201/cruise_kt</f>
        <v/>
      </c>
      <c r="J201" s="35">
        <f>IF(B201="South Korea",D201/korea_charge_range_nm*korea_full_range_charge_min,0)</f>
        <v/>
      </c>
      <c r="K201" s="35">
        <f>IF(B201="South Korea",I201+korea_turn_min+korea_dwell_min+J201,I201+turn_min+dwell_min)</f>
        <v/>
      </c>
      <c r="L201" s="36">
        <f>IF(B201="South Korea",FLOOR(60*korea_service_hr/K201,1),MIN(15,FLOOR(60*service_hr/K201,1)))</f>
        <v/>
      </c>
      <c r="M201" s="36">
        <f>IF(ABS(MOD(ABS((365*mech_uptime*H201)),1)-0.5)&lt;1E-9,2*ROUND((365*mech_uptime*H201)/2,0),ROUND((365*mech_uptime*H201),0))</f>
        <v/>
      </c>
      <c r="N201" s="37">
        <f>mech_uptime</f>
        <v/>
      </c>
      <c r="O201" s="37">
        <f>IF(AND(B201="South Korea",scenario="MID"),korea_mid_revleg,revleg_sel)</f>
        <v/>
      </c>
      <c r="P201" s="36">
        <f>IF(ABS(MOD(ABS((L201*M201*O201)),1)-0.5)&lt;1E-9,2*ROUND((L201*M201*O201)/2,0),ROUND((L201*M201*O201),0))</f>
        <v/>
      </c>
      <c r="Q201" s="37">
        <f>IF(AND(B201="South Korea",scenario="MID"),korea_mid_load,load_sel)</f>
        <v/>
      </c>
      <c r="R201" s="38">
        <f>pax_cap*Q201</f>
        <v/>
      </c>
      <c r="S201" s="36">
        <f>R201*P201</f>
        <v/>
      </c>
      <c r="T201" s="39">
        <f>E201*discount</f>
        <v/>
      </c>
      <c r="U201" s="40">
        <f>T201*S201</f>
        <v/>
      </c>
      <c r="V201" s="40">
        <f>(battery/range_nm)*D201*P201*VLOOKUP(B201,country_opex,3,FALSE)</f>
        <v/>
      </c>
      <c r="W201" s="40">
        <f>VLOOKUP(B201,country_opex,2,FALSE)*crew_factor</f>
        <v/>
      </c>
      <c r="X201" s="40">
        <f>VLOOKUP(B201,country_opex,5,FALSE)</f>
        <v/>
      </c>
      <c r="Y201" s="40">
        <f>maint</f>
        <v/>
      </c>
      <c r="Z201" s="40">
        <f>VLOOKUP(B201,country_opex,7,FALSE)*ins_pct</f>
        <v/>
      </c>
      <c r="AA201" s="40">
        <f>charge_berth</f>
        <v/>
      </c>
      <c r="AB201" s="40">
        <f>V201+W201+X201+Y201+Z201+AA201</f>
        <v/>
      </c>
      <c r="AC201" s="40">
        <f>VLOOKUP(B201,country_opex,7,FALSE)/dep_years</f>
        <v/>
      </c>
      <c r="AD201" s="40">
        <f>U201-AB201</f>
        <v/>
      </c>
      <c r="AE201" s="37">
        <f>IF(U201=0,"",AD201/U201)</f>
        <v/>
      </c>
      <c r="AF201" s="38">
        <f>IF(AD201&lt;=0,"",VLOOKUP(B201,country_opex,7,FALSE)/AD201)</f>
        <v/>
      </c>
      <c r="AG201" s="35">
        <f>((D201*P201/diesel_nmpg)*diesel_co2pg-(battery/range_nm)*D201*P201*VLOOKUP(B201,country_opex,4,FALSE))/1000</f>
        <v/>
      </c>
      <c r="AH201" s="33" t="n"/>
      <c r="AI201" s="34" t="n"/>
      <c r="AJ201" s="34" t="n"/>
      <c r="AK201" s="41" t="n">
        <v>0.1</v>
      </c>
      <c r="AL201" s="36">
        <f>IF(AH201="","",AH201*AK201)</f>
        <v/>
      </c>
      <c r="AM201" s="36">
        <f>IF(OR(AH201="",S201=0),"",MIN(IF(AU201="",9.9E+99,AU201),FLOOR(AL201/S201,1)))</f>
        <v/>
      </c>
      <c r="AN201" s="40">
        <f>IF(AM201="","",AM201*IF(ABS(MOD(ABS((U201)),1)-0.5)&lt;1E-9,2*ROUND((U201)/2,0),ROUND((U201),0)))</f>
        <v/>
      </c>
      <c r="AO201" s="38">
        <f>IF(OR(AH201="",S201=0),"",MIN(IF(AU201="",9.9E+99,AU201),AL201/S201))</f>
        <v/>
      </c>
      <c r="AP201" s="40">
        <f>IF(AO201="","",AO201*IF(B201="South Korea",IF(ABS(MOD(ABS((U201)),1)-0.5)&lt;1E-9,2*ROUND((U201)/2,0),ROUND((U201),0)),U201))</f>
        <v/>
      </c>
      <c r="AQ201" s="42" t="n"/>
      <c r="AR201" s="34" t="inlineStr">
        <is>
          <t>Estimated</t>
        </is>
      </c>
      <c r="AS201" s="43" t="n"/>
      <c r="AT201" s="43" t="n"/>
      <c r="AU201" s="44" t="n"/>
      <c r="AV201" s="45">
        <f>IF(((T201*pax_cap*load_thin*IF(ABS(MOD(ABS((L201*M201*revleg_thin)),1)-0.5)&lt;1E-9,2*ROUND((L201*M201*revleg_thin)/2,0),ROUND((L201*M201*revleg_thin),0)))-(((battery/range_nm)*D201*IF(ABS(MOD(ABS((L201*M201*revleg_thin)),1)-0.5)&lt;1E-9,2*ROUND((L201*M201*revleg_thin)/2,0),ROUND((L201*M201*revleg_thin),0))*VLOOKUP(B201,country_opex,3,FALSE))+W201+X201+Y201+Z201+AA201))&lt;=0,"",VLOOKUP(B201,country_opex,7,FALSE)/((T201*pax_cap*load_thin*IF(ABS(MOD(ABS((L201*M201*revleg_thin)),1)-0.5)&lt;1E-9,2*ROUND((L201*M201*revleg_thin)/2,0),ROUND((L201*M201*revleg_thin),0)))-(((battery/range_nm)*D201*IF(ABS(MOD(ABS((L201*M201*revleg_thin)),1)-0.5)&lt;1E-9,2*ROUND((L201*M201*revleg_thin)/2,0),ROUND((L201*M201*revleg_thin),0))*VLOOKUP(B201,country_opex,3,FALSE))+W201+X201+Y201+Z201+AA201)))</f>
        <v/>
      </c>
      <c r="AW201" s="45">
        <f>IF(((T201*pax_cap*IF(B201="South Korea",korea_mid_load,load_mid)*IF(ABS(MOD(ABS((L201*M201*IF(B201="South Korea",korea_mid_revleg,revleg_mid))),1)-0.5)&lt;1E-9,2*ROUND((L201*M201*IF(B201="South Korea",korea_mid_revleg,revleg_mid))/2,0),ROUND((L201*M201*IF(B201="South Korea",korea_mid_revleg,revleg_mid)),0)))-(((battery/range_nm)*D201*IF(ABS(MOD(ABS((L201*M201*IF(B201="South Korea",korea_mid_revleg,revleg_mid))),1)-0.5)&lt;1E-9,2*ROUND((L201*M201*IF(B201="South Korea",korea_mid_revleg,revleg_mid))/2,0),ROUND((L201*M201*IF(B201="South Korea",korea_mid_revleg,revleg_mid)),0))*VLOOKUP(B201,country_opex,3,FALSE))+W201+X201+Y201+Z201+AA201))&lt;=0,"",VLOOKUP(B201,country_opex,7,FALSE)/((T201*pax_cap*IF(B201="South Korea",korea_mid_load,load_mid)*IF(ABS(MOD(ABS((L201*M201*IF(B201="South Korea",korea_mid_revleg,revleg_mid))),1)-0.5)&lt;1E-9,2*ROUND((L201*M201*IF(B201="South Korea",korea_mid_revleg,revleg_mid))/2,0),ROUND((L201*M201*IF(B201="South Korea",korea_mid_revleg,revleg_mid)),0)))-(((battery/range_nm)*D201*IF(ABS(MOD(ABS((L201*M201*IF(B201="South Korea",korea_mid_revleg,revleg_mid))),1)-0.5)&lt;1E-9,2*ROUND((L201*M201*IF(B201="South Korea",korea_mid_revleg,revleg_mid))/2,0),ROUND((L201*M201*IF(B201="South Korea",korea_mid_revleg,revleg_mid)),0))*VLOOKUP(B201,country_opex,3,FALSE))+W201+X201+Y201+Z201+AA201)))</f>
        <v/>
      </c>
      <c r="AX201" s="45">
        <f>IF(((T201*pax_cap*load_full*IF(ABS(MOD(ABS((L201*M201*revleg_full)),1)-0.5)&lt;1E-9,2*ROUND((L201*M201*revleg_full)/2,0),ROUND((L201*M201*revleg_full),0)))-(((battery/range_nm)*D201*IF(ABS(MOD(ABS((L201*M201*revleg_full)),1)-0.5)&lt;1E-9,2*ROUND((L201*M201*revleg_full)/2,0),ROUND((L201*M201*revleg_full),0))*VLOOKUP(B201,country_opex,3,FALSE))+W201+X201+Y201+Z201+AA201))&lt;=0,"",VLOOKUP(B201,country_opex,7,FALSE)/((T201*pax_cap*load_full*IF(ABS(MOD(ABS((L201*M201*revleg_full)),1)-0.5)&lt;1E-9,2*ROUND((L201*M201*revleg_full)/2,0),ROUND((L201*M201*revleg_full),0)))-(((battery/range_nm)*D201*IF(ABS(MOD(ABS((L201*M201*revleg_full)),1)-0.5)&lt;1E-9,2*ROUND((L201*M201*revleg_full)/2,0),ROUND((L201*M201*revleg_full),0))*VLOOKUP(B201,country_opex,3,FALSE))+W201+X201+Y201+Z201+AA201)))</f>
        <v/>
      </c>
      <c r="AY201" s="46" t="n"/>
      <c r="AZ201" s="46" t="n"/>
      <c r="BA201" s="34" t="inlineStr">
        <is>
          <t>rn-bc685bdb0da3</t>
        </is>
      </c>
    </row>
    <row r="202">
      <c r="A202" s="31" t="inlineStr">
        <is>
          <t>Bolt Uae</t>
        </is>
      </c>
      <c r="B202" s="31" t="inlineStr">
        <is>
          <t>United Arab Emirates</t>
        </is>
      </c>
      <c r="C202" s="32" t="inlineStr">
        <is>
          <t>Dubai Harbour Marina → Nikki Beach Resort Pearl Jumeirah Jetty</t>
        </is>
      </c>
      <c r="D202" s="33" t="n">
        <v>11.9</v>
      </c>
      <c r="E202" s="27" t="n"/>
      <c r="F202" s="34" t="n"/>
      <c r="G202" s="34" t="n"/>
      <c r="H202" s="20" t="n">
        <v>1</v>
      </c>
      <c r="I202" s="35">
        <f>60*D202/cruise_kt</f>
        <v/>
      </c>
      <c r="J202" s="35">
        <f>IF(B202="South Korea",D202/korea_charge_range_nm*korea_full_range_charge_min,0)</f>
        <v/>
      </c>
      <c r="K202" s="35">
        <f>IF(B202="South Korea",I202+korea_turn_min+korea_dwell_min+J202,I202+turn_min+dwell_min)</f>
        <v/>
      </c>
      <c r="L202" s="36">
        <f>IF(B202="South Korea",FLOOR(60*korea_service_hr/K202,1),MIN(15,FLOOR(60*service_hr/K202,1)))</f>
        <v/>
      </c>
      <c r="M202" s="36">
        <f>IF(ABS(MOD(ABS((365*mech_uptime*H202)),1)-0.5)&lt;1E-9,2*ROUND((365*mech_uptime*H202)/2,0),ROUND((365*mech_uptime*H202),0))</f>
        <v/>
      </c>
      <c r="N202" s="37">
        <f>mech_uptime</f>
        <v/>
      </c>
      <c r="O202" s="37">
        <f>IF(AND(B202="South Korea",scenario="MID"),korea_mid_revleg,revleg_sel)</f>
        <v/>
      </c>
      <c r="P202" s="36">
        <f>IF(ABS(MOD(ABS((L202*M202*O202)),1)-0.5)&lt;1E-9,2*ROUND((L202*M202*O202)/2,0),ROUND((L202*M202*O202),0))</f>
        <v/>
      </c>
      <c r="Q202" s="37">
        <f>IF(AND(B202="South Korea",scenario="MID"),korea_mid_load,load_sel)</f>
        <v/>
      </c>
      <c r="R202" s="38">
        <f>pax_cap*Q202</f>
        <v/>
      </c>
      <c r="S202" s="36">
        <f>R202*P202</f>
        <v/>
      </c>
      <c r="T202" s="39">
        <f>E202*discount</f>
        <v/>
      </c>
      <c r="U202" s="40">
        <f>T202*S202</f>
        <v/>
      </c>
      <c r="V202" s="40">
        <f>(battery/range_nm)*D202*P202*VLOOKUP(B202,country_opex,3,FALSE)</f>
        <v/>
      </c>
      <c r="W202" s="40">
        <f>VLOOKUP(B202,country_opex,2,FALSE)*crew_factor</f>
        <v/>
      </c>
      <c r="X202" s="40">
        <f>VLOOKUP(B202,country_opex,5,FALSE)</f>
        <v/>
      </c>
      <c r="Y202" s="40">
        <f>maint</f>
        <v/>
      </c>
      <c r="Z202" s="40">
        <f>VLOOKUP(B202,country_opex,7,FALSE)*ins_pct</f>
        <v/>
      </c>
      <c r="AA202" s="40">
        <f>charge_berth</f>
        <v/>
      </c>
      <c r="AB202" s="40">
        <f>V202+W202+X202+Y202+Z202+AA202</f>
        <v/>
      </c>
      <c r="AC202" s="40">
        <f>VLOOKUP(B202,country_opex,7,FALSE)/dep_years</f>
        <v/>
      </c>
      <c r="AD202" s="40">
        <f>U202-AB202</f>
        <v/>
      </c>
      <c r="AE202" s="37">
        <f>IF(U202=0,"",AD202/U202)</f>
        <v/>
      </c>
      <c r="AF202" s="38">
        <f>IF(AD202&lt;=0,"",VLOOKUP(B202,country_opex,7,FALSE)/AD202)</f>
        <v/>
      </c>
      <c r="AG202" s="35">
        <f>((D202*P202/diesel_nmpg)*diesel_co2pg-(battery/range_nm)*D202*P202*VLOOKUP(B202,country_opex,4,FALSE))/1000</f>
        <v/>
      </c>
      <c r="AH202" s="33" t="n"/>
      <c r="AI202" s="34" t="n"/>
      <c r="AJ202" s="34" t="n"/>
      <c r="AK202" s="41" t="n">
        <v>0.1</v>
      </c>
      <c r="AL202" s="36">
        <f>IF(AH202="","",AH202*AK202)</f>
        <v/>
      </c>
      <c r="AM202" s="36">
        <f>IF(OR(AH202="",S202=0),"",MIN(IF(AU202="",9.9E+99,AU202),FLOOR(AL202/S202,1)))</f>
        <v/>
      </c>
      <c r="AN202" s="40">
        <f>IF(AM202="","",AM202*IF(ABS(MOD(ABS((U202)),1)-0.5)&lt;1E-9,2*ROUND((U202)/2,0),ROUND((U202),0)))</f>
        <v/>
      </c>
      <c r="AO202" s="38">
        <f>IF(OR(AH202="",S202=0),"",MIN(IF(AU202="",9.9E+99,AU202),AL202/S202))</f>
        <v/>
      </c>
      <c r="AP202" s="40">
        <f>IF(AO202="","",AO202*IF(B202="South Korea",IF(ABS(MOD(ABS((U202)),1)-0.5)&lt;1E-9,2*ROUND((U202)/2,0),ROUND((U202),0)),U202))</f>
        <v/>
      </c>
      <c r="AQ202" s="42" t="n"/>
      <c r="AR202" s="34" t="inlineStr">
        <is>
          <t>Estimated</t>
        </is>
      </c>
      <c r="AS202" s="43" t="n"/>
      <c r="AT202" s="43" t="n"/>
      <c r="AU202" s="44" t="n"/>
      <c r="AV202" s="45">
        <f>IF(((T202*pax_cap*load_thin*IF(ABS(MOD(ABS((L202*M202*revleg_thin)),1)-0.5)&lt;1E-9,2*ROUND((L202*M202*revleg_thin)/2,0),ROUND((L202*M202*revleg_thin),0)))-(((battery/range_nm)*D202*IF(ABS(MOD(ABS((L202*M202*revleg_thin)),1)-0.5)&lt;1E-9,2*ROUND((L202*M202*revleg_thin)/2,0),ROUND((L202*M202*revleg_thin),0))*VLOOKUP(B202,country_opex,3,FALSE))+W202+X202+Y202+Z202+AA202))&lt;=0,"",VLOOKUP(B202,country_opex,7,FALSE)/((T202*pax_cap*load_thin*IF(ABS(MOD(ABS((L202*M202*revleg_thin)),1)-0.5)&lt;1E-9,2*ROUND((L202*M202*revleg_thin)/2,0),ROUND((L202*M202*revleg_thin),0)))-(((battery/range_nm)*D202*IF(ABS(MOD(ABS((L202*M202*revleg_thin)),1)-0.5)&lt;1E-9,2*ROUND((L202*M202*revleg_thin)/2,0),ROUND((L202*M202*revleg_thin),0))*VLOOKUP(B202,country_opex,3,FALSE))+W202+X202+Y202+Z202+AA202)))</f>
        <v/>
      </c>
      <c r="AW202" s="45">
        <f>IF(((T202*pax_cap*IF(B202="South Korea",korea_mid_load,load_mid)*IF(ABS(MOD(ABS((L202*M202*IF(B202="South Korea",korea_mid_revleg,revleg_mid))),1)-0.5)&lt;1E-9,2*ROUND((L202*M202*IF(B202="South Korea",korea_mid_revleg,revleg_mid))/2,0),ROUND((L202*M202*IF(B202="South Korea",korea_mid_revleg,revleg_mid)),0)))-(((battery/range_nm)*D202*IF(ABS(MOD(ABS((L202*M202*IF(B202="South Korea",korea_mid_revleg,revleg_mid))),1)-0.5)&lt;1E-9,2*ROUND((L202*M202*IF(B202="South Korea",korea_mid_revleg,revleg_mid))/2,0),ROUND((L202*M202*IF(B202="South Korea",korea_mid_revleg,revleg_mid)),0))*VLOOKUP(B202,country_opex,3,FALSE))+W202+X202+Y202+Z202+AA202))&lt;=0,"",VLOOKUP(B202,country_opex,7,FALSE)/((T202*pax_cap*IF(B202="South Korea",korea_mid_load,load_mid)*IF(ABS(MOD(ABS((L202*M202*IF(B202="South Korea",korea_mid_revleg,revleg_mid))),1)-0.5)&lt;1E-9,2*ROUND((L202*M202*IF(B202="South Korea",korea_mid_revleg,revleg_mid))/2,0),ROUND((L202*M202*IF(B202="South Korea",korea_mid_revleg,revleg_mid)),0)))-(((battery/range_nm)*D202*IF(ABS(MOD(ABS((L202*M202*IF(B202="South Korea",korea_mid_revleg,revleg_mid))),1)-0.5)&lt;1E-9,2*ROUND((L202*M202*IF(B202="South Korea",korea_mid_revleg,revleg_mid))/2,0),ROUND((L202*M202*IF(B202="South Korea",korea_mid_revleg,revleg_mid)),0))*VLOOKUP(B202,country_opex,3,FALSE))+W202+X202+Y202+Z202+AA202)))</f>
        <v/>
      </c>
      <c r="AX202" s="45">
        <f>IF(((T202*pax_cap*load_full*IF(ABS(MOD(ABS((L202*M202*revleg_full)),1)-0.5)&lt;1E-9,2*ROUND((L202*M202*revleg_full)/2,0),ROUND((L202*M202*revleg_full),0)))-(((battery/range_nm)*D202*IF(ABS(MOD(ABS((L202*M202*revleg_full)),1)-0.5)&lt;1E-9,2*ROUND((L202*M202*revleg_full)/2,0),ROUND((L202*M202*revleg_full),0))*VLOOKUP(B202,country_opex,3,FALSE))+W202+X202+Y202+Z202+AA202))&lt;=0,"",VLOOKUP(B202,country_opex,7,FALSE)/((T202*pax_cap*load_full*IF(ABS(MOD(ABS((L202*M202*revleg_full)),1)-0.5)&lt;1E-9,2*ROUND((L202*M202*revleg_full)/2,0),ROUND((L202*M202*revleg_full),0)))-(((battery/range_nm)*D202*IF(ABS(MOD(ABS((L202*M202*revleg_full)),1)-0.5)&lt;1E-9,2*ROUND((L202*M202*revleg_full)/2,0),ROUND((L202*M202*revleg_full),0))*VLOOKUP(B202,country_opex,3,FALSE))+W202+X202+Y202+Z202+AA202)))</f>
        <v/>
      </c>
      <c r="AY202" s="46" t="n"/>
      <c r="AZ202" s="46" t="n"/>
      <c r="BA202" s="34" t="inlineStr">
        <is>
          <t>rn-b1ba183aa886</t>
        </is>
      </c>
    </row>
    <row r="203">
      <c r="A203" s="31" t="inlineStr">
        <is>
          <t>Bolt Uae</t>
        </is>
      </c>
      <c r="B203" s="31" t="inlineStr">
        <is>
          <t>United Arab Emirates</t>
        </is>
      </c>
      <c r="C203" s="32" t="inlineStr">
        <is>
          <t>Ras Al Khaimah → ميناء صيادين غليلة</t>
        </is>
      </c>
      <c r="D203" s="33" t="n">
        <v>11.9</v>
      </c>
      <c r="E203" s="27" t="n"/>
      <c r="F203" s="34" t="n"/>
      <c r="G203" s="34" t="n"/>
      <c r="H203" s="20" t="n">
        <v>1</v>
      </c>
      <c r="I203" s="35">
        <f>60*D203/cruise_kt</f>
        <v/>
      </c>
      <c r="J203" s="35">
        <f>IF(B203="South Korea",D203/korea_charge_range_nm*korea_full_range_charge_min,0)</f>
        <v/>
      </c>
      <c r="K203" s="35">
        <f>IF(B203="South Korea",I203+korea_turn_min+korea_dwell_min+J203,I203+turn_min+dwell_min)</f>
        <v/>
      </c>
      <c r="L203" s="36">
        <f>IF(B203="South Korea",FLOOR(60*korea_service_hr/K203,1),MIN(15,FLOOR(60*service_hr/K203,1)))</f>
        <v/>
      </c>
      <c r="M203" s="36">
        <f>IF(ABS(MOD(ABS((365*mech_uptime*H203)),1)-0.5)&lt;1E-9,2*ROUND((365*mech_uptime*H203)/2,0),ROUND((365*mech_uptime*H203),0))</f>
        <v/>
      </c>
      <c r="N203" s="37">
        <f>mech_uptime</f>
        <v/>
      </c>
      <c r="O203" s="37">
        <f>IF(AND(B203="South Korea",scenario="MID"),korea_mid_revleg,revleg_sel)</f>
        <v/>
      </c>
      <c r="P203" s="36">
        <f>IF(ABS(MOD(ABS((L203*M203*O203)),1)-0.5)&lt;1E-9,2*ROUND((L203*M203*O203)/2,0),ROUND((L203*M203*O203),0))</f>
        <v/>
      </c>
      <c r="Q203" s="37">
        <f>IF(AND(B203="South Korea",scenario="MID"),korea_mid_load,load_sel)</f>
        <v/>
      </c>
      <c r="R203" s="38">
        <f>pax_cap*Q203</f>
        <v/>
      </c>
      <c r="S203" s="36">
        <f>R203*P203</f>
        <v/>
      </c>
      <c r="T203" s="39">
        <f>E203*discount</f>
        <v/>
      </c>
      <c r="U203" s="40">
        <f>T203*S203</f>
        <v/>
      </c>
      <c r="V203" s="40">
        <f>(battery/range_nm)*D203*P203*VLOOKUP(B203,country_opex,3,FALSE)</f>
        <v/>
      </c>
      <c r="W203" s="40">
        <f>VLOOKUP(B203,country_opex,2,FALSE)*crew_factor</f>
        <v/>
      </c>
      <c r="X203" s="40">
        <f>VLOOKUP(B203,country_opex,5,FALSE)</f>
        <v/>
      </c>
      <c r="Y203" s="40">
        <f>maint</f>
        <v/>
      </c>
      <c r="Z203" s="40">
        <f>VLOOKUP(B203,country_opex,7,FALSE)*ins_pct</f>
        <v/>
      </c>
      <c r="AA203" s="40">
        <f>charge_berth</f>
        <v/>
      </c>
      <c r="AB203" s="40">
        <f>V203+W203+X203+Y203+Z203+AA203</f>
        <v/>
      </c>
      <c r="AC203" s="40">
        <f>VLOOKUP(B203,country_opex,7,FALSE)/dep_years</f>
        <v/>
      </c>
      <c r="AD203" s="40">
        <f>U203-AB203</f>
        <v/>
      </c>
      <c r="AE203" s="37">
        <f>IF(U203=0,"",AD203/U203)</f>
        <v/>
      </c>
      <c r="AF203" s="38">
        <f>IF(AD203&lt;=0,"",VLOOKUP(B203,country_opex,7,FALSE)/AD203)</f>
        <v/>
      </c>
      <c r="AG203" s="35">
        <f>((D203*P203/diesel_nmpg)*diesel_co2pg-(battery/range_nm)*D203*P203*VLOOKUP(B203,country_opex,4,FALSE))/1000</f>
        <v/>
      </c>
      <c r="AH203" s="33" t="n"/>
      <c r="AI203" s="34" t="n"/>
      <c r="AJ203" s="34" t="n"/>
      <c r="AK203" s="41" t="n">
        <v>0.1</v>
      </c>
      <c r="AL203" s="36">
        <f>IF(AH203="","",AH203*AK203)</f>
        <v/>
      </c>
      <c r="AM203" s="36">
        <f>IF(OR(AH203="",S203=0),"",MIN(IF(AU203="",9.9E+99,AU203),FLOOR(AL203/S203,1)))</f>
        <v/>
      </c>
      <c r="AN203" s="40">
        <f>IF(AM203="","",AM203*IF(ABS(MOD(ABS((U203)),1)-0.5)&lt;1E-9,2*ROUND((U203)/2,0),ROUND((U203),0)))</f>
        <v/>
      </c>
      <c r="AO203" s="38">
        <f>IF(OR(AH203="",S203=0),"",MIN(IF(AU203="",9.9E+99,AU203),AL203/S203))</f>
        <v/>
      </c>
      <c r="AP203" s="40">
        <f>IF(AO203="","",AO203*IF(B203="South Korea",IF(ABS(MOD(ABS((U203)),1)-0.5)&lt;1E-9,2*ROUND((U203)/2,0),ROUND((U203),0)),U203))</f>
        <v/>
      </c>
      <c r="AQ203" s="42" t="n"/>
      <c r="AR203" s="34" t="inlineStr">
        <is>
          <t>Estimated</t>
        </is>
      </c>
      <c r="AS203" s="43" t="n"/>
      <c r="AT203" s="43" t="n"/>
      <c r="AU203" s="44" t="n"/>
      <c r="AV203" s="45">
        <f>IF(((T203*pax_cap*load_thin*IF(ABS(MOD(ABS((L203*M203*revleg_thin)),1)-0.5)&lt;1E-9,2*ROUND((L203*M203*revleg_thin)/2,0),ROUND((L203*M203*revleg_thin),0)))-(((battery/range_nm)*D203*IF(ABS(MOD(ABS((L203*M203*revleg_thin)),1)-0.5)&lt;1E-9,2*ROUND((L203*M203*revleg_thin)/2,0),ROUND((L203*M203*revleg_thin),0))*VLOOKUP(B203,country_opex,3,FALSE))+W203+X203+Y203+Z203+AA203))&lt;=0,"",VLOOKUP(B203,country_opex,7,FALSE)/((T203*pax_cap*load_thin*IF(ABS(MOD(ABS((L203*M203*revleg_thin)),1)-0.5)&lt;1E-9,2*ROUND((L203*M203*revleg_thin)/2,0),ROUND((L203*M203*revleg_thin),0)))-(((battery/range_nm)*D203*IF(ABS(MOD(ABS((L203*M203*revleg_thin)),1)-0.5)&lt;1E-9,2*ROUND((L203*M203*revleg_thin)/2,0),ROUND((L203*M203*revleg_thin),0))*VLOOKUP(B203,country_opex,3,FALSE))+W203+X203+Y203+Z203+AA203)))</f>
        <v/>
      </c>
      <c r="AW203" s="45">
        <f>IF(((T203*pax_cap*IF(B203="South Korea",korea_mid_load,load_mid)*IF(ABS(MOD(ABS((L203*M203*IF(B203="South Korea",korea_mid_revleg,revleg_mid))),1)-0.5)&lt;1E-9,2*ROUND((L203*M203*IF(B203="South Korea",korea_mid_revleg,revleg_mid))/2,0),ROUND((L203*M203*IF(B203="South Korea",korea_mid_revleg,revleg_mid)),0)))-(((battery/range_nm)*D203*IF(ABS(MOD(ABS((L203*M203*IF(B203="South Korea",korea_mid_revleg,revleg_mid))),1)-0.5)&lt;1E-9,2*ROUND((L203*M203*IF(B203="South Korea",korea_mid_revleg,revleg_mid))/2,0),ROUND((L203*M203*IF(B203="South Korea",korea_mid_revleg,revleg_mid)),0))*VLOOKUP(B203,country_opex,3,FALSE))+W203+X203+Y203+Z203+AA203))&lt;=0,"",VLOOKUP(B203,country_opex,7,FALSE)/((T203*pax_cap*IF(B203="South Korea",korea_mid_load,load_mid)*IF(ABS(MOD(ABS((L203*M203*IF(B203="South Korea",korea_mid_revleg,revleg_mid))),1)-0.5)&lt;1E-9,2*ROUND((L203*M203*IF(B203="South Korea",korea_mid_revleg,revleg_mid))/2,0),ROUND((L203*M203*IF(B203="South Korea",korea_mid_revleg,revleg_mid)),0)))-(((battery/range_nm)*D203*IF(ABS(MOD(ABS((L203*M203*IF(B203="South Korea",korea_mid_revleg,revleg_mid))),1)-0.5)&lt;1E-9,2*ROUND((L203*M203*IF(B203="South Korea",korea_mid_revleg,revleg_mid))/2,0),ROUND((L203*M203*IF(B203="South Korea",korea_mid_revleg,revleg_mid)),0))*VLOOKUP(B203,country_opex,3,FALSE))+W203+X203+Y203+Z203+AA203)))</f>
        <v/>
      </c>
      <c r="AX203" s="45">
        <f>IF(((T203*pax_cap*load_full*IF(ABS(MOD(ABS((L203*M203*revleg_full)),1)-0.5)&lt;1E-9,2*ROUND((L203*M203*revleg_full)/2,0),ROUND((L203*M203*revleg_full),0)))-(((battery/range_nm)*D203*IF(ABS(MOD(ABS((L203*M203*revleg_full)),1)-0.5)&lt;1E-9,2*ROUND((L203*M203*revleg_full)/2,0),ROUND((L203*M203*revleg_full),0))*VLOOKUP(B203,country_opex,3,FALSE))+W203+X203+Y203+Z203+AA203))&lt;=0,"",VLOOKUP(B203,country_opex,7,FALSE)/((T203*pax_cap*load_full*IF(ABS(MOD(ABS((L203*M203*revleg_full)),1)-0.5)&lt;1E-9,2*ROUND((L203*M203*revleg_full)/2,0),ROUND((L203*M203*revleg_full),0)))-(((battery/range_nm)*D203*IF(ABS(MOD(ABS((L203*M203*revleg_full)),1)-0.5)&lt;1E-9,2*ROUND((L203*M203*revleg_full)/2,0),ROUND((L203*M203*revleg_full),0))*VLOOKUP(B203,country_opex,3,FALSE))+W203+X203+Y203+Z203+AA203)))</f>
        <v/>
      </c>
      <c r="AY203" s="46" t="n"/>
      <c r="AZ203" s="46" t="n"/>
      <c r="BA203" s="34" t="inlineStr">
        <is>
          <t>rn-d61bc3c848d9</t>
        </is>
      </c>
    </row>
    <row r="204">
      <c r="A204" s="31" t="inlineStr">
        <is>
          <t>Bolt Uae</t>
        </is>
      </c>
      <c r="B204" s="31" t="inlineStr">
        <is>
          <t>United Arab Emirates</t>
        </is>
      </c>
      <c r="C204" s="32" t="inlineStr">
        <is>
          <t>Dubai Marina → Downtown / Dubai Creek</t>
        </is>
      </c>
      <c r="D204" s="33" t="n">
        <v>12</v>
      </c>
      <c r="E204" s="27" t="n"/>
      <c r="F204" s="34" t="n"/>
      <c r="G204" s="34" t="n"/>
      <c r="H204" s="20" t="n">
        <v>1</v>
      </c>
      <c r="I204" s="35">
        <f>60*D204/cruise_kt</f>
        <v/>
      </c>
      <c r="J204" s="35">
        <f>IF(B204="South Korea",D204/korea_charge_range_nm*korea_full_range_charge_min,0)</f>
        <v/>
      </c>
      <c r="K204" s="35">
        <f>IF(B204="South Korea",I204+korea_turn_min+korea_dwell_min+J204,I204+turn_min+dwell_min)</f>
        <v/>
      </c>
      <c r="L204" s="36">
        <f>IF(B204="South Korea",FLOOR(60*korea_service_hr/K204,1),MIN(15,FLOOR(60*service_hr/K204,1)))</f>
        <v/>
      </c>
      <c r="M204" s="36">
        <f>IF(ABS(MOD(ABS((365*mech_uptime*H204)),1)-0.5)&lt;1E-9,2*ROUND((365*mech_uptime*H204)/2,0),ROUND((365*mech_uptime*H204),0))</f>
        <v/>
      </c>
      <c r="N204" s="37">
        <f>mech_uptime</f>
        <v/>
      </c>
      <c r="O204" s="37">
        <f>IF(AND(B204="South Korea",scenario="MID"),korea_mid_revleg,revleg_sel)</f>
        <v/>
      </c>
      <c r="P204" s="36">
        <f>IF(ABS(MOD(ABS((L204*M204*O204)),1)-0.5)&lt;1E-9,2*ROUND((L204*M204*O204)/2,0),ROUND((L204*M204*O204),0))</f>
        <v/>
      </c>
      <c r="Q204" s="37">
        <f>IF(AND(B204="South Korea",scenario="MID"),korea_mid_load,load_sel)</f>
        <v/>
      </c>
      <c r="R204" s="38">
        <f>pax_cap*Q204</f>
        <v/>
      </c>
      <c r="S204" s="36">
        <f>R204*P204</f>
        <v/>
      </c>
      <c r="T204" s="39">
        <f>E204*discount</f>
        <v/>
      </c>
      <c r="U204" s="40">
        <f>T204*S204</f>
        <v/>
      </c>
      <c r="V204" s="40">
        <f>(battery/range_nm)*D204*P204*VLOOKUP(B204,country_opex,3,FALSE)</f>
        <v/>
      </c>
      <c r="W204" s="40">
        <f>VLOOKUP(B204,country_opex,2,FALSE)*crew_factor</f>
        <v/>
      </c>
      <c r="X204" s="40">
        <f>VLOOKUP(B204,country_opex,5,FALSE)</f>
        <v/>
      </c>
      <c r="Y204" s="40">
        <f>maint</f>
        <v/>
      </c>
      <c r="Z204" s="40">
        <f>VLOOKUP(B204,country_opex,7,FALSE)*ins_pct</f>
        <v/>
      </c>
      <c r="AA204" s="40">
        <f>charge_berth</f>
        <v/>
      </c>
      <c r="AB204" s="40">
        <f>V204+W204+X204+Y204+Z204+AA204</f>
        <v/>
      </c>
      <c r="AC204" s="40">
        <f>VLOOKUP(B204,country_opex,7,FALSE)/dep_years</f>
        <v/>
      </c>
      <c r="AD204" s="40">
        <f>U204-AB204</f>
        <v/>
      </c>
      <c r="AE204" s="37">
        <f>IF(U204=0,"",AD204/U204)</f>
        <v/>
      </c>
      <c r="AF204" s="38">
        <f>IF(AD204&lt;=0,"",VLOOKUP(B204,country_opex,7,FALSE)/AD204)</f>
        <v/>
      </c>
      <c r="AG204" s="35">
        <f>((D204*P204/diesel_nmpg)*diesel_co2pg-(battery/range_nm)*D204*P204*VLOOKUP(B204,country_opex,4,FALSE))/1000</f>
        <v/>
      </c>
      <c r="AH204" s="33" t="n"/>
      <c r="AI204" s="34" t="n"/>
      <c r="AJ204" s="34" t="n"/>
      <c r="AK204" s="41" t="n">
        <v>0.1</v>
      </c>
      <c r="AL204" s="36">
        <f>IF(AH204="","",AH204*AK204)</f>
        <v/>
      </c>
      <c r="AM204" s="36">
        <f>IF(OR(AH204="",S204=0),"",MIN(IF(AU204="",9.9E+99,AU204),FLOOR(AL204/S204,1)))</f>
        <v/>
      </c>
      <c r="AN204" s="40">
        <f>IF(AM204="","",AM204*IF(ABS(MOD(ABS((U204)),1)-0.5)&lt;1E-9,2*ROUND((U204)/2,0),ROUND((U204),0)))</f>
        <v/>
      </c>
      <c r="AO204" s="38">
        <f>IF(OR(AH204="",S204=0),"",MIN(IF(AU204="",9.9E+99,AU204),AL204/S204))</f>
        <v/>
      </c>
      <c r="AP204" s="40">
        <f>IF(AO204="","",AO204*IF(B204="South Korea",IF(ABS(MOD(ABS((U204)),1)-0.5)&lt;1E-9,2*ROUND((U204)/2,0),ROUND((U204),0)),U204))</f>
        <v/>
      </c>
      <c r="AQ204" s="42" t="n"/>
      <c r="AR204" s="34" t="inlineStr">
        <is>
          <t>Estimated</t>
        </is>
      </c>
      <c r="AS204" s="43" t="n"/>
      <c r="AT204" s="43" t="n"/>
      <c r="AU204" s="44" t="n"/>
      <c r="AV204" s="45">
        <f>IF(((T204*pax_cap*load_thin*IF(ABS(MOD(ABS((L204*M204*revleg_thin)),1)-0.5)&lt;1E-9,2*ROUND((L204*M204*revleg_thin)/2,0),ROUND((L204*M204*revleg_thin),0)))-(((battery/range_nm)*D204*IF(ABS(MOD(ABS((L204*M204*revleg_thin)),1)-0.5)&lt;1E-9,2*ROUND((L204*M204*revleg_thin)/2,0),ROUND((L204*M204*revleg_thin),0))*VLOOKUP(B204,country_opex,3,FALSE))+W204+X204+Y204+Z204+AA204))&lt;=0,"",VLOOKUP(B204,country_opex,7,FALSE)/((T204*pax_cap*load_thin*IF(ABS(MOD(ABS((L204*M204*revleg_thin)),1)-0.5)&lt;1E-9,2*ROUND((L204*M204*revleg_thin)/2,0),ROUND((L204*M204*revleg_thin),0)))-(((battery/range_nm)*D204*IF(ABS(MOD(ABS((L204*M204*revleg_thin)),1)-0.5)&lt;1E-9,2*ROUND((L204*M204*revleg_thin)/2,0),ROUND((L204*M204*revleg_thin),0))*VLOOKUP(B204,country_opex,3,FALSE))+W204+X204+Y204+Z204+AA204)))</f>
        <v/>
      </c>
      <c r="AW204" s="45">
        <f>IF(((T204*pax_cap*IF(B204="South Korea",korea_mid_load,load_mid)*IF(ABS(MOD(ABS((L204*M204*IF(B204="South Korea",korea_mid_revleg,revleg_mid))),1)-0.5)&lt;1E-9,2*ROUND((L204*M204*IF(B204="South Korea",korea_mid_revleg,revleg_mid))/2,0),ROUND((L204*M204*IF(B204="South Korea",korea_mid_revleg,revleg_mid)),0)))-(((battery/range_nm)*D204*IF(ABS(MOD(ABS((L204*M204*IF(B204="South Korea",korea_mid_revleg,revleg_mid))),1)-0.5)&lt;1E-9,2*ROUND((L204*M204*IF(B204="South Korea",korea_mid_revleg,revleg_mid))/2,0),ROUND((L204*M204*IF(B204="South Korea",korea_mid_revleg,revleg_mid)),0))*VLOOKUP(B204,country_opex,3,FALSE))+W204+X204+Y204+Z204+AA204))&lt;=0,"",VLOOKUP(B204,country_opex,7,FALSE)/((T204*pax_cap*IF(B204="South Korea",korea_mid_load,load_mid)*IF(ABS(MOD(ABS((L204*M204*IF(B204="South Korea",korea_mid_revleg,revleg_mid))),1)-0.5)&lt;1E-9,2*ROUND((L204*M204*IF(B204="South Korea",korea_mid_revleg,revleg_mid))/2,0),ROUND((L204*M204*IF(B204="South Korea",korea_mid_revleg,revleg_mid)),0)))-(((battery/range_nm)*D204*IF(ABS(MOD(ABS((L204*M204*IF(B204="South Korea",korea_mid_revleg,revleg_mid))),1)-0.5)&lt;1E-9,2*ROUND((L204*M204*IF(B204="South Korea",korea_mid_revleg,revleg_mid))/2,0),ROUND((L204*M204*IF(B204="South Korea",korea_mid_revleg,revleg_mid)),0))*VLOOKUP(B204,country_opex,3,FALSE))+W204+X204+Y204+Z204+AA204)))</f>
        <v/>
      </c>
      <c r="AX204" s="45">
        <f>IF(((T204*pax_cap*load_full*IF(ABS(MOD(ABS((L204*M204*revleg_full)),1)-0.5)&lt;1E-9,2*ROUND((L204*M204*revleg_full)/2,0),ROUND((L204*M204*revleg_full),0)))-(((battery/range_nm)*D204*IF(ABS(MOD(ABS((L204*M204*revleg_full)),1)-0.5)&lt;1E-9,2*ROUND((L204*M204*revleg_full)/2,0),ROUND((L204*M204*revleg_full),0))*VLOOKUP(B204,country_opex,3,FALSE))+W204+X204+Y204+Z204+AA204))&lt;=0,"",VLOOKUP(B204,country_opex,7,FALSE)/((T204*pax_cap*load_full*IF(ABS(MOD(ABS((L204*M204*revleg_full)),1)-0.5)&lt;1E-9,2*ROUND((L204*M204*revleg_full)/2,0),ROUND((L204*M204*revleg_full),0)))-(((battery/range_nm)*D204*IF(ABS(MOD(ABS((L204*M204*revleg_full)),1)-0.5)&lt;1E-9,2*ROUND((L204*M204*revleg_full)/2,0),ROUND((L204*M204*revleg_full),0))*VLOOKUP(B204,country_opex,3,FALSE))+W204+X204+Y204+Z204+AA204)))</f>
        <v/>
      </c>
      <c r="AY204" s="46" t="n"/>
      <c r="AZ204" s="46" t="n"/>
      <c r="BA204" s="34" t="inlineStr">
        <is>
          <t>gcn-cf6ba343d2-bolt</t>
        </is>
      </c>
    </row>
    <row r="205">
      <c r="A205" s="31" t="inlineStr">
        <is>
          <t>Bolt Uae</t>
        </is>
      </c>
      <c r="B205" s="31" t="inlineStr">
        <is>
          <t>United Arab Emirates</t>
        </is>
      </c>
      <c r="C205" s="32" t="inlineStr">
        <is>
          <t>Dubai Marina → Downtown Creek</t>
        </is>
      </c>
      <c r="D205" s="33" t="n">
        <v>12</v>
      </c>
      <c r="E205" s="27" t="n"/>
      <c r="F205" s="34" t="n"/>
      <c r="G205" s="34" t="n"/>
      <c r="H205" s="20" t="n">
        <v>1</v>
      </c>
      <c r="I205" s="35">
        <f>60*D205/cruise_kt</f>
        <v/>
      </c>
      <c r="J205" s="35">
        <f>IF(B205="South Korea",D205/korea_charge_range_nm*korea_full_range_charge_min,0)</f>
        <v/>
      </c>
      <c r="K205" s="35">
        <f>IF(B205="South Korea",I205+korea_turn_min+korea_dwell_min+J205,I205+turn_min+dwell_min)</f>
        <v/>
      </c>
      <c r="L205" s="36">
        <f>IF(B205="South Korea",FLOOR(60*korea_service_hr/K205,1),MIN(15,FLOOR(60*service_hr/K205,1)))</f>
        <v/>
      </c>
      <c r="M205" s="36">
        <f>IF(ABS(MOD(ABS((365*mech_uptime*H205)),1)-0.5)&lt;1E-9,2*ROUND((365*mech_uptime*H205)/2,0),ROUND((365*mech_uptime*H205),0))</f>
        <v/>
      </c>
      <c r="N205" s="37">
        <f>mech_uptime</f>
        <v/>
      </c>
      <c r="O205" s="37">
        <f>IF(AND(B205="South Korea",scenario="MID"),korea_mid_revleg,revleg_sel)</f>
        <v/>
      </c>
      <c r="P205" s="36">
        <f>IF(ABS(MOD(ABS((L205*M205*O205)),1)-0.5)&lt;1E-9,2*ROUND((L205*M205*O205)/2,0),ROUND((L205*M205*O205),0))</f>
        <v/>
      </c>
      <c r="Q205" s="37">
        <f>IF(AND(B205="South Korea",scenario="MID"),korea_mid_load,load_sel)</f>
        <v/>
      </c>
      <c r="R205" s="38">
        <f>pax_cap*Q205</f>
        <v/>
      </c>
      <c r="S205" s="36">
        <f>R205*P205</f>
        <v/>
      </c>
      <c r="T205" s="39">
        <f>E205*discount</f>
        <v/>
      </c>
      <c r="U205" s="40">
        <f>T205*S205</f>
        <v/>
      </c>
      <c r="V205" s="40">
        <f>(battery/range_nm)*D205*P205*VLOOKUP(B205,country_opex,3,FALSE)</f>
        <v/>
      </c>
      <c r="W205" s="40">
        <f>VLOOKUP(B205,country_opex,2,FALSE)*crew_factor</f>
        <v/>
      </c>
      <c r="X205" s="40">
        <f>VLOOKUP(B205,country_opex,5,FALSE)</f>
        <v/>
      </c>
      <c r="Y205" s="40">
        <f>maint</f>
        <v/>
      </c>
      <c r="Z205" s="40">
        <f>VLOOKUP(B205,country_opex,7,FALSE)*ins_pct</f>
        <v/>
      </c>
      <c r="AA205" s="40">
        <f>charge_berth</f>
        <v/>
      </c>
      <c r="AB205" s="40">
        <f>V205+W205+X205+Y205+Z205+AA205</f>
        <v/>
      </c>
      <c r="AC205" s="40">
        <f>VLOOKUP(B205,country_opex,7,FALSE)/dep_years</f>
        <v/>
      </c>
      <c r="AD205" s="40">
        <f>U205-AB205</f>
        <v/>
      </c>
      <c r="AE205" s="37">
        <f>IF(U205=0,"",AD205/U205)</f>
        <v/>
      </c>
      <c r="AF205" s="38">
        <f>IF(AD205&lt;=0,"",VLOOKUP(B205,country_opex,7,FALSE)/AD205)</f>
        <v/>
      </c>
      <c r="AG205" s="35">
        <f>((D205*P205/diesel_nmpg)*diesel_co2pg-(battery/range_nm)*D205*P205*VLOOKUP(B205,country_opex,4,FALSE))/1000</f>
        <v/>
      </c>
      <c r="AH205" s="33" t="n"/>
      <c r="AI205" s="34" t="n"/>
      <c r="AJ205" s="34" t="n"/>
      <c r="AK205" s="41" t="n">
        <v>0.1</v>
      </c>
      <c r="AL205" s="36">
        <f>IF(AH205="","",AH205*AK205)</f>
        <v/>
      </c>
      <c r="AM205" s="36">
        <f>IF(OR(AH205="",S205=0),"",MIN(IF(AU205="",9.9E+99,AU205),FLOOR(AL205/S205,1)))</f>
        <v/>
      </c>
      <c r="AN205" s="40">
        <f>IF(AM205="","",AM205*IF(ABS(MOD(ABS((U205)),1)-0.5)&lt;1E-9,2*ROUND((U205)/2,0),ROUND((U205),0)))</f>
        <v/>
      </c>
      <c r="AO205" s="38">
        <f>IF(OR(AH205="",S205=0),"",MIN(IF(AU205="",9.9E+99,AU205),AL205/S205))</f>
        <v/>
      </c>
      <c r="AP205" s="40">
        <f>IF(AO205="","",AO205*IF(B205="South Korea",IF(ABS(MOD(ABS((U205)),1)-0.5)&lt;1E-9,2*ROUND((U205)/2,0),ROUND((U205),0)),U205))</f>
        <v/>
      </c>
      <c r="AQ205" s="42" t="n"/>
      <c r="AR205" s="34" t="inlineStr">
        <is>
          <t>Estimated</t>
        </is>
      </c>
      <c r="AS205" s="43" t="n"/>
      <c r="AT205" s="43" t="n"/>
      <c r="AU205" s="44" t="n"/>
      <c r="AV205" s="45">
        <f>IF(((T205*pax_cap*load_thin*IF(ABS(MOD(ABS((L205*M205*revleg_thin)),1)-0.5)&lt;1E-9,2*ROUND((L205*M205*revleg_thin)/2,0),ROUND((L205*M205*revleg_thin),0)))-(((battery/range_nm)*D205*IF(ABS(MOD(ABS((L205*M205*revleg_thin)),1)-0.5)&lt;1E-9,2*ROUND((L205*M205*revleg_thin)/2,0),ROUND((L205*M205*revleg_thin),0))*VLOOKUP(B205,country_opex,3,FALSE))+W205+X205+Y205+Z205+AA205))&lt;=0,"",VLOOKUP(B205,country_opex,7,FALSE)/((T205*pax_cap*load_thin*IF(ABS(MOD(ABS((L205*M205*revleg_thin)),1)-0.5)&lt;1E-9,2*ROUND((L205*M205*revleg_thin)/2,0),ROUND((L205*M205*revleg_thin),0)))-(((battery/range_nm)*D205*IF(ABS(MOD(ABS((L205*M205*revleg_thin)),1)-0.5)&lt;1E-9,2*ROUND((L205*M205*revleg_thin)/2,0),ROUND((L205*M205*revleg_thin),0))*VLOOKUP(B205,country_opex,3,FALSE))+W205+X205+Y205+Z205+AA205)))</f>
        <v/>
      </c>
      <c r="AW205" s="45">
        <f>IF(((T205*pax_cap*IF(B205="South Korea",korea_mid_load,load_mid)*IF(ABS(MOD(ABS((L205*M205*IF(B205="South Korea",korea_mid_revleg,revleg_mid))),1)-0.5)&lt;1E-9,2*ROUND((L205*M205*IF(B205="South Korea",korea_mid_revleg,revleg_mid))/2,0),ROUND((L205*M205*IF(B205="South Korea",korea_mid_revleg,revleg_mid)),0)))-(((battery/range_nm)*D205*IF(ABS(MOD(ABS((L205*M205*IF(B205="South Korea",korea_mid_revleg,revleg_mid))),1)-0.5)&lt;1E-9,2*ROUND((L205*M205*IF(B205="South Korea",korea_mid_revleg,revleg_mid))/2,0),ROUND((L205*M205*IF(B205="South Korea",korea_mid_revleg,revleg_mid)),0))*VLOOKUP(B205,country_opex,3,FALSE))+W205+X205+Y205+Z205+AA205))&lt;=0,"",VLOOKUP(B205,country_opex,7,FALSE)/((T205*pax_cap*IF(B205="South Korea",korea_mid_load,load_mid)*IF(ABS(MOD(ABS((L205*M205*IF(B205="South Korea",korea_mid_revleg,revleg_mid))),1)-0.5)&lt;1E-9,2*ROUND((L205*M205*IF(B205="South Korea",korea_mid_revleg,revleg_mid))/2,0),ROUND((L205*M205*IF(B205="South Korea",korea_mid_revleg,revleg_mid)),0)))-(((battery/range_nm)*D205*IF(ABS(MOD(ABS((L205*M205*IF(B205="South Korea",korea_mid_revleg,revleg_mid))),1)-0.5)&lt;1E-9,2*ROUND((L205*M205*IF(B205="South Korea",korea_mid_revleg,revleg_mid))/2,0),ROUND((L205*M205*IF(B205="South Korea",korea_mid_revleg,revleg_mid)),0))*VLOOKUP(B205,country_opex,3,FALSE))+W205+X205+Y205+Z205+AA205)))</f>
        <v/>
      </c>
      <c r="AX205" s="45">
        <f>IF(((T205*pax_cap*load_full*IF(ABS(MOD(ABS((L205*M205*revleg_full)),1)-0.5)&lt;1E-9,2*ROUND((L205*M205*revleg_full)/2,0),ROUND((L205*M205*revleg_full),0)))-(((battery/range_nm)*D205*IF(ABS(MOD(ABS((L205*M205*revleg_full)),1)-0.5)&lt;1E-9,2*ROUND((L205*M205*revleg_full)/2,0),ROUND((L205*M205*revleg_full),0))*VLOOKUP(B205,country_opex,3,FALSE))+W205+X205+Y205+Z205+AA205))&lt;=0,"",VLOOKUP(B205,country_opex,7,FALSE)/((T205*pax_cap*load_full*IF(ABS(MOD(ABS((L205*M205*revleg_full)),1)-0.5)&lt;1E-9,2*ROUND((L205*M205*revleg_full)/2,0),ROUND((L205*M205*revleg_full),0)))-(((battery/range_nm)*D205*IF(ABS(MOD(ABS((L205*M205*revleg_full)),1)-0.5)&lt;1E-9,2*ROUND((L205*M205*revleg_full)/2,0),ROUND((L205*M205*revleg_full),0))*VLOOKUP(B205,country_opex,3,FALSE))+W205+X205+Y205+Z205+AA205)))</f>
        <v/>
      </c>
      <c r="AY205" s="46" t="n"/>
      <c r="AZ205" s="46" t="n"/>
      <c r="BA205" s="34" t="inlineStr">
        <is>
          <t>gcn-1662e39eb7-careem</t>
        </is>
      </c>
    </row>
    <row r="206">
      <c r="A206" s="31" t="inlineStr">
        <is>
          <t>Bolt Uae</t>
        </is>
      </c>
      <c r="B206" s="31" t="inlineStr">
        <is>
          <t>United Arab Emirates</t>
        </is>
      </c>
      <c r="C206" s="32" t="inlineStr">
        <is>
          <t>Yas Marina → Four Seasons Al Maryah Jetty</t>
        </is>
      </c>
      <c r="D206" s="33" t="n">
        <v>12.4</v>
      </c>
      <c r="E206" s="27" t="n"/>
      <c r="F206" s="34" t="n"/>
      <c r="G206" s="34" t="n"/>
      <c r="H206" s="20" t="n">
        <v>1</v>
      </c>
      <c r="I206" s="35">
        <f>60*D206/cruise_kt</f>
        <v/>
      </c>
      <c r="J206" s="35">
        <f>IF(B206="South Korea",D206/korea_charge_range_nm*korea_full_range_charge_min,0)</f>
        <v/>
      </c>
      <c r="K206" s="35">
        <f>IF(B206="South Korea",I206+korea_turn_min+korea_dwell_min+J206,I206+turn_min+dwell_min)</f>
        <v/>
      </c>
      <c r="L206" s="36">
        <f>IF(B206="South Korea",FLOOR(60*korea_service_hr/K206,1),MIN(15,FLOOR(60*service_hr/K206,1)))</f>
        <v/>
      </c>
      <c r="M206" s="36">
        <f>IF(ABS(MOD(ABS((365*mech_uptime*H206)),1)-0.5)&lt;1E-9,2*ROUND((365*mech_uptime*H206)/2,0),ROUND((365*mech_uptime*H206),0))</f>
        <v/>
      </c>
      <c r="N206" s="37">
        <f>mech_uptime</f>
        <v/>
      </c>
      <c r="O206" s="37">
        <f>IF(AND(B206="South Korea",scenario="MID"),korea_mid_revleg,revleg_sel)</f>
        <v/>
      </c>
      <c r="P206" s="36">
        <f>IF(ABS(MOD(ABS((L206*M206*O206)),1)-0.5)&lt;1E-9,2*ROUND((L206*M206*O206)/2,0),ROUND((L206*M206*O206),0))</f>
        <v/>
      </c>
      <c r="Q206" s="37">
        <f>IF(AND(B206="South Korea",scenario="MID"),korea_mid_load,load_sel)</f>
        <v/>
      </c>
      <c r="R206" s="38">
        <f>pax_cap*Q206</f>
        <v/>
      </c>
      <c r="S206" s="36">
        <f>R206*P206</f>
        <v/>
      </c>
      <c r="T206" s="39">
        <f>E206*discount</f>
        <v/>
      </c>
      <c r="U206" s="40">
        <f>T206*S206</f>
        <v/>
      </c>
      <c r="V206" s="40">
        <f>(battery/range_nm)*D206*P206*VLOOKUP(B206,country_opex,3,FALSE)</f>
        <v/>
      </c>
      <c r="W206" s="40">
        <f>VLOOKUP(B206,country_opex,2,FALSE)*crew_factor</f>
        <v/>
      </c>
      <c r="X206" s="40">
        <f>VLOOKUP(B206,country_opex,5,FALSE)</f>
        <v/>
      </c>
      <c r="Y206" s="40">
        <f>maint</f>
        <v/>
      </c>
      <c r="Z206" s="40">
        <f>VLOOKUP(B206,country_opex,7,FALSE)*ins_pct</f>
        <v/>
      </c>
      <c r="AA206" s="40">
        <f>charge_berth</f>
        <v/>
      </c>
      <c r="AB206" s="40">
        <f>V206+W206+X206+Y206+Z206+AA206</f>
        <v/>
      </c>
      <c r="AC206" s="40">
        <f>VLOOKUP(B206,country_opex,7,FALSE)/dep_years</f>
        <v/>
      </c>
      <c r="AD206" s="40">
        <f>U206-AB206</f>
        <v/>
      </c>
      <c r="AE206" s="37">
        <f>IF(U206=0,"",AD206/U206)</f>
        <v/>
      </c>
      <c r="AF206" s="38">
        <f>IF(AD206&lt;=0,"",VLOOKUP(B206,country_opex,7,FALSE)/AD206)</f>
        <v/>
      </c>
      <c r="AG206" s="35">
        <f>((D206*P206/diesel_nmpg)*diesel_co2pg-(battery/range_nm)*D206*P206*VLOOKUP(B206,country_opex,4,FALSE))/1000</f>
        <v/>
      </c>
      <c r="AH206" s="33" t="n"/>
      <c r="AI206" s="34" t="n"/>
      <c r="AJ206" s="34" t="n"/>
      <c r="AK206" s="41" t="n">
        <v>0.1</v>
      </c>
      <c r="AL206" s="36">
        <f>IF(AH206="","",AH206*AK206)</f>
        <v/>
      </c>
      <c r="AM206" s="36">
        <f>IF(OR(AH206="",S206=0),"",MIN(IF(AU206="",9.9E+99,AU206),FLOOR(AL206/S206,1)))</f>
        <v/>
      </c>
      <c r="AN206" s="40">
        <f>IF(AM206="","",AM206*IF(ABS(MOD(ABS((U206)),1)-0.5)&lt;1E-9,2*ROUND((U206)/2,0),ROUND((U206),0)))</f>
        <v/>
      </c>
      <c r="AO206" s="38">
        <f>IF(OR(AH206="",S206=0),"",MIN(IF(AU206="",9.9E+99,AU206),AL206/S206))</f>
        <v/>
      </c>
      <c r="AP206" s="40">
        <f>IF(AO206="","",AO206*IF(B206="South Korea",IF(ABS(MOD(ABS((U206)),1)-0.5)&lt;1E-9,2*ROUND((U206)/2,0),ROUND((U206),0)),U206))</f>
        <v/>
      </c>
      <c r="AQ206" s="42" t="n"/>
      <c r="AR206" s="34" t="inlineStr">
        <is>
          <t>Estimated</t>
        </is>
      </c>
      <c r="AS206" s="43" t="n"/>
      <c r="AT206" s="43" t="n"/>
      <c r="AU206" s="44" t="n"/>
      <c r="AV206" s="45">
        <f>IF(((T206*pax_cap*load_thin*IF(ABS(MOD(ABS((L206*M206*revleg_thin)),1)-0.5)&lt;1E-9,2*ROUND((L206*M206*revleg_thin)/2,0),ROUND((L206*M206*revleg_thin),0)))-(((battery/range_nm)*D206*IF(ABS(MOD(ABS((L206*M206*revleg_thin)),1)-0.5)&lt;1E-9,2*ROUND((L206*M206*revleg_thin)/2,0),ROUND((L206*M206*revleg_thin),0))*VLOOKUP(B206,country_opex,3,FALSE))+W206+X206+Y206+Z206+AA206))&lt;=0,"",VLOOKUP(B206,country_opex,7,FALSE)/((T206*pax_cap*load_thin*IF(ABS(MOD(ABS((L206*M206*revleg_thin)),1)-0.5)&lt;1E-9,2*ROUND((L206*M206*revleg_thin)/2,0),ROUND((L206*M206*revleg_thin),0)))-(((battery/range_nm)*D206*IF(ABS(MOD(ABS((L206*M206*revleg_thin)),1)-0.5)&lt;1E-9,2*ROUND((L206*M206*revleg_thin)/2,0),ROUND((L206*M206*revleg_thin),0))*VLOOKUP(B206,country_opex,3,FALSE))+W206+X206+Y206+Z206+AA206)))</f>
        <v/>
      </c>
      <c r="AW206" s="45">
        <f>IF(((T206*pax_cap*IF(B206="South Korea",korea_mid_load,load_mid)*IF(ABS(MOD(ABS((L206*M206*IF(B206="South Korea",korea_mid_revleg,revleg_mid))),1)-0.5)&lt;1E-9,2*ROUND((L206*M206*IF(B206="South Korea",korea_mid_revleg,revleg_mid))/2,0),ROUND((L206*M206*IF(B206="South Korea",korea_mid_revleg,revleg_mid)),0)))-(((battery/range_nm)*D206*IF(ABS(MOD(ABS((L206*M206*IF(B206="South Korea",korea_mid_revleg,revleg_mid))),1)-0.5)&lt;1E-9,2*ROUND((L206*M206*IF(B206="South Korea",korea_mid_revleg,revleg_mid))/2,0),ROUND((L206*M206*IF(B206="South Korea",korea_mid_revleg,revleg_mid)),0))*VLOOKUP(B206,country_opex,3,FALSE))+W206+X206+Y206+Z206+AA206))&lt;=0,"",VLOOKUP(B206,country_opex,7,FALSE)/((T206*pax_cap*IF(B206="South Korea",korea_mid_load,load_mid)*IF(ABS(MOD(ABS((L206*M206*IF(B206="South Korea",korea_mid_revleg,revleg_mid))),1)-0.5)&lt;1E-9,2*ROUND((L206*M206*IF(B206="South Korea",korea_mid_revleg,revleg_mid))/2,0),ROUND((L206*M206*IF(B206="South Korea",korea_mid_revleg,revleg_mid)),0)))-(((battery/range_nm)*D206*IF(ABS(MOD(ABS((L206*M206*IF(B206="South Korea",korea_mid_revleg,revleg_mid))),1)-0.5)&lt;1E-9,2*ROUND((L206*M206*IF(B206="South Korea",korea_mid_revleg,revleg_mid))/2,0),ROUND((L206*M206*IF(B206="South Korea",korea_mid_revleg,revleg_mid)),0))*VLOOKUP(B206,country_opex,3,FALSE))+W206+X206+Y206+Z206+AA206)))</f>
        <v/>
      </c>
      <c r="AX206" s="45">
        <f>IF(((T206*pax_cap*load_full*IF(ABS(MOD(ABS((L206*M206*revleg_full)),1)-0.5)&lt;1E-9,2*ROUND((L206*M206*revleg_full)/2,0),ROUND((L206*M206*revleg_full),0)))-(((battery/range_nm)*D206*IF(ABS(MOD(ABS((L206*M206*revleg_full)),1)-0.5)&lt;1E-9,2*ROUND((L206*M206*revleg_full)/2,0),ROUND((L206*M206*revleg_full),0))*VLOOKUP(B206,country_opex,3,FALSE))+W206+X206+Y206+Z206+AA206))&lt;=0,"",VLOOKUP(B206,country_opex,7,FALSE)/((T206*pax_cap*load_full*IF(ABS(MOD(ABS((L206*M206*revleg_full)),1)-0.5)&lt;1E-9,2*ROUND((L206*M206*revleg_full)/2,0),ROUND((L206*M206*revleg_full),0)))-(((battery/range_nm)*D206*IF(ABS(MOD(ABS((L206*M206*revleg_full)),1)-0.5)&lt;1E-9,2*ROUND((L206*M206*revleg_full)/2,0),ROUND((L206*M206*revleg_full),0))*VLOOKUP(B206,country_opex,3,FALSE))+W206+X206+Y206+Z206+AA206)))</f>
        <v/>
      </c>
      <c r="AY206" s="46" t="n"/>
      <c r="AZ206" s="46" t="n"/>
      <c r="BA206" s="34" t="inlineStr">
        <is>
          <t>rn-80c408c085a6</t>
        </is>
      </c>
    </row>
    <row r="207">
      <c r="A207" s="31" t="inlineStr">
        <is>
          <t>Bolt Uae</t>
        </is>
      </c>
      <c r="B207" s="31" t="inlineStr">
        <is>
          <t>United Arab Emirates</t>
        </is>
      </c>
      <c r="C207" s="32" t="inlineStr">
        <is>
          <t>Yas Marina → Zaya Nurai Island Jetty</t>
        </is>
      </c>
      <c r="D207" s="33" t="n">
        <v>12.6</v>
      </c>
      <c r="E207" s="27" t="n">
        <v>175</v>
      </c>
      <c r="F207" s="34" t="inlineStr">
        <is>
          <t>T5</t>
        </is>
      </c>
      <c r="G207" s="34" t="inlineStr">
        <is>
          <t>low</t>
        </is>
      </c>
      <c r="H207" s="20" t="n">
        <v>1</v>
      </c>
      <c r="I207" s="35">
        <f>60*D207/cruise_kt</f>
        <v/>
      </c>
      <c r="J207" s="35">
        <f>IF(B207="South Korea",D207/korea_charge_range_nm*korea_full_range_charge_min,0)</f>
        <v/>
      </c>
      <c r="K207" s="35">
        <f>IF(B207="South Korea",I207+korea_turn_min+korea_dwell_min+J207,I207+turn_min+dwell_min)</f>
        <v/>
      </c>
      <c r="L207" s="36">
        <f>IF(B207="South Korea",FLOOR(60*korea_service_hr/K207,1),MIN(15,FLOOR(60*service_hr/K207,1)))</f>
        <v/>
      </c>
      <c r="M207" s="36">
        <f>IF(ABS(MOD(ABS((365*mech_uptime*H207)),1)-0.5)&lt;1E-9,2*ROUND((365*mech_uptime*H207)/2,0),ROUND((365*mech_uptime*H207),0))</f>
        <v/>
      </c>
      <c r="N207" s="37">
        <f>mech_uptime</f>
        <v/>
      </c>
      <c r="O207" s="37">
        <f>IF(AND(B207="South Korea",scenario="MID"),korea_mid_revleg,revleg_sel)</f>
        <v/>
      </c>
      <c r="P207" s="36">
        <f>IF(ABS(MOD(ABS((L207*M207*O207)),1)-0.5)&lt;1E-9,2*ROUND((L207*M207*O207)/2,0),ROUND((L207*M207*O207),0))</f>
        <v/>
      </c>
      <c r="Q207" s="37">
        <f>IF(AND(B207="South Korea",scenario="MID"),korea_mid_load,load_sel)</f>
        <v/>
      </c>
      <c r="R207" s="38">
        <f>pax_cap*Q207</f>
        <v/>
      </c>
      <c r="S207" s="36">
        <f>R207*P207</f>
        <v/>
      </c>
      <c r="T207" s="39">
        <f>E207*discount</f>
        <v/>
      </c>
      <c r="U207" s="40">
        <f>T207*S207</f>
        <v/>
      </c>
      <c r="V207" s="40">
        <f>(battery/range_nm)*D207*P207*VLOOKUP(B207,country_opex,3,FALSE)</f>
        <v/>
      </c>
      <c r="W207" s="40">
        <f>VLOOKUP(B207,country_opex,2,FALSE)*crew_factor</f>
        <v/>
      </c>
      <c r="X207" s="40">
        <f>VLOOKUP(B207,country_opex,5,FALSE)</f>
        <v/>
      </c>
      <c r="Y207" s="40">
        <f>maint</f>
        <v/>
      </c>
      <c r="Z207" s="40">
        <f>VLOOKUP(B207,country_opex,7,FALSE)*ins_pct</f>
        <v/>
      </c>
      <c r="AA207" s="40">
        <f>charge_berth</f>
        <v/>
      </c>
      <c r="AB207" s="40">
        <f>V207+W207+X207+Y207+Z207+AA207</f>
        <v/>
      </c>
      <c r="AC207" s="40">
        <f>VLOOKUP(B207,country_opex,7,FALSE)/dep_years</f>
        <v/>
      </c>
      <c r="AD207" s="40">
        <f>U207-AB207</f>
        <v/>
      </c>
      <c r="AE207" s="37">
        <f>IF(U207=0,"",AD207/U207)</f>
        <v/>
      </c>
      <c r="AF207" s="38">
        <f>IF(AD207&lt;=0,"",VLOOKUP(B207,country_opex,7,FALSE)/AD207)</f>
        <v/>
      </c>
      <c r="AG207" s="35">
        <f>((D207*P207/diesel_nmpg)*diesel_co2pg-(battery/range_nm)*D207*P207*VLOOKUP(B207,country_opex,4,FALSE))/1000</f>
        <v/>
      </c>
      <c r="AH207" s="33" t="n">
        <v>15000</v>
      </c>
      <c r="AI207" s="34" t="inlineStr">
        <is>
          <t>T3</t>
        </is>
      </c>
      <c r="AJ207" s="34" t="inlineStr">
        <is>
          <t>low</t>
        </is>
      </c>
      <c r="AK207" s="41" t="n">
        <v>0.1</v>
      </c>
      <c r="AL207" s="36">
        <f>IF(AH207="","",AH207*AK207)</f>
        <v/>
      </c>
      <c r="AM207" s="36">
        <f>IF(OR(AH207="",S207=0),"",MIN(IF(AU207="",9.9E+99,AU207),FLOOR(AL207/S207,1)))</f>
        <v/>
      </c>
      <c r="AN207" s="40">
        <f>IF(AM207="","",AM207*IF(ABS(MOD(ABS((U207)),1)-0.5)&lt;1E-9,2*ROUND((U207)/2,0),ROUND((U207),0)))</f>
        <v/>
      </c>
      <c r="AO207" s="38">
        <f>IF(OR(AH207="",S207=0),"",MIN(IF(AU207="",9.9E+99,AU207),AL207/S207))</f>
        <v/>
      </c>
      <c r="AP207" s="40">
        <f>IF(AO207="","",AO207*IF(B207="South Korea",IF(ABS(MOD(ABS((U207)),1)-0.5)&lt;1E-9,2*ROUND((U207)/2,0),ROUND((U207),0)),U207))</f>
        <v/>
      </c>
      <c r="AQ207" s="42" t="n"/>
      <c r="AR207" s="34" t="inlineStr">
        <is>
          <t>Estimated</t>
        </is>
      </c>
      <c r="AS207" s="43" t="n"/>
      <c r="AT207" s="43" t="n"/>
      <c r="AU207" s="44" t="n"/>
      <c r="AV207" s="45">
        <f>IF(((T207*pax_cap*load_thin*IF(ABS(MOD(ABS((L207*M207*revleg_thin)),1)-0.5)&lt;1E-9,2*ROUND((L207*M207*revleg_thin)/2,0),ROUND((L207*M207*revleg_thin),0)))-(((battery/range_nm)*D207*IF(ABS(MOD(ABS((L207*M207*revleg_thin)),1)-0.5)&lt;1E-9,2*ROUND((L207*M207*revleg_thin)/2,0),ROUND((L207*M207*revleg_thin),0))*VLOOKUP(B207,country_opex,3,FALSE))+W207+X207+Y207+Z207+AA207))&lt;=0,"",VLOOKUP(B207,country_opex,7,FALSE)/((T207*pax_cap*load_thin*IF(ABS(MOD(ABS((L207*M207*revleg_thin)),1)-0.5)&lt;1E-9,2*ROUND((L207*M207*revleg_thin)/2,0),ROUND((L207*M207*revleg_thin),0)))-(((battery/range_nm)*D207*IF(ABS(MOD(ABS((L207*M207*revleg_thin)),1)-0.5)&lt;1E-9,2*ROUND((L207*M207*revleg_thin)/2,0),ROUND((L207*M207*revleg_thin),0))*VLOOKUP(B207,country_opex,3,FALSE))+W207+X207+Y207+Z207+AA207)))</f>
        <v/>
      </c>
      <c r="AW207" s="45">
        <f>IF(((T207*pax_cap*IF(B207="South Korea",korea_mid_load,load_mid)*IF(ABS(MOD(ABS((L207*M207*IF(B207="South Korea",korea_mid_revleg,revleg_mid))),1)-0.5)&lt;1E-9,2*ROUND((L207*M207*IF(B207="South Korea",korea_mid_revleg,revleg_mid))/2,0),ROUND((L207*M207*IF(B207="South Korea",korea_mid_revleg,revleg_mid)),0)))-(((battery/range_nm)*D207*IF(ABS(MOD(ABS((L207*M207*IF(B207="South Korea",korea_mid_revleg,revleg_mid))),1)-0.5)&lt;1E-9,2*ROUND((L207*M207*IF(B207="South Korea",korea_mid_revleg,revleg_mid))/2,0),ROUND((L207*M207*IF(B207="South Korea",korea_mid_revleg,revleg_mid)),0))*VLOOKUP(B207,country_opex,3,FALSE))+W207+X207+Y207+Z207+AA207))&lt;=0,"",VLOOKUP(B207,country_opex,7,FALSE)/((T207*pax_cap*IF(B207="South Korea",korea_mid_load,load_mid)*IF(ABS(MOD(ABS((L207*M207*IF(B207="South Korea",korea_mid_revleg,revleg_mid))),1)-0.5)&lt;1E-9,2*ROUND((L207*M207*IF(B207="South Korea",korea_mid_revleg,revleg_mid))/2,0),ROUND((L207*M207*IF(B207="South Korea",korea_mid_revleg,revleg_mid)),0)))-(((battery/range_nm)*D207*IF(ABS(MOD(ABS((L207*M207*IF(B207="South Korea",korea_mid_revleg,revleg_mid))),1)-0.5)&lt;1E-9,2*ROUND((L207*M207*IF(B207="South Korea",korea_mid_revleg,revleg_mid))/2,0),ROUND((L207*M207*IF(B207="South Korea",korea_mid_revleg,revleg_mid)),0))*VLOOKUP(B207,country_opex,3,FALSE))+W207+X207+Y207+Z207+AA207)))</f>
        <v/>
      </c>
      <c r="AX207" s="45">
        <f>IF(((T207*pax_cap*load_full*IF(ABS(MOD(ABS((L207*M207*revleg_full)),1)-0.5)&lt;1E-9,2*ROUND((L207*M207*revleg_full)/2,0),ROUND((L207*M207*revleg_full),0)))-(((battery/range_nm)*D207*IF(ABS(MOD(ABS((L207*M207*revleg_full)),1)-0.5)&lt;1E-9,2*ROUND((L207*M207*revleg_full)/2,0),ROUND((L207*M207*revleg_full),0))*VLOOKUP(B207,country_opex,3,FALSE))+W207+X207+Y207+Z207+AA207))&lt;=0,"",VLOOKUP(B207,country_opex,7,FALSE)/((T207*pax_cap*load_full*IF(ABS(MOD(ABS((L207*M207*revleg_full)),1)-0.5)&lt;1E-9,2*ROUND((L207*M207*revleg_full)/2,0),ROUND((L207*M207*revleg_full),0)))-(((battery/range_nm)*D207*IF(ABS(MOD(ABS((L207*M207*revleg_full)),1)-0.5)&lt;1E-9,2*ROUND((L207*M207*revleg_full)/2,0),ROUND((L207*M207*revleg_full),0))*VLOOKUP(B207,country_opex,3,FALSE))+W207+X207+Y207+Z207+AA207)))</f>
        <v/>
      </c>
      <c r="AY207" s="46" t="inlineStr">
        <is>
          <t>Zaya Nurai boat-only, but real transfers depart Saadiyat (4.4nm) not Yas Marina (12.6nm) -&gt; R3-PIER. $175 modeled; demand NULL. T5/low.</t>
        </is>
      </c>
      <c r="AZ207" s="46" t="inlineStr">
        <is>
          <t>UAE-DEMAND-ANCHORS-2026-06-17.json — tier-based addressable pool derived from sourcing wave anchors (hotel keys × occ × shuttle adoption, marina activity, RTA marine baseline).</t>
        </is>
      </c>
      <c r="BA207" s="34" t="inlineStr">
        <is>
          <t>rn-bb2eb160c1a5</t>
        </is>
      </c>
    </row>
    <row r="208">
      <c r="A208" s="31" t="inlineStr">
        <is>
          <t>Bolt Uae</t>
        </is>
      </c>
      <c r="B208" s="31" t="inlineStr">
        <is>
          <t>United Arab Emirates</t>
        </is>
      </c>
      <c r="C208" s="32" t="inlineStr">
        <is>
          <t>Yas Marina → Saadiyat Beach Club Jetty</t>
        </is>
      </c>
      <c r="D208" s="33" t="n">
        <v>13</v>
      </c>
      <c r="E208" s="27" t="n">
        <v>75</v>
      </c>
      <c r="F208" s="34" t="inlineStr">
        <is>
          <t>T4</t>
        </is>
      </c>
      <c r="G208" s="34" t="inlineStr">
        <is>
          <t>low</t>
        </is>
      </c>
      <c r="H208" s="20" t="n">
        <v>1</v>
      </c>
      <c r="I208" s="35">
        <f>60*D208/cruise_kt</f>
        <v/>
      </c>
      <c r="J208" s="35">
        <f>IF(B208="South Korea",D208/korea_charge_range_nm*korea_full_range_charge_min,0)</f>
        <v/>
      </c>
      <c r="K208" s="35">
        <f>IF(B208="South Korea",I208+korea_turn_min+korea_dwell_min+J208,I208+turn_min+dwell_min)</f>
        <v/>
      </c>
      <c r="L208" s="36">
        <f>IF(B208="South Korea",FLOOR(60*korea_service_hr/K208,1),MIN(15,FLOOR(60*service_hr/K208,1)))</f>
        <v/>
      </c>
      <c r="M208" s="36">
        <f>IF(ABS(MOD(ABS((365*mech_uptime*H208)),1)-0.5)&lt;1E-9,2*ROUND((365*mech_uptime*H208)/2,0),ROUND((365*mech_uptime*H208),0))</f>
        <v/>
      </c>
      <c r="N208" s="37">
        <f>mech_uptime</f>
        <v/>
      </c>
      <c r="O208" s="37">
        <f>IF(AND(B208="South Korea",scenario="MID"),korea_mid_revleg,revleg_sel)</f>
        <v/>
      </c>
      <c r="P208" s="36">
        <f>IF(ABS(MOD(ABS((L208*M208*O208)),1)-0.5)&lt;1E-9,2*ROUND((L208*M208*O208)/2,0),ROUND((L208*M208*O208),0))</f>
        <v/>
      </c>
      <c r="Q208" s="37">
        <f>IF(AND(B208="South Korea",scenario="MID"),korea_mid_load,load_sel)</f>
        <v/>
      </c>
      <c r="R208" s="38">
        <f>pax_cap*Q208</f>
        <v/>
      </c>
      <c r="S208" s="36">
        <f>R208*P208</f>
        <v/>
      </c>
      <c r="T208" s="39">
        <f>E208*discount</f>
        <v/>
      </c>
      <c r="U208" s="40">
        <f>T208*S208</f>
        <v/>
      </c>
      <c r="V208" s="40">
        <f>(battery/range_nm)*D208*P208*VLOOKUP(B208,country_opex,3,FALSE)</f>
        <v/>
      </c>
      <c r="W208" s="40">
        <f>VLOOKUP(B208,country_opex,2,FALSE)*crew_factor</f>
        <v/>
      </c>
      <c r="X208" s="40">
        <f>VLOOKUP(B208,country_opex,5,FALSE)</f>
        <v/>
      </c>
      <c r="Y208" s="40">
        <f>maint</f>
        <v/>
      </c>
      <c r="Z208" s="40">
        <f>VLOOKUP(B208,country_opex,7,FALSE)*ins_pct</f>
        <v/>
      </c>
      <c r="AA208" s="40">
        <f>charge_berth</f>
        <v/>
      </c>
      <c r="AB208" s="40">
        <f>V208+W208+X208+Y208+Z208+AA208</f>
        <v/>
      </c>
      <c r="AC208" s="40">
        <f>VLOOKUP(B208,country_opex,7,FALSE)/dep_years</f>
        <v/>
      </c>
      <c r="AD208" s="40">
        <f>U208-AB208</f>
        <v/>
      </c>
      <c r="AE208" s="37">
        <f>IF(U208=0,"",AD208/U208)</f>
        <v/>
      </c>
      <c r="AF208" s="38">
        <f>IF(AD208&lt;=0,"",VLOOKUP(B208,country_opex,7,FALSE)/AD208)</f>
        <v/>
      </c>
      <c r="AG208" s="35">
        <f>((D208*P208/diesel_nmpg)*diesel_co2pg-(battery/range_nm)*D208*P208*VLOOKUP(B208,country_opex,4,FALSE))/1000</f>
        <v/>
      </c>
      <c r="AH208" s="33" t="n">
        <v>30000</v>
      </c>
      <c r="AI208" s="34" t="inlineStr">
        <is>
          <t>T3</t>
        </is>
      </c>
      <c r="AJ208" s="34" t="inlineStr">
        <is>
          <t>low</t>
        </is>
      </c>
      <c r="AK208" s="41" t="n">
        <v>0.1</v>
      </c>
      <c r="AL208" s="36">
        <f>IF(AH208="","",AH208*AK208)</f>
        <v/>
      </c>
      <c r="AM208" s="36">
        <f>IF(OR(AH208="",S208=0),"",MIN(IF(AU208="",9.9E+99,AU208),FLOOR(AL208/S208,1)))</f>
        <v/>
      </c>
      <c r="AN208" s="40">
        <f>IF(AM208="","",AM208*IF(ABS(MOD(ABS((U208)),1)-0.5)&lt;1E-9,2*ROUND((U208)/2,0),ROUND((U208),0)))</f>
        <v/>
      </c>
      <c r="AO208" s="38">
        <f>IF(OR(AH208="",S208=0),"",MIN(IF(AU208="",9.9E+99,AU208),AL208/S208))</f>
        <v/>
      </c>
      <c r="AP208" s="40">
        <f>IF(AO208="","",AO208*IF(B208="South Korea",IF(ABS(MOD(ABS((U208)),1)-0.5)&lt;1E-9,2*ROUND((U208)/2,0),ROUND((U208),0)),U208))</f>
        <v/>
      </c>
      <c r="AQ208" s="42" t="n"/>
      <c r="AR208" s="34" t="inlineStr">
        <is>
          <t>Estimated</t>
        </is>
      </c>
      <c r="AS208" s="43" t="n"/>
      <c r="AT208" s="43" t="n"/>
      <c r="AU208" s="44" t="n"/>
      <c r="AV208" s="45">
        <f>IF(((T208*pax_cap*load_thin*IF(ABS(MOD(ABS((L208*M208*revleg_thin)),1)-0.5)&lt;1E-9,2*ROUND((L208*M208*revleg_thin)/2,0),ROUND((L208*M208*revleg_thin),0)))-(((battery/range_nm)*D208*IF(ABS(MOD(ABS((L208*M208*revleg_thin)),1)-0.5)&lt;1E-9,2*ROUND((L208*M208*revleg_thin)/2,0),ROUND((L208*M208*revleg_thin),0))*VLOOKUP(B208,country_opex,3,FALSE))+W208+X208+Y208+Z208+AA208))&lt;=0,"",VLOOKUP(B208,country_opex,7,FALSE)/((T208*pax_cap*load_thin*IF(ABS(MOD(ABS((L208*M208*revleg_thin)),1)-0.5)&lt;1E-9,2*ROUND((L208*M208*revleg_thin)/2,0),ROUND((L208*M208*revleg_thin),0)))-(((battery/range_nm)*D208*IF(ABS(MOD(ABS((L208*M208*revleg_thin)),1)-0.5)&lt;1E-9,2*ROUND((L208*M208*revleg_thin)/2,0),ROUND((L208*M208*revleg_thin),0))*VLOOKUP(B208,country_opex,3,FALSE))+W208+X208+Y208+Z208+AA208)))</f>
        <v/>
      </c>
      <c r="AW208" s="45">
        <f>IF(((T208*pax_cap*IF(B208="South Korea",korea_mid_load,load_mid)*IF(ABS(MOD(ABS((L208*M208*IF(B208="South Korea",korea_mid_revleg,revleg_mid))),1)-0.5)&lt;1E-9,2*ROUND((L208*M208*IF(B208="South Korea",korea_mid_revleg,revleg_mid))/2,0),ROUND((L208*M208*IF(B208="South Korea",korea_mid_revleg,revleg_mid)),0)))-(((battery/range_nm)*D208*IF(ABS(MOD(ABS((L208*M208*IF(B208="South Korea",korea_mid_revleg,revleg_mid))),1)-0.5)&lt;1E-9,2*ROUND((L208*M208*IF(B208="South Korea",korea_mid_revleg,revleg_mid))/2,0),ROUND((L208*M208*IF(B208="South Korea",korea_mid_revleg,revleg_mid)),0))*VLOOKUP(B208,country_opex,3,FALSE))+W208+X208+Y208+Z208+AA208))&lt;=0,"",VLOOKUP(B208,country_opex,7,FALSE)/((T208*pax_cap*IF(B208="South Korea",korea_mid_load,load_mid)*IF(ABS(MOD(ABS((L208*M208*IF(B208="South Korea",korea_mid_revleg,revleg_mid))),1)-0.5)&lt;1E-9,2*ROUND((L208*M208*IF(B208="South Korea",korea_mid_revleg,revleg_mid))/2,0),ROUND((L208*M208*IF(B208="South Korea",korea_mid_revleg,revleg_mid)),0)))-(((battery/range_nm)*D208*IF(ABS(MOD(ABS((L208*M208*IF(B208="South Korea",korea_mid_revleg,revleg_mid))),1)-0.5)&lt;1E-9,2*ROUND((L208*M208*IF(B208="South Korea",korea_mid_revleg,revleg_mid))/2,0),ROUND((L208*M208*IF(B208="South Korea",korea_mid_revleg,revleg_mid)),0))*VLOOKUP(B208,country_opex,3,FALSE))+W208+X208+Y208+Z208+AA208)))</f>
        <v/>
      </c>
      <c r="AX208" s="45">
        <f>IF(((T208*pax_cap*load_full*IF(ABS(MOD(ABS((L208*M208*revleg_full)),1)-0.5)&lt;1E-9,2*ROUND((L208*M208*revleg_full)/2,0),ROUND((L208*M208*revleg_full),0)))-(((battery/range_nm)*D208*IF(ABS(MOD(ABS((L208*M208*revleg_full)),1)-0.5)&lt;1E-9,2*ROUND((L208*M208*revleg_full)/2,0),ROUND((L208*M208*revleg_full),0))*VLOOKUP(B208,country_opex,3,FALSE))+W208+X208+Y208+Z208+AA208))&lt;=0,"",VLOOKUP(B208,country_opex,7,FALSE)/((T208*pax_cap*load_full*IF(ABS(MOD(ABS((L208*M208*revleg_full)),1)-0.5)&lt;1E-9,2*ROUND((L208*M208*revleg_full)/2,0),ROUND((L208*M208*revleg_full),0)))-(((battery/range_nm)*D208*IF(ABS(MOD(ABS((L208*M208*revleg_full)),1)-0.5)&lt;1E-9,2*ROUND((L208*M208*revleg_full)/2,0),ROUND((L208*M208*revleg_full),0))*VLOOKUP(B208,country_opex,3,FALSE))+W208+X208+Y208+Z208+AA208)))</f>
        <v/>
      </c>
      <c r="AY208" s="46" t="inlineStr">
        <is>
          <t>RTA/Dubai-Ferry official ladder (R-RTA, T1): Water Taxi on-demand single AED 150/pax = $40.8; Dubai Ferry Gold AED 75 = $20.4, Silver AED 50 = $13.6; Water Bus AED 7; Abra AED 1. dubai-ferry.com / rta.ae 2025/26. AD leisure-island network; no published AD water-taxi tariff; anchored on Dubai RTA premium ladder.</t>
        </is>
      </c>
      <c r="AZ208" s="46" t="inlineStr">
        <is>
          <t>UAE-DEMAND-ANCHORS-2026-06-17.json — tier-based addressable pool derived from sourcing wave anchors (hotel keys × occ × shuttle adoption, marina activity, RTA marine baseline).</t>
        </is>
      </c>
      <c r="BA208" s="34" t="inlineStr">
        <is>
          <t>rn-c2a5e2033f94</t>
        </is>
      </c>
    </row>
    <row r="209">
      <c r="A209" s="31" t="inlineStr">
        <is>
          <t>Bolt Uae</t>
        </is>
      </c>
      <c r="B209" s="31" t="inlineStr">
        <is>
          <t>United Arab Emirates</t>
        </is>
      </c>
      <c r="C209" s="32" t="inlineStr">
        <is>
          <t>Dubai Harbour Marina → Al Khan Lagoon mouth</t>
        </is>
      </c>
      <c r="D209" s="33" t="n">
        <v>19.4</v>
      </c>
      <c r="E209" s="27" t="n"/>
      <c r="F209" s="34" t="n"/>
      <c r="G209" s="34" t="n"/>
      <c r="H209" s="20" t="n">
        <v>1</v>
      </c>
      <c r="I209" s="35">
        <f>60*D209/cruise_kt</f>
        <v/>
      </c>
      <c r="J209" s="35">
        <f>IF(B209="South Korea",D209/korea_charge_range_nm*korea_full_range_charge_min,0)</f>
        <v/>
      </c>
      <c r="K209" s="35">
        <f>IF(B209="South Korea",I209+korea_turn_min+korea_dwell_min+J209,I209+turn_min+dwell_min)</f>
        <v/>
      </c>
      <c r="L209" s="36">
        <f>IF(B209="South Korea",FLOOR(60*korea_service_hr/K209,1),MIN(15,FLOOR(60*service_hr/K209,1)))</f>
        <v/>
      </c>
      <c r="M209" s="36">
        <f>IF(ABS(MOD(ABS((365*mech_uptime*H209)),1)-0.5)&lt;1E-9,2*ROUND((365*mech_uptime*H209)/2,0),ROUND((365*mech_uptime*H209),0))</f>
        <v/>
      </c>
      <c r="N209" s="37">
        <f>mech_uptime</f>
        <v/>
      </c>
      <c r="O209" s="37">
        <f>IF(AND(B209="South Korea",scenario="MID"),korea_mid_revleg,revleg_sel)</f>
        <v/>
      </c>
      <c r="P209" s="36">
        <f>IF(ABS(MOD(ABS((L209*M209*O209)),1)-0.5)&lt;1E-9,2*ROUND((L209*M209*O209)/2,0),ROUND((L209*M209*O209),0))</f>
        <v/>
      </c>
      <c r="Q209" s="37">
        <f>IF(AND(B209="South Korea",scenario="MID"),korea_mid_load,load_sel)</f>
        <v/>
      </c>
      <c r="R209" s="38">
        <f>pax_cap*Q209</f>
        <v/>
      </c>
      <c r="S209" s="36">
        <f>R209*P209</f>
        <v/>
      </c>
      <c r="T209" s="39">
        <f>E209*discount</f>
        <v/>
      </c>
      <c r="U209" s="40">
        <f>T209*S209</f>
        <v/>
      </c>
      <c r="V209" s="40">
        <f>(battery/range_nm)*D209*P209*VLOOKUP(B209,country_opex,3,FALSE)</f>
        <v/>
      </c>
      <c r="W209" s="40">
        <f>VLOOKUP(B209,country_opex,2,FALSE)*crew_factor</f>
        <v/>
      </c>
      <c r="X209" s="40">
        <f>VLOOKUP(B209,country_opex,5,FALSE)</f>
        <v/>
      </c>
      <c r="Y209" s="40">
        <f>maint</f>
        <v/>
      </c>
      <c r="Z209" s="40">
        <f>VLOOKUP(B209,country_opex,7,FALSE)*ins_pct</f>
        <v/>
      </c>
      <c r="AA209" s="40">
        <f>charge_berth</f>
        <v/>
      </c>
      <c r="AB209" s="40">
        <f>V209+W209+X209+Y209+Z209+AA209</f>
        <v/>
      </c>
      <c r="AC209" s="40">
        <f>VLOOKUP(B209,country_opex,7,FALSE)/dep_years</f>
        <v/>
      </c>
      <c r="AD209" s="40">
        <f>U209-AB209</f>
        <v/>
      </c>
      <c r="AE209" s="37">
        <f>IF(U209=0,"",AD209/U209)</f>
        <v/>
      </c>
      <c r="AF209" s="38">
        <f>IF(AD209&lt;=0,"",VLOOKUP(B209,country_opex,7,FALSE)/AD209)</f>
        <v/>
      </c>
      <c r="AG209" s="35">
        <f>((D209*P209/diesel_nmpg)*diesel_co2pg-(battery/range_nm)*D209*P209*VLOOKUP(B209,country_opex,4,FALSE))/1000</f>
        <v/>
      </c>
      <c r="AH209" s="33" t="n"/>
      <c r="AI209" s="34" t="n"/>
      <c r="AJ209" s="34" t="n"/>
      <c r="AK209" s="41" t="n">
        <v>0.1</v>
      </c>
      <c r="AL209" s="36">
        <f>IF(AH209="","",AH209*AK209)</f>
        <v/>
      </c>
      <c r="AM209" s="36">
        <f>IF(OR(AH209="",S209=0),"",MIN(IF(AU209="",9.9E+99,AU209),FLOOR(AL209/S209,1)))</f>
        <v/>
      </c>
      <c r="AN209" s="40">
        <f>IF(AM209="","",AM209*IF(ABS(MOD(ABS((U209)),1)-0.5)&lt;1E-9,2*ROUND((U209)/2,0),ROUND((U209),0)))</f>
        <v/>
      </c>
      <c r="AO209" s="38">
        <f>IF(OR(AH209="",S209=0),"",MIN(IF(AU209="",9.9E+99,AU209),AL209/S209))</f>
        <v/>
      </c>
      <c r="AP209" s="40">
        <f>IF(AO209="","",AO209*IF(B209="South Korea",IF(ABS(MOD(ABS((U209)),1)-0.5)&lt;1E-9,2*ROUND((U209)/2,0),ROUND((U209),0)),U209))</f>
        <v/>
      </c>
      <c r="AQ209" s="42" t="n"/>
      <c r="AR209" s="34" t="inlineStr">
        <is>
          <t>Estimated</t>
        </is>
      </c>
      <c r="AS209" s="43" t="n"/>
      <c r="AT209" s="43" t="n"/>
      <c r="AU209" s="44" t="n"/>
      <c r="AV209" s="45">
        <f>IF(((T209*pax_cap*load_thin*IF(ABS(MOD(ABS((L209*M209*revleg_thin)),1)-0.5)&lt;1E-9,2*ROUND((L209*M209*revleg_thin)/2,0),ROUND((L209*M209*revleg_thin),0)))-(((battery/range_nm)*D209*IF(ABS(MOD(ABS((L209*M209*revleg_thin)),1)-0.5)&lt;1E-9,2*ROUND((L209*M209*revleg_thin)/2,0),ROUND((L209*M209*revleg_thin),0))*VLOOKUP(B209,country_opex,3,FALSE))+W209+X209+Y209+Z209+AA209))&lt;=0,"",VLOOKUP(B209,country_opex,7,FALSE)/((T209*pax_cap*load_thin*IF(ABS(MOD(ABS((L209*M209*revleg_thin)),1)-0.5)&lt;1E-9,2*ROUND((L209*M209*revleg_thin)/2,0),ROUND((L209*M209*revleg_thin),0)))-(((battery/range_nm)*D209*IF(ABS(MOD(ABS((L209*M209*revleg_thin)),1)-0.5)&lt;1E-9,2*ROUND((L209*M209*revleg_thin)/2,0),ROUND((L209*M209*revleg_thin),0))*VLOOKUP(B209,country_opex,3,FALSE))+W209+X209+Y209+Z209+AA209)))</f>
        <v/>
      </c>
      <c r="AW209" s="45">
        <f>IF(((T209*pax_cap*IF(B209="South Korea",korea_mid_load,load_mid)*IF(ABS(MOD(ABS((L209*M209*IF(B209="South Korea",korea_mid_revleg,revleg_mid))),1)-0.5)&lt;1E-9,2*ROUND((L209*M209*IF(B209="South Korea",korea_mid_revleg,revleg_mid))/2,0),ROUND((L209*M209*IF(B209="South Korea",korea_mid_revleg,revleg_mid)),0)))-(((battery/range_nm)*D209*IF(ABS(MOD(ABS((L209*M209*IF(B209="South Korea",korea_mid_revleg,revleg_mid))),1)-0.5)&lt;1E-9,2*ROUND((L209*M209*IF(B209="South Korea",korea_mid_revleg,revleg_mid))/2,0),ROUND((L209*M209*IF(B209="South Korea",korea_mid_revleg,revleg_mid)),0))*VLOOKUP(B209,country_opex,3,FALSE))+W209+X209+Y209+Z209+AA209))&lt;=0,"",VLOOKUP(B209,country_opex,7,FALSE)/((T209*pax_cap*IF(B209="South Korea",korea_mid_load,load_mid)*IF(ABS(MOD(ABS((L209*M209*IF(B209="South Korea",korea_mid_revleg,revleg_mid))),1)-0.5)&lt;1E-9,2*ROUND((L209*M209*IF(B209="South Korea",korea_mid_revleg,revleg_mid))/2,0),ROUND((L209*M209*IF(B209="South Korea",korea_mid_revleg,revleg_mid)),0)))-(((battery/range_nm)*D209*IF(ABS(MOD(ABS((L209*M209*IF(B209="South Korea",korea_mid_revleg,revleg_mid))),1)-0.5)&lt;1E-9,2*ROUND((L209*M209*IF(B209="South Korea",korea_mid_revleg,revleg_mid))/2,0),ROUND((L209*M209*IF(B209="South Korea",korea_mid_revleg,revleg_mid)),0))*VLOOKUP(B209,country_opex,3,FALSE))+W209+X209+Y209+Z209+AA209)))</f>
        <v/>
      </c>
      <c r="AX209" s="45">
        <f>IF(((T209*pax_cap*load_full*IF(ABS(MOD(ABS((L209*M209*revleg_full)),1)-0.5)&lt;1E-9,2*ROUND((L209*M209*revleg_full)/2,0),ROUND((L209*M209*revleg_full),0)))-(((battery/range_nm)*D209*IF(ABS(MOD(ABS((L209*M209*revleg_full)),1)-0.5)&lt;1E-9,2*ROUND((L209*M209*revleg_full)/2,0),ROUND((L209*M209*revleg_full),0))*VLOOKUP(B209,country_opex,3,FALSE))+W209+X209+Y209+Z209+AA209))&lt;=0,"",VLOOKUP(B209,country_opex,7,FALSE)/((T209*pax_cap*load_full*IF(ABS(MOD(ABS((L209*M209*revleg_full)),1)-0.5)&lt;1E-9,2*ROUND((L209*M209*revleg_full)/2,0),ROUND((L209*M209*revleg_full),0)))-(((battery/range_nm)*D209*IF(ABS(MOD(ABS((L209*M209*revleg_full)),1)-0.5)&lt;1E-9,2*ROUND((L209*M209*revleg_full)/2,0),ROUND((L209*M209*revleg_full),0))*VLOOKUP(B209,country_opex,3,FALSE))+W209+X209+Y209+Z209+AA209)))</f>
        <v/>
      </c>
      <c r="AY209" s="46" t="n"/>
      <c r="AZ209" s="46" t="n"/>
      <c r="BA209" s="34" t="inlineStr">
        <is>
          <t>gcn-8e3c2d581c-bolt</t>
        </is>
      </c>
    </row>
    <row r="210">
      <c r="A210" s="31" t="inlineStr">
        <is>
          <t>Bolt Uae</t>
        </is>
      </c>
      <c r="B210" s="31" t="inlineStr">
        <is>
          <t>United Arab Emirates</t>
        </is>
      </c>
      <c r="C210" s="32" t="inlineStr">
        <is>
          <t>Dibba Marina (Fujairah) → Khorfakkan Corniche / Port (Sharjah enclave)</t>
        </is>
      </c>
      <c r="D210" s="33" t="n">
        <v>20.4</v>
      </c>
      <c r="E210" s="27" t="n">
        <v>65</v>
      </c>
      <c r="F210" s="34" t="inlineStr">
        <is>
          <t>T3</t>
        </is>
      </c>
      <c r="G210" s="34" t="inlineStr">
        <is>
          <t>med</t>
        </is>
      </c>
      <c r="H210" s="20" t="n">
        <v>1</v>
      </c>
      <c r="I210" s="35">
        <f>60*D210/cruise_kt</f>
        <v/>
      </c>
      <c r="J210" s="35">
        <f>IF(B210="South Korea",D210/korea_charge_range_nm*korea_full_range_charge_min,0)</f>
        <v/>
      </c>
      <c r="K210" s="35">
        <f>IF(B210="South Korea",I210+korea_turn_min+korea_dwell_min+J210,I210+turn_min+dwell_min)</f>
        <v/>
      </c>
      <c r="L210" s="36">
        <f>IF(B210="South Korea",FLOOR(60*korea_service_hr/K210,1),MIN(15,FLOOR(60*service_hr/K210,1)))</f>
        <v/>
      </c>
      <c r="M210" s="36">
        <f>IF(ABS(MOD(ABS((365*mech_uptime*H210)),1)-0.5)&lt;1E-9,2*ROUND((365*mech_uptime*H210)/2,0),ROUND((365*mech_uptime*H210),0))</f>
        <v/>
      </c>
      <c r="N210" s="37">
        <f>mech_uptime</f>
        <v/>
      </c>
      <c r="O210" s="37">
        <f>IF(AND(B210="South Korea",scenario="MID"),korea_mid_revleg,revleg_sel)</f>
        <v/>
      </c>
      <c r="P210" s="36">
        <f>IF(ABS(MOD(ABS((L210*M210*O210)),1)-0.5)&lt;1E-9,2*ROUND((L210*M210*O210)/2,0),ROUND((L210*M210*O210),0))</f>
        <v/>
      </c>
      <c r="Q210" s="37">
        <f>IF(AND(B210="South Korea",scenario="MID"),korea_mid_load,load_sel)</f>
        <v/>
      </c>
      <c r="R210" s="38">
        <f>pax_cap*Q210</f>
        <v/>
      </c>
      <c r="S210" s="36">
        <f>R210*P210</f>
        <v/>
      </c>
      <c r="T210" s="39">
        <f>E210*discount</f>
        <v/>
      </c>
      <c r="U210" s="40">
        <f>T210*S210</f>
        <v/>
      </c>
      <c r="V210" s="40">
        <f>(battery/range_nm)*D210*P210*VLOOKUP(B210,country_opex,3,FALSE)</f>
        <v/>
      </c>
      <c r="W210" s="40">
        <f>VLOOKUP(B210,country_opex,2,FALSE)*crew_factor</f>
        <v/>
      </c>
      <c r="X210" s="40">
        <f>VLOOKUP(B210,country_opex,5,FALSE)</f>
        <v/>
      </c>
      <c r="Y210" s="40">
        <f>maint</f>
        <v/>
      </c>
      <c r="Z210" s="40">
        <f>VLOOKUP(B210,country_opex,7,FALSE)*ins_pct</f>
        <v/>
      </c>
      <c r="AA210" s="40">
        <f>charge_berth</f>
        <v/>
      </c>
      <c r="AB210" s="40">
        <f>V210+W210+X210+Y210+Z210+AA210</f>
        <v/>
      </c>
      <c r="AC210" s="40">
        <f>VLOOKUP(B210,country_opex,7,FALSE)/dep_years</f>
        <v/>
      </c>
      <c r="AD210" s="40">
        <f>U210-AB210</f>
        <v/>
      </c>
      <c r="AE210" s="37">
        <f>IF(U210=0,"",AD210/U210)</f>
        <v/>
      </c>
      <c r="AF210" s="38">
        <f>IF(AD210&lt;=0,"",VLOOKUP(B210,country_opex,7,FALSE)/AD210)</f>
        <v/>
      </c>
      <c r="AG210" s="35">
        <f>((D210*P210/diesel_nmpg)*diesel_co2pg-(battery/range_nm)*D210*P210*VLOOKUP(B210,country_opex,4,FALSE))/1000</f>
        <v/>
      </c>
      <c r="AH210" s="33" t="n">
        <v>60000</v>
      </c>
      <c r="AI210" s="34" t="inlineStr">
        <is>
          <t>T4</t>
        </is>
      </c>
      <c r="AJ210" s="34" t="inlineStr">
        <is>
          <t>low</t>
        </is>
      </c>
      <c r="AK210" s="41" t="n">
        <v>0.1</v>
      </c>
      <c r="AL210" s="36">
        <f>IF(AH210="","",AH210*AK210)</f>
        <v/>
      </c>
      <c r="AM210" s="36">
        <f>IF(OR(AH210="",S210=0),"",MIN(IF(AU210="",9.9E+99,AU210),FLOOR(AL210/S210,1)))</f>
        <v/>
      </c>
      <c r="AN210" s="40">
        <f>IF(AM210="","",AM210*IF(ABS(MOD(ABS((U210)),1)-0.5)&lt;1E-9,2*ROUND((U210)/2,0),ROUND((U210),0)))</f>
        <v/>
      </c>
      <c r="AO210" s="38">
        <f>IF(OR(AH210="",S210=0),"",MIN(IF(AU210="",9.9E+99,AU210),AL210/S210))</f>
        <v/>
      </c>
      <c r="AP210" s="40">
        <f>IF(AO210="","",AO210*IF(B210="South Korea",IF(ABS(MOD(ABS((U210)),1)-0.5)&lt;1E-9,2*ROUND((U210)/2,0),ROUND((U210),0)),U210))</f>
        <v/>
      </c>
      <c r="AQ210" s="42" t="n"/>
      <c r="AR210" s="34" t="inlineStr">
        <is>
          <t>Grounded</t>
        </is>
      </c>
      <c r="AS210" s="43" t="n"/>
      <c r="AT210" s="43" t="n"/>
      <c r="AU210" s="44" t="n"/>
      <c r="AV210" s="45">
        <f>IF(((T210*pax_cap*load_thin*IF(ABS(MOD(ABS((L210*M210*revleg_thin)),1)-0.5)&lt;1E-9,2*ROUND((L210*M210*revleg_thin)/2,0),ROUND((L210*M210*revleg_thin),0)))-(((battery/range_nm)*D210*IF(ABS(MOD(ABS((L210*M210*revleg_thin)),1)-0.5)&lt;1E-9,2*ROUND((L210*M210*revleg_thin)/2,0),ROUND((L210*M210*revleg_thin),0))*VLOOKUP(B210,country_opex,3,FALSE))+W210+X210+Y210+Z210+AA210))&lt;=0,"",VLOOKUP(B210,country_opex,7,FALSE)/((T210*pax_cap*load_thin*IF(ABS(MOD(ABS((L210*M210*revleg_thin)),1)-0.5)&lt;1E-9,2*ROUND((L210*M210*revleg_thin)/2,0),ROUND((L210*M210*revleg_thin),0)))-(((battery/range_nm)*D210*IF(ABS(MOD(ABS((L210*M210*revleg_thin)),1)-0.5)&lt;1E-9,2*ROUND((L210*M210*revleg_thin)/2,0),ROUND((L210*M210*revleg_thin),0))*VLOOKUP(B210,country_opex,3,FALSE))+W210+X210+Y210+Z210+AA210)))</f>
        <v/>
      </c>
      <c r="AW210" s="45">
        <f>IF(((T210*pax_cap*IF(B210="South Korea",korea_mid_load,load_mid)*IF(ABS(MOD(ABS((L210*M210*IF(B210="South Korea",korea_mid_revleg,revleg_mid))),1)-0.5)&lt;1E-9,2*ROUND((L210*M210*IF(B210="South Korea",korea_mid_revleg,revleg_mid))/2,0),ROUND((L210*M210*IF(B210="South Korea",korea_mid_revleg,revleg_mid)),0)))-(((battery/range_nm)*D210*IF(ABS(MOD(ABS((L210*M210*IF(B210="South Korea",korea_mid_revleg,revleg_mid))),1)-0.5)&lt;1E-9,2*ROUND((L210*M210*IF(B210="South Korea",korea_mid_revleg,revleg_mid))/2,0),ROUND((L210*M210*IF(B210="South Korea",korea_mid_revleg,revleg_mid)),0))*VLOOKUP(B210,country_opex,3,FALSE))+W210+X210+Y210+Z210+AA210))&lt;=0,"",VLOOKUP(B210,country_opex,7,FALSE)/((T210*pax_cap*IF(B210="South Korea",korea_mid_load,load_mid)*IF(ABS(MOD(ABS((L210*M210*IF(B210="South Korea",korea_mid_revleg,revleg_mid))),1)-0.5)&lt;1E-9,2*ROUND((L210*M210*IF(B210="South Korea",korea_mid_revleg,revleg_mid))/2,0),ROUND((L210*M210*IF(B210="South Korea",korea_mid_revleg,revleg_mid)),0)))-(((battery/range_nm)*D210*IF(ABS(MOD(ABS((L210*M210*IF(B210="South Korea",korea_mid_revleg,revleg_mid))),1)-0.5)&lt;1E-9,2*ROUND((L210*M210*IF(B210="South Korea",korea_mid_revleg,revleg_mid))/2,0),ROUND((L210*M210*IF(B210="South Korea",korea_mid_revleg,revleg_mid)),0))*VLOOKUP(B210,country_opex,3,FALSE))+W210+X210+Y210+Z210+AA210)))</f>
        <v/>
      </c>
      <c r="AX210" s="45">
        <f>IF(((T210*pax_cap*load_full*IF(ABS(MOD(ABS((L210*M210*revleg_full)),1)-0.5)&lt;1E-9,2*ROUND((L210*M210*revleg_full)/2,0),ROUND((L210*M210*revleg_full),0)))-(((battery/range_nm)*D210*IF(ABS(MOD(ABS((L210*M210*revleg_full)),1)-0.5)&lt;1E-9,2*ROUND((L210*M210*revleg_full)/2,0),ROUND((L210*M210*revleg_full),0))*VLOOKUP(B210,country_opex,3,FALSE))+W210+X210+Y210+Z210+AA210))&lt;=0,"",VLOOKUP(B210,country_opex,7,FALSE)/((T210*pax_cap*load_full*IF(ABS(MOD(ABS((L210*M210*revleg_full)),1)-0.5)&lt;1E-9,2*ROUND((L210*M210*revleg_full)/2,0),ROUND((L210*M210*revleg_full),0)))-(((battery/range_nm)*D210*IF(ABS(MOD(ABS((L210*M210*revleg_full)),1)-0.5)&lt;1E-9,2*ROUND((L210*M210*revleg_full)/2,0),ROUND((L210*M210*revleg_full),0))*VLOOKUP(B210,country_opex,3,FALSE))+W210+X210+Y210+Z210+AA210)))</f>
        <v/>
      </c>
      <c r="AY210" s="46" t="inlineStr">
        <is>
          <t>Fujairah east-coast day-trip boats: Dibba/Khor Fakkan dhow &amp; speedboat tours AED 140-210/pax (Instagram/Tripadvisor/Viator 2025); Musandam dhow cruises similar.</t>
        </is>
      </c>
      <c r="AZ210" s="46" t="inlineStr">
        <is>
          <t>Fujairah arrivals crossed 340,000 (+22% YoY), 209 hotels, 70-100% occ (UAE Ministry/Fujairah Tourism); east-coast diving/Musandam day-trips genuinely water-based.</t>
        </is>
      </c>
      <c r="BA210" s="34" t="inlineStr">
        <is>
          <t>rn-0d9b2acf81b1</t>
        </is>
      </c>
    </row>
    <row r="211">
      <c r="A211" s="31" t="inlineStr">
        <is>
          <t>Bolt Uae</t>
        </is>
      </c>
      <c r="B211" s="31" t="inlineStr">
        <is>
          <t>United Arab Emirates</t>
        </is>
      </c>
      <c r="C211" s="32" t="inlineStr">
        <is>
          <t>Dubai Harbour Marina → Al Khan Lagoon mouth</t>
        </is>
      </c>
      <c r="D211" s="33" t="n">
        <v>25.1</v>
      </c>
      <c r="E211" s="27" t="n">
        <v>85</v>
      </c>
      <c r="F211" s="34" t="inlineStr">
        <is>
          <t>T5</t>
        </is>
      </c>
      <c r="G211" s="34" t="inlineStr">
        <is>
          <t>low</t>
        </is>
      </c>
      <c r="H211" s="20" t="n">
        <v>1</v>
      </c>
      <c r="I211" s="35">
        <f>60*D211/cruise_kt</f>
        <v/>
      </c>
      <c r="J211" s="35">
        <f>IF(B211="South Korea",D211/korea_charge_range_nm*korea_full_range_charge_min,0)</f>
        <v/>
      </c>
      <c r="K211" s="35">
        <f>IF(B211="South Korea",I211+korea_turn_min+korea_dwell_min+J211,I211+turn_min+dwell_min)</f>
        <v/>
      </c>
      <c r="L211" s="36">
        <f>IF(B211="South Korea",FLOOR(60*korea_service_hr/K211,1),MIN(15,FLOOR(60*service_hr/K211,1)))</f>
        <v/>
      </c>
      <c r="M211" s="36">
        <f>IF(ABS(MOD(ABS((365*mech_uptime*H211)),1)-0.5)&lt;1E-9,2*ROUND((365*mech_uptime*H211)/2,0),ROUND((365*mech_uptime*H211),0))</f>
        <v/>
      </c>
      <c r="N211" s="37">
        <f>mech_uptime</f>
        <v/>
      </c>
      <c r="O211" s="37">
        <f>IF(AND(B211="South Korea",scenario="MID"),korea_mid_revleg,revleg_sel)</f>
        <v/>
      </c>
      <c r="P211" s="36">
        <f>IF(ABS(MOD(ABS((L211*M211*O211)),1)-0.5)&lt;1E-9,2*ROUND((L211*M211*O211)/2,0),ROUND((L211*M211*O211),0))</f>
        <v/>
      </c>
      <c r="Q211" s="37">
        <f>IF(AND(B211="South Korea",scenario="MID"),korea_mid_load,load_sel)</f>
        <v/>
      </c>
      <c r="R211" s="38">
        <f>pax_cap*Q211</f>
        <v/>
      </c>
      <c r="S211" s="36">
        <f>R211*P211</f>
        <v/>
      </c>
      <c r="T211" s="39">
        <f>E211*discount</f>
        <v/>
      </c>
      <c r="U211" s="40">
        <f>T211*S211</f>
        <v/>
      </c>
      <c r="V211" s="40">
        <f>(battery/range_nm)*D211*P211*VLOOKUP(B211,country_opex,3,FALSE)</f>
        <v/>
      </c>
      <c r="W211" s="40">
        <f>VLOOKUP(B211,country_opex,2,FALSE)*crew_factor</f>
        <v/>
      </c>
      <c r="X211" s="40">
        <f>VLOOKUP(B211,country_opex,5,FALSE)</f>
        <v/>
      </c>
      <c r="Y211" s="40">
        <f>maint</f>
        <v/>
      </c>
      <c r="Z211" s="40">
        <f>VLOOKUP(B211,country_opex,7,FALSE)*ins_pct</f>
        <v/>
      </c>
      <c r="AA211" s="40">
        <f>charge_berth</f>
        <v/>
      </c>
      <c r="AB211" s="40">
        <f>V211+W211+X211+Y211+Z211+AA211</f>
        <v/>
      </c>
      <c r="AC211" s="40">
        <f>VLOOKUP(B211,country_opex,7,FALSE)/dep_years</f>
        <v/>
      </c>
      <c r="AD211" s="40">
        <f>U211-AB211</f>
        <v/>
      </c>
      <c r="AE211" s="37">
        <f>IF(U211=0,"",AD211/U211)</f>
        <v/>
      </c>
      <c r="AF211" s="38">
        <f>IF(AD211&lt;=0,"",VLOOKUP(B211,country_opex,7,FALSE)/AD211)</f>
        <v/>
      </c>
      <c r="AG211" s="35">
        <f>((D211*P211/diesel_nmpg)*diesel_co2pg-(battery/range_nm)*D211*P211*VLOOKUP(B211,country_opex,4,FALSE))/1000</f>
        <v/>
      </c>
      <c r="AH211" s="33" t="n">
        <v>40000</v>
      </c>
      <c r="AI211" s="34" t="inlineStr">
        <is>
          <t>T2</t>
        </is>
      </c>
      <c r="AJ211" s="34" t="inlineStr">
        <is>
          <t>low</t>
        </is>
      </c>
      <c r="AK211" s="41" t="n">
        <v>0.1</v>
      </c>
      <c r="AL211" s="36">
        <f>IF(AH211="","",AH211*AK211)</f>
        <v/>
      </c>
      <c r="AM211" s="36">
        <f>IF(OR(AH211="",S211=0),"",MIN(IF(AU211="",9.9E+99,AU211),FLOOR(AL211/S211,1)))</f>
        <v/>
      </c>
      <c r="AN211" s="40">
        <f>IF(AM211="","",AM211*IF(ABS(MOD(ABS((U211)),1)-0.5)&lt;1E-9,2*ROUND((U211)/2,0),ROUND((U211),0)))</f>
        <v/>
      </c>
      <c r="AO211" s="38">
        <f>IF(OR(AH211="",S211=0),"",MIN(IF(AU211="",9.9E+99,AU211),AL211/S211))</f>
        <v/>
      </c>
      <c r="AP211" s="40">
        <f>IF(AO211="","",AO211*IF(B211="South Korea",IF(ABS(MOD(ABS((U211)),1)-0.5)&lt;1E-9,2*ROUND((U211)/2,0),ROUND((U211),0)),U211))</f>
        <v/>
      </c>
      <c r="AQ211" s="42" t="n"/>
      <c r="AR211" s="34" t="inlineStr">
        <is>
          <t>Estimated</t>
        </is>
      </c>
      <c r="AS211" s="43" t="n"/>
      <c r="AT211" s="43" t="n"/>
      <c r="AU211" s="44" t="n"/>
      <c r="AV211" s="45">
        <f>IF(((T211*pax_cap*load_thin*IF(ABS(MOD(ABS((L211*M211*revleg_thin)),1)-0.5)&lt;1E-9,2*ROUND((L211*M211*revleg_thin)/2,0),ROUND((L211*M211*revleg_thin),0)))-(((battery/range_nm)*D211*IF(ABS(MOD(ABS((L211*M211*revleg_thin)),1)-0.5)&lt;1E-9,2*ROUND((L211*M211*revleg_thin)/2,0),ROUND((L211*M211*revleg_thin),0))*VLOOKUP(B211,country_opex,3,FALSE))+W211+X211+Y211+Z211+AA211))&lt;=0,"",VLOOKUP(B211,country_opex,7,FALSE)/((T211*pax_cap*load_thin*IF(ABS(MOD(ABS((L211*M211*revleg_thin)),1)-0.5)&lt;1E-9,2*ROUND((L211*M211*revleg_thin)/2,0),ROUND((L211*M211*revleg_thin),0)))-(((battery/range_nm)*D211*IF(ABS(MOD(ABS((L211*M211*revleg_thin)),1)-0.5)&lt;1E-9,2*ROUND((L211*M211*revleg_thin)/2,0),ROUND((L211*M211*revleg_thin),0))*VLOOKUP(B211,country_opex,3,FALSE))+W211+X211+Y211+Z211+AA211)))</f>
        <v/>
      </c>
      <c r="AW211" s="45">
        <f>IF(((T211*pax_cap*IF(B211="South Korea",korea_mid_load,load_mid)*IF(ABS(MOD(ABS((L211*M211*IF(B211="South Korea",korea_mid_revleg,revleg_mid))),1)-0.5)&lt;1E-9,2*ROUND((L211*M211*IF(B211="South Korea",korea_mid_revleg,revleg_mid))/2,0),ROUND((L211*M211*IF(B211="South Korea",korea_mid_revleg,revleg_mid)),0)))-(((battery/range_nm)*D211*IF(ABS(MOD(ABS((L211*M211*IF(B211="South Korea",korea_mid_revleg,revleg_mid))),1)-0.5)&lt;1E-9,2*ROUND((L211*M211*IF(B211="South Korea",korea_mid_revleg,revleg_mid))/2,0),ROUND((L211*M211*IF(B211="South Korea",korea_mid_revleg,revleg_mid)),0))*VLOOKUP(B211,country_opex,3,FALSE))+W211+X211+Y211+Z211+AA211))&lt;=0,"",VLOOKUP(B211,country_opex,7,FALSE)/((T211*pax_cap*IF(B211="South Korea",korea_mid_load,load_mid)*IF(ABS(MOD(ABS((L211*M211*IF(B211="South Korea",korea_mid_revleg,revleg_mid))),1)-0.5)&lt;1E-9,2*ROUND((L211*M211*IF(B211="South Korea",korea_mid_revleg,revleg_mid))/2,0),ROUND((L211*M211*IF(B211="South Korea",korea_mid_revleg,revleg_mid)),0)))-(((battery/range_nm)*D211*IF(ABS(MOD(ABS((L211*M211*IF(B211="South Korea",korea_mid_revleg,revleg_mid))),1)-0.5)&lt;1E-9,2*ROUND((L211*M211*IF(B211="South Korea",korea_mid_revleg,revleg_mid))/2,0),ROUND((L211*M211*IF(B211="South Korea",korea_mid_revleg,revleg_mid)),0))*VLOOKUP(B211,country_opex,3,FALSE))+W211+X211+Y211+Z211+AA211)))</f>
        <v/>
      </c>
      <c r="AX211" s="45">
        <f>IF(((T211*pax_cap*load_full*IF(ABS(MOD(ABS((L211*M211*revleg_full)),1)-0.5)&lt;1E-9,2*ROUND((L211*M211*revleg_full)/2,0),ROUND((L211*M211*revleg_full),0)))-(((battery/range_nm)*D211*IF(ABS(MOD(ABS((L211*M211*revleg_full)),1)-0.5)&lt;1E-9,2*ROUND((L211*M211*revleg_full)/2,0),ROUND((L211*M211*revleg_full),0))*VLOOKUP(B211,country_opex,3,FALSE))+W211+X211+Y211+Z211+AA211))&lt;=0,"",VLOOKUP(B211,country_opex,7,FALSE)/((T211*pax_cap*load_full*IF(ABS(MOD(ABS((L211*M211*revleg_full)),1)-0.5)&lt;1E-9,2*ROUND((L211*M211*revleg_full)/2,0),ROUND((L211*M211*revleg_full),0)))-(((battery/range_nm)*D211*IF(ABS(MOD(ABS((L211*M211*revleg_full)),1)-0.5)&lt;1E-9,2*ROUND((L211*M211*revleg_full)/2,0),ROUND((L211*M211*revleg_full),0))*VLOOKUP(B211,country_opex,3,FALSE))+W211+X211+Y211+Z211+AA211)))</f>
        <v/>
      </c>
      <c r="AY211" s="46" t="inlineStr">
        <is>
          <t>Dubai-Sharjah Ferry Gold AED 25 subsidized-commuter (R5-EXT). Premium per-seat $85 modeled (between subsidized ferry and charter). T5/low.</t>
        </is>
      </c>
      <c r="AZ211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211" s="34" t="inlineStr">
        <is>
          <t>rn-01b4a3efaf0f</t>
        </is>
      </c>
    </row>
    <row r="212">
      <c r="A212" s="31" t="inlineStr">
        <is>
          <t>Bolt Uae</t>
        </is>
      </c>
      <c r="B212" s="31" t="inlineStr">
        <is>
          <t>United Arab Emirates</t>
        </is>
      </c>
      <c r="C212" s="32" t="inlineStr">
        <is>
          <t>Dubai Harbour Marina → Wynn Al Marjan Island arrival lagoon</t>
        </is>
      </c>
      <c r="D212" s="33" t="n">
        <v>49.8</v>
      </c>
      <c r="E212" s="27" t="n"/>
      <c r="F212" s="34" t="n"/>
      <c r="G212" s="34" t="n"/>
      <c r="H212" s="20" t="n">
        <v>1</v>
      </c>
      <c r="I212" s="35">
        <f>60*D212/cruise_kt</f>
        <v/>
      </c>
      <c r="J212" s="35">
        <f>IF(B212="South Korea",D212/korea_charge_range_nm*korea_full_range_charge_min,0)</f>
        <v/>
      </c>
      <c r="K212" s="35">
        <f>IF(B212="South Korea",I212+korea_turn_min+korea_dwell_min+J212,I212+turn_min+dwell_min)</f>
        <v/>
      </c>
      <c r="L212" s="36">
        <f>IF(B212="South Korea",FLOOR(60*korea_service_hr/K212,1),MIN(15,FLOOR(60*service_hr/K212,1)))</f>
        <v/>
      </c>
      <c r="M212" s="36">
        <f>IF(ABS(MOD(ABS((365*mech_uptime*H212)),1)-0.5)&lt;1E-9,2*ROUND((365*mech_uptime*H212)/2,0),ROUND((365*mech_uptime*H212),0))</f>
        <v/>
      </c>
      <c r="N212" s="37">
        <f>mech_uptime</f>
        <v/>
      </c>
      <c r="O212" s="37">
        <f>IF(AND(B212="South Korea",scenario="MID"),korea_mid_revleg,revleg_sel)</f>
        <v/>
      </c>
      <c r="P212" s="36">
        <f>IF(ABS(MOD(ABS((L212*M212*O212)),1)-0.5)&lt;1E-9,2*ROUND((L212*M212*O212)/2,0),ROUND((L212*M212*O212),0))</f>
        <v/>
      </c>
      <c r="Q212" s="37">
        <f>IF(AND(B212="South Korea",scenario="MID"),korea_mid_load,load_sel)</f>
        <v/>
      </c>
      <c r="R212" s="38">
        <f>pax_cap*Q212</f>
        <v/>
      </c>
      <c r="S212" s="36">
        <f>R212*P212</f>
        <v/>
      </c>
      <c r="T212" s="39">
        <f>E212*discount</f>
        <v/>
      </c>
      <c r="U212" s="40">
        <f>T212*S212</f>
        <v/>
      </c>
      <c r="V212" s="40">
        <f>(battery/range_nm)*D212*P212*VLOOKUP(B212,country_opex,3,FALSE)</f>
        <v/>
      </c>
      <c r="W212" s="40">
        <f>VLOOKUP(B212,country_opex,2,FALSE)*crew_factor</f>
        <v/>
      </c>
      <c r="X212" s="40">
        <f>VLOOKUP(B212,country_opex,5,FALSE)</f>
        <v/>
      </c>
      <c r="Y212" s="40">
        <f>maint</f>
        <v/>
      </c>
      <c r="Z212" s="40">
        <f>VLOOKUP(B212,country_opex,7,FALSE)*ins_pct</f>
        <v/>
      </c>
      <c r="AA212" s="40">
        <f>charge_berth</f>
        <v/>
      </c>
      <c r="AB212" s="40">
        <f>V212+W212+X212+Y212+Z212+AA212</f>
        <v/>
      </c>
      <c r="AC212" s="40">
        <f>VLOOKUP(B212,country_opex,7,FALSE)/dep_years</f>
        <v/>
      </c>
      <c r="AD212" s="40">
        <f>U212-AB212</f>
        <v/>
      </c>
      <c r="AE212" s="37">
        <f>IF(U212=0,"",AD212/U212)</f>
        <v/>
      </c>
      <c r="AF212" s="38">
        <f>IF(AD212&lt;=0,"",VLOOKUP(B212,country_opex,7,FALSE)/AD212)</f>
        <v/>
      </c>
      <c r="AG212" s="35">
        <f>((D212*P212/diesel_nmpg)*diesel_co2pg-(battery/range_nm)*D212*P212*VLOOKUP(B212,country_opex,4,FALSE))/1000</f>
        <v/>
      </c>
      <c r="AH212" s="33" t="n"/>
      <c r="AI212" s="34" t="n"/>
      <c r="AJ212" s="34" t="n"/>
      <c r="AK212" s="41" t="n">
        <v>0.1</v>
      </c>
      <c r="AL212" s="36">
        <f>IF(AH212="","",AH212*AK212)</f>
        <v/>
      </c>
      <c r="AM212" s="36">
        <f>IF(OR(AH212="",S212=0),"",MIN(IF(AU212="",9.9E+99,AU212),FLOOR(AL212/S212,1)))</f>
        <v/>
      </c>
      <c r="AN212" s="40">
        <f>IF(AM212="","",AM212*IF(ABS(MOD(ABS((U212)),1)-0.5)&lt;1E-9,2*ROUND((U212)/2,0),ROUND((U212),0)))</f>
        <v/>
      </c>
      <c r="AO212" s="38">
        <f>IF(OR(AH212="",S212=0),"",MIN(IF(AU212="",9.9E+99,AU212),AL212/S212))</f>
        <v/>
      </c>
      <c r="AP212" s="40">
        <f>IF(AO212="","",AO212*IF(B212="South Korea",IF(ABS(MOD(ABS((U212)),1)-0.5)&lt;1E-9,2*ROUND((U212)/2,0),ROUND((U212),0)),U212))</f>
        <v/>
      </c>
      <c r="AQ212" s="42" t="n"/>
      <c r="AR212" s="34" t="inlineStr">
        <is>
          <t>Estimated</t>
        </is>
      </c>
      <c r="AS212" s="43" t="n"/>
      <c r="AT212" s="43" t="n"/>
      <c r="AU212" s="44" t="n"/>
      <c r="AV212" s="45">
        <f>IF(((T212*pax_cap*load_thin*IF(ABS(MOD(ABS((L212*M212*revleg_thin)),1)-0.5)&lt;1E-9,2*ROUND((L212*M212*revleg_thin)/2,0),ROUND((L212*M212*revleg_thin),0)))-(((battery/range_nm)*D212*IF(ABS(MOD(ABS((L212*M212*revleg_thin)),1)-0.5)&lt;1E-9,2*ROUND((L212*M212*revleg_thin)/2,0),ROUND((L212*M212*revleg_thin),0))*VLOOKUP(B212,country_opex,3,FALSE))+W212+X212+Y212+Z212+AA212))&lt;=0,"",VLOOKUP(B212,country_opex,7,FALSE)/((T212*pax_cap*load_thin*IF(ABS(MOD(ABS((L212*M212*revleg_thin)),1)-0.5)&lt;1E-9,2*ROUND((L212*M212*revleg_thin)/2,0),ROUND((L212*M212*revleg_thin),0)))-(((battery/range_nm)*D212*IF(ABS(MOD(ABS((L212*M212*revleg_thin)),1)-0.5)&lt;1E-9,2*ROUND((L212*M212*revleg_thin)/2,0),ROUND((L212*M212*revleg_thin),0))*VLOOKUP(B212,country_opex,3,FALSE))+W212+X212+Y212+Z212+AA212)))</f>
        <v/>
      </c>
      <c r="AW212" s="45">
        <f>IF(((T212*pax_cap*IF(B212="South Korea",korea_mid_load,load_mid)*IF(ABS(MOD(ABS((L212*M212*IF(B212="South Korea",korea_mid_revleg,revleg_mid))),1)-0.5)&lt;1E-9,2*ROUND((L212*M212*IF(B212="South Korea",korea_mid_revleg,revleg_mid))/2,0),ROUND((L212*M212*IF(B212="South Korea",korea_mid_revleg,revleg_mid)),0)))-(((battery/range_nm)*D212*IF(ABS(MOD(ABS((L212*M212*IF(B212="South Korea",korea_mid_revleg,revleg_mid))),1)-0.5)&lt;1E-9,2*ROUND((L212*M212*IF(B212="South Korea",korea_mid_revleg,revleg_mid))/2,0),ROUND((L212*M212*IF(B212="South Korea",korea_mid_revleg,revleg_mid)),0))*VLOOKUP(B212,country_opex,3,FALSE))+W212+X212+Y212+Z212+AA212))&lt;=0,"",VLOOKUP(B212,country_opex,7,FALSE)/((T212*pax_cap*IF(B212="South Korea",korea_mid_load,load_mid)*IF(ABS(MOD(ABS((L212*M212*IF(B212="South Korea",korea_mid_revleg,revleg_mid))),1)-0.5)&lt;1E-9,2*ROUND((L212*M212*IF(B212="South Korea",korea_mid_revleg,revleg_mid))/2,0),ROUND((L212*M212*IF(B212="South Korea",korea_mid_revleg,revleg_mid)),0)))-(((battery/range_nm)*D212*IF(ABS(MOD(ABS((L212*M212*IF(B212="South Korea",korea_mid_revleg,revleg_mid))),1)-0.5)&lt;1E-9,2*ROUND((L212*M212*IF(B212="South Korea",korea_mid_revleg,revleg_mid))/2,0),ROUND((L212*M212*IF(B212="South Korea",korea_mid_revleg,revleg_mid)),0))*VLOOKUP(B212,country_opex,3,FALSE))+W212+X212+Y212+Z212+AA212)))</f>
        <v/>
      </c>
      <c r="AX212" s="45">
        <f>IF(((T212*pax_cap*load_full*IF(ABS(MOD(ABS((L212*M212*revleg_full)),1)-0.5)&lt;1E-9,2*ROUND((L212*M212*revleg_full)/2,0),ROUND((L212*M212*revleg_full),0)))-(((battery/range_nm)*D212*IF(ABS(MOD(ABS((L212*M212*revleg_full)),1)-0.5)&lt;1E-9,2*ROUND((L212*M212*revleg_full)/2,0),ROUND((L212*M212*revleg_full),0))*VLOOKUP(B212,country_opex,3,FALSE))+W212+X212+Y212+Z212+AA212))&lt;=0,"",VLOOKUP(B212,country_opex,7,FALSE)/((T212*pax_cap*load_full*IF(ABS(MOD(ABS((L212*M212*revleg_full)),1)-0.5)&lt;1E-9,2*ROUND((L212*M212*revleg_full)/2,0),ROUND((L212*M212*revleg_full),0)))-(((battery/range_nm)*D212*IF(ABS(MOD(ABS((L212*M212*revleg_full)),1)-0.5)&lt;1E-9,2*ROUND((L212*M212*revleg_full)/2,0),ROUND((L212*M212*revleg_full),0))*VLOOKUP(B212,country_opex,3,FALSE))+W212+X212+Y212+Z212+AA212)))</f>
        <v/>
      </c>
      <c r="AY212" s="46" t="n"/>
      <c r="AZ212" s="46" t="n"/>
      <c r="BA212" s="34" t="inlineStr">
        <is>
          <t>gcn-9e515da38a-bolt</t>
        </is>
      </c>
    </row>
    <row r="213">
      <c r="A213" s="31" t="inlineStr">
        <is>
          <t>Bolt Uae</t>
        </is>
      </c>
      <c r="B213" s="31" t="inlineStr">
        <is>
          <t>United Arab Emirates</t>
        </is>
      </c>
      <c r="C213" s="32" t="inlineStr">
        <is>
          <t>Dubai → Abu Dhabi (Corniche)</t>
        </is>
      </c>
      <c r="D213" s="33" t="n">
        <v>55.8</v>
      </c>
      <c r="E213" s="27" t="n"/>
      <c r="F213" s="34" t="n"/>
      <c r="G213" s="34" t="n"/>
      <c r="H213" s="20" t="n">
        <v>1</v>
      </c>
      <c r="I213" s="35">
        <f>60*D213/cruise_kt</f>
        <v/>
      </c>
      <c r="J213" s="35">
        <f>IF(B213="South Korea",D213/korea_charge_range_nm*korea_full_range_charge_min,0)</f>
        <v/>
      </c>
      <c r="K213" s="35">
        <f>IF(B213="South Korea",I213+korea_turn_min+korea_dwell_min+J213,I213+turn_min+dwell_min)</f>
        <v/>
      </c>
      <c r="L213" s="36">
        <f>IF(B213="South Korea",FLOOR(60*korea_service_hr/K213,1),MIN(15,FLOOR(60*service_hr/K213,1)))</f>
        <v/>
      </c>
      <c r="M213" s="36">
        <f>IF(ABS(MOD(ABS((365*mech_uptime*H213)),1)-0.5)&lt;1E-9,2*ROUND((365*mech_uptime*H213)/2,0),ROUND((365*mech_uptime*H213),0))</f>
        <v/>
      </c>
      <c r="N213" s="37">
        <f>mech_uptime</f>
        <v/>
      </c>
      <c r="O213" s="37">
        <f>IF(AND(B213="South Korea",scenario="MID"),korea_mid_revleg,revleg_sel)</f>
        <v/>
      </c>
      <c r="P213" s="36">
        <f>IF(ABS(MOD(ABS((L213*M213*O213)),1)-0.5)&lt;1E-9,2*ROUND((L213*M213*O213)/2,0),ROUND((L213*M213*O213),0))</f>
        <v/>
      </c>
      <c r="Q213" s="37">
        <f>IF(AND(B213="South Korea",scenario="MID"),korea_mid_load,load_sel)</f>
        <v/>
      </c>
      <c r="R213" s="38">
        <f>pax_cap*Q213</f>
        <v/>
      </c>
      <c r="S213" s="36">
        <f>R213*P213</f>
        <v/>
      </c>
      <c r="T213" s="39">
        <f>E213*discount</f>
        <v/>
      </c>
      <c r="U213" s="40">
        <f>T213*S213</f>
        <v/>
      </c>
      <c r="V213" s="40">
        <f>(battery/range_nm)*D213*P213*VLOOKUP(B213,country_opex,3,FALSE)</f>
        <v/>
      </c>
      <c r="W213" s="40">
        <f>VLOOKUP(B213,country_opex,2,FALSE)*crew_factor</f>
        <v/>
      </c>
      <c r="X213" s="40">
        <f>VLOOKUP(B213,country_opex,5,FALSE)</f>
        <v/>
      </c>
      <c r="Y213" s="40">
        <f>maint</f>
        <v/>
      </c>
      <c r="Z213" s="40">
        <f>VLOOKUP(B213,country_opex,7,FALSE)*ins_pct</f>
        <v/>
      </c>
      <c r="AA213" s="40">
        <f>charge_berth</f>
        <v/>
      </c>
      <c r="AB213" s="40">
        <f>V213+W213+X213+Y213+Z213+AA213</f>
        <v/>
      </c>
      <c r="AC213" s="40">
        <f>VLOOKUP(B213,country_opex,7,FALSE)/dep_years</f>
        <v/>
      </c>
      <c r="AD213" s="40">
        <f>U213-AB213</f>
        <v/>
      </c>
      <c r="AE213" s="37">
        <f>IF(U213=0,"",AD213/U213)</f>
        <v/>
      </c>
      <c r="AF213" s="38">
        <f>IF(AD213&lt;=0,"",VLOOKUP(B213,country_opex,7,FALSE)/AD213)</f>
        <v/>
      </c>
      <c r="AG213" s="35">
        <f>((D213*P213/diesel_nmpg)*diesel_co2pg-(battery/range_nm)*D213*P213*VLOOKUP(B213,country_opex,4,FALSE))/1000</f>
        <v/>
      </c>
      <c r="AH213" s="33" t="n"/>
      <c r="AI213" s="34" t="n"/>
      <c r="AJ213" s="34" t="n"/>
      <c r="AK213" s="41" t="n">
        <v>0.1</v>
      </c>
      <c r="AL213" s="36">
        <f>IF(AH213="","",AH213*AK213)</f>
        <v/>
      </c>
      <c r="AM213" s="36">
        <f>IF(OR(AH213="",S213=0),"",MIN(IF(AU213="",9.9E+99,AU213),FLOOR(AL213/S213,1)))</f>
        <v/>
      </c>
      <c r="AN213" s="40">
        <f>IF(AM213="","",AM213*IF(ABS(MOD(ABS((U213)),1)-0.5)&lt;1E-9,2*ROUND((U213)/2,0),ROUND((U213),0)))</f>
        <v/>
      </c>
      <c r="AO213" s="38">
        <f>IF(OR(AH213="",S213=0),"",MIN(IF(AU213="",9.9E+99,AU213),AL213/S213))</f>
        <v/>
      </c>
      <c r="AP213" s="40">
        <f>IF(AO213="","",AO213*IF(B213="South Korea",IF(ABS(MOD(ABS((U213)),1)-0.5)&lt;1E-9,2*ROUND((U213)/2,0),ROUND((U213),0)),U213))</f>
        <v/>
      </c>
      <c r="AQ213" s="42" t="n"/>
      <c r="AR213" s="34" t="inlineStr">
        <is>
          <t>Estimated</t>
        </is>
      </c>
      <c r="AS213" s="43" t="n"/>
      <c r="AT213" s="43" t="n"/>
      <c r="AU213" s="44" t="n"/>
      <c r="AV213" s="45">
        <f>IF(((T213*pax_cap*load_thin*IF(ABS(MOD(ABS((L213*M213*revleg_thin)),1)-0.5)&lt;1E-9,2*ROUND((L213*M213*revleg_thin)/2,0),ROUND((L213*M213*revleg_thin),0)))-(((battery/range_nm)*D213*IF(ABS(MOD(ABS((L213*M213*revleg_thin)),1)-0.5)&lt;1E-9,2*ROUND((L213*M213*revleg_thin)/2,0),ROUND((L213*M213*revleg_thin),0))*VLOOKUP(B213,country_opex,3,FALSE))+W213+X213+Y213+Z213+AA213))&lt;=0,"",VLOOKUP(B213,country_opex,7,FALSE)/((T213*pax_cap*load_thin*IF(ABS(MOD(ABS((L213*M213*revleg_thin)),1)-0.5)&lt;1E-9,2*ROUND((L213*M213*revleg_thin)/2,0),ROUND((L213*M213*revleg_thin),0)))-(((battery/range_nm)*D213*IF(ABS(MOD(ABS((L213*M213*revleg_thin)),1)-0.5)&lt;1E-9,2*ROUND((L213*M213*revleg_thin)/2,0),ROUND((L213*M213*revleg_thin),0))*VLOOKUP(B213,country_opex,3,FALSE))+W213+X213+Y213+Z213+AA213)))</f>
        <v/>
      </c>
      <c r="AW213" s="45">
        <f>IF(((T213*pax_cap*IF(B213="South Korea",korea_mid_load,load_mid)*IF(ABS(MOD(ABS((L213*M213*IF(B213="South Korea",korea_mid_revleg,revleg_mid))),1)-0.5)&lt;1E-9,2*ROUND((L213*M213*IF(B213="South Korea",korea_mid_revleg,revleg_mid))/2,0),ROUND((L213*M213*IF(B213="South Korea",korea_mid_revleg,revleg_mid)),0)))-(((battery/range_nm)*D213*IF(ABS(MOD(ABS((L213*M213*IF(B213="South Korea",korea_mid_revleg,revleg_mid))),1)-0.5)&lt;1E-9,2*ROUND((L213*M213*IF(B213="South Korea",korea_mid_revleg,revleg_mid))/2,0),ROUND((L213*M213*IF(B213="South Korea",korea_mid_revleg,revleg_mid)),0))*VLOOKUP(B213,country_opex,3,FALSE))+W213+X213+Y213+Z213+AA213))&lt;=0,"",VLOOKUP(B213,country_opex,7,FALSE)/((T213*pax_cap*IF(B213="South Korea",korea_mid_load,load_mid)*IF(ABS(MOD(ABS((L213*M213*IF(B213="South Korea",korea_mid_revleg,revleg_mid))),1)-0.5)&lt;1E-9,2*ROUND((L213*M213*IF(B213="South Korea",korea_mid_revleg,revleg_mid))/2,0),ROUND((L213*M213*IF(B213="South Korea",korea_mid_revleg,revleg_mid)),0)))-(((battery/range_nm)*D213*IF(ABS(MOD(ABS((L213*M213*IF(B213="South Korea",korea_mid_revleg,revleg_mid))),1)-0.5)&lt;1E-9,2*ROUND((L213*M213*IF(B213="South Korea",korea_mid_revleg,revleg_mid))/2,0),ROUND((L213*M213*IF(B213="South Korea",korea_mid_revleg,revleg_mid)),0))*VLOOKUP(B213,country_opex,3,FALSE))+W213+X213+Y213+Z213+AA213)))</f>
        <v/>
      </c>
      <c r="AX213" s="45">
        <f>IF(((T213*pax_cap*load_full*IF(ABS(MOD(ABS((L213*M213*revleg_full)),1)-0.5)&lt;1E-9,2*ROUND((L213*M213*revleg_full)/2,0),ROUND((L213*M213*revleg_full),0)))-(((battery/range_nm)*D213*IF(ABS(MOD(ABS((L213*M213*revleg_full)),1)-0.5)&lt;1E-9,2*ROUND((L213*M213*revleg_full)/2,0),ROUND((L213*M213*revleg_full),0))*VLOOKUP(B213,country_opex,3,FALSE))+W213+X213+Y213+Z213+AA213))&lt;=0,"",VLOOKUP(B213,country_opex,7,FALSE)/((T213*pax_cap*load_full*IF(ABS(MOD(ABS((L213*M213*revleg_full)),1)-0.5)&lt;1E-9,2*ROUND((L213*M213*revleg_full)/2,0),ROUND((L213*M213*revleg_full),0)))-(((battery/range_nm)*D213*IF(ABS(MOD(ABS((L213*M213*revleg_full)),1)-0.5)&lt;1E-9,2*ROUND((L213*M213*revleg_full)/2,0),ROUND((L213*M213*revleg_full),0))*VLOOKUP(B213,country_opex,3,FALSE))+W213+X213+Y213+Z213+AA213)))</f>
        <v/>
      </c>
      <c r="AY213" s="46" t="n"/>
      <c r="AZ213" s="46" t="n"/>
      <c r="BA213" s="34" t="inlineStr">
        <is>
          <t>gcn-8ad7567d09-bolt</t>
        </is>
      </c>
    </row>
    <row r="214">
      <c r="A214" s="31" t="inlineStr">
        <is>
          <t>Bolt Uae</t>
        </is>
      </c>
      <c r="B214" s="31" t="inlineStr">
        <is>
          <t>United Arab Emirates</t>
        </is>
      </c>
      <c r="C214" s="32" t="inlineStr">
        <is>
          <t>Dubai → Abu Dhabi (Corniche)</t>
        </is>
      </c>
      <c r="D214" s="33" t="n">
        <v>55.8</v>
      </c>
      <c r="E214" s="27" t="n"/>
      <c r="F214" s="34" t="n"/>
      <c r="G214" s="34" t="n"/>
      <c r="H214" s="20" t="n">
        <v>1</v>
      </c>
      <c r="I214" s="35">
        <f>60*D214/cruise_kt</f>
        <v/>
      </c>
      <c r="J214" s="35">
        <f>IF(B214="South Korea",D214/korea_charge_range_nm*korea_full_range_charge_min,0)</f>
        <v/>
      </c>
      <c r="K214" s="35">
        <f>IF(B214="South Korea",I214+korea_turn_min+korea_dwell_min+J214,I214+turn_min+dwell_min)</f>
        <v/>
      </c>
      <c r="L214" s="36">
        <f>IF(B214="South Korea",FLOOR(60*korea_service_hr/K214,1),MIN(15,FLOOR(60*service_hr/K214,1)))</f>
        <v/>
      </c>
      <c r="M214" s="36">
        <f>IF(ABS(MOD(ABS((365*mech_uptime*H214)),1)-0.5)&lt;1E-9,2*ROUND((365*mech_uptime*H214)/2,0),ROUND((365*mech_uptime*H214),0))</f>
        <v/>
      </c>
      <c r="N214" s="37">
        <f>mech_uptime</f>
        <v/>
      </c>
      <c r="O214" s="37">
        <f>IF(AND(B214="South Korea",scenario="MID"),korea_mid_revleg,revleg_sel)</f>
        <v/>
      </c>
      <c r="P214" s="36">
        <f>IF(ABS(MOD(ABS((L214*M214*O214)),1)-0.5)&lt;1E-9,2*ROUND((L214*M214*O214)/2,0),ROUND((L214*M214*O214),0))</f>
        <v/>
      </c>
      <c r="Q214" s="37">
        <f>IF(AND(B214="South Korea",scenario="MID"),korea_mid_load,load_sel)</f>
        <v/>
      </c>
      <c r="R214" s="38">
        <f>pax_cap*Q214</f>
        <v/>
      </c>
      <c r="S214" s="36">
        <f>R214*P214</f>
        <v/>
      </c>
      <c r="T214" s="39">
        <f>E214*discount</f>
        <v/>
      </c>
      <c r="U214" s="40">
        <f>T214*S214</f>
        <v/>
      </c>
      <c r="V214" s="40">
        <f>(battery/range_nm)*D214*P214*VLOOKUP(B214,country_opex,3,FALSE)</f>
        <v/>
      </c>
      <c r="W214" s="40">
        <f>VLOOKUP(B214,country_opex,2,FALSE)*crew_factor</f>
        <v/>
      </c>
      <c r="X214" s="40">
        <f>VLOOKUP(B214,country_opex,5,FALSE)</f>
        <v/>
      </c>
      <c r="Y214" s="40">
        <f>maint</f>
        <v/>
      </c>
      <c r="Z214" s="40">
        <f>VLOOKUP(B214,country_opex,7,FALSE)*ins_pct</f>
        <v/>
      </c>
      <c r="AA214" s="40">
        <f>charge_berth</f>
        <v/>
      </c>
      <c r="AB214" s="40">
        <f>V214+W214+X214+Y214+Z214+AA214</f>
        <v/>
      </c>
      <c r="AC214" s="40">
        <f>VLOOKUP(B214,country_opex,7,FALSE)/dep_years</f>
        <v/>
      </c>
      <c r="AD214" s="40">
        <f>U214-AB214</f>
        <v/>
      </c>
      <c r="AE214" s="37">
        <f>IF(U214=0,"",AD214/U214)</f>
        <v/>
      </c>
      <c r="AF214" s="38">
        <f>IF(AD214&lt;=0,"",VLOOKUP(B214,country_opex,7,FALSE)/AD214)</f>
        <v/>
      </c>
      <c r="AG214" s="35">
        <f>((D214*P214/diesel_nmpg)*diesel_co2pg-(battery/range_nm)*D214*P214*VLOOKUP(B214,country_opex,4,FALSE))/1000</f>
        <v/>
      </c>
      <c r="AH214" s="33" t="n"/>
      <c r="AI214" s="34" t="n"/>
      <c r="AJ214" s="34" t="n"/>
      <c r="AK214" s="41" t="n">
        <v>0.1</v>
      </c>
      <c r="AL214" s="36">
        <f>IF(AH214="","",AH214*AK214)</f>
        <v/>
      </c>
      <c r="AM214" s="36">
        <f>IF(OR(AH214="",S214=0),"",MIN(IF(AU214="",9.9E+99,AU214),FLOOR(AL214/S214,1)))</f>
        <v/>
      </c>
      <c r="AN214" s="40">
        <f>IF(AM214="","",AM214*IF(ABS(MOD(ABS((U214)),1)-0.5)&lt;1E-9,2*ROUND((U214)/2,0),ROUND((U214),0)))</f>
        <v/>
      </c>
      <c r="AO214" s="38">
        <f>IF(OR(AH214="",S214=0),"",MIN(IF(AU214="",9.9E+99,AU214),AL214/S214))</f>
        <v/>
      </c>
      <c r="AP214" s="40">
        <f>IF(AO214="","",AO214*IF(B214="South Korea",IF(ABS(MOD(ABS((U214)),1)-0.5)&lt;1E-9,2*ROUND((U214)/2,0),ROUND((U214),0)),U214))</f>
        <v/>
      </c>
      <c r="AQ214" s="42" t="n"/>
      <c r="AR214" s="34" t="inlineStr">
        <is>
          <t>Estimated</t>
        </is>
      </c>
      <c r="AS214" s="43" t="n"/>
      <c r="AT214" s="43" t="n"/>
      <c r="AU214" s="44" t="n"/>
      <c r="AV214" s="45">
        <f>IF(((T214*pax_cap*load_thin*IF(ABS(MOD(ABS((L214*M214*revleg_thin)),1)-0.5)&lt;1E-9,2*ROUND((L214*M214*revleg_thin)/2,0),ROUND((L214*M214*revleg_thin),0)))-(((battery/range_nm)*D214*IF(ABS(MOD(ABS((L214*M214*revleg_thin)),1)-0.5)&lt;1E-9,2*ROUND((L214*M214*revleg_thin)/2,0),ROUND((L214*M214*revleg_thin),0))*VLOOKUP(B214,country_opex,3,FALSE))+W214+X214+Y214+Z214+AA214))&lt;=0,"",VLOOKUP(B214,country_opex,7,FALSE)/((T214*pax_cap*load_thin*IF(ABS(MOD(ABS((L214*M214*revleg_thin)),1)-0.5)&lt;1E-9,2*ROUND((L214*M214*revleg_thin)/2,0),ROUND((L214*M214*revleg_thin),0)))-(((battery/range_nm)*D214*IF(ABS(MOD(ABS((L214*M214*revleg_thin)),1)-0.5)&lt;1E-9,2*ROUND((L214*M214*revleg_thin)/2,0),ROUND((L214*M214*revleg_thin),0))*VLOOKUP(B214,country_opex,3,FALSE))+W214+X214+Y214+Z214+AA214)))</f>
        <v/>
      </c>
      <c r="AW214" s="45">
        <f>IF(((T214*pax_cap*IF(B214="South Korea",korea_mid_load,load_mid)*IF(ABS(MOD(ABS((L214*M214*IF(B214="South Korea",korea_mid_revleg,revleg_mid))),1)-0.5)&lt;1E-9,2*ROUND((L214*M214*IF(B214="South Korea",korea_mid_revleg,revleg_mid))/2,0),ROUND((L214*M214*IF(B214="South Korea",korea_mid_revleg,revleg_mid)),0)))-(((battery/range_nm)*D214*IF(ABS(MOD(ABS((L214*M214*IF(B214="South Korea",korea_mid_revleg,revleg_mid))),1)-0.5)&lt;1E-9,2*ROUND((L214*M214*IF(B214="South Korea",korea_mid_revleg,revleg_mid))/2,0),ROUND((L214*M214*IF(B214="South Korea",korea_mid_revleg,revleg_mid)),0))*VLOOKUP(B214,country_opex,3,FALSE))+W214+X214+Y214+Z214+AA214))&lt;=0,"",VLOOKUP(B214,country_opex,7,FALSE)/((T214*pax_cap*IF(B214="South Korea",korea_mid_load,load_mid)*IF(ABS(MOD(ABS((L214*M214*IF(B214="South Korea",korea_mid_revleg,revleg_mid))),1)-0.5)&lt;1E-9,2*ROUND((L214*M214*IF(B214="South Korea",korea_mid_revleg,revleg_mid))/2,0),ROUND((L214*M214*IF(B214="South Korea",korea_mid_revleg,revleg_mid)),0)))-(((battery/range_nm)*D214*IF(ABS(MOD(ABS((L214*M214*IF(B214="South Korea",korea_mid_revleg,revleg_mid))),1)-0.5)&lt;1E-9,2*ROUND((L214*M214*IF(B214="South Korea",korea_mid_revleg,revleg_mid))/2,0),ROUND((L214*M214*IF(B214="South Korea",korea_mid_revleg,revleg_mid)),0))*VLOOKUP(B214,country_opex,3,FALSE))+W214+X214+Y214+Z214+AA214)))</f>
        <v/>
      </c>
      <c r="AX214" s="45">
        <f>IF(((T214*pax_cap*load_full*IF(ABS(MOD(ABS((L214*M214*revleg_full)),1)-0.5)&lt;1E-9,2*ROUND((L214*M214*revleg_full)/2,0),ROUND((L214*M214*revleg_full),0)))-(((battery/range_nm)*D214*IF(ABS(MOD(ABS((L214*M214*revleg_full)),1)-0.5)&lt;1E-9,2*ROUND((L214*M214*revleg_full)/2,0),ROUND((L214*M214*revleg_full),0))*VLOOKUP(B214,country_opex,3,FALSE))+W214+X214+Y214+Z214+AA214))&lt;=0,"",VLOOKUP(B214,country_opex,7,FALSE)/((T214*pax_cap*load_full*IF(ABS(MOD(ABS((L214*M214*revleg_full)),1)-0.5)&lt;1E-9,2*ROUND((L214*M214*revleg_full)/2,0),ROUND((L214*M214*revleg_full),0)))-(((battery/range_nm)*D214*IF(ABS(MOD(ABS((L214*M214*revleg_full)),1)-0.5)&lt;1E-9,2*ROUND((L214*M214*revleg_full)/2,0),ROUND((L214*M214*revleg_full),0))*VLOOKUP(B214,country_opex,3,FALSE))+W214+X214+Y214+Z214+AA214)))</f>
        <v/>
      </c>
      <c r="AY214" s="46" t="n"/>
      <c r="AZ214" s="46" t="n"/>
      <c r="BA214" s="34" t="n"/>
    </row>
    <row r="215">
      <c r="A215" s="31" t="inlineStr">
        <is>
          <t>Bolt Uae</t>
        </is>
      </c>
      <c r="B215" s="31" t="inlineStr">
        <is>
          <t>United Arab Emirates</t>
        </is>
      </c>
      <c r="C215" s="32" t="inlineStr">
        <is>
          <t>Dubai Marina → Abu Dhabi Corniche</t>
        </is>
      </c>
      <c r="D215" s="33" t="n">
        <v>55.8</v>
      </c>
      <c r="E215" s="27" t="n"/>
      <c r="F215" s="34" t="n"/>
      <c r="G215" s="34" t="n"/>
      <c r="H215" s="20" t="n">
        <v>1</v>
      </c>
      <c r="I215" s="35">
        <f>60*D215/cruise_kt</f>
        <v/>
      </c>
      <c r="J215" s="35">
        <f>IF(B215="South Korea",D215/korea_charge_range_nm*korea_full_range_charge_min,0)</f>
        <v/>
      </c>
      <c r="K215" s="35">
        <f>IF(B215="South Korea",I215+korea_turn_min+korea_dwell_min+J215,I215+turn_min+dwell_min)</f>
        <v/>
      </c>
      <c r="L215" s="36">
        <f>IF(B215="South Korea",FLOOR(60*korea_service_hr/K215,1),MIN(15,FLOOR(60*service_hr/K215,1)))</f>
        <v/>
      </c>
      <c r="M215" s="36">
        <f>IF(ABS(MOD(ABS((365*mech_uptime*H215)),1)-0.5)&lt;1E-9,2*ROUND((365*mech_uptime*H215)/2,0),ROUND((365*mech_uptime*H215),0))</f>
        <v/>
      </c>
      <c r="N215" s="37">
        <f>mech_uptime</f>
        <v/>
      </c>
      <c r="O215" s="37">
        <f>IF(AND(B215="South Korea",scenario="MID"),korea_mid_revleg,revleg_sel)</f>
        <v/>
      </c>
      <c r="P215" s="36">
        <f>IF(ABS(MOD(ABS((L215*M215*O215)),1)-0.5)&lt;1E-9,2*ROUND((L215*M215*O215)/2,0),ROUND((L215*M215*O215),0))</f>
        <v/>
      </c>
      <c r="Q215" s="37">
        <f>IF(AND(B215="South Korea",scenario="MID"),korea_mid_load,load_sel)</f>
        <v/>
      </c>
      <c r="R215" s="38">
        <f>pax_cap*Q215</f>
        <v/>
      </c>
      <c r="S215" s="36">
        <f>R215*P215</f>
        <v/>
      </c>
      <c r="T215" s="39">
        <f>E215*discount</f>
        <v/>
      </c>
      <c r="U215" s="40">
        <f>T215*S215</f>
        <v/>
      </c>
      <c r="V215" s="40">
        <f>(battery/range_nm)*D215*P215*VLOOKUP(B215,country_opex,3,FALSE)</f>
        <v/>
      </c>
      <c r="W215" s="40">
        <f>VLOOKUP(B215,country_opex,2,FALSE)*crew_factor</f>
        <v/>
      </c>
      <c r="X215" s="40">
        <f>VLOOKUP(B215,country_opex,5,FALSE)</f>
        <v/>
      </c>
      <c r="Y215" s="40">
        <f>maint</f>
        <v/>
      </c>
      <c r="Z215" s="40">
        <f>VLOOKUP(B215,country_opex,7,FALSE)*ins_pct</f>
        <v/>
      </c>
      <c r="AA215" s="40">
        <f>charge_berth</f>
        <v/>
      </c>
      <c r="AB215" s="40">
        <f>V215+W215+X215+Y215+Z215+AA215</f>
        <v/>
      </c>
      <c r="AC215" s="40">
        <f>VLOOKUP(B215,country_opex,7,FALSE)/dep_years</f>
        <v/>
      </c>
      <c r="AD215" s="40">
        <f>U215-AB215</f>
        <v/>
      </c>
      <c r="AE215" s="37">
        <f>IF(U215=0,"",AD215/U215)</f>
        <v/>
      </c>
      <c r="AF215" s="38">
        <f>IF(AD215&lt;=0,"",VLOOKUP(B215,country_opex,7,FALSE)/AD215)</f>
        <v/>
      </c>
      <c r="AG215" s="35">
        <f>((D215*P215/diesel_nmpg)*diesel_co2pg-(battery/range_nm)*D215*P215*VLOOKUP(B215,country_opex,4,FALSE))/1000</f>
        <v/>
      </c>
      <c r="AH215" s="33" t="n"/>
      <c r="AI215" s="34" t="n"/>
      <c r="AJ215" s="34" t="n"/>
      <c r="AK215" s="41" t="n">
        <v>0.1</v>
      </c>
      <c r="AL215" s="36">
        <f>IF(AH215="","",AH215*AK215)</f>
        <v/>
      </c>
      <c r="AM215" s="36">
        <f>IF(OR(AH215="",S215=0),"",MIN(IF(AU215="",9.9E+99,AU215),FLOOR(AL215/S215,1)))</f>
        <v/>
      </c>
      <c r="AN215" s="40">
        <f>IF(AM215="","",AM215*IF(ABS(MOD(ABS((U215)),1)-0.5)&lt;1E-9,2*ROUND((U215)/2,0),ROUND((U215),0)))</f>
        <v/>
      </c>
      <c r="AO215" s="38">
        <f>IF(OR(AH215="",S215=0),"",MIN(IF(AU215="",9.9E+99,AU215),AL215/S215))</f>
        <v/>
      </c>
      <c r="AP215" s="40">
        <f>IF(AO215="","",AO215*IF(B215="South Korea",IF(ABS(MOD(ABS((U215)),1)-0.5)&lt;1E-9,2*ROUND((U215)/2,0),ROUND((U215),0)),U215))</f>
        <v/>
      </c>
      <c r="AQ215" s="42" t="n"/>
      <c r="AR215" s="34" t="inlineStr">
        <is>
          <t>Estimated</t>
        </is>
      </c>
      <c r="AS215" s="43" t="n"/>
      <c r="AT215" s="43" t="n"/>
      <c r="AU215" s="44" t="n"/>
      <c r="AV215" s="45">
        <f>IF(((T215*pax_cap*load_thin*IF(ABS(MOD(ABS((L215*M215*revleg_thin)),1)-0.5)&lt;1E-9,2*ROUND((L215*M215*revleg_thin)/2,0),ROUND((L215*M215*revleg_thin),0)))-(((battery/range_nm)*D215*IF(ABS(MOD(ABS((L215*M215*revleg_thin)),1)-0.5)&lt;1E-9,2*ROUND((L215*M215*revleg_thin)/2,0),ROUND((L215*M215*revleg_thin),0))*VLOOKUP(B215,country_opex,3,FALSE))+W215+X215+Y215+Z215+AA215))&lt;=0,"",VLOOKUP(B215,country_opex,7,FALSE)/((T215*pax_cap*load_thin*IF(ABS(MOD(ABS((L215*M215*revleg_thin)),1)-0.5)&lt;1E-9,2*ROUND((L215*M215*revleg_thin)/2,0),ROUND((L215*M215*revleg_thin),0)))-(((battery/range_nm)*D215*IF(ABS(MOD(ABS((L215*M215*revleg_thin)),1)-0.5)&lt;1E-9,2*ROUND((L215*M215*revleg_thin)/2,0),ROUND((L215*M215*revleg_thin),0))*VLOOKUP(B215,country_opex,3,FALSE))+W215+X215+Y215+Z215+AA215)))</f>
        <v/>
      </c>
      <c r="AW215" s="45">
        <f>IF(((T215*pax_cap*IF(B215="South Korea",korea_mid_load,load_mid)*IF(ABS(MOD(ABS((L215*M215*IF(B215="South Korea",korea_mid_revleg,revleg_mid))),1)-0.5)&lt;1E-9,2*ROUND((L215*M215*IF(B215="South Korea",korea_mid_revleg,revleg_mid))/2,0),ROUND((L215*M215*IF(B215="South Korea",korea_mid_revleg,revleg_mid)),0)))-(((battery/range_nm)*D215*IF(ABS(MOD(ABS((L215*M215*IF(B215="South Korea",korea_mid_revleg,revleg_mid))),1)-0.5)&lt;1E-9,2*ROUND((L215*M215*IF(B215="South Korea",korea_mid_revleg,revleg_mid))/2,0),ROUND((L215*M215*IF(B215="South Korea",korea_mid_revleg,revleg_mid)),0))*VLOOKUP(B215,country_opex,3,FALSE))+W215+X215+Y215+Z215+AA215))&lt;=0,"",VLOOKUP(B215,country_opex,7,FALSE)/((T215*pax_cap*IF(B215="South Korea",korea_mid_load,load_mid)*IF(ABS(MOD(ABS((L215*M215*IF(B215="South Korea",korea_mid_revleg,revleg_mid))),1)-0.5)&lt;1E-9,2*ROUND((L215*M215*IF(B215="South Korea",korea_mid_revleg,revleg_mid))/2,0),ROUND((L215*M215*IF(B215="South Korea",korea_mid_revleg,revleg_mid)),0)))-(((battery/range_nm)*D215*IF(ABS(MOD(ABS((L215*M215*IF(B215="South Korea",korea_mid_revleg,revleg_mid))),1)-0.5)&lt;1E-9,2*ROUND((L215*M215*IF(B215="South Korea",korea_mid_revleg,revleg_mid))/2,0),ROUND((L215*M215*IF(B215="South Korea",korea_mid_revleg,revleg_mid)),0))*VLOOKUP(B215,country_opex,3,FALSE))+W215+X215+Y215+Z215+AA215)))</f>
        <v/>
      </c>
      <c r="AX215" s="45">
        <f>IF(((T215*pax_cap*load_full*IF(ABS(MOD(ABS((L215*M215*revleg_full)),1)-0.5)&lt;1E-9,2*ROUND((L215*M215*revleg_full)/2,0),ROUND((L215*M215*revleg_full),0)))-(((battery/range_nm)*D215*IF(ABS(MOD(ABS((L215*M215*revleg_full)),1)-0.5)&lt;1E-9,2*ROUND((L215*M215*revleg_full)/2,0),ROUND((L215*M215*revleg_full),0))*VLOOKUP(B215,country_opex,3,FALSE))+W215+X215+Y215+Z215+AA215))&lt;=0,"",VLOOKUP(B215,country_opex,7,FALSE)/((T215*pax_cap*load_full*IF(ABS(MOD(ABS((L215*M215*revleg_full)),1)-0.5)&lt;1E-9,2*ROUND((L215*M215*revleg_full)/2,0),ROUND((L215*M215*revleg_full),0)))-(((battery/range_nm)*D215*IF(ABS(MOD(ABS((L215*M215*revleg_full)),1)-0.5)&lt;1E-9,2*ROUND((L215*M215*revleg_full)/2,0),ROUND((L215*M215*revleg_full),0))*VLOOKUP(B215,country_opex,3,FALSE))+W215+X215+Y215+Z215+AA215)))</f>
        <v/>
      </c>
      <c r="AY215" s="46" t="n"/>
      <c r="AZ215" s="46" t="n"/>
      <c r="BA215" s="34" t="inlineStr">
        <is>
          <t>gcn-8605781d07-careem</t>
        </is>
      </c>
    </row>
    <row r="216">
      <c r="A216" s="31" t="inlineStr">
        <is>
          <t>Bolt Uae</t>
        </is>
      </c>
      <c r="B216" s="31" t="inlineStr">
        <is>
          <t>United Arab Emirates</t>
        </is>
      </c>
      <c r="C216" s="32" t="inlineStr">
        <is>
          <t>Dubai Marina → Abu Dhabi Corniche</t>
        </is>
      </c>
      <c r="D216" s="33" t="n">
        <v>55.8</v>
      </c>
      <c r="E216" s="27" t="n"/>
      <c r="F216" s="34" t="n"/>
      <c r="G216" s="34" t="n"/>
      <c r="H216" s="20" t="n">
        <v>1</v>
      </c>
      <c r="I216" s="35">
        <f>60*D216/cruise_kt</f>
        <v/>
      </c>
      <c r="J216" s="35">
        <f>IF(B216="South Korea",D216/korea_charge_range_nm*korea_full_range_charge_min,0)</f>
        <v/>
      </c>
      <c r="K216" s="35">
        <f>IF(B216="South Korea",I216+korea_turn_min+korea_dwell_min+J216,I216+turn_min+dwell_min)</f>
        <v/>
      </c>
      <c r="L216" s="36">
        <f>IF(B216="South Korea",FLOOR(60*korea_service_hr/K216,1),MIN(15,FLOOR(60*service_hr/K216,1)))</f>
        <v/>
      </c>
      <c r="M216" s="36">
        <f>IF(ABS(MOD(ABS((365*mech_uptime*H216)),1)-0.5)&lt;1E-9,2*ROUND((365*mech_uptime*H216)/2,0),ROUND((365*mech_uptime*H216),0))</f>
        <v/>
      </c>
      <c r="N216" s="37">
        <f>mech_uptime</f>
        <v/>
      </c>
      <c r="O216" s="37">
        <f>IF(AND(B216="South Korea",scenario="MID"),korea_mid_revleg,revleg_sel)</f>
        <v/>
      </c>
      <c r="P216" s="36">
        <f>IF(ABS(MOD(ABS((L216*M216*O216)),1)-0.5)&lt;1E-9,2*ROUND((L216*M216*O216)/2,0),ROUND((L216*M216*O216),0))</f>
        <v/>
      </c>
      <c r="Q216" s="37">
        <f>IF(AND(B216="South Korea",scenario="MID"),korea_mid_load,load_sel)</f>
        <v/>
      </c>
      <c r="R216" s="38">
        <f>pax_cap*Q216</f>
        <v/>
      </c>
      <c r="S216" s="36">
        <f>R216*P216</f>
        <v/>
      </c>
      <c r="T216" s="39">
        <f>E216*discount</f>
        <v/>
      </c>
      <c r="U216" s="40">
        <f>T216*S216</f>
        <v/>
      </c>
      <c r="V216" s="40">
        <f>(battery/range_nm)*D216*P216*VLOOKUP(B216,country_opex,3,FALSE)</f>
        <v/>
      </c>
      <c r="W216" s="40">
        <f>VLOOKUP(B216,country_opex,2,FALSE)*crew_factor</f>
        <v/>
      </c>
      <c r="X216" s="40">
        <f>VLOOKUP(B216,country_opex,5,FALSE)</f>
        <v/>
      </c>
      <c r="Y216" s="40">
        <f>maint</f>
        <v/>
      </c>
      <c r="Z216" s="40">
        <f>VLOOKUP(B216,country_opex,7,FALSE)*ins_pct</f>
        <v/>
      </c>
      <c r="AA216" s="40">
        <f>charge_berth</f>
        <v/>
      </c>
      <c r="AB216" s="40">
        <f>V216+W216+X216+Y216+Z216+AA216</f>
        <v/>
      </c>
      <c r="AC216" s="40">
        <f>VLOOKUP(B216,country_opex,7,FALSE)/dep_years</f>
        <v/>
      </c>
      <c r="AD216" s="40">
        <f>U216-AB216</f>
        <v/>
      </c>
      <c r="AE216" s="37">
        <f>IF(U216=0,"",AD216/U216)</f>
        <v/>
      </c>
      <c r="AF216" s="38">
        <f>IF(AD216&lt;=0,"",VLOOKUP(B216,country_opex,7,FALSE)/AD216)</f>
        <v/>
      </c>
      <c r="AG216" s="35">
        <f>((D216*P216/diesel_nmpg)*diesel_co2pg-(battery/range_nm)*D216*P216*VLOOKUP(B216,country_opex,4,FALSE))/1000</f>
        <v/>
      </c>
      <c r="AH216" s="33" t="n"/>
      <c r="AI216" s="34" t="n"/>
      <c r="AJ216" s="34" t="n"/>
      <c r="AK216" s="41" t="n">
        <v>0.1</v>
      </c>
      <c r="AL216" s="36">
        <f>IF(AH216="","",AH216*AK216)</f>
        <v/>
      </c>
      <c r="AM216" s="36">
        <f>IF(OR(AH216="",S216=0),"",MIN(IF(AU216="",9.9E+99,AU216),FLOOR(AL216/S216,1)))</f>
        <v/>
      </c>
      <c r="AN216" s="40">
        <f>IF(AM216="","",AM216*IF(ABS(MOD(ABS((U216)),1)-0.5)&lt;1E-9,2*ROUND((U216)/2,0),ROUND((U216),0)))</f>
        <v/>
      </c>
      <c r="AO216" s="38">
        <f>IF(OR(AH216="",S216=0),"",MIN(IF(AU216="",9.9E+99,AU216),AL216/S216))</f>
        <v/>
      </c>
      <c r="AP216" s="40">
        <f>IF(AO216="","",AO216*IF(B216="South Korea",IF(ABS(MOD(ABS((U216)),1)-0.5)&lt;1E-9,2*ROUND((U216)/2,0),ROUND((U216),0)),U216))</f>
        <v/>
      </c>
      <c r="AQ216" s="42" t="n"/>
      <c r="AR216" s="34" t="inlineStr">
        <is>
          <t>Estimated</t>
        </is>
      </c>
      <c r="AS216" s="43" t="n"/>
      <c r="AT216" s="43" t="n"/>
      <c r="AU216" s="44" t="n"/>
      <c r="AV216" s="45">
        <f>IF(((T216*pax_cap*load_thin*IF(ABS(MOD(ABS((L216*M216*revleg_thin)),1)-0.5)&lt;1E-9,2*ROUND((L216*M216*revleg_thin)/2,0),ROUND((L216*M216*revleg_thin),0)))-(((battery/range_nm)*D216*IF(ABS(MOD(ABS((L216*M216*revleg_thin)),1)-0.5)&lt;1E-9,2*ROUND((L216*M216*revleg_thin)/2,0),ROUND((L216*M216*revleg_thin),0))*VLOOKUP(B216,country_opex,3,FALSE))+W216+X216+Y216+Z216+AA216))&lt;=0,"",VLOOKUP(B216,country_opex,7,FALSE)/((T216*pax_cap*load_thin*IF(ABS(MOD(ABS((L216*M216*revleg_thin)),1)-0.5)&lt;1E-9,2*ROUND((L216*M216*revleg_thin)/2,0),ROUND((L216*M216*revleg_thin),0)))-(((battery/range_nm)*D216*IF(ABS(MOD(ABS((L216*M216*revleg_thin)),1)-0.5)&lt;1E-9,2*ROUND((L216*M216*revleg_thin)/2,0),ROUND((L216*M216*revleg_thin),0))*VLOOKUP(B216,country_opex,3,FALSE))+W216+X216+Y216+Z216+AA216)))</f>
        <v/>
      </c>
      <c r="AW216" s="45">
        <f>IF(((T216*pax_cap*IF(B216="South Korea",korea_mid_load,load_mid)*IF(ABS(MOD(ABS((L216*M216*IF(B216="South Korea",korea_mid_revleg,revleg_mid))),1)-0.5)&lt;1E-9,2*ROUND((L216*M216*IF(B216="South Korea",korea_mid_revleg,revleg_mid))/2,0),ROUND((L216*M216*IF(B216="South Korea",korea_mid_revleg,revleg_mid)),0)))-(((battery/range_nm)*D216*IF(ABS(MOD(ABS((L216*M216*IF(B216="South Korea",korea_mid_revleg,revleg_mid))),1)-0.5)&lt;1E-9,2*ROUND((L216*M216*IF(B216="South Korea",korea_mid_revleg,revleg_mid))/2,0),ROUND((L216*M216*IF(B216="South Korea",korea_mid_revleg,revleg_mid)),0))*VLOOKUP(B216,country_opex,3,FALSE))+W216+X216+Y216+Z216+AA216))&lt;=0,"",VLOOKUP(B216,country_opex,7,FALSE)/((T216*pax_cap*IF(B216="South Korea",korea_mid_load,load_mid)*IF(ABS(MOD(ABS((L216*M216*IF(B216="South Korea",korea_mid_revleg,revleg_mid))),1)-0.5)&lt;1E-9,2*ROUND((L216*M216*IF(B216="South Korea",korea_mid_revleg,revleg_mid))/2,0),ROUND((L216*M216*IF(B216="South Korea",korea_mid_revleg,revleg_mid)),0)))-(((battery/range_nm)*D216*IF(ABS(MOD(ABS((L216*M216*IF(B216="South Korea",korea_mid_revleg,revleg_mid))),1)-0.5)&lt;1E-9,2*ROUND((L216*M216*IF(B216="South Korea",korea_mid_revleg,revleg_mid))/2,0),ROUND((L216*M216*IF(B216="South Korea",korea_mid_revleg,revleg_mid)),0))*VLOOKUP(B216,country_opex,3,FALSE))+W216+X216+Y216+Z216+AA216)))</f>
        <v/>
      </c>
      <c r="AX216" s="45">
        <f>IF(((T216*pax_cap*load_full*IF(ABS(MOD(ABS((L216*M216*revleg_full)),1)-0.5)&lt;1E-9,2*ROUND((L216*M216*revleg_full)/2,0),ROUND((L216*M216*revleg_full),0)))-(((battery/range_nm)*D216*IF(ABS(MOD(ABS((L216*M216*revleg_full)),1)-0.5)&lt;1E-9,2*ROUND((L216*M216*revleg_full)/2,0),ROUND((L216*M216*revleg_full),0))*VLOOKUP(B216,country_opex,3,FALSE))+W216+X216+Y216+Z216+AA216))&lt;=0,"",VLOOKUP(B216,country_opex,7,FALSE)/((T216*pax_cap*load_full*IF(ABS(MOD(ABS((L216*M216*revleg_full)),1)-0.5)&lt;1E-9,2*ROUND((L216*M216*revleg_full)/2,0),ROUND((L216*M216*revleg_full),0)))-(((battery/range_nm)*D216*IF(ABS(MOD(ABS((L216*M216*revleg_full)),1)-0.5)&lt;1E-9,2*ROUND((L216*M216*revleg_full)/2,0),ROUND((L216*M216*revleg_full),0))*VLOOKUP(B216,country_opex,3,FALSE))+W216+X216+Y216+Z216+AA216)))</f>
        <v/>
      </c>
      <c r="AY216" s="46" t="n"/>
      <c r="AZ216" s="46" t="n"/>
      <c r="BA216" s="34" t="n"/>
    </row>
    <row r="217">
      <c r="A217" s="31" t="inlineStr">
        <is>
          <t>Bolt Uae</t>
        </is>
      </c>
      <c r="B217" s="31" t="inlineStr">
        <is>
          <t>United Arab Emirates</t>
        </is>
      </c>
      <c r="C217" s="32" t="inlineStr">
        <is>
          <t>Dubai Harbour Marina → Wynn Al Marjan Island arrival lagoon</t>
        </is>
      </c>
      <c r="D217" s="33" t="n">
        <v>56</v>
      </c>
      <c r="E217" s="27" t="n">
        <v>200</v>
      </c>
      <c r="F217" s="34" t="inlineStr">
        <is>
          <t>T5</t>
        </is>
      </c>
      <c r="G217" s="34" t="inlineStr">
        <is>
          <t>low</t>
        </is>
      </c>
      <c r="H217" s="20" t="n">
        <v>1</v>
      </c>
      <c r="I217" s="35">
        <f>60*D217/cruise_kt</f>
        <v/>
      </c>
      <c r="J217" s="35">
        <f>IF(B217="South Korea",D217/korea_charge_range_nm*korea_full_range_charge_min,0)</f>
        <v/>
      </c>
      <c r="K217" s="35">
        <f>IF(B217="South Korea",I217+korea_turn_min+korea_dwell_min+J217,I217+turn_min+dwell_min)</f>
        <v/>
      </c>
      <c r="L217" s="36">
        <f>IF(B217="South Korea",FLOOR(60*korea_service_hr/K217,1),MIN(15,FLOOR(60*service_hr/K217,1)))</f>
        <v/>
      </c>
      <c r="M217" s="36">
        <f>IF(ABS(MOD(ABS((365*mech_uptime*H217)),1)-0.5)&lt;1E-9,2*ROUND((365*mech_uptime*H217)/2,0),ROUND((365*mech_uptime*H217),0))</f>
        <v/>
      </c>
      <c r="N217" s="37">
        <f>mech_uptime</f>
        <v/>
      </c>
      <c r="O217" s="37">
        <f>IF(AND(B217="South Korea",scenario="MID"),korea_mid_revleg,revleg_sel)</f>
        <v/>
      </c>
      <c r="P217" s="36">
        <f>IF(ABS(MOD(ABS((L217*M217*O217)),1)-0.5)&lt;1E-9,2*ROUND((L217*M217*O217)/2,0),ROUND((L217*M217*O217),0))</f>
        <v/>
      </c>
      <c r="Q217" s="37">
        <f>IF(AND(B217="South Korea",scenario="MID"),korea_mid_load,load_sel)</f>
        <v/>
      </c>
      <c r="R217" s="38">
        <f>pax_cap*Q217</f>
        <v/>
      </c>
      <c r="S217" s="36">
        <f>R217*P217</f>
        <v/>
      </c>
      <c r="T217" s="39">
        <f>E217*discount</f>
        <v/>
      </c>
      <c r="U217" s="40">
        <f>T217*S217</f>
        <v/>
      </c>
      <c r="V217" s="40">
        <f>(battery/range_nm)*D217*P217*VLOOKUP(B217,country_opex,3,FALSE)</f>
        <v/>
      </c>
      <c r="W217" s="40">
        <f>VLOOKUP(B217,country_opex,2,FALSE)*crew_factor</f>
        <v/>
      </c>
      <c r="X217" s="40">
        <f>VLOOKUP(B217,country_opex,5,FALSE)</f>
        <v/>
      </c>
      <c r="Y217" s="40">
        <f>maint</f>
        <v/>
      </c>
      <c r="Z217" s="40">
        <f>VLOOKUP(B217,country_opex,7,FALSE)*ins_pct</f>
        <v/>
      </c>
      <c r="AA217" s="40">
        <f>charge_berth</f>
        <v/>
      </c>
      <c r="AB217" s="40">
        <f>V217+W217+X217+Y217+Z217+AA217</f>
        <v/>
      </c>
      <c r="AC217" s="40">
        <f>VLOOKUP(B217,country_opex,7,FALSE)/dep_years</f>
        <v/>
      </c>
      <c r="AD217" s="40">
        <f>U217-AB217</f>
        <v/>
      </c>
      <c r="AE217" s="37">
        <f>IF(U217=0,"",AD217/U217)</f>
        <v/>
      </c>
      <c r="AF217" s="38">
        <f>IF(AD217&lt;=0,"",VLOOKUP(B217,country_opex,7,FALSE)/AD217)</f>
        <v/>
      </c>
      <c r="AG217" s="35">
        <f>((D217*P217/diesel_nmpg)*diesel_co2pg-(battery/range_nm)*D217*P217*VLOOKUP(B217,country_opex,4,FALSE))/1000</f>
        <v/>
      </c>
      <c r="AH217" s="33" t="n">
        <v>60000</v>
      </c>
      <c r="AI217" s="34" t="inlineStr">
        <is>
          <t>T2</t>
        </is>
      </c>
      <c r="AJ217" s="34" t="inlineStr">
        <is>
          <t>medium</t>
        </is>
      </c>
      <c r="AK217" s="41" t="n">
        <v>0.1</v>
      </c>
      <c r="AL217" s="36">
        <f>IF(AH217="","",AH217*AK217)</f>
        <v/>
      </c>
      <c r="AM217" s="36">
        <f>IF(OR(AH217="",S217=0),"",MIN(IF(AU217="",9.9E+99,AU217),FLOOR(AL217/S217,1)))</f>
        <v/>
      </c>
      <c r="AN217" s="40">
        <f>IF(AM217="","",AM217*IF(ABS(MOD(ABS((U217)),1)-0.5)&lt;1E-9,2*ROUND((U217)/2,0),ROUND((U217),0)))</f>
        <v/>
      </c>
      <c r="AO217" s="38">
        <f>IF(OR(AH217="",S217=0),"",MIN(IF(AU217="",9.9E+99,AU217),AL217/S217))</f>
        <v/>
      </c>
      <c r="AP217" s="40">
        <f>IF(AO217="","",AO217*IF(B217="South Korea",IF(ABS(MOD(ABS((U217)),1)-0.5)&lt;1E-9,2*ROUND((U217)/2,0),ROUND((U217),0)),U217))</f>
        <v/>
      </c>
      <c r="AQ217" s="42" t="n"/>
      <c r="AR217" s="34" t="inlineStr">
        <is>
          <t>Estimated</t>
        </is>
      </c>
      <c r="AS217" s="43" t="n"/>
      <c r="AT217" s="43" t="n"/>
      <c r="AU217" s="44" t="n"/>
      <c r="AV217" s="45">
        <f>IF(((T217*pax_cap*load_thin*IF(ABS(MOD(ABS((L217*M217*revleg_thin)),1)-0.5)&lt;1E-9,2*ROUND((L217*M217*revleg_thin)/2,0),ROUND((L217*M217*revleg_thin),0)))-(((battery/range_nm)*D217*IF(ABS(MOD(ABS((L217*M217*revleg_thin)),1)-0.5)&lt;1E-9,2*ROUND((L217*M217*revleg_thin)/2,0),ROUND((L217*M217*revleg_thin),0))*VLOOKUP(B217,country_opex,3,FALSE))+W217+X217+Y217+Z217+AA217))&lt;=0,"",VLOOKUP(B217,country_opex,7,FALSE)/((T217*pax_cap*load_thin*IF(ABS(MOD(ABS((L217*M217*revleg_thin)),1)-0.5)&lt;1E-9,2*ROUND((L217*M217*revleg_thin)/2,0),ROUND((L217*M217*revleg_thin),0)))-(((battery/range_nm)*D217*IF(ABS(MOD(ABS((L217*M217*revleg_thin)),1)-0.5)&lt;1E-9,2*ROUND((L217*M217*revleg_thin)/2,0),ROUND((L217*M217*revleg_thin),0))*VLOOKUP(B217,country_opex,3,FALSE))+W217+X217+Y217+Z217+AA217)))</f>
        <v/>
      </c>
      <c r="AW217" s="45">
        <f>IF(((T217*pax_cap*IF(B217="South Korea",korea_mid_load,load_mid)*IF(ABS(MOD(ABS((L217*M217*IF(B217="South Korea",korea_mid_revleg,revleg_mid))),1)-0.5)&lt;1E-9,2*ROUND((L217*M217*IF(B217="South Korea",korea_mid_revleg,revleg_mid))/2,0),ROUND((L217*M217*IF(B217="South Korea",korea_mid_revleg,revleg_mid)),0)))-(((battery/range_nm)*D217*IF(ABS(MOD(ABS((L217*M217*IF(B217="South Korea",korea_mid_revleg,revleg_mid))),1)-0.5)&lt;1E-9,2*ROUND((L217*M217*IF(B217="South Korea",korea_mid_revleg,revleg_mid))/2,0),ROUND((L217*M217*IF(B217="South Korea",korea_mid_revleg,revleg_mid)),0))*VLOOKUP(B217,country_opex,3,FALSE))+W217+X217+Y217+Z217+AA217))&lt;=0,"",VLOOKUP(B217,country_opex,7,FALSE)/((T217*pax_cap*IF(B217="South Korea",korea_mid_load,load_mid)*IF(ABS(MOD(ABS((L217*M217*IF(B217="South Korea",korea_mid_revleg,revleg_mid))),1)-0.5)&lt;1E-9,2*ROUND((L217*M217*IF(B217="South Korea",korea_mid_revleg,revleg_mid))/2,0),ROUND((L217*M217*IF(B217="South Korea",korea_mid_revleg,revleg_mid)),0)))-(((battery/range_nm)*D217*IF(ABS(MOD(ABS((L217*M217*IF(B217="South Korea",korea_mid_revleg,revleg_mid))),1)-0.5)&lt;1E-9,2*ROUND((L217*M217*IF(B217="South Korea",korea_mid_revleg,revleg_mid))/2,0),ROUND((L217*M217*IF(B217="South Korea",korea_mid_revleg,revleg_mid)),0))*VLOOKUP(B217,country_opex,3,FALSE))+W217+X217+Y217+Z217+AA217)))</f>
        <v/>
      </c>
      <c r="AX217" s="45">
        <f>IF(((T217*pax_cap*load_full*IF(ABS(MOD(ABS((L217*M217*revleg_full)),1)-0.5)&lt;1E-9,2*ROUND((L217*M217*revleg_full)/2,0),ROUND((L217*M217*revleg_full),0)))-(((battery/range_nm)*D217*IF(ABS(MOD(ABS((L217*M217*revleg_full)),1)-0.5)&lt;1E-9,2*ROUND((L217*M217*revleg_full)/2,0),ROUND((L217*M217*revleg_full),0))*VLOOKUP(B217,country_opex,3,FALSE))+W217+X217+Y217+Z217+AA217))&lt;=0,"",VLOOKUP(B217,country_opex,7,FALSE)/((T217*pax_cap*load_full*IF(ABS(MOD(ABS((L217*M217*revleg_full)),1)-0.5)&lt;1E-9,2*ROUND((L217*M217*revleg_full)/2,0),ROUND((L217*M217*revleg_full),0)))-(((battery/range_nm)*D217*IF(ABS(MOD(ABS((L217*M217*revleg_full)),1)-0.5)&lt;1E-9,2*ROUND((L217*M217*revleg_full)/2,0),ROUND((L217*M217*revleg_full),0))*VLOOKUP(B217,country_opex,3,FALSE))+W217+X217+Y217+Z217+AA217)))</f>
        <v/>
      </c>
      <c r="AY217" s="46" t="inlineStr">
        <is>
          <t>Wynn Al Marjan (first UAE gaming resort) opens early 2027: 1,217 rooms + 297 residences. No marine transfer today. T5/low - greenfield.</t>
        </is>
      </c>
      <c r="AZ217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217" s="34" t="inlineStr">
        <is>
          <t>rn-dd4500aa99f5</t>
        </is>
      </c>
    </row>
    <row r="218">
      <c r="A218" s="31" t="inlineStr">
        <is>
          <t>Bolt Uae</t>
        </is>
      </c>
      <c r="B218" s="31" t="inlineStr">
        <is>
          <t>United Arab Emirates</t>
        </is>
      </c>
      <c r="C218" s="32" t="inlineStr">
        <is>
          <t>Ushuaïa Dubai Harbour Experience → Marina Mall / Breakwater Marina</t>
        </is>
      </c>
      <c r="D218" s="33" t="n">
        <v>57.4</v>
      </c>
      <c r="E218" s="27" t="n"/>
      <c r="F218" s="34" t="n"/>
      <c r="G218" s="34" t="n"/>
      <c r="H218" s="20" t="n">
        <v>1</v>
      </c>
      <c r="I218" s="35">
        <f>60*D218/cruise_kt</f>
        <v/>
      </c>
      <c r="J218" s="35">
        <f>IF(B218="South Korea",D218/korea_charge_range_nm*korea_full_range_charge_min,0)</f>
        <v/>
      </c>
      <c r="K218" s="35">
        <f>IF(B218="South Korea",I218+korea_turn_min+korea_dwell_min+J218,I218+turn_min+dwell_min)</f>
        <v/>
      </c>
      <c r="L218" s="36">
        <f>IF(B218="South Korea",FLOOR(60*korea_service_hr/K218,1),MIN(15,FLOOR(60*service_hr/K218,1)))</f>
        <v/>
      </c>
      <c r="M218" s="36">
        <f>IF(ABS(MOD(ABS((365*mech_uptime*H218)),1)-0.5)&lt;1E-9,2*ROUND((365*mech_uptime*H218)/2,0),ROUND((365*mech_uptime*H218),0))</f>
        <v/>
      </c>
      <c r="N218" s="37">
        <f>mech_uptime</f>
        <v/>
      </c>
      <c r="O218" s="37">
        <f>IF(AND(B218="South Korea",scenario="MID"),korea_mid_revleg,revleg_sel)</f>
        <v/>
      </c>
      <c r="P218" s="36">
        <f>IF(ABS(MOD(ABS((L218*M218*O218)),1)-0.5)&lt;1E-9,2*ROUND((L218*M218*O218)/2,0),ROUND((L218*M218*O218),0))</f>
        <v/>
      </c>
      <c r="Q218" s="37">
        <f>IF(AND(B218="South Korea",scenario="MID"),korea_mid_load,load_sel)</f>
        <v/>
      </c>
      <c r="R218" s="38">
        <f>pax_cap*Q218</f>
        <v/>
      </c>
      <c r="S218" s="36">
        <f>R218*P218</f>
        <v/>
      </c>
      <c r="T218" s="39">
        <f>E218*discount</f>
        <v/>
      </c>
      <c r="U218" s="40">
        <f>T218*S218</f>
        <v/>
      </c>
      <c r="V218" s="40">
        <f>(battery/range_nm)*D218*P218*VLOOKUP(B218,country_opex,3,FALSE)</f>
        <v/>
      </c>
      <c r="W218" s="40">
        <f>VLOOKUP(B218,country_opex,2,FALSE)*crew_factor</f>
        <v/>
      </c>
      <c r="X218" s="40">
        <f>VLOOKUP(B218,country_opex,5,FALSE)</f>
        <v/>
      </c>
      <c r="Y218" s="40">
        <f>maint</f>
        <v/>
      </c>
      <c r="Z218" s="40">
        <f>VLOOKUP(B218,country_opex,7,FALSE)*ins_pct</f>
        <v/>
      </c>
      <c r="AA218" s="40">
        <f>charge_berth</f>
        <v/>
      </c>
      <c r="AB218" s="40">
        <f>V218+W218+X218+Y218+Z218+AA218</f>
        <v/>
      </c>
      <c r="AC218" s="40">
        <f>VLOOKUP(B218,country_opex,7,FALSE)/dep_years</f>
        <v/>
      </c>
      <c r="AD218" s="40">
        <f>U218-AB218</f>
        <v/>
      </c>
      <c r="AE218" s="37">
        <f>IF(U218=0,"",AD218/U218)</f>
        <v/>
      </c>
      <c r="AF218" s="38">
        <f>IF(AD218&lt;=0,"",VLOOKUP(B218,country_opex,7,FALSE)/AD218)</f>
        <v/>
      </c>
      <c r="AG218" s="35">
        <f>((D218*P218/diesel_nmpg)*diesel_co2pg-(battery/range_nm)*D218*P218*VLOOKUP(B218,country_opex,4,FALSE))/1000</f>
        <v/>
      </c>
      <c r="AH218" s="33" t="n"/>
      <c r="AI218" s="34" t="n"/>
      <c r="AJ218" s="34" t="n"/>
      <c r="AK218" s="41" t="n">
        <v>0.1</v>
      </c>
      <c r="AL218" s="36">
        <f>IF(AH218="","",AH218*AK218)</f>
        <v/>
      </c>
      <c r="AM218" s="36">
        <f>IF(OR(AH218="",S218=0),"",MIN(IF(AU218="",9.9E+99,AU218),FLOOR(AL218/S218,1)))</f>
        <v/>
      </c>
      <c r="AN218" s="40">
        <f>IF(AM218="","",AM218*IF(ABS(MOD(ABS((U218)),1)-0.5)&lt;1E-9,2*ROUND((U218)/2,0),ROUND((U218),0)))</f>
        <v/>
      </c>
      <c r="AO218" s="38">
        <f>IF(OR(AH218="",S218=0),"",MIN(IF(AU218="",9.9E+99,AU218),AL218/S218))</f>
        <v/>
      </c>
      <c r="AP218" s="40">
        <f>IF(AO218="","",AO218*IF(B218="South Korea",IF(ABS(MOD(ABS((U218)),1)-0.5)&lt;1E-9,2*ROUND((U218)/2,0),ROUND((U218),0)),U218))</f>
        <v/>
      </c>
      <c r="AQ218" s="42" t="n"/>
      <c r="AR218" s="34" t="inlineStr">
        <is>
          <t>Estimated</t>
        </is>
      </c>
      <c r="AS218" s="43" t="n"/>
      <c r="AT218" s="43" t="n"/>
      <c r="AU218" s="44" t="n"/>
      <c r="AV218" s="45">
        <f>IF(((T218*pax_cap*load_thin*IF(ABS(MOD(ABS((L218*M218*revleg_thin)),1)-0.5)&lt;1E-9,2*ROUND((L218*M218*revleg_thin)/2,0),ROUND((L218*M218*revleg_thin),0)))-(((battery/range_nm)*D218*IF(ABS(MOD(ABS((L218*M218*revleg_thin)),1)-0.5)&lt;1E-9,2*ROUND((L218*M218*revleg_thin)/2,0),ROUND((L218*M218*revleg_thin),0))*VLOOKUP(B218,country_opex,3,FALSE))+W218+X218+Y218+Z218+AA218))&lt;=0,"",VLOOKUP(B218,country_opex,7,FALSE)/((T218*pax_cap*load_thin*IF(ABS(MOD(ABS((L218*M218*revleg_thin)),1)-0.5)&lt;1E-9,2*ROUND((L218*M218*revleg_thin)/2,0),ROUND((L218*M218*revleg_thin),0)))-(((battery/range_nm)*D218*IF(ABS(MOD(ABS((L218*M218*revleg_thin)),1)-0.5)&lt;1E-9,2*ROUND((L218*M218*revleg_thin)/2,0),ROUND((L218*M218*revleg_thin),0))*VLOOKUP(B218,country_opex,3,FALSE))+W218+X218+Y218+Z218+AA218)))</f>
        <v/>
      </c>
      <c r="AW218" s="45">
        <f>IF(((T218*pax_cap*IF(B218="South Korea",korea_mid_load,load_mid)*IF(ABS(MOD(ABS((L218*M218*IF(B218="South Korea",korea_mid_revleg,revleg_mid))),1)-0.5)&lt;1E-9,2*ROUND((L218*M218*IF(B218="South Korea",korea_mid_revleg,revleg_mid))/2,0),ROUND((L218*M218*IF(B218="South Korea",korea_mid_revleg,revleg_mid)),0)))-(((battery/range_nm)*D218*IF(ABS(MOD(ABS((L218*M218*IF(B218="South Korea",korea_mid_revleg,revleg_mid))),1)-0.5)&lt;1E-9,2*ROUND((L218*M218*IF(B218="South Korea",korea_mid_revleg,revleg_mid))/2,0),ROUND((L218*M218*IF(B218="South Korea",korea_mid_revleg,revleg_mid)),0))*VLOOKUP(B218,country_opex,3,FALSE))+W218+X218+Y218+Z218+AA218))&lt;=0,"",VLOOKUP(B218,country_opex,7,FALSE)/((T218*pax_cap*IF(B218="South Korea",korea_mid_load,load_mid)*IF(ABS(MOD(ABS((L218*M218*IF(B218="South Korea",korea_mid_revleg,revleg_mid))),1)-0.5)&lt;1E-9,2*ROUND((L218*M218*IF(B218="South Korea",korea_mid_revleg,revleg_mid))/2,0),ROUND((L218*M218*IF(B218="South Korea",korea_mid_revleg,revleg_mid)),0)))-(((battery/range_nm)*D218*IF(ABS(MOD(ABS((L218*M218*IF(B218="South Korea",korea_mid_revleg,revleg_mid))),1)-0.5)&lt;1E-9,2*ROUND((L218*M218*IF(B218="South Korea",korea_mid_revleg,revleg_mid))/2,0),ROUND((L218*M218*IF(B218="South Korea",korea_mid_revleg,revleg_mid)),0))*VLOOKUP(B218,country_opex,3,FALSE))+W218+X218+Y218+Z218+AA218)))</f>
        <v/>
      </c>
      <c r="AX218" s="45">
        <f>IF(((T218*pax_cap*load_full*IF(ABS(MOD(ABS((L218*M218*revleg_full)),1)-0.5)&lt;1E-9,2*ROUND((L218*M218*revleg_full)/2,0),ROUND((L218*M218*revleg_full),0)))-(((battery/range_nm)*D218*IF(ABS(MOD(ABS((L218*M218*revleg_full)),1)-0.5)&lt;1E-9,2*ROUND((L218*M218*revleg_full)/2,0),ROUND((L218*M218*revleg_full),0))*VLOOKUP(B218,country_opex,3,FALSE))+W218+X218+Y218+Z218+AA218))&lt;=0,"",VLOOKUP(B218,country_opex,7,FALSE)/((T218*pax_cap*load_full*IF(ABS(MOD(ABS((L218*M218*revleg_full)),1)-0.5)&lt;1E-9,2*ROUND((L218*M218*revleg_full)/2,0),ROUND((L218*M218*revleg_full),0)))-(((battery/range_nm)*D218*IF(ABS(MOD(ABS((L218*M218*revleg_full)),1)-0.5)&lt;1E-9,2*ROUND((L218*M218*revleg_full)/2,0),ROUND((L218*M218*revleg_full),0))*VLOOKUP(B218,country_opex,3,FALSE))+W218+X218+Y218+Z218+AA218)))</f>
        <v/>
      </c>
      <c r="AY218" s="46" t="n"/>
      <c r="AZ218" s="46" t="n"/>
      <c r="BA218" s="34" t="inlineStr">
        <is>
          <t>gcn-4ae479b872-bolt</t>
        </is>
      </c>
    </row>
    <row r="219">
      <c r="A219" s="31" t="inlineStr">
        <is>
          <t>Bolt Uae</t>
        </is>
      </c>
      <c r="B219" s="31" t="inlineStr">
        <is>
          <t>United Arab Emirates</t>
        </is>
      </c>
      <c r="C219" s="32" t="inlineStr">
        <is>
          <t>Dubai Harbour Marina → Marina Mall / Breakwater Marina</t>
        </is>
      </c>
      <c r="D219" s="33" t="n">
        <v>59.8</v>
      </c>
      <c r="E219" s="27" t="n"/>
      <c r="F219" s="34" t="n"/>
      <c r="G219" s="34" t="n"/>
      <c r="H219" s="20" t="n">
        <v>1</v>
      </c>
      <c r="I219" s="35">
        <f>60*D219/cruise_kt</f>
        <v/>
      </c>
      <c r="J219" s="35">
        <f>IF(B219="South Korea",D219/korea_charge_range_nm*korea_full_range_charge_min,0)</f>
        <v/>
      </c>
      <c r="K219" s="35">
        <f>IF(B219="South Korea",I219+korea_turn_min+korea_dwell_min+J219,I219+turn_min+dwell_min)</f>
        <v/>
      </c>
      <c r="L219" s="36">
        <f>IF(B219="South Korea",FLOOR(60*korea_service_hr/K219,1),MIN(15,FLOOR(60*service_hr/K219,1)))</f>
        <v/>
      </c>
      <c r="M219" s="36">
        <f>IF(ABS(MOD(ABS((365*mech_uptime*H219)),1)-0.5)&lt;1E-9,2*ROUND((365*mech_uptime*H219)/2,0),ROUND((365*mech_uptime*H219),0))</f>
        <v/>
      </c>
      <c r="N219" s="37">
        <f>mech_uptime</f>
        <v/>
      </c>
      <c r="O219" s="37">
        <f>IF(AND(B219="South Korea",scenario="MID"),korea_mid_revleg,revleg_sel)</f>
        <v/>
      </c>
      <c r="P219" s="36">
        <f>IF(ABS(MOD(ABS((L219*M219*O219)),1)-0.5)&lt;1E-9,2*ROUND((L219*M219*O219)/2,0),ROUND((L219*M219*O219),0))</f>
        <v/>
      </c>
      <c r="Q219" s="37">
        <f>IF(AND(B219="South Korea",scenario="MID"),korea_mid_load,load_sel)</f>
        <v/>
      </c>
      <c r="R219" s="38">
        <f>pax_cap*Q219</f>
        <v/>
      </c>
      <c r="S219" s="36">
        <f>R219*P219</f>
        <v/>
      </c>
      <c r="T219" s="39">
        <f>E219*discount</f>
        <v/>
      </c>
      <c r="U219" s="40">
        <f>T219*S219</f>
        <v/>
      </c>
      <c r="V219" s="40">
        <f>(battery/range_nm)*D219*P219*VLOOKUP(B219,country_opex,3,FALSE)</f>
        <v/>
      </c>
      <c r="W219" s="40">
        <f>VLOOKUP(B219,country_opex,2,FALSE)*crew_factor</f>
        <v/>
      </c>
      <c r="X219" s="40">
        <f>VLOOKUP(B219,country_opex,5,FALSE)</f>
        <v/>
      </c>
      <c r="Y219" s="40">
        <f>maint</f>
        <v/>
      </c>
      <c r="Z219" s="40">
        <f>VLOOKUP(B219,country_opex,7,FALSE)*ins_pct</f>
        <v/>
      </c>
      <c r="AA219" s="40">
        <f>charge_berth</f>
        <v/>
      </c>
      <c r="AB219" s="40">
        <f>V219+W219+X219+Y219+Z219+AA219</f>
        <v/>
      </c>
      <c r="AC219" s="40">
        <f>VLOOKUP(B219,country_opex,7,FALSE)/dep_years</f>
        <v/>
      </c>
      <c r="AD219" s="40">
        <f>U219-AB219</f>
        <v/>
      </c>
      <c r="AE219" s="37">
        <f>IF(U219=0,"",AD219/U219)</f>
        <v/>
      </c>
      <c r="AF219" s="38">
        <f>IF(AD219&lt;=0,"",VLOOKUP(B219,country_opex,7,FALSE)/AD219)</f>
        <v/>
      </c>
      <c r="AG219" s="35">
        <f>((D219*P219/diesel_nmpg)*diesel_co2pg-(battery/range_nm)*D219*P219*VLOOKUP(B219,country_opex,4,FALSE))/1000</f>
        <v/>
      </c>
      <c r="AH219" s="33" t="n"/>
      <c r="AI219" s="34" t="n"/>
      <c r="AJ219" s="34" t="n"/>
      <c r="AK219" s="41" t="n">
        <v>0.1</v>
      </c>
      <c r="AL219" s="36">
        <f>IF(AH219="","",AH219*AK219)</f>
        <v/>
      </c>
      <c r="AM219" s="36">
        <f>IF(OR(AH219="",S219=0),"",MIN(IF(AU219="",9.9E+99,AU219),FLOOR(AL219/S219,1)))</f>
        <v/>
      </c>
      <c r="AN219" s="40">
        <f>IF(AM219="","",AM219*IF(ABS(MOD(ABS((U219)),1)-0.5)&lt;1E-9,2*ROUND((U219)/2,0),ROUND((U219),0)))</f>
        <v/>
      </c>
      <c r="AO219" s="38">
        <f>IF(OR(AH219="",S219=0),"",MIN(IF(AU219="",9.9E+99,AU219),AL219/S219))</f>
        <v/>
      </c>
      <c r="AP219" s="40">
        <f>IF(AO219="","",AO219*IF(B219="South Korea",IF(ABS(MOD(ABS((U219)),1)-0.5)&lt;1E-9,2*ROUND((U219)/2,0),ROUND((U219),0)),U219))</f>
        <v/>
      </c>
      <c r="AQ219" s="42" t="n"/>
      <c r="AR219" s="34" t="inlineStr">
        <is>
          <t>Grounded</t>
        </is>
      </c>
      <c r="AS219" s="43" t="n"/>
      <c r="AT219" s="43" t="n"/>
      <c r="AU219" s="44" t="n"/>
      <c r="AV219" s="45">
        <f>IF(((T219*pax_cap*load_thin*IF(ABS(MOD(ABS((L219*M219*revleg_thin)),1)-0.5)&lt;1E-9,2*ROUND((L219*M219*revleg_thin)/2,0),ROUND((L219*M219*revleg_thin),0)))-(((battery/range_nm)*D219*IF(ABS(MOD(ABS((L219*M219*revleg_thin)),1)-0.5)&lt;1E-9,2*ROUND((L219*M219*revleg_thin)/2,0),ROUND((L219*M219*revleg_thin),0))*VLOOKUP(B219,country_opex,3,FALSE))+W219+X219+Y219+Z219+AA219))&lt;=0,"",VLOOKUP(B219,country_opex,7,FALSE)/((T219*pax_cap*load_thin*IF(ABS(MOD(ABS((L219*M219*revleg_thin)),1)-0.5)&lt;1E-9,2*ROUND((L219*M219*revleg_thin)/2,0),ROUND((L219*M219*revleg_thin),0)))-(((battery/range_nm)*D219*IF(ABS(MOD(ABS((L219*M219*revleg_thin)),1)-0.5)&lt;1E-9,2*ROUND((L219*M219*revleg_thin)/2,0),ROUND((L219*M219*revleg_thin),0))*VLOOKUP(B219,country_opex,3,FALSE))+W219+X219+Y219+Z219+AA219)))</f>
        <v/>
      </c>
      <c r="AW219" s="45">
        <f>IF(((T219*pax_cap*IF(B219="South Korea",korea_mid_load,load_mid)*IF(ABS(MOD(ABS((L219*M219*IF(B219="South Korea",korea_mid_revleg,revleg_mid))),1)-0.5)&lt;1E-9,2*ROUND((L219*M219*IF(B219="South Korea",korea_mid_revleg,revleg_mid))/2,0),ROUND((L219*M219*IF(B219="South Korea",korea_mid_revleg,revleg_mid)),0)))-(((battery/range_nm)*D219*IF(ABS(MOD(ABS((L219*M219*IF(B219="South Korea",korea_mid_revleg,revleg_mid))),1)-0.5)&lt;1E-9,2*ROUND((L219*M219*IF(B219="South Korea",korea_mid_revleg,revleg_mid))/2,0),ROUND((L219*M219*IF(B219="South Korea",korea_mid_revleg,revleg_mid)),0))*VLOOKUP(B219,country_opex,3,FALSE))+W219+X219+Y219+Z219+AA219))&lt;=0,"",VLOOKUP(B219,country_opex,7,FALSE)/((T219*pax_cap*IF(B219="South Korea",korea_mid_load,load_mid)*IF(ABS(MOD(ABS((L219*M219*IF(B219="South Korea",korea_mid_revleg,revleg_mid))),1)-0.5)&lt;1E-9,2*ROUND((L219*M219*IF(B219="South Korea",korea_mid_revleg,revleg_mid))/2,0),ROUND((L219*M219*IF(B219="South Korea",korea_mid_revleg,revleg_mid)),0)))-(((battery/range_nm)*D219*IF(ABS(MOD(ABS((L219*M219*IF(B219="South Korea",korea_mid_revleg,revleg_mid))),1)-0.5)&lt;1E-9,2*ROUND((L219*M219*IF(B219="South Korea",korea_mid_revleg,revleg_mid))/2,0),ROUND((L219*M219*IF(B219="South Korea",korea_mid_revleg,revleg_mid)),0))*VLOOKUP(B219,country_opex,3,FALSE))+W219+X219+Y219+Z219+AA219)))</f>
        <v/>
      </c>
      <c r="AX219" s="45">
        <f>IF(((T219*pax_cap*load_full*IF(ABS(MOD(ABS((L219*M219*revleg_full)),1)-0.5)&lt;1E-9,2*ROUND((L219*M219*revleg_full)/2,0),ROUND((L219*M219*revleg_full),0)))-(((battery/range_nm)*D219*IF(ABS(MOD(ABS((L219*M219*revleg_full)),1)-0.5)&lt;1E-9,2*ROUND((L219*M219*revleg_full)/2,0),ROUND((L219*M219*revleg_full),0))*VLOOKUP(B219,country_opex,3,FALSE))+W219+X219+Y219+Z219+AA219))&lt;=0,"",VLOOKUP(B219,country_opex,7,FALSE)/((T219*pax_cap*load_full*IF(ABS(MOD(ABS((L219*M219*revleg_full)),1)-0.5)&lt;1E-9,2*ROUND((L219*M219*revleg_full)/2,0),ROUND((L219*M219*revleg_full),0)))-(((battery/range_nm)*D219*IF(ABS(MOD(ABS((L219*M219*revleg_full)),1)-0.5)&lt;1E-9,2*ROUND((L219*M219*revleg_full)/2,0),ROUND((L219*M219*revleg_full),0))*VLOOKUP(B219,country_opex,3,FALSE))+W219+X219+Y219+Z219+AA219)))</f>
        <v/>
      </c>
      <c r="AY219" s="46" t="n"/>
      <c r="AZ219" s="46" t="n"/>
      <c r="BA219" s="34" t="inlineStr">
        <is>
          <t>rn-a5ac4f587aee</t>
        </is>
      </c>
    </row>
    <row r="220">
      <c r="A220" s="31" t="inlineStr">
        <is>
          <t>Bolt Uae</t>
        </is>
      </c>
      <c r="B220" s="31" t="inlineStr">
        <is>
          <t>United Arab Emirates</t>
        </is>
      </c>
      <c r="C220" s="32" t="inlineStr">
        <is>
          <t>Dubai Harbour Marina → Marina Mall / Breakwater Marina</t>
        </is>
      </c>
      <c r="D220" s="33" t="n">
        <v>59.8</v>
      </c>
      <c r="E220" s="27" t="n">
        <v>110</v>
      </c>
      <c r="F220" s="34" t="inlineStr">
        <is>
          <t>T5</t>
        </is>
      </c>
      <c r="G220" s="34" t="inlineStr">
        <is>
          <t>low</t>
        </is>
      </c>
      <c r="H220" s="20" t="n">
        <v>1</v>
      </c>
      <c r="I220" s="35">
        <f>60*D220/cruise_kt</f>
        <v/>
      </c>
      <c r="J220" s="35">
        <f>IF(B220="South Korea",D220/korea_charge_range_nm*korea_full_range_charge_min,0)</f>
        <v/>
      </c>
      <c r="K220" s="35">
        <f>IF(B220="South Korea",I220+korea_turn_min+korea_dwell_min+J220,I220+turn_min+dwell_min)</f>
        <v/>
      </c>
      <c r="L220" s="36">
        <f>IF(B220="South Korea",FLOOR(60*korea_service_hr/K220,1),MIN(15,FLOOR(60*service_hr/K220,1)))</f>
        <v/>
      </c>
      <c r="M220" s="36">
        <f>IF(ABS(MOD(ABS((365*mech_uptime*H220)),1)-0.5)&lt;1E-9,2*ROUND((365*mech_uptime*H220)/2,0),ROUND((365*mech_uptime*H220),0))</f>
        <v/>
      </c>
      <c r="N220" s="37">
        <f>mech_uptime</f>
        <v/>
      </c>
      <c r="O220" s="37">
        <f>IF(AND(B220="South Korea",scenario="MID"),korea_mid_revleg,revleg_sel)</f>
        <v/>
      </c>
      <c r="P220" s="36">
        <f>IF(ABS(MOD(ABS((L220*M220*O220)),1)-0.5)&lt;1E-9,2*ROUND((L220*M220*O220)/2,0),ROUND((L220*M220*O220),0))</f>
        <v/>
      </c>
      <c r="Q220" s="37">
        <f>IF(AND(B220="South Korea",scenario="MID"),korea_mid_load,load_sel)</f>
        <v/>
      </c>
      <c r="R220" s="38">
        <f>pax_cap*Q220</f>
        <v/>
      </c>
      <c r="S220" s="36">
        <f>R220*P220</f>
        <v/>
      </c>
      <c r="T220" s="39">
        <f>E220*discount</f>
        <v/>
      </c>
      <c r="U220" s="40">
        <f>T220*S220</f>
        <v/>
      </c>
      <c r="V220" s="40">
        <f>(battery/range_nm)*D220*P220*VLOOKUP(B220,country_opex,3,FALSE)</f>
        <v/>
      </c>
      <c r="W220" s="40">
        <f>VLOOKUP(B220,country_opex,2,FALSE)*crew_factor</f>
        <v/>
      </c>
      <c r="X220" s="40">
        <f>VLOOKUP(B220,country_opex,5,FALSE)</f>
        <v/>
      </c>
      <c r="Y220" s="40">
        <f>maint</f>
        <v/>
      </c>
      <c r="Z220" s="40">
        <f>VLOOKUP(B220,country_opex,7,FALSE)*ins_pct</f>
        <v/>
      </c>
      <c r="AA220" s="40">
        <f>charge_berth</f>
        <v/>
      </c>
      <c r="AB220" s="40">
        <f>V220+W220+X220+Y220+Z220+AA220</f>
        <v/>
      </c>
      <c r="AC220" s="40">
        <f>VLOOKUP(B220,country_opex,7,FALSE)/dep_years</f>
        <v/>
      </c>
      <c r="AD220" s="40">
        <f>U220-AB220</f>
        <v/>
      </c>
      <c r="AE220" s="37">
        <f>IF(U220=0,"",AD220/U220)</f>
        <v/>
      </c>
      <c r="AF220" s="38">
        <f>IF(AD220&lt;=0,"",VLOOKUP(B220,country_opex,7,FALSE)/AD220)</f>
        <v/>
      </c>
      <c r="AG220" s="35">
        <f>((D220*P220/diesel_nmpg)*diesel_co2pg-(battery/range_nm)*D220*P220*VLOOKUP(B220,country_opex,4,FALSE))/1000</f>
        <v/>
      </c>
      <c r="AH220" s="33" t="n">
        <v>25000</v>
      </c>
      <c r="AI220" s="34" t="inlineStr">
        <is>
          <t>T2</t>
        </is>
      </c>
      <c r="AJ220" s="34" t="inlineStr">
        <is>
          <t>low</t>
        </is>
      </c>
      <c r="AK220" s="41" t="n">
        <v>0.1</v>
      </c>
      <c r="AL220" s="36">
        <f>IF(AH220="","",AH220*AK220)</f>
        <v/>
      </c>
      <c r="AM220" s="36">
        <f>IF(OR(AH220="",S220=0),"",MIN(IF(AU220="",9.9E+99,AU220),FLOOR(AL220/S220,1)))</f>
        <v/>
      </c>
      <c r="AN220" s="40">
        <f>IF(AM220="","",AM220*IF(ABS(MOD(ABS((U220)),1)-0.5)&lt;1E-9,2*ROUND((U220)/2,0),ROUND((U220),0)))</f>
        <v/>
      </c>
      <c r="AO220" s="38">
        <f>IF(OR(AH220="",S220=0),"",MIN(IF(AU220="",9.9E+99,AU220),AL220/S220))</f>
        <v/>
      </c>
      <c r="AP220" s="40">
        <f>IF(AO220="","",AO220*IF(B220="South Korea",IF(ABS(MOD(ABS((U220)),1)-0.5)&lt;1E-9,2*ROUND((U220)/2,0),ROUND((U220),0)),U220))</f>
        <v/>
      </c>
      <c r="AQ220" s="42" t="n"/>
      <c r="AR220" s="34" t="inlineStr">
        <is>
          <t>Grounded</t>
        </is>
      </c>
      <c r="AS220" s="43" t="n"/>
      <c r="AT220" s="43" t="n"/>
      <c r="AU220" s="44" t="n"/>
      <c r="AV220" s="45">
        <f>IF(((T220*pax_cap*load_thin*IF(ABS(MOD(ABS((L220*M220*revleg_thin)),1)-0.5)&lt;1E-9,2*ROUND((L220*M220*revleg_thin)/2,0),ROUND((L220*M220*revleg_thin),0)))-(((battery/range_nm)*D220*IF(ABS(MOD(ABS((L220*M220*revleg_thin)),1)-0.5)&lt;1E-9,2*ROUND((L220*M220*revleg_thin)/2,0),ROUND((L220*M220*revleg_thin),0))*VLOOKUP(B220,country_opex,3,FALSE))+W220+X220+Y220+Z220+AA220))&lt;=0,"",VLOOKUP(B220,country_opex,7,FALSE)/((T220*pax_cap*load_thin*IF(ABS(MOD(ABS((L220*M220*revleg_thin)),1)-0.5)&lt;1E-9,2*ROUND((L220*M220*revleg_thin)/2,0),ROUND((L220*M220*revleg_thin),0)))-(((battery/range_nm)*D220*IF(ABS(MOD(ABS((L220*M220*revleg_thin)),1)-0.5)&lt;1E-9,2*ROUND((L220*M220*revleg_thin)/2,0),ROUND((L220*M220*revleg_thin),0))*VLOOKUP(B220,country_opex,3,FALSE))+W220+X220+Y220+Z220+AA220)))</f>
        <v/>
      </c>
      <c r="AW220" s="45">
        <f>IF(((T220*pax_cap*IF(B220="South Korea",korea_mid_load,load_mid)*IF(ABS(MOD(ABS((L220*M220*IF(B220="South Korea",korea_mid_revleg,revleg_mid))),1)-0.5)&lt;1E-9,2*ROUND((L220*M220*IF(B220="South Korea",korea_mid_revleg,revleg_mid))/2,0),ROUND((L220*M220*IF(B220="South Korea",korea_mid_revleg,revleg_mid)),0)))-(((battery/range_nm)*D220*IF(ABS(MOD(ABS((L220*M220*IF(B220="South Korea",korea_mid_revleg,revleg_mid))),1)-0.5)&lt;1E-9,2*ROUND((L220*M220*IF(B220="South Korea",korea_mid_revleg,revleg_mid))/2,0),ROUND((L220*M220*IF(B220="South Korea",korea_mid_revleg,revleg_mid)),0))*VLOOKUP(B220,country_opex,3,FALSE))+W220+X220+Y220+Z220+AA220))&lt;=0,"",VLOOKUP(B220,country_opex,7,FALSE)/((T220*pax_cap*IF(B220="South Korea",korea_mid_load,load_mid)*IF(ABS(MOD(ABS((L220*M220*IF(B220="South Korea",korea_mid_revleg,revleg_mid))),1)-0.5)&lt;1E-9,2*ROUND((L220*M220*IF(B220="South Korea",korea_mid_revleg,revleg_mid))/2,0),ROUND((L220*M220*IF(B220="South Korea",korea_mid_revleg,revleg_mid)),0)))-(((battery/range_nm)*D220*IF(ABS(MOD(ABS((L220*M220*IF(B220="South Korea",korea_mid_revleg,revleg_mid))),1)-0.5)&lt;1E-9,2*ROUND((L220*M220*IF(B220="South Korea",korea_mid_revleg,revleg_mid))/2,0),ROUND((L220*M220*IF(B220="South Korea",korea_mid_revleg,revleg_mid)),0))*VLOOKUP(B220,country_opex,3,FALSE))+W220+X220+Y220+Z220+AA220)))</f>
        <v/>
      </c>
      <c r="AX220" s="45">
        <f>IF(((T220*pax_cap*load_full*IF(ABS(MOD(ABS((L220*M220*revleg_full)),1)-0.5)&lt;1E-9,2*ROUND((L220*M220*revleg_full)/2,0),ROUND((L220*M220*revleg_full),0)))-(((battery/range_nm)*D220*IF(ABS(MOD(ABS((L220*M220*revleg_full)),1)-0.5)&lt;1E-9,2*ROUND((L220*M220*revleg_full)/2,0),ROUND((L220*M220*revleg_full),0))*VLOOKUP(B220,country_opex,3,FALSE))+W220+X220+Y220+Z220+AA220))&lt;=0,"",VLOOKUP(B220,country_opex,7,FALSE)/((T220*pax_cap*load_full*IF(ABS(MOD(ABS((L220*M220*revleg_full)),1)-0.5)&lt;1E-9,2*ROUND((L220*M220*revleg_full)/2,0),ROUND((L220*M220*revleg_full),0)))-(((battery/range_nm)*D220*IF(ABS(MOD(ABS((L220*M220*revleg_full)),1)-0.5)&lt;1E-9,2*ROUND((L220*M220*revleg_full)/2,0),ROUND((L220*M220*revleg_full),0))*VLOOKUP(B220,country_opex,3,FALSE))+W220+X220+Y220+Z220+AA220)))</f>
        <v/>
      </c>
      <c r="AY220" s="46" t="inlineStr">
        <is>
          <t>No Dubai&lt;-&gt;AD ferry. Whole-yacht charter AED 4,500/hr (8-pax ~$95-150/seat); limo AED 250-350. T5/low - opportunity-to-create.</t>
        </is>
      </c>
      <c r="AZ220" s="46" t="inlineStr">
        <is>
          <t>UAE-DEMAND-ANCHORS-2026-06-17.json — sourcing wave: RTA Marine 18M riders 2024; DET 43M room-nights; DCT AD 4.8M hotel visitors; RAKTDA 4.35M guest-nights; Miral Yas 38M visits; Marjan/Skift Wynn projections; SCTDA Sharjah 1.6M.</t>
        </is>
      </c>
      <c r="BA220" s="34" t="inlineStr">
        <is>
          <t>gcn-4ae479b872-bolt</t>
        </is>
      </c>
    </row>
    <row r="221">
      <c r="A221" s="47" t="inlineStr">
        <is>
          <t>TOTAL / median</t>
        </is>
      </c>
      <c r="U221" s="48">
        <f>SUM(U4:U220)</f>
        <v/>
      </c>
      <c r="AD221" s="48">
        <f>SUM(AD4:AD220)</f>
        <v/>
      </c>
      <c r="AE221" s="49">
        <f>IF(U221=0,"",AD221/U221)</f>
        <v/>
      </c>
      <c r="AM221" s="50">
        <f>SUM(AM4:AM220)</f>
        <v/>
      </c>
      <c r="AN221" s="48">
        <f>SUM(AN4:AN220)</f>
        <v/>
      </c>
    </row>
    <row r="223">
      <c r="A223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224">
      <c r="A224" s="25" t="inlineStr">
        <is>
          <t>Market</t>
        </is>
      </c>
      <c r="B224" s="25" t="inlineStr">
        <is>
          <t>Fleet basis</t>
        </is>
      </c>
      <c r="C224" s="25" t="inlineStr">
        <is>
          <t>Raw vessels (sum)</t>
        </is>
      </c>
      <c r="D224" s="25" t="inlineStr">
        <is>
          <t>Fleet (rounded once)</t>
        </is>
      </c>
      <c r="E224" s="25" t="inlineStr">
        <is>
          <t>Market rev/yr (raw sum)</t>
        </is>
      </c>
    </row>
    <row r="225">
      <c r="A225" s="26" t="inlineStr">
        <is>
          <t>Bolt Croatia</t>
        </is>
      </c>
      <c r="B225" s="14" t="inlineStr">
        <is>
          <t>grounded</t>
        </is>
      </c>
      <c r="C225" s="14" t="inlineStr">
        <is>
          <t>—</t>
        </is>
      </c>
      <c r="D225" s="51">
        <f>SUMIFS(AM4:AM220,A4:A220,"Bolt Croatia",AQ4:AQ220,"=",AR4:AR220,"Grounded")</f>
        <v/>
      </c>
      <c r="E225" s="52">
        <f>SUMIFS(AN4:AN220,A4:A220,"Bolt Croatia",AQ4:AQ220,"=",AR4:AR220,"Grounded")</f>
        <v/>
      </c>
    </row>
    <row r="226">
      <c r="A226" s="26" t="inlineStr">
        <is>
          <t>Bolt Cyprus</t>
        </is>
      </c>
      <c r="B226" s="14" t="inlineStr">
        <is>
          <t>aspirational</t>
        </is>
      </c>
      <c r="C226" s="14" t="inlineStr">
        <is>
          <t>—</t>
        </is>
      </c>
      <c r="D226" s="51">
        <f>SUMIFS(AM4:AM220,A4:A220,"Bolt Cyprus",AQ4:AQ220,"=",AR4:AR220,"Grounded")</f>
        <v/>
      </c>
      <c r="E226" s="52">
        <f>SUMIFS(AN4:AN220,A4:A220,"Bolt Cyprus",AQ4:AQ220,"=",AR4:AR220,"Grounded")</f>
        <v/>
      </c>
    </row>
    <row r="227">
      <c r="A227" s="26" t="inlineStr">
        <is>
          <t>Bolt Egypt</t>
        </is>
      </c>
      <c r="B227" s="14" t="inlineStr">
        <is>
          <t>aspirational</t>
        </is>
      </c>
      <c r="C227" s="14" t="inlineStr">
        <is>
          <t>—</t>
        </is>
      </c>
      <c r="D227" s="51">
        <f>SUMIFS(AM4:AM220,A4:A220,"Bolt Egypt",AQ4:AQ220,"=",AR4:AR220,"Grounded")</f>
        <v/>
      </c>
      <c r="E227" s="52">
        <f>SUMIFS(AN4:AN220,A4:A220,"Bolt Egypt",AQ4:AQ220,"=",AR4:AR220,"Grounded")</f>
        <v/>
      </c>
    </row>
    <row r="228">
      <c r="A228" s="26" t="inlineStr">
        <is>
          <t>Bolt Estonia</t>
        </is>
      </c>
      <c r="B228" s="14" t="inlineStr">
        <is>
          <t>aspirational</t>
        </is>
      </c>
      <c r="C228" s="14" t="inlineStr">
        <is>
          <t>—</t>
        </is>
      </c>
      <c r="D228" s="51">
        <f>SUMIFS(AM4:AM220,A4:A220,"Bolt Estonia",AQ4:AQ220,"=",AR4:AR220,"Grounded")</f>
        <v/>
      </c>
      <c r="E228" s="52">
        <f>SUMIFS(AN4:AN220,A4:A220,"Bolt Estonia",AQ4:AQ220,"=",AR4:AR220,"Grounded")</f>
        <v/>
      </c>
    </row>
    <row r="229">
      <c r="A229" s="26" t="inlineStr">
        <is>
          <t>Bolt Finland</t>
        </is>
      </c>
      <c r="B229" s="14" t="inlineStr">
        <is>
          <t>aspirational</t>
        </is>
      </c>
      <c r="C229" s="14" t="inlineStr">
        <is>
          <t>—</t>
        </is>
      </c>
      <c r="D229" s="51">
        <f>SUMIFS(AM4:AM220,A4:A220,"Bolt Finland",AQ4:AQ220,"=",AR4:AR220,"Grounded")</f>
        <v/>
      </c>
      <c r="E229" s="52">
        <f>SUMIFS(AN4:AN220,A4:A220,"Bolt Finland",AQ4:AQ220,"=",AR4:AR220,"Grounded")</f>
        <v/>
      </c>
    </row>
    <row r="230">
      <c r="A230" s="26" t="inlineStr">
        <is>
          <t>Bolt France Riviera</t>
        </is>
      </c>
      <c r="B230" s="14" t="inlineStr">
        <is>
          <t>grounded</t>
        </is>
      </c>
      <c r="C230" s="14" t="inlineStr">
        <is>
          <t>—</t>
        </is>
      </c>
      <c r="D230" s="51">
        <f>SUMIFS(AM4:AM220,A4:A220,"Bolt France Riviera",AQ4:AQ220,"=",AR4:AR220,"Grounded")</f>
        <v/>
      </c>
      <c r="E230" s="52">
        <f>SUMIFS(AN4:AN220,A4:A220,"Bolt France Riviera",AQ4:AQ220,"=",AR4:AR220,"Grounded")</f>
        <v/>
      </c>
    </row>
    <row r="231">
      <c r="A231" s="26" t="inlineStr">
        <is>
          <t>Bolt Greece</t>
        </is>
      </c>
      <c r="B231" s="14" t="inlineStr">
        <is>
          <t>grounded</t>
        </is>
      </c>
      <c r="C231" s="14" t="inlineStr">
        <is>
          <t>—</t>
        </is>
      </c>
      <c r="D231" s="51">
        <f>SUMIFS(AM4:AM220,A4:A220,"Bolt Greece",AQ4:AQ220,"=",AR4:AR220,"Grounded")</f>
        <v/>
      </c>
      <c r="E231" s="52">
        <f>SUMIFS(AN4:AN220,A4:A220,"Bolt Greece",AQ4:AQ220,"=",AR4:AR220,"Grounded")</f>
        <v/>
      </c>
    </row>
    <row r="232">
      <c r="A232" s="26" t="inlineStr">
        <is>
          <t>Bolt Ireland</t>
        </is>
      </c>
      <c r="B232" s="14" t="inlineStr">
        <is>
          <t>aspirational</t>
        </is>
      </c>
      <c r="C232" s="14" t="inlineStr">
        <is>
          <t>—</t>
        </is>
      </c>
      <c r="D232" s="51">
        <f>SUMIFS(AM4:AM220,A4:A220,"Bolt Ireland",AQ4:AQ220,"=",AR4:AR220,"Grounded")</f>
        <v/>
      </c>
      <c r="E232" s="52">
        <f>SUMIFS(AN4:AN220,A4:A220,"Bolt Ireland",AQ4:AQ220,"=",AR4:AR220,"Grounded")</f>
        <v/>
      </c>
    </row>
    <row r="233">
      <c r="A233" s="26" t="inlineStr">
        <is>
          <t>Bolt Israel</t>
        </is>
      </c>
      <c r="B233" s="14" t="inlineStr">
        <is>
          <t>aspirational</t>
        </is>
      </c>
      <c r="C233" s="14" t="inlineStr">
        <is>
          <t>—</t>
        </is>
      </c>
      <c r="D233" s="51">
        <f>SUMIFS(AM4:AM220,A4:A220,"Bolt Israel",AQ4:AQ220,"=",AR4:AR220,"Grounded")</f>
        <v/>
      </c>
      <c r="E233" s="52">
        <f>SUMIFS(AN4:AN220,A4:A220,"Bolt Israel",AQ4:AQ220,"=",AR4:AR220,"Grounded")</f>
        <v/>
      </c>
    </row>
    <row r="234">
      <c r="A234" s="26" t="inlineStr">
        <is>
          <t>Bolt Italy</t>
        </is>
      </c>
      <c r="B234" s="14" t="inlineStr">
        <is>
          <t>grounded</t>
        </is>
      </c>
      <c r="C234" s="14" t="inlineStr">
        <is>
          <t>—</t>
        </is>
      </c>
      <c r="D234" s="51">
        <f>SUMIFS(AM4:AM220,A4:A220,"Bolt Italy",AQ4:AQ220,"=",AR4:AR220,"Grounded")</f>
        <v/>
      </c>
      <c r="E234" s="52">
        <f>SUMIFS(AN4:AN220,A4:A220,"Bolt Italy",AQ4:AQ220,"=",AR4:AR220,"Grounded")</f>
        <v/>
      </c>
    </row>
    <row r="235">
      <c r="A235" s="26" t="inlineStr">
        <is>
          <t>Bolt Lebanon</t>
        </is>
      </c>
      <c r="B235" s="14" t="inlineStr">
        <is>
          <t>aspirational</t>
        </is>
      </c>
      <c r="C235" s="14" t="inlineStr">
        <is>
          <t>—</t>
        </is>
      </c>
      <c r="D235" s="51">
        <f>SUMIFS(AM4:AM220,A4:A220,"Bolt Lebanon",AQ4:AQ220,"=",AR4:AR220,"Grounded")</f>
        <v/>
      </c>
      <c r="E235" s="52">
        <f>SUMIFS(AN4:AN220,A4:A220,"Bolt Lebanon",AQ4:AQ220,"=",AR4:AR220,"Grounded")</f>
        <v/>
      </c>
    </row>
    <row r="236">
      <c r="A236" s="26" t="inlineStr">
        <is>
          <t>Bolt Portugal</t>
        </is>
      </c>
      <c r="B236" s="14" t="inlineStr">
        <is>
          <t>grounded</t>
        </is>
      </c>
      <c r="C236" s="14" t="inlineStr">
        <is>
          <t>—</t>
        </is>
      </c>
      <c r="D236" s="51">
        <f>SUMIFS(AM4:AM220,A4:A220,"Bolt Portugal",AQ4:AQ220,"=",AR4:AR220,"Grounded")</f>
        <v/>
      </c>
      <c r="E236" s="52">
        <f>SUMIFS(AN4:AN220,A4:A220,"Bolt Portugal",AQ4:AQ220,"=",AR4:AR220,"Grounded")</f>
        <v/>
      </c>
    </row>
    <row r="237">
      <c r="A237" s="26" t="inlineStr">
        <is>
          <t>Bolt Qatar</t>
        </is>
      </c>
      <c r="B237" s="14" t="inlineStr">
        <is>
          <t>grounded</t>
        </is>
      </c>
      <c r="C237" s="14" t="inlineStr">
        <is>
          <t>—</t>
        </is>
      </c>
      <c r="D237" s="51">
        <f>SUMIFS(AM4:AM220,A4:A220,"Bolt Qatar",AQ4:AQ220,"=",AR4:AR220,"Grounded")</f>
        <v/>
      </c>
      <c r="E237" s="52">
        <f>SUMIFS(AN4:AN220,A4:A220,"Bolt Qatar",AQ4:AQ220,"=",AR4:AR220,"Grounded")</f>
        <v/>
      </c>
    </row>
    <row r="238">
      <c r="A238" s="26" t="inlineStr">
        <is>
          <t>Bolt Romania</t>
        </is>
      </c>
      <c r="B238" s="14" t="inlineStr">
        <is>
          <t>aspirational</t>
        </is>
      </c>
      <c r="C238" s="14" t="inlineStr">
        <is>
          <t>—</t>
        </is>
      </c>
      <c r="D238" s="51">
        <f>SUMIFS(AM4:AM220,A4:A220,"Bolt Romania",AQ4:AQ220,"=",AR4:AR220,"Grounded")</f>
        <v/>
      </c>
      <c r="E238" s="52">
        <f>SUMIFS(AN4:AN220,A4:A220,"Bolt Romania",AQ4:AQ220,"=",AR4:AR220,"Grounded")</f>
        <v/>
      </c>
    </row>
    <row r="239">
      <c r="A239" s="26" t="inlineStr">
        <is>
          <t>Bolt Ksa Commercial</t>
        </is>
      </c>
      <c r="B239" s="14" t="inlineStr">
        <is>
          <t>grounded</t>
        </is>
      </c>
      <c r="C239" s="14" t="inlineStr">
        <is>
          <t>—</t>
        </is>
      </c>
      <c r="D239" s="51">
        <f>SUMIFS(AM4:AM220,A4:A220,"Bolt Ksa Commercial",AQ4:AQ220,"=",AR4:AR220,"Grounded")</f>
        <v/>
      </c>
      <c r="E239" s="52">
        <f>SUMIFS(AN4:AN220,A4:A220,"Bolt Ksa Commercial",AQ4:AQ220,"=",AR4:AR220,"Grounded")</f>
        <v/>
      </c>
    </row>
    <row r="240">
      <c r="A240" s="26" t="inlineStr">
        <is>
          <t>Bolt Spain</t>
        </is>
      </c>
      <c r="B240" s="14" t="inlineStr">
        <is>
          <t>aspirational</t>
        </is>
      </c>
      <c r="C240" s="14" t="inlineStr">
        <is>
          <t>—</t>
        </is>
      </c>
      <c r="D240" s="51">
        <f>SUMIFS(AM4:AM220,A4:A220,"Bolt Spain",AQ4:AQ220,"=",AR4:AR220,"Grounded")</f>
        <v/>
      </c>
      <c r="E240" s="52">
        <f>SUMIFS(AN4:AN220,A4:A220,"Bolt Spain",AQ4:AQ220,"=",AR4:AR220,"Grounded")</f>
        <v/>
      </c>
    </row>
    <row r="241">
      <c r="A241" s="26" t="inlineStr">
        <is>
          <t>Bolt Sweden</t>
        </is>
      </c>
      <c r="B241" s="14" t="inlineStr">
        <is>
          <t>aspirational</t>
        </is>
      </c>
      <c r="C241" s="14" t="inlineStr">
        <is>
          <t>—</t>
        </is>
      </c>
      <c r="D241" s="51">
        <f>SUMIFS(AM4:AM220,A4:A220,"Bolt Sweden",AQ4:AQ220,"=",AR4:AR220,"Grounded")</f>
        <v/>
      </c>
      <c r="E241" s="52">
        <f>SUMIFS(AN4:AN220,A4:A220,"Bolt Sweden",AQ4:AQ220,"=",AR4:AR220,"Grounded")</f>
        <v/>
      </c>
    </row>
    <row r="242">
      <c r="A242" s="26" t="inlineStr">
        <is>
          <t>Bolt Uae</t>
        </is>
      </c>
      <c r="B242" s="14" t="inlineStr">
        <is>
          <t>grounded</t>
        </is>
      </c>
      <c r="C242" s="14" t="inlineStr">
        <is>
          <t>—</t>
        </is>
      </c>
      <c r="D242" s="51">
        <f>SUMIFS(AM4:AM220,A4:A220,"Bolt Uae",AQ4:AQ220,"=",AR4:AR220,"Grounded")</f>
        <v/>
      </c>
      <c r="E242" s="52">
        <f>SUMIFS(AN4:AN220,A4:A220,"Bolt Uae",AQ4:AQ220,"=",AR4:AR220,"Grounded")</f>
        <v/>
      </c>
    </row>
    <row r="243">
      <c r="A243" s="47" t="inlineStr">
        <is>
          <t>GROUNDED FLOOR (PUBLISHED)</t>
        </is>
      </c>
      <c r="D243" s="50">
        <f>SUM(D225:D242)</f>
        <v/>
      </c>
      <c r="E243" s="48">
        <f>SUM(E225:E242)</f>
        <v/>
      </c>
    </row>
    <row r="244">
      <c r="A244" s="21" t="inlineStr">
        <is>
          <t>ESTIMATED DEMAND (country-median cascade; held OUT of grounded floor)</t>
        </is>
      </c>
      <c r="D244" s="53">
        <f>SUMIF(AR4:AR220,"Estimated",AM4:AM220)</f>
        <v/>
      </c>
      <c r="E244" s="54">
        <f>SUMIF(AR4:AR220,"Estimated",AN4:AN220)</f>
        <v/>
      </c>
    </row>
    <row r="245">
      <c r="A245" s="21" t="inlineStr">
        <is>
          <t>ESTIMATED UPSIDE (LB-99 modal-shift / experience-upside tiers; held OUT of grounded floor)</t>
        </is>
      </c>
      <c r="D245" s="53">
        <f>SUMIF(AR4:AR220,"Upside tier",AM4:AM220)</f>
        <v/>
      </c>
      <c r="E245" s="54">
        <f>SUMIF(AR4:AR220,"Upside tier",AN4:AN220)</f>
        <v/>
      </c>
    </row>
    <row r="246">
      <c r="A246" s="21" t="inlineStr">
        <is>
          <t>FORWARD SAM (2030-dated; held OUT of grounded floor)</t>
        </is>
      </c>
      <c r="D246" s="53">
        <f>SUMIF(AR4:AR220,"Forward SAM",AM4:AM220)</f>
        <v/>
      </c>
      <c r="E246" s="54">
        <f>SUMIF(AR4:AR220,"Forward SAM",AN4:AN220)</f>
        <v/>
      </c>
    </row>
    <row r="248">
      <c r="A248" s="55" t="inlineStr">
        <is>
          <t>Held for Quanta-LR (&gt;70nm, roadmap H2 2026+):</t>
        </is>
      </c>
      <c r="C248" s="56" t="inlineStr">
        <is>
          <t>Mykonos → Santorini (Thira) (75nm)</t>
        </is>
      </c>
    </row>
    <row r="249">
      <c r="C249" s="56" t="inlineStr">
        <is>
          <t>Monaco → Portofino (85.0nm)</t>
        </is>
      </c>
    </row>
    <row r="250">
      <c r="C250" s="56" t="inlineStr">
        <is>
          <t>Abu Dhabi → Muscat (360.9nm)</t>
        </is>
      </c>
    </row>
    <row r="251">
      <c r="C251" s="56" t="inlineStr">
        <is>
          <t>Fujairah → Muscat (149.1nm)</t>
        </is>
      </c>
    </row>
    <row r="252">
      <c r="C252" s="56" t="inlineStr">
        <is>
          <t>Marina Mall / Breakwater Marina → Sir Bani Yas Cruise Port (93.1nm)</t>
        </is>
      </c>
    </row>
    <row r="253">
      <c r="C253" s="56" t="inlineStr">
        <is>
          <t>Shura Island hub → AMAALA (Triple Bay) (82.9nm)</t>
        </is>
      </c>
    </row>
    <row r="254">
      <c r="C254" s="56" t="inlineStr">
        <is>
          <t>Jeddah → NEOM (Sindalah) (463.9nm)</t>
        </is>
      </c>
    </row>
    <row r="255">
      <c r="C255" s="56" t="inlineStr">
        <is>
          <t>Jeddah gateway → The Red Sea archipelago (275.5nm)</t>
        </is>
      </c>
    </row>
    <row r="256">
      <c r="C256" s="56" t="inlineStr">
        <is>
          <t>The Red Sea → NEOM (Sindalah) / Jeddah gateway (196.9nm)</t>
        </is>
      </c>
    </row>
    <row r="257">
      <c r="C257" s="56" t="inlineStr">
        <is>
          <t>Tallinn → Stockholm (210nm)</t>
        </is>
      </c>
    </row>
    <row r="258">
      <c r="C258" s="56" t="inlineStr">
        <is>
          <t>Larnaca → Jounieh / Beirut (Lebanon) (115nm)</t>
        </is>
      </c>
    </row>
    <row r="259">
      <c r="C259" s="56" t="inlineStr">
        <is>
          <t>Stockholm (Vartahamnen / Stadsgarden) → Mariehamn (Aland) (75nm)</t>
        </is>
      </c>
    </row>
    <row r="260">
      <c r="C260" s="56" t="inlineStr">
        <is>
          <t>Palma de Mallorca → Ibiza Town (75.0nm)</t>
        </is>
      </c>
    </row>
    <row r="261">
      <c r="C261" s="56" t="inlineStr">
        <is>
          <t>Palma de Mallorca → Maó (Menorca) (100nm)</t>
        </is>
      </c>
    </row>
    <row r="262">
      <c r="C262" s="56" t="inlineStr">
        <is>
          <t>Dénia → Palma de Mallorca (130nm)</t>
        </is>
      </c>
    </row>
    <row r="263">
      <c r="C263" s="56" t="inlineStr">
        <is>
          <t>Barcelona → Palma de Mallorca (115nm)</t>
        </is>
      </c>
    </row>
    <row r="264">
      <c r="C264" s="56" t="inlineStr">
        <is>
          <t>Barcelona → Ibiza Town (Eivissa) (140nm)</t>
        </is>
      </c>
    </row>
    <row r="265">
      <c r="C265" s="56" t="inlineStr">
        <is>
          <t>Helsinki → Stockholm (210nm)</t>
        </is>
      </c>
    </row>
    <row r="266">
      <c r="C266" s="56" t="inlineStr">
        <is>
          <t>Haifa → Limassol (Cyprus) (147.1nm)</t>
        </is>
      </c>
    </row>
    <row r="267">
      <c r="C267" s="56" t="inlineStr">
        <is>
          <t>Beirut / Jounieh → Larnaca (Cyprus) (110.5nm)</t>
        </is>
      </c>
    </row>
    <row r="268">
      <c r="C268" s="56" t="inlineStr">
        <is>
          <t>Doha (Lusail Marina) → Manama (Bahrain Financial Harbour) (94.5nm)</t>
        </is>
      </c>
    </row>
    <row r="269">
      <c r="C269" s="56" t="inlineStr">
        <is>
          <t>Doha (Lusail Marina) → Manama (Bahrain Financial Harbour) (94.5nm)</t>
        </is>
      </c>
    </row>
  </sheetData>
  <mergeCells count="2">
    <mergeCell ref="A223:L223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26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26" t="inlineStr">
        <is>
          <t>Mature capture rate (c)</t>
        </is>
      </c>
      <c r="B6" s="41" t="n">
        <v>0.15</v>
      </c>
      <c r="C6" s="41" t="n">
        <v>0.25</v>
      </c>
      <c r="D6" s="41" t="n">
        <v>0.4</v>
      </c>
      <c r="E6" s="15" t="inlineStr">
        <is>
          <t>Navier's corridor share once it is the established premium default (vs 10% floor).</t>
        </is>
      </c>
    </row>
    <row r="7">
      <c r="A7" s="26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26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26" t="inlineStr">
        <is>
          <t>Platform take rate</t>
        </is>
      </c>
      <c r="C9" s="41" t="n">
        <v>0.18</v>
      </c>
      <c r="E9" s="15" t="inlineStr">
        <is>
          <t>Super-app blended commission on journey GMV (derived line only).</t>
        </is>
      </c>
    </row>
    <row r="11">
      <c r="A11" s="26" t="inlineStr">
        <is>
          <t>SOM capture rate (floor)</t>
        </is>
      </c>
      <c r="C11" s="57">
        <f>som_floor_rev/(ROUND(SUMPRODUCT(--('Corridor economics'!$AR$4:$AR$220="Grounded"),'Corridor economics'!$AH$4:$AH$220,'Corridor economics'!$E$4:$E$220),0))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26" t="inlineStr">
        <is>
          <t>SOM floor — Navier transport rev/yr (PUBLISHED)</t>
        </is>
      </c>
      <c r="C15" s="52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26" t="inlineStr">
        <is>
          <t>M_today — model comparable-fare transport pool on sourced corridors</t>
        </is>
      </c>
      <c r="C16" s="52">
        <f>ROUND(SUMPRODUCT(--('Corridor economics'!$AR$4:$AR$220="Grounded"),'Corridor economics'!$AH$4:$AH$220,'Corridor economics'!$E$4:$E$220),0)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26" t="inlineStr">
        <is>
          <t>SOM full network (~10% capture, today, +greenfield)</t>
        </is>
      </c>
      <c r="B18" s="52">
        <f>$C$16*$C$11*$B$8</f>
        <v/>
      </c>
      <c r="C18" s="52">
        <f>$C$16*$C$11*$C$8</f>
        <v/>
      </c>
      <c r="D18" s="52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26" t="inlineStr">
        <is>
          <t>SAM — sourced corridors only (depth, no greenfield)</t>
        </is>
      </c>
      <c r="B19" s="52">
        <f>$C$16*$B$5*$B$6</f>
        <v/>
      </c>
      <c r="C19" s="52">
        <f>$C$16*$C$5*$C$6</f>
        <v/>
      </c>
      <c r="D19" s="52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26" t="inlineStr">
        <is>
          <t>SAM — Navier transport rev @ full network (HEADLINE)</t>
        </is>
      </c>
      <c r="B20" s="52">
        <f>$C$16*$B$5*$B$6*$B$8</f>
        <v/>
      </c>
      <c r="C20" s="52">
        <f>$C$16*$C$5*$C$6*$C$8</f>
        <v/>
      </c>
      <c r="D20" s="52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26" t="inlineStr">
        <is>
          <t>Marine mobility TAM — induced marine-transfer market (LB-110)</t>
        </is>
      </c>
      <c r="B21" s="52">
        <f>$C$16*$B$5*$B$8</f>
        <v/>
      </c>
      <c r="C21" s="52">
        <f>$C$16*$C$5*$C$8</f>
        <v/>
      </c>
      <c r="D21" s="52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6" t="inlineStr">
        <is>
          <t>Journey GMV — induced crossing × multiple (was TAM journey GMV)</t>
        </is>
      </c>
      <c r="B22" s="52">
        <f>$C$16*$B$5*$B$7*$B$8</f>
        <v/>
      </c>
      <c r="C22" s="52">
        <f>$C$16*$C$5*$C$7*$C$8</f>
        <v/>
      </c>
      <c r="D22" s="52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26" t="inlineStr">
        <is>
          <t>Journey GMV routed through Navier network</t>
        </is>
      </c>
      <c r="B23" s="52">
        <f>$C$16*$B$5*$B$6*$B$7*$B$8</f>
        <v/>
      </c>
      <c r="C23" s="52">
        <f>$C$16*$C$5*$C$6*$C$7*$C$8</f>
        <v/>
      </c>
      <c r="D23" s="52">
        <f>$C$16*$D$5*$D$6*$D$7*$D$8</f>
        <v/>
      </c>
      <c r="E23" s="15" t="inlineStr">
        <is>
          <t>Journey GMV on Navier-carried trips only.</t>
        </is>
      </c>
    </row>
    <row r="24">
      <c r="A24" s="26" t="inlineStr">
        <is>
          <t>Partner platform revenue on Navier (LB-113 — on-Navier subset, not 18% of full Journey GMV)</t>
        </is>
      </c>
      <c r="B24" s="52">
        <f>$C$16*$B$5*$B$6*$B$7*$B$8*$C$9</f>
        <v/>
      </c>
      <c r="C24" s="52">
        <f>$C$16*$C$5*$C$6*$C$7*$C$8*$C$9</f>
        <v/>
      </c>
      <c r="D24" s="52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58" t="inlineStr">
        <is>
          <t>Note</t>
        </is>
      </c>
      <c r="B26" s="59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2026-07-20T06:56:53Z</dcterms:created>
  <dcterms:modified xsi:type="dcterms:W3CDTF">2026-07-20T06:56:54Z</dcterms:modified>
</cp:coreProperties>
</file>