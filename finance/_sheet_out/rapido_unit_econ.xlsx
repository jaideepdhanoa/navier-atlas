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economics'!$D$104</definedName>
    <definedName name="som_floor_rev">'Corridor economics'!$E$104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Rapido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India</t>
        </is>
      </c>
      <c r="B4" s="27" t="n">
        <v>19000</v>
      </c>
      <c r="C4" s="28" t="n">
        <v>0.08500000000000001</v>
      </c>
      <c r="D4" s="20" t="n">
        <v>0.727</v>
      </c>
      <c r="E4" s="27" t="n">
        <v>10000</v>
      </c>
      <c r="F4" s="20" t="n">
        <v>0.5</v>
      </c>
      <c r="G4" s="27" t="n">
        <v>600000</v>
      </c>
      <c r="H4" s="15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0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Rapido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India Andaman Rapido</t>
        </is>
      </c>
      <c r="B4" s="31" t="inlineStr">
        <is>
          <t>India</t>
        </is>
      </c>
      <c r="C4" s="32" t="inlineStr">
        <is>
          <t>Middle Strait Jetty → Oralkatcha Jetty</t>
        </is>
      </c>
      <c r="D4" s="33" t="n">
        <v>0.7</v>
      </c>
      <c r="E4" s="27" t="n">
        <v>22</v>
      </c>
      <c r="F4" s="34" t="inlineStr">
        <is>
          <t>T3</t>
        </is>
      </c>
      <c r="G4" s="34" t="inlineStr">
        <is>
          <t>med-low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5000</v>
      </c>
      <c r="AI4" s="34" t="inlineStr">
        <is>
          <t>T3</t>
        </is>
      </c>
      <c r="AJ4" s="34" t="inlineStr">
        <is>
          <t>med-low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handoff/INDIA-ECONOMICS-SIDECAR-V0-2026-06-20.json (andaman)</t>
        </is>
      </c>
      <c r="AZ4" s="46" t="inlineStr">
        <is>
          <t>handoff/INDIA-ECONOMICS-SIDECAR-V0-2026-06-20.json (andaman)</t>
        </is>
      </c>
      <c r="BA4" s="34" t="inlineStr">
        <is>
          <t>rn-4d8588267a24</t>
        </is>
      </c>
    </row>
    <row r="5">
      <c r="A5" s="31" t="inlineStr">
        <is>
          <t>India Andaman Rapido</t>
        </is>
      </c>
      <c r="B5" s="31" t="inlineStr">
        <is>
          <t>India</t>
        </is>
      </c>
      <c r="C5" s="32" t="inlineStr">
        <is>
          <t>Junglighat Jetty → Port Blair</t>
        </is>
      </c>
      <c r="D5" s="33" t="n">
        <v>0.8</v>
      </c>
      <c r="E5" s="27" t="n">
        <v>22</v>
      </c>
      <c r="F5" s="34" t="inlineStr">
        <is>
          <t>T3</t>
        </is>
      </c>
      <c r="G5" s="34" t="inlineStr">
        <is>
          <t>med-low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5000</v>
      </c>
      <c r="AI5" s="34" t="inlineStr">
        <is>
          <t>T3</t>
        </is>
      </c>
      <c r="AJ5" s="34" t="inlineStr">
        <is>
          <t>med-low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handoff/INDIA-ECONOMICS-SIDECAR-V0-2026-06-20.json (andaman)</t>
        </is>
      </c>
      <c r="AZ5" s="46" t="inlineStr">
        <is>
          <t>handoff/INDIA-ECONOMICS-SIDECAR-V0-2026-06-20.json (andaman)</t>
        </is>
      </c>
      <c r="BA5" s="34" t="inlineStr">
        <is>
          <t>rn-f6d2eee38e08</t>
        </is>
      </c>
    </row>
    <row r="6">
      <c r="A6" s="31" t="inlineStr">
        <is>
          <t>India Kolkata Rapido</t>
        </is>
      </c>
      <c r="B6" s="31" t="inlineStr">
        <is>
          <t>India</t>
        </is>
      </c>
      <c r="C6" s="32" t="inlineStr">
        <is>
          <t>Howrah Ferry Ghat → Fairlie Place Ferry</t>
        </is>
      </c>
      <c r="D6" s="33" t="n">
        <v>0.8</v>
      </c>
      <c r="E6" s="27" t="n">
        <v>18</v>
      </c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1600000</v>
      </c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 xml:space="preserve">[LB-255 PREMIUM RE-FARE: subsidized comparable $2.5 lifted to premium on-demand floor $18.0] </t>
        </is>
      </c>
      <c r="AZ6" s="46" t="n"/>
      <c r="BA6" s="34" t="inlineStr">
        <is>
          <t>rn-97202b12d2ce</t>
        </is>
      </c>
    </row>
    <row r="7">
      <c r="A7" s="31" t="inlineStr">
        <is>
          <t>India Andaman Rapido</t>
        </is>
      </c>
      <c r="B7" s="31" t="inlineStr">
        <is>
          <t>India</t>
        </is>
      </c>
      <c r="C7" s="32" t="inlineStr">
        <is>
          <t>Marina Park → Aberdeen Jetty</t>
        </is>
      </c>
      <c r="D7" s="33" t="n">
        <v>0.9</v>
      </c>
      <c r="E7" s="27" t="n">
        <v>22</v>
      </c>
      <c r="F7" s="34" t="inlineStr">
        <is>
          <t>T3</t>
        </is>
      </c>
      <c r="G7" s="34" t="inlineStr">
        <is>
          <t>med-low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5000</v>
      </c>
      <c r="AI7" s="34" t="inlineStr">
        <is>
          <t>T3</t>
        </is>
      </c>
      <c r="AJ7" s="34" t="inlineStr">
        <is>
          <t>med-low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handoff/INDIA-ECONOMICS-SIDECAR-V0-2026-06-20.json (andaman)</t>
        </is>
      </c>
      <c r="AZ7" s="46" t="inlineStr">
        <is>
          <t>handoff/INDIA-ECONOMICS-SIDECAR-V0-2026-06-20.json (andaman)</t>
        </is>
      </c>
      <c r="BA7" s="34" t="inlineStr">
        <is>
          <t>rn-3123e448af64</t>
        </is>
      </c>
    </row>
    <row r="8">
      <c r="A8" s="31" t="inlineStr">
        <is>
          <t>India Andaman Rapido</t>
        </is>
      </c>
      <c r="B8" s="31" t="inlineStr">
        <is>
          <t>India</t>
        </is>
      </c>
      <c r="C8" s="32" t="inlineStr">
        <is>
          <t>Marina View Point → Aberdeen Jetty</t>
        </is>
      </c>
      <c r="D8" s="33" t="n">
        <v>0.9</v>
      </c>
      <c r="E8" s="27" t="n">
        <v>22</v>
      </c>
      <c r="F8" s="34" t="inlineStr">
        <is>
          <t>T3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5000</v>
      </c>
      <c r="AI8" s="34" t="inlineStr">
        <is>
          <t>T3</t>
        </is>
      </c>
      <c r="AJ8" s="34" t="inlineStr">
        <is>
          <t>med-low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handoff/INDIA-ECONOMICS-SIDECAR-V0-2026-06-20.json (andaman)</t>
        </is>
      </c>
      <c r="AZ8" s="46" t="inlineStr">
        <is>
          <t>handoff/INDIA-ECONOMICS-SIDECAR-V0-2026-06-20.json (andaman)</t>
        </is>
      </c>
      <c r="BA8" s="34" t="inlineStr">
        <is>
          <t>rn-f58a96617b49</t>
        </is>
      </c>
    </row>
    <row r="9">
      <c r="A9" s="31" t="inlineStr">
        <is>
          <t>India Kolkata Rapido</t>
        </is>
      </c>
      <c r="B9" s="31" t="inlineStr">
        <is>
          <t>India</t>
        </is>
      </c>
      <c r="C9" s="32" t="inlineStr">
        <is>
          <t>Howrah Ferry Ghat → Millennium Park Jetty</t>
        </is>
      </c>
      <c r="D9" s="33" t="n">
        <v>0.9</v>
      </c>
      <c r="E9" s="27" t="n">
        <v>18</v>
      </c>
      <c r="F9" s="34" t="n"/>
      <c r="G9" s="34" t="n"/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1600000</v>
      </c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 xml:space="preserve">[LB-255 PREMIUM RE-FARE: subsidized comparable $2.5 lifted to premium on-demand floor $18.0] </t>
        </is>
      </c>
      <c r="AZ9" s="46" t="n"/>
      <c r="BA9" s="34" t="inlineStr">
        <is>
          <t>rn-e9a7f7e474e3</t>
        </is>
      </c>
    </row>
    <row r="10">
      <c r="A10" s="31" t="inlineStr">
        <is>
          <t>India Andaman Rapido</t>
        </is>
      </c>
      <c r="B10" s="31" t="inlineStr">
        <is>
          <t>India</t>
        </is>
      </c>
      <c r="C10" s="32" t="inlineStr">
        <is>
          <t>APARUPA SANDS MARINA → Office Of Assistant Engineer Civil, Andaman Lakshdweep Harbour Work Havelock</t>
        </is>
      </c>
      <c r="D10" s="33" t="n">
        <v>1.2</v>
      </c>
      <c r="E10" s="27" t="n">
        <v>22</v>
      </c>
      <c r="F10" s="34" t="inlineStr">
        <is>
          <t>T3</t>
        </is>
      </c>
      <c r="G10" s="34" t="inlineStr">
        <is>
          <t>med-low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5000</v>
      </c>
      <c r="AI10" s="34" t="inlineStr">
        <is>
          <t>T3</t>
        </is>
      </c>
      <c r="AJ10" s="34" t="inlineStr">
        <is>
          <t>med-low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handoff/INDIA-ECONOMICS-SIDECAR-V0-2026-06-20.json (andaman)</t>
        </is>
      </c>
      <c r="AZ10" s="46" t="inlineStr">
        <is>
          <t>handoff/INDIA-ECONOMICS-SIDECAR-V0-2026-06-20.json (andaman)</t>
        </is>
      </c>
      <c r="BA10" s="34" t="inlineStr">
        <is>
          <t>rn-30a13a2451e7</t>
        </is>
      </c>
    </row>
    <row r="11">
      <c r="A11" s="31" t="inlineStr">
        <is>
          <t>India Kolkata Rapido</t>
        </is>
      </c>
      <c r="B11" s="31" t="inlineStr">
        <is>
          <t>India</t>
        </is>
      </c>
      <c r="C11" s="32" t="inlineStr">
        <is>
          <t>Dakshineswar Ferry Ghat → Belur Math Ferry Ghat</t>
        </is>
      </c>
      <c r="D11" s="33" t="n">
        <v>1.3</v>
      </c>
      <c r="E11" s="27" t="n">
        <v>18</v>
      </c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1600000</v>
      </c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 xml:space="preserve">[LB-255 PREMIUM RE-FARE: subsidized comparable $2.5 lifted to premium on-demand floor $18.0] </t>
        </is>
      </c>
      <c r="AZ11" s="46" t="n"/>
      <c r="BA11" s="34" t="inlineStr">
        <is>
          <t>rn-b44cfaae1be2</t>
        </is>
      </c>
    </row>
    <row r="12">
      <c r="A12" s="31" t="inlineStr">
        <is>
          <t>India Andaman Rapido</t>
        </is>
      </c>
      <c r="B12" s="31" t="inlineStr">
        <is>
          <t>India</t>
        </is>
      </c>
      <c r="C12" s="32" t="inlineStr">
        <is>
          <t>Marina Park → Marina View Point</t>
        </is>
      </c>
      <c r="D12" s="33" t="n">
        <v>1.4</v>
      </c>
      <c r="E12" s="27" t="n">
        <v>22</v>
      </c>
      <c r="F12" s="34" t="inlineStr">
        <is>
          <t>T3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5000</v>
      </c>
      <c r="AI12" s="34" t="inlineStr">
        <is>
          <t>T3</t>
        </is>
      </c>
      <c r="AJ12" s="34" t="inlineStr">
        <is>
          <t>med-low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handoff/INDIA-ECONOMICS-SIDECAR-V0-2026-06-20.json (andaman)</t>
        </is>
      </c>
      <c r="AZ12" s="46" t="inlineStr">
        <is>
          <t>handoff/INDIA-ECONOMICS-SIDECAR-V0-2026-06-20.json (andaman)</t>
        </is>
      </c>
      <c r="BA12" s="34" t="inlineStr">
        <is>
          <t>rn-448d7840198a</t>
        </is>
      </c>
    </row>
    <row r="13">
      <c r="A13" s="31" t="inlineStr">
        <is>
          <t>India Andaman Rapido</t>
        </is>
      </c>
      <c r="B13" s="31" t="inlineStr">
        <is>
          <t>India</t>
        </is>
      </c>
      <c r="C13" s="32" t="inlineStr">
        <is>
          <t>Game Fishing In Andaman | Bite Me Charter | Best Sport fishing in Andaman Islands → Port Blair</t>
        </is>
      </c>
      <c r="D13" s="33" t="n">
        <v>1.5</v>
      </c>
      <c r="E13" s="27" t="n">
        <v>22</v>
      </c>
      <c r="F13" s="34" t="inlineStr">
        <is>
          <t>T3</t>
        </is>
      </c>
      <c r="G13" s="34" t="inlineStr">
        <is>
          <t>med-low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5000</v>
      </c>
      <c r="AI13" s="34" t="inlineStr">
        <is>
          <t>T3</t>
        </is>
      </c>
      <c r="AJ13" s="34" t="inlineStr">
        <is>
          <t>med-low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handoff/INDIA-ECONOMICS-SIDECAR-V0-2026-06-20.json (andaman)</t>
        </is>
      </c>
      <c r="AZ13" s="46" t="inlineStr">
        <is>
          <t>handoff/INDIA-ECONOMICS-SIDECAR-V0-2026-06-20.json (andaman)</t>
        </is>
      </c>
      <c r="BA13" s="34" t="inlineStr">
        <is>
          <t>rn-9470ece6d137</t>
        </is>
      </c>
    </row>
    <row r="14">
      <c r="A14" s="31" t="inlineStr">
        <is>
          <t>India Kolkata Rapido</t>
        </is>
      </c>
      <c r="B14" s="31" t="inlineStr">
        <is>
          <t>India</t>
        </is>
      </c>
      <c r="C14" s="32" t="inlineStr">
        <is>
          <t>Fairlie Place Ferry → Bagbazar Ghat</t>
        </is>
      </c>
      <c r="D14" s="33" t="n">
        <v>1.7</v>
      </c>
      <c r="E14" s="27" t="n">
        <v>18</v>
      </c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1600000</v>
      </c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 xml:space="preserve">[LB-255 PREMIUM RE-FARE: subsidized comparable $2.5 lifted to premium on-demand floor $18.0] </t>
        </is>
      </c>
      <c r="AZ14" s="46" t="n"/>
      <c r="BA14" s="34" t="inlineStr">
        <is>
          <t>rn-46a91df66302</t>
        </is>
      </c>
    </row>
    <row r="15">
      <c r="A15" s="31" t="inlineStr">
        <is>
          <t>India Andaman Rapido</t>
        </is>
      </c>
      <c r="B15" s="31" t="inlineStr">
        <is>
          <t>India</t>
        </is>
      </c>
      <c r="C15" s="32" t="inlineStr">
        <is>
          <t>Fisheries Jetty → BookMyBoat Andaman Ferry Booking</t>
        </is>
      </c>
      <c r="D15" s="33" t="n">
        <v>1.8</v>
      </c>
      <c r="E15" s="27" t="n">
        <v>22</v>
      </c>
      <c r="F15" s="34" t="inlineStr">
        <is>
          <t>T3</t>
        </is>
      </c>
      <c r="G15" s="34" t="inlineStr">
        <is>
          <t>med-low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5000</v>
      </c>
      <c r="AI15" s="34" t="inlineStr">
        <is>
          <t>T3</t>
        </is>
      </c>
      <c r="AJ15" s="34" t="inlineStr">
        <is>
          <t>med-low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handoff/INDIA-ECONOMICS-SIDECAR-V0-2026-06-20.json (andaman)</t>
        </is>
      </c>
      <c r="AZ15" s="46" t="inlineStr">
        <is>
          <t>handoff/INDIA-ECONOMICS-SIDECAR-V0-2026-06-20.json (andaman)</t>
        </is>
      </c>
      <c r="BA15" s="34" t="inlineStr">
        <is>
          <t>rn-78629e4e7f6a</t>
        </is>
      </c>
    </row>
    <row r="16">
      <c r="A16" s="31" t="inlineStr">
        <is>
          <t>India Andaman Rapido</t>
        </is>
      </c>
      <c r="B16" s="31" t="inlineStr">
        <is>
          <t>India</t>
        </is>
      </c>
      <c r="C16" s="32" t="inlineStr">
        <is>
          <t>Fisheries Jetty → Gamefishing Asia</t>
        </is>
      </c>
      <c r="D16" s="33" t="n">
        <v>2</v>
      </c>
      <c r="E16" s="27" t="n">
        <v>22</v>
      </c>
      <c r="F16" s="34" t="inlineStr">
        <is>
          <t>T3</t>
        </is>
      </c>
      <c r="G16" s="34" t="inlineStr">
        <is>
          <t>med-low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5000</v>
      </c>
      <c r="AI16" s="34" t="inlineStr">
        <is>
          <t>T3</t>
        </is>
      </c>
      <c r="AJ16" s="34" t="inlineStr">
        <is>
          <t>med-low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handoff/INDIA-ECONOMICS-SIDECAR-V0-2026-06-20.json (andaman)</t>
        </is>
      </c>
      <c r="AZ16" s="46" t="inlineStr">
        <is>
          <t>handoff/INDIA-ECONOMICS-SIDECAR-V0-2026-06-20.json (andaman)</t>
        </is>
      </c>
      <c r="BA16" s="34" t="inlineStr">
        <is>
          <t>rn-4b9beacac5d3</t>
        </is>
      </c>
    </row>
    <row r="17">
      <c r="A17" s="31" t="inlineStr">
        <is>
          <t>India Andaman Rapido</t>
        </is>
      </c>
      <c r="B17" s="31" t="inlineStr">
        <is>
          <t>India</t>
        </is>
      </c>
      <c r="C17" s="32" t="inlineStr">
        <is>
          <t>Panighat Ferry Jetty → Chatham Harbour</t>
        </is>
      </c>
      <c r="D17" s="33" t="n">
        <v>2</v>
      </c>
      <c r="E17" s="27" t="n">
        <v>22</v>
      </c>
      <c r="F17" s="34" t="inlineStr">
        <is>
          <t>T3</t>
        </is>
      </c>
      <c r="G17" s="34" t="inlineStr">
        <is>
          <t>med-low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5000</v>
      </c>
      <c r="AI17" s="34" t="inlineStr">
        <is>
          <t>T3</t>
        </is>
      </c>
      <c r="AJ17" s="34" t="inlineStr">
        <is>
          <t>med-low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handoff/INDIA-ECONOMICS-SIDECAR-V0-2026-06-20.json (andaman)</t>
        </is>
      </c>
      <c r="AZ17" s="46" t="inlineStr">
        <is>
          <t>handoff/INDIA-ECONOMICS-SIDECAR-V0-2026-06-20.json (andaman)</t>
        </is>
      </c>
      <c r="BA17" s="34" t="inlineStr">
        <is>
          <t>rn-8e0d146c17b5</t>
        </is>
      </c>
    </row>
    <row r="18">
      <c r="A18" s="31" t="inlineStr">
        <is>
          <t>India Goa Rapido</t>
        </is>
      </c>
      <c r="B18" s="31" t="inlineStr">
        <is>
          <t>India</t>
        </is>
      </c>
      <c r="C18" s="32" t="inlineStr">
        <is>
          <t>Panaji Jetty → Goa</t>
        </is>
      </c>
      <c r="D18" s="33" t="n">
        <v>2.1</v>
      </c>
      <c r="E18" s="27" t="n">
        <v>8</v>
      </c>
      <c r="F18" s="34" t="inlineStr">
        <is>
          <t>T3</t>
        </is>
      </c>
      <c r="G18" s="34" t="inlineStr">
        <is>
          <t>med-low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11250</v>
      </c>
      <c r="AI18" s="34" t="inlineStr">
        <is>
          <t>T3</t>
        </is>
      </c>
      <c r="AJ18" s="34" t="inlineStr">
        <is>
          <t>med-low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handoff/INDIA-ECONOMICS-SIDECAR-V0-2026-06-20.json (goa)</t>
        </is>
      </c>
      <c r="AZ18" s="46" t="inlineStr">
        <is>
          <t>handoff/INDIA-ECONOMICS-SIDECAR-V0-2026-06-20.json (goa)</t>
        </is>
      </c>
      <c r="BA18" s="34" t="inlineStr">
        <is>
          <t>ics-30e7ae3007</t>
        </is>
      </c>
    </row>
    <row r="19">
      <c r="A19" s="31" t="inlineStr">
        <is>
          <t>India Kerala Rapido</t>
        </is>
      </c>
      <c r="B19" s="31" t="inlineStr">
        <is>
          <t>India</t>
        </is>
      </c>
      <c r="C19" s="32" t="inlineStr">
        <is>
          <t>Kochi International Marina KTDC → Martins Harbour</t>
        </is>
      </c>
      <c r="D19" s="33" t="n">
        <v>2.1</v>
      </c>
      <c r="E19" s="27" t="n">
        <v>18</v>
      </c>
      <c r="F19" s="34" t="inlineStr">
        <is>
          <t>T3</t>
        </is>
      </c>
      <c r="G19" s="34" t="inlineStr">
        <is>
          <t>med-low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29166</v>
      </c>
      <c r="AI19" s="34" t="inlineStr">
        <is>
          <t>T3</t>
        </is>
      </c>
      <c r="AJ19" s="34" t="inlineStr">
        <is>
          <t>med-low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[LB-255 PREMIUM RE-FARE: subsidized comparable $3.5 lifted to premium on-demand floor $18.0] handoff/INDIA-ECONOMICS-SIDECAR-V0-2026-06-20.json (kerala)</t>
        </is>
      </c>
      <c r="AZ19" s="46" t="inlineStr">
        <is>
          <t>handoff/INDIA-ECONOMICS-SIDECAR-V0-2026-06-20.json (kerala)</t>
        </is>
      </c>
      <c r="BA19" s="34" t="inlineStr">
        <is>
          <t>ics-8404d09d86</t>
        </is>
      </c>
    </row>
    <row r="20">
      <c r="A20" s="31" t="inlineStr">
        <is>
          <t>India Kerala Rapido</t>
        </is>
      </c>
      <c r="B20" s="31" t="inlineStr">
        <is>
          <t>India</t>
        </is>
      </c>
      <c r="C20" s="32" t="inlineStr">
        <is>
          <t>Marina One, Kochi → Harbour Roof Garden</t>
        </is>
      </c>
      <c r="D20" s="33" t="n">
        <v>2.1</v>
      </c>
      <c r="E20" s="27" t="n">
        <v>18</v>
      </c>
      <c r="F20" s="34" t="inlineStr">
        <is>
          <t>T3</t>
        </is>
      </c>
      <c r="G20" s="34" t="inlineStr">
        <is>
          <t>med-low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29166</v>
      </c>
      <c r="AI20" s="34" t="inlineStr">
        <is>
          <t>T3</t>
        </is>
      </c>
      <c r="AJ20" s="34" t="inlineStr">
        <is>
          <t>med-low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[LB-255 PREMIUM RE-FARE: subsidized comparable $3.5 lifted to premium on-demand floor $18.0] handoff/INDIA-ECONOMICS-SIDECAR-V0-2026-06-20.json (kerala)</t>
        </is>
      </c>
      <c r="AZ20" s="46" t="inlineStr">
        <is>
          <t>handoff/INDIA-ECONOMICS-SIDECAR-V0-2026-06-20.json (kerala)</t>
        </is>
      </c>
      <c r="BA20" s="34" t="inlineStr">
        <is>
          <t>ics-518c914828</t>
        </is>
      </c>
    </row>
    <row r="21">
      <c r="A21" s="31" t="inlineStr">
        <is>
          <t>India Kerala Rapido</t>
        </is>
      </c>
      <c r="B21" s="31" t="inlineStr">
        <is>
          <t>India</t>
        </is>
      </c>
      <c r="C21" s="32" t="inlineStr">
        <is>
          <t>Water Wolf Speed Boat - Boating Kadamakudy → Ferry Terminal</t>
        </is>
      </c>
      <c r="D21" s="33" t="n">
        <v>2.1</v>
      </c>
      <c r="E21" s="27" t="n">
        <v>18</v>
      </c>
      <c r="F21" s="34" t="inlineStr">
        <is>
          <t>T3</t>
        </is>
      </c>
      <c r="G21" s="34" t="inlineStr">
        <is>
          <t>med-low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29166</v>
      </c>
      <c r="AI21" s="34" t="inlineStr">
        <is>
          <t>T3</t>
        </is>
      </c>
      <c r="AJ21" s="34" t="inlineStr">
        <is>
          <t>med-low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[LB-255 PREMIUM RE-FARE: subsidized comparable $3.5 lifted to premium on-demand floor $18.0] handoff/INDIA-ECONOMICS-SIDECAR-V0-2026-06-20.json (kerala)</t>
        </is>
      </c>
      <c r="AZ21" s="46" t="inlineStr">
        <is>
          <t>handoff/INDIA-ECONOMICS-SIDECAR-V0-2026-06-20.json (kerala)</t>
        </is>
      </c>
      <c r="BA21" s="34" t="inlineStr">
        <is>
          <t>ics-573ebe09cb</t>
        </is>
      </c>
    </row>
    <row r="22">
      <c r="A22" s="31" t="inlineStr">
        <is>
          <t>India Andaman Rapido</t>
        </is>
      </c>
      <c r="B22" s="31" t="inlineStr">
        <is>
          <t>India</t>
        </is>
      </c>
      <c r="C22" s="32" t="inlineStr">
        <is>
          <t>Andaman → Game Fishing In Andaman | Bite Me Charter | Best Sport fishing in Andaman Islands</t>
        </is>
      </c>
      <c r="D22" s="33" t="n">
        <v>2.1</v>
      </c>
      <c r="E22" s="27" t="n">
        <v>22</v>
      </c>
      <c r="F22" s="34" t="inlineStr">
        <is>
          <t>T3</t>
        </is>
      </c>
      <c r="G22" s="34" t="inlineStr">
        <is>
          <t>med-low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5000</v>
      </c>
      <c r="AI22" s="34" t="inlineStr">
        <is>
          <t>T3</t>
        </is>
      </c>
      <c r="AJ22" s="34" t="inlineStr">
        <is>
          <t>med-low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handoff/INDIA-ECONOMICS-SIDECAR-V0-2026-06-20.json (andaman)</t>
        </is>
      </c>
      <c r="AZ22" s="46" t="inlineStr">
        <is>
          <t>handoff/INDIA-ECONOMICS-SIDECAR-V0-2026-06-20.json (andaman)</t>
        </is>
      </c>
      <c r="BA22" s="34" t="inlineStr">
        <is>
          <t>rn-d10abbe5d36a</t>
        </is>
      </c>
    </row>
    <row r="23">
      <c r="A23" s="31" t="inlineStr">
        <is>
          <t>India Andaman Rapido</t>
        </is>
      </c>
      <c r="B23" s="31" t="inlineStr">
        <is>
          <t>India</t>
        </is>
      </c>
      <c r="C23" s="32" t="inlineStr">
        <is>
          <t>Game Fishing In Andaman | Bite Me Charter | Best Sport fishing in Andaman Islands → Junglighat Jetty</t>
        </is>
      </c>
      <c r="D23" s="33" t="n">
        <v>2.1</v>
      </c>
      <c r="E23" s="27" t="n">
        <v>22</v>
      </c>
      <c r="F23" s="34" t="inlineStr">
        <is>
          <t>T3</t>
        </is>
      </c>
      <c r="G23" s="34" t="inlineStr">
        <is>
          <t>med-low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5000</v>
      </c>
      <c r="AI23" s="34" t="inlineStr">
        <is>
          <t>T3</t>
        </is>
      </c>
      <c r="AJ23" s="34" t="inlineStr">
        <is>
          <t>med-low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handoff/INDIA-ECONOMICS-SIDECAR-V0-2026-06-20.json (andaman)</t>
        </is>
      </c>
      <c r="AZ23" s="46" t="inlineStr">
        <is>
          <t>handoff/INDIA-ECONOMICS-SIDECAR-V0-2026-06-20.json (andaman)</t>
        </is>
      </c>
      <c r="BA23" s="34" t="inlineStr">
        <is>
          <t>rn-40d432afeaa7</t>
        </is>
      </c>
    </row>
    <row r="24">
      <c r="A24" s="31" t="inlineStr">
        <is>
          <t>India Andaman Rapido</t>
        </is>
      </c>
      <c r="B24" s="31" t="inlineStr">
        <is>
          <t>India</t>
        </is>
      </c>
      <c r="C24" s="32" t="inlineStr">
        <is>
          <t>Andaman → Marina Park</t>
        </is>
      </c>
      <c r="D24" s="33" t="n">
        <v>2.2</v>
      </c>
      <c r="E24" s="27" t="n">
        <v>22</v>
      </c>
      <c r="F24" s="34" t="inlineStr">
        <is>
          <t>T3</t>
        </is>
      </c>
      <c r="G24" s="34" t="inlineStr">
        <is>
          <t>med-low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5000</v>
      </c>
      <c r="AI24" s="34" t="inlineStr">
        <is>
          <t>T3</t>
        </is>
      </c>
      <c r="AJ24" s="34" t="inlineStr">
        <is>
          <t>med-low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handoff/INDIA-ECONOMICS-SIDECAR-V0-2026-06-20.json (andaman)</t>
        </is>
      </c>
      <c r="AZ24" s="46" t="inlineStr">
        <is>
          <t>handoff/INDIA-ECONOMICS-SIDECAR-V0-2026-06-20.json (andaman)</t>
        </is>
      </c>
      <c r="BA24" s="34" t="inlineStr">
        <is>
          <t>rn-1e732d528d88</t>
        </is>
      </c>
    </row>
    <row r="25">
      <c r="A25" s="31" t="inlineStr">
        <is>
          <t>India Andaman Rapido</t>
        </is>
      </c>
      <c r="B25" s="31" t="inlineStr">
        <is>
          <t>India</t>
        </is>
      </c>
      <c r="C25" s="32" t="inlineStr">
        <is>
          <t>Panighat Ferry Jetty → Chatham Jetty</t>
        </is>
      </c>
      <c r="D25" s="33" t="n">
        <v>2.2</v>
      </c>
      <c r="E25" s="27" t="n">
        <v>22</v>
      </c>
      <c r="F25" s="34" t="inlineStr">
        <is>
          <t>T3</t>
        </is>
      </c>
      <c r="G25" s="34" t="inlineStr">
        <is>
          <t>med-low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5000</v>
      </c>
      <c r="AI25" s="34" t="inlineStr">
        <is>
          <t>T3</t>
        </is>
      </c>
      <c r="AJ25" s="34" t="inlineStr">
        <is>
          <t>med-low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handoff/INDIA-ECONOMICS-SIDECAR-V0-2026-06-20.json (andaman)</t>
        </is>
      </c>
      <c r="AZ25" s="46" t="inlineStr">
        <is>
          <t>handoff/INDIA-ECONOMICS-SIDECAR-V0-2026-06-20.json (andaman)</t>
        </is>
      </c>
      <c r="BA25" s="34" t="inlineStr">
        <is>
          <t>rn-8c984e5e4f2f</t>
        </is>
      </c>
    </row>
    <row r="26">
      <c r="A26" s="31" t="inlineStr">
        <is>
          <t>India Goa Rapido</t>
        </is>
      </c>
      <c r="B26" s="31" t="inlineStr">
        <is>
          <t>India</t>
        </is>
      </c>
      <c r="C26" s="32" t="inlineStr">
        <is>
          <t>Chorao Ferry Terminal → Piedade Ferry Terminal</t>
        </is>
      </c>
      <c r="D26" s="33" t="n">
        <v>2.4</v>
      </c>
      <c r="E26" s="27" t="n">
        <v>8</v>
      </c>
      <c r="F26" s="34" t="inlineStr">
        <is>
          <t>T3</t>
        </is>
      </c>
      <c r="G26" s="34" t="inlineStr">
        <is>
          <t>med-low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11250</v>
      </c>
      <c r="AI26" s="34" t="inlineStr">
        <is>
          <t>T3</t>
        </is>
      </c>
      <c r="AJ26" s="34" t="inlineStr">
        <is>
          <t>med-low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handoff/INDIA-ECONOMICS-SIDECAR-V0-2026-06-20.json (goa)</t>
        </is>
      </c>
      <c r="AZ26" s="46" t="inlineStr">
        <is>
          <t>handoff/INDIA-ECONOMICS-SIDECAR-V0-2026-06-20.json (goa)</t>
        </is>
      </c>
      <c r="BA26" s="34" t="inlineStr">
        <is>
          <t>ics-42a0d7f5d0</t>
        </is>
      </c>
    </row>
    <row r="27">
      <c r="A27" s="31" t="inlineStr">
        <is>
          <t>India Andaman Rapido</t>
        </is>
      </c>
      <c r="B27" s="31" t="inlineStr">
        <is>
          <t>India</t>
        </is>
      </c>
      <c r="C27" s="32" t="inlineStr">
        <is>
          <t>Andaman → Fisheries Jetty</t>
        </is>
      </c>
      <c r="D27" s="33" t="n">
        <v>2.4</v>
      </c>
      <c r="E27" s="27" t="n">
        <v>22</v>
      </c>
      <c r="F27" s="34" t="inlineStr">
        <is>
          <t>T3</t>
        </is>
      </c>
      <c r="G27" s="34" t="inlineStr">
        <is>
          <t>med-low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5000</v>
      </c>
      <c r="AI27" s="34" t="inlineStr">
        <is>
          <t>T3</t>
        </is>
      </c>
      <c r="AJ27" s="34" t="inlineStr">
        <is>
          <t>med-low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handoff/INDIA-ECONOMICS-SIDECAR-V0-2026-06-20.json (andaman)</t>
        </is>
      </c>
      <c r="AZ27" s="46" t="inlineStr">
        <is>
          <t>handoff/INDIA-ECONOMICS-SIDECAR-V0-2026-06-20.json (andaman)</t>
        </is>
      </c>
      <c r="BA27" s="34" t="inlineStr">
        <is>
          <t>rn-51a11297ea15</t>
        </is>
      </c>
    </row>
    <row r="28">
      <c r="A28" s="31" t="inlineStr">
        <is>
          <t>India Andaman Rapido</t>
        </is>
      </c>
      <c r="B28" s="31" t="inlineStr">
        <is>
          <t>India</t>
        </is>
      </c>
      <c r="C28" s="32" t="inlineStr">
        <is>
          <t>Chatham Jetty → Chatham Harbour</t>
        </is>
      </c>
      <c r="D28" s="33" t="n">
        <v>2.4</v>
      </c>
      <c r="E28" s="27" t="n">
        <v>22</v>
      </c>
      <c r="F28" s="34" t="inlineStr">
        <is>
          <t>T3</t>
        </is>
      </c>
      <c r="G28" s="34" t="inlineStr">
        <is>
          <t>med-low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5000</v>
      </c>
      <c r="AI28" s="34" t="inlineStr">
        <is>
          <t>T3</t>
        </is>
      </c>
      <c r="AJ28" s="34" t="inlineStr">
        <is>
          <t>med-low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handoff/INDIA-ECONOMICS-SIDECAR-V0-2026-06-20.json (andaman)</t>
        </is>
      </c>
      <c r="AZ28" s="46" t="inlineStr">
        <is>
          <t>handoff/INDIA-ECONOMICS-SIDECAR-V0-2026-06-20.json (andaman)</t>
        </is>
      </c>
      <c r="BA28" s="34" t="inlineStr">
        <is>
          <t>rn-15552c4c4484</t>
        </is>
      </c>
    </row>
    <row r="29">
      <c r="A29" s="31" t="inlineStr">
        <is>
          <t>India Mumbai Rapido</t>
        </is>
      </c>
      <c r="B29" s="31" t="inlineStr">
        <is>
          <t>India</t>
        </is>
      </c>
      <c r="C29" s="32" t="inlineStr">
        <is>
          <t>Bhaucha Dhakka → Cordelia Cruises</t>
        </is>
      </c>
      <c r="D29" s="33" t="n">
        <v>2.5</v>
      </c>
      <c r="E29" s="27" t="n">
        <v>18</v>
      </c>
      <c r="F29" s="34" t="inlineStr">
        <is>
          <t>T3</t>
        </is>
      </c>
      <c r="G29" s="34" t="inlineStr">
        <is>
          <t>med-low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5000</v>
      </c>
      <c r="AI29" s="34" t="inlineStr">
        <is>
          <t>T3</t>
        </is>
      </c>
      <c r="AJ29" s="34" t="inlineStr">
        <is>
          <t>med-low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[LB-255 PREMIUM RE-FARE: subsidized comparable $5.5 lifted to premium on-demand floor $18.0] handoff/INDIA-ECONOMICS-SIDECAR-V0-2026-06-20.json (mumbai)</t>
        </is>
      </c>
      <c r="AZ29" s="46" t="inlineStr">
        <is>
          <t>handoff/INDIA-ECONOMICS-SIDECAR-V0-2026-06-20.json (mumbai)</t>
        </is>
      </c>
      <c r="BA29" s="34" t="inlineStr">
        <is>
          <t>ics-180a4149b7</t>
        </is>
      </c>
    </row>
    <row r="30">
      <c r="A30" s="31" t="inlineStr">
        <is>
          <t>India Mumbai Rapido</t>
        </is>
      </c>
      <c r="B30" s="31" t="inlineStr">
        <is>
          <t>India</t>
        </is>
      </c>
      <c r="C30" s="32" t="inlineStr">
        <is>
          <t>Bhaucha Dhakka Ferry Boat Service → Cordelia Cruises</t>
        </is>
      </c>
      <c r="D30" s="33" t="n">
        <v>2.5</v>
      </c>
      <c r="E30" s="27" t="n">
        <v>18</v>
      </c>
      <c r="F30" s="34" t="inlineStr">
        <is>
          <t>T3</t>
        </is>
      </c>
      <c r="G30" s="34" t="inlineStr">
        <is>
          <t>med-low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5000</v>
      </c>
      <c r="AI30" s="34" t="inlineStr">
        <is>
          <t>T3</t>
        </is>
      </c>
      <c r="AJ30" s="34" t="inlineStr">
        <is>
          <t>med-low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[LB-255 PREMIUM RE-FARE: subsidized comparable $5.5 lifted to premium on-demand floor $18.0] handoff/INDIA-ECONOMICS-SIDECAR-V0-2026-06-20.json (mumbai)</t>
        </is>
      </c>
      <c r="AZ30" s="46" t="inlineStr">
        <is>
          <t>handoff/INDIA-ECONOMICS-SIDECAR-V0-2026-06-20.json (mumbai)</t>
        </is>
      </c>
      <c r="BA30" s="34" t="inlineStr">
        <is>
          <t>ics-a1d474035a</t>
        </is>
      </c>
    </row>
    <row r="31">
      <c r="A31" s="31" t="inlineStr">
        <is>
          <t>India Andaman Rapido</t>
        </is>
      </c>
      <c r="B31" s="31" t="inlineStr">
        <is>
          <t>India</t>
        </is>
      </c>
      <c r="C31" s="32" t="inlineStr">
        <is>
          <t>Gamefishing Asia → Haddo Jetty</t>
        </is>
      </c>
      <c r="D31" s="33" t="n">
        <v>2.5</v>
      </c>
      <c r="E31" s="27" t="n">
        <v>22</v>
      </c>
      <c r="F31" s="34" t="inlineStr">
        <is>
          <t>T3</t>
        </is>
      </c>
      <c r="G31" s="34" t="inlineStr">
        <is>
          <t>med-low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5000</v>
      </c>
      <c r="AI31" s="34" t="inlineStr">
        <is>
          <t>T3</t>
        </is>
      </c>
      <c r="AJ31" s="34" t="inlineStr">
        <is>
          <t>med-low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handoff/INDIA-ECONOMICS-SIDECAR-V0-2026-06-20.json (andaman)</t>
        </is>
      </c>
      <c r="AZ31" s="46" t="inlineStr">
        <is>
          <t>handoff/INDIA-ECONOMICS-SIDECAR-V0-2026-06-20.json (andaman)</t>
        </is>
      </c>
      <c r="BA31" s="34" t="inlineStr">
        <is>
          <t>rn-cc6d070e6982</t>
        </is>
      </c>
    </row>
    <row r="32">
      <c r="A32" s="31" t="inlineStr">
        <is>
          <t>India Andaman Rapido</t>
        </is>
      </c>
      <c r="B32" s="31" t="inlineStr">
        <is>
          <t>India</t>
        </is>
      </c>
      <c r="C32" s="32" t="inlineStr">
        <is>
          <t>Haddo Jetty → Chatham Harbour</t>
        </is>
      </c>
      <c r="D32" s="33" t="n">
        <v>2.5</v>
      </c>
      <c r="E32" s="27" t="n">
        <v>22</v>
      </c>
      <c r="F32" s="34" t="inlineStr">
        <is>
          <t>T3</t>
        </is>
      </c>
      <c r="G32" s="34" t="inlineStr">
        <is>
          <t>med-low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5000</v>
      </c>
      <c r="AI32" s="34" t="inlineStr">
        <is>
          <t>T3</t>
        </is>
      </c>
      <c r="AJ32" s="34" t="inlineStr">
        <is>
          <t>med-low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handoff/INDIA-ECONOMICS-SIDECAR-V0-2026-06-20.json (andaman)</t>
        </is>
      </c>
      <c r="AZ32" s="46" t="inlineStr">
        <is>
          <t>handoff/INDIA-ECONOMICS-SIDECAR-V0-2026-06-20.json (andaman)</t>
        </is>
      </c>
      <c r="BA32" s="34" t="inlineStr">
        <is>
          <t>rn-c926851cad3f</t>
        </is>
      </c>
    </row>
    <row r="33">
      <c r="A33" s="31" t="inlineStr">
        <is>
          <t>India Mumbai Rapido</t>
        </is>
      </c>
      <c r="B33" s="31" t="inlineStr">
        <is>
          <t>India</t>
        </is>
      </c>
      <c r="C33" s="32" t="inlineStr">
        <is>
          <t>Battle Harbour Design Studio → Cordelia Cruises</t>
        </is>
      </c>
      <c r="D33" s="33" t="n">
        <v>2.6</v>
      </c>
      <c r="E33" s="27" t="n">
        <v>18</v>
      </c>
      <c r="F33" s="34" t="inlineStr">
        <is>
          <t>T3</t>
        </is>
      </c>
      <c r="G33" s="34" t="inlineStr">
        <is>
          <t>med-low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5000</v>
      </c>
      <c r="AI33" s="34" t="inlineStr">
        <is>
          <t>T3</t>
        </is>
      </c>
      <c r="AJ33" s="34" t="inlineStr">
        <is>
          <t>med-low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[LB-255 PREMIUM RE-FARE: subsidized comparable $5.5 lifted to premium on-demand floor $18.0] handoff/INDIA-ECONOMICS-SIDECAR-V0-2026-06-20.json (mumbai)</t>
        </is>
      </c>
      <c r="AZ33" s="46" t="inlineStr">
        <is>
          <t>handoff/INDIA-ECONOMICS-SIDECAR-V0-2026-06-20.json (mumbai)</t>
        </is>
      </c>
      <c r="BA33" s="34" t="inlineStr">
        <is>
          <t>ics-b7c27f5d5f</t>
        </is>
      </c>
    </row>
    <row r="34">
      <c r="A34" s="31" t="inlineStr">
        <is>
          <t>India Mumbai Rapido</t>
        </is>
      </c>
      <c r="B34" s="31" t="inlineStr">
        <is>
          <t>India</t>
        </is>
      </c>
      <c r="C34" s="32" t="inlineStr">
        <is>
          <t>Bombay Harbour → Mora</t>
        </is>
      </c>
      <c r="D34" s="33" t="n">
        <v>2.6</v>
      </c>
      <c r="E34" s="27" t="n">
        <v>18</v>
      </c>
      <c r="F34" s="34" t="inlineStr">
        <is>
          <t>T3</t>
        </is>
      </c>
      <c r="G34" s="34" t="inlineStr">
        <is>
          <t>med-low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5000</v>
      </c>
      <c r="AI34" s="34" t="inlineStr">
        <is>
          <t>T3</t>
        </is>
      </c>
      <c r="AJ34" s="34" t="inlineStr">
        <is>
          <t>med-low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[LB-255 PREMIUM RE-FARE: subsidized comparable $5.5 lifted to premium on-demand floor $18.0] handoff/INDIA-ECONOMICS-SIDECAR-V0-2026-06-20.json (mumbai)</t>
        </is>
      </c>
      <c r="AZ34" s="46" t="inlineStr">
        <is>
          <t>handoff/INDIA-ECONOMICS-SIDECAR-V0-2026-06-20.json (mumbai)</t>
        </is>
      </c>
      <c r="BA34" s="34" t="inlineStr">
        <is>
          <t>ics-aeaccdd535</t>
        </is>
      </c>
    </row>
    <row r="35">
      <c r="A35" s="31" t="inlineStr">
        <is>
          <t>India Kerala Rapido</t>
        </is>
      </c>
      <c r="B35" s="31" t="inlineStr">
        <is>
          <t>India</t>
        </is>
      </c>
      <c r="C35" s="32" t="inlineStr">
        <is>
          <t>Palette MG Road Ernakulam formerly Harbour View Residency → BLUEMARINE Backwaters</t>
        </is>
      </c>
      <c r="D35" s="33" t="n">
        <v>2.6</v>
      </c>
      <c r="E35" s="27" t="n">
        <v>18</v>
      </c>
      <c r="F35" s="34" t="inlineStr">
        <is>
          <t>T3</t>
        </is>
      </c>
      <c r="G35" s="34" t="inlineStr">
        <is>
          <t>med-low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29166</v>
      </c>
      <c r="AI35" s="34" t="inlineStr">
        <is>
          <t>T3</t>
        </is>
      </c>
      <c r="AJ35" s="34" t="inlineStr">
        <is>
          <t>med-low</t>
        </is>
      </c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Grounded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[LB-255 PREMIUM RE-FARE: subsidized comparable $3.5 lifted to premium on-demand floor $18.0] handoff/INDIA-ECONOMICS-SIDECAR-V0-2026-06-20.json (kerala)</t>
        </is>
      </c>
      <c r="AZ35" s="46" t="inlineStr">
        <is>
          <t>handoff/INDIA-ECONOMICS-SIDECAR-V0-2026-06-20.json (kerala)</t>
        </is>
      </c>
      <c r="BA35" s="34" t="inlineStr">
        <is>
          <t>ics-537ea74b43</t>
        </is>
      </c>
    </row>
    <row r="36">
      <c r="A36" s="31" t="inlineStr">
        <is>
          <t>India Andaman Rapido</t>
        </is>
      </c>
      <c r="B36" s="31" t="inlineStr">
        <is>
          <t>India</t>
        </is>
      </c>
      <c r="C36" s="32" t="inlineStr">
        <is>
          <t>Haddo Jetty → Chatham Jetty</t>
        </is>
      </c>
      <c r="D36" s="33" t="n">
        <v>2.6</v>
      </c>
      <c r="E36" s="27" t="n">
        <v>22</v>
      </c>
      <c r="F36" s="34" t="inlineStr">
        <is>
          <t>T3</t>
        </is>
      </c>
      <c r="G36" s="34" t="inlineStr">
        <is>
          <t>med-low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5000</v>
      </c>
      <c r="AI36" s="34" t="inlineStr">
        <is>
          <t>T3</t>
        </is>
      </c>
      <c r="AJ36" s="34" t="inlineStr">
        <is>
          <t>med-low</t>
        </is>
      </c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handoff/INDIA-ECONOMICS-SIDECAR-V0-2026-06-20.json (andaman)</t>
        </is>
      </c>
      <c r="AZ36" s="46" t="inlineStr">
        <is>
          <t>handoff/INDIA-ECONOMICS-SIDECAR-V0-2026-06-20.json (andaman)</t>
        </is>
      </c>
      <c r="BA36" s="34" t="inlineStr">
        <is>
          <t>rn-7528a970565a</t>
        </is>
      </c>
    </row>
    <row r="37">
      <c r="A37" s="31" t="inlineStr">
        <is>
          <t>India Mumbai Rapido</t>
        </is>
      </c>
      <c r="B37" s="31" t="inlineStr">
        <is>
          <t>India</t>
        </is>
      </c>
      <c r="C37" s="32" t="inlineStr">
        <is>
          <t>Bhaucha Dhakka Ferry Boat Service → Bombay Harbour</t>
        </is>
      </c>
      <c r="D37" s="33" t="n">
        <v>2.7</v>
      </c>
      <c r="E37" s="27" t="n">
        <v>18</v>
      </c>
      <c r="F37" s="34" t="inlineStr">
        <is>
          <t>T3</t>
        </is>
      </c>
      <c r="G37" s="34" t="inlineStr">
        <is>
          <t>med-low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5000</v>
      </c>
      <c r="AI37" s="34" t="inlineStr">
        <is>
          <t>T3</t>
        </is>
      </c>
      <c r="AJ37" s="34" t="inlineStr">
        <is>
          <t>med-low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[LB-255 PREMIUM RE-FARE: subsidized comparable $5.5 lifted to premium on-demand floor $18.0] handoff/INDIA-ECONOMICS-SIDECAR-V0-2026-06-20.json (mumbai)</t>
        </is>
      </c>
      <c r="AZ37" s="46" t="inlineStr">
        <is>
          <t>handoff/INDIA-ECONOMICS-SIDECAR-V0-2026-06-20.json (mumbai)</t>
        </is>
      </c>
      <c r="BA37" s="34" t="inlineStr">
        <is>
          <t>ics-db928c0f22</t>
        </is>
      </c>
    </row>
    <row r="38">
      <c r="A38" s="31" t="inlineStr">
        <is>
          <t>India Goa Rapido</t>
        </is>
      </c>
      <c r="B38" s="31" t="inlineStr">
        <is>
          <t>India</t>
        </is>
      </c>
      <c r="C38" s="32" t="inlineStr">
        <is>
          <t>Chorao Ferry Terminal → Pomburpa Ferry Terminal</t>
        </is>
      </c>
      <c r="D38" s="33" t="n">
        <v>2.7</v>
      </c>
      <c r="E38" s="27" t="n">
        <v>8</v>
      </c>
      <c r="F38" s="34" t="inlineStr">
        <is>
          <t>T3</t>
        </is>
      </c>
      <c r="G38" s="34" t="inlineStr">
        <is>
          <t>med-low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11250</v>
      </c>
      <c r="AI38" s="34" t="inlineStr">
        <is>
          <t>T3</t>
        </is>
      </c>
      <c r="AJ38" s="34" t="inlineStr">
        <is>
          <t>med-low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handoff/INDIA-ECONOMICS-SIDECAR-V0-2026-06-20.json (goa)</t>
        </is>
      </c>
      <c r="AZ38" s="46" t="inlineStr">
        <is>
          <t>handoff/INDIA-ECONOMICS-SIDECAR-V0-2026-06-20.json (goa)</t>
        </is>
      </c>
      <c r="BA38" s="34" t="inlineStr">
        <is>
          <t>ics-2ada641ba1</t>
        </is>
      </c>
    </row>
    <row r="39">
      <c r="A39" s="31" t="inlineStr">
        <is>
          <t>India Goa Rapido</t>
        </is>
      </c>
      <c r="B39" s="31" t="inlineStr">
        <is>
          <t>India</t>
        </is>
      </c>
      <c r="C39" s="32" t="inlineStr">
        <is>
          <t>Goveia Marina → Camurlim Ferry Terminal</t>
        </is>
      </c>
      <c r="D39" s="33" t="n">
        <v>2.7</v>
      </c>
      <c r="E39" s="27" t="n">
        <v>8</v>
      </c>
      <c r="F39" s="34" t="inlineStr">
        <is>
          <t>T3</t>
        </is>
      </c>
      <c r="G39" s="34" t="inlineStr">
        <is>
          <t>med-low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11250</v>
      </c>
      <c r="AI39" s="34" t="inlineStr">
        <is>
          <t>T3</t>
        </is>
      </c>
      <c r="AJ39" s="34" t="inlineStr">
        <is>
          <t>med-low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handoff/INDIA-ECONOMICS-SIDECAR-V0-2026-06-20.json (goa)</t>
        </is>
      </c>
      <c r="AZ39" s="46" t="inlineStr">
        <is>
          <t>handoff/INDIA-ECONOMICS-SIDECAR-V0-2026-06-20.json (goa)</t>
        </is>
      </c>
      <c r="BA39" s="34" t="inlineStr">
        <is>
          <t>ics-9de541dea2</t>
        </is>
      </c>
    </row>
    <row r="40">
      <c r="A40" s="31" t="inlineStr">
        <is>
          <t>India Kerala Rapido</t>
        </is>
      </c>
      <c r="B40" s="31" t="inlineStr">
        <is>
          <t>India</t>
        </is>
      </c>
      <c r="C40" s="32" t="inlineStr">
        <is>
          <t>BLUEMARINE Backwaters → Sailing Club House</t>
        </is>
      </c>
      <c r="D40" s="33" t="n">
        <v>2.7</v>
      </c>
      <c r="E40" s="27" t="n">
        <v>18</v>
      </c>
      <c r="F40" s="34" t="inlineStr">
        <is>
          <t>T3</t>
        </is>
      </c>
      <c r="G40" s="34" t="inlineStr">
        <is>
          <t>med-low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29166</v>
      </c>
      <c r="AI40" s="34" t="inlineStr">
        <is>
          <t>T3</t>
        </is>
      </c>
      <c r="AJ40" s="34" t="inlineStr">
        <is>
          <t>med-low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[LB-255 PREMIUM RE-FARE: subsidized comparable $3.5 lifted to premium on-demand floor $18.0] handoff/INDIA-ECONOMICS-SIDECAR-V0-2026-06-20.json (kerala)</t>
        </is>
      </c>
      <c r="AZ40" s="46" t="inlineStr">
        <is>
          <t>handoff/INDIA-ECONOMICS-SIDECAR-V0-2026-06-20.json (kerala)</t>
        </is>
      </c>
      <c r="BA40" s="34" t="inlineStr">
        <is>
          <t>ics-40f9371e54</t>
        </is>
      </c>
    </row>
    <row r="41">
      <c r="A41" s="31" t="inlineStr">
        <is>
          <t>India Andaman Rapido</t>
        </is>
      </c>
      <c r="B41" s="31" t="inlineStr">
        <is>
          <t>India</t>
        </is>
      </c>
      <c r="C41" s="32" t="inlineStr">
        <is>
          <t>Gamefishing Asia → Chatham Jetty</t>
        </is>
      </c>
      <c r="D41" s="33" t="n">
        <v>2.7</v>
      </c>
      <c r="E41" s="27" t="n">
        <v>22</v>
      </c>
      <c r="F41" s="34" t="inlineStr">
        <is>
          <t>T3</t>
        </is>
      </c>
      <c r="G41" s="34" t="inlineStr">
        <is>
          <t>med-low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5000</v>
      </c>
      <c r="AI41" s="34" t="inlineStr">
        <is>
          <t>T3</t>
        </is>
      </c>
      <c r="AJ41" s="34" t="inlineStr">
        <is>
          <t>med-low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handoff/INDIA-ECONOMICS-SIDECAR-V0-2026-06-20.json (andaman)</t>
        </is>
      </c>
      <c r="AZ41" s="46" t="inlineStr">
        <is>
          <t>handoff/INDIA-ECONOMICS-SIDECAR-V0-2026-06-20.json (andaman)</t>
        </is>
      </c>
      <c r="BA41" s="34" t="inlineStr">
        <is>
          <t>rn-37e30631f342</t>
        </is>
      </c>
    </row>
    <row r="42">
      <c r="A42" s="31" t="inlineStr">
        <is>
          <t>India Mumbai Rapido</t>
        </is>
      </c>
      <c r="B42" s="31" t="inlineStr">
        <is>
          <t>India</t>
        </is>
      </c>
      <c r="C42" s="32" t="inlineStr">
        <is>
          <t>Bhaucha Dhakka → Bombay Harbour</t>
        </is>
      </c>
      <c r="D42" s="33" t="n">
        <v>2.8</v>
      </c>
      <c r="E42" s="27" t="n">
        <v>18</v>
      </c>
      <c r="F42" s="34" t="inlineStr">
        <is>
          <t>T3</t>
        </is>
      </c>
      <c r="G42" s="34" t="inlineStr">
        <is>
          <t>med-low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5000</v>
      </c>
      <c r="AI42" s="34" t="inlineStr">
        <is>
          <t>T3</t>
        </is>
      </c>
      <c r="AJ42" s="34" t="inlineStr">
        <is>
          <t>med-low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[LB-255 PREMIUM RE-FARE: subsidized comparable $5.5 lifted to premium on-demand floor $18.0] handoff/INDIA-ECONOMICS-SIDECAR-V0-2026-06-20.json (mumbai)</t>
        </is>
      </c>
      <c r="AZ42" s="46" t="inlineStr">
        <is>
          <t>handoff/INDIA-ECONOMICS-SIDECAR-V0-2026-06-20.json (mumbai)</t>
        </is>
      </c>
      <c r="BA42" s="34" t="inlineStr">
        <is>
          <t>ics-a474f665c3</t>
        </is>
      </c>
    </row>
    <row r="43">
      <c r="A43" s="31" t="inlineStr">
        <is>
          <t>India Goa Rapido</t>
        </is>
      </c>
      <c r="B43" s="31" t="inlineStr">
        <is>
          <t>India</t>
        </is>
      </c>
      <c r="C43" s="32" t="inlineStr">
        <is>
          <t>Goveia Marina → Tuem Ferry Terminal</t>
        </is>
      </c>
      <c r="D43" s="33" t="n">
        <v>2.8</v>
      </c>
      <c r="E43" s="27" t="n">
        <v>8</v>
      </c>
      <c r="F43" s="34" t="inlineStr">
        <is>
          <t>T3</t>
        </is>
      </c>
      <c r="G43" s="34" t="inlineStr">
        <is>
          <t>med-low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11250</v>
      </c>
      <c r="AI43" s="34" t="inlineStr">
        <is>
          <t>T3</t>
        </is>
      </c>
      <c r="AJ43" s="34" t="inlineStr">
        <is>
          <t>med-low</t>
        </is>
      </c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Grounded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handoff/INDIA-ECONOMICS-SIDECAR-V0-2026-06-20.json (goa)</t>
        </is>
      </c>
      <c r="AZ43" s="46" t="inlineStr">
        <is>
          <t>handoff/INDIA-ECONOMICS-SIDECAR-V0-2026-06-20.json (goa)</t>
        </is>
      </c>
      <c r="BA43" s="34" t="inlineStr">
        <is>
          <t>ics-3d9857288c</t>
        </is>
      </c>
    </row>
    <row r="44">
      <c r="A44" s="31" t="inlineStr">
        <is>
          <t>India Goa Rapido</t>
        </is>
      </c>
      <c r="B44" s="31" t="inlineStr">
        <is>
          <t>India</t>
        </is>
      </c>
      <c r="C44" s="32" t="inlineStr">
        <is>
          <t>Ribandar Ferry → Piedade Ferry Terminal</t>
        </is>
      </c>
      <c r="D44" s="33" t="n">
        <v>2.8</v>
      </c>
      <c r="E44" s="27" t="n">
        <v>8</v>
      </c>
      <c r="F44" s="34" t="inlineStr">
        <is>
          <t>T3</t>
        </is>
      </c>
      <c r="G44" s="34" t="inlineStr">
        <is>
          <t>med-low</t>
        </is>
      </c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>
        <v>11250</v>
      </c>
      <c r="AI44" s="34" t="inlineStr">
        <is>
          <t>T3</t>
        </is>
      </c>
      <c r="AJ44" s="34" t="inlineStr">
        <is>
          <t>med-low</t>
        </is>
      </c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Grounded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inlineStr">
        <is>
          <t>handoff/INDIA-ECONOMICS-SIDECAR-V0-2026-06-20.json (goa)</t>
        </is>
      </c>
      <c r="AZ44" s="46" t="inlineStr">
        <is>
          <t>handoff/INDIA-ECONOMICS-SIDECAR-V0-2026-06-20.json (goa)</t>
        </is>
      </c>
      <c r="BA44" s="34" t="inlineStr">
        <is>
          <t>ics-844f5ae3b3</t>
        </is>
      </c>
    </row>
    <row r="45">
      <c r="A45" s="31" t="inlineStr">
        <is>
          <t>India Kerala Rapido</t>
        </is>
      </c>
      <c r="B45" s="31" t="inlineStr">
        <is>
          <t>India</t>
        </is>
      </c>
      <c r="C45" s="32" t="inlineStr">
        <is>
          <t>Keltron Ferry → Sailing Club House</t>
        </is>
      </c>
      <c r="D45" s="33" t="n">
        <v>2.8</v>
      </c>
      <c r="E45" s="27" t="n">
        <v>18</v>
      </c>
      <c r="F45" s="34" t="inlineStr">
        <is>
          <t>T3</t>
        </is>
      </c>
      <c r="G45" s="34" t="inlineStr">
        <is>
          <t>med-low</t>
        </is>
      </c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>
        <v>29166</v>
      </c>
      <c r="AI45" s="34" t="inlineStr">
        <is>
          <t>T3</t>
        </is>
      </c>
      <c r="AJ45" s="34" t="inlineStr">
        <is>
          <t>med-low</t>
        </is>
      </c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Grounded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inlineStr">
        <is>
          <t>[LB-255 PREMIUM RE-FARE: subsidized comparable $3.5 lifted to premium on-demand floor $18.0] handoff/INDIA-ECONOMICS-SIDECAR-V0-2026-06-20.json (kerala)</t>
        </is>
      </c>
      <c r="AZ45" s="46" t="inlineStr">
        <is>
          <t>handoff/INDIA-ECONOMICS-SIDECAR-V0-2026-06-20.json (kerala)</t>
        </is>
      </c>
      <c r="BA45" s="34" t="inlineStr">
        <is>
          <t>ics-da5edb2dfd</t>
        </is>
      </c>
    </row>
    <row r="46">
      <c r="A46" s="31" t="inlineStr">
        <is>
          <t>India Andaman Rapido</t>
        </is>
      </c>
      <c r="B46" s="31" t="inlineStr">
        <is>
          <t>India</t>
        </is>
      </c>
      <c r="C46" s="32" t="inlineStr">
        <is>
          <t>Andaman → Andaman &amp; Nicobar Islands</t>
        </is>
      </c>
      <c r="D46" s="33" t="n">
        <v>2.8</v>
      </c>
      <c r="E46" s="27" t="n">
        <v>22</v>
      </c>
      <c r="F46" s="34" t="inlineStr">
        <is>
          <t>T3</t>
        </is>
      </c>
      <c r="G46" s="34" t="inlineStr">
        <is>
          <t>med-low</t>
        </is>
      </c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>
        <v>5000</v>
      </c>
      <c r="AI46" s="34" t="inlineStr">
        <is>
          <t>T3</t>
        </is>
      </c>
      <c r="AJ46" s="34" t="inlineStr">
        <is>
          <t>med-low</t>
        </is>
      </c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Grounded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inlineStr">
        <is>
          <t>handoff/INDIA-ECONOMICS-SIDECAR-V0-2026-06-20.json (andaman)</t>
        </is>
      </c>
      <c r="AZ46" s="46" t="inlineStr">
        <is>
          <t>handoff/INDIA-ECONOMICS-SIDECAR-V0-2026-06-20.json (andaman)</t>
        </is>
      </c>
      <c r="BA46" s="34" t="inlineStr">
        <is>
          <t>ics-0fa311bec3</t>
        </is>
      </c>
    </row>
    <row r="47">
      <c r="A47" s="31" t="inlineStr">
        <is>
          <t>India Andaman Rapido</t>
        </is>
      </c>
      <c r="B47" s="31" t="inlineStr">
        <is>
          <t>India</t>
        </is>
      </c>
      <c r="C47" s="32" t="inlineStr">
        <is>
          <t>Andaman → BookMyBoat Andaman Ferry Booking</t>
        </is>
      </c>
      <c r="D47" s="33" t="n">
        <v>2.8</v>
      </c>
      <c r="E47" s="27" t="n">
        <v>22</v>
      </c>
      <c r="F47" s="34" t="inlineStr">
        <is>
          <t>T3</t>
        </is>
      </c>
      <c r="G47" s="34" t="inlineStr">
        <is>
          <t>med-low</t>
        </is>
      </c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>
        <v>5000</v>
      </c>
      <c r="AI47" s="34" t="inlineStr">
        <is>
          <t>T3</t>
        </is>
      </c>
      <c r="AJ47" s="34" t="inlineStr">
        <is>
          <t>med-low</t>
        </is>
      </c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Grounded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inlineStr">
        <is>
          <t>handoff/INDIA-ECONOMICS-SIDECAR-V0-2026-06-20.json (andaman)</t>
        </is>
      </c>
      <c r="AZ47" s="46" t="inlineStr">
        <is>
          <t>handoff/INDIA-ECONOMICS-SIDECAR-V0-2026-06-20.json (andaman)</t>
        </is>
      </c>
      <c r="BA47" s="34" t="inlineStr">
        <is>
          <t>rn-0e50f4087bda</t>
        </is>
      </c>
    </row>
    <row r="48">
      <c r="A48" s="31" t="inlineStr">
        <is>
          <t>India Andaman Rapido</t>
        </is>
      </c>
      <c r="B48" s="31" t="inlineStr">
        <is>
          <t>India</t>
        </is>
      </c>
      <c r="C48" s="32" t="inlineStr">
        <is>
          <t>Junglighat Jetty → BookMyBoat Andaman Ferry Booking</t>
        </is>
      </c>
      <c r="D48" s="33" t="n">
        <v>2.8</v>
      </c>
      <c r="E48" s="27" t="n">
        <v>22</v>
      </c>
      <c r="F48" s="34" t="inlineStr">
        <is>
          <t>T3</t>
        </is>
      </c>
      <c r="G48" s="34" t="inlineStr">
        <is>
          <t>med-low</t>
        </is>
      </c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5000</v>
      </c>
      <c r="AI48" s="34" t="inlineStr">
        <is>
          <t>T3</t>
        </is>
      </c>
      <c r="AJ48" s="34" t="inlineStr">
        <is>
          <t>med-low</t>
        </is>
      </c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Grounded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inlineStr">
        <is>
          <t>handoff/INDIA-ECONOMICS-SIDECAR-V0-2026-06-20.json (andaman)</t>
        </is>
      </c>
      <c r="AZ48" s="46" t="inlineStr">
        <is>
          <t>handoff/INDIA-ECONOMICS-SIDECAR-V0-2026-06-20.json (andaman)</t>
        </is>
      </c>
      <c r="BA48" s="34" t="inlineStr">
        <is>
          <t>rn-cc3bf1c851a3</t>
        </is>
      </c>
    </row>
    <row r="49">
      <c r="A49" s="31" t="inlineStr">
        <is>
          <t>India Andaman Rapido</t>
        </is>
      </c>
      <c r="B49" s="31" t="inlineStr">
        <is>
          <t>India</t>
        </is>
      </c>
      <c r="C49" s="32" t="inlineStr">
        <is>
          <t>Port Blair → BookMyBoat Andaman Ferry Booking</t>
        </is>
      </c>
      <c r="D49" s="33" t="n">
        <v>2.8</v>
      </c>
      <c r="E49" s="27" t="n">
        <v>22</v>
      </c>
      <c r="F49" s="34" t="inlineStr">
        <is>
          <t>T3</t>
        </is>
      </c>
      <c r="G49" s="34" t="inlineStr">
        <is>
          <t>med-low</t>
        </is>
      </c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Korea",FLOOR(60*korea_service_hr/K49,1),MIN(15,FLOOR(60*service_hr/K49,1)))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>
        <v>5000</v>
      </c>
      <c r="AI49" s="34" t="inlineStr">
        <is>
          <t>T3</t>
        </is>
      </c>
      <c r="AJ49" s="34" t="inlineStr">
        <is>
          <t>med-low</t>
        </is>
      </c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Grounded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inlineStr">
        <is>
          <t>handoff/INDIA-ECONOMICS-SIDECAR-V0-2026-06-20.json (andaman)</t>
        </is>
      </c>
      <c r="AZ49" s="46" t="inlineStr">
        <is>
          <t>handoff/INDIA-ECONOMICS-SIDECAR-V0-2026-06-20.json (andaman)</t>
        </is>
      </c>
      <c r="BA49" s="34" t="inlineStr">
        <is>
          <t>rn-98d8f63617ee</t>
        </is>
      </c>
    </row>
    <row r="50">
      <c r="A50" s="31" t="inlineStr">
        <is>
          <t>India Mumbai Rapido</t>
        </is>
      </c>
      <c r="B50" s="31" t="inlineStr">
        <is>
          <t>India</t>
        </is>
      </c>
      <c r="C50" s="32" t="inlineStr">
        <is>
          <t>Pirpau Jetty → JNPT Ferry Service</t>
        </is>
      </c>
      <c r="D50" s="33" t="n">
        <v>2.9</v>
      </c>
      <c r="E50" s="27" t="n">
        <v>18</v>
      </c>
      <c r="F50" s="34" t="inlineStr">
        <is>
          <t>T3</t>
        </is>
      </c>
      <c r="G50" s="34" t="inlineStr">
        <is>
          <t>med-low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5000</v>
      </c>
      <c r="AI50" s="34" t="inlineStr">
        <is>
          <t>T3</t>
        </is>
      </c>
      <c r="AJ50" s="34" t="inlineStr">
        <is>
          <t>med-low</t>
        </is>
      </c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Grounded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[LB-255 PREMIUM RE-FARE: subsidized comparable $5.5 lifted to premium on-demand floor $18.0] handoff/INDIA-ECONOMICS-SIDECAR-V0-2026-06-20.json (mumbai)</t>
        </is>
      </c>
      <c r="AZ50" s="46" t="inlineStr">
        <is>
          <t>handoff/INDIA-ECONOMICS-SIDECAR-V0-2026-06-20.json (mumbai)</t>
        </is>
      </c>
      <c r="BA50" s="34" t="inlineStr">
        <is>
          <t>ics-27f7e37228</t>
        </is>
      </c>
    </row>
    <row r="51">
      <c r="A51" s="31" t="inlineStr">
        <is>
          <t>India Andaman Rapido</t>
        </is>
      </c>
      <c r="B51" s="31" t="inlineStr">
        <is>
          <t>India</t>
        </is>
      </c>
      <c r="C51" s="32" t="inlineStr">
        <is>
          <t>Bambooflat Jetty → Panighat Ferry Jetty</t>
        </is>
      </c>
      <c r="D51" s="33" t="n">
        <v>3</v>
      </c>
      <c r="E51" s="27" t="n">
        <v>22</v>
      </c>
      <c r="F51" s="34" t="inlineStr">
        <is>
          <t>T3</t>
        </is>
      </c>
      <c r="G51" s="34" t="inlineStr">
        <is>
          <t>med-low</t>
        </is>
      </c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Korea",FLOOR(60*korea_service_hr/K51,1),MIN(15,FLOOR(60*service_hr/K51,1)))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>
        <v>5000</v>
      </c>
      <c r="AI51" s="34" t="inlineStr">
        <is>
          <t>T3</t>
        </is>
      </c>
      <c r="AJ51" s="34" t="inlineStr">
        <is>
          <t>med-low</t>
        </is>
      </c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Grounded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inlineStr">
        <is>
          <t>handoff/INDIA-ECONOMICS-SIDECAR-V0-2026-06-20.json (andaman)</t>
        </is>
      </c>
      <c r="AZ51" s="46" t="inlineStr">
        <is>
          <t>handoff/INDIA-ECONOMICS-SIDECAR-V0-2026-06-20.json (andaman)</t>
        </is>
      </c>
      <c r="BA51" s="34" t="inlineStr">
        <is>
          <t>rn-9b537095b07d</t>
        </is>
      </c>
    </row>
    <row r="52">
      <c r="A52" s="31" t="inlineStr">
        <is>
          <t>India Goa Rapido</t>
        </is>
      </c>
      <c r="B52" s="31" t="inlineStr">
        <is>
          <t>India</t>
        </is>
      </c>
      <c r="C52" s="32" t="inlineStr">
        <is>
          <t>Yacht Life Goa → Camurlim Ferry Terminal</t>
        </is>
      </c>
      <c r="D52" s="33" t="n">
        <v>3.1</v>
      </c>
      <c r="E52" s="27" t="n">
        <v>8</v>
      </c>
      <c r="F52" s="34" t="inlineStr">
        <is>
          <t>T3</t>
        </is>
      </c>
      <c r="G52" s="34" t="inlineStr">
        <is>
          <t>med-low</t>
        </is>
      </c>
      <c r="H52" s="20" t="n">
        <v>1</v>
      </c>
      <c r="I52" s="35">
        <f>60*D52/cruise_kt</f>
        <v/>
      </c>
      <c r="J52" s="35">
        <f>IF(B52="South Korea",D52/korea_charge_range_nm*korea_full_range_charge_min,0)</f>
        <v/>
      </c>
      <c r="K52" s="35">
        <f>IF(B52="South Korea",I52+korea_turn_min+korea_dwell_min+J52,I52+turn_min+dwell_min)</f>
        <v/>
      </c>
      <c r="L52" s="36">
        <f>IF(B52="South Korea",FLOOR(60*korea_service_hr/K52,1),MIN(15,FLOOR(60*service_hr/K52,1)))</f>
        <v/>
      </c>
      <c r="M52" s="36">
        <f>IF(ABS(MOD(ABS((365*mech_uptime*H52)),1)-0.5)&lt;1E-9,2*ROUND((365*mech_uptime*H52)/2,0),ROUND((365*mech_uptime*H52),0))</f>
        <v/>
      </c>
      <c r="N52" s="37">
        <f>mech_uptime</f>
        <v/>
      </c>
      <c r="O52" s="37">
        <f>IF(AND(B52="South Korea",scenario="MID"),korea_mid_revleg,revleg_sel)</f>
        <v/>
      </c>
      <c r="P52" s="36">
        <f>IF(ABS(MOD(ABS((L52*M52*O52)),1)-0.5)&lt;1E-9,2*ROUND((L52*M52*O52)/2,0),ROUND((L52*M52*O52),0))</f>
        <v/>
      </c>
      <c r="Q52" s="37">
        <f>IF(AND(B52="South Korea",scenario="MID"),korea_mid_load,load_sel)</f>
        <v/>
      </c>
      <c r="R52" s="38">
        <f>pax_cap*Q52</f>
        <v/>
      </c>
      <c r="S52" s="36">
        <f>R52*P52</f>
        <v/>
      </c>
      <c r="T52" s="39">
        <f>E52*discount</f>
        <v/>
      </c>
      <c r="U52" s="40">
        <f>T52*S52</f>
        <v/>
      </c>
      <c r="V52" s="40">
        <f>(battery/range_nm)*D52*P52*VLOOKUP(B52,country_opex,3,FALSE)</f>
        <v/>
      </c>
      <c r="W52" s="40">
        <f>VLOOKUP(B52,country_opex,2,FALSE)*crew_factor</f>
        <v/>
      </c>
      <c r="X52" s="40">
        <f>VLOOKUP(B52,country_opex,5,FALSE)</f>
        <v/>
      </c>
      <c r="Y52" s="40">
        <f>maint</f>
        <v/>
      </c>
      <c r="Z52" s="40">
        <f>VLOOKUP(B52,country_opex,7,FALSE)*ins_pct</f>
        <v/>
      </c>
      <c r="AA52" s="40">
        <f>charge_berth</f>
        <v/>
      </c>
      <c r="AB52" s="40">
        <f>V52+W52+X52+Y52+Z52+AA52</f>
        <v/>
      </c>
      <c r="AC52" s="40">
        <f>VLOOKUP(B52,country_opex,7,FALSE)/dep_years</f>
        <v/>
      </c>
      <c r="AD52" s="40">
        <f>U52-AB52</f>
        <v/>
      </c>
      <c r="AE52" s="37">
        <f>IF(U52=0,"",AD52/U52)</f>
        <v/>
      </c>
      <c r="AF52" s="38">
        <f>IF(AD52&lt;=0,"",VLOOKUP(B52,country_opex,7,FALSE)/AD52)</f>
        <v/>
      </c>
      <c r="AG52" s="35">
        <f>((D52*P52/diesel_nmpg)*diesel_co2pg-(battery/range_nm)*D52*P52*VLOOKUP(B52,country_opex,4,FALSE))/1000</f>
        <v/>
      </c>
      <c r="AH52" s="33" t="n">
        <v>11250</v>
      </c>
      <c r="AI52" s="34" t="inlineStr">
        <is>
          <t>T3</t>
        </is>
      </c>
      <c r="AJ52" s="34" t="inlineStr">
        <is>
          <t>med-low</t>
        </is>
      </c>
      <c r="AK52" s="41" t="n">
        <v>0.1</v>
      </c>
      <c r="AL52" s="36">
        <f>IF(AH52="","",AH52*AK52)</f>
        <v/>
      </c>
      <c r="AM52" s="36">
        <f>IF(OR(AH52="",S52=0),"",MIN(IF(AU52="",9.9E+99,AU52),FLOOR(AL52/S52,1)))</f>
        <v/>
      </c>
      <c r="AN52" s="40">
        <f>IF(AM52="","",AM52*IF(ABS(MOD(ABS((U52)),1)-0.5)&lt;1E-9,2*ROUND((U52)/2,0),ROUND((U52),0)))</f>
        <v/>
      </c>
      <c r="AO52" s="38">
        <f>IF(OR(AH52="",S52=0),"",MIN(IF(AU52="",9.9E+99,AU52),AL52/S52))</f>
        <v/>
      </c>
      <c r="AP52" s="40">
        <f>IF(AO52="","",AO52*IF(B52="South Korea",IF(ABS(MOD(ABS((U52)),1)-0.5)&lt;1E-9,2*ROUND((U52)/2,0),ROUND((U52),0)),U52))</f>
        <v/>
      </c>
      <c r="AQ52" s="42" t="n"/>
      <c r="AR52" s="34" t="inlineStr">
        <is>
          <t>Grounded</t>
        </is>
      </c>
      <c r="AS52" s="43" t="n"/>
      <c r="AT52" s="43" t="n"/>
      <c r="AU52" s="44" t="n"/>
      <c r="AV52" s="45">
        <f>IF(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&lt;=0,"",VLOOKUP(B52,country_opex,7,FALSE)/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)</f>
        <v/>
      </c>
      <c r="AW52" s="45">
        <f>IF(((T52*pax_cap*IF(B52="South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Korea",korea_mid_revleg,revleg_mid)),0))*VLOOKUP(B52,country_opex,3,FALSE))+W52+X52+Y52+Z52+AA52))&lt;=0,"",VLOOKUP(B52,country_opex,7,FALSE)/((T52*pax_cap*IF(B52="South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Korea",korea_mid_revleg,revleg_mid)),0))*VLOOKUP(B52,country_opex,3,FALSE))+W52+X52+Y52+Z52+AA52)))</f>
        <v/>
      </c>
      <c r="AX52" s="45">
        <f>IF(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&lt;=0,"",VLOOKUP(B52,country_opex,7,FALSE)/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)</f>
        <v/>
      </c>
      <c r="AY52" s="46" t="inlineStr">
        <is>
          <t>handoff/INDIA-ECONOMICS-SIDECAR-V0-2026-06-20.json (goa)</t>
        </is>
      </c>
      <c r="AZ52" s="46" t="inlineStr">
        <is>
          <t>handoff/INDIA-ECONOMICS-SIDECAR-V0-2026-06-20.json (goa)</t>
        </is>
      </c>
      <c r="BA52" s="34" t="inlineStr">
        <is>
          <t>ics-894d34e14d</t>
        </is>
      </c>
    </row>
    <row r="53">
      <c r="A53" s="31" t="inlineStr">
        <is>
          <t>India Goa Rapido</t>
        </is>
      </c>
      <c r="B53" s="31" t="inlineStr">
        <is>
          <t>India</t>
        </is>
      </c>
      <c r="C53" s="32" t="inlineStr">
        <is>
          <t>Yacht Life Goa → Tuem Ferry Terminal</t>
        </is>
      </c>
      <c r="D53" s="33" t="n">
        <v>3.1</v>
      </c>
      <c r="E53" s="27" t="n">
        <v>8</v>
      </c>
      <c r="F53" s="34" t="inlineStr">
        <is>
          <t>T3</t>
        </is>
      </c>
      <c r="G53" s="34" t="inlineStr">
        <is>
          <t>med-low</t>
        </is>
      </c>
      <c r="H53" s="20" t="n">
        <v>1</v>
      </c>
      <c r="I53" s="35">
        <f>60*D53/cruise_kt</f>
        <v/>
      </c>
      <c r="J53" s="35">
        <f>IF(B53="South Korea",D53/korea_charge_range_nm*korea_full_range_charge_min,0)</f>
        <v/>
      </c>
      <c r="K53" s="35">
        <f>IF(B53="South Korea",I53+korea_turn_min+korea_dwell_min+J53,I53+turn_min+dwell_min)</f>
        <v/>
      </c>
      <c r="L53" s="36">
        <f>IF(B53="South Korea",FLOOR(60*korea_service_hr/K53,1),MIN(15,FLOOR(60*service_hr/K53,1)))</f>
        <v/>
      </c>
      <c r="M53" s="36">
        <f>IF(ABS(MOD(ABS((365*mech_uptime*H53)),1)-0.5)&lt;1E-9,2*ROUND((365*mech_uptime*H53)/2,0),ROUND((365*mech_uptime*H53),0))</f>
        <v/>
      </c>
      <c r="N53" s="37">
        <f>mech_uptime</f>
        <v/>
      </c>
      <c r="O53" s="37">
        <f>IF(AND(B53="South Korea",scenario="MID"),korea_mid_revleg,revleg_sel)</f>
        <v/>
      </c>
      <c r="P53" s="36">
        <f>IF(ABS(MOD(ABS((L53*M53*O53)),1)-0.5)&lt;1E-9,2*ROUND((L53*M53*O53)/2,0),ROUND((L53*M53*O53),0))</f>
        <v/>
      </c>
      <c r="Q53" s="37">
        <f>IF(AND(B53="South Korea",scenario="MID"),korea_mid_load,load_sel)</f>
        <v/>
      </c>
      <c r="R53" s="38">
        <f>pax_cap*Q53</f>
        <v/>
      </c>
      <c r="S53" s="36">
        <f>R53*P53</f>
        <v/>
      </c>
      <c r="T53" s="39">
        <f>E53*discount</f>
        <v/>
      </c>
      <c r="U53" s="40">
        <f>T53*S53</f>
        <v/>
      </c>
      <c r="V53" s="40">
        <f>(battery/range_nm)*D53*P53*VLOOKUP(B53,country_opex,3,FALSE)</f>
        <v/>
      </c>
      <c r="W53" s="40">
        <f>VLOOKUP(B53,country_opex,2,FALSE)*crew_factor</f>
        <v/>
      </c>
      <c r="X53" s="40">
        <f>VLOOKUP(B53,country_opex,5,FALSE)</f>
        <v/>
      </c>
      <c r="Y53" s="40">
        <f>maint</f>
        <v/>
      </c>
      <c r="Z53" s="40">
        <f>VLOOKUP(B53,country_opex,7,FALSE)*ins_pct</f>
        <v/>
      </c>
      <c r="AA53" s="40">
        <f>charge_berth</f>
        <v/>
      </c>
      <c r="AB53" s="40">
        <f>V53+W53+X53+Y53+Z53+AA53</f>
        <v/>
      </c>
      <c r="AC53" s="40">
        <f>VLOOKUP(B53,country_opex,7,FALSE)/dep_years</f>
        <v/>
      </c>
      <c r="AD53" s="40">
        <f>U53-AB53</f>
        <v/>
      </c>
      <c r="AE53" s="37">
        <f>IF(U53=0,"",AD53/U53)</f>
        <v/>
      </c>
      <c r="AF53" s="38">
        <f>IF(AD53&lt;=0,"",VLOOKUP(B53,country_opex,7,FALSE)/AD53)</f>
        <v/>
      </c>
      <c r="AG53" s="35">
        <f>((D53*P53/diesel_nmpg)*diesel_co2pg-(battery/range_nm)*D53*P53*VLOOKUP(B53,country_opex,4,FALSE))/1000</f>
        <v/>
      </c>
      <c r="AH53" s="33" t="n">
        <v>11250</v>
      </c>
      <c r="AI53" s="34" t="inlineStr">
        <is>
          <t>T3</t>
        </is>
      </c>
      <c r="AJ53" s="34" t="inlineStr">
        <is>
          <t>med-low</t>
        </is>
      </c>
      <c r="AK53" s="41" t="n">
        <v>0.1</v>
      </c>
      <c r="AL53" s="36">
        <f>IF(AH53="","",AH53*AK53)</f>
        <v/>
      </c>
      <c r="AM53" s="36">
        <f>IF(OR(AH53="",S53=0),"",MIN(IF(AU53="",9.9E+99,AU53),FLOOR(AL53/S53,1)))</f>
        <v/>
      </c>
      <c r="AN53" s="40">
        <f>IF(AM53="","",AM53*IF(ABS(MOD(ABS((U53)),1)-0.5)&lt;1E-9,2*ROUND((U53)/2,0),ROUND((U53),0)))</f>
        <v/>
      </c>
      <c r="AO53" s="38">
        <f>IF(OR(AH53="",S53=0),"",MIN(IF(AU53="",9.9E+99,AU53),AL53/S53))</f>
        <v/>
      </c>
      <c r="AP53" s="40">
        <f>IF(AO53="","",AO53*IF(B53="South Korea",IF(ABS(MOD(ABS((U53)),1)-0.5)&lt;1E-9,2*ROUND((U53)/2,0),ROUND((U53),0)),U53))</f>
        <v/>
      </c>
      <c r="AQ53" s="42" t="n"/>
      <c r="AR53" s="34" t="inlineStr">
        <is>
          <t>Grounded</t>
        </is>
      </c>
      <c r="AS53" s="43" t="n"/>
      <c r="AT53" s="43" t="n"/>
      <c r="AU53" s="44" t="n"/>
      <c r="AV53" s="45">
        <f>IF(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&lt;=0,"",VLOOKUP(B53,country_opex,7,FALSE)/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)</f>
        <v/>
      </c>
      <c r="AW53" s="45">
        <f>IF(((T53*pax_cap*IF(B53="South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Korea",korea_mid_revleg,revleg_mid)),0))*VLOOKUP(B53,country_opex,3,FALSE))+W53+X53+Y53+Z53+AA53))&lt;=0,"",VLOOKUP(B53,country_opex,7,FALSE)/((T53*pax_cap*IF(B53="South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Korea",korea_mid_revleg,revleg_mid)),0))*VLOOKUP(B53,country_opex,3,FALSE))+W53+X53+Y53+Z53+AA53)))</f>
        <v/>
      </c>
      <c r="AX53" s="45">
        <f>IF(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&lt;=0,"",VLOOKUP(B53,country_opex,7,FALSE)/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)</f>
        <v/>
      </c>
      <c r="AY53" s="46" t="inlineStr">
        <is>
          <t>handoff/INDIA-ECONOMICS-SIDECAR-V0-2026-06-20.json (goa)</t>
        </is>
      </c>
      <c r="AZ53" s="46" t="inlineStr">
        <is>
          <t>handoff/INDIA-ECONOMICS-SIDECAR-V0-2026-06-20.json (goa)</t>
        </is>
      </c>
      <c r="BA53" s="34" t="inlineStr">
        <is>
          <t>ics-a53a6e7900</t>
        </is>
      </c>
    </row>
    <row r="54">
      <c r="A54" s="31" t="inlineStr">
        <is>
          <t>India Kerala Rapido</t>
        </is>
      </c>
      <c r="B54" s="31" t="inlineStr">
        <is>
          <t>India</t>
        </is>
      </c>
      <c r="C54" s="32" t="inlineStr">
        <is>
          <t>Martins Harbour → Kakkanad Ferry Terminal</t>
        </is>
      </c>
      <c r="D54" s="33" t="n">
        <v>3.1</v>
      </c>
      <c r="E54" s="27" t="n">
        <v>18</v>
      </c>
      <c r="F54" s="34" t="inlineStr">
        <is>
          <t>T3</t>
        </is>
      </c>
      <c r="G54" s="34" t="inlineStr">
        <is>
          <t>med-low</t>
        </is>
      </c>
      <c r="H54" s="20" t="n">
        <v>1</v>
      </c>
      <c r="I54" s="35">
        <f>60*D54/cruise_kt</f>
        <v/>
      </c>
      <c r="J54" s="35">
        <f>IF(B54="South Korea",D54/korea_charge_range_nm*korea_full_range_charge_min,0)</f>
        <v/>
      </c>
      <c r="K54" s="35">
        <f>IF(B54="South Korea",I54+korea_turn_min+korea_dwell_min+J54,I54+turn_min+dwell_min)</f>
        <v/>
      </c>
      <c r="L54" s="36">
        <f>IF(B54="South Korea",FLOOR(60*korea_service_hr/K54,1),MIN(15,FLOOR(60*service_hr/K54,1)))</f>
        <v/>
      </c>
      <c r="M54" s="36">
        <f>IF(ABS(MOD(ABS((365*mech_uptime*H54)),1)-0.5)&lt;1E-9,2*ROUND((365*mech_uptime*H54)/2,0),ROUND((365*mech_uptime*H54),0))</f>
        <v/>
      </c>
      <c r="N54" s="37">
        <f>mech_uptime</f>
        <v/>
      </c>
      <c r="O54" s="37">
        <f>IF(AND(B54="South Korea",scenario="MID"),korea_mid_revleg,revleg_sel)</f>
        <v/>
      </c>
      <c r="P54" s="36">
        <f>IF(ABS(MOD(ABS((L54*M54*O54)),1)-0.5)&lt;1E-9,2*ROUND((L54*M54*O54)/2,0),ROUND((L54*M54*O54),0))</f>
        <v/>
      </c>
      <c r="Q54" s="37">
        <f>IF(AND(B54="South Korea",scenario="MID"),korea_mid_load,load_sel)</f>
        <v/>
      </c>
      <c r="R54" s="38">
        <f>pax_cap*Q54</f>
        <v/>
      </c>
      <c r="S54" s="36">
        <f>R54*P54</f>
        <v/>
      </c>
      <c r="T54" s="39">
        <f>E54*discount</f>
        <v/>
      </c>
      <c r="U54" s="40">
        <f>T54*S54</f>
        <v/>
      </c>
      <c r="V54" s="40">
        <f>(battery/range_nm)*D54*P54*VLOOKUP(B54,country_opex,3,FALSE)</f>
        <v/>
      </c>
      <c r="W54" s="40">
        <f>VLOOKUP(B54,country_opex,2,FALSE)*crew_factor</f>
        <v/>
      </c>
      <c r="X54" s="40">
        <f>VLOOKUP(B54,country_opex,5,FALSE)</f>
        <v/>
      </c>
      <c r="Y54" s="40">
        <f>maint</f>
        <v/>
      </c>
      <c r="Z54" s="40">
        <f>VLOOKUP(B54,country_opex,7,FALSE)*ins_pct</f>
        <v/>
      </c>
      <c r="AA54" s="40">
        <f>charge_berth</f>
        <v/>
      </c>
      <c r="AB54" s="40">
        <f>V54+W54+X54+Y54+Z54+AA54</f>
        <v/>
      </c>
      <c r="AC54" s="40">
        <f>VLOOKUP(B54,country_opex,7,FALSE)/dep_years</f>
        <v/>
      </c>
      <c r="AD54" s="40">
        <f>U54-AB54</f>
        <v/>
      </c>
      <c r="AE54" s="37">
        <f>IF(U54=0,"",AD54/U54)</f>
        <v/>
      </c>
      <c r="AF54" s="38">
        <f>IF(AD54&lt;=0,"",VLOOKUP(B54,country_opex,7,FALSE)/AD54)</f>
        <v/>
      </c>
      <c r="AG54" s="35">
        <f>((D54*P54/diesel_nmpg)*diesel_co2pg-(battery/range_nm)*D54*P54*VLOOKUP(B54,country_opex,4,FALSE))/1000</f>
        <v/>
      </c>
      <c r="AH54" s="33" t="n">
        <v>29166</v>
      </c>
      <c r="AI54" s="34" t="inlineStr">
        <is>
          <t>T3</t>
        </is>
      </c>
      <c r="AJ54" s="34" t="inlineStr">
        <is>
          <t>med-low</t>
        </is>
      </c>
      <c r="AK54" s="41" t="n">
        <v>0.1</v>
      </c>
      <c r="AL54" s="36">
        <f>IF(AH54="","",AH54*AK54)</f>
        <v/>
      </c>
      <c r="AM54" s="36">
        <f>IF(OR(AH54="",S54=0),"",MIN(IF(AU54="",9.9E+99,AU54),FLOOR(AL54/S54,1)))</f>
        <v/>
      </c>
      <c r="AN54" s="40">
        <f>IF(AM54="","",AM54*IF(ABS(MOD(ABS((U54)),1)-0.5)&lt;1E-9,2*ROUND((U54)/2,0),ROUND((U54),0)))</f>
        <v/>
      </c>
      <c r="AO54" s="38">
        <f>IF(OR(AH54="",S54=0),"",MIN(IF(AU54="",9.9E+99,AU54),AL54/S54))</f>
        <v/>
      </c>
      <c r="AP54" s="40">
        <f>IF(AO54="","",AO54*IF(B54="South Korea",IF(ABS(MOD(ABS((U54)),1)-0.5)&lt;1E-9,2*ROUND((U54)/2,0),ROUND((U54),0)),U54))</f>
        <v/>
      </c>
      <c r="AQ54" s="42" t="n"/>
      <c r="AR54" s="34" t="inlineStr">
        <is>
          <t>Grounded</t>
        </is>
      </c>
      <c r="AS54" s="43" t="n"/>
      <c r="AT54" s="43" t="n"/>
      <c r="AU54" s="44" t="n"/>
      <c r="AV54" s="45">
        <f>IF(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&lt;=0,"",VLOOKUP(B54,country_opex,7,FALSE)/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)</f>
        <v/>
      </c>
      <c r="AW54" s="45">
        <f>IF(((T54*pax_cap*IF(B54="South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Korea",korea_mid_revleg,revleg_mid)),0))*VLOOKUP(B54,country_opex,3,FALSE))+W54+X54+Y54+Z54+AA54))&lt;=0,"",VLOOKUP(B54,country_opex,7,FALSE)/((T54*pax_cap*IF(B54="South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Korea",korea_mid_revleg,revleg_mid)),0))*VLOOKUP(B54,country_opex,3,FALSE))+W54+X54+Y54+Z54+AA54)))</f>
        <v/>
      </c>
      <c r="AX54" s="45">
        <f>IF(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&lt;=0,"",VLOOKUP(B54,country_opex,7,FALSE)/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)</f>
        <v/>
      </c>
      <c r="AY54" s="46" t="inlineStr">
        <is>
          <t>[LB-255 PREMIUM RE-FARE: subsidized comparable $3.5 lifted to premium on-demand floor $18.0] handoff/INDIA-ECONOMICS-SIDECAR-V0-2026-06-20.json (kerala)</t>
        </is>
      </c>
      <c r="AZ54" s="46" t="inlineStr">
        <is>
          <t>handoff/INDIA-ECONOMICS-SIDECAR-V0-2026-06-20.json (kerala)</t>
        </is>
      </c>
      <c r="BA54" s="34" t="inlineStr">
        <is>
          <t>ics-24cd3f4a9e</t>
        </is>
      </c>
    </row>
    <row r="55">
      <c r="A55" s="31" t="inlineStr">
        <is>
          <t>Rapido Mumbai</t>
        </is>
      </c>
      <c r="B55" s="31" t="inlineStr">
        <is>
          <t>India</t>
        </is>
      </c>
      <c r="C55" s="32" t="inlineStr">
        <is>
          <t>Bombay Harbour → Elephanta Caves</t>
        </is>
      </c>
      <c r="D55" s="33" t="n">
        <v>3.2</v>
      </c>
      <c r="E55" s="27" t="n"/>
      <c r="F55" s="34" t="inlineStr">
        <is>
          <t>T3</t>
        </is>
      </c>
      <c r="G55" s="34" t="inlineStr">
        <is>
          <t>med-low</t>
        </is>
      </c>
      <c r="H55" s="20" t="n">
        <v>1</v>
      </c>
      <c r="I55" s="35">
        <f>60*D55/cruise_kt</f>
        <v/>
      </c>
      <c r="J55" s="35">
        <f>IF(B55="South Korea",D55/korea_charge_range_nm*korea_full_range_charge_min,0)</f>
        <v/>
      </c>
      <c r="K55" s="35">
        <f>IF(B55="South Korea",I55+korea_turn_min+korea_dwell_min+J55,I55+turn_min+dwell_min)</f>
        <v/>
      </c>
      <c r="L55" s="36">
        <f>IF(B55="South Korea",FLOOR(60*korea_service_hr/K55,1),MIN(15,FLOOR(60*service_hr/K55,1)))</f>
        <v/>
      </c>
      <c r="M55" s="36">
        <f>IF(ABS(MOD(ABS((365*mech_uptime*H55)),1)-0.5)&lt;1E-9,2*ROUND((365*mech_uptime*H55)/2,0),ROUND((365*mech_uptime*H55),0))</f>
        <v/>
      </c>
      <c r="N55" s="37">
        <f>mech_uptime</f>
        <v/>
      </c>
      <c r="O55" s="37">
        <f>IF(AND(B55="South Korea",scenario="MID"),korea_mid_revleg,revleg_sel)</f>
        <v/>
      </c>
      <c r="P55" s="36">
        <f>IF(ABS(MOD(ABS((L55*M55*O55)),1)-0.5)&lt;1E-9,2*ROUND((L55*M55*O55)/2,0),ROUND((L55*M55*O55),0))</f>
        <v/>
      </c>
      <c r="Q55" s="37">
        <f>IF(AND(B55="South Korea",scenario="MID"),korea_mid_load,load_sel)</f>
        <v/>
      </c>
      <c r="R55" s="38">
        <f>pax_cap*Q55</f>
        <v/>
      </c>
      <c r="S55" s="36">
        <f>R55*P55</f>
        <v/>
      </c>
      <c r="T55" s="39">
        <f>E55*discount</f>
        <v/>
      </c>
      <c r="U55" s="40">
        <f>T55*S55</f>
        <v/>
      </c>
      <c r="V55" s="40">
        <f>(battery/range_nm)*D55*P55*VLOOKUP(B55,country_opex,3,FALSE)</f>
        <v/>
      </c>
      <c r="W55" s="40">
        <f>VLOOKUP(B55,country_opex,2,FALSE)*crew_factor</f>
        <v/>
      </c>
      <c r="X55" s="40">
        <f>VLOOKUP(B55,country_opex,5,FALSE)</f>
        <v/>
      </c>
      <c r="Y55" s="40">
        <f>maint</f>
        <v/>
      </c>
      <c r="Z55" s="40">
        <f>VLOOKUP(B55,country_opex,7,FALSE)*ins_pct</f>
        <v/>
      </c>
      <c r="AA55" s="40">
        <f>charge_berth</f>
        <v/>
      </c>
      <c r="AB55" s="40">
        <f>V55+W55+X55+Y55+Z55+AA55</f>
        <v/>
      </c>
      <c r="AC55" s="40">
        <f>VLOOKUP(B55,country_opex,7,FALSE)/dep_years</f>
        <v/>
      </c>
      <c r="AD55" s="40">
        <f>U55-AB55</f>
        <v/>
      </c>
      <c r="AE55" s="37">
        <f>IF(U55=0,"",AD55/U55)</f>
        <v/>
      </c>
      <c r="AF55" s="38">
        <f>IF(AD55&lt;=0,"",VLOOKUP(B55,country_opex,7,FALSE)/AD55)</f>
        <v/>
      </c>
      <c r="AG55" s="35">
        <f>((D55*P55/diesel_nmpg)*diesel_co2pg-(battery/range_nm)*D55*P55*VLOOKUP(B55,country_opex,4,FALSE))/1000</f>
        <v/>
      </c>
      <c r="AH55" s="33" t="n">
        <v>9230</v>
      </c>
      <c r="AI55" s="34" t="inlineStr">
        <is>
          <t>T3</t>
        </is>
      </c>
      <c r="AJ55" s="34" t="inlineStr">
        <is>
          <t>med-low</t>
        </is>
      </c>
      <c r="AK55" s="41" t="n">
        <v>0.1</v>
      </c>
      <c r="AL55" s="36">
        <f>IF(AH55="","",AH55*AK55)</f>
        <v/>
      </c>
      <c r="AM55" s="36">
        <f>IF(OR(AH55="",S55=0),"",MIN(IF(AU55="",9.9E+99,AU55),FLOOR(AL55/S55,1)))</f>
        <v/>
      </c>
      <c r="AN55" s="40">
        <f>IF(AM55="","",AM55*IF(ABS(MOD(ABS((U55)),1)-0.5)&lt;1E-9,2*ROUND((U55)/2,0),ROUND((U55),0)))</f>
        <v/>
      </c>
      <c r="AO55" s="38">
        <f>IF(OR(AH55="",S55=0),"",MIN(IF(AU55="",9.9E+99,AU55),AL55/S55))</f>
        <v/>
      </c>
      <c r="AP55" s="40">
        <f>IF(AO55="","",AO55*IF(B55="South Korea",IF(ABS(MOD(ABS((U55)),1)-0.5)&lt;1E-9,2*ROUND((U55)/2,0),ROUND((U55),0)),U55))</f>
        <v/>
      </c>
      <c r="AQ55" s="42" t="n"/>
      <c r="AR55" s="34" t="inlineStr">
        <is>
          <t>Upside tier</t>
        </is>
      </c>
      <c r="AS55" s="43" t="n"/>
      <c r="AT55" s="43" t="inlineStr">
        <is>
          <t>experience_upside</t>
        </is>
      </c>
      <c r="AU55" s="44" t="n"/>
      <c r="AV55" s="45">
        <f>IF(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&lt;=0,"",VLOOKUP(B55,country_opex,7,FALSE)/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)</f>
        <v/>
      </c>
      <c r="AW55" s="45">
        <f>IF(((T55*pax_cap*IF(B55="South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Korea",korea_mid_revleg,revleg_mid)),0))*VLOOKUP(B55,country_opex,3,FALSE))+W55+X55+Y55+Z55+AA55))&lt;=0,"",VLOOKUP(B55,country_opex,7,FALSE)/((T55*pax_cap*IF(B55="South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Korea",korea_mid_revleg,revleg_mid)),0))*VLOOKUP(B55,country_opex,3,FALSE))+W55+X55+Y55+Z55+AA55)))</f>
        <v/>
      </c>
      <c r="AX55" s="45">
        <f>IF(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&lt;=0,"",VLOOKUP(B55,country_opex,7,FALSE)/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)</f>
        <v/>
      </c>
      <c r="AY55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55" s="46" t="inlineStr">
        <is>
          <t>PR #58 Mumbai spine route-count split (13 sealed rows × anchor 120,000 pax/yr)</t>
        </is>
      </c>
      <c r="BA55" s="34" t="inlineStr">
        <is>
          <t>ics-d1cada0928</t>
        </is>
      </c>
    </row>
    <row r="56">
      <c r="A56" s="31" t="inlineStr">
        <is>
          <t>India Goa Rapido</t>
        </is>
      </c>
      <c r="B56" s="31" t="inlineStr">
        <is>
          <t>India</t>
        </is>
      </c>
      <c r="C56" s="32" t="inlineStr">
        <is>
          <t>Ribandar Ferry → Pomburpa Ferry Terminal</t>
        </is>
      </c>
      <c r="D56" s="33" t="n">
        <v>3.2</v>
      </c>
      <c r="E56" s="27" t="n">
        <v>8</v>
      </c>
      <c r="F56" s="34" t="inlineStr">
        <is>
          <t>T3</t>
        </is>
      </c>
      <c r="G56" s="34" t="inlineStr">
        <is>
          <t>med-low</t>
        </is>
      </c>
      <c r="H56" s="20" t="n">
        <v>1</v>
      </c>
      <c r="I56" s="35">
        <f>60*D56/cruise_kt</f>
        <v/>
      </c>
      <c r="J56" s="35">
        <f>IF(B56="South Korea",D56/korea_charge_range_nm*korea_full_range_charge_min,0)</f>
        <v/>
      </c>
      <c r="K56" s="35">
        <f>IF(B56="South Korea",I56+korea_turn_min+korea_dwell_min+J56,I56+turn_min+dwell_min)</f>
        <v/>
      </c>
      <c r="L56" s="36">
        <f>IF(B56="South Korea",FLOOR(60*korea_service_hr/K56,1),MIN(15,FLOOR(60*service_hr/K56,1)))</f>
        <v/>
      </c>
      <c r="M56" s="36">
        <f>IF(ABS(MOD(ABS((365*mech_uptime*H56)),1)-0.5)&lt;1E-9,2*ROUND((365*mech_uptime*H56)/2,0),ROUND((365*mech_uptime*H56),0))</f>
        <v/>
      </c>
      <c r="N56" s="37">
        <f>mech_uptime</f>
        <v/>
      </c>
      <c r="O56" s="37">
        <f>IF(AND(B56="South Korea",scenario="MID"),korea_mid_revleg,revleg_sel)</f>
        <v/>
      </c>
      <c r="P56" s="36">
        <f>IF(ABS(MOD(ABS((L56*M56*O56)),1)-0.5)&lt;1E-9,2*ROUND((L56*M56*O56)/2,0),ROUND((L56*M56*O56),0))</f>
        <v/>
      </c>
      <c r="Q56" s="37">
        <f>IF(AND(B56="South Korea",scenario="MID"),korea_mid_load,load_sel)</f>
        <v/>
      </c>
      <c r="R56" s="38">
        <f>pax_cap*Q56</f>
        <v/>
      </c>
      <c r="S56" s="36">
        <f>R56*P56</f>
        <v/>
      </c>
      <c r="T56" s="39">
        <f>E56*discount</f>
        <v/>
      </c>
      <c r="U56" s="40">
        <f>T56*S56</f>
        <v/>
      </c>
      <c r="V56" s="40">
        <f>(battery/range_nm)*D56*P56*VLOOKUP(B56,country_opex,3,FALSE)</f>
        <v/>
      </c>
      <c r="W56" s="40">
        <f>VLOOKUP(B56,country_opex,2,FALSE)*crew_factor</f>
        <v/>
      </c>
      <c r="X56" s="40">
        <f>VLOOKUP(B56,country_opex,5,FALSE)</f>
        <v/>
      </c>
      <c r="Y56" s="40">
        <f>maint</f>
        <v/>
      </c>
      <c r="Z56" s="40">
        <f>VLOOKUP(B56,country_opex,7,FALSE)*ins_pct</f>
        <v/>
      </c>
      <c r="AA56" s="40">
        <f>charge_berth</f>
        <v/>
      </c>
      <c r="AB56" s="40">
        <f>V56+W56+X56+Y56+Z56+AA56</f>
        <v/>
      </c>
      <c r="AC56" s="40">
        <f>VLOOKUP(B56,country_opex,7,FALSE)/dep_years</f>
        <v/>
      </c>
      <c r="AD56" s="40">
        <f>U56-AB56</f>
        <v/>
      </c>
      <c r="AE56" s="37">
        <f>IF(U56=0,"",AD56/U56)</f>
        <v/>
      </c>
      <c r="AF56" s="38">
        <f>IF(AD56&lt;=0,"",VLOOKUP(B56,country_opex,7,FALSE)/AD56)</f>
        <v/>
      </c>
      <c r="AG56" s="35">
        <f>((D56*P56/diesel_nmpg)*diesel_co2pg-(battery/range_nm)*D56*P56*VLOOKUP(B56,country_opex,4,FALSE))/1000</f>
        <v/>
      </c>
      <c r="AH56" s="33" t="n">
        <v>11250</v>
      </c>
      <c r="AI56" s="34" t="inlineStr">
        <is>
          <t>T3</t>
        </is>
      </c>
      <c r="AJ56" s="34" t="inlineStr">
        <is>
          <t>med-low</t>
        </is>
      </c>
      <c r="AK56" s="41" t="n">
        <v>0.1</v>
      </c>
      <c r="AL56" s="36">
        <f>IF(AH56="","",AH56*AK56)</f>
        <v/>
      </c>
      <c r="AM56" s="36">
        <f>IF(OR(AH56="",S56=0),"",MIN(IF(AU56="",9.9E+99,AU56),FLOOR(AL56/S56,1)))</f>
        <v/>
      </c>
      <c r="AN56" s="40">
        <f>IF(AM56="","",AM56*IF(ABS(MOD(ABS((U56)),1)-0.5)&lt;1E-9,2*ROUND((U56)/2,0),ROUND((U56),0)))</f>
        <v/>
      </c>
      <c r="AO56" s="38">
        <f>IF(OR(AH56="",S56=0),"",MIN(IF(AU56="",9.9E+99,AU56),AL56/S56))</f>
        <v/>
      </c>
      <c r="AP56" s="40">
        <f>IF(AO56="","",AO56*IF(B56="South Korea",IF(ABS(MOD(ABS((U56)),1)-0.5)&lt;1E-9,2*ROUND((U56)/2,0),ROUND((U56),0)),U56))</f>
        <v/>
      </c>
      <c r="AQ56" s="42" t="n"/>
      <c r="AR56" s="34" t="inlineStr">
        <is>
          <t>Grounded</t>
        </is>
      </c>
      <c r="AS56" s="43" t="n"/>
      <c r="AT56" s="43" t="n"/>
      <c r="AU56" s="44" t="n"/>
      <c r="AV56" s="45">
        <f>IF(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&lt;=0,"",VLOOKUP(B56,country_opex,7,FALSE)/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)</f>
        <v/>
      </c>
      <c r="AW56" s="45">
        <f>IF(((T56*pax_cap*IF(B56="South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Korea",korea_mid_revleg,revleg_mid)),0))*VLOOKUP(B56,country_opex,3,FALSE))+W56+X56+Y56+Z56+AA56))&lt;=0,"",VLOOKUP(B56,country_opex,7,FALSE)/((T56*pax_cap*IF(B56="South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Korea",korea_mid_revleg,revleg_mid)),0))*VLOOKUP(B56,country_opex,3,FALSE))+W56+X56+Y56+Z56+AA56)))</f>
        <v/>
      </c>
      <c r="AX56" s="45">
        <f>IF(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&lt;=0,"",VLOOKUP(B56,country_opex,7,FALSE)/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)</f>
        <v/>
      </c>
      <c r="AY56" s="46" t="inlineStr">
        <is>
          <t>handoff/INDIA-ECONOMICS-SIDECAR-V0-2026-06-20.json (goa)</t>
        </is>
      </c>
      <c r="AZ56" s="46" t="inlineStr">
        <is>
          <t>handoff/INDIA-ECONOMICS-SIDECAR-V0-2026-06-20.json (goa)</t>
        </is>
      </c>
      <c r="BA56" s="34" t="inlineStr">
        <is>
          <t>ics-16c8b53ed0</t>
        </is>
      </c>
    </row>
    <row r="57">
      <c r="A57" s="31" t="inlineStr">
        <is>
          <t>India Kerala Rapido</t>
        </is>
      </c>
      <c r="B57" s="31" t="inlineStr">
        <is>
          <t>India</t>
        </is>
      </c>
      <c r="C57" s="32" t="inlineStr">
        <is>
          <t>Thevara Ferry → Sailing Club House</t>
        </is>
      </c>
      <c r="D57" s="33" t="n">
        <v>3.2</v>
      </c>
      <c r="E57" s="27" t="n">
        <v>18</v>
      </c>
      <c r="F57" s="34" t="inlineStr">
        <is>
          <t>T3</t>
        </is>
      </c>
      <c r="G57" s="34" t="inlineStr">
        <is>
          <t>med-low</t>
        </is>
      </c>
      <c r="H57" s="20" t="n">
        <v>1</v>
      </c>
      <c r="I57" s="35">
        <f>60*D57/cruise_kt</f>
        <v/>
      </c>
      <c r="J57" s="35">
        <f>IF(B57="South Korea",D57/korea_charge_range_nm*korea_full_range_charge_min,0)</f>
        <v/>
      </c>
      <c r="K57" s="35">
        <f>IF(B57="South Korea",I57+korea_turn_min+korea_dwell_min+J57,I57+turn_min+dwell_min)</f>
        <v/>
      </c>
      <c r="L57" s="36">
        <f>IF(B57="South Korea",FLOOR(60*korea_service_hr/K57,1),MIN(15,FLOOR(60*service_hr/K57,1)))</f>
        <v/>
      </c>
      <c r="M57" s="36">
        <f>IF(ABS(MOD(ABS((365*mech_uptime*H57)),1)-0.5)&lt;1E-9,2*ROUND((365*mech_uptime*H57)/2,0),ROUND((365*mech_uptime*H57),0))</f>
        <v/>
      </c>
      <c r="N57" s="37">
        <f>mech_uptime</f>
        <v/>
      </c>
      <c r="O57" s="37">
        <f>IF(AND(B57="South Korea",scenario="MID"),korea_mid_revleg,revleg_sel)</f>
        <v/>
      </c>
      <c r="P57" s="36">
        <f>IF(ABS(MOD(ABS((L57*M57*O57)),1)-0.5)&lt;1E-9,2*ROUND((L57*M57*O57)/2,0),ROUND((L57*M57*O57),0))</f>
        <v/>
      </c>
      <c r="Q57" s="37">
        <f>IF(AND(B57="South Korea",scenario="MID"),korea_mid_load,load_sel)</f>
        <v/>
      </c>
      <c r="R57" s="38">
        <f>pax_cap*Q57</f>
        <v/>
      </c>
      <c r="S57" s="36">
        <f>R57*P57</f>
        <v/>
      </c>
      <c r="T57" s="39">
        <f>E57*discount</f>
        <v/>
      </c>
      <c r="U57" s="40">
        <f>T57*S57</f>
        <v/>
      </c>
      <c r="V57" s="40">
        <f>(battery/range_nm)*D57*P57*VLOOKUP(B57,country_opex,3,FALSE)</f>
        <v/>
      </c>
      <c r="W57" s="40">
        <f>VLOOKUP(B57,country_opex,2,FALSE)*crew_factor</f>
        <v/>
      </c>
      <c r="X57" s="40">
        <f>VLOOKUP(B57,country_opex,5,FALSE)</f>
        <v/>
      </c>
      <c r="Y57" s="40">
        <f>maint</f>
        <v/>
      </c>
      <c r="Z57" s="40">
        <f>VLOOKUP(B57,country_opex,7,FALSE)*ins_pct</f>
        <v/>
      </c>
      <c r="AA57" s="40">
        <f>charge_berth</f>
        <v/>
      </c>
      <c r="AB57" s="40">
        <f>V57+W57+X57+Y57+Z57+AA57</f>
        <v/>
      </c>
      <c r="AC57" s="40">
        <f>VLOOKUP(B57,country_opex,7,FALSE)/dep_years</f>
        <v/>
      </c>
      <c r="AD57" s="40">
        <f>U57-AB57</f>
        <v/>
      </c>
      <c r="AE57" s="37">
        <f>IF(U57=0,"",AD57/U57)</f>
        <v/>
      </c>
      <c r="AF57" s="38">
        <f>IF(AD57&lt;=0,"",VLOOKUP(B57,country_opex,7,FALSE)/AD57)</f>
        <v/>
      </c>
      <c r="AG57" s="35">
        <f>((D57*P57/diesel_nmpg)*diesel_co2pg-(battery/range_nm)*D57*P57*VLOOKUP(B57,country_opex,4,FALSE))/1000</f>
        <v/>
      </c>
      <c r="AH57" s="33" t="n">
        <v>29166</v>
      </c>
      <c r="AI57" s="34" t="inlineStr">
        <is>
          <t>T3</t>
        </is>
      </c>
      <c r="AJ57" s="34" t="inlineStr">
        <is>
          <t>med-low</t>
        </is>
      </c>
      <c r="AK57" s="41" t="n">
        <v>0.1</v>
      </c>
      <c r="AL57" s="36">
        <f>IF(AH57="","",AH57*AK57)</f>
        <v/>
      </c>
      <c r="AM57" s="36">
        <f>IF(OR(AH57="",S57=0),"",MIN(IF(AU57="",9.9E+99,AU57),FLOOR(AL57/S57,1)))</f>
        <v/>
      </c>
      <c r="AN57" s="40">
        <f>IF(AM57="","",AM57*IF(ABS(MOD(ABS((U57)),1)-0.5)&lt;1E-9,2*ROUND((U57)/2,0),ROUND((U57),0)))</f>
        <v/>
      </c>
      <c r="AO57" s="38">
        <f>IF(OR(AH57="",S57=0),"",MIN(IF(AU57="",9.9E+99,AU57),AL57/S57))</f>
        <v/>
      </c>
      <c r="AP57" s="40">
        <f>IF(AO57="","",AO57*IF(B57="South Korea",IF(ABS(MOD(ABS((U57)),1)-0.5)&lt;1E-9,2*ROUND((U57)/2,0),ROUND((U57),0)),U57))</f>
        <v/>
      </c>
      <c r="AQ57" s="42" t="n"/>
      <c r="AR57" s="34" t="inlineStr">
        <is>
          <t>Grounded</t>
        </is>
      </c>
      <c r="AS57" s="43" t="n"/>
      <c r="AT57" s="43" t="n"/>
      <c r="AU57" s="44" t="n"/>
      <c r="AV57" s="45">
        <f>IF(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&lt;=0,"",VLOOKUP(B57,country_opex,7,FALSE)/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)</f>
        <v/>
      </c>
      <c r="AW57" s="45">
        <f>IF(((T57*pax_cap*IF(B57="South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Korea",korea_mid_revleg,revleg_mid)),0))*VLOOKUP(B57,country_opex,3,FALSE))+W57+X57+Y57+Z57+AA57))&lt;=0,"",VLOOKUP(B57,country_opex,7,FALSE)/((T57*pax_cap*IF(B57="South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Korea",korea_mid_revleg,revleg_mid)),0))*VLOOKUP(B57,country_opex,3,FALSE))+W57+X57+Y57+Z57+AA57)))</f>
        <v/>
      </c>
      <c r="AX57" s="45">
        <f>IF(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&lt;=0,"",VLOOKUP(B57,country_opex,7,FALSE)/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)</f>
        <v/>
      </c>
      <c r="AY57" s="46" t="inlineStr">
        <is>
          <t>[LB-255 PREMIUM RE-FARE: subsidized comparable $3.5 lifted to premium on-demand floor $18.0] handoff/INDIA-ECONOMICS-SIDECAR-V0-2026-06-20.json (kerala)</t>
        </is>
      </c>
      <c r="AZ57" s="46" t="inlineStr">
        <is>
          <t>handoff/INDIA-ECONOMICS-SIDECAR-V0-2026-06-20.json (kerala)</t>
        </is>
      </c>
      <c r="BA57" s="34" t="inlineStr">
        <is>
          <t>ics-ae7c59f30b</t>
        </is>
      </c>
    </row>
    <row r="58">
      <c r="A58" s="31" t="inlineStr">
        <is>
          <t>India Andaman Rapido</t>
        </is>
      </c>
      <c r="B58" s="31" t="inlineStr">
        <is>
          <t>India</t>
        </is>
      </c>
      <c r="C58" s="32" t="inlineStr">
        <is>
          <t>Andaman → Panighat Ferry Jetty</t>
        </is>
      </c>
      <c r="D58" s="33" t="n">
        <v>3.2</v>
      </c>
      <c r="E58" s="27" t="n">
        <v>22</v>
      </c>
      <c r="F58" s="34" t="inlineStr">
        <is>
          <t>T3</t>
        </is>
      </c>
      <c r="G58" s="34" t="inlineStr">
        <is>
          <t>med-low</t>
        </is>
      </c>
      <c r="H58" s="20" t="n">
        <v>1</v>
      </c>
      <c r="I58" s="35">
        <f>60*D58/cruise_kt</f>
        <v/>
      </c>
      <c r="J58" s="35">
        <f>IF(B58="South Korea",D58/korea_charge_range_nm*korea_full_range_charge_min,0)</f>
        <v/>
      </c>
      <c r="K58" s="35">
        <f>IF(B58="South Korea",I58+korea_turn_min+korea_dwell_min+J58,I58+turn_min+dwell_min)</f>
        <v/>
      </c>
      <c r="L58" s="36">
        <f>IF(B58="South Korea",FLOOR(60*korea_service_hr/K58,1),MIN(15,FLOOR(60*service_hr/K58,1)))</f>
        <v/>
      </c>
      <c r="M58" s="36">
        <f>IF(ABS(MOD(ABS((365*mech_uptime*H58)),1)-0.5)&lt;1E-9,2*ROUND((365*mech_uptime*H58)/2,0),ROUND((365*mech_uptime*H58),0))</f>
        <v/>
      </c>
      <c r="N58" s="37">
        <f>mech_uptime</f>
        <v/>
      </c>
      <c r="O58" s="37">
        <f>IF(AND(B58="South Korea",scenario="MID"),korea_mid_revleg,revleg_sel)</f>
        <v/>
      </c>
      <c r="P58" s="36">
        <f>IF(ABS(MOD(ABS((L58*M58*O58)),1)-0.5)&lt;1E-9,2*ROUND((L58*M58*O58)/2,0),ROUND((L58*M58*O58),0))</f>
        <v/>
      </c>
      <c r="Q58" s="37">
        <f>IF(AND(B58="South Korea",scenario="MID"),korea_mid_load,load_sel)</f>
        <v/>
      </c>
      <c r="R58" s="38">
        <f>pax_cap*Q58</f>
        <v/>
      </c>
      <c r="S58" s="36">
        <f>R58*P58</f>
        <v/>
      </c>
      <c r="T58" s="39">
        <f>E58*discount</f>
        <v/>
      </c>
      <c r="U58" s="40">
        <f>T58*S58</f>
        <v/>
      </c>
      <c r="V58" s="40">
        <f>(battery/range_nm)*D58*P58*VLOOKUP(B58,country_opex,3,FALSE)</f>
        <v/>
      </c>
      <c r="W58" s="40">
        <f>VLOOKUP(B58,country_opex,2,FALSE)*crew_factor</f>
        <v/>
      </c>
      <c r="X58" s="40">
        <f>VLOOKUP(B58,country_opex,5,FALSE)</f>
        <v/>
      </c>
      <c r="Y58" s="40">
        <f>maint</f>
        <v/>
      </c>
      <c r="Z58" s="40">
        <f>VLOOKUP(B58,country_opex,7,FALSE)*ins_pct</f>
        <v/>
      </c>
      <c r="AA58" s="40">
        <f>charge_berth</f>
        <v/>
      </c>
      <c r="AB58" s="40">
        <f>V58+W58+X58+Y58+Z58+AA58</f>
        <v/>
      </c>
      <c r="AC58" s="40">
        <f>VLOOKUP(B58,country_opex,7,FALSE)/dep_years</f>
        <v/>
      </c>
      <c r="AD58" s="40">
        <f>U58-AB58</f>
        <v/>
      </c>
      <c r="AE58" s="37">
        <f>IF(U58=0,"",AD58/U58)</f>
        <v/>
      </c>
      <c r="AF58" s="38">
        <f>IF(AD58&lt;=0,"",VLOOKUP(B58,country_opex,7,FALSE)/AD58)</f>
        <v/>
      </c>
      <c r="AG58" s="35">
        <f>((D58*P58/diesel_nmpg)*diesel_co2pg-(battery/range_nm)*D58*P58*VLOOKUP(B58,country_opex,4,FALSE))/1000</f>
        <v/>
      </c>
      <c r="AH58" s="33" t="n">
        <v>5000</v>
      </c>
      <c r="AI58" s="34" t="inlineStr">
        <is>
          <t>T3</t>
        </is>
      </c>
      <c r="AJ58" s="34" t="inlineStr">
        <is>
          <t>med-low</t>
        </is>
      </c>
      <c r="AK58" s="41" t="n">
        <v>0.1</v>
      </c>
      <c r="AL58" s="36">
        <f>IF(AH58="","",AH58*AK58)</f>
        <v/>
      </c>
      <c r="AM58" s="36">
        <f>IF(OR(AH58="",S58=0),"",MIN(IF(AU58="",9.9E+99,AU58),FLOOR(AL58/S58,1)))</f>
        <v/>
      </c>
      <c r="AN58" s="40">
        <f>IF(AM58="","",AM58*IF(ABS(MOD(ABS((U58)),1)-0.5)&lt;1E-9,2*ROUND((U58)/2,0),ROUND((U58),0)))</f>
        <v/>
      </c>
      <c r="AO58" s="38">
        <f>IF(OR(AH58="",S58=0),"",MIN(IF(AU58="",9.9E+99,AU58),AL58/S58))</f>
        <v/>
      </c>
      <c r="AP58" s="40">
        <f>IF(AO58="","",AO58*IF(B58="South Korea",IF(ABS(MOD(ABS((U58)),1)-0.5)&lt;1E-9,2*ROUND((U58)/2,0),ROUND((U58),0)),U58))</f>
        <v/>
      </c>
      <c r="AQ58" s="42" t="n"/>
      <c r="AR58" s="34" t="inlineStr">
        <is>
          <t>Grounded</t>
        </is>
      </c>
      <c r="AS58" s="43" t="n"/>
      <c r="AT58" s="43" t="n"/>
      <c r="AU58" s="44" t="n"/>
      <c r="AV58" s="45">
        <f>IF(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&lt;=0,"",VLOOKUP(B58,country_opex,7,FALSE)/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)</f>
        <v/>
      </c>
      <c r="AW58" s="45">
        <f>IF(((T58*pax_cap*IF(B58="South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Korea",korea_mid_revleg,revleg_mid)),0))*VLOOKUP(B58,country_opex,3,FALSE))+W58+X58+Y58+Z58+AA58))&lt;=0,"",VLOOKUP(B58,country_opex,7,FALSE)/((T58*pax_cap*IF(B58="South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Korea",korea_mid_revleg,revleg_mid)),0))*VLOOKUP(B58,country_opex,3,FALSE))+W58+X58+Y58+Z58+AA58)))</f>
        <v/>
      </c>
      <c r="AX58" s="45">
        <f>IF(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&lt;=0,"",VLOOKUP(B58,country_opex,7,FALSE)/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)</f>
        <v/>
      </c>
      <c r="AY58" s="46" t="inlineStr">
        <is>
          <t>handoff/INDIA-ECONOMICS-SIDECAR-V0-2026-06-20.json (andaman)</t>
        </is>
      </c>
      <c r="AZ58" s="46" t="inlineStr">
        <is>
          <t>handoff/INDIA-ECONOMICS-SIDECAR-V0-2026-06-20.json (andaman)</t>
        </is>
      </c>
      <c r="BA58" s="34" t="inlineStr">
        <is>
          <t>rn-fe7e29ef7f1b</t>
        </is>
      </c>
    </row>
    <row r="59">
      <c r="A59" s="31" t="inlineStr">
        <is>
          <t>India Chennai Rapido</t>
        </is>
      </c>
      <c r="B59" s="31" t="inlineStr">
        <is>
          <t>India</t>
        </is>
      </c>
      <c r="C59" s="32" t="inlineStr">
        <is>
          <t>Chennai Port WQIV Cruise Terminal → Marina Beach Waterfront</t>
        </is>
      </c>
      <c r="D59" s="33" t="n">
        <v>3.2</v>
      </c>
      <c r="E59" s="27" t="n">
        <v>12</v>
      </c>
      <c r="F59" s="34" t="n"/>
      <c r="G59" s="34" t="n"/>
      <c r="H59" s="20" t="n">
        <v>1</v>
      </c>
      <c r="I59" s="35">
        <f>60*D59/cruise_kt</f>
        <v/>
      </c>
      <c r="J59" s="35">
        <f>IF(B59="South Korea",D59/korea_charge_range_nm*korea_full_range_charge_min,0)</f>
        <v/>
      </c>
      <c r="K59" s="35">
        <f>IF(B59="South Korea",I59+korea_turn_min+korea_dwell_min+J59,I59+turn_min+dwell_min)</f>
        <v/>
      </c>
      <c r="L59" s="36">
        <f>IF(B59="South Korea",FLOOR(60*korea_service_hr/K59,1),MIN(15,FLOOR(60*service_hr/K59,1)))</f>
        <v/>
      </c>
      <c r="M59" s="36">
        <f>IF(ABS(MOD(ABS((365*mech_uptime*H59)),1)-0.5)&lt;1E-9,2*ROUND((365*mech_uptime*H59)/2,0),ROUND((365*mech_uptime*H59),0))</f>
        <v/>
      </c>
      <c r="N59" s="37">
        <f>mech_uptime</f>
        <v/>
      </c>
      <c r="O59" s="37">
        <f>IF(AND(B59="South Korea",scenario="MID"),korea_mid_revleg,revleg_sel)</f>
        <v/>
      </c>
      <c r="P59" s="36">
        <f>IF(ABS(MOD(ABS((L59*M59*O59)),1)-0.5)&lt;1E-9,2*ROUND((L59*M59*O59)/2,0),ROUND((L59*M59*O59),0))</f>
        <v/>
      </c>
      <c r="Q59" s="37">
        <f>IF(AND(B59="South Korea",scenario="MID"),korea_mid_load,load_sel)</f>
        <v/>
      </c>
      <c r="R59" s="38">
        <f>pax_cap*Q59</f>
        <v/>
      </c>
      <c r="S59" s="36">
        <f>R59*P59</f>
        <v/>
      </c>
      <c r="T59" s="39">
        <f>E59*discount</f>
        <v/>
      </c>
      <c r="U59" s="40">
        <f>T59*S59</f>
        <v/>
      </c>
      <c r="V59" s="40">
        <f>(battery/range_nm)*D59*P59*VLOOKUP(B59,country_opex,3,FALSE)</f>
        <v/>
      </c>
      <c r="W59" s="40">
        <f>VLOOKUP(B59,country_opex,2,FALSE)*crew_factor</f>
        <v/>
      </c>
      <c r="X59" s="40">
        <f>VLOOKUP(B59,country_opex,5,FALSE)</f>
        <v/>
      </c>
      <c r="Y59" s="40">
        <f>maint</f>
        <v/>
      </c>
      <c r="Z59" s="40">
        <f>VLOOKUP(B59,country_opex,7,FALSE)*ins_pct</f>
        <v/>
      </c>
      <c r="AA59" s="40">
        <f>charge_berth</f>
        <v/>
      </c>
      <c r="AB59" s="40">
        <f>V59+W59+X59+Y59+Z59+AA59</f>
        <v/>
      </c>
      <c r="AC59" s="40">
        <f>VLOOKUP(B59,country_opex,7,FALSE)/dep_years</f>
        <v/>
      </c>
      <c r="AD59" s="40">
        <f>U59-AB59</f>
        <v/>
      </c>
      <c r="AE59" s="37">
        <f>IF(U59=0,"",AD59/U59)</f>
        <v/>
      </c>
      <c r="AF59" s="38">
        <f>IF(AD59&lt;=0,"",VLOOKUP(B59,country_opex,7,FALSE)/AD59)</f>
        <v/>
      </c>
      <c r="AG59" s="35">
        <f>((D59*P59/diesel_nmpg)*diesel_co2pg-(battery/range_nm)*D59*P59*VLOOKUP(B59,country_opex,4,FALSE))/1000</f>
        <v/>
      </c>
      <c r="AH59" s="33" t="n">
        <v>400000</v>
      </c>
      <c r="AI59" s="34" t="n"/>
      <c r="AJ59" s="34" t="n"/>
      <c r="AK59" s="41" t="n">
        <v>0.1</v>
      </c>
      <c r="AL59" s="36">
        <f>IF(AH59="","",AH59*AK59)</f>
        <v/>
      </c>
      <c r="AM59" s="36">
        <f>IF(OR(AH59="",S59=0),"",MIN(IF(AU59="",9.9E+99,AU59),FLOOR(AL59/S59,1)))</f>
        <v/>
      </c>
      <c r="AN59" s="40">
        <f>IF(AM59="","",AM59*IF(ABS(MOD(ABS((U59)),1)-0.5)&lt;1E-9,2*ROUND((U59)/2,0),ROUND((U59),0)))</f>
        <v/>
      </c>
      <c r="AO59" s="38">
        <f>IF(OR(AH59="",S59=0),"",MIN(IF(AU59="",9.9E+99,AU59),AL59/S59))</f>
        <v/>
      </c>
      <c r="AP59" s="40">
        <f>IF(AO59="","",AO59*IF(B59="South Korea",IF(ABS(MOD(ABS((U59)),1)-0.5)&lt;1E-9,2*ROUND((U59)/2,0),ROUND((U59),0)),U59))</f>
        <v/>
      </c>
      <c r="AQ59" s="42" t="n"/>
      <c r="AR59" s="34" t="inlineStr">
        <is>
          <t>Grounded</t>
        </is>
      </c>
      <c r="AS59" s="43" t="n"/>
      <c r="AT59" s="43" t="n"/>
      <c r="AU59" s="44" t="n"/>
      <c r="AV59" s="45">
        <f>IF(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&lt;=0,"",VLOOKUP(B59,country_opex,7,FALSE)/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)</f>
        <v/>
      </c>
      <c r="AW59" s="45">
        <f>IF(((T59*pax_cap*IF(B59="South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Korea",korea_mid_revleg,revleg_mid)),0))*VLOOKUP(B59,country_opex,3,FALSE))+W59+X59+Y59+Z59+AA59))&lt;=0,"",VLOOKUP(B59,country_opex,7,FALSE)/((T59*pax_cap*IF(B59="South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Korea",korea_mid_revleg,revleg_mid)),0))*VLOOKUP(B59,country_opex,3,FALSE))+W59+X59+Y59+Z59+AA59)))</f>
        <v/>
      </c>
      <c r="AX59" s="45">
        <f>IF(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&lt;=0,"",VLOOKUP(B59,country_opex,7,FALSE)/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)</f>
        <v/>
      </c>
      <c r="AY59" s="46" t="n"/>
      <c r="AZ59" s="46" t="n"/>
      <c r="BA59" s="34" t="inlineStr">
        <is>
          <t>rn-6e53a9fad2f1</t>
        </is>
      </c>
    </row>
    <row r="60">
      <c r="A60" s="31" t="inlineStr">
        <is>
          <t>India Andaman Rapido</t>
        </is>
      </c>
      <c r="B60" s="31" t="inlineStr">
        <is>
          <t>India</t>
        </is>
      </c>
      <c r="C60" s="32" t="inlineStr">
        <is>
          <t>Andaman → Chatham Harbour</t>
        </is>
      </c>
      <c r="D60" s="33" t="n">
        <v>3.3</v>
      </c>
      <c r="E60" s="27" t="n">
        <v>22</v>
      </c>
      <c r="F60" s="34" t="inlineStr">
        <is>
          <t>T3</t>
        </is>
      </c>
      <c r="G60" s="34" t="inlineStr">
        <is>
          <t>med-low</t>
        </is>
      </c>
      <c r="H60" s="20" t="n">
        <v>1</v>
      </c>
      <c r="I60" s="35">
        <f>60*D60/cruise_kt</f>
        <v/>
      </c>
      <c r="J60" s="35">
        <f>IF(B60="South Korea",D60/korea_charge_range_nm*korea_full_range_charge_min,0)</f>
        <v/>
      </c>
      <c r="K60" s="35">
        <f>IF(B60="South Korea",I60+korea_turn_min+korea_dwell_min+J60,I60+turn_min+dwell_min)</f>
        <v/>
      </c>
      <c r="L60" s="36">
        <f>IF(B60="South Korea",FLOOR(60*korea_service_hr/K60,1),MIN(15,FLOOR(60*service_hr/K60,1)))</f>
        <v/>
      </c>
      <c r="M60" s="36">
        <f>IF(ABS(MOD(ABS((365*mech_uptime*H60)),1)-0.5)&lt;1E-9,2*ROUND((365*mech_uptime*H60)/2,0),ROUND((365*mech_uptime*H60),0))</f>
        <v/>
      </c>
      <c r="N60" s="37">
        <f>mech_uptime</f>
        <v/>
      </c>
      <c r="O60" s="37">
        <f>IF(AND(B60="South Korea",scenario="MID"),korea_mid_revleg,revleg_sel)</f>
        <v/>
      </c>
      <c r="P60" s="36">
        <f>IF(ABS(MOD(ABS((L60*M60*O60)),1)-0.5)&lt;1E-9,2*ROUND((L60*M60*O60)/2,0),ROUND((L60*M60*O60),0))</f>
        <v/>
      </c>
      <c r="Q60" s="37">
        <f>IF(AND(B60="South Korea",scenario="MID"),korea_mid_load,load_sel)</f>
        <v/>
      </c>
      <c r="R60" s="38">
        <f>pax_cap*Q60</f>
        <v/>
      </c>
      <c r="S60" s="36">
        <f>R60*P60</f>
        <v/>
      </c>
      <c r="T60" s="39">
        <f>E60*discount</f>
        <v/>
      </c>
      <c r="U60" s="40">
        <f>T60*S60</f>
        <v/>
      </c>
      <c r="V60" s="40">
        <f>(battery/range_nm)*D60*P60*VLOOKUP(B60,country_opex,3,FALSE)</f>
        <v/>
      </c>
      <c r="W60" s="40">
        <f>VLOOKUP(B60,country_opex,2,FALSE)*crew_factor</f>
        <v/>
      </c>
      <c r="X60" s="40">
        <f>VLOOKUP(B60,country_opex,5,FALSE)</f>
        <v/>
      </c>
      <c r="Y60" s="40">
        <f>maint</f>
        <v/>
      </c>
      <c r="Z60" s="40">
        <f>VLOOKUP(B60,country_opex,7,FALSE)*ins_pct</f>
        <v/>
      </c>
      <c r="AA60" s="40">
        <f>charge_berth</f>
        <v/>
      </c>
      <c r="AB60" s="40">
        <f>V60+W60+X60+Y60+Z60+AA60</f>
        <v/>
      </c>
      <c r="AC60" s="40">
        <f>VLOOKUP(B60,country_opex,7,FALSE)/dep_years</f>
        <v/>
      </c>
      <c r="AD60" s="40">
        <f>U60-AB60</f>
        <v/>
      </c>
      <c r="AE60" s="37">
        <f>IF(U60=0,"",AD60/U60)</f>
        <v/>
      </c>
      <c r="AF60" s="38">
        <f>IF(AD60&lt;=0,"",VLOOKUP(B60,country_opex,7,FALSE)/AD60)</f>
        <v/>
      </c>
      <c r="AG60" s="35">
        <f>((D60*P60/diesel_nmpg)*diesel_co2pg-(battery/range_nm)*D60*P60*VLOOKUP(B60,country_opex,4,FALSE))/1000</f>
        <v/>
      </c>
      <c r="AH60" s="33" t="n">
        <v>5000</v>
      </c>
      <c r="AI60" s="34" t="inlineStr">
        <is>
          <t>T3</t>
        </is>
      </c>
      <c r="AJ60" s="34" t="inlineStr">
        <is>
          <t>med-low</t>
        </is>
      </c>
      <c r="AK60" s="41" t="n">
        <v>0.1</v>
      </c>
      <c r="AL60" s="36">
        <f>IF(AH60="","",AH60*AK60)</f>
        <v/>
      </c>
      <c r="AM60" s="36">
        <f>IF(OR(AH60="",S60=0),"",MIN(IF(AU60="",9.9E+99,AU60),FLOOR(AL60/S60,1)))</f>
        <v/>
      </c>
      <c r="AN60" s="40">
        <f>IF(AM60="","",AM60*IF(ABS(MOD(ABS((U60)),1)-0.5)&lt;1E-9,2*ROUND((U60)/2,0),ROUND((U60),0)))</f>
        <v/>
      </c>
      <c r="AO60" s="38">
        <f>IF(OR(AH60="",S60=0),"",MIN(IF(AU60="",9.9E+99,AU60),AL60/S60))</f>
        <v/>
      </c>
      <c r="AP60" s="40">
        <f>IF(AO60="","",AO60*IF(B60="South Korea",IF(ABS(MOD(ABS((U60)),1)-0.5)&lt;1E-9,2*ROUND((U60)/2,0),ROUND((U60),0)),U60))</f>
        <v/>
      </c>
      <c r="AQ60" s="42" t="n"/>
      <c r="AR60" s="34" t="inlineStr">
        <is>
          <t>Grounded</t>
        </is>
      </c>
      <c r="AS60" s="43" t="n"/>
      <c r="AT60" s="43" t="n"/>
      <c r="AU60" s="44" t="n"/>
      <c r="AV60" s="45">
        <f>IF(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&lt;=0,"",VLOOKUP(B60,country_opex,7,FALSE)/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)</f>
        <v/>
      </c>
      <c r="AW60" s="45">
        <f>IF(((T60*pax_cap*IF(B60="South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Korea",korea_mid_revleg,revleg_mid)),0))*VLOOKUP(B60,country_opex,3,FALSE))+W60+X60+Y60+Z60+AA60))&lt;=0,"",VLOOKUP(B60,country_opex,7,FALSE)/((T60*pax_cap*IF(B60="South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Korea",korea_mid_revleg,revleg_mid)),0))*VLOOKUP(B60,country_opex,3,FALSE))+W60+X60+Y60+Z60+AA60)))</f>
        <v/>
      </c>
      <c r="AX60" s="45">
        <f>IF(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&lt;=0,"",VLOOKUP(B60,country_opex,7,FALSE)/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)</f>
        <v/>
      </c>
      <c r="AY60" s="46" t="inlineStr">
        <is>
          <t>handoff/INDIA-ECONOMICS-SIDECAR-V0-2026-06-20.json (andaman)</t>
        </is>
      </c>
      <c r="AZ60" s="46" t="inlineStr">
        <is>
          <t>handoff/INDIA-ECONOMICS-SIDECAR-V0-2026-06-20.json (andaman)</t>
        </is>
      </c>
      <c r="BA60" s="34" t="inlineStr">
        <is>
          <t>rn-563208250ce0</t>
        </is>
      </c>
    </row>
    <row r="61">
      <c r="A61" s="31" t="inlineStr">
        <is>
          <t>India Andaman Rapido</t>
        </is>
      </c>
      <c r="B61" s="31" t="inlineStr">
        <is>
          <t>India</t>
        </is>
      </c>
      <c r="C61" s="32" t="inlineStr">
        <is>
          <t>Andaman → Haddo Jetty</t>
        </is>
      </c>
      <c r="D61" s="33" t="n">
        <v>3.3</v>
      </c>
      <c r="E61" s="27" t="n">
        <v>22</v>
      </c>
      <c r="F61" s="34" t="inlineStr">
        <is>
          <t>T3</t>
        </is>
      </c>
      <c r="G61" s="34" t="inlineStr">
        <is>
          <t>med-low</t>
        </is>
      </c>
      <c r="H61" s="20" t="n">
        <v>1</v>
      </c>
      <c r="I61" s="35">
        <f>60*D61/cruise_kt</f>
        <v/>
      </c>
      <c r="J61" s="35">
        <f>IF(B61="South Korea",D61/korea_charge_range_nm*korea_full_range_charge_min,0)</f>
        <v/>
      </c>
      <c r="K61" s="35">
        <f>IF(B61="South Korea",I61+korea_turn_min+korea_dwell_min+J61,I61+turn_min+dwell_min)</f>
        <v/>
      </c>
      <c r="L61" s="36">
        <f>IF(B61="South Korea",FLOOR(60*korea_service_hr/K61,1),MIN(15,FLOOR(60*service_hr/K61,1)))</f>
        <v/>
      </c>
      <c r="M61" s="36">
        <f>IF(ABS(MOD(ABS((365*mech_uptime*H61)),1)-0.5)&lt;1E-9,2*ROUND((365*mech_uptime*H61)/2,0),ROUND((365*mech_uptime*H61),0))</f>
        <v/>
      </c>
      <c r="N61" s="37">
        <f>mech_uptime</f>
        <v/>
      </c>
      <c r="O61" s="37">
        <f>IF(AND(B61="South Korea",scenario="MID"),korea_mid_revleg,revleg_sel)</f>
        <v/>
      </c>
      <c r="P61" s="36">
        <f>IF(ABS(MOD(ABS((L61*M61*O61)),1)-0.5)&lt;1E-9,2*ROUND((L61*M61*O61)/2,0),ROUND((L61*M61*O61),0))</f>
        <v/>
      </c>
      <c r="Q61" s="37">
        <f>IF(AND(B61="South Korea",scenario="MID"),korea_mid_load,load_sel)</f>
        <v/>
      </c>
      <c r="R61" s="38">
        <f>pax_cap*Q61</f>
        <v/>
      </c>
      <c r="S61" s="36">
        <f>R61*P61</f>
        <v/>
      </c>
      <c r="T61" s="39">
        <f>E61*discount</f>
        <v/>
      </c>
      <c r="U61" s="40">
        <f>T61*S61</f>
        <v/>
      </c>
      <c r="V61" s="40">
        <f>(battery/range_nm)*D61*P61*VLOOKUP(B61,country_opex,3,FALSE)</f>
        <v/>
      </c>
      <c r="W61" s="40">
        <f>VLOOKUP(B61,country_opex,2,FALSE)*crew_factor</f>
        <v/>
      </c>
      <c r="X61" s="40">
        <f>VLOOKUP(B61,country_opex,5,FALSE)</f>
        <v/>
      </c>
      <c r="Y61" s="40">
        <f>maint</f>
        <v/>
      </c>
      <c r="Z61" s="40">
        <f>VLOOKUP(B61,country_opex,7,FALSE)*ins_pct</f>
        <v/>
      </c>
      <c r="AA61" s="40">
        <f>charge_berth</f>
        <v/>
      </c>
      <c r="AB61" s="40">
        <f>V61+W61+X61+Y61+Z61+AA61</f>
        <v/>
      </c>
      <c r="AC61" s="40">
        <f>VLOOKUP(B61,country_opex,7,FALSE)/dep_years</f>
        <v/>
      </c>
      <c r="AD61" s="40">
        <f>U61-AB61</f>
        <v/>
      </c>
      <c r="AE61" s="37">
        <f>IF(U61=0,"",AD61/U61)</f>
        <v/>
      </c>
      <c r="AF61" s="38">
        <f>IF(AD61&lt;=0,"",VLOOKUP(B61,country_opex,7,FALSE)/AD61)</f>
        <v/>
      </c>
      <c r="AG61" s="35">
        <f>((D61*P61/diesel_nmpg)*diesel_co2pg-(battery/range_nm)*D61*P61*VLOOKUP(B61,country_opex,4,FALSE))/1000</f>
        <v/>
      </c>
      <c r="AH61" s="33" t="n">
        <v>5000</v>
      </c>
      <c r="AI61" s="34" t="inlineStr">
        <is>
          <t>T3</t>
        </is>
      </c>
      <c r="AJ61" s="34" t="inlineStr">
        <is>
          <t>med-low</t>
        </is>
      </c>
      <c r="AK61" s="41" t="n">
        <v>0.1</v>
      </c>
      <c r="AL61" s="36">
        <f>IF(AH61="","",AH61*AK61)</f>
        <v/>
      </c>
      <c r="AM61" s="36">
        <f>IF(OR(AH61="",S61=0),"",MIN(IF(AU61="",9.9E+99,AU61),FLOOR(AL61/S61,1)))</f>
        <v/>
      </c>
      <c r="AN61" s="40">
        <f>IF(AM61="","",AM61*IF(ABS(MOD(ABS((U61)),1)-0.5)&lt;1E-9,2*ROUND((U61)/2,0),ROUND((U61),0)))</f>
        <v/>
      </c>
      <c r="AO61" s="38">
        <f>IF(OR(AH61="",S61=0),"",MIN(IF(AU61="",9.9E+99,AU61),AL61/S61))</f>
        <v/>
      </c>
      <c r="AP61" s="40">
        <f>IF(AO61="","",AO61*IF(B61="South Korea",IF(ABS(MOD(ABS((U61)),1)-0.5)&lt;1E-9,2*ROUND((U61)/2,0),ROUND((U61),0)),U61))</f>
        <v/>
      </c>
      <c r="AQ61" s="42" t="n"/>
      <c r="AR61" s="34" t="inlineStr">
        <is>
          <t>Grounded</t>
        </is>
      </c>
      <c r="AS61" s="43" t="n"/>
      <c r="AT61" s="43" t="n"/>
      <c r="AU61" s="44" t="n"/>
      <c r="AV61" s="45">
        <f>IF(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&lt;=0,"",VLOOKUP(B61,country_opex,7,FALSE)/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)</f>
        <v/>
      </c>
      <c r="AW61" s="45">
        <f>IF(((T61*pax_cap*IF(B61="South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Korea",korea_mid_revleg,revleg_mid)),0))*VLOOKUP(B61,country_opex,3,FALSE))+W61+X61+Y61+Z61+AA61))&lt;=0,"",VLOOKUP(B61,country_opex,7,FALSE)/((T61*pax_cap*IF(B61="South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Korea",korea_mid_revleg,revleg_mid)),0))*VLOOKUP(B61,country_opex,3,FALSE))+W61+X61+Y61+Z61+AA61)))</f>
        <v/>
      </c>
      <c r="AX61" s="45">
        <f>IF(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&lt;=0,"",VLOOKUP(B61,country_opex,7,FALSE)/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)</f>
        <v/>
      </c>
      <c r="AY61" s="46" t="inlineStr">
        <is>
          <t>handoff/INDIA-ECONOMICS-SIDECAR-V0-2026-06-20.json (andaman)</t>
        </is>
      </c>
      <c r="AZ61" s="46" t="inlineStr">
        <is>
          <t>handoff/INDIA-ECONOMICS-SIDECAR-V0-2026-06-20.json (andaman)</t>
        </is>
      </c>
      <c r="BA61" s="34" t="inlineStr">
        <is>
          <t>rn-5a699fd1ba01</t>
        </is>
      </c>
    </row>
    <row r="62">
      <c r="A62" s="31" t="inlineStr">
        <is>
          <t>India Andaman Rapido</t>
        </is>
      </c>
      <c r="B62" s="31" t="inlineStr">
        <is>
          <t>India</t>
        </is>
      </c>
      <c r="C62" s="32" t="inlineStr">
        <is>
          <t>Bambooflat Jetty → Chatham Jetty</t>
        </is>
      </c>
      <c r="D62" s="33" t="n">
        <v>3.3</v>
      </c>
      <c r="E62" s="27" t="n">
        <v>22</v>
      </c>
      <c r="F62" s="34" t="inlineStr">
        <is>
          <t>T3</t>
        </is>
      </c>
      <c r="G62" s="34" t="inlineStr">
        <is>
          <t>med-low</t>
        </is>
      </c>
      <c r="H62" s="20" t="n">
        <v>1</v>
      </c>
      <c r="I62" s="35">
        <f>60*D62/cruise_kt</f>
        <v/>
      </c>
      <c r="J62" s="35">
        <f>IF(B62="South Korea",D62/korea_charge_range_nm*korea_full_range_charge_min,0)</f>
        <v/>
      </c>
      <c r="K62" s="35">
        <f>IF(B62="South Korea",I62+korea_turn_min+korea_dwell_min+J62,I62+turn_min+dwell_min)</f>
        <v/>
      </c>
      <c r="L62" s="36">
        <f>IF(B62="South Korea",FLOOR(60*korea_service_hr/K62,1),MIN(15,FLOOR(60*service_hr/K62,1)))</f>
        <v/>
      </c>
      <c r="M62" s="36">
        <f>IF(ABS(MOD(ABS((365*mech_uptime*H62)),1)-0.5)&lt;1E-9,2*ROUND((365*mech_uptime*H62)/2,0),ROUND((365*mech_uptime*H62),0))</f>
        <v/>
      </c>
      <c r="N62" s="37">
        <f>mech_uptime</f>
        <v/>
      </c>
      <c r="O62" s="37">
        <f>IF(AND(B62="South Korea",scenario="MID"),korea_mid_revleg,revleg_sel)</f>
        <v/>
      </c>
      <c r="P62" s="36">
        <f>IF(ABS(MOD(ABS((L62*M62*O62)),1)-0.5)&lt;1E-9,2*ROUND((L62*M62*O62)/2,0),ROUND((L62*M62*O62),0))</f>
        <v/>
      </c>
      <c r="Q62" s="37">
        <f>IF(AND(B62="South Korea",scenario="MID"),korea_mid_load,load_sel)</f>
        <v/>
      </c>
      <c r="R62" s="38">
        <f>pax_cap*Q62</f>
        <v/>
      </c>
      <c r="S62" s="36">
        <f>R62*P62</f>
        <v/>
      </c>
      <c r="T62" s="39">
        <f>E62*discount</f>
        <v/>
      </c>
      <c r="U62" s="40">
        <f>T62*S62</f>
        <v/>
      </c>
      <c r="V62" s="40">
        <f>(battery/range_nm)*D62*P62*VLOOKUP(B62,country_opex,3,FALSE)</f>
        <v/>
      </c>
      <c r="W62" s="40">
        <f>VLOOKUP(B62,country_opex,2,FALSE)*crew_factor</f>
        <v/>
      </c>
      <c r="X62" s="40">
        <f>VLOOKUP(B62,country_opex,5,FALSE)</f>
        <v/>
      </c>
      <c r="Y62" s="40">
        <f>maint</f>
        <v/>
      </c>
      <c r="Z62" s="40">
        <f>VLOOKUP(B62,country_opex,7,FALSE)*ins_pct</f>
        <v/>
      </c>
      <c r="AA62" s="40">
        <f>charge_berth</f>
        <v/>
      </c>
      <c r="AB62" s="40">
        <f>V62+W62+X62+Y62+Z62+AA62</f>
        <v/>
      </c>
      <c r="AC62" s="40">
        <f>VLOOKUP(B62,country_opex,7,FALSE)/dep_years</f>
        <v/>
      </c>
      <c r="AD62" s="40">
        <f>U62-AB62</f>
        <v/>
      </c>
      <c r="AE62" s="37">
        <f>IF(U62=0,"",AD62/U62)</f>
        <v/>
      </c>
      <c r="AF62" s="38">
        <f>IF(AD62&lt;=0,"",VLOOKUP(B62,country_opex,7,FALSE)/AD62)</f>
        <v/>
      </c>
      <c r="AG62" s="35">
        <f>((D62*P62/diesel_nmpg)*diesel_co2pg-(battery/range_nm)*D62*P62*VLOOKUP(B62,country_opex,4,FALSE))/1000</f>
        <v/>
      </c>
      <c r="AH62" s="33" t="n">
        <v>5000</v>
      </c>
      <c r="AI62" s="34" t="inlineStr">
        <is>
          <t>T3</t>
        </is>
      </c>
      <c r="AJ62" s="34" t="inlineStr">
        <is>
          <t>med-low</t>
        </is>
      </c>
      <c r="AK62" s="41" t="n">
        <v>0.1</v>
      </c>
      <c r="AL62" s="36">
        <f>IF(AH62="","",AH62*AK62)</f>
        <v/>
      </c>
      <c r="AM62" s="36">
        <f>IF(OR(AH62="",S62=0),"",MIN(IF(AU62="",9.9E+99,AU62),FLOOR(AL62/S62,1)))</f>
        <v/>
      </c>
      <c r="AN62" s="40">
        <f>IF(AM62="","",AM62*IF(ABS(MOD(ABS((U62)),1)-0.5)&lt;1E-9,2*ROUND((U62)/2,0),ROUND((U62),0)))</f>
        <v/>
      </c>
      <c r="AO62" s="38">
        <f>IF(OR(AH62="",S62=0),"",MIN(IF(AU62="",9.9E+99,AU62),AL62/S62))</f>
        <v/>
      </c>
      <c r="AP62" s="40">
        <f>IF(AO62="","",AO62*IF(B62="South Korea",IF(ABS(MOD(ABS((U62)),1)-0.5)&lt;1E-9,2*ROUND((U62)/2,0),ROUND((U62),0)),U62))</f>
        <v/>
      </c>
      <c r="AQ62" s="42" t="n"/>
      <c r="AR62" s="34" t="inlineStr">
        <is>
          <t>Grounded</t>
        </is>
      </c>
      <c r="AS62" s="43" t="n"/>
      <c r="AT62" s="43" t="n"/>
      <c r="AU62" s="44" t="n"/>
      <c r="AV62" s="45">
        <f>IF(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&lt;=0,"",VLOOKUP(B62,country_opex,7,FALSE)/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)</f>
        <v/>
      </c>
      <c r="AW62" s="45">
        <f>IF(((T62*pax_cap*IF(B62="South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Korea",korea_mid_revleg,revleg_mid)),0))*VLOOKUP(B62,country_opex,3,FALSE))+W62+X62+Y62+Z62+AA62))&lt;=0,"",VLOOKUP(B62,country_opex,7,FALSE)/((T62*pax_cap*IF(B62="South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Korea",korea_mid_revleg,revleg_mid)),0))*VLOOKUP(B62,country_opex,3,FALSE))+W62+X62+Y62+Z62+AA62)))</f>
        <v/>
      </c>
      <c r="AX62" s="45">
        <f>IF(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&lt;=0,"",VLOOKUP(B62,country_opex,7,FALSE)/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)</f>
        <v/>
      </c>
      <c r="AY62" s="46" t="inlineStr">
        <is>
          <t>handoff/INDIA-ECONOMICS-SIDECAR-V0-2026-06-20.json (andaman)</t>
        </is>
      </c>
      <c r="AZ62" s="46" t="inlineStr">
        <is>
          <t>handoff/INDIA-ECONOMICS-SIDECAR-V0-2026-06-20.json (andaman)</t>
        </is>
      </c>
      <c r="BA62" s="34" t="inlineStr">
        <is>
          <t>rn-c284d7280e25</t>
        </is>
      </c>
    </row>
    <row r="63">
      <c r="A63" s="31" t="inlineStr">
        <is>
          <t>India Mumbai Rapido</t>
        </is>
      </c>
      <c r="B63" s="31" t="inlineStr">
        <is>
          <t>India</t>
        </is>
      </c>
      <c r="C63" s="32" t="inlineStr">
        <is>
          <t>Bombay Harbour → Pirpau Jetty</t>
        </is>
      </c>
      <c r="D63" s="33" t="n">
        <v>3.4</v>
      </c>
      <c r="E63" s="27" t="n">
        <v>18</v>
      </c>
      <c r="F63" s="34" t="inlineStr">
        <is>
          <t>T3</t>
        </is>
      </c>
      <c r="G63" s="34" t="inlineStr">
        <is>
          <t>med-low</t>
        </is>
      </c>
      <c r="H63" s="20" t="n">
        <v>1</v>
      </c>
      <c r="I63" s="35">
        <f>60*D63/cruise_kt</f>
        <v/>
      </c>
      <c r="J63" s="35">
        <f>IF(B63="South Korea",D63/korea_charge_range_nm*korea_full_range_charge_min,0)</f>
        <v/>
      </c>
      <c r="K63" s="35">
        <f>IF(B63="South Korea",I63+korea_turn_min+korea_dwell_min+J63,I63+turn_min+dwell_min)</f>
        <v/>
      </c>
      <c r="L63" s="36">
        <f>IF(B63="South Korea",FLOOR(60*korea_service_hr/K63,1),MIN(15,FLOOR(60*service_hr/K63,1)))</f>
        <v/>
      </c>
      <c r="M63" s="36">
        <f>IF(ABS(MOD(ABS((365*mech_uptime*H63)),1)-0.5)&lt;1E-9,2*ROUND((365*mech_uptime*H63)/2,0),ROUND((365*mech_uptime*H63),0))</f>
        <v/>
      </c>
      <c r="N63" s="37">
        <f>mech_uptime</f>
        <v/>
      </c>
      <c r="O63" s="37">
        <f>IF(AND(B63="South Korea",scenario="MID"),korea_mid_revleg,revleg_sel)</f>
        <v/>
      </c>
      <c r="P63" s="36">
        <f>IF(ABS(MOD(ABS((L63*M63*O63)),1)-0.5)&lt;1E-9,2*ROUND((L63*M63*O63)/2,0),ROUND((L63*M63*O63),0))</f>
        <v/>
      </c>
      <c r="Q63" s="37">
        <f>IF(AND(B63="South Korea",scenario="MID"),korea_mid_load,load_sel)</f>
        <v/>
      </c>
      <c r="R63" s="38">
        <f>pax_cap*Q63</f>
        <v/>
      </c>
      <c r="S63" s="36">
        <f>R63*P63</f>
        <v/>
      </c>
      <c r="T63" s="39">
        <f>E63*discount</f>
        <v/>
      </c>
      <c r="U63" s="40">
        <f>T63*S63</f>
        <v/>
      </c>
      <c r="V63" s="40">
        <f>(battery/range_nm)*D63*P63*VLOOKUP(B63,country_opex,3,FALSE)</f>
        <v/>
      </c>
      <c r="W63" s="40">
        <f>VLOOKUP(B63,country_opex,2,FALSE)*crew_factor</f>
        <v/>
      </c>
      <c r="X63" s="40">
        <f>VLOOKUP(B63,country_opex,5,FALSE)</f>
        <v/>
      </c>
      <c r="Y63" s="40">
        <f>maint</f>
        <v/>
      </c>
      <c r="Z63" s="40">
        <f>VLOOKUP(B63,country_opex,7,FALSE)*ins_pct</f>
        <v/>
      </c>
      <c r="AA63" s="40">
        <f>charge_berth</f>
        <v/>
      </c>
      <c r="AB63" s="40">
        <f>V63+W63+X63+Y63+Z63+AA63</f>
        <v/>
      </c>
      <c r="AC63" s="40">
        <f>VLOOKUP(B63,country_opex,7,FALSE)/dep_years</f>
        <v/>
      </c>
      <c r="AD63" s="40">
        <f>U63-AB63</f>
        <v/>
      </c>
      <c r="AE63" s="37">
        <f>IF(U63=0,"",AD63/U63)</f>
        <v/>
      </c>
      <c r="AF63" s="38">
        <f>IF(AD63&lt;=0,"",VLOOKUP(B63,country_opex,7,FALSE)/AD63)</f>
        <v/>
      </c>
      <c r="AG63" s="35">
        <f>((D63*P63/diesel_nmpg)*diesel_co2pg-(battery/range_nm)*D63*P63*VLOOKUP(B63,country_opex,4,FALSE))/1000</f>
        <v/>
      </c>
      <c r="AH63" s="33" t="n">
        <v>5000</v>
      </c>
      <c r="AI63" s="34" t="inlineStr">
        <is>
          <t>T3</t>
        </is>
      </c>
      <c r="AJ63" s="34" t="inlineStr">
        <is>
          <t>med-low</t>
        </is>
      </c>
      <c r="AK63" s="41" t="n">
        <v>0.1</v>
      </c>
      <c r="AL63" s="36">
        <f>IF(AH63="","",AH63*AK63)</f>
        <v/>
      </c>
      <c r="AM63" s="36">
        <f>IF(OR(AH63="",S63=0),"",MIN(IF(AU63="",9.9E+99,AU63),FLOOR(AL63/S63,1)))</f>
        <v/>
      </c>
      <c r="AN63" s="40">
        <f>IF(AM63="","",AM63*IF(ABS(MOD(ABS((U63)),1)-0.5)&lt;1E-9,2*ROUND((U63)/2,0),ROUND((U63),0)))</f>
        <v/>
      </c>
      <c r="AO63" s="38">
        <f>IF(OR(AH63="",S63=0),"",MIN(IF(AU63="",9.9E+99,AU63),AL63/S63))</f>
        <v/>
      </c>
      <c r="AP63" s="40">
        <f>IF(AO63="","",AO63*IF(B63="South Korea",IF(ABS(MOD(ABS((U63)),1)-0.5)&lt;1E-9,2*ROUND((U63)/2,0),ROUND((U63),0)),U63))</f>
        <v/>
      </c>
      <c r="AQ63" s="42" t="n"/>
      <c r="AR63" s="34" t="inlineStr">
        <is>
          <t>Grounded</t>
        </is>
      </c>
      <c r="AS63" s="43" t="n"/>
      <c r="AT63" s="43" t="n"/>
      <c r="AU63" s="44" t="n"/>
      <c r="AV63" s="45">
        <f>IF(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&lt;=0,"",VLOOKUP(B63,country_opex,7,FALSE)/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)</f>
        <v/>
      </c>
      <c r="AW63" s="45">
        <f>IF(((T63*pax_cap*IF(B63="South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Korea",korea_mid_revleg,revleg_mid)),0))*VLOOKUP(B63,country_opex,3,FALSE))+W63+X63+Y63+Z63+AA63))&lt;=0,"",VLOOKUP(B63,country_opex,7,FALSE)/((T63*pax_cap*IF(B63="South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Korea",korea_mid_revleg,revleg_mid)),0))*VLOOKUP(B63,country_opex,3,FALSE))+W63+X63+Y63+Z63+AA63)))</f>
        <v/>
      </c>
      <c r="AX63" s="45">
        <f>IF(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&lt;=0,"",VLOOKUP(B63,country_opex,7,FALSE)/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)</f>
        <v/>
      </c>
      <c r="AY63" s="46" t="inlineStr">
        <is>
          <t>[LB-255 PREMIUM RE-FARE: subsidized comparable $5.5 lifted to premium on-demand floor $18.0] handoff/INDIA-ECONOMICS-SIDECAR-V0-2026-06-20.json (mumbai)</t>
        </is>
      </c>
      <c r="AZ63" s="46" t="inlineStr">
        <is>
          <t>handoff/INDIA-ECONOMICS-SIDECAR-V0-2026-06-20.json (mumbai)</t>
        </is>
      </c>
      <c r="BA63" s="34" t="inlineStr">
        <is>
          <t>ics-7c71ca3169</t>
        </is>
      </c>
    </row>
    <row r="64">
      <c r="A64" s="31" t="inlineStr">
        <is>
          <t>Rapido Mumbai</t>
        </is>
      </c>
      <c r="B64" s="31" t="inlineStr">
        <is>
          <t>India</t>
        </is>
      </c>
      <c r="C64" s="32" t="inlineStr">
        <is>
          <t>Gateway of India → Mumbai Harbour</t>
        </is>
      </c>
      <c r="D64" s="33" t="n">
        <v>3.5</v>
      </c>
      <c r="E64" s="27" t="n"/>
      <c r="F64" s="34" t="inlineStr">
        <is>
          <t>T3</t>
        </is>
      </c>
      <c r="G64" s="34" t="inlineStr">
        <is>
          <t>med-low</t>
        </is>
      </c>
      <c r="H64" s="20" t="n">
        <v>1</v>
      </c>
      <c r="I64" s="35">
        <f>60*D64/cruise_kt</f>
        <v/>
      </c>
      <c r="J64" s="35">
        <f>IF(B64="South Korea",D64/korea_charge_range_nm*korea_full_range_charge_min,0)</f>
        <v/>
      </c>
      <c r="K64" s="35">
        <f>IF(B64="South Korea",I64+korea_turn_min+korea_dwell_min+J64,I64+turn_min+dwell_min)</f>
        <v/>
      </c>
      <c r="L64" s="36">
        <f>IF(B64="South Korea",FLOOR(60*korea_service_hr/K64,1),MIN(15,FLOOR(60*service_hr/K64,1)))</f>
        <v/>
      </c>
      <c r="M64" s="36">
        <f>IF(ABS(MOD(ABS((365*mech_uptime*H64)),1)-0.5)&lt;1E-9,2*ROUND((365*mech_uptime*H64)/2,0),ROUND((365*mech_uptime*H64),0))</f>
        <v/>
      </c>
      <c r="N64" s="37">
        <f>mech_uptime</f>
        <v/>
      </c>
      <c r="O64" s="37">
        <f>IF(AND(B64="South Korea",scenario="MID"),korea_mid_revleg,revleg_sel)</f>
        <v/>
      </c>
      <c r="P64" s="36">
        <f>IF(ABS(MOD(ABS((L64*M64*O64)),1)-0.5)&lt;1E-9,2*ROUND((L64*M64*O64)/2,0),ROUND((L64*M64*O64),0))</f>
        <v/>
      </c>
      <c r="Q64" s="37">
        <f>IF(AND(B64="South Korea",scenario="MID"),korea_mid_load,load_sel)</f>
        <v/>
      </c>
      <c r="R64" s="38">
        <f>pax_cap*Q64</f>
        <v/>
      </c>
      <c r="S64" s="36">
        <f>R64*P64</f>
        <v/>
      </c>
      <c r="T64" s="39">
        <f>E64*discount</f>
        <v/>
      </c>
      <c r="U64" s="40">
        <f>T64*S64</f>
        <v/>
      </c>
      <c r="V64" s="40">
        <f>(battery/range_nm)*D64*P64*VLOOKUP(B64,country_opex,3,FALSE)</f>
        <v/>
      </c>
      <c r="W64" s="40">
        <f>VLOOKUP(B64,country_opex,2,FALSE)*crew_factor</f>
        <v/>
      </c>
      <c r="X64" s="40">
        <f>VLOOKUP(B64,country_opex,5,FALSE)</f>
        <v/>
      </c>
      <c r="Y64" s="40">
        <f>maint</f>
        <v/>
      </c>
      <c r="Z64" s="40">
        <f>VLOOKUP(B64,country_opex,7,FALSE)*ins_pct</f>
        <v/>
      </c>
      <c r="AA64" s="40">
        <f>charge_berth</f>
        <v/>
      </c>
      <c r="AB64" s="40">
        <f>V64+W64+X64+Y64+Z64+AA64</f>
        <v/>
      </c>
      <c r="AC64" s="40">
        <f>VLOOKUP(B64,country_opex,7,FALSE)/dep_years</f>
        <v/>
      </c>
      <c r="AD64" s="40">
        <f>U64-AB64</f>
        <v/>
      </c>
      <c r="AE64" s="37">
        <f>IF(U64=0,"",AD64/U64)</f>
        <v/>
      </c>
      <c r="AF64" s="38">
        <f>IF(AD64&lt;=0,"",VLOOKUP(B64,country_opex,7,FALSE)/AD64)</f>
        <v/>
      </c>
      <c r="AG64" s="35">
        <f>((D64*P64/diesel_nmpg)*diesel_co2pg-(battery/range_nm)*D64*P64*VLOOKUP(B64,country_opex,4,FALSE))/1000</f>
        <v/>
      </c>
      <c r="AH64" s="33" t="n">
        <v>9230</v>
      </c>
      <c r="AI64" s="34" t="inlineStr">
        <is>
          <t>T3</t>
        </is>
      </c>
      <c r="AJ64" s="34" t="inlineStr">
        <is>
          <t>med-low</t>
        </is>
      </c>
      <c r="AK64" s="41" t="n">
        <v>0.1</v>
      </c>
      <c r="AL64" s="36">
        <f>IF(AH64="","",AH64*AK64)</f>
        <v/>
      </c>
      <c r="AM64" s="36">
        <f>IF(OR(AH64="",S64=0),"",MIN(IF(AU64="",9.9E+99,AU64),FLOOR(AL64/S64,1)))</f>
        <v/>
      </c>
      <c r="AN64" s="40">
        <f>IF(AM64="","",AM64*IF(ABS(MOD(ABS((U64)),1)-0.5)&lt;1E-9,2*ROUND((U64)/2,0),ROUND((U64),0)))</f>
        <v/>
      </c>
      <c r="AO64" s="38">
        <f>IF(OR(AH64="",S64=0),"",MIN(IF(AU64="",9.9E+99,AU64),AL64/S64))</f>
        <v/>
      </c>
      <c r="AP64" s="40">
        <f>IF(AO64="","",AO64*IF(B64="South Korea",IF(ABS(MOD(ABS((U64)),1)-0.5)&lt;1E-9,2*ROUND((U64)/2,0),ROUND((U64),0)),U64))</f>
        <v/>
      </c>
      <c r="AQ64" s="42" t="n"/>
      <c r="AR64" s="34" t="inlineStr">
        <is>
          <t>Upside tier</t>
        </is>
      </c>
      <c r="AS64" s="43" t="n"/>
      <c r="AT64" s="43" t="inlineStr">
        <is>
          <t>experience_upside</t>
        </is>
      </c>
      <c r="AU64" s="44" t="n"/>
      <c r="AV64" s="45">
        <f>IF(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&lt;=0,"",VLOOKUP(B64,country_opex,7,FALSE)/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)</f>
        <v/>
      </c>
      <c r="AW64" s="45">
        <f>IF(((T64*pax_cap*IF(B64="South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Korea",korea_mid_revleg,revleg_mid)),0))*VLOOKUP(B64,country_opex,3,FALSE))+W64+X64+Y64+Z64+AA64))&lt;=0,"",VLOOKUP(B64,country_opex,7,FALSE)/((T64*pax_cap*IF(B64="South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Korea",korea_mid_revleg,revleg_mid)),0))*VLOOKUP(B64,country_opex,3,FALSE))+W64+X64+Y64+Z64+AA64)))</f>
        <v/>
      </c>
      <c r="AX64" s="45">
        <f>IF(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&lt;=0,"",VLOOKUP(B64,country_opex,7,FALSE)/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)</f>
        <v/>
      </c>
      <c r="AY64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64" s="46" t="inlineStr">
        <is>
          <t>PR #58 Mumbai spine route-count split (13 sealed rows × anchor 120,000 pax/yr)</t>
        </is>
      </c>
      <c r="BA64" s="34" t="inlineStr">
        <is>
          <t>ics-3964e5583e</t>
        </is>
      </c>
    </row>
    <row r="65">
      <c r="A65" s="31" t="inlineStr">
        <is>
          <t>India Andaman Rapido</t>
        </is>
      </c>
      <c r="B65" s="31" t="inlineStr">
        <is>
          <t>India</t>
        </is>
      </c>
      <c r="C65" s="32" t="inlineStr">
        <is>
          <t>Andaman → Chatham Jetty</t>
        </is>
      </c>
      <c r="D65" s="33" t="n">
        <v>3.5</v>
      </c>
      <c r="E65" s="27" t="n">
        <v>22</v>
      </c>
      <c r="F65" s="34" t="inlineStr">
        <is>
          <t>T3</t>
        </is>
      </c>
      <c r="G65" s="34" t="inlineStr">
        <is>
          <t>med-low</t>
        </is>
      </c>
      <c r="H65" s="20" t="n">
        <v>1</v>
      </c>
      <c r="I65" s="35">
        <f>60*D65/cruise_kt</f>
        <v/>
      </c>
      <c r="J65" s="35">
        <f>IF(B65="South Korea",D65/korea_charge_range_nm*korea_full_range_charge_min,0)</f>
        <v/>
      </c>
      <c r="K65" s="35">
        <f>IF(B65="South Korea",I65+korea_turn_min+korea_dwell_min+J65,I65+turn_min+dwell_min)</f>
        <v/>
      </c>
      <c r="L65" s="36">
        <f>IF(B65="South Korea",FLOOR(60*korea_service_hr/K65,1),MIN(15,FLOOR(60*service_hr/K65,1)))</f>
        <v/>
      </c>
      <c r="M65" s="36">
        <f>IF(ABS(MOD(ABS((365*mech_uptime*H65)),1)-0.5)&lt;1E-9,2*ROUND((365*mech_uptime*H65)/2,0),ROUND((365*mech_uptime*H65),0))</f>
        <v/>
      </c>
      <c r="N65" s="37">
        <f>mech_uptime</f>
        <v/>
      </c>
      <c r="O65" s="37">
        <f>IF(AND(B65="South Korea",scenario="MID"),korea_mid_revleg,revleg_sel)</f>
        <v/>
      </c>
      <c r="P65" s="36">
        <f>IF(ABS(MOD(ABS((L65*M65*O65)),1)-0.5)&lt;1E-9,2*ROUND((L65*M65*O65)/2,0),ROUND((L65*M65*O65),0))</f>
        <v/>
      </c>
      <c r="Q65" s="37">
        <f>IF(AND(B65="South Korea",scenario="MID"),korea_mid_load,load_sel)</f>
        <v/>
      </c>
      <c r="R65" s="38">
        <f>pax_cap*Q65</f>
        <v/>
      </c>
      <c r="S65" s="36">
        <f>R65*P65</f>
        <v/>
      </c>
      <c r="T65" s="39">
        <f>E65*discount</f>
        <v/>
      </c>
      <c r="U65" s="40">
        <f>T65*S65</f>
        <v/>
      </c>
      <c r="V65" s="40">
        <f>(battery/range_nm)*D65*P65*VLOOKUP(B65,country_opex,3,FALSE)</f>
        <v/>
      </c>
      <c r="W65" s="40">
        <f>VLOOKUP(B65,country_opex,2,FALSE)*crew_factor</f>
        <v/>
      </c>
      <c r="X65" s="40">
        <f>VLOOKUP(B65,country_opex,5,FALSE)</f>
        <v/>
      </c>
      <c r="Y65" s="40">
        <f>maint</f>
        <v/>
      </c>
      <c r="Z65" s="40">
        <f>VLOOKUP(B65,country_opex,7,FALSE)*ins_pct</f>
        <v/>
      </c>
      <c r="AA65" s="40">
        <f>charge_berth</f>
        <v/>
      </c>
      <c r="AB65" s="40">
        <f>V65+W65+X65+Y65+Z65+AA65</f>
        <v/>
      </c>
      <c r="AC65" s="40">
        <f>VLOOKUP(B65,country_opex,7,FALSE)/dep_years</f>
        <v/>
      </c>
      <c r="AD65" s="40">
        <f>U65-AB65</f>
        <v/>
      </c>
      <c r="AE65" s="37">
        <f>IF(U65=0,"",AD65/U65)</f>
        <v/>
      </c>
      <c r="AF65" s="38">
        <f>IF(AD65&lt;=0,"",VLOOKUP(B65,country_opex,7,FALSE)/AD65)</f>
        <v/>
      </c>
      <c r="AG65" s="35">
        <f>((D65*P65/diesel_nmpg)*diesel_co2pg-(battery/range_nm)*D65*P65*VLOOKUP(B65,country_opex,4,FALSE))/1000</f>
        <v/>
      </c>
      <c r="AH65" s="33" t="n">
        <v>5000</v>
      </c>
      <c r="AI65" s="34" t="inlineStr">
        <is>
          <t>T3</t>
        </is>
      </c>
      <c r="AJ65" s="34" t="inlineStr">
        <is>
          <t>med-low</t>
        </is>
      </c>
      <c r="AK65" s="41" t="n">
        <v>0.1</v>
      </c>
      <c r="AL65" s="36">
        <f>IF(AH65="","",AH65*AK65)</f>
        <v/>
      </c>
      <c r="AM65" s="36">
        <f>IF(OR(AH65="",S65=0),"",MIN(IF(AU65="",9.9E+99,AU65),FLOOR(AL65/S65,1)))</f>
        <v/>
      </c>
      <c r="AN65" s="40">
        <f>IF(AM65="","",AM65*IF(ABS(MOD(ABS((U65)),1)-0.5)&lt;1E-9,2*ROUND((U65)/2,0),ROUND((U65),0)))</f>
        <v/>
      </c>
      <c r="AO65" s="38">
        <f>IF(OR(AH65="",S65=0),"",MIN(IF(AU65="",9.9E+99,AU65),AL65/S65))</f>
        <v/>
      </c>
      <c r="AP65" s="40">
        <f>IF(AO65="","",AO65*IF(B65="South Korea",IF(ABS(MOD(ABS((U65)),1)-0.5)&lt;1E-9,2*ROUND((U65)/2,0),ROUND((U65),0)),U65))</f>
        <v/>
      </c>
      <c r="AQ65" s="42" t="n"/>
      <c r="AR65" s="34" t="inlineStr">
        <is>
          <t>Grounded</t>
        </is>
      </c>
      <c r="AS65" s="43" t="n"/>
      <c r="AT65" s="43" t="n"/>
      <c r="AU65" s="44" t="n"/>
      <c r="AV65" s="45">
        <f>IF(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&lt;=0,"",VLOOKUP(B65,country_opex,7,FALSE)/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)</f>
        <v/>
      </c>
      <c r="AW65" s="45">
        <f>IF(((T65*pax_cap*IF(B65="South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Korea",korea_mid_revleg,revleg_mid)),0))*VLOOKUP(B65,country_opex,3,FALSE))+W65+X65+Y65+Z65+AA65))&lt;=0,"",VLOOKUP(B65,country_opex,7,FALSE)/((T65*pax_cap*IF(B65="South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Korea",korea_mid_revleg,revleg_mid)),0))*VLOOKUP(B65,country_opex,3,FALSE))+W65+X65+Y65+Z65+AA65)))</f>
        <v/>
      </c>
      <c r="AX65" s="45">
        <f>IF(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&lt;=0,"",VLOOKUP(B65,country_opex,7,FALSE)/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)</f>
        <v/>
      </c>
      <c r="AY65" s="46" t="inlineStr">
        <is>
          <t>handoff/INDIA-ECONOMICS-SIDECAR-V0-2026-06-20.json (andaman)</t>
        </is>
      </c>
      <c r="AZ65" s="46" t="inlineStr">
        <is>
          <t>handoff/INDIA-ECONOMICS-SIDECAR-V0-2026-06-20.json (andaman)</t>
        </is>
      </c>
      <c r="BA65" s="34" t="inlineStr">
        <is>
          <t>rn-dd995893582c</t>
        </is>
      </c>
    </row>
    <row r="66">
      <c r="A66" s="31" t="inlineStr">
        <is>
          <t>India Andaman Rapido</t>
        </is>
      </c>
      <c r="B66" s="31" t="inlineStr">
        <is>
          <t>India</t>
        </is>
      </c>
      <c r="C66" s="32" t="inlineStr">
        <is>
          <t>Middle Strait Jetty → NK Cruise Terminal</t>
        </is>
      </c>
      <c r="D66" s="33" t="n">
        <v>3.7</v>
      </c>
      <c r="E66" s="27" t="n">
        <v>22</v>
      </c>
      <c r="F66" s="34" t="inlineStr">
        <is>
          <t>T3</t>
        </is>
      </c>
      <c r="G66" s="34" t="inlineStr">
        <is>
          <t>med-low</t>
        </is>
      </c>
      <c r="H66" s="20" t="n">
        <v>1</v>
      </c>
      <c r="I66" s="35">
        <f>60*D66/cruise_kt</f>
        <v/>
      </c>
      <c r="J66" s="35">
        <f>IF(B66="South Korea",D66/korea_charge_range_nm*korea_full_range_charge_min,0)</f>
        <v/>
      </c>
      <c r="K66" s="35">
        <f>IF(B66="South Korea",I66+korea_turn_min+korea_dwell_min+J66,I66+turn_min+dwell_min)</f>
        <v/>
      </c>
      <c r="L66" s="36">
        <f>IF(B66="South Korea",FLOOR(60*korea_service_hr/K66,1),MIN(15,FLOOR(60*service_hr/K66,1)))</f>
        <v/>
      </c>
      <c r="M66" s="36">
        <f>IF(ABS(MOD(ABS((365*mech_uptime*H66)),1)-0.5)&lt;1E-9,2*ROUND((365*mech_uptime*H66)/2,0),ROUND((365*mech_uptime*H66),0))</f>
        <v/>
      </c>
      <c r="N66" s="37">
        <f>mech_uptime</f>
        <v/>
      </c>
      <c r="O66" s="37">
        <f>IF(AND(B66="South Korea",scenario="MID"),korea_mid_revleg,revleg_sel)</f>
        <v/>
      </c>
      <c r="P66" s="36">
        <f>IF(ABS(MOD(ABS((L66*M66*O66)),1)-0.5)&lt;1E-9,2*ROUND((L66*M66*O66)/2,0),ROUND((L66*M66*O66),0))</f>
        <v/>
      </c>
      <c r="Q66" s="37">
        <f>IF(AND(B66="South Korea",scenario="MID"),korea_mid_load,load_sel)</f>
        <v/>
      </c>
      <c r="R66" s="38">
        <f>pax_cap*Q66</f>
        <v/>
      </c>
      <c r="S66" s="36">
        <f>R66*P66</f>
        <v/>
      </c>
      <c r="T66" s="39">
        <f>E66*discount</f>
        <v/>
      </c>
      <c r="U66" s="40">
        <f>T66*S66</f>
        <v/>
      </c>
      <c r="V66" s="40">
        <f>(battery/range_nm)*D66*P66*VLOOKUP(B66,country_opex,3,FALSE)</f>
        <v/>
      </c>
      <c r="W66" s="40">
        <f>VLOOKUP(B66,country_opex,2,FALSE)*crew_factor</f>
        <v/>
      </c>
      <c r="X66" s="40">
        <f>VLOOKUP(B66,country_opex,5,FALSE)</f>
        <v/>
      </c>
      <c r="Y66" s="40">
        <f>maint</f>
        <v/>
      </c>
      <c r="Z66" s="40">
        <f>VLOOKUP(B66,country_opex,7,FALSE)*ins_pct</f>
        <v/>
      </c>
      <c r="AA66" s="40">
        <f>charge_berth</f>
        <v/>
      </c>
      <c r="AB66" s="40">
        <f>V66+W66+X66+Y66+Z66+AA66</f>
        <v/>
      </c>
      <c r="AC66" s="40">
        <f>VLOOKUP(B66,country_opex,7,FALSE)/dep_years</f>
        <v/>
      </c>
      <c r="AD66" s="40">
        <f>U66-AB66</f>
        <v/>
      </c>
      <c r="AE66" s="37">
        <f>IF(U66=0,"",AD66/U66)</f>
        <v/>
      </c>
      <c r="AF66" s="38">
        <f>IF(AD66&lt;=0,"",VLOOKUP(B66,country_opex,7,FALSE)/AD66)</f>
        <v/>
      </c>
      <c r="AG66" s="35">
        <f>((D66*P66/diesel_nmpg)*diesel_co2pg-(battery/range_nm)*D66*P66*VLOOKUP(B66,country_opex,4,FALSE))/1000</f>
        <v/>
      </c>
      <c r="AH66" s="33" t="n">
        <v>5000</v>
      </c>
      <c r="AI66" s="34" t="inlineStr">
        <is>
          <t>T3</t>
        </is>
      </c>
      <c r="AJ66" s="34" t="inlineStr">
        <is>
          <t>med-low</t>
        </is>
      </c>
      <c r="AK66" s="41" t="n">
        <v>0.1</v>
      </c>
      <c r="AL66" s="36">
        <f>IF(AH66="","",AH66*AK66)</f>
        <v/>
      </c>
      <c r="AM66" s="36">
        <f>IF(OR(AH66="",S66=0),"",MIN(IF(AU66="",9.9E+99,AU66),FLOOR(AL66/S66,1)))</f>
        <v/>
      </c>
      <c r="AN66" s="40">
        <f>IF(AM66="","",AM66*IF(ABS(MOD(ABS((U66)),1)-0.5)&lt;1E-9,2*ROUND((U66)/2,0),ROUND((U66),0)))</f>
        <v/>
      </c>
      <c r="AO66" s="38">
        <f>IF(OR(AH66="",S66=0),"",MIN(IF(AU66="",9.9E+99,AU66),AL66/S66))</f>
        <v/>
      </c>
      <c r="AP66" s="40">
        <f>IF(AO66="","",AO66*IF(B66="South Korea",IF(ABS(MOD(ABS((U66)),1)-0.5)&lt;1E-9,2*ROUND((U66)/2,0),ROUND((U66),0)),U66))</f>
        <v/>
      </c>
      <c r="AQ66" s="42" t="n"/>
      <c r="AR66" s="34" t="inlineStr">
        <is>
          <t>Grounded</t>
        </is>
      </c>
      <c r="AS66" s="43" t="n"/>
      <c r="AT66" s="43" t="n"/>
      <c r="AU66" s="44" t="n"/>
      <c r="AV66" s="45">
        <f>IF(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&lt;=0,"",VLOOKUP(B66,country_opex,7,FALSE)/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)</f>
        <v/>
      </c>
      <c r="AW66" s="45">
        <f>IF(((T66*pax_cap*IF(B66="South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Korea",korea_mid_revleg,revleg_mid)),0))*VLOOKUP(B66,country_opex,3,FALSE))+W66+X66+Y66+Z66+AA66))&lt;=0,"",VLOOKUP(B66,country_opex,7,FALSE)/((T66*pax_cap*IF(B66="South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Korea",korea_mid_revleg,revleg_mid)),0))*VLOOKUP(B66,country_opex,3,FALSE))+W66+X66+Y66+Z66+AA66)))</f>
        <v/>
      </c>
      <c r="AX66" s="45">
        <f>IF(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&lt;=0,"",VLOOKUP(B66,country_opex,7,FALSE)/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)</f>
        <v/>
      </c>
      <c r="AY66" s="46" t="inlineStr">
        <is>
          <t>handoff/INDIA-ECONOMICS-SIDECAR-V0-2026-06-20.json (andaman)</t>
        </is>
      </c>
      <c r="AZ66" s="46" t="inlineStr">
        <is>
          <t>handoff/INDIA-ECONOMICS-SIDECAR-V0-2026-06-20.json (andaman)</t>
        </is>
      </c>
      <c r="BA66" s="34" t="inlineStr">
        <is>
          <t>rn-36d70e918caa</t>
        </is>
      </c>
    </row>
    <row r="67">
      <c r="A67" s="31" t="inlineStr">
        <is>
          <t>Rapido Mumbai</t>
        </is>
      </c>
      <c r="B67" s="31" t="inlineStr">
        <is>
          <t>India</t>
        </is>
      </c>
      <c r="C67" s="32" t="inlineStr">
        <is>
          <t>Mora → Elephanta Caves</t>
        </is>
      </c>
      <c r="D67" s="33" t="n">
        <v>3.8</v>
      </c>
      <c r="E67" s="27" t="n"/>
      <c r="F67" s="34" t="inlineStr">
        <is>
          <t>T3</t>
        </is>
      </c>
      <c r="G67" s="34" t="inlineStr">
        <is>
          <t>med-low</t>
        </is>
      </c>
      <c r="H67" s="20" t="n">
        <v>1</v>
      </c>
      <c r="I67" s="35">
        <f>60*D67/cruise_kt</f>
        <v/>
      </c>
      <c r="J67" s="35">
        <f>IF(B67="South Korea",D67/korea_charge_range_nm*korea_full_range_charge_min,0)</f>
        <v/>
      </c>
      <c r="K67" s="35">
        <f>IF(B67="South Korea",I67+korea_turn_min+korea_dwell_min+J67,I67+turn_min+dwell_min)</f>
        <v/>
      </c>
      <c r="L67" s="36">
        <f>IF(B67="South Korea",FLOOR(60*korea_service_hr/K67,1),MIN(15,FLOOR(60*service_hr/K67,1)))</f>
        <v/>
      </c>
      <c r="M67" s="36">
        <f>IF(ABS(MOD(ABS((365*mech_uptime*H67)),1)-0.5)&lt;1E-9,2*ROUND((365*mech_uptime*H67)/2,0),ROUND((365*mech_uptime*H67),0))</f>
        <v/>
      </c>
      <c r="N67" s="37">
        <f>mech_uptime</f>
        <v/>
      </c>
      <c r="O67" s="37">
        <f>IF(AND(B67="South Korea",scenario="MID"),korea_mid_revleg,revleg_sel)</f>
        <v/>
      </c>
      <c r="P67" s="36">
        <f>IF(ABS(MOD(ABS((L67*M67*O67)),1)-0.5)&lt;1E-9,2*ROUND((L67*M67*O67)/2,0),ROUND((L67*M67*O67),0))</f>
        <v/>
      </c>
      <c r="Q67" s="37">
        <f>IF(AND(B67="South Korea",scenario="MID"),korea_mid_load,load_sel)</f>
        <v/>
      </c>
      <c r="R67" s="38">
        <f>pax_cap*Q67</f>
        <v/>
      </c>
      <c r="S67" s="36">
        <f>R67*P67</f>
        <v/>
      </c>
      <c r="T67" s="39">
        <f>E67*discount</f>
        <v/>
      </c>
      <c r="U67" s="40">
        <f>T67*S67</f>
        <v/>
      </c>
      <c r="V67" s="40">
        <f>(battery/range_nm)*D67*P67*VLOOKUP(B67,country_opex,3,FALSE)</f>
        <v/>
      </c>
      <c r="W67" s="40">
        <f>VLOOKUP(B67,country_opex,2,FALSE)*crew_factor</f>
        <v/>
      </c>
      <c r="X67" s="40">
        <f>VLOOKUP(B67,country_opex,5,FALSE)</f>
        <v/>
      </c>
      <c r="Y67" s="40">
        <f>maint</f>
        <v/>
      </c>
      <c r="Z67" s="40">
        <f>VLOOKUP(B67,country_opex,7,FALSE)*ins_pct</f>
        <v/>
      </c>
      <c r="AA67" s="40">
        <f>charge_berth</f>
        <v/>
      </c>
      <c r="AB67" s="40">
        <f>V67+W67+X67+Y67+Z67+AA67</f>
        <v/>
      </c>
      <c r="AC67" s="40">
        <f>VLOOKUP(B67,country_opex,7,FALSE)/dep_years</f>
        <v/>
      </c>
      <c r="AD67" s="40">
        <f>U67-AB67</f>
        <v/>
      </c>
      <c r="AE67" s="37">
        <f>IF(U67=0,"",AD67/U67)</f>
        <v/>
      </c>
      <c r="AF67" s="38">
        <f>IF(AD67&lt;=0,"",VLOOKUP(B67,country_opex,7,FALSE)/AD67)</f>
        <v/>
      </c>
      <c r="AG67" s="35">
        <f>((D67*P67/diesel_nmpg)*diesel_co2pg-(battery/range_nm)*D67*P67*VLOOKUP(B67,country_opex,4,FALSE))/1000</f>
        <v/>
      </c>
      <c r="AH67" s="33" t="n">
        <v>9230</v>
      </c>
      <c r="AI67" s="34" t="inlineStr">
        <is>
          <t>T3</t>
        </is>
      </c>
      <c r="AJ67" s="34" t="inlineStr">
        <is>
          <t>med-low</t>
        </is>
      </c>
      <c r="AK67" s="41" t="n">
        <v>0.1</v>
      </c>
      <c r="AL67" s="36">
        <f>IF(AH67="","",AH67*AK67)</f>
        <v/>
      </c>
      <c r="AM67" s="36">
        <f>IF(OR(AH67="",S67=0),"",MIN(IF(AU67="",9.9E+99,AU67),FLOOR(AL67/S67,1)))</f>
        <v/>
      </c>
      <c r="AN67" s="40">
        <f>IF(AM67="","",AM67*IF(ABS(MOD(ABS((U67)),1)-0.5)&lt;1E-9,2*ROUND((U67)/2,0),ROUND((U67),0)))</f>
        <v/>
      </c>
      <c r="AO67" s="38">
        <f>IF(OR(AH67="",S67=0),"",MIN(IF(AU67="",9.9E+99,AU67),AL67/S67))</f>
        <v/>
      </c>
      <c r="AP67" s="40">
        <f>IF(AO67="","",AO67*IF(B67="South Korea",IF(ABS(MOD(ABS((U67)),1)-0.5)&lt;1E-9,2*ROUND((U67)/2,0),ROUND((U67),0)),U67))</f>
        <v/>
      </c>
      <c r="AQ67" s="42" t="n"/>
      <c r="AR67" s="34" t="inlineStr">
        <is>
          <t>Upside tier</t>
        </is>
      </c>
      <c r="AS67" s="43" t="n"/>
      <c r="AT67" s="43" t="inlineStr">
        <is>
          <t>experience_upside</t>
        </is>
      </c>
      <c r="AU67" s="44" t="n"/>
      <c r="AV67" s="45">
        <f>IF(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&lt;=0,"",VLOOKUP(B67,country_opex,7,FALSE)/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)</f>
        <v/>
      </c>
      <c r="AW67" s="45">
        <f>IF(((T67*pax_cap*IF(B67="South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Korea",korea_mid_revleg,revleg_mid)),0))*VLOOKUP(B67,country_opex,3,FALSE))+W67+X67+Y67+Z67+AA67))&lt;=0,"",VLOOKUP(B67,country_opex,7,FALSE)/((T67*pax_cap*IF(B67="South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Korea",korea_mid_revleg,revleg_mid)),0))*VLOOKUP(B67,country_opex,3,FALSE))+W67+X67+Y67+Z67+AA67)))</f>
        <v/>
      </c>
      <c r="AX67" s="45">
        <f>IF(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&lt;=0,"",VLOOKUP(B67,country_opex,7,FALSE)/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)</f>
        <v/>
      </c>
      <c r="AY67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67" s="46" t="inlineStr">
        <is>
          <t>PR #58 Mumbai spine route-count split (13 sealed rows × anchor 120,000 pax/yr)</t>
        </is>
      </c>
      <c r="BA67" s="34" t="inlineStr">
        <is>
          <t>ics-997116ff5d</t>
        </is>
      </c>
    </row>
    <row r="68">
      <c r="A68" s="31" t="inlineStr">
        <is>
          <t>India Andaman Rapido</t>
        </is>
      </c>
      <c r="B68" s="31" t="inlineStr">
        <is>
          <t>India</t>
        </is>
      </c>
      <c r="C68" s="32" t="inlineStr">
        <is>
          <t>Andaman → Bambooflat Jetty</t>
        </is>
      </c>
      <c r="D68" s="33" t="n">
        <v>4.2</v>
      </c>
      <c r="E68" s="27" t="n">
        <v>22</v>
      </c>
      <c r="F68" s="34" t="inlineStr">
        <is>
          <t>T3</t>
        </is>
      </c>
      <c r="G68" s="34" t="inlineStr">
        <is>
          <t>med-low</t>
        </is>
      </c>
      <c r="H68" s="20" t="n">
        <v>1</v>
      </c>
      <c r="I68" s="35">
        <f>60*D68/cruise_kt</f>
        <v/>
      </c>
      <c r="J68" s="35">
        <f>IF(B68="South Korea",D68/korea_charge_range_nm*korea_full_range_charge_min,0)</f>
        <v/>
      </c>
      <c r="K68" s="35">
        <f>IF(B68="South Korea",I68+korea_turn_min+korea_dwell_min+J68,I68+turn_min+dwell_min)</f>
        <v/>
      </c>
      <c r="L68" s="36">
        <f>IF(B68="South Korea",FLOOR(60*korea_service_hr/K68,1),MIN(15,FLOOR(60*service_hr/K68,1)))</f>
        <v/>
      </c>
      <c r="M68" s="36">
        <f>IF(ABS(MOD(ABS((365*mech_uptime*H68)),1)-0.5)&lt;1E-9,2*ROUND((365*mech_uptime*H68)/2,0),ROUND((365*mech_uptime*H68),0))</f>
        <v/>
      </c>
      <c r="N68" s="37">
        <f>mech_uptime</f>
        <v/>
      </c>
      <c r="O68" s="37">
        <f>IF(AND(B68="South Korea",scenario="MID"),korea_mid_revleg,revleg_sel)</f>
        <v/>
      </c>
      <c r="P68" s="36">
        <f>IF(ABS(MOD(ABS((L68*M68*O68)),1)-0.5)&lt;1E-9,2*ROUND((L68*M68*O68)/2,0),ROUND((L68*M68*O68),0))</f>
        <v/>
      </c>
      <c r="Q68" s="37">
        <f>IF(AND(B68="South Korea",scenario="MID"),korea_mid_load,load_sel)</f>
        <v/>
      </c>
      <c r="R68" s="38">
        <f>pax_cap*Q68</f>
        <v/>
      </c>
      <c r="S68" s="36">
        <f>R68*P68</f>
        <v/>
      </c>
      <c r="T68" s="39">
        <f>E68*discount</f>
        <v/>
      </c>
      <c r="U68" s="40">
        <f>T68*S68</f>
        <v/>
      </c>
      <c r="V68" s="40">
        <f>(battery/range_nm)*D68*P68*VLOOKUP(B68,country_opex,3,FALSE)</f>
        <v/>
      </c>
      <c r="W68" s="40">
        <f>VLOOKUP(B68,country_opex,2,FALSE)*crew_factor</f>
        <v/>
      </c>
      <c r="X68" s="40">
        <f>VLOOKUP(B68,country_opex,5,FALSE)</f>
        <v/>
      </c>
      <c r="Y68" s="40">
        <f>maint</f>
        <v/>
      </c>
      <c r="Z68" s="40">
        <f>VLOOKUP(B68,country_opex,7,FALSE)*ins_pct</f>
        <v/>
      </c>
      <c r="AA68" s="40">
        <f>charge_berth</f>
        <v/>
      </c>
      <c r="AB68" s="40">
        <f>V68+W68+X68+Y68+Z68+AA68</f>
        <v/>
      </c>
      <c r="AC68" s="40">
        <f>VLOOKUP(B68,country_opex,7,FALSE)/dep_years</f>
        <v/>
      </c>
      <c r="AD68" s="40">
        <f>U68-AB68</f>
        <v/>
      </c>
      <c r="AE68" s="37">
        <f>IF(U68=0,"",AD68/U68)</f>
        <v/>
      </c>
      <c r="AF68" s="38">
        <f>IF(AD68&lt;=0,"",VLOOKUP(B68,country_opex,7,FALSE)/AD68)</f>
        <v/>
      </c>
      <c r="AG68" s="35">
        <f>((D68*P68/diesel_nmpg)*diesel_co2pg-(battery/range_nm)*D68*P68*VLOOKUP(B68,country_opex,4,FALSE))/1000</f>
        <v/>
      </c>
      <c r="AH68" s="33" t="n">
        <v>5000</v>
      </c>
      <c r="AI68" s="34" t="inlineStr">
        <is>
          <t>T3</t>
        </is>
      </c>
      <c r="AJ68" s="34" t="inlineStr">
        <is>
          <t>med-low</t>
        </is>
      </c>
      <c r="AK68" s="41" t="n">
        <v>0.1</v>
      </c>
      <c r="AL68" s="36">
        <f>IF(AH68="","",AH68*AK68)</f>
        <v/>
      </c>
      <c r="AM68" s="36">
        <f>IF(OR(AH68="",S68=0),"",MIN(IF(AU68="",9.9E+99,AU68),FLOOR(AL68/S68,1)))</f>
        <v/>
      </c>
      <c r="AN68" s="40">
        <f>IF(AM68="","",AM68*IF(ABS(MOD(ABS((U68)),1)-0.5)&lt;1E-9,2*ROUND((U68)/2,0),ROUND((U68),0)))</f>
        <v/>
      </c>
      <c r="AO68" s="38">
        <f>IF(OR(AH68="",S68=0),"",MIN(IF(AU68="",9.9E+99,AU68),AL68/S68))</f>
        <v/>
      </c>
      <c r="AP68" s="40">
        <f>IF(AO68="","",AO68*IF(B68="South Korea",IF(ABS(MOD(ABS((U68)),1)-0.5)&lt;1E-9,2*ROUND((U68)/2,0),ROUND((U68),0)),U68))</f>
        <v/>
      </c>
      <c r="AQ68" s="42" t="n"/>
      <c r="AR68" s="34" t="inlineStr">
        <is>
          <t>Grounded</t>
        </is>
      </c>
      <c r="AS68" s="43" t="n"/>
      <c r="AT68" s="43" t="n"/>
      <c r="AU68" s="44" t="n"/>
      <c r="AV68" s="45">
        <f>IF(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&lt;=0,"",VLOOKUP(B68,country_opex,7,FALSE)/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)</f>
        <v/>
      </c>
      <c r="AW68" s="45">
        <f>IF(((T68*pax_cap*IF(B68="South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Korea",korea_mid_revleg,revleg_mid)),0))*VLOOKUP(B68,country_opex,3,FALSE))+W68+X68+Y68+Z68+AA68))&lt;=0,"",VLOOKUP(B68,country_opex,7,FALSE)/((T68*pax_cap*IF(B68="South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Korea",korea_mid_revleg,revleg_mid)),0))*VLOOKUP(B68,country_opex,3,FALSE))+W68+X68+Y68+Z68+AA68)))</f>
        <v/>
      </c>
      <c r="AX68" s="45">
        <f>IF(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&lt;=0,"",VLOOKUP(B68,country_opex,7,FALSE)/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)</f>
        <v/>
      </c>
      <c r="AY68" s="46" t="inlineStr">
        <is>
          <t>handoff/INDIA-ECONOMICS-SIDECAR-V0-2026-06-20.json (andaman)</t>
        </is>
      </c>
      <c r="AZ68" s="46" t="inlineStr">
        <is>
          <t>handoff/INDIA-ECONOMICS-SIDECAR-V0-2026-06-20.json (andaman)</t>
        </is>
      </c>
      <c r="BA68" s="34" t="inlineStr">
        <is>
          <t>rn-c3fdccaf140d</t>
        </is>
      </c>
    </row>
    <row r="69">
      <c r="A69" s="31" t="inlineStr">
        <is>
          <t>Rapido Mumbai</t>
        </is>
      </c>
      <c r="B69" s="31" t="inlineStr">
        <is>
          <t>India</t>
        </is>
      </c>
      <c r="C69" s="32" t="inlineStr">
        <is>
          <t>BSA Mandwa → Marina Bay Bistro @KARANJA Fishing Dock</t>
        </is>
      </c>
      <c r="D69" s="33" t="n">
        <v>4.5</v>
      </c>
      <c r="E69" s="27" t="n"/>
      <c r="F69" s="34" t="inlineStr">
        <is>
          <t>T3</t>
        </is>
      </c>
      <c r="G69" s="34" t="inlineStr">
        <is>
          <t>med-low</t>
        </is>
      </c>
      <c r="H69" s="20" t="n">
        <v>1</v>
      </c>
      <c r="I69" s="35">
        <f>60*D69/cruise_kt</f>
        <v/>
      </c>
      <c r="J69" s="35">
        <f>IF(B69="South Korea",D69/korea_charge_range_nm*korea_full_range_charge_min,0)</f>
        <v/>
      </c>
      <c r="K69" s="35">
        <f>IF(B69="South Korea",I69+korea_turn_min+korea_dwell_min+J69,I69+turn_min+dwell_min)</f>
        <v/>
      </c>
      <c r="L69" s="36">
        <f>IF(B69="South Korea",FLOOR(60*korea_service_hr/K69,1),MIN(15,FLOOR(60*service_hr/K69,1)))</f>
        <v/>
      </c>
      <c r="M69" s="36">
        <f>IF(ABS(MOD(ABS((365*mech_uptime*H69)),1)-0.5)&lt;1E-9,2*ROUND((365*mech_uptime*H69)/2,0),ROUND((365*mech_uptime*H69),0))</f>
        <v/>
      </c>
      <c r="N69" s="37">
        <f>mech_uptime</f>
        <v/>
      </c>
      <c r="O69" s="37">
        <f>IF(AND(B69="South Korea",scenario="MID"),korea_mid_revleg,revleg_sel)</f>
        <v/>
      </c>
      <c r="P69" s="36">
        <f>IF(ABS(MOD(ABS((L69*M69*O69)),1)-0.5)&lt;1E-9,2*ROUND((L69*M69*O69)/2,0),ROUND((L69*M69*O69),0))</f>
        <v/>
      </c>
      <c r="Q69" s="37">
        <f>IF(AND(B69="South Korea",scenario="MID"),korea_mid_load,load_sel)</f>
        <v/>
      </c>
      <c r="R69" s="38">
        <f>pax_cap*Q69</f>
        <v/>
      </c>
      <c r="S69" s="36">
        <f>R69*P69</f>
        <v/>
      </c>
      <c r="T69" s="39">
        <f>E69*discount</f>
        <v/>
      </c>
      <c r="U69" s="40">
        <f>T69*S69</f>
        <v/>
      </c>
      <c r="V69" s="40">
        <f>(battery/range_nm)*D69*P69*VLOOKUP(B69,country_opex,3,FALSE)</f>
        <v/>
      </c>
      <c r="W69" s="40">
        <f>VLOOKUP(B69,country_opex,2,FALSE)*crew_factor</f>
        <v/>
      </c>
      <c r="X69" s="40">
        <f>VLOOKUP(B69,country_opex,5,FALSE)</f>
        <v/>
      </c>
      <c r="Y69" s="40">
        <f>maint</f>
        <v/>
      </c>
      <c r="Z69" s="40">
        <f>VLOOKUP(B69,country_opex,7,FALSE)*ins_pct</f>
        <v/>
      </c>
      <c r="AA69" s="40">
        <f>charge_berth</f>
        <v/>
      </c>
      <c r="AB69" s="40">
        <f>V69+W69+X69+Y69+Z69+AA69</f>
        <v/>
      </c>
      <c r="AC69" s="40">
        <f>VLOOKUP(B69,country_opex,7,FALSE)/dep_years</f>
        <v/>
      </c>
      <c r="AD69" s="40">
        <f>U69-AB69</f>
        <v/>
      </c>
      <c r="AE69" s="37">
        <f>IF(U69=0,"",AD69/U69)</f>
        <v/>
      </c>
      <c r="AF69" s="38">
        <f>IF(AD69&lt;=0,"",VLOOKUP(B69,country_opex,7,FALSE)/AD69)</f>
        <v/>
      </c>
      <c r="AG69" s="35">
        <f>((D69*P69/diesel_nmpg)*diesel_co2pg-(battery/range_nm)*D69*P69*VLOOKUP(B69,country_opex,4,FALSE))/1000</f>
        <v/>
      </c>
      <c r="AH69" s="33" t="n">
        <v>9230</v>
      </c>
      <c r="AI69" s="34" t="inlineStr">
        <is>
          <t>T3</t>
        </is>
      </c>
      <c r="AJ69" s="34" t="inlineStr">
        <is>
          <t>med-low</t>
        </is>
      </c>
      <c r="AK69" s="41" t="n">
        <v>0.1</v>
      </c>
      <c r="AL69" s="36">
        <f>IF(AH69="","",AH69*AK69)</f>
        <v/>
      </c>
      <c r="AM69" s="36">
        <f>IF(OR(AH69="",S69=0),"",MIN(IF(AU69="",9.9E+99,AU69),FLOOR(AL69/S69,1)))</f>
        <v/>
      </c>
      <c r="AN69" s="40">
        <f>IF(AM69="","",AM69*IF(ABS(MOD(ABS((U69)),1)-0.5)&lt;1E-9,2*ROUND((U69)/2,0),ROUND((U69),0)))</f>
        <v/>
      </c>
      <c r="AO69" s="38">
        <f>IF(OR(AH69="",S69=0),"",MIN(IF(AU69="",9.9E+99,AU69),AL69/S69))</f>
        <v/>
      </c>
      <c r="AP69" s="40">
        <f>IF(AO69="","",AO69*IF(B69="South Korea",IF(ABS(MOD(ABS((U69)),1)-0.5)&lt;1E-9,2*ROUND((U69)/2,0),ROUND((U69),0)),U69))</f>
        <v/>
      </c>
      <c r="AQ69" s="42" t="n"/>
      <c r="AR69" s="34" t="inlineStr">
        <is>
          <t>Upside tier</t>
        </is>
      </c>
      <c r="AS69" s="43" t="n"/>
      <c r="AT69" s="43" t="inlineStr">
        <is>
          <t>experience_upside</t>
        </is>
      </c>
      <c r="AU69" s="44" t="n"/>
      <c r="AV69" s="45">
        <f>IF(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&lt;=0,"",VLOOKUP(B69,country_opex,7,FALSE)/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)</f>
        <v/>
      </c>
      <c r="AW69" s="45">
        <f>IF(((T69*pax_cap*IF(B69="South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Korea",korea_mid_revleg,revleg_mid)),0))*VLOOKUP(B69,country_opex,3,FALSE))+W69+X69+Y69+Z69+AA69))&lt;=0,"",VLOOKUP(B69,country_opex,7,FALSE)/((T69*pax_cap*IF(B69="South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Korea",korea_mid_revleg,revleg_mid)),0))*VLOOKUP(B69,country_opex,3,FALSE))+W69+X69+Y69+Z69+AA69)))</f>
        <v/>
      </c>
      <c r="AX69" s="45">
        <f>IF(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&lt;=0,"",VLOOKUP(B69,country_opex,7,FALSE)/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)</f>
        <v/>
      </c>
      <c r="AY69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69" s="46" t="inlineStr">
        <is>
          <t>PR #58 Mumbai spine route-count split (13 sealed rows × anchor 120,000 pax/yr)</t>
        </is>
      </c>
      <c r="BA69" s="34" t="inlineStr">
        <is>
          <t>ics-91a8902d18</t>
        </is>
      </c>
    </row>
    <row r="70">
      <c r="A70" s="31" t="inlineStr">
        <is>
          <t>Rapido Mumbai</t>
        </is>
      </c>
      <c r="B70" s="31" t="inlineStr">
        <is>
          <t>India</t>
        </is>
      </c>
      <c r="C70" s="32" t="inlineStr">
        <is>
          <t>Mandwa Jetty → Mumbai Harbour</t>
        </is>
      </c>
      <c r="D70" s="33" t="n">
        <v>4.6</v>
      </c>
      <c r="E70" s="27" t="n"/>
      <c r="F70" s="34" t="inlineStr">
        <is>
          <t>T3</t>
        </is>
      </c>
      <c r="G70" s="34" t="inlineStr">
        <is>
          <t>med-low</t>
        </is>
      </c>
      <c r="H70" s="20" t="n">
        <v>1</v>
      </c>
      <c r="I70" s="35">
        <f>60*D70/cruise_kt</f>
        <v/>
      </c>
      <c r="J70" s="35">
        <f>IF(B70="South Korea",D70/korea_charge_range_nm*korea_full_range_charge_min,0)</f>
        <v/>
      </c>
      <c r="K70" s="35">
        <f>IF(B70="South Korea",I70+korea_turn_min+korea_dwell_min+J70,I70+turn_min+dwell_min)</f>
        <v/>
      </c>
      <c r="L70" s="36">
        <f>IF(B70="South Korea",FLOOR(60*korea_service_hr/K70,1),MIN(15,FLOOR(60*service_hr/K70,1)))</f>
        <v/>
      </c>
      <c r="M70" s="36">
        <f>IF(ABS(MOD(ABS((365*mech_uptime*H70)),1)-0.5)&lt;1E-9,2*ROUND((365*mech_uptime*H70)/2,0),ROUND((365*mech_uptime*H70),0))</f>
        <v/>
      </c>
      <c r="N70" s="37">
        <f>mech_uptime</f>
        <v/>
      </c>
      <c r="O70" s="37">
        <f>IF(AND(B70="South Korea",scenario="MID"),korea_mid_revleg,revleg_sel)</f>
        <v/>
      </c>
      <c r="P70" s="36">
        <f>IF(ABS(MOD(ABS((L70*M70*O70)),1)-0.5)&lt;1E-9,2*ROUND((L70*M70*O70)/2,0),ROUND((L70*M70*O70),0))</f>
        <v/>
      </c>
      <c r="Q70" s="37">
        <f>IF(AND(B70="South Korea",scenario="MID"),korea_mid_load,load_sel)</f>
        <v/>
      </c>
      <c r="R70" s="38">
        <f>pax_cap*Q70</f>
        <v/>
      </c>
      <c r="S70" s="36">
        <f>R70*P70</f>
        <v/>
      </c>
      <c r="T70" s="39">
        <f>E70*discount</f>
        <v/>
      </c>
      <c r="U70" s="40">
        <f>T70*S70</f>
        <v/>
      </c>
      <c r="V70" s="40">
        <f>(battery/range_nm)*D70*P70*VLOOKUP(B70,country_opex,3,FALSE)</f>
        <v/>
      </c>
      <c r="W70" s="40">
        <f>VLOOKUP(B70,country_opex,2,FALSE)*crew_factor</f>
        <v/>
      </c>
      <c r="X70" s="40">
        <f>VLOOKUP(B70,country_opex,5,FALSE)</f>
        <v/>
      </c>
      <c r="Y70" s="40">
        <f>maint</f>
        <v/>
      </c>
      <c r="Z70" s="40">
        <f>VLOOKUP(B70,country_opex,7,FALSE)*ins_pct</f>
        <v/>
      </c>
      <c r="AA70" s="40">
        <f>charge_berth</f>
        <v/>
      </c>
      <c r="AB70" s="40">
        <f>V70+W70+X70+Y70+Z70+AA70</f>
        <v/>
      </c>
      <c r="AC70" s="40">
        <f>VLOOKUP(B70,country_opex,7,FALSE)/dep_years</f>
        <v/>
      </c>
      <c r="AD70" s="40">
        <f>U70-AB70</f>
        <v/>
      </c>
      <c r="AE70" s="37">
        <f>IF(U70=0,"",AD70/U70)</f>
        <v/>
      </c>
      <c r="AF70" s="38">
        <f>IF(AD70&lt;=0,"",VLOOKUP(B70,country_opex,7,FALSE)/AD70)</f>
        <v/>
      </c>
      <c r="AG70" s="35">
        <f>((D70*P70/diesel_nmpg)*diesel_co2pg-(battery/range_nm)*D70*P70*VLOOKUP(B70,country_opex,4,FALSE))/1000</f>
        <v/>
      </c>
      <c r="AH70" s="33" t="n">
        <v>9230</v>
      </c>
      <c r="AI70" s="34" t="inlineStr">
        <is>
          <t>T3</t>
        </is>
      </c>
      <c r="AJ70" s="34" t="inlineStr">
        <is>
          <t>med-low</t>
        </is>
      </c>
      <c r="AK70" s="41" t="n">
        <v>0.1</v>
      </c>
      <c r="AL70" s="36">
        <f>IF(AH70="","",AH70*AK70)</f>
        <v/>
      </c>
      <c r="AM70" s="36">
        <f>IF(OR(AH70="",S70=0),"",MIN(IF(AU70="",9.9E+99,AU70),FLOOR(AL70/S70,1)))</f>
        <v/>
      </c>
      <c r="AN70" s="40">
        <f>IF(AM70="","",AM70*IF(ABS(MOD(ABS((U70)),1)-0.5)&lt;1E-9,2*ROUND((U70)/2,0),ROUND((U70),0)))</f>
        <v/>
      </c>
      <c r="AO70" s="38">
        <f>IF(OR(AH70="",S70=0),"",MIN(IF(AU70="",9.9E+99,AU70),AL70/S70))</f>
        <v/>
      </c>
      <c r="AP70" s="40">
        <f>IF(AO70="","",AO70*IF(B70="South Korea",IF(ABS(MOD(ABS((U70)),1)-0.5)&lt;1E-9,2*ROUND((U70)/2,0),ROUND((U70),0)),U70))</f>
        <v/>
      </c>
      <c r="AQ70" s="42" t="n"/>
      <c r="AR70" s="34" t="inlineStr">
        <is>
          <t>Upside tier</t>
        </is>
      </c>
      <c r="AS70" s="43" t="n"/>
      <c r="AT70" s="43" t="inlineStr">
        <is>
          <t>experience_upside</t>
        </is>
      </c>
      <c r="AU70" s="44" t="n"/>
      <c r="AV70" s="45">
        <f>IF(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&lt;=0,"",VLOOKUP(B70,country_opex,7,FALSE)/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)</f>
        <v/>
      </c>
      <c r="AW70" s="45">
        <f>IF(((T70*pax_cap*IF(B70="South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Korea",korea_mid_revleg,revleg_mid)),0))*VLOOKUP(B70,country_opex,3,FALSE))+W70+X70+Y70+Z70+AA70))&lt;=0,"",VLOOKUP(B70,country_opex,7,FALSE)/((T70*pax_cap*IF(B70="South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Korea",korea_mid_revleg,revleg_mid)),0))*VLOOKUP(B70,country_opex,3,FALSE))+W70+X70+Y70+Z70+AA70)))</f>
        <v/>
      </c>
      <c r="AX70" s="45">
        <f>IF(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&lt;=0,"",VLOOKUP(B70,country_opex,7,FALSE)/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)</f>
        <v/>
      </c>
      <c r="AY70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0" s="46" t="inlineStr">
        <is>
          <t>PR #58 Mumbai spine route-count split (13 sealed rows × anchor 120,000 pax/yr)</t>
        </is>
      </c>
      <c r="BA70" s="34" t="inlineStr">
        <is>
          <t>ics-10990b64b9</t>
        </is>
      </c>
    </row>
    <row r="71">
      <c r="A71" s="31" t="inlineStr">
        <is>
          <t>India Goa Rapido</t>
        </is>
      </c>
      <c r="B71" s="31" t="inlineStr">
        <is>
          <t>India</t>
        </is>
      </c>
      <c r="C71" s="32" t="inlineStr">
        <is>
          <t>Villa Marina → Mole</t>
        </is>
      </c>
      <c r="D71" s="33" t="n">
        <v>4.9</v>
      </c>
      <c r="E71" s="27" t="n">
        <v>8</v>
      </c>
      <c r="F71" s="34" t="inlineStr">
        <is>
          <t>T3</t>
        </is>
      </c>
      <c r="G71" s="34" t="inlineStr">
        <is>
          <t>med-low</t>
        </is>
      </c>
      <c r="H71" s="20" t="n">
        <v>1</v>
      </c>
      <c r="I71" s="35">
        <f>60*D71/cruise_kt</f>
        <v/>
      </c>
      <c r="J71" s="35">
        <f>IF(B71="South Korea",D71/korea_charge_range_nm*korea_full_range_charge_min,0)</f>
        <v/>
      </c>
      <c r="K71" s="35">
        <f>IF(B71="South Korea",I71+korea_turn_min+korea_dwell_min+J71,I71+turn_min+dwell_min)</f>
        <v/>
      </c>
      <c r="L71" s="36">
        <f>IF(B71="South Korea",FLOOR(60*korea_service_hr/K71,1),MIN(15,FLOOR(60*service_hr/K71,1)))</f>
        <v/>
      </c>
      <c r="M71" s="36">
        <f>IF(ABS(MOD(ABS((365*mech_uptime*H71)),1)-0.5)&lt;1E-9,2*ROUND((365*mech_uptime*H71)/2,0),ROUND((365*mech_uptime*H71),0))</f>
        <v/>
      </c>
      <c r="N71" s="37">
        <f>mech_uptime</f>
        <v/>
      </c>
      <c r="O71" s="37">
        <f>IF(AND(B71="South Korea",scenario="MID"),korea_mid_revleg,revleg_sel)</f>
        <v/>
      </c>
      <c r="P71" s="36">
        <f>IF(ABS(MOD(ABS((L71*M71*O71)),1)-0.5)&lt;1E-9,2*ROUND((L71*M71*O71)/2,0),ROUND((L71*M71*O71),0))</f>
        <v/>
      </c>
      <c r="Q71" s="37">
        <f>IF(AND(B71="South Korea",scenario="MID"),korea_mid_load,load_sel)</f>
        <v/>
      </c>
      <c r="R71" s="38">
        <f>pax_cap*Q71</f>
        <v/>
      </c>
      <c r="S71" s="36">
        <f>R71*P71</f>
        <v/>
      </c>
      <c r="T71" s="39">
        <f>E71*discount</f>
        <v/>
      </c>
      <c r="U71" s="40">
        <f>T71*S71</f>
        <v/>
      </c>
      <c r="V71" s="40">
        <f>(battery/range_nm)*D71*P71*VLOOKUP(B71,country_opex,3,FALSE)</f>
        <v/>
      </c>
      <c r="W71" s="40">
        <f>VLOOKUP(B71,country_opex,2,FALSE)*crew_factor</f>
        <v/>
      </c>
      <c r="X71" s="40">
        <f>VLOOKUP(B71,country_opex,5,FALSE)</f>
        <v/>
      </c>
      <c r="Y71" s="40">
        <f>maint</f>
        <v/>
      </c>
      <c r="Z71" s="40">
        <f>VLOOKUP(B71,country_opex,7,FALSE)*ins_pct</f>
        <v/>
      </c>
      <c r="AA71" s="40">
        <f>charge_berth</f>
        <v/>
      </c>
      <c r="AB71" s="40">
        <f>V71+W71+X71+Y71+Z71+AA71</f>
        <v/>
      </c>
      <c r="AC71" s="40">
        <f>VLOOKUP(B71,country_opex,7,FALSE)/dep_years</f>
        <v/>
      </c>
      <c r="AD71" s="40">
        <f>U71-AB71</f>
        <v/>
      </c>
      <c r="AE71" s="37">
        <f>IF(U71=0,"",AD71/U71)</f>
        <v/>
      </c>
      <c r="AF71" s="38">
        <f>IF(AD71&lt;=0,"",VLOOKUP(B71,country_opex,7,FALSE)/AD71)</f>
        <v/>
      </c>
      <c r="AG71" s="35">
        <f>((D71*P71/diesel_nmpg)*diesel_co2pg-(battery/range_nm)*D71*P71*VLOOKUP(B71,country_opex,4,FALSE))/1000</f>
        <v/>
      </c>
      <c r="AH71" s="33" t="n">
        <v>11250</v>
      </c>
      <c r="AI71" s="34" t="inlineStr">
        <is>
          <t>T3</t>
        </is>
      </c>
      <c r="AJ71" s="34" t="inlineStr">
        <is>
          <t>med-low</t>
        </is>
      </c>
      <c r="AK71" s="41" t="n">
        <v>0.1</v>
      </c>
      <c r="AL71" s="36">
        <f>IF(AH71="","",AH71*AK71)</f>
        <v/>
      </c>
      <c r="AM71" s="36">
        <f>IF(OR(AH71="",S71=0),"",MIN(IF(AU71="",9.9E+99,AU71),FLOOR(AL71/S71,1)))</f>
        <v/>
      </c>
      <c r="AN71" s="40">
        <f>IF(AM71="","",AM71*IF(ABS(MOD(ABS((U71)),1)-0.5)&lt;1E-9,2*ROUND((U71)/2,0),ROUND((U71),0)))</f>
        <v/>
      </c>
      <c r="AO71" s="38">
        <f>IF(OR(AH71="",S71=0),"",MIN(IF(AU71="",9.9E+99,AU71),AL71/S71))</f>
        <v/>
      </c>
      <c r="AP71" s="40">
        <f>IF(AO71="","",AO71*IF(B71="South Korea",IF(ABS(MOD(ABS((U71)),1)-0.5)&lt;1E-9,2*ROUND((U71)/2,0),ROUND((U71),0)),U71))</f>
        <v/>
      </c>
      <c r="AQ71" s="42" t="n"/>
      <c r="AR71" s="34" t="inlineStr">
        <is>
          <t>Grounded</t>
        </is>
      </c>
      <c r="AS71" s="43" t="n"/>
      <c r="AT71" s="43" t="n"/>
      <c r="AU71" s="44" t="n"/>
      <c r="AV71" s="45">
        <f>IF(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&lt;=0,"",VLOOKUP(B71,country_opex,7,FALSE)/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)</f>
        <v/>
      </c>
      <c r="AW71" s="45">
        <f>IF(((T71*pax_cap*IF(B71="South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Korea",korea_mid_revleg,revleg_mid)),0))*VLOOKUP(B71,country_opex,3,FALSE))+W71+X71+Y71+Z71+AA71))&lt;=0,"",VLOOKUP(B71,country_opex,7,FALSE)/((T71*pax_cap*IF(B71="South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Korea",korea_mid_revleg,revleg_mid)),0))*VLOOKUP(B71,country_opex,3,FALSE))+W71+X71+Y71+Z71+AA71)))</f>
        <v/>
      </c>
      <c r="AX71" s="45">
        <f>IF(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&lt;=0,"",VLOOKUP(B71,country_opex,7,FALSE)/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)</f>
        <v/>
      </c>
      <c r="AY71" s="46" t="inlineStr">
        <is>
          <t>handoff/INDIA-ECONOMICS-SIDECAR-V0-2026-06-20.json (goa)</t>
        </is>
      </c>
      <c r="AZ71" s="46" t="inlineStr">
        <is>
          <t>handoff/INDIA-ECONOMICS-SIDECAR-V0-2026-06-20.json (goa)</t>
        </is>
      </c>
      <c r="BA71" s="34" t="inlineStr">
        <is>
          <t>ics-2f4731dd0a</t>
        </is>
      </c>
    </row>
    <row r="72">
      <c r="A72" s="31" t="inlineStr">
        <is>
          <t>India Mumbai Rapido</t>
        </is>
      </c>
      <c r="B72" s="31" t="inlineStr">
        <is>
          <t>India</t>
        </is>
      </c>
      <c r="C72" s="32" t="inlineStr">
        <is>
          <t>Marina Bay Bistro @KARANJA Fishing Dock → Harbour view villa by 29 bungalow</t>
        </is>
      </c>
      <c r="D72" s="33" t="n">
        <v>5.4</v>
      </c>
      <c r="E72" s="27" t="n">
        <v>18</v>
      </c>
      <c r="F72" s="34" t="inlineStr">
        <is>
          <t>T3</t>
        </is>
      </c>
      <c r="G72" s="34" t="inlineStr">
        <is>
          <t>med-low</t>
        </is>
      </c>
      <c r="H72" s="20" t="n">
        <v>1</v>
      </c>
      <c r="I72" s="35">
        <f>60*D72/cruise_kt</f>
        <v/>
      </c>
      <c r="J72" s="35">
        <f>IF(B72="South Korea",D72/korea_charge_range_nm*korea_full_range_charge_min,0)</f>
        <v/>
      </c>
      <c r="K72" s="35">
        <f>IF(B72="South Korea",I72+korea_turn_min+korea_dwell_min+J72,I72+turn_min+dwell_min)</f>
        <v/>
      </c>
      <c r="L72" s="36">
        <f>IF(B72="South Korea",FLOOR(60*korea_service_hr/K72,1),MIN(15,FLOOR(60*service_hr/K72,1)))</f>
        <v/>
      </c>
      <c r="M72" s="36">
        <f>IF(ABS(MOD(ABS((365*mech_uptime*H72)),1)-0.5)&lt;1E-9,2*ROUND((365*mech_uptime*H72)/2,0),ROUND((365*mech_uptime*H72),0))</f>
        <v/>
      </c>
      <c r="N72" s="37">
        <f>mech_uptime</f>
        <v/>
      </c>
      <c r="O72" s="37">
        <f>IF(AND(B72="South Korea",scenario="MID"),korea_mid_revleg,revleg_sel)</f>
        <v/>
      </c>
      <c r="P72" s="36">
        <f>IF(ABS(MOD(ABS((L72*M72*O72)),1)-0.5)&lt;1E-9,2*ROUND((L72*M72*O72)/2,0),ROUND((L72*M72*O72),0))</f>
        <v/>
      </c>
      <c r="Q72" s="37">
        <f>IF(AND(B72="South Korea",scenario="MID"),korea_mid_load,load_sel)</f>
        <v/>
      </c>
      <c r="R72" s="38">
        <f>pax_cap*Q72</f>
        <v/>
      </c>
      <c r="S72" s="36">
        <f>R72*P72</f>
        <v/>
      </c>
      <c r="T72" s="39">
        <f>E72*discount</f>
        <v/>
      </c>
      <c r="U72" s="40">
        <f>T72*S72</f>
        <v/>
      </c>
      <c r="V72" s="40">
        <f>(battery/range_nm)*D72*P72*VLOOKUP(B72,country_opex,3,FALSE)</f>
        <v/>
      </c>
      <c r="W72" s="40">
        <f>VLOOKUP(B72,country_opex,2,FALSE)*crew_factor</f>
        <v/>
      </c>
      <c r="X72" s="40">
        <f>VLOOKUP(B72,country_opex,5,FALSE)</f>
        <v/>
      </c>
      <c r="Y72" s="40">
        <f>maint</f>
        <v/>
      </c>
      <c r="Z72" s="40">
        <f>VLOOKUP(B72,country_opex,7,FALSE)*ins_pct</f>
        <v/>
      </c>
      <c r="AA72" s="40">
        <f>charge_berth</f>
        <v/>
      </c>
      <c r="AB72" s="40">
        <f>V72+W72+X72+Y72+Z72+AA72</f>
        <v/>
      </c>
      <c r="AC72" s="40">
        <f>VLOOKUP(B72,country_opex,7,FALSE)/dep_years</f>
        <v/>
      </c>
      <c r="AD72" s="40">
        <f>U72-AB72</f>
        <v/>
      </c>
      <c r="AE72" s="37">
        <f>IF(U72=0,"",AD72/U72)</f>
        <v/>
      </c>
      <c r="AF72" s="38">
        <f>IF(AD72&lt;=0,"",VLOOKUP(B72,country_opex,7,FALSE)/AD72)</f>
        <v/>
      </c>
      <c r="AG72" s="35">
        <f>((D72*P72/diesel_nmpg)*diesel_co2pg-(battery/range_nm)*D72*P72*VLOOKUP(B72,country_opex,4,FALSE))/1000</f>
        <v/>
      </c>
      <c r="AH72" s="33" t="n">
        <v>5000</v>
      </c>
      <c r="AI72" s="34" t="inlineStr">
        <is>
          <t>T3</t>
        </is>
      </c>
      <c r="AJ72" s="34" t="inlineStr">
        <is>
          <t>med-low</t>
        </is>
      </c>
      <c r="AK72" s="41" t="n">
        <v>0.1</v>
      </c>
      <c r="AL72" s="36">
        <f>IF(AH72="","",AH72*AK72)</f>
        <v/>
      </c>
      <c r="AM72" s="36">
        <f>IF(OR(AH72="",S72=0),"",MIN(IF(AU72="",9.9E+99,AU72),FLOOR(AL72/S72,1)))</f>
        <v/>
      </c>
      <c r="AN72" s="40">
        <f>IF(AM72="","",AM72*IF(ABS(MOD(ABS((U72)),1)-0.5)&lt;1E-9,2*ROUND((U72)/2,0),ROUND((U72),0)))</f>
        <v/>
      </c>
      <c r="AO72" s="38">
        <f>IF(OR(AH72="",S72=0),"",MIN(IF(AU72="",9.9E+99,AU72),AL72/S72))</f>
        <v/>
      </c>
      <c r="AP72" s="40">
        <f>IF(AO72="","",AO72*IF(B72="South Korea",IF(ABS(MOD(ABS((U72)),1)-0.5)&lt;1E-9,2*ROUND((U72)/2,0),ROUND((U72),0)),U72))</f>
        <v/>
      </c>
      <c r="AQ72" s="42" t="n"/>
      <c r="AR72" s="34" t="inlineStr">
        <is>
          <t>Grounded</t>
        </is>
      </c>
      <c r="AS72" s="43" t="n"/>
      <c r="AT72" s="43" t="n"/>
      <c r="AU72" s="44" t="n"/>
      <c r="AV72" s="45">
        <f>IF(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&lt;=0,"",VLOOKUP(B72,country_opex,7,FALSE)/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)</f>
        <v/>
      </c>
      <c r="AW72" s="45">
        <f>IF(((T72*pax_cap*IF(B72="South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Korea",korea_mid_revleg,revleg_mid)),0))*VLOOKUP(B72,country_opex,3,FALSE))+W72+X72+Y72+Z72+AA72))&lt;=0,"",VLOOKUP(B72,country_opex,7,FALSE)/((T72*pax_cap*IF(B72="South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Korea",korea_mid_revleg,revleg_mid)),0))*VLOOKUP(B72,country_opex,3,FALSE))+W72+X72+Y72+Z72+AA72)))</f>
        <v/>
      </c>
      <c r="AX72" s="45">
        <f>IF(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&lt;=0,"",VLOOKUP(B72,country_opex,7,FALSE)/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)</f>
        <v/>
      </c>
      <c r="AY72" s="46" t="inlineStr">
        <is>
          <t>[LB-255 PREMIUM RE-FARE: subsidized comparable $5.5 lifted to premium on-demand floor $18.0] handoff/INDIA-ECONOMICS-SIDECAR-V0-2026-06-20.json (mumbai)</t>
        </is>
      </c>
      <c r="AZ72" s="46" t="inlineStr">
        <is>
          <t>handoff/INDIA-ECONOMICS-SIDECAR-V0-2026-06-20.json (mumbai)</t>
        </is>
      </c>
      <c r="BA72" s="34" t="inlineStr">
        <is>
          <t>ics-f926b881cc</t>
        </is>
      </c>
    </row>
    <row r="73">
      <c r="A73" s="31" t="inlineStr">
        <is>
          <t>Rapido Mumbai</t>
        </is>
      </c>
      <c r="B73" s="31" t="inlineStr">
        <is>
          <t>India</t>
        </is>
      </c>
      <c r="C73" s="32" t="inlineStr">
        <is>
          <t>Elephanta Caves → Mumbai Trans-Harbour Navi Mumbai Toll Plaza</t>
        </is>
      </c>
      <c r="D73" s="33" t="n">
        <v>5.6</v>
      </c>
      <c r="E73" s="27" t="n"/>
      <c r="F73" s="34" t="inlineStr">
        <is>
          <t>T3</t>
        </is>
      </c>
      <c r="G73" s="34" t="inlineStr">
        <is>
          <t>med-low</t>
        </is>
      </c>
      <c r="H73" s="20" t="n">
        <v>1</v>
      </c>
      <c r="I73" s="35">
        <f>60*D73/cruise_kt</f>
        <v/>
      </c>
      <c r="J73" s="35">
        <f>IF(B73="South Korea",D73/korea_charge_range_nm*korea_full_range_charge_min,0)</f>
        <v/>
      </c>
      <c r="K73" s="35">
        <f>IF(B73="South Korea",I73+korea_turn_min+korea_dwell_min+J73,I73+turn_min+dwell_min)</f>
        <v/>
      </c>
      <c r="L73" s="36">
        <f>IF(B73="South Korea",FLOOR(60*korea_service_hr/K73,1),MIN(15,FLOOR(60*service_hr/K73,1)))</f>
        <v/>
      </c>
      <c r="M73" s="36">
        <f>IF(ABS(MOD(ABS((365*mech_uptime*H73)),1)-0.5)&lt;1E-9,2*ROUND((365*mech_uptime*H73)/2,0),ROUND((365*mech_uptime*H73),0))</f>
        <v/>
      </c>
      <c r="N73" s="37">
        <f>mech_uptime</f>
        <v/>
      </c>
      <c r="O73" s="37">
        <f>IF(AND(B73="South Korea",scenario="MID"),korea_mid_revleg,revleg_sel)</f>
        <v/>
      </c>
      <c r="P73" s="36">
        <f>IF(ABS(MOD(ABS((L73*M73*O73)),1)-0.5)&lt;1E-9,2*ROUND((L73*M73*O73)/2,0),ROUND((L73*M73*O73),0))</f>
        <v/>
      </c>
      <c r="Q73" s="37">
        <f>IF(AND(B73="South Korea",scenario="MID"),korea_mid_load,load_sel)</f>
        <v/>
      </c>
      <c r="R73" s="38">
        <f>pax_cap*Q73</f>
        <v/>
      </c>
      <c r="S73" s="36">
        <f>R73*P73</f>
        <v/>
      </c>
      <c r="T73" s="39">
        <f>E73*discount</f>
        <v/>
      </c>
      <c r="U73" s="40">
        <f>T73*S73</f>
        <v/>
      </c>
      <c r="V73" s="40">
        <f>(battery/range_nm)*D73*P73*VLOOKUP(B73,country_opex,3,FALSE)</f>
        <v/>
      </c>
      <c r="W73" s="40">
        <f>VLOOKUP(B73,country_opex,2,FALSE)*crew_factor</f>
        <v/>
      </c>
      <c r="X73" s="40">
        <f>VLOOKUP(B73,country_opex,5,FALSE)</f>
        <v/>
      </c>
      <c r="Y73" s="40">
        <f>maint</f>
        <v/>
      </c>
      <c r="Z73" s="40">
        <f>VLOOKUP(B73,country_opex,7,FALSE)*ins_pct</f>
        <v/>
      </c>
      <c r="AA73" s="40">
        <f>charge_berth</f>
        <v/>
      </c>
      <c r="AB73" s="40">
        <f>V73+W73+X73+Y73+Z73+AA73</f>
        <v/>
      </c>
      <c r="AC73" s="40">
        <f>VLOOKUP(B73,country_opex,7,FALSE)/dep_years</f>
        <v/>
      </c>
      <c r="AD73" s="40">
        <f>U73-AB73</f>
        <v/>
      </c>
      <c r="AE73" s="37">
        <f>IF(U73=0,"",AD73/U73)</f>
        <v/>
      </c>
      <c r="AF73" s="38">
        <f>IF(AD73&lt;=0,"",VLOOKUP(B73,country_opex,7,FALSE)/AD73)</f>
        <v/>
      </c>
      <c r="AG73" s="35">
        <f>((D73*P73/diesel_nmpg)*diesel_co2pg-(battery/range_nm)*D73*P73*VLOOKUP(B73,country_opex,4,FALSE))/1000</f>
        <v/>
      </c>
      <c r="AH73" s="33" t="n">
        <v>9230</v>
      </c>
      <c r="AI73" s="34" t="inlineStr">
        <is>
          <t>T3</t>
        </is>
      </c>
      <c r="AJ73" s="34" t="inlineStr">
        <is>
          <t>med-low</t>
        </is>
      </c>
      <c r="AK73" s="41" t="n">
        <v>0.1</v>
      </c>
      <c r="AL73" s="36">
        <f>IF(AH73="","",AH73*AK73)</f>
        <v/>
      </c>
      <c r="AM73" s="36">
        <f>IF(OR(AH73="",S73=0),"",MIN(IF(AU73="",9.9E+99,AU73),FLOOR(AL73/S73,1)))</f>
        <v/>
      </c>
      <c r="AN73" s="40">
        <f>IF(AM73="","",AM73*IF(ABS(MOD(ABS((U73)),1)-0.5)&lt;1E-9,2*ROUND((U73)/2,0),ROUND((U73),0)))</f>
        <v/>
      </c>
      <c r="AO73" s="38">
        <f>IF(OR(AH73="",S73=0),"",MIN(IF(AU73="",9.9E+99,AU73),AL73/S73))</f>
        <v/>
      </c>
      <c r="AP73" s="40">
        <f>IF(AO73="","",AO73*IF(B73="South Korea",IF(ABS(MOD(ABS((U73)),1)-0.5)&lt;1E-9,2*ROUND((U73)/2,0),ROUND((U73),0)),U73))</f>
        <v/>
      </c>
      <c r="AQ73" s="42" t="n"/>
      <c r="AR73" s="34" t="inlineStr">
        <is>
          <t>Upside tier</t>
        </is>
      </c>
      <c r="AS73" s="43" t="n"/>
      <c r="AT73" s="43" t="inlineStr">
        <is>
          <t>experience_upside</t>
        </is>
      </c>
      <c r="AU73" s="44" t="n"/>
      <c r="AV73" s="45">
        <f>IF(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&lt;=0,"",VLOOKUP(B73,country_opex,7,FALSE)/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)</f>
        <v/>
      </c>
      <c r="AW73" s="45">
        <f>IF(((T73*pax_cap*IF(B73="South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Korea",korea_mid_revleg,revleg_mid)),0))*VLOOKUP(B73,country_opex,3,FALSE))+W73+X73+Y73+Z73+AA73))&lt;=0,"",VLOOKUP(B73,country_opex,7,FALSE)/((T73*pax_cap*IF(B73="South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Korea",korea_mid_revleg,revleg_mid)),0))*VLOOKUP(B73,country_opex,3,FALSE))+W73+X73+Y73+Z73+AA73)))</f>
        <v/>
      </c>
      <c r="AX73" s="45">
        <f>IF(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&lt;=0,"",VLOOKUP(B73,country_opex,7,FALSE)/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)</f>
        <v/>
      </c>
      <c r="AY73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3" s="46" t="inlineStr">
        <is>
          <t>PR #58 Mumbai spine route-count split (13 sealed rows × anchor 120,000 pax/yr)</t>
        </is>
      </c>
      <c r="BA73" s="34" t="inlineStr">
        <is>
          <t>ics-6a150e9b8e</t>
        </is>
      </c>
    </row>
    <row r="74">
      <c r="A74" s="31" t="inlineStr">
        <is>
          <t>India Goa Rapido</t>
        </is>
      </c>
      <c r="B74" s="31" t="inlineStr">
        <is>
          <t>India</t>
        </is>
      </c>
      <c r="C74" s="32" t="inlineStr">
        <is>
          <t>Goveia Marina → LifeOnYachts Goa</t>
        </is>
      </c>
      <c r="D74" s="33" t="n">
        <v>5.8</v>
      </c>
      <c r="E74" s="27" t="n">
        <v>8</v>
      </c>
      <c r="F74" s="34" t="inlineStr">
        <is>
          <t>T3</t>
        </is>
      </c>
      <c r="G74" s="34" t="inlineStr">
        <is>
          <t>med-low</t>
        </is>
      </c>
      <c r="H74" s="20" t="n">
        <v>1</v>
      </c>
      <c r="I74" s="35">
        <f>60*D74/cruise_kt</f>
        <v/>
      </c>
      <c r="J74" s="35">
        <f>IF(B74="South Korea",D74/korea_charge_range_nm*korea_full_range_charge_min,0)</f>
        <v/>
      </c>
      <c r="K74" s="35">
        <f>IF(B74="South Korea",I74+korea_turn_min+korea_dwell_min+J74,I74+turn_min+dwell_min)</f>
        <v/>
      </c>
      <c r="L74" s="36">
        <f>IF(B74="South Korea",FLOOR(60*korea_service_hr/K74,1),MIN(15,FLOOR(60*service_hr/K74,1)))</f>
        <v/>
      </c>
      <c r="M74" s="36">
        <f>IF(ABS(MOD(ABS((365*mech_uptime*H74)),1)-0.5)&lt;1E-9,2*ROUND((365*mech_uptime*H74)/2,0),ROUND((365*mech_uptime*H74),0))</f>
        <v/>
      </c>
      <c r="N74" s="37">
        <f>mech_uptime</f>
        <v/>
      </c>
      <c r="O74" s="37">
        <f>IF(AND(B74="South Korea",scenario="MID"),korea_mid_revleg,revleg_sel)</f>
        <v/>
      </c>
      <c r="P74" s="36">
        <f>IF(ABS(MOD(ABS((L74*M74*O74)),1)-0.5)&lt;1E-9,2*ROUND((L74*M74*O74)/2,0),ROUND((L74*M74*O74),0))</f>
        <v/>
      </c>
      <c r="Q74" s="37">
        <f>IF(AND(B74="South Korea",scenario="MID"),korea_mid_load,load_sel)</f>
        <v/>
      </c>
      <c r="R74" s="38">
        <f>pax_cap*Q74</f>
        <v/>
      </c>
      <c r="S74" s="36">
        <f>R74*P74</f>
        <v/>
      </c>
      <c r="T74" s="39">
        <f>E74*discount</f>
        <v/>
      </c>
      <c r="U74" s="40">
        <f>T74*S74</f>
        <v/>
      </c>
      <c r="V74" s="40">
        <f>(battery/range_nm)*D74*P74*VLOOKUP(B74,country_opex,3,FALSE)</f>
        <v/>
      </c>
      <c r="W74" s="40">
        <f>VLOOKUP(B74,country_opex,2,FALSE)*crew_factor</f>
        <v/>
      </c>
      <c r="X74" s="40">
        <f>VLOOKUP(B74,country_opex,5,FALSE)</f>
        <v/>
      </c>
      <c r="Y74" s="40">
        <f>maint</f>
        <v/>
      </c>
      <c r="Z74" s="40">
        <f>VLOOKUP(B74,country_opex,7,FALSE)*ins_pct</f>
        <v/>
      </c>
      <c r="AA74" s="40">
        <f>charge_berth</f>
        <v/>
      </c>
      <c r="AB74" s="40">
        <f>V74+W74+X74+Y74+Z74+AA74</f>
        <v/>
      </c>
      <c r="AC74" s="40">
        <f>VLOOKUP(B74,country_opex,7,FALSE)/dep_years</f>
        <v/>
      </c>
      <c r="AD74" s="40">
        <f>U74-AB74</f>
        <v/>
      </c>
      <c r="AE74" s="37">
        <f>IF(U74=0,"",AD74/U74)</f>
        <v/>
      </c>
      <c r="AF74" s="38">
        <f>IF(AD74&lt;=0,"",VLOOKUP(B74,country_opex,7,FALSE)/AD74)</f>
        <v/>
      </c>
      <c r="AG74" s="35">
        <f>((D74*P74/diesel_nmpg)*diesel_co2pg-(battery/range_nm)*D74*P74*VLOOKUP(B74,country_opex,4,FALSE))/1000</f>
        <v/>
      </c>
      <c r="AH74" s="33" t="n">
        <v>11250</v>
      </c>
      <c r="AI74" s="34" t="inlineStr">
        <is>
          <t>T3</t>
        </is>
      </c>
      <c r="AJ74" s="34" t="inlineStr">
        <is>
          <t>med-low</t>
        </is>
      </c>
      <c r="AK74" s="41" t="n">
        <v>0.1</v>
      </c>
      <c r="AL74" s="36">
        <f>IF(AH74="","",AH74*AK74)</f>
        <v/>
      </c>
      <c r="AM74" s="36">
        <f>IF(OR(AH74="",S74=0),"",MIN(IF(AU74="",9.9E+99,AU74),FLOOR(AL74/S74,1)))</f>
        <v/>
      </c>
      <c r="AN74" s="40">
        <f>IF(AM74="","",AM74*IF(ABS(MOD(ABS((U74)),1)-0.5)&lt;1E-9,2*ROUND((U74)/2,0),ROUND((U74),0)))</f>
        <v/>
      </c>
      <c r="AO74" s="38">
        <f>IF(OR(AH74="",S74=0),"",MIN(IF(AU74="",9.9E+99,AU74),AL74/S74))</f>
        <v/>
      </c>
      <c r="AP74" s="40">
        <f>IF(AO74="","",AO74*IF(B74="South Korea",IF(ABS(MOD(ABS((U74)),1)-0.5)&lt;1E-9,2*ROUND((U74)/2,0),ROUND((U74),0)),U74))</f>
        <v/>
      </c>
      <c r="AQ74" s="42" t="n"/>
      <c r="AR74" s="34" t="inlineStr">
        <is>
          <t>Grounded</t>
        </is>
      </c>
      <c r="AS74" s="43" t="n"/>
      <c r="AT74" s="43" t="n"/>
      <c r="AU74" s="44" t="n"/>
      <c r="AV74" s="45">
        <f>IF(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&lt;=0,"",VLOOKUP(B74,country_opex,7,FALSE)/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)</f>
        <v/>
      </c>
      <c r="AW74" s="45">
        <f>IF(((T74*pax_cap*IF(B74="South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Korea",korea_mid_revleg,revleg_mid)),0))*VLOOKUP(B74,country_opex,3,FALSE))+W74+X74+Y74+Z74+AA74))&lt;=0,"",VLOOKUP(B74,country_opex,7,FALSE)/((T74*pax_cap*IF(B74="South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Korea",korea_mid_revleg,revleg_mid)),0))*VLOOKUP(B74,country_opex,3,FALSE))+W74+X74+Y74+Z74+AA74)))</f>
        <v/>
      </c>
      <c r="AX74" s="45">
        <f>IF(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&lt;=0,"",VLOOKUP(B74,country_opex,7,FALSE)/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)</f>
        <v/>
      </c>
      <c r="AY74" s="46" t="inlineStr">
        <is>
          <t>handoff/INDIA-ECONOMICS-SIDECAR-V0-2026-06-20.json (goa)</t>
        </is>
      </c>
      <c r="AZ74" s="46" t="inlineStr">
        <is>
          <t>handoff/INDIA-ECONOMICS-SIDECAR-V0-2026-06-20.json (goa)</t>
        </is>
      </c>
      <c r="BA74" s="34" t="inlineStr">
        <is>
          <t>ics-b61d127eb2</t>
        </is>
      </c>
    </row>
    <row r="75">
      <c r="A75" s="31" t="inlineStr">
        <is>
          <t>India Kerala Rapido</t>
        </is>
      </c>
      <c r="B75" s="31" t="inlineStr">
        <is>
          <t>India</t>
        </is>
      </c>
      <c r="C75" s="32" t="inlineStr">
        <is>
          <t>Keltron Ferry → Chellanam Harbour Kochi</t>
        </is>
      </c>
      <c r="D75" s="33" t="n">
        <v>5.8</v>
      </c>
      <c r="E75" s="27" t="n">
        <v>18</v>
      </c>
      <c r="F75" s="34" t="inlineStr">
        <is>
          <t>T3</t>
        </is>
      </c>
      <c r="G75" s="34" t="inlineStr">
        <is>
          <t>med-low</t>
        </is>
      </c>
      <c r="H75" s="20" t="n">
        <v>1</v>
      </c>
      <c r="I75" s="35">
        <f>60*D75/cruise_kt</f>
        <v/>
      </c>
      <c r="J75" s="35">
        <f>IF(B75="South Korea",D75/korea_charge_range_nm*korea_full_range_charge_min,0)</f>
        <v/>
      </c>
      <c r="K75" s="35">
        <f>IF(B75="South Korea",I75+korea_turn_min+korea_dwell_min+J75,I75+turn_min+dwell_min)</f>
        <v/>
      </c>
      <c r="L75" s="36">
        <f>IF(B75="South Korea",FLOOR(60*korea_service_hr/K75,1),MIN(15,FLOOR(60*service_hr/K75,1)))</f>
        <v/>
      </c>
      <c r="M75" s="36">
        <f>IF(ABS(MOD(ABS((365*mech_uptime*H75)),1)-0.5)&lt;1E-9,2*ROUND((365*mech_uptime*H75)/2,0),ROUND((365*mech_uptime*H75),0))</f>
        <v/>
      </c>
      <c r="N75" s="37">
        <f>mech_uptime</f>
        <v/>
      </c>
      <c r="O75" s="37">
        <f>IF(AND(B75="South Korea",scenario="MID"),korea_mid_revleg,revleg_sel)</f>
        <v/>
      </c>
      <c r="P75" s="36">
        <f>IF(ABS(MOD(ABS((L75*M75*O75)),1)-0.5)&lt;1E-9,2*ROUND((L75*M75*O75)/2,0),ROUND((L75*M75*O75),0))</f>
        <v/>
      </c>
      <c r="Q75" s="37">
        <f>IF(AND(B75="South Korea",scenario="MID"),korea_mid_load,load_sel)</f>
        <v/>
      </c>
      <c r="R75" s="38">
        <f>pax_cap*Q75</f>
        <v/>
      </c>
      <c r="S75" s="36">
        <f>R75*P75</f>
        <v/>
      </c>
      <c r="T75" s="39">
        <f>E75*discount</f>
        <v/>
      </c>
      <c r="U75" s="40">
        <f>T75*S75</f>
        <v/>
      </c>
      <c r="V75" s="40">
        <f>(battery/range_nm)*D75*P75*VLOOKUP(B75,country_opex,3,FALSE)</f>
        <v/>
      </c>
      <c r="W75" s="40">
        <f>VLOOKUP(B75,country_opex,2,FALSE)*crew_factor</f>
        <v/>
      </c>
      <c r="X75" s="40">
        <f>VLOOKUP(B75,country_opex,5,FALSE)</f>
        <v/>
      </c>
      <c r="Y75" s="40">
        <f>maint</f>
        <v/>
      </c>
      <c r="Z75" s="40">
        <f>VLOOKUP(B75,country_opex,7,FALSE)*ins_pct</f>
        <v/>
      </c>
      <c r="AA75" s="40">
        <f>charge_berth</f>
        <v/>
      </c>
      <c r="AB75" s="40">
        <f>V75+W75+X75+Y75+Z75+AA75</f>
        <v/>
      </c>
      <c r="AC75" s="40">
        <f>VLOOKUP(B75,country_opex,7,FALSE)/dep_years</f>
        <v/>
      </c>
      <c r="AD75" s="40">
        <f>U75-AB75</f>
        <v/>
      </c>
      <c r="AE75" s="37">
        <f>IF(U75=0,"",AD75/U75)</f>
        <v/>
      </c>
      <c r="AF75" s="38">
        <f>IF(AD75&lt;=0,"",VLOOKUP(B75,country_opex,7,FALSE)/AD75)</f>
        <v/>
      </c>
      <c r="AG75" s="35">
        <f>((D75*P75/diesel_nmpg)*diesel_co2pg-(battery/range_nm)*D75*P75*VLOOKUP(B75,country_opex,4,FALSE))/1000</f>
        <v/>
      </c>
      <c r="AH75" s="33" t="n">
        <v>29166</v>
      </c>
      <c r="AI75" s="34" t="inlineStr">
        <is>
          <t>T3</t>
        </is>
      </c>
      <c r="AJ75" s="34" t="inlineStr">
        <is>
          <t>med-low</t>
        </is>
      </c>
      <c r="AK75" s="41" t="n">
        <v>0.1</v>
      </c>
      <c r="AL75" s="36">
        <f>IF(AH75="","",AH75*AK75)</f>
        <v/>
      </c>
      <c r="AM75" s="36">
        <f>IF(OR(AH75="",S75=0),"",MIN(IF(AU75="",9.9E+99,AU75),FLOOR(AL75/S75,1)))</f>
        <v/>
      </c>
      <c r="AN75" s="40">
        <f>IF(AM75="","",AM75*IF(ABS(MOD(ABS((U75)),1)-0.5)&lt;1E-9,2*ROUND((U75)/2,0),ROUND((U75),0)))</f>
        <v/>
      </c>
      <c r="AO75" s="38">
        <f>IF(OR(AH75="",S75=0),"",MIN(IF(AU75="",9.9E+99,AU75),AL75/S75))</f>
        <v/>
      </c>
      <c r="AP75" s="40">
        <f>IF(AO75="","",AO75*IF(B75="South Korea",IF(ABS(MOD(ABS((U75)),1)-0.5)&lt;1E-9,2*ROUND((U75)/2,0),ROUND((U75),0)),U75))</f>
        <v/>
      </c>
      <c r="AQ75" s="42" t="n"/>
      <c r="AR75" s="34" t="inlineStr">
        <is>
          <t>Grounded</t>
        </is>
      </c>
      <c r="AS75" s="43" t="n"/>
      <c r="AT75" s="43" t="n"/>
      <c r="AU75" s="44" t="n"/>
      <c r="AV75" s="45">
        <f>IF(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&lt;=0,"",VLOOKUP(B75,country_opex,7,FALSE)/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)</f>
        <v/>
      </c>
      <c r="AW75" s="45">
        <f>IF(((T75*pax_cap*IF(B75="South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Korea",korea_mid_revleg,revleg_mid)),0))*VLOOKUP(B75,country_opex,3,FALSE))+W75+X75+Y75+Z75+AA75))&lt;=0,"",VLOOKUP(B75,country_opex,7,FALSE)/((T75*pax_cap*IF(B75="South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Korea",korea_mid_revleg,revleg_mid)),0))*VLOOKUP(B75,country_opex,3,FALSE))+W75+X75+Y75+Z75+AA75)))</f>
        <v/>
      </c>
      <c r="AX75" s="45">
        <f>IF(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&lt;=0,"",VLOOKUP(B75,country_opex,7,FALSE)/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)</f>
        <v/>
      </c>
      <c r="AY75" s="46" t="inlineStr">
        <is>
          <t>[LB-255 PREMIUM RE-FARE: subsidized comparable $3.5 lifted to premium on-demand floor $18.0] handoff/INDIA-ECONOMICS-SIDECAR-V0-2026-06-20.json (kerala)</t>
        </is>
      </c>
      <c r="AZ75" s="46" t="inlineStr">
        <is>
          <t>handoff/INDIA-ECONOMICS-SIDECAR-V0-2026-06-20.json (kerala)</t>
        </is>
      </c>
      <c r="BA75" s="34" t="inlineStr">
        <is>
          <t>ics-248e023645</t>
        </is>
      </c>
    </row>
    <row r="76">
      <c r="A76" s="31" t="inlineStr">
        <is>
          <t>Rapido Mumbai</t>
        </is>
      </c>
      <c r="B76" s="31" t="inlineStr">
        <is>
          <t>India</t>
        </is>
      </c>
      <c r="C76" s="32" t="inlineStr">
        <is>
          <t>JNPT Ferry Service → Mumbai Trans-Harbour Navi Mumbai Toll Plaza</t>
        </is>
      </c>
      <c r="D76" s="33" t="n">
        <v>5.9</v>
      </c>
      <c r="E76" s="27" t="n"/>
      <c r="F76" s="34" t="inlineStr">
        <is>
          <t>T3</t>
        </is>
      </c>
      <c r="G76" s="34" t="inlineStr">
        <is>
          <t>med-low</t>
        </is>
      </c>
      <c r="H76" s="20" t="n">
        <v>1</v>
      </c>
      <c r="I76" s="35">
        <f>60*D76/cruise_kt</f>
        <v/>
      </c>
      <c r="J76" s="35">
        <f>IF(B76="South Korea",D76/korea_charge_range_nm*korea_full_range_charge_min,0)</f>
        <v/>
      </c>
      <c r="K76" s="35">
        <f>IF(B76="South Korea",I76+korea_turn_min+korea_dwell_min+J76,I76+turn_min+dwell_min)</f>
        <v/>
      </c>
      <c r="L76" s="36">
        <f>IF(B76="South Korea",FLOOR(60*korea_service_hr/K76,1),MIN(15,FLOOR(60*service_hr/K76,1)))</f>
        <v/>
      </c>
      <c r="M76" s="36">
        <f>IF(ABS(MOD(ABS((365*mech_uptime*H76)),1)-0.5)&lt;1E-9,2*ROUND((365*mech_uptime*H76)/2,0),ROUND((365*mech_uptime*H76),0))</f>
        <v/>
      </c>
      <c r="N76" s="37">
        <f>mech_uptime</f>
        <v/>
      </c>
      <c r="O76" s="37">
        <f>IF(AND(B76="South Korea",scenario="MID"),korea_mid_revleg,revleg_sel)</f>
        <v/>
      </c>
      <c r="P76" s="36">
        <f>IF(ABS(MOD(ABS((L76*M76*O76)),1)-0.5)&lt;1E-9,2*ROUND((L76*M76*O76)/2,0),ROUND((L76*M76*O76),0))</f>
        <v/>
      </c>
      <c r="Q76" s="37">
        <f>IF(AND(B76="South Korea",scenario="MID"),korea_mid_load,load_sel)</f>
        <v/>
      </c>
      <c r="R76" s="38">
        <f>pax_cap*Q76</f>
        <v/>
      </c>
      <c r="S76" s="36">
        <f>R76*P76</f>
        <v/>
      </c>
      <c r="T76" s="39">
        <f>E76*discount</f>
        <v/>
      </c>
      <c r="U76" s="40">
        <f>T76*S76</f>
        <v/>
      </c>
      <c r="V76" s="40">
        <f>(battery/range_nm)*D76*P76*VLOOKUP(B76,country_opex,3,FALSE)</f>
        <v/>
      </c>
      <c r="W76" s="40">
        <f>VLOOKUP(B76,country_opex,2,FALSE)*crew_factor</f>
        <v/>
      </c>
      <c r="X76" s="40">
        <f>VLOOKUP(B76,country_opex,5,FALSE)</f>
        <v/>
      </c>
      <c r="Y76" s="40">
        <f>maint</f>
        <v/>
      </c>
      <c r="Z76" s="40">
        <f>VLOOKUP(B76,country_opex,7,FALSE)*ins_pct</f>
        <v/>
      </c>
      <c r="AA76" s="40">
        <f>charge_berth</f>
        <v/>
      </c>
      <c r="AB76" s="40">
        <f>V76+W76+X76+Y76+Z76+AA76</f>
        <v/>
      </c>
      <c r="AC76" s="40">
        <f>VLOOKUP(B76,country_opex,7,FALSE)/dep_years</f>
        <v/>
      </c>
      <c r="AD76" s="40">
        <f>U76-AB76</f>
        <v/>
      </c>
      <c r="AE76" s="37">
        <f>IF(U76=0,"",AD76/U76)</f>
        <v/>
      </c>
      <c r="AF76" s="38">
        <f>IF(AD76&lt;=0,"",VLOOKUP(B76,country_opex,7,FALSE)/AD76)</f>
        <v/>
      </c>
      <c r="AG76" s="35">
        <f>((D76*P76/diesel_nmpg)*diesel_co2pg-(battery/range_nm)*D76*P76*VLOOKUP(B76,country_opex,4,FALSE))/1000</f>
        <v/>
      </c>
      <c r="AH76" s="33" t="n">
        <v>9230</v>
      </c>
      <c r="AI76" s="34" t="inlineStr">
        <is>
          <t>T3</t>
        </is>
      </c>
      <c r="AJ76" s="34" t="inlineStr">
        <is>
          <t>med-low</t>
        </is>
      </c>
      <c r="AK76" s="41" t="n">
        <v>0.1</v>
      </c>
      <c r="AL76" s="36">
        <f>IF(AH76="","",AH76*AK76)</f>
        <v/>
      </c>
      <c r="AM76" s="36">
        <f>IF(OR(AH76="",S76=0),"",MIN(IF(AU76="",9.9E+99,AU76),FLOOR(AL76/S76,1)))</f>
        <v/>
      </c>
      <c r="AN76" s="40">
        <f>IF(AM76="","",AM76*IF(ABS(MOD(ABS((U76)),1)-0.5)&lt;1E-9,2*ROUND((U76)/2,0),ROUND((U76),0)))</f>
        <v/>
      </c>
      <c r="AO76" s="38">
        <f>IF(OR(AH76="",S76=0),"",MIN(IF(AU76="",9.9E+99,AU76),AL76/S76))</f>
        <v/>
      </c>
      <c r="AP76" s="40">
        <f>IF(AO76="","",AO76*IF(B76="South Korea",IF(ABS(MOD(ABS((U76)),1)-0.5)&lt;1E-9,2*ROUND((U76)/2,0),ROUND((U76),0)),U76))</f>
        <v/>
      </c>
      <c r="AQ76" s="42" t="n"/>
      <c r="AR76" s="34" t="inlineStr">
        <is>
          <t>Upside tier</t>
        </is>
      </c>
      <c r="AS76" s="43" t="n"/>
      <c r="AT76" s="43" t="inlineStr">
        <is>
          <t>experience_upside</t>
        </is>
      </c>
      <c r="AU76" s="44" t="n"/>
      <c r="AV76" s="45">
        <f>IF(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&lt;=0,"",VLOOKUP(B76,country_opex,7,FALSE)/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)</f>
        <v/>
      </c>
      <c r="AW76" s="45">
        <f>IF(((T76*pax_cap*IF(B76="South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Korea",korea_mid_revleg,revleg_mid)),0))*VLOOKUP(B76,country_opex,3,FALSE))+W76+X76+Y76+Z76+AA76))&lt;=0,"",VLOOKUP(B76,country_opex,7,FALSE)/((T76*pax_cap*IF(B76="South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Korea",korea_mid_revleg,revleg_mid)),0))*VLOOKUP(B76,country_opex,3,FALSE))+W76+X76+Y76+Z76+AA76)))</f>
        <v/>
      </c>
      <c r="AX76" s="45">
        <f>IF(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&lt;=0,"",VLOOKUP(B76,country_opex,7,FALSE)/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)</f>
        <v/>
      </c>
      <c r="AY76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6" s="46" t="inlineStr">
        <is>
          <t>PR #58 Mumbai spine route-count split (13 sealed rows × anchor 120,000 pax/yr)</t>
        </is>
      </c>
      <c r="BA76" s="34" t="inlineStr">
        <is>
          <t>ics-971049e54f</t>
        </is>
      </c>
    </row>
    <row r="77">
      <c r="A77" s="31" t="inlineStr">
        <is>
          <t>Rapido Mumbai</t>
        </is>
      </c>
      <c r="B77" s="31" t="inlineStr">
        <is>
          <t>India</t>
        </is>
      </c>
      <c r="C77" s="32" t="inlineStr">
        <is>
          <t>Pirpau Jetty → Mumbai Trans-Harbour Navi Mumbai Toll Plaza</t>
        </is>
      </c>
      <c r="D77" s="33" t="n">
        <v>6.2</v>
      </c>
      <c r="E77" s="27" t="n"/>
      <c r="F77" s="34" t="inlineStr">
        <is>
          <t>T3</t>
        </is>
      </c>
      <c r="G77" s="34" t="inlineStr">
        <is>
          <t>med-low</t>
        </is>
      </c>
      <c r="H77" s="20" t="n">
        <v>1</v>
      </c>
      <c r="I77" s="35">
        <f>60*D77/cruise_kt</f>
        <v/>
      </c>
      <c r="J77" s="35">
        <f>IF(B77="South Korea",D77/korea_charge_range_nm*korea_full_range_charge_min,0)</f>
        <v/>
      </c>
      <c r="K77" s="35">
        <f>IF(B77="South Korea",I77+korea_turn_min+korea_dwell_min+J77,I77+turn_min+dwell_min)</f>
        <v/>
      </c>
      <c r="L77" s="36">
        <f>IF(B77="South Korea",FLOOR(60*korea_service_hr/K77,1),MIN(15,FLOOR(60*service_hr/K77,1)))</f>
        <v/>
      </c>
      <c r="M77" s="36">
        <f>IF(ABS(MOD(ABS((365*mech_uptime*H77)),1)-0.5)&lt;1E-9,2*ROUND((365*mech_uptime*H77)/2,0),ROUND((365*mech_uptime*H77),0))</f>
        <v/>
      </c>
      <c r="N77" s="37">
        <f>mech_uptime</f>
        <v/>
      </c>
      <c r="O77" s="37">
        <f>IF(AND(B77="South Korea",scenario="MID"),korea_mid_revleg,revleg_sel)</f>
        <v/>
      </c>
      <c r="P77" s="36">
        <f>IF(ABS(MOD(ABS((L77*M77*O77)),1)-0.5)&lt;1E-9,2*ROUND((L77*M77*O77)/2,0),ROUND((L77*M77*O77),0))</f>
        <v/>
      </c>
      <c r="Q77" s="37">
        <f>IF(AND(B77="South Korea",scenario="MID"),korea_mid_load,load_sel)</f>
        <v/>
      </c>
      <c r="R77" s="38">
        <f>pax_cap*Q77</f>
        <v/>
      </c>
      <c r="S77" s="36">
        <f>R77*P77</f>
        <v/>
      </c>
      <c r="T77" s="39">
        <f>E77*discount</f>
        <v/>
      </c>
      <c r="U77" s="40">
        <f>T77*S77</f>
        <v/>
      </c>
      <c r="V77" s="40">
        <f>(battery/range_nm)*D77*P77*VLOOKUP(B77,country_opex,3,FALSE)</f>
        <v/>
      </c>
      <c r="W77" s="40">
        <f>VLOOKUP(B77,country_opex,2,FALSE)*crew_factor</f>
        <v/>
      </c>
      <c r="X77" s="40">
        <f>VLOOKUP(B77,country_opex,5,FALSE)</f>
        <v/>
      </c>
      <c r="Y77" s="40">
        <f>maint</f>
        <v/>
      </c>
      <c r="Z77" s="40">
        <f>VLOOKUP(B77,country_opex,7,FALSE)*ins_pct</f>
        <v/>
      </c>
      <c r="AA77" s="40">
        <f>charge_berth</f>
        <v/>
      </c>
      <c r="AB77" s="40">
        <f>V77+W77+X77+Y77+Z77+AA77</f>
        <v/>
      </c>
      <c r="AC77" s="40">
        <f>VLOOKUP(B77,country_opex,7,FALSE)/dep_years</f>
        <v/>
      </c>
      <c r="AD77" s="40">
        <f>U77-AB77</f>
        <v/>
      </c>
      <c r="AE77" s="37">
        <f>IF(U77=0,"",AD77/U77)</f>
        <v/>
      </c>
      <c r="AF77" s="38">
        <f>IF(AD77&lt;=0,"",VLOOKUP(B77,country_opex,7,FALSE)/AD77)</f>
        <v/>
      </c>
      <c r="AG77" s="35">
        <f>((D77*P77/diesel_nmpg)*diesel_co2pg-(battery/range_nm)*D77*P77*VLOOKUP(B77,country_opex,4,FALSE))/1000</f>
        <v/>
      </c>
      <c r="AH77" s="33" t="n">
        <v>9230</v>
      </c>
      <c r="AI77" s="34" t="inlineStr">
        <is>
          <t>T3</t>
        </is>
      </c>
      <c r="AJ77" s="34" t="inlineStr">
        <is>
          <t>med-low</t>
        </is>
      </c>
      <c r="AK77" s="41" t="n">
        <v>0.1</v>
      </c>
      <c r="AL77" s="36">
        <f>IF(AH77="","",AH77*AK77)</f>
        <v/>
      </c>
      <c r="AM77" s="36">
        <f>IF(OR(AH77="",S77=0),"",MIN(IF(AU77="",9.9E+99,AU77),FLOOR(AL77/S77,1)))</f>
        <v/>
      </c>
      <c r="AN77" s="40">
        <f>IF(AM77="","",AM77*IF(ABS(MOD(ABS((U77)),1)-0.5)&lt;1E-9,2*ROUND((U77)/2,0),ROUND((U77),0)))</f>
        <v/>
      </c>
      <c r="AO77" s="38">
        <f>IF(OR(AH77="",S77=0),"",MIN(IF(AU77="",9.9E+99,AU77),AL77/S77))</f>
        <v/>
      </c>
      <c r="AP77" s="40">
        <f>IF(AO77="","",AO77*IF(B77="South Korea",IF(ABS(MOD(ABS((U77)),1)-0.5)&lt;1E-9,2*ROUND((U77)/2,0),ROUND((U77),0)),U77))</f>
        <v/>
      </c>
      <c r="AQ77" s="42" t="n"/>
      <c r="AR77" s="34" t="inlineStr">
        <is>
          <t>Upside tier</t>
        </is>
      </c>
      <c r="AS77" s="43" t="n"/>
      <c r="AT77" s="43" t="inlineStr">
        <is>
          <t>experience_upside</t>
        </is>
      </c>
      <c r="AU77" s="44" t="n"/>
      <c r="AV77" s="45">
        <f>IF(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&lt;=0,"",VLOOKUP(B77,country_opex,7,FALSE)/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)</f>
        <v/>
      </c>
      <c r="AW77" s="45">
        <f>IF(((T77*pax_cap*IF(B77="South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Korea",korea_mid_revleg,revleg_mid)),0))*VLOOKUP(B77,country_opex,3,FALSE))+W77+X77+Y77+Z77+AA77))&lt;=0,"",VLOOKUP(B77,country_opex,7,FALSE)/((T77*pax_cap*IF(B77="South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Korea",korea_mid_revleg,revleg_mid)),0))*VLOOKUP(B77,country_opex,3,FALSE))+W77+X77+Y77+Z77+AA77)))</f>
        <v/>
      </c>
      <c r="AX77" s="45">
        <f>IF(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&lt;=0,"",VLOOKUP(B77,country_opex,7,FALSE)/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)</f>
        <v/>
      </c>
      <c r="AY77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7" s="46" t="inlineStr">
        <is>
          <t>PR #58 Mumbai spine route-count split (13 sealed rows × anchor 120,000 pax/yr)</t>
        </is>
      </c>
      <c r="BA77" s="34" t="inlineStr">
        <is>
          <t>ics-ed747a4789</t>
        </is>
      </c>
    </row>
    <row r="78">
      <c r="A78" s="31" t="inlineStr">
        <is>
          <t>India Mumbai Rapido</t>
        </is>
      </c>
      <c r="B78" s="31" t="inlineStr">
        <is>
          <t>India</t>
        </is>
      </c>
      <c r="C78" s="32" t="inlineStr">
        <is>
          <t>Mora → Marina Bay Bistro @KARANJA Fishing Dock</t>
        </is>
      </c>
      <c r="D78" s="33" t="n">
        <v>6.7</v>
      </c>
      <c r="E78" s="27" t="n">
        <v>18</v>
      </c>
      <c r="F78" s="34" t="inlineStr">
        <is>
          <t>T3</t>
        </is>
      </c>
      <c r="G78" s="34" t="inlineStr">
        <is>
          <t>med-low</t>
        </is>
      </c>
      <c r="H78" s="20" t="n">
        <v>1</v>
      </c>
      <c r="I78" s="35">
        <f>60*D78/cruise_kt</f>
        <v/>
      </c>
      <c r="J78" s="35">
        <f>IF(B78="South Korea",D78/korea_charge_range_nm*korea_full_range_charge_min,0)</f>
        <v/>
      </c>
      <c r="K78" s="35">
        <f>IF(B78="South Korea",I78+korea_turn_min+korea_dwell_min+J78,I78+turn_min+dwell_min)</f>
        <v/>
      </c>
      <c r="L78" s="36">
        <f>IF(B78="South Korea",FLOOR(60*korea_service_hr/K78,1),MIN(15,FLOOR(60*service_hr/K78,1)))</f>
        <v/>
      </c>
      <c r="M78" s="36">
        <f>IF(ABS(MOD(ABS((365*mech_uptime*H78)),1)-0.5)&lt;1E-9,2*ROUND((365*mech_uptime*H78)/2,0),ROUND((365*mech_uptime*H78),0))</f>
        <v/>
      </c>
      <c r="N78" s="37">
        <f>mech_uptime</f>
        <v/>
      </c>
      <c r="O78" s="37">
        <f>IF(AND(B78="South Korea",scenario="MID"),korea_mid_revleg,revleg_sel)</f>
        <v/>
      </c>
      <c r="P78" s="36">
        <f>IF(ABS(MOD(ABS((L78*M78*O78)),1)-0.5)&lt;1E-9,2*ROUND((L78*M78*O78)/2,0),ROUND((L78*M78*O78),0))</f>
        <v/>
      </c>
      <c r="Q78" s="37">
        <f>IF(AND(B78="South Korea",scenario="MID"),korea_mid_load,load_sel)</f>
        <v/>
      </c>
      <c r="R78" s="38">
        <f>pax_cap*Q78</f>
        <v/>
      </c>
      <c r="S78" s="36">
        <f>R78*P78</f>
        <v/>
      </c>
      <c r="T78" s="39">
        <f>E78*discount</f>
        <v/>
      </c>
      <c r="U78" s="40">
        <f>T78*S78</f>
        <v/>
      </c>
      <c r="V78" s="40">
        <f>(battery/range_nm)*D78*P78*VLOOKUP(B78,country_opex,3,FALSE)</f>
        <v/>
      </c>
      <c r="W78" s="40">
        <f>VLOOKUP(B78,country_opex,2,FALSE)*crew_factor</f>
        <v/>
      </c>
      <c r="X78" s="40">
        <f>VLOOKUP(B78,country_opex,5,FALSE)</f>
        <v/>
      </c>
      <c r="Y78" s="40">
        <f>maint</f>
        <v/>
      </c>
      <c r="Z78" s="40">
        <f>VLOOKUP(B78,country_opex,7,FALSE)*ins_pct</f>
        <v/>
      </c>
      <c r="AA78" s="40">
        <f>charge_berth</f>
        <v/>
      </c>
      <c r="AB78" s="40">
        <f>V78+W78+X78+Y78+Z78+AA78</f>
        <v/>
      </c>
      <c r="AC78" s="40">
        <f>VLOOKUP(B78,country_opex,7,FALSE)/dep_years</f>
        <v/>
      </c>
      <c r="AD78" s="40">
        <f>U78-AB78</f>
        <v/>
      </c>
      <c r="AE78" s="37">
        <f>IF(U78=0,"",AD78/U78)</f>
        <v/>
      </c>
      <c r="AF78" s="38">
        <f>IF(AD78&lt;=0,"",VLOOKUP(B78,country_opex,7,FALSE)/AD78)</f>
        <v/>
      </c>
      <c r="AG78" s="35">
        <f>((D78*P78/diesel_nmpg)*diesel_co2pg-(battery/range_nm)*D78*P78*VLOOKUP(B78,country_opex,4,FALSE))/1000</f>
        <v/>
      </c>
      <c r="AH78" s="33" t="n">
        <v>5000</v>
      </c>
      <c r="AI78" s="34" t="inlineStr">
        <is>
          <t>T3</t>
        </is>
      </c>
      <c r="AJ78" s="34" t="inlineStr">
        <is>
          <t>med-low</t>
        </is>
      </c>
      <c r="AK78" s="41" t="n">
        <v>0.1</v>
      </c>
      <c r="AL78" s="36">
        <f>IF(AH78="","",AH78*AK78)</f>
        <v/>
      </c>
      <c r="AM78" s="36">
        <f>IF(OR(AH78="",S78=0),"",MIN(IF(AU78="",9.9E+99,AU78),FLOOR(AL78/S78,1)))</f>
        <v/>
      </c>
      <c r="AN78" s="40">
        <f>IF(AM78="","",AM78*IF(ABS(MOD(ABS((U78)),1)-0.5)&lt;1E-9,2*ROUND((U78)/2,0),ROUND((U78),0)))</f>
        <v/>
      </c>
      <c r="AO78" s="38">
        <f>IF(OR(AH78="",S78=0),"",MIN(IF(AU78="",9.9E+99,AU78),AL78/S78))</f>
        <v/>
      </c>
      <c r="AP78" s="40">
        <f>IF(AO78="","",AO78*IF(B78="South Korea",IF(ABS(MOD(ABS((U78)),1)-0.5)&lt;1E-9,2*ROUND((U78)/2,0),ROUND((U78),0)),U78))</f>
        <v/>
      </c>
      <c r="AQ78" s="42" t="n"/>
      <c r="AR78" s="34" t="inlineStr">
        <is>
          <t>Grounded</t>
        </is>
      </c>
      <c r="AS78" s="43" t="n"/>
      <c r="AT78" s="43" t="n"/>
      <c r="AU78" s="44" t="n"/>
      <c r="AV78" s="45">
        <f>IF(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&lt;=0,"",VLOOKUP(B78,country_opex,7,FALSE)/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)</f>
        <v/>
      </c>
      <c r="AW78" s="45">
        <f>IF(((T78*pax_cap*IF(B78="South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Korea",korea_mid_revleg,revleg_mid)),0))*VLOOKUP(B78,country_opex,3,FALSE))+W78+X78+Y78+Z78+AA78))&lt;=0,"",VLOOKUP(B78,country_opex,7,FALSE)/((T78*pax_cap*IF(B78="South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Korea",korea_mid_revleg,revleg_mid)),0))*VLOOKUP(B78,country_opex,3,FALSE))+W78+X78+Y78+Z78+AA78)))</f>
        <v/>
      </c>
      <c r="AX78" s="45">
        <f>IF(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&lt;=0,"",VLOOKUP(B78,country_opex,7,FALSE)/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)</f>
        <v/>
      </c>
      <c r="AY78" s="46" t="inlineStr">
        <is>
          <t>[LB-255 PREMIUM RE-FARE: subsidized comparable $5.5 lifted to premium on-demand floor $18.0] handoff/INDIA-ECONOMICS-SIDECAR-V0-2026-06-20.json (mumbai)</t>
        </is>
      </c>
      <c r="AZ78" s="46" t="inlineStr">
        <is>
          <t>handoff/INDIA-ECONOMICS-SIDECAR-V0-2026-06-20.json (mumbai)</t>
        </is>
      </c>
      <c r="BA78" s="34" t="inlineStr">
        <is>
          <t>ics-51a838a8ef</t>
        </is>
      </c>
    </row>
    <row r="79">
      <c r="A79" s="31" t="inlineStr">
        <is>
          <t>India Goa Rapido</t>
        </is>
      </c>
      <c r="B79" s="31" t="inlineStr">
        <is>
          <t>India</t>
        </is>
      </c>
      <c r="C79" s="32" t="inlineStr">
        <is>
          <t>Villa Marina → Marina Russian B2B Thai Spa Service near me</t>
        </is>
      </c>
      <c r="D79" s="33" t="n">
        <v>6.7</v>
      </c>
      <c r="E79" s="27" t="n">
        <v>8</v>
      </c>
      <c r="F79" s="34" t="inlineStr">
        <is>
          <t>T3</t>
        </is>
      </c>
      <c r="G79" s="34" t="inlineStr">
        <is>
          <t>med-low</t>
        </is>
      </c>
      <c r="H79" s="20" t="n">
        <v>1</v>
      </c>
      <c r="I79" s="35">
        <f>60*D79/cruise_kt</f>
        <v/>
      </c>
      <c r="J79" s="35">
        <f>IF(B79="South Korea",D79/korea_charge_range_nm*korea_full_range_charge_min,0)</f>
        <v/>
      </c>
      <c r="K79" s="35">
        <f>IF(B79="South Korea",I79+korea_turn_min+korea_dwell_min+J79,I79+turn_min+dwell_min)</f>
        <v/>
      </c>
      <c r="L79" s="36">
        <f>IF(B79="South Korea",FLOOR(60*korea_service_hr/K79,1),MIN(15,FLOOR(60*service_hr/K79,1)))</f>
        <v/>
      </c>
      <c r="M79" s="36">
        <f>IF(ABS(MOD(ABS((365*mech_uptime*H79)),1)-0.5)&lt;1E-9,2*ROUND((365*mech_uptime*H79)/2,0),ROUND((365*mech_uptime*H79),0))</f>
        <v/>
      </c>
      <c r="N79" s="37">
        <f>mech_uptime</f>
        <v/>
      </c>
      <c r="O79" s="37">
        <f>IF(AND(B79="South Korea",scenario="MID"),korea_mid_revleg,revleg_sel)</f>
        <v/>
      </c>
      <c r="P79" s="36">
        <f>IF(ABS(MOD(ABS((L79*M79*O79)),1)-0.5)&lt;1E-9,2*ROUND((L79*M79*O79)/2,0),ROUND((L79*M79*O79),0))</f>
        <v/>
      </c>
      <c r="Q79" s="37">
        <f>IF(AND(B79="South Korea",scenario="MID"),korea_mid_load,load_sel)</f>
        <v/>
      </c>
      <c r="R79" s="38">
        <f>pax_cap*Q79</f>
        <v/>
      </c>
      <c r="S79" s="36">
        <f>R79*P79</f>
        <v/>
      </c>
      <c r="T79" s="39">
        <f>E79*discount</f>
        <v/>
      </c>
      <c r="U79" s="40">
        <f>T79*S79</f>
        <v/>
      </c>
      <c r="V79" s="40">
        <f>(battery/range_nm)*D79*P79*VLOOKUP(B79,country_opex,3,FALSE)</f>
        <v/>
      </c>
      <c r="W79" s="40">
        <f>VLOOKUP(B79,country_opex,2,FALSE)*crew_factor</f>
        <v/>
      </c>
      <c r="X79" s="40">
        <f>VLOOKUP(B79,country_opex,5,FALSE)</f>
        <v/>
      </c>
      <c r="Y79" s="40">
        <f>maint</f>
        <v/>
      </c>
      <c r="Z79" s="40">
        <f>VLOOKUP(B79,country_opex,7,FALSE)*ins_pct</f>
        <v/>
      </c>
      <c r="AA79" s="40">
        <f>charge_berth</f>
        <v/>
      </c>
      <c r="AB79" s="40">
        <f>V79+W79+X79+Y79+Z79+AA79</f>
        <v/>
      </c>
      <c r="AC79" s="40">
        <f>VLOOKUP(B79,country_opex,7,FALSE)/dep_years</f>
        <v/>
      </c>
      <c r="AD79" s="40">
        <f>U79-AB79</f>
        <v/>
      </c>
      <c r="AE79" s="37">
        <f>IF(U79=0,"",AD79/U79)</f>
        <v/>
      </c>
      <c r="AF79" s="38">
        <f>IF(AD79&lt;=0,"",VLOOKUP(B79,country_opex,7,FALSE)/AD79)</f>
        <v/>
      </c>
      <c r="AG79" s="35">
        <f>((D79*P79/diesel_nmpg)*diesel_co2pg-(battery/range_nm)*D79*P79*VLOOKUP(B79,country_opex,4,FALSE))/1000</f>
        <v/>
      </c>
      <c r="AH79" s="33" t="n">
        <v>11250</v>
      </c>
      <c r="AI79" s="34" t="inlineStr">
        <is>
          <t>T3</t>
        </is>
      </c>
      <c r="AJ79" s="34" t="inlineStr">
        <is>
          <t>med-low</t>
        </is>
      </c>
      <c r="AK79" s="41" t="n">
        <v>0.1</v>
      </c>
      <c r="AL79" s="36">
        <f>IF(AH79="","",AH79*AK79)</f>
        <v/>
      </c>
      <c r="AM79" s="36">
        <f>IF(OR(AH79="",S79=0),"",MIN(IF(AU79="",9.9E+99,AU79),FLOOR(AL79/S79,1)))</f>
        <v/>
      </c>
      <c r="AN79" s="40">
        <f>IF(AM79="","",AM79*IF(ABS(MOD(ABS((U79)),1)-0.5)&lt;1E-9,2*ROUND((U79)/2,0),ROUND((U79),0)))</f>
        <v/>
      </c>
      <c r="AO79" s="38">
        <f>IF(OR(AH79="",S79=0),"",MIN(IF(AU79="",9.9E+99,AU79),AL79/S79))</f>
        <v/>
      </c>
      <c r="AP79" s="40">
        <f>IF(AO79="","",AO79*IF(B79="South Korea",IF(ABS(MOD(ABS((U79)),1)-0.5)&lt;1E-9,2*ROUND((U79)/2,0),ROUND((U79),0)),U79))</f>
        <v/>
      </c>
      <c r="AQ79" s="42" t="n"/>
      <c r="AR79" s="34" t="inlineStr">
        <is>
          <t>Grounded</t>
        </is>
      </c>
      <c r="AS79" s="43" t="n"/>
      <c r="AT79" s="43" t="n"/>
      <c r="AU79" s="44" t="n"/>
      <c r="AV79" s="45">
        <f>IF(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&lt;=0,"",VLOOKUP(B79,country_opex,7,FALSE)/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)</f>
        <v/>
      </c>
      <c r="AW79" s="45">
        <f>IF(((T79*pax_cap*IF(B79="South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Korea",korea_mid_revleg,revleg_mid)),0))*VLOOKUP(B79,country_opex,3,FALSE))+W79+X79+Y79+Z79+AA79))&lt;=0,"",VLOOKUP(B79,country_opex,7,FALSE)/((T79*pax_cap*IF(B79="South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Korea",korea_mid_revleg,revleg_mid)),0))*VLOOKUP(B79,country_opex,3,FALSE))+W79+X79+Y79+Z79+AA79)))</f>
        <v/>
      </c>
      <c r="AX79" s="45">
        <f>IF(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&lt;=0,"",VLOOKUP(B79,country_opex,7,FALSE)/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)</f>
        <v/>
      </c>
      <c r="AY79" s="46" t="inlineStr">
        <is>
          <t>handoff/INDIA-ECONOMICS-SIDECAR-V0-2026-06-20.json (goa)</t>
        </is>
      </c>
      <c r="AZ79" s="46" t="inlineStr">
        <is>
          <t>handoff/INDIA-ECONOMICS-SIDECAR-V0-2026-06-20.json (goa)</t>
        </is>
      </c>
      <c r="BA79" s="34" t="inlineStr">
        <is>
          <t>ics-f2a351abb5</t>
        </is>
      </c>
    </row>
    <row r="80">
      <c r="A80" s="31" t="inlineStr">
        <is>
          <t>India Kerala Rapido</t>
        </is>
      </c>
      <c r="B80" s="31" t="inlineStr">
        <is>
          <t>India</t>
        </is>
      </c>
      <c r="C80" s="32" t="inlineStr">
        <is>
          <t>Willingdon Island → Kerala Backwaters &amp; Kochi</t>
        </is>
      </c>
      <c r="D80" s="33" t="n">
        <v>6.8</v>
      </c>
      <c r="E80" s="27" t="n">
        <v>18</v>
      </c>
      <c r="F80" s="34" t="inlineStr">
        <is>
          <t>T3</t>
        </is>
      </c>
      <c r="G80" s="34" t="inlineStr">
        <is>
          <t>med-low</t>
        </is>
      </c>
      <c r="H80" s="20" t="n">
        <v>1</v>
      </c>
      <c r="I80" s="35">
        <f>60*D80/cruise_kt</f>
        <v/>
      </c>
      <c r="J80" s="35">
        <f>IF(B80="South Korea",D80/korea_charge_range_nm*korea_full_range_charge_min,0)</f>
        <v/>
      </c>
      <c r="K80" s="35">
        <f>IF(B80="South Korea",I80+korea_turn_min+korea_dwell_min+J80,I80+turn_min+dwell_min)</f>
        <v/>
      </c>
      <c r="L80" s="36">
        <f>IF(B80="South Korea",FLOOR(60*korea_service_hr/K80,1),MIN(15,FLOOR(60*service_hr/K80,1)))</f>
        <v/>
      </c>
      <c r="M80" s="36">
        <f>IF(ABS(MOD(ABS((365*mech_uptime*H80)),1)-0.5)&lt;1E-9,2*ROUND((365*mech_uptime*H80)/2,0),ROUND((365*mech_uptime*H80),0))</f>
        <v/>
      </c>
      <c r="N80" s="37">
        <f>mech_uptime</f>
        <v/>
      </c>
      <c r="O80" s="37">
        <f>IF(AND(B80="South Korea",scenario="MID"),korea_mid_revleg,revleg_sel)</f>
        <v/>
      </c>
      <c r="P80" s="36">
        <f>IF(ABS(MOD(ABS((L80*M80*O80)),1)-0.5)&lt;1E-9,2*ROUND((L80*M80*O80)/2,0),ROUND((L80*M80*O80),0))</f>
        <v/>
      </c>
      <c r="Q80" s="37">
        <f>IF(AND(B80="South Korea",scenario="MID"),korea_mid_load,load_sel)</f>
        <v/>
      </c>
      <c r="R80" s="38">
        <f>pax_cap*Q80</f>
        <v/>
      </c>
      <c r="S80" s="36">
        <f>R80*P80</f>
        <v/>
      </c>
      <c r="T80" s="39">
        <f>E80*discount</f>
        <v/>
      </c>
      <c r="U80" s="40">
        <f>T80*S80</f>
        <v/>
      </c>
      <c r="V80" s="40">
        <f>(battery/range_nm)*D80*P80*VLOOKUP(B80,country_opex,3,FALSE)</f>
        <v/>
      </c>
      <c r="W80" s="40">
        <f>VLOOKUP(B80,country_opex,2,FALSE)*crew_factor</f>
        <v/>
      </c>
      <c r="X80" s="40">
        <f>VLOOKUP(B80,country_opex,5,FALSE)</f>
        <v/>
      </c>
      <c r="Y80" s="40">
        <f>maint</f>
        <v/>
      </c>
      <c r="Z80" s="40">
        <f>VLOOKUP(B80,country_opex,7,FALSE)*ins_pct</f>
        <v/>
      </c>
      <c r="AA80" s="40">
        <f>charge_berth</f>
        <v/>
      </c>
      <c r="AB80" s="40">
        <f>V80+W80+X80+Y80+Z80+AA80</f>
        <v/>
      </c>
      <c r="AC80" s="40">
        <f>VLOOKUP(B80,country_opex,7,FALSE)/dep_years</f>
        <v/>
      </c>
      <c r="AD80" s="40">
        <f>U80-AB80</f>
        <v/>
      </c>
      <c r="AE80" s="37">
        <f>IF(U80=0,"",AD80/U80)</f>
        <v/>
      </c>
      <c r="AF80" s="38">
        <f>IF(AD80&lt;=0,"",VLOOKUP(B80,country_opex,7,FALSE)/AD80)</f>
        <v/>
      </c>
      <c r="AG80" s="35">
        <f>((D80*P80/diesel_nmpg)*diesel_co2pg-(battery/range_nm)*D80*P80*VLOOKUP(B80,country_opex,4,FALSE))/1000</f>
        <v/>
      </c>
      <c r="AH80" s="33" t="n">
        <v>29166</v>
      </c>
      <c r="AI80" s="34" t="inlineStr">
        <is>
          <t>T3</t>
        </is>
      </c>
      <c r="AJ80" s="34" t="inlineStr">
        <is>
          <t>med-low</t>
        </is>
      </c>
      <c r="AK80" s="41" t="n">
        <v>0.1</v>
      </c>
      <c r="AL80" s="36">
        <f>IF(AH80="","",AH80*AK80)</f>
        <v/>
      </c>
      <c r="AM80" s="36">
        <f>IF(OR(AH80="",S80=0),"",MIN(IF(AU80="",9.9E+99,AU80),FLOOR(AL80/S80,1)))</f>
        <v/>
      </c>
      <c r="AN80" s="40">
        <f>IF(AM80="","",AM80*IF(ABS(MOD(ABS((U80)),1)-0.5)&lt;1E-9,2*ROUND((U80)/2,0),ROUND((U80),0)))</f>
        <v/>
      </c>
      <c r="AO80" s="38">
        <f>IF(OR(AH80="",S80=0),"",MIN(IF(AU80="",9.9E+99,AU80),AL80/S80))</f>
        <v/>
      </c>
      <c r="AP80" s="40">
        <f>IF(AO80="","",AO80*IF(B80="South Korea",IF(ABS(MOD(ABS((U80)),1)-0.5)&lt;1E-9,2*ROUND((U80)/2,0),ROUND((U80),0)),U80))</f>
        <v/>
      </c>
      <c r="AQ80" s="42" t="n"/>
      <c r="AR80" s="34" t="inlineStr">
        <is>
          <t>Grounded</t>
        </is>
      </c>
      <c r="AS80" s="43" t="n"/>
      <c r="AT80" s="43" t="n"/>
      <c r="AU80" s="44" t="n"/>
      <c r="AV80" s="45">
        <f>IF(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&lt;=0,"",VLOOKUP(B80,country_opex,7,FALSE)/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)</f>
        <v/>
      </c>
      <c r="AW80" s="45">
        <f>IF(((T80*pax_cap*IF(B80="South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Korea",korea_mid_revleg,revleg_mid)),0))*VLOOKUP(B80,country_opex,3,FALSE))+W80+X80+Y80+Z80+AA80))&lt;=0,"",VLOOKUP(B80,country_opex,7,FALSE)/((T80*pax_cap*IF(B80="South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Korea",korea_mid_revleg,revleg_mid)),0))*VLOOKUP(B80,country_opex,3,FALSE))+W80+X80+Y80+Z80+AA80)))</f>
        <v/>
      </c>
      <c r="AX80" s="45">
        <f>IF(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&lt;=0,"",VLOOKUP(B80,country_opex,7,FALSE)/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)</f>
        <v/>
      </c>
      <c r="AY80" s="46" t="inlineStr">
        <is>
          <t>[LB-255 PREMIUM RE-FARE: subsidized comparable $3.5 lifted to premium on-demand floor $18.0] handoff/INDIA-ECONOMICS-SIDECAR-V0-2026-06-20.json (kerala)</t>
        </is>
      </c>
      <c r="AZ80" s="46" t="inlineStr">
        <is>
          <t>handoff/INDIA-ECONOMICS-SIDECAR-V0-2026-06-20.json (kerala)</t>
        </is>
      </c>
      <c r="BA80" s="34" t="inlineStr">
        <is>
          <t>ics-0091e0dcc0</t>
        </is>
      </c>
    </row>
    <row r="81">
      <c r="A81" s="31" t="inlineStr">
        <is>
          <t>India Goa Rapido</t>
        </is>
      </c>
      <c r="B81" s="31" t="inlineStr">
        <is>
          <t>India</t>
        </is>
      </c>
      <c r="C81" s="32" t="inlineStr">
        <is>
          <t>Marina Russian B2B Thai Spa Service near me → Goveia Marina</t>
        </is>
      </c>
      <c r="D81" s="33" t="n">
        <v>7.5</v>
      </c>
      <c r="E81" s="27" t="n">
        <v>8</v>
      </c>
      <c r="F81" s="34" t="inlineStr">
        <is>
          <t>T3</t>
        </is>
      </c>
      <c r="G81" s="34" t="inlineStr">
        <is>
          <t>med-low</t>
        </is>
      </c>
      <c r="H81" s="20" t="n">
        <v>1</v>
      </c>
      <c r="I81" s="35">
        <f>60*D81/cruise_kt</f>
        <v/>
      </c>
      <c r="J81" s="35">
        <f>IF(B81="South Korea",D81/korea_charge_range_nm*korea_full_range_charge_min,0)</f>
        <v/>
      </c>
      <c r="K81" s="35">
        <f>IF(B81="South Korea",I81+korea_turn_min+korea_dwell_min+J81,I81+turn_min+dwell_min)</f>
        <v/>
      </c>
      <c r="L81" s="36">
        <f>IF(B81="South Korea",FLOOR(60*korea_service_hr/K81,1),MIN(15,FLOOR(60*service_hr/K81,1)))</f>
        <v/>
      </c>
      <c r="M81" s="36">
        <f>IF(ABS(MOD(ABS((365*mech_uptime*H81)),1)-0.5)&lt;1E-9,2*ROUND((365*mech_uptime*H81)/2,0),ROUND((365*mech_uptime*H81),0))</f>
        <v/>
      </c>
      <c r="N81" s="37">
        <f>mech_uptime</f>
        <v/>
      </c>
      <c r="O81" s="37">
        <f>IF(AND(B81="South Korea",scenario="MID"),korea_mid_revleg,revleg_sel)</f>
        <v/>
      </c>
      <c r="P81" s="36">
        <f>IF(ABS(MOD(ABS((L81*M81*O81)),1)-0.5)&lt;1E-9,2*ROUND((L81*M81*O81)/2,0),ROUND((L81*M81*O81),0))</f>
        <v/>
      </c>
      <c r="Q81" s="37">
        <f>IF(AND(B81="South Korea",scenario="MID"),korea_mid_load,load_sel)</f>
        <v/>
      </c>
      <c r="R81" s="38">
        <f>pax_cap*Q81</f>
        <v/>
      </c>
      <c r="S81" s="36">
        <f>R81*P81</f>
        <v/>
      </c>
      <c r="T81" s="39">
        <f>E81*discount</f>
        <v/>
      </c>
      <c r="U81" s="40">
        <f>T81*S81</f>
        <v/>
      </c>
      <c r="V81" s="40">
        <f>(battery/range_nm)*D81*P81*VLOOKUP(B81,country_opex,3,FALSE)</f>
        <v/>
      </c>
      <c r="W81" s="40">
        <f>VLOOKUP(B81,country_opex,2,FALSE)*crew_factor</f>
        <v/>
      </c>
      <c r="X81" s="40">
        <f>VLOOKUP(B81,country_opex,5,FALSE)</f>
        <v/>
      </c>
      <c r="Y81" s="40">
        <f>maint</f>
        <v/>
      </c>
      <c r="Z81" s="40">
        <f>VLOOKUP(B81,country_opex,7,FALSE)*ins_pct</f>
        <v/>
      </c>
      <c r="AA81" s="40">
        <f>charge_berth</f>
        <v/>
      </c>
      <c r="AB81" s="40">
        <f>V81+W81+X81+Y81+Z81+AA81</f>
        <v/>
      </c>
      <c r="AC81" s="40">
        <f>VLOOKUP(B81,country_opex,7,FALSE)/dep_years</f>
        <v/>
      </c>
      <c r="AD81" s="40">
        <f>U81-AB81</f>
        <v/>
      </c>
      <c r="AE81" s="37">
        <f>IF(U81=0,"",AD81/U81)</f>
        <v/>
      </c>
      <c r="AF81" s="38">
        <f>IF(AD81&lt;=0,"",VLOOKUP(B81,country_opex,7,FALSE)/AD81)</f>
        <v/>
      </c>
      <c r="AG81" s="35">
        <f>((D81*P81/diesel_nmpg)*diesel_co2pg-(battery/range_nm)*D81*P81*VLOOKUP(B81,country_opex,4,FALSE))/1000</f>
        <v/>
      </c>
      <c r="AH81" s="33" t="n">
        <v>11250</v>
      </c>
      <c r="AI81" s="34" t="inlineStr">
        <is>
          <t>T3</t>
        </is>
      </c>
      <c r="AJ81" s="34" t="inlineStr">
        <is>
          <t>med-low</t>
        </is>
      </c>
      <c r="AK81" s="41" t="n">
        <v>0.1</v>
      </c>
      <c r="AL81" s="36">
        <f>IF(AH81="","",AH81*AK81)</f>
        <v/>
      </c>
      <c r="AM81" s="36">
        <f>IF(OR(AH81="",S81=0),"",MIN(IF(AU81="",9.9E+99,AU81),FLOOR(AL81/S81,1)))</f>
        <v/>
      </c>
      <c r="AN81" s="40">
        <f>IF(AM81="","",AM81*IF(ABS(MOD(ABS((U81)),1)-0.5)&lt;1E-9,2*ROUND((U81)/2,0),ROUND((U81),0)))</f>
        <v/>
      </c>
      <c r="AO81" s="38">
        <f>IF(OR(AH81="",S81=0),"",MIN(IF(AU81="",9.9E+99,AU81),AL81/S81))</f>
        <v/>
      </c>
      <c r="AP81" s="40">
        <f>IF(AO81="","",AO81*IF(B81="South Korea",IF(ABS(MOD(ABS((U81)),1)-0.5)&lt;1E-9,2*ROUND((U81)/2,0),ROUND((U81),0)),U81))</f>
        <v/>
      </c>
      <c r="AQ81" s="42" t="n"/>
      <c r="AR81" s="34" t="inlineStr">
        <is>
          <t>Grounded</t>
        </is>
      </c>
      <c r="AS81" s="43" t="n"/>
      <c r="AT81" s="43" t="n"/>
      <c r="AU81" s="44" t="n"/>
      <c r="AV81" s="45">
        <f>IF(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&lt;=0,"",VLOOKUP(B81,country_opex,7,FALSE)/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)</f>
        <v/>
      </c>
      <c r="AW81" s="45">
        <f>IF(((T81*pax_cap*IF(B81="South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Korea",korea_mid_revleg,revleg_mid)),0))*VLOOKUP(B81,country_opex,3,FALSE))+W81+X81+Y81+Z81+AA81))&lt;=0,"",VLOOKUP(B81,country_opex,7,FALSE)/((T81*pax_cap*IF(B81="South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Korea",korea_mid_revleg,revleg_mid)),0))*VLOOKUP(B81,country_opex,3,FALSE))+W81+X81+Y81+Z81+AA81)))</f>
        <v/>
      </c>
      <c r="AX81" s="45">
        <f>IF(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&lt;=0,"",VLOOKUP(B81,country_opex,7,FALSE)/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)</f>
        <v/>
      </c>
      <c r="AY81" s="46" t="inlineStr">
        <is>
          <t>handoff/INDIA-ECONOMICS-SIDECAR-V0-2026-06-20.json (goa)</t>
        </is>
      </c>
      <c r="AZ81" s="46" t="inlineStr">
        <is>
          <t>handoff/INDIA-ECONOMICS-SIDECAR-V0-2026-06-20.json (goa)</t>
        </is>
      </c>
      <c r="BA81" s="34" t="inlineStr">
        <is>
          <t>ics-8c58eab067</t>
        </is>
      </c>
    </row>
    <row r="82">
      <c r="A82" s="31" t="inlineStr">
        <is>
          <t>Rapido Mumbai</t>
        </is>
      </c>
      <c r="B82" s="31" t="inlineStr">
        <is>
          <t>India</t>
        </is>
      </c>
      <c r="C82" s="32" t="inlineStr">
        <is>
          <t>Mumbai Harbour → Mandwa Jetty</t>
        </is>
      </c>
      <c r="D82" s="33" t="n">
        <v>7.9</v>
      </c>
      <c r="E82" s="27" t="n"/>
      <c r="F82" s="34" t="inlineStr">
        <is>
          <t>T3</t>
        </is>
      </c>
      <c r="G82" s="34" t="inlineStr">
        <is>
          <t>med-low</t>
        </is>
      </c>
      <c r="H82" s="20" t="n">
        <v>1</v>
      </c>
      <c r="I82" s="35">
        <f>60*D82/cruise_kt</f>
        <v/>
      </c>
      <c r="J82" s="35">
        <f>IF(B82="South Korea",D82/korea_charge_range_nm*korea_full_range_charge_min,0)</f>
        <v/>
      </c>
      <c r="K82" s="35">
        <f>IF(B82="South Korea",I82+korea_turn_min+korea_dwell_min+J82,I82+turn_min+dwell_min)</f>
        <v/>
      </c>
      <c r="L82" s="36">
        <f>IF(B82="South Korea",FLOOR(60*korea_service_hr/K82,1),MIN(15,FLOOR(60*service_hr/K82,1)))</f>
        <v/>
      </c>
      <c r="M82" s="36">
        <f>IF(ABS(MOD(ABS((365*mech_uptime*H82)),1)-0.5)&lt;1E-9,2*ROUND((365*mech_uptime*H82)/2,0),ROUND((365*mech_uptime*H82),0))</f>
        <v/>
      </c>
      <c r="N82" s="37">
        <f>mech_uptime</f>
        <v/>
      </c>
      <c r="O82" s="37">
        <f>IF(AND(B82="South Korea",scenario="MID"),korea_mid_revleg,revleg_sel)</f>
        <v/>
      </c>
      <c r="P82" s="36">
        <f>IF(ABS(MOD(ABS((L82*M82*O82)),1)-0.5)&lt;1E-9,2*ROUND((L82*M82*O82)/2,0),ROUND((L82*M82*O82),0))</f>
        <v/>
      </c>
      <c r="Q82" s="37">
        <f>IF(AND(B82="South Korea",scenario="MID"),korea_mid_load,load_sel)</f>
        <v/>
      </c>
      <c r="R82" s="38">
        <f>pax_cap*Q82</f>
        <v/>
      </c>
      <c r="S82" s="36">
        <f>R82*P82</f>
        <v/>
      </c>
      <c r="T82" s="39">
        <f>E82*discount</f>
        <v/>
      </c>
      <c r="U82" s="40">
        <f>T82*S82</f>
        <v/>
      </c>
      <c r="V82" s="40">
        <f>(battery/range_nm)*D82*P82*VLOOKUP(B82,country_opex,3,FALSE)</f>
        <v/>
      </c>
      <c r="W82" s="40">
        <f>VLOOKUP(B82,country_opex,2,FALSE)*crew_factor</f>
        <v/>
      </c>
      <c r="X82" s="40">
        <f>VLOOKUP(B82,country_opex,5,FALSE)</f>
        <v/>
      </c>
      <c r="Y82" s="40">
        <f>maint</f>
        <v/>
      </c>
      <c r="Z82" s="40">
        <f>VLOOKUP(B82,country_opex,7,FALSE)*ins_pct</f>
        <v/>
      </c>
      <c r="AA82" s="40">
        <f>charge_berth</f>
        <v/>
      </c>
      <c r="AB82" s="40">
        <f>V82+W82+X82+Y82+Z82+AA82</f>
        <v/>
      </c>
      <c r="AC82" s="40">
        <f>VLOOKUP(B82,country_opex,7,FALSE)/dep_years</f>
        <v/>
      </c>
      <c r="AD82" s="40">
        <f>U82-AB82</f>
        <v/>
      </c>
      <c r="AE82" s="37">
        <f>IF(U82=0,"",AD82/U82)</f>
        <v/>
      </c>
      <c r="AF82" s="38">
        <f>IF(AD82&lt;=0,"",VLOOKUP(B82,country_opex,7,FALSE)/AD82)</f>
        <v/>
      </c>
      <c r="AG82" s="35">
        <f>((D82*P82/diesel_nmpg)*diesel_co2pg-(battery/range_nm)*D82*P82*VLOOKUP(B82,country_opex,4,FALSE))/1000</f>
        <v/>
      </c>
      <c r="AH82" s="33" t="n">
        <v>9230</v>
      </c>
      <c r="AI82" s="34" t="inlineStr">
        <is>
          <t>T3</t>
        </is>
      </c>
      <c r="AJ82" s="34" t="inlineStr">
        <is>
          <t>med-low</t>
        </is>
      </c>
      <c r="AK82" s="41" t="n">
        <v>0.1</v>
      </c>
      <c r="AL82" s="36">
        <f>IF(AH82="","",AH82*AK82)</f>
        <v/>
      </c>
      <c r="AM82" s="36">
        <f>IF(OR(AH82="",S82=0),"",MIN(IF(AU82="",9.9E+99,AU82),FLOOR(AL82/S82,1)))</f>
        <v/>
      </c>
      <c r="AN82" s="40">
        <f>IF(AM82="","",AM82*IF(ABS(MOD(ABS((U82)),1)-0.5)&lt;1E-9,2*ROUND((U82)/2,0),ROUND((U82),0)))</f>
        <v/>
      </c>
      <c r="AO82" s="38">
        <f>IF(OR(AH82="",S82=0),"",MIN(IF(AU82="",9.9E+99,AU82),AL82/S82))</f>
        <v/>
      </c>
      <c r="AP82" s="40">
        <f>IF(AO82="","",AO82*IF(B82="South Korea",IF(ABS(MOD(ABS((U82)),1)-0.5)&lt;1E-9,2*ROUND((U82)/2,0),ROUND((U82),0)),U82))</f>
        <v/>
      </c>
      <c r="AQ82" s="42" t="n"/>
      <c r="AR82" s="34" t="inlineStr">
        <is>
          <t>Upside tier</t>
        </is>
      </c>
      <c r="AS82" s="43" t="n"/>
      <c r="AT82" s="43" t="inlineStr">
        <is>
          <t>experience_upside</t>
        </is>
      </c>
      <c r="AU82" s="44" t="n"/>
      <c r="AV82" s="45">
        <f>IF(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&lt;=0,"",VLOOKUP(B82,country_opex,7,FALSE)/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)</f>
        <v/>
      </c>
      <c r="AW82" s="45">
        <f>IF(((T82*pax_cap*IF(B82="South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Korea",korea_mid_revleg,revleg_mid)),0))*VLOOKUP(B82,country_opex,3,FALSE))+W82+X82+Y82+Z82+AA82))&lt;=0,"",VLOOKUP(B82,country_opex,7,FALSE)/((T82*pax_cap*IF(B82="South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Korea",korea_mid_revleg,revleg_mid)),0))*VLOOKUP(B82,country_opex,3,FALSE))+W82+X82+Y82+Z82+AA82)))</f>
        <v/>
      </c>
      <c r="AX82" s="45">
        <f>IF(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&lt;=0,"",VLOOKUP(B82,country_opex,7,FALSE)/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)</f>
        <v/>
      </c>
      <c r="AY82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82" s="46" t="inlineStr">
        <is>
          <t>PR #58 Mumbai spine route-count split (13 sealed rows × anchor 120,000 pax/yr)</t>
        </is>
      </c>
      <c r="BA82" s="34" t="inlineStr">
        <is>
          <t>ics-45ea784fef</t>
        </is>
      </c>
    </row>
    <row r="83">
      <c r="A83" s="31" t="inlineStr">
        <is>
          <t>India Andaman Rapido</t>
        </is>
      </c>
      <c r="B83" s="31" t="inlineStr">
        <is>
          <t>India</t>
        </is>
      </c>
      <c r="C83" s="32" t="inlineStr">
        <is>
          <t>Bambooflat Jetty → Game Fishing In Andaman | Bite Me Charter | Best Sport fishing in Andaman Islands</t>
        </is>
      </c>
      <c r="D83" s="33" t="n">
        <v>8.4</v>
      </c>
      <c r="E83" s="27" t="n">
        <v>22</v>
      </c>
      <c r="F83" s="34" t="inlineStr">
        <is>
          <t>T3</t>
        </is>
      </c>
      <c r="G83" s="34" t="inlineStr">
        <is>
          <t>med-low</t>
        </is>
      </c>
      <c r="H83" s="20" t="n">
        <v>1</v>
      </c>
      <c r="I83" s="35">
        <f>60*D83/cruise_kt</f>
        <v/>
      </c>
      <c r="J83" s="35">
        <f>IF(B83="South Korea",D83/korea_charge_range_nm*korea_full_range_charge_min,0)</f>
        <v/>
      </c>
      <c r="K83" s="35">
        <f>IF(B83="South Korea",I83+korea_turn_min+korea_dwell_min+J83,I83+turn_min+dwell_min)</f>
        <v/>
      </c>
      <c r="L83" s="36">
        <f>IF(B83="South Korea",FLOOR(60*korea_service_hr/K83,1),MIN(15,FLOOR(60*service_hr/K83,1)))</f>
        <v/>
      </c>
      <c r="M83" s="36">
        <f>IF(ABS(MOD(ABS((365*mech_uptime*H83)),1)-0.5)&lt;1E-9,2*ROUND((365*mech_uptime*H83)/2,0),ROUND((365*mech_uptime*H83),0))</f>
        <v/>
      </c>
      <c r="N83" s="37">
        <f>mech_uptime</f>
        <v/>
      </c>
      <c r="O83" s="37">
        <f>IF(AND(B83="South Korea",scenario="MID"),korea_mid_revleg,revleg_sel)</f>
        <v/>
      </c>
      <c r="P83" s="36">
        <f>IF(ABS(MOD(ABS((L83*M83*O83)),1)-0.5)&lt;1E-9,2*ROUND((L83*M83*O83)/2,0),ROUND((L83*M83*O83),0))</f>
        <v/>
      </c>
      <c r="Q83" s="37">
        <f>IF(AND(B83="South Korea",scenario="MID"),korea_mid_load,load_sel)</f>
        <v/>
      </c>
      <c r="R83" s="38">
        <f>pax_cap*Q83</f>
        <v/>
      </c>
      <c r="S83" s="36">
        <f>R83*P83</f>
        <v/>
      </c>
      <c r="T83" s="39">
        <f>E83*discount</f>
        <v/>
      </c>
      <c r="U83" s="40">
        <f>T83*S83</f>
        <v/>
      </c>
      <c r="V83" s="40">
        <f>(battery/range_nm)*D83*P83*VLOOKUP(B83,country_opex,3,FALSE)</f>
        <v/>
      </c>
      <c r="W83" s="40">
        <f>VLOOKUP(B83,country_opex,2,FALSE)*crew_factor</f>
        <v/>
      </c>
      <c r="X83" s="40">
        <f>VLOOKUP(B83,country_opex,5,FALSE)</f>
        <v/>
      </c>
      <c r="Y83" s="40">
        <f>maint</f>
        <v/>
      </c>
      <c r="Z83" s="40">
        <f>VLOOKUP(B83,country_opex,7,FALSE)*ins_pct</f>
        <v/>
      </c>
      <c r="AA83" s="40">
        <f>charge_berth</f>
        <v/>
      </c>
      <c r="AB83" s="40">
        <f>V83+W83+X83+Y83+Z83+AA83</f>
        <v/>
      </c>
      <c r="AC83" s="40">
        <f>VLOOKUP(B83,country_opex,7,FALSE)/dep_years</f>
        <v/>
      </c>
      <c r="AD83" s="40">
        <f>U83-AB83</f>
        <v/>
      </c>
      <c r="AE83" s="37">
        <f>IF(U83=0,"",AD83/U83)</f>
        <v/>
      </c>
      <c r="AF83" s="38">
        <f>IF(AD83&lt;=0,"",VLOOKUP(B83,country_opex,7,FALSE)/AD83)</f>
        <v/>
      </c>
      <c r="AG83" s="35">
        <f>((D83*P83/diesel_nmpg)*diesel_co2pg-(battery/range_nm)*D83*P83*VLOOKUP(B83,country_opex,4,FALSE))/1000</f>
        <v/>
      </c>
      <c r="AH83" s="33" t="n">
        <v>5000</v>
      </c>
      <c r="AI83" s="34" t="inlineStr">
        <is>
          <t>T3</t>
        </is>
      </c>
      <c r="AJ83" s="34" t="inlineStr">
        <is>
          <t>med-low</t>
        </is>
      </c>
      <c r="AK83" s="41" t="n">
        <v>0.1</v>
      </c>
      <c r="AL83" s="36">
        <f>IF(AH83="","",AH83*AK83)</f>
        <v/>
      </c>
      <c r="AM83" s="36">
        <f>IF(OR(AH83="",S83=0),"",MIN(IF(AU83="",9.9E+99,AU83),FLOOR(AL83/S83,1)))</f>
        <v/>
      </c>
      <c r="AN83" s="40">
        <f>IF(AM83="","",AM83*IF(ABS(MOD(ABS((U83)),1)-0.5)&lt;1E-9,2*ROUND((U83)/2,0),ROUND((U83),0)))</f>
        <v/>
      </c>
      <c r="AO83" s="38">
        <f>IF(OR(AH83="",S83=0),"",MIN(IF(AU83="",9.9E+99,AU83),AL83/S83))</f>
        <v/>
      </c>
      <c r="AP83" s="40">
        <f>IF(AO83="","",AO83*IF(B83="South Korea",IF(ABS(MOD(ABS((U83)),1)-0.5)&lt;1E-9,2*ROUND((U83)/2,0),ROUND((U83),0)),U83))</f>
        <v/>
      </c>
      <c r="AQ83" s="42" t="n"/>
      <c r="AR83" s="34" t="inlineStr">
        <is>
          <t>Grounded</t>
        </is>
      </c>
      <c r="AS83" s="43" t="n"/>
      <c r="AT83" s="43" t="n"/>
      <c r="AU83" s="44" t="n"/>
      <c r="AV83" s="45">
        <f>IF(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&lt;=0,"",VLOOKUP(B83,country_opex,7,FALSE)/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)</f>
        <v/>
      </c>
      <c r="AW83" s="45">
        <f>IF(((T83*pax_cap*IF(B83="South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Korea",korea_mid_revleg,revleg_mid)),0))*VLOOKUP(B83,country_opex,3,FALSE))+W83+X83+Y83+Z83+AA83))&lt;=0,"",VLOOKUP(B83,country_opex,7,FALSE)/((T83*pax_cap*IF(B83="South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Korea",korea_mid_revleg,revleg_mid)),0))*VLOOKUP(B83,country_opex,3,FALSE))+W83+X83+Y83+Z83+AA83)))</f>
        <v/>
      </c>
      <c r="AX83" s="45">
        <f>IF(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&lt;=0,"",VLOOKUP(B83,country_opex,7,FALSE)/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)</f>
        <v/>
      </c>
      <c r="AY83" s="46" t="inlineStr">
        <is>
          <t>handoff/INDIA-ECONOMICS-SIDECAR-V0-2026-06-20.json (andaman)</t>
        </is>
      </c>
      <c r="AZ83" s="46" t="inlineStr">
        <is>
          <t>handoff/INDIA-ECONOMICS-SIDECAR-V0-2026-06-20.json (andaman)</t>
        </is>
      </c>
      <c r="BA83" s="34" t="inlineStr">
        <is>
          <t>ics-5c094f9b0f</t>
        </is>
      </c>
    </row>
    <row r="84">
      <c r="A84" s="31" t="inlineStr">
        <is>
          <t>India Mumbai Rapido</t>
        </is>
      </c>
      <c r="B84" s="31" t="inlineStr">
        <is>
          <t>India</t>
        </is>
      </c>
      <c r="C84" s="32" t="inlineStr">
        <is>
          <t>Cordelia Cruises → OLD HARBOR TEA &amp; COFFEE</t>
        </is>
      </c>
      <c r="D84" s="33" t="n">
        <v>8.5</v>
      </c>
      <c r="E84" s="27" t="n">
        <v>18</v>
      </c>
      <c r="F84" s="34" t="inlineStr">
        <is>
          <t>T3</t>
        </is>
      </c>
      <c r="G84" s="34" t="inlineStr">
        <is>
          <t>med-low</t>
        </is>
      </c>
      <c r="H84" s="20" t="n">
        <v>1</v>
      </c>
      <c r="I84" s="35">
        <f>60*D84/cruise_kt</f>
        <v/>
      </c>
      <c r="J84" s="35">
        <f>IF(B84="South Korea",D84/korea_charge_range_nm*korea_full_range_charge_min,0)</f>
        <v/>
      </c>
      <c r="K84" s="35">
        <f>IF(B84="South Korea",I84+korea_turn_min+korea_dwell_min+J84,I84+turn_min+dwell_min)</f>
        <v/>
      </c>
      <c r="L84" s="36">
        <f>IF(B84="South Korea",FLOOR(60*korea_service_hr/K84,1),MIN(15,FLOOR(60*service_hr/K84,1)))</f>
        <v/>
      </c>
      <c r="M84" s="36">
        <f>IF(ABS(MOD(ABS((365*mech_uptime*H84)),1)-0.5)&lt;1E-9,2*ROUND((365*mech_uptime*H84)/2,0),ROUND((365*mech_uptime*H84),0))</f>
        <v/>
      </c>
      <c r="N84" s="37">
        <f>mech_uptime</f>
        <v/>
      </c>
      <c r="O84" s="37">
        <f>IF(AND(B84="South Korea",scenario="MID"),korea_mid_revleg,revleg_sel)</f>
        <v/>
      </c>
      <c r="P84" s="36">
        <f>IF(ABS(MOD(ABS((L84*M84*O84)),1)-0.5)&lt;1E-9,2*ROUND((L84*M84*O84)/2,0),ROUND((L84*M84*O84),0))</f>
        <v/>
      </c>
      <c r="Q84" s="37">
        <f>IF(AND(B84="South Korea",scenario="MID"),korea_mid_load,load_sel)</f>
        <v/>
      </c>
      <c r="R84" s="38">
        <f>pax_cap*Q84</f>
        <v/>
      </c>
      <c r="S84" s="36">
        <f>R84*P84</f>
        <v/>
      </c>
      <c r="T84" s="39">
        <f>E84*discount</f>
        <v/>
      </c>
      <c r="U84" s="40">
        <f>T84*S84</f>
        <v/>
      </c>
      <c r="V84" s="40">
        <f>(battery/range_nm)*D84*P84*VLOOKUP(B84,country_opex,3,FALSE)</f>
        <v/>
      </c>
      <c r="W84" s="40">
        <f>VLOOKUP(B84,country_opex,2,FALSE)*crew_factor</f>
        <v/>
      </c>
      <c r="X84" s="40">
        <f>VLOOKUP(B84,country_opex,5,FALSE)</f>
        <v/>
      </c>
      <c r="Y84" s="40">
        <f>maint</f>
        <v/>
      </c>
      <c r="Z84" s="40">
        <f>VLOOKUP(B84,country_opex,7,FALSE)*ins_pct</f>
        <v/>
      </c>
      <c r="AA84" s="40">
        <f>charge_berth</f>
        <v/>
      </c>
      <c r="AB84" s="40">
        <f>V84+W84+X84+Y84+Z84+AA84</f>
        <v/>
      </c>
      <c r="AC84" s="40">
        <f>VLOOKUP(B84,country_opex,7,FALSE)/dep_years</f>
        <v/>
      </c>
      <c r="AD84" s="40">
        <f>U84-AB84</f>
        <v/>
      </c>
      <c r="AE84" s="37">
        <f>IF(U84=0,"",AD84/U84)</f>
        <v/>
      </c>
      <c r="AF84" s="38">
        <f>IF(AD84&lt;=0,"",VLOOKUP(B84,country_opex,7,FALSE)/AD84)</f>
        <v/>
      </c>
      <c r="AG84" s="35">
        <f>((D84*P84/diesel_nmpg)*diesel_co2pg-(battery/range_nm)*D84*P84*VLOOKUP(B84,country_opex,4,FALSE))/1000</f>
        <v/>
      </c>
      <c r="AH84" s="33" t="n">
        <v>5000</v>
      </c>
      <c r="AI84" s="34" t="inlineStr">
        <is>
          <t>T3</t>
        </is>
      </c>
      <c r="AJ84" s="34" t="inlineStr">
        <is>
          <t>med-low</t>
        </is>
      </c>
      <c r="AK84" s="41" t="n">
        <v>0.1</v>
      </c>
      <c r="AL84" s="36">
        <f>IF(AH84="","",AH84*AK84)</f>
        <v/>
      </c>
      <c r="AM84" s="36">
        <f>IF(OR(AH84="",S84=0),"",MIN(IF(AU84="",9.9E+99,AU84),FLOOR(AL84/S84,1)))</f>
        <v/>
      </c>
      <c r="AN84" s="40">
        <f>IF(AM84="","",AM84*IF(ABS(MOD(ABS((U84)),1)-0.5)&lt;1E-9,2*ROUND((U84)/2,0),ROUND((U84),0)))</f>
        <v/>
      </c>
      <c r="AO84" s="38">
        <f>IF(OR(AH84="",S84=0),"",MIN(IF(AU84="",9.9E+99,AU84),AL84/S84))</f>
        <v/>
      </c>
      <c r="AP84" s="40">
        <f>IF(AO84="","",AO84*IF(B84="South Korea",IF(ABS(MOD(ABS((U84)),1)-0.5)&lt;1E-9,2*ROUND((U84)/2,0),ROUND((U84),0)),U84))</f>
        <v/>
      </c>
      <c r="AQ84" s="42" t="n"/>
      <c r="AR84" s="34" t="inlineStr">
        <is>
          <t>Grounded</t>
        </is>
      </c>
      <c r="AS84" s="43" t="n"/>
      <c r="AT84" s="43" t="n"/>
      <c r="AU84" s="44" t="n"/>
      <c r="AV84" s="45">
        <f>IF(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&lt;=0,"",VLOOKUP(B84,country_opex,7,FALSE)/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)</f>
        <v/>
      </c>
      <c r="AW84" s="45">
        <f>IF(((T84*pax_cap*IF(B84="South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Korea",korea_mid_revleg,revleg_mid)),0))*VLOOKUP(B84,country_opex,3,FALSE))+W84+X84+Y84+Z84+AA84))&lt;=0,"",VLOOKUP(B84,country_opex,7,FALSE)/((T84*pax_cap*IF(B84="South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Korea",korea_mid_revleg,revleg_mid)),0))*VLOOKUP(B84,country_opex,3,FALSE))+W84+X84+Y84+Z84+AA84)))</f>
        <v/>
      </c>
      <c r="AX84" s="45">
        <f>IF(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&lt;=0,"",VLOOKUP(B84,country_opex,7,FALSE)/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)</f>
        <v/>
      </c>
      <c r="AY84" s="46" t="inlineStr">
        <is>
          <t>[LB-255 PREMIUM RE-FARE: subsidized comparable $5.5 lifted to premium on-demand floor $18.0] handoff/INDIA-ECONOMICS-SIDECAR-V0-2026-06-20.json (mumbai)</t>
        </is>
      </c>
      <c r="AZ84" s="46" t="inlineStr">
        <is>
          <t>handoff/INDIA-ECONOMICS-SIDECAR-V0-2026-06-20.json (mumbai)</t>
        </is>
      </c>
      <c r="BA84" s="34" t="inlineStr">
        <is>
          <t>ics-4a68ca04da</t>
        </is>
      </c>
    </row>
    <row r="85">
      <c r="A85" s="31" t="inlineStr">
        <is>
          <t>Rapido Mumbai</t>
        </is>
      </c>
      <c r="B85" s="31" t="inlineStr">
        <is>
          <t>India</t>
        </is>
      </c>
      <c r="C85" s="32" t="inlineStr">
        <is>
          <t>Versova Ferry Wharf → Gateway of India</t>
        </is>
      </c>
      <c r="D85" s="33" t="n">
        <v>12.43</v>
      </c>
      <c r="E85" s="27" t="n"/>
      <c r="F85" s="34" t="inlineStr">
        <is>
          <t>T3</t>
        </is>
      </c>
      <c r="G85" s="34" t="inlineStr">
        <is>
          <t>med-low</t>
        </is>
      </c>
      <c r="H85" s="20" t="n">
        <v>1</v>
      </c>
      <c r="I85" s="35">
        <f>60*D85/cruise_kt</f>
        <v/>
      </c>
      <c r="J85" s="35">
        <f>IF(B85="South Korea",D85/korea_charge_range_nm*korea_full_range_charge_min,0)</f>
        <v/>
      </c>
      <c r="K85" s="35">
        <f>IF(B85="South Korea",I85+korea_turn_min+korea_dwell_min+J85,I85+turn_min+dwell_min)</f>
        <v/>
      </c>
      <c r="L85" s="36">
        <f>IF(B85="South Korea",FLOOR(60*korea_service_hr/K85,1),MIN(15,FLOOR(60*service_hr/K85,1)))</f>
        <v/>
      </c>
      <c r="M85" s="36">
        <f>IF(ABS(MOD(ABS((365*mech_uptime*H85)),1)-0.5)&lt;1E-9,2*ROUND((365*mech_uptime*H85)/2,0),ROUND((365*mech_uptime*H85),0))</f>
        <v/>
      </c>
      <c r="N85" s="37">
        <f>mech_uptime</f>
        <v/>
      </c>
      <c r="O85" s="37">
        <f>IF(AND(B85="South Korea",scenario="MID"),korea_mid_revleg,revleg_sel)</f>
        <v/>
      </c>
      <c r="P85" s="36">
        <f>IF(ABS(MOD(ABS((L85*M85*O85)),1)-0.5)&lt;1E-9,2*ROUND((L85*M85*O85)/2,0),ROUND((L85*M85*O85),0))</f>
        <v/>
      </c>
      <c r="Q85" s="37">
        <f>IF(AND(B85="South Korea",scenario="MID"),korea_mid_load,load_sel)</f>
        <v/>
      </c>
      <c r="R85" s="38">
        <f>pax_cap*Q85</f>
        <v/>
      </c>
      <c r="S85" s="36">
        <f>R85*P85</f>
        <v/>
      </c>
      <c r="T85" s="39">
        <f>E85*discount</f>
        <v/>
      </c>
      <c r="U85" s="40">
        <f>T85*S85</f>
        <v/>
      </c>
      <c r="V85" s="40">
        <f>(battery/range_nm)*D85*P85*VLOOKUP(B85,country_opex,3,FALSE)</f>
        <v/>
      </c>
      <c r="W85" s="40">
        <f>VLOOKUP(B85,country_opex,2,FALSE)*crew_factor</f>
        <v/>
      </c>
      <c r="X85" s="40">
        <f>VLOOKUP(B85,country_opex,5,FALSE)</f>
        <v/>
      </c>
      <c r="Y85" s="40">
        <f>maint</f>
        <v/>
      </c>
      <c r="Z85" s="40">
        <f>VLOOKUP(B85,country_opex,7,FALSE)*ins_pct</f>
        <v/>
      </c>
      <c r="AA85" s="40">
        <f>charge_berth</f>
        <v/>
      </c>
      <c r="AB85" s="40">
        <f>V85+W85+X85+Y85+Z85+AA85</f>
        <v/>
      </c>
      <c r="AC85" s="40">
        <f>VLOOKUP(B85,country_opex,7,FALSE)/dep_years</f>
        <v/>
      </c>
      <c r="AD85" s="40">
        <f>U85-AB85</f>
        <v/>
      </c>
      <c r="AE85" s="37">
        <f>IF(U85=0,"",AD85/U85)</f>
        <v/>
      </c>
      <c r="AF85" s="38">
        <f>IF(AD85&lt;=0,"",VLOOKUP(B85,country_opex,7,FALSE)/AD85)</f>
        <v/>
      </c>
      <c r="AG85" s="35">
        <f>((D85*P85/diesel_nmpg)*diesel_co2pg-(battery/range_nm)*D85*P85*VLOOKUP(B85,country_opex,4,FALSE))/1000</f>
        <v/>
      </c>
      <c r="AH85" s="33" t="n">
        <v>9230</v>
      </c>
      <c r="AI85" s="34" t="inlineStr">
        <is>
          <t>T3</t>
        </is>
      </c>
      <c r="AJ85" s="34" t="inlineStr">
        <is>
          <t>med-low</t>
        </is>
      </c>
      <c r="AK85" s="41" t="n">
        <v>0.1</v>
      </c>
      <c r="AL85" s="36">
        <f>IF(AH85="","",AH85*AK85)</f>
        <v/>
      </c>
      <c r="AM85" s="36">
        <f>IF(OR(AH85="",S85=0),"",MIN(IF(AU85="",9.9E+99,AU85),FLOOR(AL85/S85,1)))</f>
        <v/>
      </c>
      <c r="AN85" s="40">
        <f>IF(AM85="","",AM85*IF(ABS(MOD(ABS((U85)),1)-0.5)&lt;1E-9,2*ROUND((U85)/2,0),ROUND((U85),0)))</f>
        <v/>
      </c>
      <c r="AO85" s="38">
        <f>IF(OR(AH85="",S85=0),"",MIN(IF(AU85="",9.9E+99,AU85),AL85/S85))</f>
        <v/>
      </c>
      <c r="AP85" s="40">
        <f>IF(AO85="","",AO85*IF(B85="South Korea",IF(ABS(MOD(ABS((U85)),1)-0.5)&lt;1E-9,2*ROUND((U85)/2,0),ROUND((U85),0)),U85))</f>
        <v/>
      </c>
      <c r="AQ85" s="42" t="n"/>
      <c r="AR85" s="34" t="inlineStr">
        <is>
          <t>Upside tier</t>
        </is>
      </c>
      <c r="AS85" s="43" t="n"/>
      <c r="AT85" s="43" t="inlineStr">
        <is>
          <t>experience_upside</t>
        </is>
      </c>
      <c r="AU85" s="44" t="n"/>
      <c r="AV85" s="45">
        <f>IF(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&lt;=0,"",VLOOKUP(B85,country_opex,7,FALSE)/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)</f>
        <v/>
      </c>
      <c r="AW85" s="45">
        <f>IF(((T85*pax_cap*IF(B85="South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Korea",korea_mid_revleg,revleg_mid)),0))*VLOOKUP(B85,country_opex,3,FALSE))+W85+X85+Y85+Z85+AA85))&lt;=0,"",VLOOKUP(B85,country_opex,7,FALSE)/((T85*pax_cap*IF(B85="South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Korea",korea_mid_revleg,revleg_mid)),0))*VLOOKUP(B85,country_opex,3,FALSE))+W85+X85+Y85+Z85+AA85)))</f>
        <v/>
      </c>
      <c r="AX85" s="45">
        <f>IF(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&lt;=0,"",VLOOKUP(B85,country_opex,7,FALSE)/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)</f>
        <v/>
      </c>
      <c r="AY85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85" s="46" t="inlineStr">
        <is>
          <t>PR #58 Mumbai spine route-count split (13 sealed rows × anchor 120,000 pax/yr)</t>
        </is>
      </c>
      <c r="BA85" s="34" t="inlineStr">
        <is>
          <t>ics-mum-versova-gateway</t>
        </is>
      </c>
    </row>
    <row r="86">
      <c r="A86" s="31" t="inlineStr">
        <is>
          <t>India Mumbai Rapido</t>
        </is>
      </c>
      <c r="B86" s="31" t="inlineStr">
        <is>
          <t>India</t>
        </is>
      </c>
      <c r="C86" s="32" t="inlineStr">
        <is>
          <t>Gorai / Marve Jetty → Nariman Point Water-Taxi Jetty</t>
        </is>
      </c>
      <c r="D86" s="33" t="n">
        <v>13.45</v>
      </c>
      <c r="E86" s="27" t="n">
        <v>18</v>
      </c>
      <c r="F86" s="34" t="inlineStr">
        <is>
          <t>T3</t>
        </is>
      </c>
      <c r="G86" s="34" t="inlineStr">
        <is>
          <t>med-low</t>
        </is>
      </c>
      <c r="H86" s="20" t="n">
        <v>1</v>
      </c>
      <c r="I86" s="35">
        <f>60*D86/cruise_kt</f>
        <v/>
      </c>
      <c r="J86" s="35">
        <f>IF(B86="South Korea",D86/korea_charge_range_nm*korea_full_range_charge_min,0)</f>
        <v/>
      </c>
      <c r="K86" s="35">
        <f>IF(B86="South Korea",I86+korea_turn_min+korea_dwell_min+J86,I86+turn_min+dwell_min)</f>
        <v/>
      </c>
      <c r="L86" s="36">
        <f>IF(B86="South Korea",FLOOR(60*korea_service_hr/K86,1),MIN(15,FLOOR(60*service_hr/K86,1)))</f>
        <v/>
      </c>
      <c r="M86" s="36">
        <f>IF(ABS(MOD(ABS((365*mech_uptime*H86)),1)-0.5)&lt;1E-9,2*ROUND((365*mech_uptime*H86)/2,0),ROUND((365*mech_uptime*H86),0))</f>
        <v/>
      </c>
      <c r="N86" s="37">
        <f>mech_uptime</f>
        <v/>
      </c>
      <c r="O86" s="37">
        <f>IF(AND(B86="South Korea",scenario="MID"),korea_mid_revleg,revleg_sel)</f>
        <v/>
      </c>
      <c r="P86" s="36">
        <f>IF(ABS(MOD(ABS((L86*M86*O86)),1)-0.5)&lt;1E-9,2*ROUND((L86*M86*O86)/2,0),ROUND((L86*M86*O86),0))</f>
        <v/>
      </c>
      <c r="Q86" s="37">
        <f>IF(AND(B86="South Korea",scenario="MID"),korea_mid_load,load_sel)</f>
        <v/>
      </c>
      <c r="R86" s="38">
        <f>pax_cap*Q86</f>
        <v/>
      </c>
      <c r="S86" s="36">
        <f>R86*P86</f>
        <v/>
      </c>
      <c r="T86" s="39">
        <f>E86*discount</f>
        <v/>
      </c>
      <c r="U86" s="40">
        <f>T86*S86</f>
        <v/>
      </c>
      <c r="V86" s="40">
        <f>(battery/range_nm)*D86*P86*VLOOKUP(B86,country_opex,3,FALSE)</f>
        <v/>
      </c>
      <c r="W86" s="40">
        <f>VLOOKUP(B86,country_opex,2,FALSE)*crew_factor</f>
        <v/>
      </c>
      <c r="X86" s="40">
        <f>VLOOKUP(B86,country_opex,5,FALSE)</f>
        <v/>
      </c>
      <c r="Y86" s="40">
        <f>maint</f>
        <v/>
      </c>
      <c r="Z86" s="40">
        <f>VLOOKUP(B86,country_opex,7,FALSE)*ins_pct</f>
        <v/>
      </c>
      <c r="AA86" s="40">
        <f>charge_berth</f>
        <v/>
      </c>
      <c r="AB86" s="40">
        <f>V86+W86+X86+Y86+Z86+AA86</f>
        <v/>
      </c>
      <c r="AC86" s="40">
        <f>VLOOKUP(B86,country_opex,7,FALSE)/dep_years</f>
        <v/>
      </c>
      <c r="AD86" s="40">
        <f>U86-AB86</f>
        <v/>
      </c>
      <c r="AE86" s="37">
        <f>IF(U86=0,"",AD86/U86)</f>
        <v/>
      </c>
      <c r="AF86" s="38">
        <f>IF(AD86&lt;=0,"",VLOOKUP(B86,country_opex,7,FALSE)/AD86)</f>
        <v/>
      </c>
      <c r="AG86" s="35">
        <f>((D86*P86/diesel_nmpg)*diesel_co2pg-(battery/range_nm)*D86*P86*VLOOKUP(B86,country_opex,4,FALSE))/1000</f>
        <v/>
      </c>
      <c r="AH86" s="33" t="n">
        <v>5000</v>
      </c>
      <c r="AI86" s="34" t="inlineStr">
        <is>
          <t>T3</t>
        </is>
      </c>
      <c r="AJ86" s="34" t="inlineStr">
        <is>
          <t>med-low</t>
        </is>
      </c>
      <c r="AK86" s="41" t="n">
        <v>0.1</v>
      </c>
      <c r="AL86" s="36">
        <f>IF(AH86="","",AH86*AK86)</f>
        <v/>
      </c>
      <c r="AM86" s="36">
        <f>IF(OR(AH86="",S86=0),"",MIN(IF(AU86="",9.9E+99,AU86),FLOOR(AL86/S86,1)))</f>
        <v/>
      </c>
      <c r="AN86" s="40">
        <f>IF(AM86="","",AM86*IF(ABS(MOD(ABS((U86)),1)-0.5)&lt;1E-9,2*ROUND((U86)/2,0),ROUND((U86),0)))</f>
        <v/>
      </c>
      <c r="AO86" s="38">
        <f>IF(OR(AH86="",S86=0),"",MIN(IF(AU86="",9.9E+99,AU86),AL86/S86))</f>
        <v/>
      </c>
      <c r="AP86" s="40">
        <f>IF(AO86="","",AO86*IF(B86="South Korea",IF(ABS(MOD(ABS((U86)),1)-0.5)&lt;1E-9,2*ROUND((U86)/2,0),ROUND((U86),0)),U86))</f>
        <v/>
      </c>
      <c r="AQ86" s="42" t="n"/>
      <c r="AR86" s="34" t="inlineStr">
        <is>
          <t>Grounded</t>
        </is>
      </c>
      <c r="AS86" s="43" t="n"/>
      <c r="AT86" s="43" t="n"/>
      <c r="AU86" s="44" t="n"/>
      <c r="AV86" s="45">
        <f>IF(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&lt;=0,"",VLOOKUP(B86,country_opex,7,FALSE)/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)</f>
        <v/>
      </c>
      <c r="AW86" s="45">
        <f>IF(((T86*pax_cap*IF(B86="South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Korea",korea_mid_revleg,revleg_mid)),0))*VLOOKUP(B86,country_opex,3,FALSE))+W86+X86+Y86+Z86+AA86))&lt;=0,"",VLOOKUP(B86,country_opex,7,FALSE)/((T86*pax_cap*IF(B86="South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Korea",korea_mid_revleg,revleg_mid)),0))*VLOOKUP(B86,country_opex,3,FALSE))+W86+X86+Y86+Z86+AA86)))</f>
        <v/>
      </c>
      <c r="AX86" s="45">
        <f>IF(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&lt;=0,"",VLOOKUP(B86,country_opex,7,FALSE)/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)</f>
        <v/>
      </c>
      <c r="AY86" s="46" t="inlineStr">
        <is>
          <t>[LB-255 PREMIUM RE-FARE: subsidized comparable $5.5 lifted to premium on-demand floor $18.0] handoff/INDIA-ECONOMICS-SIDECAR-V0-2026-06-20.json (mumbai)</t>
        </is>
      </c>
      <c r="AZ86" s="46" t="inlineStr">
        <is>
          <t>handoff/INDIA-ECONOMICS-SIDECAR-V0-2026-06-20.json (mumbai)</t>
        </is>
      </c>
      <c r="BA86" s="34" t="inlineStr">
        <is>
          <t>ics-mum-gorai-nariman</t>
        </is>
      </c>
    </row>
    <row r="87">
      <c r="A87" s="31" t="inlineStr">
        <is>
          <t>India Andaman Rapido</t>
        </is>
      </c>
      <c r="B87" s="31" t="inlineStr">
        <is>
          <t>India</t>
        </is>
      </c>
      <c r="C87" s="32" t="inlineStr">
        <is>
          <t>APARUPA SANDS MARINA → Shaheed Dweep Jetty</t>
        </is>
      </c>
      <c r="D87" s="33" t="n">
        <v>13.9</v>
      </c>
      <c r="E87" s="27" t="n">
        <v>22</v>
      </c>
      <c r="F87" s="34" t="inlineStr">
        <is>
          <t>T3</t>
        </is>
      </c>
      <c r="G87" s="34" t="inlineStr">
        <is>
          <t>med-low</t>
        </is>
      </c>
      <c r="H87" s="20" t="n">
        <v>1</v>
      </c>
      <c r="I87" s="35">
        <f>60*D87/cruise_kt</f>
        <v/>
      </c>
      <c r="J87" s="35">
        <f>IF(B87="South Korea",D87/korea_charge_range_nm*korea_full_range_charge_min,0)</f>
        <v/>
      </c>
      <c r="K87" s="35">
        <f>IF(B87="South Korea",I87+korea_turn_min+korea_dwell_min+J87,I87+turn_min+dwell_min)</f>
        <v/>
      </c>
      <c r="L87" s="36">
        <f>IF(B87="South Korea",FLOOR(60*korea_service_hr/K87,1),MIN(15,FLOOR(60*service_hr/K87,1)))</f>
        <v/>
      </c>
      <c r="M87" s="36">
        <f>IF(ABS(MOD(ABS((365*mech_uptime*H87)),1)-0.5)&lt;1E-9,2*ROUND((365*mech_uptime*H87)/2,0),ROUND((365*mech_uptime*H87),0))</f>
        <v/>
      </c>
      <c r="N87" s="37">
        <f>mech_uptime</f>
        <v/>
      </c>
      <c r="O87" s="37">
        <f>IF(AND(B87="South Korea",scenario="MID"),korea_mid_revleg,revleg_sel)</f>
        <v/>
      </c>
      <c r="P87" s="36">
        <f>IF(ABS(MOD(ABS((L87*M87*O87)),1)-0.5)&lt;1E-9,2*ROUND((L87*M87*O87)/2,0),ROUND((L87*M87*O87),0))</f>
        <v/>
      </c>
      <c r="Q87" s="37">
        <f>IF(AND(B87="South Korea",scenario="MID"),korea_mid_load,load_sel)</f>
        <v/>
      </c>
      <c r="R87" s="38">
        <f>pax_cap*Q87</f>
        <v/>
      </c>
      <c r="S87" s="36">
        <f>R87*P87</f>
        <v/>
      </c>
      <c r="T87" s="39">
        <f>E87*discount</f>
        <v/>
      </c>
      <c r="U87" s="40">
        <f>T87*S87</f>
        <v/>
      </c>
      <c r="V87" s="40">
        <f>(battery/range_nm)*D87*P87*VLOOKUP(B87,country_opex,3,FALSE)</f>
        <v/>
      </c>
      <c r="W87" s="40">
        <f>VLOOKUP(B87,country_opex,2,FALSE)*crew_factor</f>
        <v/>
      </c>
      <c r="X87" s="40">
        <f>VLOOKUP(B87,country_opex,5,FALSE)</f>
        <v/>
      </c>
      <c r="Y87" s="40">
        <f>maint</f>
        <v/>
      </c>
      <c r="Z87" s="40">
        <f>VLOOKUP(B87,country_opex,7,FALSE)*ins_pct</f>
        <v/>
      </c>
      <c r="AA87" s="40">
        <f>charge_berth</f>
        <v/>
      </c>
      <c r="AB87" s="40">
        <f>V87+W87+X87+Y87+Z87+AA87</f>
        <v/>
      </c>
      <c r="AC87" s="40">
        <f>VLOOKUP(B87,country_opex,7,FALSE)/dep_years</f>
        <v/>
      </c>
      <c r="AD87" s="40">
        <f>U87-AB87</f>
        <v/>
      </c>
      <c r="AE87" s="37">
        <f>IF(U87=0,"",AD87/U87)</f>
        <v/>
      </c>
      <c r="AF87" s="38">
        <f>IF(AD87&lt;=0,"",VLOOKUP(B87,country_opex,7,FALSE)/AD87)</f>
        <v/>
      </c>
      <c r="AG87" s="35">
        <f>((D87*P87/diesel_nmpg)*diesel_co2pg-(battery/range_nm)*D87*P87*VLOOKUP(B87,country_opex,4,FALSE))/1000</f>
        <v/>
      </c>
      <c r="AH87" s="33" t="n">
        <v>5000</v>
      </c>
      <c r="AI87" s="34" t="inlineStr">
        <is>
          <t>T3</t>
        </is>
      </c>
      <c r="AJ87" s="34" t="inlineStr">
        <is>
          <t>med-low</t>
        </is>
      </c>
      <c r="AK87" s="41" t="n">
        <v>0.1</v>
      </c>
      <c r="AL87" s="36">
        <f>IF(AH87="","",AH87*AK87)</f>
        <v/>
      </c>
      <c r="AM87" s="36">
        <f>IF(OR(AH87="",S87=0),"",MIN(IF(AU87="",9.9E+99,AU87),FLOOR(AL87/S87,1)))</f>
        <v/>
      </c>
      <c r="AN87" s="40">
        <f>IF(AM87="","",AM87*IF(ABS(MOD(ABS((U87)),1)-0.5)&lt;1E-9,2*ROUND((U87)/2,0),ROUND((U87),0)))</f>
        <v/>
      </c>
      <c r="AO87" s="38">
        <f>IF(OR(AH87="",S87=0),"",MIN(IF(AU87="",9.9E+99,AU87),AL87/S87))</f>
        <v/>
      </c>
      <c r="AP87" s="40">
        <f>IF(AO87="","",AO87*IF(B87="South Korea",IF(ABS(MOD(ABS((U87)),1)-0.5)&lt;1E-9,2*ROUND((U87)/2,0),ROUND((U87),0)),U87))</f>
        <v/>
      </c>
      <c r="AQ87" s="42" t="n"/>
      <c r="AR87" s="34" t="inlineStr">
        <is>
          <t>Grounded</t>
        </is>
      </c>
      <c r="AS87" s="43" t="n"/>
      <c r="AT87" s="43" t="n"/>
      <c r="AU87" s="44" t="n"/>
      <c r="AV87" s="45">
        <f>IF(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&lt;=0,"",VLOOKUP(B87,country_opex,7,FALSE)/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)</f>
        <v/>
      </c>
      <c r="AW87" s="45">
        <f>IF(((T87*pax_cap*IF(B87="South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Korea",korea_mid_revleg,revleg_mid)),0))*VLOOKUP(B87,country_opex,3,FALSE))+W87+X87+Y87+Z87+AA87))&lt;=0,"",VLOOKUP(B87,country_opex,7,FALSE)/((T87*pax_cap*IF(B87="South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Korea",korea_mid_revleg,revleg_mid)),0))*VLOOKUP(B87,country_opex,3,FALSE))+W87+X87+Y87+Z87+AA87)))</f>
        <v/>
      </c>
      <c r="AX87" s="45">
        <f>IF(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&lt;=0,"",VLOOKUP(B87,country_opex,7,FALSE)/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)</f>
        <v/>
      </c>
      <c r="AY87" s="46" t="inlineStr">
        <is>
          <t>handoff/INDIA-ECONOMICS-SIDECAR-V0-2026-06-20.json (andaman)</t>
        </is>
      </c>
      <c r="AZ87" s="46" t="inlineStr">
        <is>
          <t>handoff/INDIA-ECONOMICS-SIDECAR-V0-2026-06-20.json (andaman)</t>
        </is>
      </c>
      <c r="BA87" s="34" t="inlineStr">
        <is>
          <t>rn-dd9246c547b7</t>
        </is>
      </c>
    </row>
    <row r="88">
      <c r="A88" s="31" t="inlineStr">
        <is>
          <t>India Andaman Rapido</t>
        </is>
      </c>
      <c r="B88" s="31" t="inlineStr">
        <is>
          <t>India</t>
        </is>
      </c>
      <c r="C88" s="32" t="inlineStr">
        <is>
          <t>Office Of Assistant Engineer Civil, Andaman Lakshdweep Harbour Work Havelock → Shaheed Dweep Jetty</t>
        </is>
      </c>
      <c r="D88" s="33" t="n">
        <v>15.2</v>
      </c>
      <c r="E88" s="27" t="n">
        <v>22</v>
      </c>
      <c r="F88" s="34" t="inlineStr">
        <is>
          <t>T3</t>
        </is>
      </c>
      <c r="G88" s="34" t="inlineStr">
        <is>
          <t>med-low</t>
        </is>
      </c>
      <c r="H88" s="20" t="n">
        <v>1</v>
      </c>
      <c r="I88" s="35">
        <f>60*D88/cruise_kt</f>
        <v/>
      </c>
      <c r="J88" s="35">
        <f>IF(B88="South Korea",D88/korea_charge_range_nm*korea_full_range_charge_min,0)</f>
        <v/>
      </c>
      <c r="K88" s="35">
        <f>IF(B88="South Korea",I88+korea_turn_min+korea_dwell_min+J88,I88+turn_min+dwell_min)</f>
        <v/>
      </c>
      <c r="L88" s="36">
        <f>IF(B88="South Korea",FLOOR(60*korea_service_hr/K88,1),MIN(15,FLOOR(60*service_hr/K88,1)))</f>
        <v/>
      </c>
      <c r="M88" s="36">
        <f>IF(ABS(MOD(ABS((365*mech_uptime*H88)),1)-0.5)&lt;1E-9,2*ROUND((365*mech_uptime*H88)/2,0),ROUND((365*mech_uptime*H88),0))</f>
        <v/>
      </c>
      <c r="N88" s="37">
        <f>mech_uptime</f>
        <v/>
      </c>
      <c r="O88" s="37">
        <f>IF(AND(B88="South Korea",scenario="MID"),korea_mid_revleg,revleg_sel)</f>
        <v/>
      </c>
      <c r="P88" s="36">
        <f>IF(ABS(MOD(ABS((L88*M88*O88)),1)-0.5)&lt;1E-9,2*ROUND((L88*M88*O88)/2,0),ROUND((L88*M88*O88),0))</f>
        <v/>
      </c>
      <c r="Q88" s="37">
        <f>IF(AND(B88="South Korea",scenario="MID"),korea_mid_load,load_sel)</f>
        <v/>
      </c>
      <c r="R88" s="38">
        <f>pax_cap*Q88</f>
        <v/>
      </c>
      <c r="S88" s="36">
        <f>R88*P88</f>
        <v/>
      </c>
      <c r="T88" s="39">
        <f>E88*discount</f>
        <v/>
      </c>
      <c r="U88" s="40">
        <f>T88*S88</f>
        <v/>
      </c>
      <c r="V88" s="40">
        <f>(battery/range_nm)*D88*P88*VLOOKUP(B88,country_opex,3,FALSE)</f>
        <v/>
      </c>
      <c r="W88" s="40">
        <f>VLOOKUP(B88,country_opex,2,FALSE)*crew_factor</f>
        <v/>
      </c>
      <c r="X88" s="40">
        <f>VLOOKUP(B88,country_opex,5,FALSE)</f>
        <v/>
      </c>
      <c r="Y88" s="40">
        <f>maint</f>
        <v/>
      </c>
      <c r="Z88" s="40">
        <f>VLOOKUP(B88,country_opex,7,FALSE)*ins_pct</f>
        <v/>
      </c>
      <c r="AA88" s="40">
        <f>charge_berth</f>
        <v/>
      </c>
      <c r="AB88" s="40">
        <f>V88+W88+X88+Y88+Z88+AA88</f>
        <v/>
      </c>
      <c r="AC88" s="40">
        <f>VLOOKUP(B88,country_opex,7,FALSE)/dep_years</f>
        <v/>
      </c>
      <c r="AD88" s="40">
        <f>U88-AB88</f>
        <v/>
      </c>
      <c r="AE88" s="37">
        <f>IF(U88=0,"",AD88/U88)</f>
        <v/>
      </c>
      <c r="AF88" s="38">
        <f>IF(AD88&lt;=0,"",VLOOKUP(B88,country_opex,7,FALSE)/AD88)</f>
        <v/>
      </c>
      <c r="AG88" s="35">
        <f>((D88*P88/diesel_nmpg)*diesel_co2pg-(battery/range_nm)*D88*P88*VLOOKUP(B88,country_opex,4,FALSE))/1000</f>
        <v/>
      </c>
      <c r="AH88" s="33" t="n">
        <v>5000</v>
      </c>
      <c r="AI88" s="34" t="inlineStr">
        <is>
          <t>T3</t>
        </is>
      </c>
      <c r="AJ88" s="34" t="inlineStr">
        <is>
          <t>med-low</t>
        </is>
      </c>
      <c r="AK88" s="41" t="n">
        <v>0.1</v>
      </c>
      <c r="AL88" s="36">
        <f>IF(AH88="","",AH88*AK88)</f>
        <v/>
      </c>
      <c r="AM88" s="36">
        <f>IF(OR(AH88="",S88=0),"",MIN(IF(AU88="",9.9E+99,AU88),FLOOR(AL88/S88,1)))</f>
        <v/>
      </c>
      <c r="AN88" s="40">
        <f>IF(AM88="","",AM88*IF(ABS(MOD(ABS((U88)),1)-0.5)&lt;1E-9,2*ROUND((U88)/2,0),ROUND((U88),0)))</f>
        <v/>
      </c>
      <c r="AO88" s="38">
        <f>IF(OR(AH88="",S88=0),"",MIN(IF(AU88="",9.9E+99,AU88),AL88/S88))</f>
        <v/>
      </c>
      <c r="AP88" s="40">
        <f>IF(AO88="","",AO88*IF(B88="South Korea",IF(ABS(MOD(ABS((U88)),1)-0.5)&lt;1E-9,2*ROUND((U88)/2,0),ROUND((U88),0)),U88))</f>
        <v/>
      </c>
      <c r="AQ88" s="42" t="n"/>
      <c r="AR88" s="34" t="inlineStr">
        <is>
          <t>Grounded</t>
        </is>
      </c>
      <c r="AS88" s="43" t="n"/>
      <c r="AT88" s="43" t="n"/>
      <c r="AU88" s="44" t="n"/>
      <c r="AV88" s="45">
        <f>IF(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&lt;=0,"",VLOOKUP(B88,country_opex,7,FALSE)/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)</f>
        <v/>
      </c>
      <c r="AW88" s="45">
        <f>IF(((T88*pax_cap*IF(B88="South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Korea",korea_mid_revleg,revleg_mid)),0))*VLOOKUP(B88,country_opex,3,FALSE))+W88+X88+Y88+Z88+AA88))&lt;=0,"",VLOOKUP(B88,country_opex,7,FALSE)/((T88*pax_cap*IF(B88="South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Korea",korea_mid_revleg,revleg_mid)),0))*VLOOKUP(B88,country_opex,3,FALSE))+W88+X88+Y88+Z88+AA88)))</f>
        <v/>
      </c>
      <c r="AX88" s="45">
        <f>IF(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&lt;=0,"",VLOOKUP(B88,country_opex,7,FALSE)/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)</f>
        <v/>
      </c>
      <c r="AY88" s="46" t="inlineStr">
        <is>
          <t>handoff/INDIA-ECONOMICS-SIDECAR-V0-2026-06-20.json (andaman)</t>
        </is>
      </c>
      <c r="AZ88" s="46" t="inlineStr">
        <is>
          <t>handoff/INDIA-ECONOMICS-SIDECAR-V0-2026-06-20.json (andaman)</t>
        </is>
      </c>
      <c r="BA88" s="34" t="inlineStr">
        <is>
          <t>rn-fb4a3f74ce06</t>
        </is>
      </c>
    </row>
    <row r="89">
      <c r="A89" s="31" t="inlineStr">
        <is>
          <t>India Kolkata Rapido</t>
        </is>
      </c>
      <c r="B89" s="31" t="inlineStr">
        <is>
          <t>India</t>
        </is>
      </c>
      <c r="C89" s="32" t="inlineStr">
        <is>
          <t>Millennium Park Jetty → Chandannagar Riverfront</t>
        </is>
      </c>
      <c r="D89" s="33" t="n">
        <v>17.9</v>
      </c>
      <c r="E89" s="27" t="n">
        <v>18</v>
      </c>
      <c r="F89" s="34" t="n"/>
      <c r="G89" s="34" t="n"/>
      <c r="H89" s="20" t="n">
        <v>1</v>
      </c>
      <c r="I89" s="35">
        <f>60*D89/cruise_kt</f>
        <v/>
      </c>
      <c r="J89" s="35">
        <f>IF(B89="South Korea",D89/korea_charge_range_nm*korea_full_range_charge_min,0)</f>
        <v/>
      </c>
      <c r="K89" s="35">
        <f>IF(B89="South Korea",I89+korea_turn_min+korea_dwell_min+J89,I89+turn_min+dwell_min)</f>
        <v/>
      </c>
      <c r="L89" s="36">
        <f>IF(B89="South Korea",FLOOR(60*korea_service_hr/K89,1),MIN(15,FLOOR(60*service_hr/K89,1)))</f>
        <v/>
      </c>
      <c r="M89" s="36">
        <f>IF(ABS(MOD(ABS((365*mech_uptime*H89)),1)-0.5)&lt;1E-9,2*ROUND((365*mech_uptime*H89)/2,0),ROUND((365*mech_uptime*H89),0))</f>
        <v/>
      </c>
      <c r="N89" s="37">
        <f>mech_uptime</f>
        <v/>
      </c>
      <c r="O89" s="37">
        <f>IF(AND(B89="South Korea",scenario="MID"),korea_mid_revleg,revleg_sel)</f>
        <v/>
      </c>
      <c r="P89" s="36">
        <f>IF(ABS(MOD(ABS((L89*M89*O89)),1)-0.5)&lt;1E-9,2*ROUND((L89*M89*O89)/2,0),ROUND((L89*M89*O89),0))</f>
        <v/>
      </c>
      <c r="Q89" s="37">
        <f>IF(AND(B89="South Korea",scenario="MID"),korea_mid_load,load_sel)</f>
        <v/>
      </c>
      <c r="R89" s="38">
        <f>pax_cap*Q89</f>
        <v/>
      </c>
      <c r="S89" s="36">
        <f>R89*P89</f>
        <v/>
      </c>
      <c r="T89" s="39">
        <f>E89*discount</f>
        <v/>
      </c>
      <c r="U89" s="40">
        <f>T89*S89</f>
        <v/>
      </c>
      <c r="V89" s="40">
        <f>(battery/range_nm)*D89*P89*VLOOKUP(B89,country_opex,3,FALSE)</f>
        <v/>
      </c>
      <c r="W89" s="40">
        <f>VLOOKUP(B89,country_opex,2,FALSE)*crew_factor</f>
        <v/>
      </c>
      <c r="X89" s="40">
        <f>VLOOKUP(B89,country_opex,5,FALSE)</f>
        <v/>
      </c>
      <c r="Y89" s="40">
        <f>maint</f>
        <v/>
      </c>
      <c r="Z89" s="40">
        <f>VLOOKUP(B89,country_opex,7,FALSE)*ins_pct</f>
        <v/>
      </c>
      <c r="AA89" s="40">
        <f>charge_berth</f>
        <v/>
      </c>
      <c r="AB89" s="40">
        <f>V89+W89+X89+Y89+Z89+AA89</f>
        <v/>
      </c>
      <c r="AC89" s="40">
        <f>VLOOKUP(B89,country_opex,7,FALSE)/dep_years</f>
        <v/>
      </c>
      <c r="AD89" s="40">
        <f>U89-AB89</f>
        <v/>
      </c>
      <c r="AE89" s="37">
        <f>IF(U89=0,"",AD89/U89)</f>
        <v/>
      </c>
      <c r="AF89" s="38">
        <f>IF(AD89&lt;=0,"",VLOOKUP(B89,country_opex,7,FALSE)/AD89)</f>
        <v/>
      </c>
      <c r="AG89" s="35">
        <f>((D89*P89/diesel_nmpg)*diesel_co2pg-(battery/range_nm)*D89*P89*VLOOKUP(B89,country_opex,4,FALSE))/1000</f>
        <v/>
      </c>
      <c r="AH89" s="33" t="n">
        <v>1600000</v>
      </c>
      <c r="AI89" s="34" t="n"/>
      <c r="AJ89" s="34" t="n"/>
      <c r="AK89" s="41" t="n">
        <v>0.1</v>
      </c>
      <c r="AL89" s="36">
        <f>IF(AH89="","",AH89*AK89)</f>
        <v/>
      </c>
      <c r="AM89" s="36">
        <f>IF(OR(AH89="",S89=0),"",MIN(IF(AU89="",9.9E+99,AU89),FLOOR(AL89/S89,1)))</f>
        <v/>
      </c>
      <c r="AN89" s="40">
        <f>IF(AM89="","",AM89*IF(ABS(MOD(ABS((U89)),1)-0.5)&lt;1E-9,2*ROUND((U89)/2,0),ROUND((U89),0)))</f>
        <v/>
      </c>
      <c r="AO89" s="38">
        <f>IF(OR(AH89="",S89=0),"",MIN(IF(AU89="",9.9E+99,AU89),AL89/S89))</f>
        <v/>
      </c>
      <c r="AP89" s="40">
        <f>IF(AO89="","",AO89*IF(B89="South Korea",IF(ABS(MOD(ABS((U89)),1)-0.5)&lt;1E-9,2*ROUND((U89)/2,0),ROUND((U89),0)),U89))</f>
        <v/>
      </c>
      <c r="AQ89" s="42" t="n"/>
      <c r="AR89" s="34" t="inlineStr">
        <is>
          <t>Grounded</t>
        </is>
      </c>
      <c r="AS89" s="43" t="n"/>
      <c r="AT89" s="43" t="n"/>
      <c r="AU89" s="44" t="n"/>
      <c r="AV89" s="45">
        <f>IF(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&lt;=0,"",VLOOKUP(B89,country_opex,7,FALSE)/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)</f>
        <v/>
      </c>
      <c r="AW89" s="45">
        <f>IF(((T89*pax_cap*IF(B89="South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Korea",korea_mid_revleg,revleg_mid)),0))*VLOOKUP(B89,country_opex,3,FALSE))+W89+X89+Y89+Z89+AA89))&lt;=0,"",VLOOKUP(B89,country_opex,7,FALSE)/((T89*pax_cap*IF(B89="South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Korea",korea_mid_revleg,revleg_mid)),0))*VLOOKUP(B89,country_opex,3,FALSE))+W89+X89+Y89+Z89+AA89)))</f>
        <v/>
      </c>
      <c r="AX89" s="45">
        <f>IF(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&lt;=0,"",VLOOKUP(B89,country_opex,7,FALSE)/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)</f>
        <v/>
      </c>
      <c r="AY89" s="46" t="inlineStr">
        <is>
          <t xml:space="preserve">[LB-255 PREMIUM RE-FARE: subsidized comparable $2.5 lifted to premium on-demand floor $18.0] </t>
        </is>
      </c>
      <c r="AZ89" s="46" t="n"/>
      <c r="BA89" s="34" t="inlineStr">
        <is>
          <t>rn-174af2f4a97c</t>
        </is>
      </c>
    </row>
    <row r="90">
      <c r="A90" s="31" t="inlineStr">
        <is>
          <t>India Andaman Rapido</t>
        </is>
      </c>
      <c r="B90" s="31" t="inlineStr">
        <is>
          <t>India</t>
        </is>
      </c>
      <c r="C90" s="32" t="inlineStr">
        <is>
          <t>Bambooflat Jetty → Shaheed Dweep Jetty</t>
        </is>
      </c>
      <c r="D90" s="33" t="n">
        <v>21.1</v>
      </c>
      <c r="E90" s="27" t="n">
        <v>22</v>
      </c>
      <c r="F90" s="34" t="inlineStr">
        <is>
          <t>T3</t>
        </is>
      </c>
      <c r="G90" s="34" t="inlineStr">
        <is>
          <t>med-low</t>
        </is>
      </c>
      <c r="H90" s="20" t="n">
        <v>1</v>
      </c>
      <c r="I90" s="35">
        <f>60*D90/cruise_kt</f>
        <v/>
      </c>
      <c r="J90" s="35">
        <f>IF(B90="South Korea",D90/korea_charge_range_nm*korea_full_range_charge_min,0)</f>
        <v/>
      </c>
      <c r="K90" s="35">
        <f>IF(B90="South Korea",I90+korea_turn_min+korea_dwell_min+J90,I90+turn_min+dwell_min)</f>
        <v/>
      </c>
      <c r="L90" s="36">
        <f>IF(B90="South Korea",FLOOR(60*korea_service_hr/K90,1),MIN(15,FLOOR(60*service_hr/K90,1)))</f>
        <v/>
      </c>
      <c r="M90" s="36">
        <f>IF(ABS(MOD(ABS((365*mech_uptime*H90)),1)-0.5)&lt;1E-9,2*ROUND((365*mech_uptime*H90)/2,0),ROUND((365*mech_uptime*H90),0))</f>
        <v/>
      </c>
      <c r="N90" s="37">
        <f>mech_uptime</f>
        <v/>
      </c>
      <c r="O90" s="37">
        <f>IF(AND(B90="South Korea",scenario="MID"),korea_mid_revleg,revleg_sel)</f>
        <v/>
      </c>
      <c r="P90" s="36">
        <f>IF(ABS(MOD(ABS((L90*M90*O90)),1)-0.5)&lt;1E-9,2*ROUND((L90*M90*O90)/2,0),ROUND((L90*M90*O90),0))</f>
        <v/>
      </c>
      <c r="Q90" s="37">
        <f>IF(AND(B90="South Korea",scenario="MID"),korea_mid_load,load_sel)</f>
        <v/>
      </c>
      <c r="R90" s="38">
        <f>pax_cap*Q90</f>
        <v/>
      </c>
      <c r="S90" s="36">
        <f>R90*P90</f>
        <v/>
      </c>
      <c r="T90" s="39">
        <f>E90*discount</f>
        <v/>
      </c>
      <c r="U90" s="40">
        <f>T90*S90</f>
        <v/>
      </c>
      <c r="V90" s="40">
        <f>(battery/range_nm)*D90*P90*VLOOKUP(B90,country_opex,3,FALSE)</f>
        <v/>
      </c>
      <c r="W90" s="40">
        <f>VLOOKUP(B90,country_opex,2,FALSE)*crew_factor</f>
        <v/>
      </c>
      <c r="X90" s="40">
        <f>VLOOKUP(B90,country_opex,5,FALSE)</f>
        <v/>
      </c>
      <c r="Y90" s="40">
        <f>maint</f>
        <v/>
      </c>
      <c r="Z90" s="40">
        <f>VLOOKUP(B90,country_opex,7,FALSE)*ins_pct</f>
        <v/>
      </c>
      <c r="AA90" s="40">
        <f>charge_berth</f>
        <v/>
      </c>
      <c r="AB90" s="40">
        <f>V90+W90+X90+Y90+Z90+AA90</f>
        <v/>
      </c>
      <c r="AC90" s="40">
        <f>VLOOKUP(B90,country_opex,7,FALSE)/dep_years</f>
        <v/>
      </c>
      <c r="AD90" s="40">
        <f>U90-AB90</f>
        <v/>
      </c>
      <c r="AE90" s="37">
        <f>IF(U90=0,"",AD90/U90)</f>
        <v/>
      </c>
      <c r="AF90" s="38">
        <f>IF(AD90&lt;=0,"",VLOOKUP(B90,country_opex,7,FALSE)/AD90)</f>
        <v/>
      </c>
      <c r="AG90" s="35">
        <f>((D90*P90/diesel_nmpg)*diesel_co2pg-(battery/range_nm)*D90*P90*VLOOKUP(B90,country_opex,4,FALSE))/1000</f>
        <v/>
      </c>
      <c r="AH90" s="33" t="n">
        <v>5000</v>
      </c>
      <c r="AI90" s="34" t="inlineStr">
        <is>
          <t>T3</t>
        </is>
      </c>
      <c r="AJ90" s="34" t="inlineStr">
        <is>
          <t>med-low</t>
        </is>
      </c>
      <c r="AK90" s="41" t="n">
        <v>0.1</v>
      </c>
      <c r="AL90" s="36">
        <f>IF(AH90="","",AH90*AK90)</f>
        <v/>
      </c>
      <c r="AM90" s="36">
        <f>IF(OR(AH90="",S90=0),"",MIN(IF(AU90="",9.9E+99,AU90),FLOOR(AL90/S90,1)))</f>
        <v/>
      </c>
      <c r="AN90" s="40">
        <f>IF(AM90="","",AM90*IF(ABS(MOD(ABS((U90)),1)-0.5)&lt;1E-9,2*ROUND((U90)/2,0),ROUND((U90),0)))</f>
        <v/>
      </c>
      <c r="AO90" s="38">
        <f>IF(OR(AH90="",S90=0),"",MIN(IF(AU90="",9.9E+99,AU90),AL90/S90))</f>
        <v/>
      </c>
      <c r="AP90" s="40">
        <f>IF(AO90="","",AO90*IF(B90="South Korea",IF(ABS(MOD(ABS((U90)),1)-0.5)&lt;1E-9,2*ROUND((U90)/2,0),ROUND((U90),0)),U90))</f>
        <v/>
      </c>
      <c r="AQ90" s="42" t="n"/>
      <c r="AR90" s="34" t="inlineStr">
        <is>
          <t>Grounded</t>
        </is>
      </c>
      <c r="AS90" s="43" t="n"/>
      <c r="AT90" s="43" t="n"/>
      <c r="AU90" s="44" t="n"/>
      <c r="AV90" s="45">
        <f>IF(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&lt;=0,"",VLOOKUP(B90,country_opex,7,FALSE)/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)</f>
        <v/>
      </c>
      <c r="AW90" s="45">
        <f>IF(((T90*pax_cap*IF(B90="South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Korea",korea_mid_revleg,revleg_mid)),0))*VLOOKUP(B90,country_opex,3,FALSE))+W90+X90+Y90+Z90+AA90))&lt;=0,"",VLOOKUP(B90,country_opex,7,FALSE)/((T90*pax_cap*IF(B90="South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Korea",korea_mid_revleg,revleg_mid)),0))*VLOOKUP(B90,country_opex,3,FALSE))+W90+X90+Y90+Z90+AA90)))</f>
        <v/>
      </c>
      <c r="AX90" s="45">
        <f>IF(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&lt;=0,"",VLOOKUP(B90,country_opex,7,FALSE)/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)</f>
        <v/>
      </c>
      <c r="AY90" s="46" t="inlineStr">
        <is>
          <t>handoff/INDIA-ECONOMICS-SIDECAR-V0-2026-06-20.json (andaman)</t>
        </is>
      </c>
      <c r="AZ90" s="46" t="inlineStr">
        <is>
          <t>handoff/INDIA-ECONOMICS-SIDECAR-V0-2026-06-20.json (andaman)</t>
        </is>
      </c>
      <c r="BA90" s="34" t="inlineStr">
        <is>
          <t>ics-5b56f03a57</t>
        </is>
      </c>
    </row>
    <row r="91">
      <c r="A91" s="31" t="inlineStr">
        <is>
          <t>India Andaman Rapido</t>
        </is>
      </c>
      <c r="B91" s="31" t="inlineStr">
        <is>
          <t>India</t>
        </is>
      </c>
      <c r="C91" s="32" t="inlineStr">
        <is>
          <t>Andaman → Office Of Assistant Engineer Civil, Andaman Lakshdweep Harbour Work Havelock</t>
        </is>
      </c>
      <c r="D91" s="33" t="n">
        <v>28.2</v>
      </c>
      <c r="E91" s="27" t="n">
        <v>22</v>
      </c>
      <c r="F91" s="34" t="inlineStr">
        <is>
          <t>T3</t>
        </is>
      </c>
      <c r="G91" s="34" t="inlineStr">
        <is>
          <t>med-low</t>
        </is>
      </c>
      <c r="H91" s="20" t="n">
        <v>1</v>
      </c>
      <c r="I91" s="35">
        <f>60*D91/cruise_kt</f>
        <v/>
      </c>
      <c r="J91" s="35">
        <f>IF(B91="South Korea",D91/korea_charge_range_nm*korea_full_range_charge_min,0)</f>
        <v/>
      </c>
      <c r="K91" s="35">
        <f>IF(B91="South Korea",I91+korea_turn_min+korea_dwell_min+J91,I91+turn_min+dwell_min)</f>
        <v/>
      </c>
      <c r="L91" s="36">
        <f>IF(B91="South Korea",FLOOR(60*korea_service_hr/K91,1),MIN(15,FLOOR(60*service_hr/K91,1)))</f>
        <v/>
      </c>
      <c r="M91" s="36">
        <f>IF(ABS(MOD(ABS((365*mech_uptime*H91)),1)-0.5)&lt;1E-9,2*ROUND((365*mech_uptime*H91)/2,0),ROUND((365*mech_uptime*H91),0))</f>
        <v/>
      </c>
      <c r="N91" s="37">
        <f>mech_uptime</f>
        <v/>
      </c>
      <c r="O91" s="37">
        <f>IF(AND(B91="South Korea",scenario="MID"),korea_mid_revleg,revleg_sel)</f>
        <v/>
      </c>
      <c r="P91" s="36">
        <f>IF(ABS(MOD(ABS((L91*M91*O91)),1)-0.5)&lt;1E-9,2*ROUND((L91*M91*O91)/2,0),ROUND((L91*M91*O91),0))</f>
        <v/>
      </c>
      <c r="Q91" s="37">
        <f>IF(AND(B91="South Korea",scenario="MID"),korea_mid_load,load_sel)</f>
        <v/>
      </c>
      <c r="R91" s="38">
        <f>pax_cap*Q91</f>
        <v/>
      </c>
      <c r="S91" s="36">
        <f>R91*P91</f>
        <v/>
      </c>
      <c r="T91" s="39">
        <f>E91*discount</f>
        <v/>
      </c>
      <c r="U91" s="40">
        <f>T91*S91</f>
        <v/>
      </c>
      <c r="V91" s="40">
        <f>(battery/range_nm)*D91*P91*VLOOKUP(B91,country_opex,3,FALSE)</f>
        <v/>
      </c>
      <c r="W91" s="40">
        <f>VLOOKUP(B91,country_opex,2,FALSE)*crew_factor</f>
        <v/>
      </c>
      <c r="X91" s="40">
        <f>VLOOKUP(B91,country_opex,5,FALSE)</f>
        <v/>
      </c>
      <c r="Y91" s="40">
        <f>maint</f>
        <v/>
      </c>
      <c r="Z91" s="40">
        <f>VLOOKUP(B91,country_opex,7,FALSE)*ins_pct</f>
        <v/>
      </c>
      <c r="AA91" s="40">
        <f>charge_berth</f>
        <v/>
      </c>
      <c r="AB91" s="40">
        <f>V91+W91+X91+Y91+Z91+AA91</f>
        <v/>
      </c>
      <c r="AC91" s="40">
        <f>VLOOKUP(B91,country_opex,7,FALSE)/dep_years</f>
        <v/>
      </c>
      <c r="AD91" s="40">
        <f>U91-AB91</f>
        <v/>
      </c>
      <c r="AE91" s="37">
        <f>IF(U91=0,"",AD91/U91)</f>
        <v/>
      </c>
      <c r="AF91" s="38">
        <f>IF(AD91&lt;=0,"",VLOOKUP(B91,country_opex,7,FALSE)/AD91)</f>
        <v/>
      </c>
      <c r="AG91" s="35">
        <f>((D91*P91/diesel_nmpg)*diesel_co2pg-(battery/range_nm)*D91*P91*VLOOKUP(B91,country_opex,4,FALSE))/1000</f>
        <v/>
      </c>
      <c r="AH91" s="33" t="n">
        <v>5000</v>
      </c>
      <c r="AI91" s="34" t="inlineStr">
        <is>
          <t>T3</t>
        </is>
      </c>
      <c r="AJ91" s="34" t="inlineStr">
        <is>
          <t>med-low</t>
        </is>
      </c>
      <c r="AK91" s="41" t="n">
        <v>0.1</v>
      </c>
      <c r="AL91" s="36">
        <f>IF(AH91="","",AH91*AK91)</f>
        <v/>
      </c>
      <c r="AM91" s="36">
        <f>IF(OR(AH91="",S91=0),"",MIN(IF(AU91="",9.9E+99,AU91),FLOOR(AL91/S91,1)))</f>
        <v/>
      </c>
      <c r="AN91" s="40">
        <f>IF(AM91="","",AM91*IF(ABS(MOD(ABS((U91)),1)-0.5)&lt;1E-9,2*ROUND((U91)/2,0),ROUND((U91),0)))</f>
        <v/>
      </c>
      <c r="AO91" s="38">
        <f>IF(OR(AH91="",S91=0),"",MIN(IF(AU91="",9.9E+99,AU91),AL91/S91))</f>
        <v/>
      </c>
      <c r="AP91" s="40">
        <f>IF(AO91="","",AO91*IF(B91="South Korea",IF(ABS(MOD(ABS((U91)),1)-0.5)&lt;1E-9,2*ROUND((U91)/2,0),ROUND((U91),0)),U91))</f>
        <v/>
      </c>
      <c r="AQ91" s="42" t="n"/>
      <c r="AR91" s="34" t="inlineStr">
        <is>
          <t>Grounded</t>
        </is>
      </c>
      <c r="AS91" s="43" t="n"/>
      <c r="AT91" s="43" t="n"/>
      <c r="AU91" s="44" t="n"/>
      <c r="AV91" s="45">
        <f>IF(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&lt;=0,"",VLOOKUP(B91,country_opex,7,FALSE)/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)</f>
        <v/>
      </c>
      <c r="AW91" s="45">
        <f>IF(((T91*pax_cap*IF(B91="South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Korea",korea_mid_revleg,revleg_mid)),0))*VLOOKUP(B91,country_opex,3,FALSE))+W91+X91+Y91+Z91+AA91))&lt;=0,"",VLOOKUP(B91,country_opex,7,FALSE)/((T91*pax_cap*IF(B91="South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Korea",korea_mid_revleg,revleg_mid)),0))*VLOOKUP(B91,country_opex,3,FALSE))+W91+X91+Y91+Z91+AA91)))</f>
        <v/>
      </c>
      <c r="AX91" s="45">
        <f>IF(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&lt;=0,"",VLOOKUP(B91,country_opex,7,FALSE)/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)</f>
        <v/>
      </c>
      <c r="AY91" s="46" t="inlineStr">
        <is>
          <t>handoff/INDIA-ECONOMICS-SIDECAR-V0-2026-06-20.json (andaman)</t>
        </is>
      </c>
      <c r="AZ91" s="46" t="inlineStr">
        <is>
          <t>handoff/INDIA-ECONOMICS-SIDECAR-V0-2026-06-20.json (andaman)</t>
        </is>
      </c>
      <c r="BA91" s="34" t="inlineStr">
        <is>
          <t>rn-15b477252a2a</t>
        </is>
      </c>
    </row>
    <row r="92">
      <c r="A92" s="31" t="inlineStr">
        <is>
          <t>India Andaman Rapido</t>
        </is>
      </c>
      <c r="B92" s="31" t="inlineStr">
        <is>
          <t>India</t>
        </is>
      </c>
      <c r="C92" s="32" t="inlineStr">
        <is>
          <t>Andaman → APARUPA SANDS MARINA</t>
        </is>
      </c>
      <c r="D92" s="33" t="n">
        <v>29.4</v>
      </c>
      <c r="E92" s="27" t="n">
        <v>22</v>
      </c>
      <c r="F92" s="34" t="inlineStr">
        <is>
          <t>T3</t>
        </is>
      </c>
      <c r="G92" s="34" t="inlineStr">
        <is>
          <t>med-low</t>
        </is>
      </c>
      <c r="H92" s="20" t="n">
        <v>1</v>
      </c>
      <c r="I92" s="35">
        <f>60*D92/cruise_kt</f>
        <v/>
      </c>
      <c r="J92" s="35">
        <f>IF(B92="South Korea",D92/korea_charge_range_nm*korea_full_range_charge_min,0)</f>
        <v/>
      </c>
      <c r="K92" s="35">
        <f>IF(B92="South Korea",I92+korea_turn_min+korea_dwell_min+J92,I92+turn_min+dwell_min)</f>
        <v/>
      </c>
      <c r="L92" s="36">
        <f>IF(B92="South Korea",FLOOR(60*korea_service_hr/K92,1),MIN(15,FLOOR(60*service_hr/K92,1)))</f>
        <v/>
      </c>
      <c r="M92" s="36">
        <f>IF(ABS(MOD(ABS((365*mech_uptime*H92)),1)-0.5)&lt;1E-9,2*ROUND((365*mech_uptime*H92)/2,0),ROUND((365*mech_uptime*H92),0))</f>
        <v/>
      </c>
      <c r="N92" s="37">
        <f>mech_uptime</f>
        <v/>
      </c>
      <c r="O92" s="37">
        <f>IF(AND(B92="South Korea",scenario="MID"),korea_mid_revleg,revleg_sel)</f>
        <v/>
      </c>
      <c r="P92" s="36">
        <f>IF(ABS(MOD(ABS((L92*M92*O92)),1)-0.5)&lt;1E-9,2*ROUND((L92*M92*O92)/2,0),ROUND((L92*M92*O92),0))</f>
        <v/>
      </c>
      <c r="Q92" s="37">
        <f>IF(AND(B92="South Korea",scenario="MID"),korea_mid_load,load_sel)</f>
        <v/>
      </c>
      <c r="R92" s="38">
        <f>pax_cap*Q92</f>
        <v/>
      </c>
      <c r="S92" s="36">
        <f>R92*P92</f>
        <v/>
      </c>
      <c r="T92" s="39">
        <f>E92*discount</f>
        <v/>
      </c>
      <c r="U92" s="40">
        <f>T92*S92</f>
        <v/>
      </c>
      <c r="V92" s="40">
        <f>(battery/range_nm)*D92*P92*VLOOKUP(B92,country_opex,3,FALSE)</f>
        <v/>
      </c>
      <c r="W92" s="40">
        <f>VLOOKUP(B92,country_opex,2,FALSE)*crew_factor</f>
        <v/>
      </c>
      <c r="X92" s="40">
        <f>VLOOKUP(B92,country_opex,5,FALSE)</f>
        <v/>
      </c>
      <c r="Y92" s="40">
        <f>maint</f>
        <v/>
      </c>
      <c r="Z92" s="40">
        <f>VLOOKUP(B92,country_opex,7,FALSE)*ins_pct</f>
        <v/>
      </c>
      <c r="AA92" s="40">
        <f>charge_berth</f>
        <v/>
      </c>
      <c r="AB92" s="40">
        <f>V92+W92+X92+Y92+Z92+AA92</f>
        <v/>
      </c>
      <c r="AC92" s="40">
        <f>VLOOKUP(B92,country_opex,7,FALSE)/dep_years</f>
        <v/>
      </c>
      <c r="AD92" s="40">
        <f>U92-AB92</f>
        <v/>
      </c>
      <c r="AE92" s="37">
        <f>IF(U92=0,"",AD92/U92)</f>
        <v/>
      </c>
      <c r="AF92" s="38">
        <f>IF(AD92&lt;=0,"",VLOOKUP(B92,country_opex,7,FALSE)/AD92)</f>
        <v/>
      </c>
      <c r="AG92" s="35">
        <f>((D92*P92/diesel_nmpg)*diesel_co2pg-(battery/range_nm)*D92*P92*VLOOKUP(B92,country_opex,4,FALSE))/1000</f>
        <v/>
      </c>
      <c r="AH92" s="33" t="n">
        <v>5000</v>
      </c>
      <c r="AI92" s="34" t="inlineStr">
        <is>
          <t>T3</t>
        </is>
      </c>
      <c r="AJ92" s="34" t="inlineStr">
        <is>
          <t>med-low</t>
        </is>
      </c>
      <c r="AK92" s="41" t="n">
        <v>0.1</v>
      </c>
      <c r="AL92" s="36">
        <f>IF(AH92="","",AH92*AK92)</f>
        <v/>
      </c>
      <c r="AM92" s="36">
        <f>IF(OR(AH92="",S92=0),"",MIN(IF(AU92="",9.9E+99,AU92),FLOOR(AL92/S92,1)))</f>
        <v/>
      </c>
      <c r="AN92" s="40">
        <f>IF(AM92="","",AM92*IF(ABS(MOD(ABS((U92)),1)-0.5)&lt;1E-9,2*ROUND((U92)/2,0),ROUND((U92),0)))</f>
        <v/>
      </c>
      <c r="AO92" s="38">
        <f>IF(OR(AH92="",S92=0),"",MIN(IF(AU92="",9.9E+99,AU92),AL92/S92))</f>
        <v/>
      </c>
      <c r="AP92" s="40">
        <f>IF(AO92="","",AO92*IF(B92="South Korea",IF(ABS(MOD(ABS((U92)),1)-0.5)&lt;1E-9,2*ROUND((U92)/2,0),ROUND((U92),0)),U92))</f>
        <v/>
      </c>
      <c r="AQ92" s="42" t="n"/>
      <c r="AR92" s="34" t="inlineStr">
        <is>
          <t>Grounded</t>
        </is>
      </c>
      <c r="AS92" s="43" t="n"/>
      <c r="AT92" s="43" t="n"/>
      <c r="AU92" s="44" t="n"/>
      <c r="AV92" s="45">
        <f>IF(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&lt;=0,"",VLOOKUP(B92,country_opex,7,FALSE)/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)</f>
        <v/>
      </c>
      <c r="AW92" s="45">
        <f>IF(((T92*pax_cap*IF(B92="South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Korea",korea_mid_revleg,revleg_mid)),0))*VLOOKUP(B92,country_opex,3,FALSE))+W92+X92+Y92+Z92+AA92))&lt;=0,"",VLOOKUP(B92,country_opex,7,FALSE)/((T92*pax_cap*IF(B92="South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Korea",korea_mid_revleg,revleg_mid)),0))*VLOOKUP(B92,country_opex,3,FALSE))+W92+X92+Y92+Z92+AA92)))</f>
        <v/>
      </c>
      <c r="AX92" s="45">
        <f>IF(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&lt;=0,"",VLOOKUP(B92,country_opex,7,FALSE)/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)</f>
        <v/>
      </c>
      <c r="AY92" s="46" t="inlineStr">
        <is>
          <t>handoff/INDIA-ECONOMICS-SIDECAR-V0-2026-06-20.json (andaman)</t>
        </is>
      </c>
      <c r="AZ92" s="46" t="inlineStr">
        <is>
          <t>handoff/INDIA-ECONOMICS-SIDECAR-V0-2026-06-20.json (andaman)</t>
        </is>
      </c>
      <c r="BA92" s="34" t="inlineStr">
        <is>
          <t>rn-0b6f7d5d73e2</t>
        </is>
      </c>
    </row>
    <row r="93">
      <c r="A93" s="47" t="inlineStr">
        <is>
          <t>TOTAL / median</t>
        </is>
      </c>
      <c r="U93" s="48">
        <f>SUM(U4:U92)</f>
        <v/>
      </c>
      <c r="AD93" s="48">
        <f>SUM(AD4:AD92)</f>
        <v/>
      </c>
      <c r="AE93" s="49">
        <f>IF(U93=0,"",AD93/U93)</f>
        <v/>
      </c>
      <c r="AM93" s="50">
        <f>SUM(AM4:AM92)</f>
        <v/>
      </c>
      <c r="AN93" s="48">
        <f>SUM(AN4:AN92)</f>
        <v/>
      </c>
    </row>
    <row r="95">
      <c r="A95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96">
      <c r="A96" s="25" t="inlineStr">
        <is>
          <t>Market</t>
        </is>
      </c>
      <c r="B96" s="25" t="inlineStr">
        <is>
          <t>Fleet basis</t>
        </is>
      </c>
      <c r="C96" s="25" t="inlineStr">
        <is>
          <t>Raw vessels (sum)</t>
        </is>
      </c>
      <c r="D96" s="25" t="inlineStr">
        <is>
          <t>Fleet (rounded once)</t>
        </is>
      </c>
      <c r="E96" s="25" t="inlineStr">
        <is>
          <t>Market rev/yr (raw sum)</t>
        </is>
      </c>
    </row>
    <row r="97">
      <c r="A97" s="26" t="inlineStr">
        <is>
          <t>India Andaman Rapido</t>
        </is>
      </c>
      <c r="B97" s="14" t="inlineStr">
        <is>
          <t>network_sum / ceil</t>
        </is>
      </c>
      <c r="C97" s="24">
        <f>SUMIFS(AO4:AO92,A4:A92,"India Andaman Rapido",AQ4:AQ92,"=",AR4:AR92,"Grounded")</f>
        <v/>
      </c>
      <c r="D97" s="51">
        <f>IF(C97=0,0,CEILING(C97,1))</f>
        <v/>
      </c>
      <c r="E97" s="52">
        <f>SUMIFS(AP4:AP92,A4:A92,"India Andaman Rapido",AQ4:AQ92,"=",AR4:AR92,"Grounded")</f>
        <v/>
      </c>
    </row>
    <row r="98">
      <c r="A98" s="26" t="inlineStr">
        <is>
          <t>India Kolkata Rapido</t>
        </is>
      </c>
      <c r="B98" s="14" t="inlineStr">
        <is>
          <t>network_sum</t>
        </is>
      </c>
      <c r="C98" s="24">
        <f>SUMIFS(AO4:AO92,A4:A92,"India Kolkata Rapido",AQ4:AQ92,"=",AR4:AR92,"Grounded")</f>
        <v/>
      </c>
      <c r="D98" s="51">
        <f>ROUND(C98,0)</f>
        <v/>
      </c>
      <c r="E98" s="52">
        <f>SUMIFS(AP4:AP92,A4:A92,"India Kolkata Rapido",AQ4:AQ92,"=",AR4:AR92,"Grounded")</f>
        <v/>
      </c>
    </row>
    <row r="99">
      <c r="A99" s="26" t="inlineStr">
        <is>
          <t>India Goa Rapido</t>
        </is>
      </c>
      <c r="B99" s="14" t="inlineStr">
        <is>
          <t>network_sum / ceil</t>
        </is>
      </c>
      <c r="C99" s="24">
        <f>SUMIFS(AO4:AO92,A4:A92,"India Goa Rapido",AQ4:AQ92,"=",AR4:AR92,"Grounded")</f>
        <v/>
      </c>
      <c r="D99" s="51">
        <f>IF(C99=0,0,CEILING(C99,1))</f>
        <v/>
      </c>
      <c r="E99" s="52">
        <f>SUMIFS(AP4:AP92,A4:A92,"India Goa Rapido",AQ4:AQ92,"=",AR4:AR92,"Grounded")</f>
        <v/>
      </c>
    </row>
    <row r="100">
      <c r="A100" s="26" t="inlineStr">
        <is>
          <t>India Kerala Rapido</t>
        </is>
      </c>
      <c r="B100" s="14" t="inlineStr">
        <is>
          <t>network_sum / ceil</t>
        </is>
      </c>
      <c r="C100" s="24">
        <f>SUMIFS(AO4:AO92,A4:A92,"India Kerala Rapido",AQ4:AQ92,"=",AR4:AR92,"Grounded")</f>
        <v/>
      </c>
      <c r="D100" s="51">
        <f>IF(C100=0,0,CEILING(C100,1))</f>
        <v/>
      </c>
      <c r="E100" s="52">
        <f>SUMIFS(AP4:AP92,A4:A92,"India Kerala Rapido",AQ4:AQ92,"=",AR4:AR92,"Grounded")</f>
        <v/>
      </c>
    </row>
    <row r="101">
      <c r="A101" s="26" t="inlineStr">
        <is>
          <t>India Mumbai Rapido</t>
        </is>
      </c>
      <c r="B101" s="14" t="inlineStr">
        <is>
          <t>network_sum / ceil</t>
        </is>
      </c>
      <c r="C101" s="24">
        <f>SUMIFS(AO4:AO92,A4:A92,"India Mumbai Rapido",AQ4:AQ92,"=",AR4:AR92,"Grounded")</f>
        <v/>
      </c>
      <c r="D101" s="51">
        <f>IF(C101=0,0,CEILING(C101,1))</f>
        <v/>
      </c>
      <c r="E101" s="52">
        <f>SUMIFS(AP4:AP92,A4:A92,"India Mumbai Rapido",AQ4:AQ92,"=",AR4:AR92,"Grounded")</f>
        <v/>
      </c>
    </row>
    <row r="102">
      <c r="A102" s="26" t="inlineStr">
        <is>
          <t>Rapido Mumbai</t>
        </is>
      </c>
      <c r="B102" s="14" t="inlineStr">
        <is>
          <t>per_corridor_floor</t>
        </is>
      </c>
      <c r="C102" s="14" t="inlineStr">
        <is>
          <t>—</t>
        </is>
      </c>
      <c r="D102" s="51">
        <f>SUMIFS(AM4:AM92,A4:A92,"Rapido Mumbai",AQ4:AQ92,"=",AR4:AR92,"Grounded")</f>
        <v/>
      </c>
      <c r="E102" s="52">
        <f>SUMIFS(AN4:AN92,A4:A92,"Rapido Mumbai",AQ4:AQ92,"=",AR4:AR92,"Grounded")</f>
        <v/>
      </c>
    </row>
    <row r="103">
      <c r="A103" s="26" t="inlineStr">
        <is>
          <t>India Chennai Rapido</t>
        </is>
      </c>
      <c r="B103" s="14" t="inlineStr">
        <is>
          <t>network_sum</t>
        </is>
      </c>
      <c r="C103" s="24">
        <f>SUMIFS(AO4:AO92,A4:A92,"India Chennai Rapido",AQ4:AQ92,"=",AR4:AR92,"Grounded")</f>
        <v/>
      </c>
      <c r="D103" s="51">
        <f>ROUND(C103,0)</f>
        <v/>
      </c>
      <c r="E103" s="52">
        <f>SUMIFS(AP4:AP92,A4:A92,"India Chennai Rapido",AQ4:AQ92,"=",AR4:AR92,"Grounded")</f>
        <v/>
      </c>
    </row>
    <row r="104">
      <c r="A104" s="47" t="inlineStr">
        <is>
          <t>GROUNDED FLOOR (PUBLISHED)</t>
        </is>
      </c>
      <c r="D104" s="50">
        <f>SUM(D97:D103)</f>
        <v/>
      </c>
      <c r="E104" s="48">
        <f>SUM(E97:E103)</f>
        <v/>
      </c>
    </row>
    <row r="105">
      <c r="A105" s="21" t="inlineStr">
        <is>
          <t>ESTIMATED UPSIDE (LB-99 modal-shift / experience-upside tiers; held OUT of grounded floor)</t>
        </is>
      </c>
      <c r="D105" s="53">
        <f>SUMIF(AR4:AR92,"Upside tier",AM4:AM92)</f>
        <v/>
      </c>
      <c r="E105" s="54">
        <f>SUMIF(AR4:AR92,"Upside tier",AN4:AN92)</f>
        <v/>
      </c>
    </row>
    <row r="107">
      <c r="A107" s="55" t="inlineStr">
        <is>
          <t>Held for Quanta-LR (&gt;70nm, roadmap H2 2026+):</t>
        </is>
      </c>
      <c r="C107" s="56" t="inlineStr">
        <is>
          <t>Goa → Mumbai (213.3nm)</t>
        </is>
      </c>
    </row>
    <row r="108">
      <c r="C108" s="56" t="inlineStr">
        <is>
          <t>Chennai Port WQIV Cruise Terminal → Cuddalore Port (90.0nm)</t>
        </is>
      </c>
    </row>
    <row r="109">
      <c r="C109" s="56" t="inlineStr">
        <is>
          <t>Chennai Port WQIV Cruise Terminal → Puducherry Port (76.6nm)</t>
        </is>
      </c>
    </row>
  </sheetData>
  <mergeCells count="2">
    <mergeCell ref="A95:L95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economics'!$AR$4:$AR$92="Grounded"),'Corridor economics'!$AH$4:$AH$92,'Corridor economics'!$E$4:$E$92),0))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economics'!$AR$4:$AR$92="Grounded"),'Corridor economics'!$AH$4:$AH$92,'Corridor economics'!$E$4:$E$92),0)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2026-07-20T06:56:55Z</dcterms:created>
  <dcterms:modified xsi:type="dcterms:W3CDTF">2026-07-20T06:56:56Z</dcterms:modified>
</cp:coreProperties>
</file>