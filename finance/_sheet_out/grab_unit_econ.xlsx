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opex'!$A$4:$G$11</definedName>
    <definedName name="som_floor_fleet">'Corridor economics'!$D$132</definedName>
    <definedName name="som_floor_rev">'Corridor economics'!$E$132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Grab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Cambodia</t>
        </is>
      </c>
      <c r="B4" s="27" t="n">
        <v>11000</v>
      </c>
      <c r="C4" s="28" t="n">
        <v>0.15</v>
      </c>
      <c r="D4" s="20" t="n">
        <v>0.6</v>
      </c>
      <c r="E4" s="27" t="n">
        <v>9000</v>
      </c>
      <c r="F4" s="20" t="n">
        <v>0.42</v>
      </c>
      <c r="G4" s="27" t="n">
        <v>600000</v>
      </c>
      <c r="H4" s="15" t="inlineStr">
        <is>
          <t>No clean Cambodia boat-captain salary index. Cambodia wage band sits just below Vietnam/Philippines (lower GDP/capita). Blended 1 commercial tourism-boat captain + local deckhand fully-loaded ~$11k/vessel/yr (captain ~$600-800/mo + deckhand ~$250-350/mo incl on-costs). Below Vietnam $14k / Philippines $15k. | EDC commercial/business tariff. Climatescope 2025: Cambodia avg electricity price ~$137/MWh (2023) -&gt; ~$149/MWh (2024) = ~$0.15/kWh. ERIA: EDC grid tariffs range US cents 9-25/kWh, commercial band ~18-23c historically. GlobalPetrolPrices business ~$0.147/kWh. Among the higher commercial tariffs in SEA (heavy diesel/coal + imports). Anchored $0.15. | Modeled berth+insurance+admin/vessel/yr for Sihanoukville marine ops; ~= Vietnam $9k, below Thailand $12k on lower Cambodia operating costs. | CAPEX LB-243 US/EU=$900K else $600K</t>
        </is>
      </c>
    </row>
    <row r="5">
      <c r="A5" s="26" t="inlineStr">
        <is>
          <t>Indonesia</t>
        </is>
      </c>
      <c r="B5" s="27" t="n">
        <v>12000</v>
      </c>
      <c r="C5" s="28" t="n">
        <v>0.07000000000000001</v>
      </c>
      <c r="D5" s="20" t="n">
        <v>0.75</v>
      </c>
      <c r="E5" s="27" t="n">
        <v>10000</v>
      </c>
      <c r="F5" s="20" t="n">
        <v>0.45</v>
      </c>
      <c r="G5" s="27" t="n">
        <v>600000</v>
      </c>
      <c r="H5" s="15" t="inlineStr">
        <is>
          <t>Blended local crew; ERI pro $23k vs informal local | PLN business IDR 1,114/kWh = $0.07 | Modeled | CAPEX LB-243 US/EU=$900K else $600K</t>
        </is>
      </c>
    </row>
    <row r="6">
      <c r="A6" s="26" t="inlineStr">
        <is>
          <t>Malaysia</t>
        </is>
      </c>
      <c r="B6" s="27" t="n">
        <v>17000</v>
      </c>
      <c r="C6" s="28" t="n">
        <v>0.1</v>
      </c>
      <c r="D6" s="20" t="n">
        <v>0.7</v>
      </c>
      <c r="E6" s="27" t="n">
        <v>11000</v>
      </c>
      <c r="F6" s="20" t="n">
        <v>0.55</v>
      </c>
      <c r="G6" s="27" t="n">
        <v>600000</v>
      </c>
      <c r="H6" s="15" t="inlineStr">
        <is>
          <t>ERI ship captain RM119k/yr (high-side professional); Indeed boat-captain avg RM2,885/mo (~RM35k/yr); Jobstreet Sabah boat captain RM5.5-8k/mo (offshore high-side). Tourism island-boat captain ~RM3-4k/mo + deckhand ~RM1.8-2k/mo, blended fully-loaded (incl EPF/SOCSO) ~RM73k = $17k @4.30. Above Indonesia/PH/VN (higher MY min wage RM1,700), below Thailand $24k. | TNB low-voltage Commercial tariff ~36.5 sen/kWh base; July-2025 restructure base 45.4 sen/kWh; effective all-in commercial (incl AFA/capacity) ~RM0.40-0.45/kWh = $0.09-0.10 @4.30. Sabah SESB similar band. Anchored $0.10. Below Thailand $0.116, above Indonesia $0.07. | Modeled berth+insurance+admin/vessel/yr. Between Thailand ($12k) and PH/Indonesia ($10k); Malaysia marina ops (Sutera Harbour, Telaga, Jesselton) mid-cost. Tagged low. | CAPEX LB-243 US/EU=$900K else $600K</t>
        </is>
      </c>
    </row>
    <row r="7">
      <c r="A7" s="26" t="inlineStr">
        <is>
          <t>Philippines</t>
        </is>
      </c>
      <c r="B7" s="27" t="n">
        <v>15000</v>
      </c>
      <c r="C7" s="28" t="n">
        <v>0.2</v>
      </c>
      <c r="D7" s="20" t="n">
        <v>0.68</v>
      </c>
      <c r="E7" s="27" t="n">
        <v>10000</v>
      </c>
      <c r="F7" s="20" t="n">
        <v>0.5</v>
      </c>
      <c r="G7" s="27" t="n">
        <v>600000</v>
      </c>
      <c r="H7" s="15" t="inlineStr">
        <is>
          <t>ERI SalaryExpert boat captain PH ~PHP825,644/yr (~$14.5k @57). Blended 1 captain + local deckhand (~PHP15-22k/mo, Indeed) for one commercial tourism vessel ~$15k fully-loaded. | Meralco 2025 overall ~PHP11-12.26/kWh (highest tariff in SEA); commercial/general-power class ~PHP11/kWh = ~$0.20 @57. | Modeled berth+insurance+admin/vessel/yr; below Thailand ($12k) on lower PH marine-ops costs. | CAPEX LB-243 US/EU=$900K else $600K</t>
        </is>
      </c>
    </row>
    <row r="8">
      <c r="A8" s="26" t="inlineStr">
        <is>
          <t>Singapore</t>
        </is>
      </c>
      <c r="B8" s="27" t="n">
        <v>48000</v>
      </c>
      <c r="C8" s="28" t="n">
        <v>0.21</v>
      </c>
      <c r="D8" s="20" t="n">
        <v>0.4</v>
      </c>
      <c r="E8" s="27" t="n">
        <v>20000</v>
      </c>
      <c r="F8" s="20" t="n">
        <v>1</v>
      </c>
      <c r="G8" s="27" t="n">
        <v>600000</v>
      </c>
      <c r="H8" s="15" t="inlineStr">
        <is>
          <t>Modeled SG marine crew ~SGD 4-5k/mo blended | SG regulated tariff 28.1c SGD = $0.21 | SG high-cost berth modeled | CAPEX LB-243 US/EU=$900K else $600K</t>
        </is>
      </c>
    </row>
    <row r="9">
      <c r="A9" s="26" t="inlineStr">
        <is>
          <t>Taiwan</t>
        </is>
      </c>
      <c r="B9" s="27" t="n">
        <v>38000</v>
      </c>
      <c r="C9" s="28" t="n">
        <v>0.18</v>
      </c>
      <c r="D9" s="20" t="n">
        <v>0.46</v>
      </c>
      <c r="E9" s="27" t="n">
        <v>14000</v>
      </c>
      <c r="F9" s="20" t="n">
        <v>0.72</v>
      </c>
      <c r="G9" s="27" t="n">
        <v>600000</v>
      </c>
      <c r="H9" s="15" t="inlineStr">
        <is>
          <t>ERI SalaryExpert Taiwan boat captain NT$1,639,415/yr (~$50.8k @32.3, high-side single qualified captain). Blended 1 tourism-boat captain (~NT$55-65k/mo) + deckhand (~NT$35-40k/mo) fully-loaded (incl labor insurance/pension) ~NT$1.23M = ~$38k/vessel/yr. Taiwan is high-income (GDP/cap ~$33k); 2nd-highest wage in set, below Singapore $48k, well above Thailand $24k / SEA $11-17k. | Taipower 2025: industrial NT$4.27/kWh (unchanged, Taipei Times); residential ~NT$3.23 ($0.10); GlobalPetrolPrices business band TWD7.29 ($0.232, Sep 2025). A small tourism boat is on the 表燈營業 (commercial lighting) tariff - the higher band (R7-EXT) - effective blended ~NT$5-6/kWh = ~$0.18 @32.3. Floor industrial $0.13, ceiling commercial-business $0.23. | Modeled berth+insurance+admin/vessel/yr. Taiwan high-income marine ops (Kaohsiung/Penghu/Donggang); above Thailand $12k / Malaysia $11k, below Singapore $20k. Tagged low. | CAPEX LB-243 US/EU=$900K else $600K</t>
        </is>
      </c>
    </row>
    <row r="10">
      <c r="A10" s="26" t="inlineStr">
        <is>
          <t>Thailand</t>
        </is>
      </c>
      <c r="B10" s="27" t="n">
        <v>24000</v>
      </c>
      <c r="C10" s="28" t="n">
        <v>0.116</v>
      </c>
      <c r="D10" s="20" t="n">
        <v>0.5</v>
      </c>
      <c r="E10" s="27" t="n">
        <v>12000</v>
      </c>
      <c r="F10" s="20" t="n">
        <v>0.55</v>
      </c>
      <c r="G10" s="27" t="n">
        <v>600000</v>
      </c>
      <c r="H10" s="15" t="inlineStr">
        <is>
          <t>ERI Thailand boat captain ~876k THB/yr | MEA/PEA business tariff ~4.18 THB/kWh | Modeled Phuket marine ops | CAPEX LB-243 US/EU=$900K else $600K</t>
        </is>
      </c>
    </row>
    <row r="11">
      <c r="A11" s="26" t="inlineStr">
        <is>
          <t>Vietnam</t>
        </is>
      </c>
      <c r="B11" s="27" t="n">
        <v>14000</v>
      </c>
      <c r="C11" s="28" t="n">
        <v>0.12</v>
      </c>
      <c r="D11" s="20" t="n">
        <v>0.66</v>
      </c>
      <c r="E11" s="27" t="n">
        <v>9000</v>
      </c>
      <c r="F11" s="20" t="n">
        <v>0.45</v>
      </c>
      <c r="G11" s="27" t="n">
        <v>600000</v>
      </c>
      <c r="H11" s="15" t="inlineStr">
        <is>
          <t>ERI SalaryExpert Vietnam boat captain avg ~VND 540M/yr (~$21k @26,300, high-side professional). Blended 1 tourism-boat captain + local deckhand realistically lower; Vietnam wage band ~= Philippines/Indonesia. Fully-loaded ~$14k/vessel/yr. | EVN avg retail VND 2,204/kWh ($0.084, May 2025). Commercial/services sector (kinh doanh) pays the HIGHEST tariff band: normal-hour ~VND 3,200/kWh ($0.12), peak up to VND 5,422 ($0.21, VietnamNet 2025). Tourism boat operators are on services tariff -&gt; ~$0.12. | Modeled berth+insurance+admin/vessel/yr. Below Thailand ($12k), ~= Indonesia/Philippines ($10k) on lower Vietnam marine-ops costs.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5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Grab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Cambodia</t>
        </is>
      </c>
      <c r="B4" s="31" t="inlineStr">
        <is>
          <t>Cambodia</t>
        </is>
      </c>
      <c r="C4" s="32" t="inlineStr">
        <is>
          <t>Sihanoukville Port → Lila Resort / Ream private islands</t>
        </is>
      </c>
      <c r="D4" s="33" t="n">
        <v>7.6</v>
      </c>
      <c r="E4" s="27" t="n">
        <v>30</v>
      </c>
      <c r="F4" s="34" t="inlineStr">
        <is>
          <t>T4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inlineStr">
        <is>
          <t>null</t>
        </is>
      </c>
      <c r="AJ4" s="34" t="inlineStr">
        <is>
          <t>null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Premium per-seat resort transfer to a private island near Ream. Comparable ladder on Sihanoukville island crossings: budget island boat $7.50-15/way; private-resort speedboat shared transfer $25-50/pax (Song Saa/Koh Russey class, legendtravelgroup $25-50); private whole-boat speedboat ~$145/seat-equiv (Song Saa private EUR1,334/boat up to 10pax, inventia). No published 'Lila Resort' tariff found; anchored at $30 = premium resort speedboat transfer seat, above budget boats, conservative vs $50 shared-resort high end and well below whole-boat charter.</t>
        </is>
      </c>
      <c r="AZ4" s="46" t="inlineStr">
        <is>
          <t>Niche private-island/resort arrival corridor near Ream; no scheduled public ferry and no published annual pax pool for this specific crossing. R2: NULL beats a guess. Per-boat ROI can still stand; only fleet count unknown.</t>
        </is>
      </c>
      <c r="BA4" s="34" t="n"/>
    </row>
    <row r="5">
      <c r="A5" s="31" t="inlineStr">
        <is>
          <t>Cambodia</t>
        </is>
      </c>
      <c r="B5" s="31" t="inlineStr">
        <is>
          <t>Cambodia</t>
        </is>
      </c>
      <c r="C5" s="32" t="inlineStr">
        <is>
          <t>Sihanoukville → Koh Ta Kiev / Ream National Park</t>
        </is>
      </c>
      <c r="D5" s="33" t="n">
        <v>8.949999999999999</v>
      </c>
      <c r="E5" s="27" t="n">
        <v>20</v>
      </c>
      <c r="F5" s="34" t="inlineStr">
        <is>
          <t>T3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inlineStr">
        <is>
          <t>null</t>
        </is>
      </c>
      <c r="AJ5" s="34" t="inlineStr">
        <is>
          <t>null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Budget/backpacker island. Resort/operator boats from Ream Beach: $7.50/way (Kactus Koh Ta Kiev, bucketlist2life), $10/way ($15 RT, FB/Travelfish), $8 return Ream NP boat. Island-hopping day trip $15-20 incl lunch+snorkel (movetocambodia). Resort airport-to-pier transfers up to $150 (whole-trip, excluded). Premium tier is structurally thin on this commoditised backpacker crossing (cf. Phi Phi); premium per-seat anchored at $20 = upper resort/premium speedboat transfer seat, ~2x the $10 standard boat, conservative vs island-hop $20 bundle.</t>
        </is>
      </c>
      <c r="AZ5" s="46" t="inlineStr">
        <is>
          <t>Small backpacker/eco island (a few hundred beds across Koh Ta Kiev camps + Ream NP day-trippers). Boat-only, but NO published annual pax count for the crossing. R2: NULL beats a guess (R3-EXCEPTION would let arrivals=ridership IF a number existed, but none is published).</t>
        </is>
      </c>
      <c r="BA5" s="34" t="n"/>
    </row>
    <row r="6">
      <c r="A6" s="31" t="inlineStr">
        <is>
          <t>Cambodia</t>
        </is>
      </c>
      <c r="B6" s="31" t="inlineStr">
        <is>
          <t>Cambodia</t>
        </is>
      </c>
      <c r="C6" s="32" t="inlineStr">
        <is>
          <t>Sihanoukville → Koh Rong Sanloem (Saracen Bay)</t>
        </is>
      </c>
      <c r="D6" s="33" t="n">
        <v>12.87</v>
      </c>
      <c r="E6" s="27" t="n">
        <v>30</v>
      </c>
      <c r="F6" s="34" t="inlineStr">
        <is>
          <t>T3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100000</v>
      </c>
      <c r="AI6" s="34" t="inlineStr">
        <is>
          <t>T2</t>
        </is>
      </c>
      <c r="AJ6" s="34" t="inlineStr">
        <is>
          <t>med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Main tourist crossing. Standard high-speed ferry (GTVC, Buva Sea, Island Speed Ferry, Speed Ferry Cambodia) = $25 open-return = ~$12.5/way; single one-way listings $14 (openferry/ferryhopper EUR14). Budget supply boat $5. Hotel-arranged transfer ~$17/pax/way (livinthebigblue). Premium tier = private-resort speedboat / shared luxury transfer $25-50/pax (Song Saa shared $25-50); whole-boat private charter GTVC $750/boat (~$94/seat at 8pax, excluded as overclaim). The scheduled ferries are largely single-class (R5-EXT flavour: thin premium tier), so premium anchored at $30 = resort/premium speedboat transfer seat, ~2x the $14 budget ferry.</t>
        </is>
      </c>
      <c r="AZ6" s="46" t="inlineStr">
        <is>
          <t>Koh Rong + Koh Rong Sanloem combined visitor arrivals: 93,700 (2023) -&gt; ~184,600 (2024, 68,257 foreign; Khmer Times/Cambodge Mag) -&gt; ~100,400 in Q1 2025 alone, ~266,000 reported for 2025 (kiripost). R3-EXCEPTION: these islands are BOAT-ONLY (no air/road), so destination arrivals genuinely map to crossing ridership. Koh Rong Sanloem is the quieter sister island; ~40-50% share of the archipelago pool -&gt; ~100k one-way/yr on this crossing. Archipelago total runs 185-266k.</t>
        </is>
      </c>
      <c r="BA6" s="34" t="n"/>
    </row>
    <row r="7">
      <c r="A7" s="31" t="inlineStr">
        <is>
          <t>Cambodia</t>
        </is>
      </c>
      <c r="B7" s="31" t="inlineStr">
        <is>
          <t>Cambodia</t>
        </is>
      </c>
      <c r="C7" s="32" t="inlineStr">
        <is>
          <t>Koh Rong → Song Saa / Koh Russey</t>
        </is>
      </c>
      <c r="D7" s="33" t="n">
        <v>18.56</v>
      </c>
      <c r="E7" s="27" t="n">
        <v>65</v>
      </c>
      <c r="F7" s="34" t="inlineStr">
        <is>
          <t>T3</t>
        </is>
      </c>
      <c r="G7" s="34" t="inlineStr">
        <is>
          <t>med-low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inlineStr">
        <is>
          <t>null</t>
        </is>
      </c>
      <c r="AJ7" s="34" t="inlineStr">
        <is>
          <t>null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Ultra-luxury private-island resort leg (Song Saa Private Island ~27 villas; Alila Villas / Koh Russey Resort). Song Saa shared speedboat transfer $25-50/pax (legendtravelgroup); Song Saa PRIVATE speedboat EUR1,334/boat up to 10pax (inventia) = ~$145/seat-equiv. Koh Russey Resort runs its own boat transfers (15 min from Ream). Premium per-seat anchored at $65 = premium private-resort speedboat seat, above the $50 shared-resort high end, conservative vs the ~$145 whole-boat private charter (excluded as overclaim). Highest-end leg in the Cambodia set, matching the luxury resort-arrival archetype.</t>
        </is>
      </c>
      <c r="AZ7" s="46" t="inlineStr">
        <is>
          <t>Tiny luxury-resort arrival pool (Song Saa ~27 villas; Koh Russey ~60 villas). No published annual transfer/pax count, and inter-island luxury legs are bespoke. R2: NULL beats a guess. Strong per-boat fare economics, unknown fleet count.</t>
        </is>
      </c>
      <c r="BA7" s="34" t="n"/>
    </row>
    <row r="8">
      <c r="A8" s="31" t="inlineStr">
        <is>
          <t>Cambodia</t>
        </is>
      </c>
      <c r="B8" s="31" t="inlineStr">
        <is>
          <t>Cambodia</t>
        </is>
      </c>
      <c r="C8" s="32" t="inlineStr">
        <is>
          <t>Sihanoukville → Koh Kong / Cardamom coast</t>
        </is>
      </c>
      <c r="D8" s="33" t="n">
        <v>68.22</v>
      </c>
      <c r="E8" s="27" t="n">
        <v>50</v>
      </c>
      <c r="F8" s="34" t="inlineStr">
        <is>
          <t>T5</t>
        </is>
      </c>
      <c r="G8" s="34" t="inlineStr">
        <is>
          <t>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inlineStr">
        <is>
          <t>null</t>
        </is>
      </c>
      <c r="AJ8" s="34" t="inlineStr">
        <is>
          <t>null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R5 FINDING: no scheduled passenger boat Sihanoukville&lt;-&gt;Koh Kong exists; the old sea service was discontinued and travellers now go by ROAD (NR4/NR48, ~3-4h) only (Cambodia travel groups confirm 'not available, only by road'; Travelfish lists Sihanoukville-Koh Rong but not Koh Kong as a boat route). No premium fast-ferry tier to observe on this 75nm leg. MODELED premium per-seat ~$50, benchmarked off regional premium fast-ferry seats over comparable distance (cf. Vietnam Saigon-&gt;Vung Tau $14 over 60nm is a public fast ferry; a premium leisure/intercity seat over 75nm anchored higher at ~$50). SOURCE NEEDED / cascade candidate.</t>
        </is>
      </c>
      <c r="AZ8" s="46" t="inlineStr">
        <is>
          <t>No scheduled boat crossing exists (road only). No on-corridor pax pool to count. R2 (null beats guess) + R5 (no direct premium route is itself a finding -&gt; greenfield/structurally thin intercity leg).</t>
        </is>
      </c>
      <c r="BA8" s="34" t="n"/>
    </row>
    <row r="9">
      <c r="A9" s="31" t="inlineStr">
        <is>
          <t>Komodo Flores</t>
        </is>
      </c>
      <c r="B9" s="31" t="inlineStr">
        <is>
          <t>Indonesia</t>
        </is>
      </c>
      <c r="C9" s="32" t="inlineStr">
        <is>
          <t>Komodo → Pelabuhan Labuan Bajo</t>
        </is>
      </c>
      <c r="D9" s="33" t="n">
        <v>1.4</v>
      </c>
      <c r="E9" s="27" t="n">
        <v>50</v>
      </c>
      <c r="F9" s="34" t="inlineStr">
        <is>
          <t>T3</t>
        </is>
      </c>
      <c r="G9" s="34" t="inlineStr">
        <is>
          <t>med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Korea",FLOOR(60*korea_service_hr/K9,1),MIN(24,FLOOR(60*service_hr/K9,1)))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5000</v>
      </c>
      <c r="AI9" s="34" t="inlineStr">
        <is>
          <t>T3</t>
        </is>
      </c>
      <c r="AJ9" s="34" t="inlineStr">
        <is>
          <t>med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economics_by_route_id.json</t>
        </is>
      </c>
      <c r="AZ9" s="46" t="inlineStr">
        <is>
          <t>gojek-127/route+economics</t>
        </is>
      </c>
      <c r="BA9" s="34" t="inlineStr">
        <is>
          <t>rn-1f3002dd00e5</t>
        </is>
      </c>
    </row>
    <row r="10">
      <c r="A10" s="31" t="inlineStr">
        <is>
          <t>Komodo Flores</t>
        </is>
      </c>
      <c r="B10" s="31" t="inlineStr">
        <is>
          <t>Indonesia</t>
        </is>
      </c>
      <c r="C10" s="32" t="inlineStr">
        <is>
          <t>Komodo → Meruorah Komodo Labuan Bajo</t>
        </is>
      </c>
      <c r="D10" s="33" t="n">
        <v>1.5</v>
      </c>
      <c r="E10" s="27" t="n">
        <v>50</v>
      </c>
      <c r="F10" s="34" t="inlineStr">
        <is>
          <t>T3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Korea",FLOOR(60*korea_service_hr/K10,1),MIN(24,FLOOR(60*service_hr/K10,1)))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5000</v>
      </c>
      <c r="AI10" s="34" t="inlineStr">
        <is>
          <t>T3</t>
        </is>
      </c>
      <c r="AJ10" s="34" t="inlineStr">
        <is>
          <t>med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economics_by_route_id.json</t>
        </is>
      </c>
      <c r="AZ10" s="46" t="inlineStr">
        <is>
          <t>gojek-127/route+economics</t>
        </is>
      </c>
      <c r="BA10" s="34" t="inlineStr">
        <is>
          <t>rn-871e5ff3b6a7</t>
        </is>
      </c>
    </row>
    <row r="11">
      <c r="A11" s="31" t="inlineStr">
        <is>
          <t>Bali</t>
        </is>
      </c>
      <c r="B11" s="31" t="inlineStr">
        <is>
          <t>Indonesia</t>
        </is>
      </c>
      <c r="C11" s="32" t="inlineStr">
        <is>
          <t>Gili Meno Harbour → Ferry Terminal Gili Trawangan</t>
        </is>
      </c>
      <c r="D11" s="33" t="n">
        <v>2</v>
      </c>
      <c r="E11" s="27" t="n">
        <v>50</v>
      </c>
      <c r="F11" s="34" t="inlineStr">
        <is>
          <t>T3</t>
        </is>
      </c>
      <c r="G11" s="34" t="inlineStr">
        <is>
          <t>med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Korea",FLOOR(60*korea_service_hr/K11,1),MIN(24,FLOOR(60*service_hr/K11,1)))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5000</v>
      </c>
      <c r="AI11" s="34" t="inlineStr">
        <is>
          <t>T3</t>
        </is>
      </c>
      <c r="AJ11" s="34" t="inlineStr">
        <is>
          <t>med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economics_by_route_id.json</t>
        </is>
      </c>
      <c r="AZ11" s="46" t="inlineStr">
        <is>
          <t>gojek-127/route+economics</t>
        </is>
      </c>
      <c r="BA11" s="34" t="inlineStr">
        <is>
          <t>rn-cf0b8fa978b0</t>
        </is>
      </c>
    </row>
    <row r="12">
      <c r="A12" s="31" t="inlineStr">
        <is>
          <t>Jakarta</t>
        </is>
      </c>
      <c r="B12" s="31" t="inlineStr">
        <is>
          <t>Indonesia</t>
        </is>
      </c>
      <c r="C12" s="32" t="inlineStr">
        <is>
          <t>Pantai Laguna (Ancol Taman Impian) → Pantai Laguna (Ancol Taman Impian)</t>
        </is>
      </c>
      <c r="D12" s="33" t="n">
        <v>2</v>
      </c>
      <c r="E12" s="27" t="n">
        <v>18</v>
      </c>
      <c r="F12" s="34" t="inlineStr">
        <is>
          <t>T1</t>
        </is>
      </c>
      <c r="G12" s="34" t="inlineStr">
        <is>
          <t>high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200000</v>
      </c>
      <c r="AI12" s="34" t="n"/>
      <c r="AJ12" s="34" t="n"/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[LB-255 PREMIUM RE-FARE: subsidized comparable $1.23 lifted to premium on-demand floor $18.0] Ancol Taman Impian corporate site (korporat.ancol.com, GM Sunarto quote, 17-Jun-2018): Rp20,000/person or Rp200-300k per boat for groups, boats hold ~20 pax. Price STILL Rp20,000 per TikTok rider reviews Oct-2025 ('Naik kapal di Ancol cuma 20rb perorang') - 7-yr price stickiness corroborated, not assumed.</t>
        </is>
      </c>
      <c r="AZ12" s="46" t="n"/>
      <c r="BA12" s="34" t="n"/>
    </row>
    <row r="13">
      <c r="A13" s="31" t="inlineStr">
        <is>
          <t>Eastern Indonesia</t>
        </is>
      </c>
      <c r="B13" s="31" t="inlineStr">
        <is>
          <t>Indonesia</t>
        </is>
      </c>
      <c r="C13" s="32" t="inlineStr">
        <is>
          <t>Likupang / Manado / Bunaken, North Sulawesi, Indonesia → Likupang North Sulawesi Indonesia</t>
        </is>
      </c>
      <c r="D13" s="33" t="n">
        <v>2.2</v>
      </c>
      <c r="E13" s="27" t="n">
        <v>50</v>
      </c>
      <c r="F13" s="34" t="inlineStr">
        <is>
          <t>T3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Korea",FLOOR(60*korea_service_hr/K13,1),MIN(24,FLOOR(60*service_hr/K13,1)))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5000</v>
      </c>
      <c r="AI13" s="34" t="inlineStr">
        <is>
          <t>T3</t>
        </is>
      </c>
      <c r="AJ13" s="34" t="inlineStr">
        <is>
          <t>med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economics_by_route_id.json</t>
        </is>
      </c>
      <c r="AZ13" s="46" t="inlineStr">
        <is>
          <t>gojek-127/route+economics</t>
        </is>
      </c>
      <c r="BA13" s="34" t="inlineStr">
        <is>
          <t>ics-b9396122cf</t>
        </is>
      </c>
    </row>
    <row r="14">
      <c r="A14" s="31" t="inlineStr">
        <is>
          <t>Eastern Indonesia</t>
        </is>
      </c>
      <c r="B14" s="31" t="inlineStr">
        <is>
          <t>Indonesia</t>
        </is>
      </c>
      <c r="C14" s="32" t="inlineStr">
        <is>
          <t>Mall → Likupang / Manado / Bunaken, North Sulawesi, Indonesia</t>
        </is>
      </c>
      <c r="D14" s="33" t="n">
        <v>2.5</v>
      </c>
      <c r="E14" s="27" t="n">
        <v>50</v>
      </c>
      <c r="F14" s="34" t="inlineStr">
        <is>
          <t>T3</t>
        </is>
      </c>
      <c r="G14" s="34" t="inlineStr">
        <is>
          <t>med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Korea",FLOOR(60*korea_service_hr/K14,1),MIN(24,FLOOR(60*service_hr/K14,1)))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5000</v>
      </c>
      <c r="AI14" s="34" t="inlineStr">
        <is>
          <t>T3</t>
        </is>
      </c>
      <c r="AJ14" s="34" t="inlineStr">
        <is>
          <t>med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economics_by_route_id.json</t>
        </is>
      </c>
      <c r="AZ14" s="46" t="inlineStr">
        <is>
          <t>gojek-127/route+economics</t>
        </is>
      </c>
      <c r="BA14" s="34" t="inlineStr">
        <is>
          <t>ics-c142307006</t>
        </is>
      </c>
    </row>
    <row r="15">
      <c r="A15" s="31" t="inlineStr">
        <is>
          <t>Bali</t>
        </is>
      </c>
      <c r="B15" s="31" t="inlineStr">
        <is>
          <t>Indonesia</t>
        </is>
      </c>
      <c r="C15" s="32" t="inlineStr">
        <is>
          <t>Jalan Crystal Bay → Nusa Bahari Lembongan</t>
        </is>
      </c>
      <c r="D15" s="33" t="n">
        <v>2.9</v>
      </c>
      <c r="E15" s="27" t="n">
        <v>50</v>
      </c>
      <c r="F15" s="34" t="inlineStr">
        <is>
          <t>T3</t>
        </is>
      </c>
      <c r="G15" s="34" t="inlineStr">
        <is>
          <t>med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Korea",FLOOR(60*korea_service_hr/K15,1),MIN(24,FLOOR(60*service_hr/K15,1)))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5000</v>
      </c>
      <c r="AI15" s="34" t="inlineStr">
        <is>
          <t>T3</t>
        </is>
      </c>
      <c r="AJ15" s="34" t="inlineStr">
        <is>
          <t>med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economics_by_route_id.json</t>
        </is>
      </c>
      <c r="AZ15" s="46" t="inlineStr">
        <is>
          <t>gojek-127/route+economics</t>
        </is>
      </c>
      <c r="BA15" s="34" t="inlineStr">
        <is>
          <t>rn-606b21464c26</t>
        </is>
      </c>
    </row>
    <row r="16">
      <c r="A16" s="31" t="inlineStr">
        <is>
          <t>Eastern Indonesia</t>
        </is>
      </c>
      <c r="B16" s="31" t="inlineStr">
        <is>
          <t>Indonesia</t>
        </is>
      </c>
      <c r="C16" s="32" t="inlineStr">
        <is>
          <t>Likupang / Manado / Bunaken, North Sulawesi, Indonesia → Likupang North Sulawesi Indonesia</t>
        </is>
      </c>
      <c r="D16" s="33" t="n">
        <v>3</v>
      </c>
      <c r="E16" s="27" t="n">
        <v>50</v>
      </c>
      <c r="F16" s="34" t="inlineStr">
        <is>
          <t>T3</t>
        </is>
      </c>
      <c r="G16" s="34" t="inlineStr">
        <is>
          <t>med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Korea",FLOOR(60*korea_service_hr/K16,1),MIN(24,FLOOR(60*service_hr/K16,1)))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5000</v>
      </c>
      <c r="AI16" s="34" t="inlineStr">
        <is>
          <t>T3</t>
        </is>
      </c>
      <c r="AJ16" s="34" t="inlineStr">
        <is>
          <t>med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economics_by_route_id.json</t>
        </is>
      </c>
      <c r="AZ16" s="46" t="inlineStr">
        <is>
          <t>gojek-127/route+economics</t>
        </is>
      </c>
      <c r="BA16" s="34" t="inlineStr">
        <is>
          <t>ics-60c865429d</t>
        </is>
      </c>
    </row>
    <row r="17">
      <c r="A17" s="31" t="inlineStr">
        <is>
          <t>Eastern Indonesia</t>
        </is>
      </c>
      <c r="B17" s="31" t="inlineStr">
        <is>
          <t>Indonesia</t>
        </is>
      </c>
      <c r="C17" s="32" t="inlineStr">
        <is>
          <t>Likupang / Manado / Bunaken, North Sulawesi, Indonesia → Likupang North Sulawesi Indonesia</t>
        </is>
      </c>
      <c r="D17" s="33" t="n">
        <v>4.3</v>
      </c>
      <c r="E17" s="27" t="n">
        <v>50</v>
      </c>
      <c r="F17" s="34" t="inlineStr">
        <is>
          <t>T3</t>
        </is>
      </c>
      <c r="G17" s="34" t="inlineStr">
        <is>
          <t>med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Korea",FLOOR(60*korea_service_hr/K17,1),MIN(24,FLOOR(60*service_hr/K17,1)))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5000</v>
      </c>
      <c r="AI17" s="34" t="inlineStr">
        <is>
          <t>T3</t>
        </is>
      </c>
      <c r="AJ17" s="34" t="inlineStr">
        <is>
          <t>med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economics_by_route_id.json</t>
        </is>
      </c>
      <c r="AZ17" s="46" t="inlineStr">
        <is>
          <t>gojek-127/route+economics</t>
        </is>
      </c>
      <c r="BA17" s="34" t="inlineStr">
        <is>
          <t>ics-9232e125da</t>
        </is>
      </c>
    </row>
    <row r="18">
      <c r="A18" s="31" t="inlineStr">
        <is>
          <t>Bali</t>
        </is>
      </c>
      <c r="B18" s="31" t="inlineStr">
        <is>
          <t>Indonesia</t>
        </is>
      </c>
      <c r="C18" s="32" t="inlineStr">
        <is>
          <t>Benoa Harbour Cruise Terminal → Benoa Harbour Cruise Terminal</t>
        </is>
      </c>
      <c r="D18" s="33" t="n">
        <v>5</v>
      </c>
      <c r="E18" s="27" t="n">
        <v>85</v>
      </c>
      <c r="F18" s="34" t="inlineStr">
        <is>
          <t>T1</t>
        </is>
      </c>
      <c r="G18" s="34" t="inlineStr">
        <is>
          <t>high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85000</v>
      </c>
      <c r="AI18" s="34" t="n"/>
      <c r="AJ18" s="34" t="n"/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Bali Hai operator page balihaicruises.com/day-trip/sunset-dinner-cruise/: Adult USD 85 (Rp 1.527.000), child USD 65, 'valid until 31 March 2027'. Corroborated by Bounty operator site bountycruises.co.id: Dinner Cruise IDR 1.440.000/pax (~USD 88), and Viator Aristocat Evening Dinner Cruise from USD 112.</t>
        </is>
      </c>
      <c r="AZ18" s="46" t="n"/>
      <c r="BA18" s="34" t="inlineStr">
        <is>
          <t>gcn-15e4814ff9-shared</t>
        </is>
      </c>
    </row>
    <row r="19">
      <c r="A19" s="31" t="inlineStr">
        <is>
          <t>Bali</t>
        </is>
      </c>
      <c r="B19" s="31" t="inlineStr">
        <is>
          <t>Indonesia</t>
        </is>
      </c>
      <c r="C19" s="32" t="inlineStr">
        <is>
          <t>Sampalan Harbour → Maruti Port - Nusa Penida</t>
        </is>
      </c>
      <c r="D19" s="33" t="n">
        <v>5.6</v>
      </c>
      <c r="E19" s="27" t="n">
        <v>50</v>
      </c>
      <c r="F19" s="34" t="inlineStr">
        <is>
          <t>T3</t>
        </is>
      </c>
      <c r="G19" s="34" t="inlineStr">
        <is>
          <t>med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Korea",FLOOR(60*korea_service_hr/K19,1),MIN(24,FLOOR(60*service_hr/K19,1)))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5000</v>
      </c>
      <c r="AI19" s="34" t="inlineStr">
        <is>
          <t>T3</t>
        </is>
      </c>
      <c r="AJ19" s="34" t="inlineStr">
        <is>
          <t>med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economics_by_route_id.json</t>
        </is>
      </c>
      <c r="AZ19" s="46" t="inlineStr">
        <is>
          <t>gojek-127/route+economics</t>
        </is>
      </c>
      <c r="BA19" s="34" t="inlineStr">
        <is>
          <t>rn-5f35cc1efa05</t>
        </is>
      </c>
    </row>
    <row r="20">
      <c r="A20" s="31" t="inlineStr">
        <is>
          <t>Eastern Indonesia</t>
        </is>
      </c>
      <c r="B20" s="31" t="inlineStr">
        <is>
          <t>Indonesia</t>
        </is>
      </c>
      <c r="C20" s="32" t="inlineStr">
        <is>
          <t>Mall → Likupang / Manado / Bunaken, North Sulawesi, Indonesia</t>
        </is>
      </c>
      <c r="D20" s="33" t="n">
        <v>7.1</v>
      </c>
      <c r="E20" s="27" t="n">
        <v>50</v>
      </c>
      <c r="F20" s="34" t="inlineStr">
        <is>
          <t>T3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Korea",FLOOR(60*korea_service_hr/K20,1),MIN(24,FLOOR(60*service_hr/K20,1)))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5000</v>
      </c>
      <c r="AI20" s="34" t="inlineStr">
        <is>
          <t>T3</t>
        </is>
      </c>
      <c r="AJ20" s="34" t="inlineStr">
        <is>
          <t>med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economics_by_route_id.json</t>
        </is>
      </c>
      <c r="AZ20" s="46" t="inlineStr">
        <is>
          <t>gojek-127/route+economics</t>
        </is>
      </c>
      <c r="BA20" s="34" t="inlineStr">
        <is>
          <t>ics-ab1b7a224c</t>
        </is>
      </c>
    </row>
    <row r="21">
      <c r="A21" s="31" t="inlineStr">
        <is>
          <t>Jakarta</t>
        </is>
      </c>
      <c r="B21" s="31" t="inlineStr">
        <is>
          <t>Indonesia</t>
        </is>
      </c>
      <c r="C21" s="32" t="inlineStr">
        <is>
          <t>Marina Ancol → Thousand Islands — inner ring (Bidadari / Ayer / Onrust)</t>
        </is>
      </c>
      <c r="D21" s="33" t="n">
        <v>7.4</v>
      </c>
      <c r="E21" s="27" t="n">
        <v>11.7</v>
      </c>
      <c r="F21" s="34" t="inlineStr">
        <is>
          <t>T2/T3</t>
        </is>
      </c>
      <c r="G21" s="34" t="inlineStr">
        <is>
          <t>med-high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10000</v>
      </c>
      <c r="AI21" s="34" t="inlineStr">
        <is>
          <t>T2</t>
        </is>
      </c>
      <c r="AJ21" s="34" t="inlineStr">
        <is>
          <t>med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Official Marina Ancol speedboat tariff table (pulauseribu-resorts.com / visitpulauseribu.co.id): Ayer/Bidadari Rp155,000 one-way regular speedboat; budget wooden boat ex-Kaliadem Rp90-110k; private speedboat charter Rp2,400,000/boat (Ayer/Bidadari/Kelor-Onrust) =&gt; ~Rp200-300k/seat. Premium per-seat anchored at ~Rp190,000.</t>
        </is>
      </c>
      <c r="AZ21" s="46" t="inlineStr">
        <is>
          <t>Sudin Parekraf Kepulauan Seribu official 2025 category breakdown (via pulauseribu.jakarta.go.id, 11-Jan-2026): total 398,519 visitors (2024: 411,161); resort islands 13,932 (TOP = Bidadari #1, then Putri, Macan); tourism islands 3,575; nature-reserve islands 537. Inner-ring = Bidadari+Ayer resort share (~half of resort pool, Bidadari is #1) + Onrust/Cipir/Kelor historical-park day-trips (pulau wisata/cagar) =&gt; ~10,000/yr.</t>
        </is>
      </c>
      <c r="BA21" s="34" t="inlineStr">
        <is>
          <t>ics-9e59ba5c5c</t>
        </is>
      </c>
    </row>
    <row r="22">
      <c r="A22" s="31" t="inlineStr">
        <is>
          <t>Bali</t>
        </is>
      </c>
      <c r="B22" s="31" t="inlineStr">
        <is>
          <t>Indonesia</t>
        </is>
      </c>
      <c r="C22" s="32" t="inlineStr">
        <is>
          <t>Sanur Beach Fast Boat Terminal → GoBoat.id - Nelayan Beach Canggu</t>
        </is>
      </c>
      <c r="D22" s="33" t="n">
        <v>7.6</v>
      </c>
      <c r="E22" s="27" t="n">
        <v>85</v>
      </c>
      <c r="F22" s="34" t="inlineStr">
        <is>
          <t>T2</t>
        </is>
      </c>
      <c r="G22" s="34" t="inlineStr">
        <is>
          <t>med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2900</v>
      </c>
      <c r="AI22" s="34" t="inlineStr">
        <is>
          <t>T2</t>
        </is>
      </c>
      <c r="AJ22" s="34" t="inlineStr">
        <is>
          <t>med</t>
        </is>
      </c>
      <c r="AK22" s="41" t="n">
        <v>0.9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Minor Hotels captive gateway — Avani Seminyak coastal transfer.</t>
        </is>
      </c>
      <c r="AZ22" s="46" t="inlineStr">
        <is>
          <t>minor-hotels-bali-flagship-economics-DRAFT.json — Seminyak gateway pool</t>
        </is>
      </c>
      <c r="BA22" s="34" t="inlineStr">
        <is>
          <t>rn-488fcf2617fe</t>
        </is>
      </c>
    </row>
    <row r="23">
      <c r="A23" s="31" t="inlineStr">
        <is>
          <t>Bali</t>
        </is>
      </c>
      <c r="B23" s="31" t="inlineStr">
        <is>
          <t>Indonesia</t>
        </is>
      </c>
      <c r="C23" s="32" t="inlineStr">
        <is>
          <t>Bali Marina (Benoa) → Six Senses Uluwatu</t>
        </is>
      </c>
      <c r="D23" s="33" t="n">
        <v>7.7</v>
      </c>
      <c r="E23" s="27" t="n">
        <v>85</v>
      </c>
      <c r="F23" s="34" t="inlineStr">
        <is>
          <t>T2</t>
        </is>
      </c>
      <c r="G23" s="34" t="inlineStr">
        <is>
          <t>med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2900</v>
      </c>
      <c r="AI23" s="34" t="inlineStr">
        <is>
          <t>T2</t>
        </is>
      </c>
      <c r="AJ23" s="34" t="inlineStr">
        <is>
          <t>med</t>
        </is>
      </c>
      <c r="AK23" s="41" t="n">
        <v>0.9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Minor Hotels captive gateway — Anantara Uluwatu Benoa marina transfer.</t>
        </is>
      </c>
      <c r="AZ23" s="46" t="inlineStr">
        <is>
          <t>minor-hotels-bali-flagship-economics-DRAFT.json — Uluwatu gateway pool</t>
        </is>
      </c>
      <c r="BA23" s="34" t="inlineStr">
        <is>
          <t>rn-c256a044c8be</t>
        </is>
      </c>
    </row>
    <row r="24">
      <c r="A24" s="31" t="inlineStr">
        <is>
          <t>Jakarta</t>
        </is>
      </c>
      <c r="B24" s="31" t="inlineStr">
        <is>
          <t>Indonesia</t>
        </is>
      </c>
      <c r="C24" s="32" t="inlineStr">
        <is>
          <t>Batavia Marina (Sunda Kelapa) → Batavia Marina (Sunda Kelapa)</t>
        </is>
      </c>
      <c r="D24" s="33" t="n">
        <v>8</v>
      </c>
      <c r="E24" s="27" t="n">
        <v>35</v>
      </c>
      <c r="F24" s="34" t="inlineStr">
        <is>
          <t>T1</t>
        </is>
      </c>
      <c r="G24" s="34" t="inlineStr">
        <is>
          <t>high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10000</v>
      </c>
      <c r="AI24" s="34" t="n"/>
      <c r="AJ24" s="34" t="n"/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Operator site quicksilver-bali.com [QUICKSILVER JAKARTA] 'Quicky Sunset': IDR 570,000/pax (adult=child), incl. welcome drink, buffet dinner, live music, 1.5h sail + 1h dockside (May-2026 departure listing). Corroborated: Traveloka listing Rp499,000 promo / Rp599,000 rack for Quicksilver VI Sunset Cruise. Premium tier: Quicksilver FB 'premium sunset experience' Rp1,250,000/pax; Jakarta Phinisi join-trip $75-95 (Wandernesia).</t>
        </is>
      </c>
      <c r="AZ24" s="46" t="n"/>
      <c r="BA24" s="34" t="n"/>
    </row>
    <row r="25">
      <c r="A25" s="31" t="inlineStr">
        <is>
          <t>Singapore</t>
        </is>
      </c>
      <c r="B25" s="31" t="inlineStr">
        <is>
          <t>Indonesia</t>
        </is>
      </c>
      <c r="C25" s="32" t="inlineStr">
        <is>
          <t>ONE°15 Marina Sentosa Cove → Harbour Bay</t>
        </is>
      </c>
      <c r="D25" s="33" t="n">
        <v>11.2</v>
      </c>
      <c r="E25" s="27" t="n">
        <v>50</v>
      </c>
      <c r="F25" s="34" t="inlineStr">
        <is>
          <t>T3</t>
        </is>
      </c>
      <c r="G25" s="34" t="inlineStr">
        <is>
          <t>med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Korea",FLOOR(60*korea_service_hr/K25,1),MIN(24,FLOOR(60*service_hr/K25,1)))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5000</v>
      </c>
      <c r="AI25" s="34" t="inlineStr">
        <is>
          <t>T3</t>
        </is>
      </c>
      <c r="AJ25" s="34" t="inlineStr">
        <is>
          <t>med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economics_by_route_id.json</t>
        </is>
      </c>
      <c r="AZ25" s="46" t="inlineStr">
        <is>
          <t>gojek-127/route+economics</t>
        </is>
      </c>
      <c r="BA25" s="34" t="inlineStr">
        <is>
          <t>rn-76264638fa6b</t>
        </is>
      </c>
    </row>
    <row r="26">
      <c r="A26" s="31" t="inlineStr">
        <is>
          <t>Singapore</t>
        </is>
      </c>
      <c r="B26" s="31" t="inlineStr">
        <is>
          <t>Indonesia</t>
        </is>
      </c>
      <c r="C26" s="32" t="inlineStr">
        <is>
          <t>Riau Islands → ONE°15 Marina Sentosa Cove Singapore</t>
        </is>
      </c>
      <c r="D26" s="33" t="n">
        <v>11.9</v>
      </c>
      <c r="E26" s="27" t="n">
        <v>50</v>
      </c>
      <c r="F26" s="34" t="inlineStr">
        <is>
          <t>T3</t>
        </is>
      </c>
      <c r="G26" s="34" t="inlineStr">
        <is>
          <t>med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Korea",FLOOR(60*korea_service_hr/K26,1),MIN(24,FLOOR(60*service_hr/K26,1)))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5000</v>
      </c>
      <c r="AI26" s="34" t="inlineStr">
        <is>
          <t>T3</t>
        </is>
      </c>
      <c r="AJ26" s="34" t="inlineStr">
        <is>
          <t>med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economics_by_route_id.json</t>
        </is>
      </c>
      <c r="AZ26" s="46" t="inlineStr">
        <is>
          <t>gojek-127/route+economics</t>
        </is>
      </c>
      <c r="BA26" s="34" t="inlineStr">
        <is>
          <t>rn-2568d40ee060</t>
        </is>
      </c>
    </row>
    <row r="27">
      <c r="A27" s="31" t="inlineStr">
        <is>
          <t>Bali</t>
        </is>
      </c>
      <c r="B27" s="31" t="inlineStr">
        <is>
          <t>Indonesia</t>
        </is>
      </c>
      <c r="C27" s="32" t="inlineStr">
        <is>
          <t>Bali (Benoa / Sanur) → Nusa Penida / Lembongan</t>
        </is>
      </c>
      <c r="D27" s="33" t="n">
        <v>13.5</v>
      </c>
      <c r="E27" s="27" t="n">
        <v>60</v>
      </c>
      <c r="F27" s="34" t="inlineStr">
        <is>
          <t>T3</t>
        </is>
      </c>
      <c r="G27" s="34" t="inlineStr">
        <is>
          <t>med-high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1500000</v>
      </c>
      <c r="AI27" s="34" t="inlineStr">
        <is>
          <t>T2</t>
        </is>
      </c>
      <c r="AJ27" s="34" t="inlineStr">
        <is>
          <t>med-high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Premium private transfer tier, Sanur-&gt;Nusa Penida. Tripadvisor 'Private and Luxury' $75/adult (bundles tour, excluded as overclaim); Klook Premium Speedboat; standard fast boat $37-40. Anchored at $60 = clean premium point-to-point transfer, conservative vs $75 bundled.</t>
        </is>
      </c>
      <c r="AZ27" s="46" t="inlineStr">
        <is>
          <t>Klungkung Tourism Office (Dispar) official levy count, 2025: 1,078,125 visitors to Kawasan Wisata Nusa Penida (1,070,616 adults @ Rp25,000 retribution + 7,509 children @ Rp15,000), PAD Rp 26.88B (NusaBali, 27-Feb-2026, https://www.nusabali.com/berita/214419/tahun-2025-nusa-penida-dikunjungi-1-juta-lebih-wisatawan). 2023 was ~729k (Klungkung); regent's 2026 target 2-2.5M. Levy is collected at island entry -&gt; fee-paying turnstile-grade count (R3-GOLD pattern). Nusa Penida district (incl. Lembongan/Ceningan) is boat-only - no airport, no bridge to Bali -&gt; R3-EXCEPTION: arrivals = crossing ridership.</t>
        </is>
      </c>
      <c r="BA27" s="34" t="inlineStr">
        <is>
          <t>gcn-3d7809869d-shared</t>
        </is>
      </c>
    </row>
    <row r="28">
      <c r="A28" s="31" t="inlineStr">
        <is>
          <t>Bali</t>
        </is>
      </c>
      <c r="B28" s="31" t="inlineStr">
        <is>
          <t>Indonesia</t>
        </is>
      </c>
      <c r="C28" s="32" t="inlineStr">
        <is>
          <t>Sanur Beach Fast Boat Terminal → Nusa Penida (Toyapakeh / Banjar Nyuh harbour)</t>
        </is>
      </c>
      <c r="D28" s="33" t="n">
        <v>13.5</v>
      </c>
      <c r="E28" s="27" t="n">
        <v>50</v>
      </c>
      <c r="F28" s="34" t="inlineStr">
        <is>
          <t>T3</t>
        </is>
      </c>
      <c r="G28" s="34" t="inlineStr">
        <is>
          <t>med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Korea",FLOOR(60*korea_service_hr/K28,1),MIN(24,FLOOR(60*service_hr/K28,1)))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5000</v>
      </c>
      <c r="AI28" s="34" t="inlineStr">
        <is>
          <t>T3</t>
        </is>
      </c>
      <c r="AJ28" s="34" t="inlineStr">
        <is>
          <t>med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economics_by_route_id.json</t>
        </is>
      </c>
      <c r="AZ28" s="46" t="inlineStr">
        <is>
          <t>gojek-127/route+economics</t>
        </is>
      </c>
      <c r="BA28" s="34" t="inlineStr">
        <is>
          <t>ics-2c1d5b96c1</t>
        </is>
      </c>
    </row>
    <row r="29">
      <c r="A29" s="31" t="inlineStr">
        <is>
          <t>Bali</t>
        </is>
      </c>
      <c r="B29" s="31" t="inlineStr">
        <is>
          <t>Indonesia</t>
        </is>
      </c>
      <c r="C29" s="32" t="inlineStr">
        <is>
          <t>Benoa Harbour Cruise Terminal → Mushroom Bay pontoon / Beach Club (Nusa Lembongan)</t>
        </is>
      </c>
      <c r="D29" s="33" t="n">
        <v>13.6</v>
      </c>
      <c r="E29" s="27" t="n">
        <v>95</v>
      </c>
      <c r="F29" s="34" t="inlineStr">
        <is>
          <t>T1</t>
        </is>
      </c>
      <c r="G29" s="34" t="inlineStr">
        <is>
          <t>med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165000</v>
      </c>
      <c r="AI29" s="34" t="n"/>
      <c r="AJ29" s="34" t="n"/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Conservative mid of the live operator/agent ladder: Bali Hai Ultimate Lembongan Day Cruise USD 130 adult rack (T1 operator, valid to 31-Mar-2027); Bounty Day Cruise Nusa Penida Floating Beach Club IDR 2.475.000 (~USD 151, T1 operator); Quicksilver Nusa Penida full package USD 62 adult agent rate (T3 balitrips). Navier 8-pax product would be the premium small-group ride+snorkel slice without the mega-pontoon, hence mid-band anchor not rack.</t>
        </is>
      </c>
      <c r="AZ29" s="46" t="n"/>
      <c r="BA29" s="34" t="inlineStr">
        <is>
          <t>gcn-8a4dee2f56-shared</t>
        </is>
      </c>
    </row>
    <row r="30">
      <c r="A30" s="31" t="inlineStr">
        <is>
          <t>Bali</t>
        </is>
      </c>
      <c r="B30" s="31" t="inlineStr">
        <is>
          <t>Indonesia</t>
        </is>
      </c>
      <c r="C30" s="32" t="inlineStr">
        <is>
          <t>Bali (Canggu) → Uluwatu / Bukit</t>
        </is>
      </c>
      <c r="D30" s="33" t="n">
        <v>16</v>
      </c>
      <c r="E30" s="27" t="n">
        <v>16</v>
      </c>
      <c r="F30" s="34" t="inlineStr">
        <is>
          <t>T1</t>
        </is>
      </c>
      <c r="G30" s="34" t="inlineStr">
        <is>
          <t>med-high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/>
      <c r="AI30" s="34" t="inlineStr">
        <is>
          <t>T5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Estimated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GoBoat.id (operator site + baliholidaysecrets 2026): Canggu(Nelayan Beach)-&gt;Uluwatu(Padang Padang) speedboat IDR 255,000/pax, 35 min. This IS the per-seat boat product (= Navier's ridehail archetype). Single-class. Road alternatives same crossing: GoCar/GrabCar $14-21, Bluebird $18-24, private car transfer $25-35.</t>
        </is>
      </c>
      <c r="AZ30" s="46" t="inlineStr">
        <is>
          <t>GoBoat launched ~2024; '370+ daily departures' figure spans ALL its routes (Sanur/Padangbai/Canggu/Uluwatu), not this leg. No published Canggu&lt;-&gt;Uluwatu per-route ridership. Nascent single-class boat-taxi -&gt; NULL beats a guess (R2); freq x capacity (R4) possible once per-route frequency is published. Flag to cascade.</t>
        </is>
      </c>
      <c r="BA30" s="34" t="inlineStr">
        <is>
          <t>gcn-5b73241bd2-shared</t>
        </is>
      </c>
    </row>
    <row r="31">
      <c r="A31" s="31" t="inlineStr">
        <is>
          <t>Komodo Flores</t>
        </is>
      </c>
      <c r="B31" s="31" t="inlineStr">
        <is>
          <t>Indonesia</t>
        </is>
      </c>
      <c r="C31" s="32" t="inlineStr">
        <is>
          <t>Komodo → Pink Beach / Pantai Merah anchorage</t>
        </is>
      </c>
      <c r="D31" s="33" t="n">
        <v>23.9</v>
      </c>
      <c r="E31" s="27" t="n">
        <v>50</v>
      </c>
      <c r="F31" s="34" t="inlineStr">
        <is>
          <t>T3</t>
        </is>
      </c>
      <c r="G31" s="34" t="inlineStr">
        <is>
          <t>med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Korea",FLOOR(60*korea_service_hr/K31,1),MIN(24,FLOOR(60*service_hr/K31,1)))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5000</v>
      </c>
      <c r="AI31" s="34" t="inlineStr">
        <is>
          <t>T3</t>
        </is>
      </c>
      <c r="AJ31" s="34" t="inlineStr">
        <is>
          <t>med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economics_by_route_id.json</t>
        </is>
      </c>
      <c r="AZ31" s="46" t="inlineStr">
        <is>
          <t>gojek-127/route+economics</t>
        </is>
      </c>
      <c r="BA31" s="34" t="inlineStr">
        <is>
          <t>rn-453a25f98ad9</t>
        </is>
      </c>
    </row>
    <row r="32">
      <c r="A32" s="31" t="inlineStr">
        <is>
          <t>Komodo Flores</t>
        </is>
      </c>
      <c r="B32" s="31" t="inlineStr">
        <is>
          <t>Indonesia</t>
        </is>
      </c>
      <c r="C32" s="32" t="inlineStr">
        <is>
          <t>Komodo → Padar Island Viewing-Platform Pier</t>
        </is>
      </c>
      <c r="D32" s="33" t="n">
        <v>24.4</v>
      </c>
      <c r="E32" s="27" t="n">
        <v>50</v>
      </c>
      <c r="F32" s="34" t="inlineStr">
        <is>
          <t>T3</t>
        </is>
      </c>
      <c r="G32" s="34" t="inlineStr">
        <is>
          <t>med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Korea",FLOOR(60*korea_service_hr/K32,1),MIN(24,FLOOR(60*service_hr/K32,1)))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5000</v>
      </c>
      <c r="AI32" s="34" t="inlineStr">
        <is>
          <t>T3</t>
        </is>
      </c>
      <c r="AJ32" s="34" t="inlineStr">
        <is>
          <t>med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economics_by_route_id.json</t>
        </is>
      </c>
      <c r="AZ32" s="46" t="inlineStr">
        <is>
          <t>gojek-127/route+economics</t>
        </is>
      </c>
      <c r="BA32" s="34" t="inlineStr">
        <is>
          <t>rn-c5978b9ec0b4</t>
        </is>
      </c>
    </row>
    <row r="33">
      <c r="A33" s="31" t="inlineStr">
        <is>
          <t>Komodo Flores</t>
        </is>
      </c>
      <c r="B33" s="31" t="inlineStr">
        <is>
          <t>Indonesia</t>
        </is>
      </c>
      <c r="C33" s="32" t="inlineStr">
        <is>
          <t>Komodo → Komodo Island — Ata Modo village</t>
        </is>
      </c>
      <c r="D33" s="33" t="n">
        <v>24.8</v>
      </c>
      <c r="E33" s="27" t="n">
        <v>50</v>
      </c>
      <c r="F33" s="34" t="inlineStr">
        <is>
          <t>T3</t>
        </is>
      </c>
      <c r="G33" s="34" t="inlineStr">
        <is>
          <t>med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Korea",FLOOR(60*korea_service_hr/K33,1),MIN(24,FLOOR(60*service_hr/K33,1)))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5000</v>
      </c>
      <c r="AI33" s="34" t="inlineStr">
        <is>
          <t>T3</t>
        </is>
      </c>
      <c r="AJ33" s="34" t="inlineStr">
        <is>
          <t>med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economics_by_route_id.json</t>
        </is>
      </c>
      <c r="AZ33" s="46" t="inlineStr">
        <is>
          <t>gojek-127/route+economics</t>
        </is>
      </c>
      <c r="BA33" s="34" t="inlineStr">
        <is>
          <t>rn-4f204600cf23</t>
        </is>
      </c>
    </row>
    <row r="34">
      <c r="A34" s="31" t="inlineStr">
        <is>
          <t>Jakarta</t>
        </is>
      </c>
      <c r="B34" s="31" t="inlineStr">
        <is>
          <t>Indonesia</t>
        </is>
      </c>
      <c r="C34" s="32" t="inlineStr">
        <is>
          <t>Thousand Islands — inner ring → Thousand Islands — outer ring</t>
        </is>
      </c>
      <c r="D34" s="33" t="n">
        <v>28.9</v>
      </c>
      <c r="E34" s="27" t="n">
        <v>16.6</v>
      </c>
      <c r="F34" s="34" t="inlineStr">
        <is>
          <t>T5</t>
        </is>
      </c>
      <c r="G34" s="34" t="inlineStr">
        <is>
          <t>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/>
      <c r="AI34" s="34" t="inlineStr">
        <is>
          <t>T5</t>
        </is>
      </c>
      <c r="AJ34" s="34" t="inlineStr">
        <is>
          <t>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Estimated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No scheduled per-seat passenger service runs directly between the inner and outer rings; inter-island hopping is done by charter/private-tour boats. Modeled by distance interpolation on the observed Marina Ancol tariff curve (10nm Rp155k -&gt; 35nm Rp335k); 22nm =&gt; ~Rp270,000.</t>
        </is>
      </c>
      <c r="AZ34" s="46" t="inlineStr">
        <is>
          <t>No published count for inter-ring (inner-&gt;outer) crossings. Visitors transit mainland&lt;-&gt;island; scheduled inner-to-outer island-hopping service does not exist as a counted route.</t>
        </is>
      </c>
      <c r="BA34" s="34" t="inlineStr">
        <is>
          <t>ics-62e1590af9</t>
        </is>
      </c>
    </row>
    <row r="35">
      <c r="A35" s="31" t="inlineStr">
        <is>
          <t>Jakarta</t>
        </is>
      </c>
      <c r="B35" s="31" t="inlineStr">
        <is>
          <t>Indonesia</t>
        </is>
      </c>
      <c r="C35" s="32" t="inlineStr">
        <is>
          <t>Marina Ancol → Thousand Islands — outer ring (Macan / Pelangi / Putri / Sepa)</t>
        </is>
      </c>
      <c r="D35" s="33" t="n">
        <v>35.9</v>
      </c>
      <c r="E35" s="27" t="n">
        <v>24.5</v>
      </c>
      <c r="F35" s="34" t="inlineStr">
        <is>
          <t>T2/T3</t>
        </is>
      </c>
      <c r="G35" s="34" t="inlineStr">
        <is>
          <t>high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7000</v>
      </c>
      <c r="AI35" s="34" t="inlineStr">
        <is>
          <t>T2</t>
        </is>
      </c>
      <c r="AJ35" s="34" t="inlineStr">
        <is>
          <t>med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Official Marina Ancol tariff table: Pelangi/Sepa/Macan &amp; Kotok/Putri Rp335,000 one-way regular speedboat; Pulau Pantara Rp455,000 one-way; Tokopedia (endangeredstore) Pelangi/Sepa one-way Rp340,000. Resort day/2D1N packages (Sepa Rp1,250,000 one-day incl. transport+lunch+activities; Putri 2D1N Rp1,610,000-2,200,000) include premium boat but are bundles, not pure transfer. Premium per-seat transfer anchored ~Rp400,000.</t>
        </is>
      </c>
      <c r="AZ35" s="46" t="inlineStr">
        <is>
          <t>Sudin Parekraf Kepulauan Seribu official 2025: resort islands 13,932 total (Putri #2 and Macan #3 most-visited resorts; plus Pelangi/Sepa/Pantara). Outer-ring resort share modeled at ~7,000/yr (remainder of the 13,932 resort pool after inner-ring Bidadari/Ayer).</t>
        </is>
      </c>
      <c r="BA35" s="34" t="inlineStr">
        <is>
          <t>ics-fe31c28f2c</t>
        </is>
      </c>
    </row>
    <row r="36">
      <c r="A36" s="31" t="inlineStr">
        <is>
          <t>Eastern Indonesia</t>
        </is>
      </c>
      <c r="B36" s="31" t="inlineStr">
        <is>
          <t>Indonesia</t>
        </is>
      </c>
      <c r="C36" s="32" t="inlineStr">
        <is>
          <t>Raja Ampat → Waisai Waterfront</t>
        </is>
      </c>
      <c r="D36" s="33" t="n">
        <v>38.7</v>
      </c>
      <c r="E36" s="27" t="n">
        <v>50</v>
      </c>
      <c r="F36" s="34" t="inlineStr">
        <is>
          <t>T3</t>
        </is>
      </c>
      <c r="G36" s="34" t="inlineStr">
        <is>
          <t>med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5000</v>
      </c>
      <c r="AI36" s="34" t="inlineStr">
        <is>
          <t>T3</t>
        </is>
      </c>
      <c r="AJ36" s="34" t="inlineStr">
        <is>
          <t>med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economics_by_route_id.json</t>
        </is>
      </c>
      <c r="AZ36" s="46" t="inlineStr">
        <is>
          <t>gojek-127/route+economics</t>
        </is>
      </c>
      <c r="BA36" s="34" t="inlineStr">
        <is>
          <t>ics-90f2ce57d8</t>
        </is>
      </c>
    </row>
    <row r="37">
      <c r="A37" s="31" t="inlineStr">
        <is>
          <t>Eastern Indonesia</t>
        </is>
      </c>
      <c r="B37" s="31" t="inlineStr">
        <is>
          <t>Indonesia</t>
        </is>
      </c>
      <c r="C37" s="32" t="inlineStr">
        <is>
          <t>Raja Ampat → Mioskon Islet</t>
        </is>
      </c>
      <c r="D37" s="33" t="n">
        <v>40</v>
      </c>
      <c r="E37" s="27" t="n">
        <v>50</v>
      </c>
      <c r="F37" s="34" t="inlineStr">
        <is>
          <t>T3</t>
        </is>
      </c>
      <c r="G37" s="34" t="inlineStr">
        <is>
          <t>med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5000</v>
      </c>
      <c r="AI37" s="34" t="inlineStr">
        <is>
          <t>T3</t>
        </is>
      </c>
      <c r="AJ37" s="34" t="inlineStr">
        <is>
          <t>med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economics_by_route_id.json</t>
        </is>
      </c>
      <c r="AZ37" s="46" t="inlineStr">
        <is>
          <t>gojek-127/route+economics</t>
        </is>
      </c>
      <c r="BA37" s="34" t="inlineStr">
        <is>
          <t>ics-71281cdfb5</t>
        </is>
      </c>
    </row>
    <row r="38">
      <c r="A38" s="31" t="inlineStr">
        <is>
          <t>Eastern Indonesia</t>
        </is>
      </c>
      <c r="B38" s="31" t="inlineStr">
        <is>
          <t>Indonesia</t>
        </is>
      </c>
      <c r="C38" s="32" t="inlineStr">
        <is>
          <t>Raja Ampat → Mansuar Island South</t>
        </is>
      </c>
      <c r="D38" s="33" t="n">
        <v>41.2</v>
      </c>
      <c r="E38" s="27" t="n">
        <v>50</v>
      </c>
      <c r="F38" s="34" t="inlineStr">
        <is>
          <t>T3</t>
        </is>
      </c>
      <c r="G38" s="34" t="inlineStr">
        <is>
          <t>med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5000</v>
      </c>
      <c r="AI38" s="34" t="inlineStr">
        <is>
          <t>T3</t>
        </is>
      </c>
      <c r="AJ38" s="34" t="inlineStr">
        <is>
          <t>med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economics_by_route_id.json</t>
        </is>
      </c>
      <c r="AZ38" s="46" t="inlineStr">
        <is>
          <t>gojek-127/route+economics</t>
        </is>
      </c>
      <c r="BA38" s="34" t="inlineStr">
        <is>
          <t>ics-da5220fd24</t>
        </is>
      </c>
    </row>
    <row r="39">
      <c r="A39" s="31" t="inlineStr">
        <is>
          <t>Bali</t>
        </is>
      </c>
      <c r="B39" s="31" t="inlineStr">
        <is>
          <t>Indonesia</t>
        </is>
      </c>
      <c r="C39" s="32" t="inlineStr">
        <is>
          <t>Bali → Gili Islands / Lombok</t>
        </is>
      </c>
      <c r="D39" s="33" t="n">
        <v>45</v>
      </c>
      <c r="E39" s="27" t="n">
        <v>64</v>
      </c>
      <c r="F39" s="34" t="inlineStr">
        <is>
          <t>T3</t>
        </is>
      </c>
      <c r="G39" s="34" t="inlineStr">
        <is>
          <t>med-high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600000</v>
      </c>
      <c r="AI39" s="34" t="inlineStr">
        <is>
          <t>T5</t>
        </is>
      </c>
      <c r="AJ39" s="34" t="inlineStr">
        <is>
          <t>low-med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Premium transfer tier, Bali-&gt;Gili Trawangan. Tripadvisor 'Luxury Speedboat Transfer' $64; standard $28-42; budget ~$20; whole-boat private $500-1200.</t>
        </is>
      </c>
      <c r="AZ39" s="46" t="inlineStr">
        <is>
          <t>No published count for the Bali-origin fast-boat leg specifically. Triangulation anchors: (1) UPTD Pelabuhan Bangsal (Lombok-side public port) recorded 574,107 arrivals to Gili Trawangan (406k) + Gili Air (168k) in 2024 - BPK-audited figure exposing Dispar undercount of 128,774 (Radar Lombok, Aug-2025, https://radarlombok.co.id/bpk-temukan-selisih-besar-data-kunjungan-wisata-gili-pad-berpotensi-bocor-banyak.html) - that is the LOMBOK leg (R3-PIER: different pier), used as magnitude bound; (2) Kab. Lombok Utara 2024 total visitors ~700k (ekbisntb.com, Jan-2025); (3) live operator schedules: daily fast-boat departures from Padangbai, Sanur, Serangan and Amed by Eka Jaya (180 seats, multiple trips/day), BlueWater Express (3x daily peak), Gili Getaway, Semaya One, Wanderlust, Ostina etc. (gilitickets.com, ferryhopper.com, 2025-26 listings).</t>
        </is>
      </c>
      <c r="BA39" s="34" t="inlineStr">
        <is>
          <t>gcn-869b9d144c-shared</t>
        </is>
      </c>
    </row>
    <row r="40">
      <c r="A40" s="31" t="inlineStr">
        <is>
          <t>Bali</t>
        </is>
      </c>
      <c r="B40" s="31" t="inlineStr">
        <is>
          <t>Indonesia</t>
        </is>
      </c>
      <c r="C40" s="32" t="inlineStr">
        <is>
          <t>Bali → Lombok</t>
        </is>
      </c>
      <c r="D40" s="33" t="n">
        <v>52.7</v>
      </c>
      <c r="E40" s="27" t="n">
        <v>50</v>
      </c>
      <c r="F40" s="34" t="inlineStr">
        <is>
          <t>T3</t>
        </is>
      </c>
      <c r="G40" s="34" t="inlineStr">
        <is>
          <t>med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5000</v>
      </c>
      <c r="AI40" s="34" t="inlineStr">
        <is>
          <t>T3</t>
        </is>
      </c>
      <c r="AJ40" s="34" t="inlineStr">
        <is>
          <t>med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economics_by_route_id.json</t>
        </is>
      </c>
      <c r="AZ40" s="46" t="inlineStr">
        <is>
          <t>gojek-127/route+economics</t>
        </is>
      </c>
      <c r="BA40" s="34" t="inlineStr">
        <is>
          <t>rn-91e276ba733c</t>
        </is>
      </c>
    </row>
    <row r="41">
      <c r="A41" s="31" t="inlineStr">
        <is>
          <t>Bali</t>
        </is>
      </c>
      <c r="B41" s="31" t="inlineStr">
        <is>
          <t>Indonesia</t>
        </is>
      </c>
      <c r="C41" s="32" t="inlineStr">
        <is>
          <t>Bali → Lombok</t>
        </is>
      </c>
      <c r="D41" s="33" t="n">
        <v>55</v>
      </c>
      <c r="E41" s="27" t="n">
        <v>50</v>
      </c>
      <c r="F41" s="34" t="inlineStr">
        <is>
          <t>T3</t>
        </is>
      </c>
      <c r="G41" s="34" t="inlineStr">
        <is>
          <t>med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5000</v>
      </c>
      <c r="AI41" s="34" t="inlineStr">
        <is>
          <t>T3</t>
        </is>
      </c>
      <c r="AJ41" s="34" t="inlineStr">
        <is>
          <t>med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economics_by_route_id.json</t>
        </is>
      </c>
      <c r="AZ41" s="46" t="inlineStr">
        <is>
          <t>gojek-127/route+economics</t>
        </is>
      </c>
      <c r="BA41" s="34" t="inlineStr">
        <is>
          <t>rn-c001edd855aa</t>
        </is>
      </c>
    </row>
    <row r="42">
      <c r="A42" s="31" t="inlineStr">
        <is>
          <t>Bali</t>
        </is>
      </c>
      <c r="B42" s="31" t="inlineStr">
        <is>
          <t>Indonesia</t>
        </is>
      </c>
      <c r="C42" s="32" t="inlineStr">
        <is>
          <t>Lombok → Gili Trawangan main jetty</t>
        </is>
      </c>
      <c r="D42" s="33" t="n">
        <v>62.6</v>
      </c>
      <c r="E42" s="27" t="n">
        <v>50</v>
      </c>
      <c r="F42" s="34" t="inlineStr">
        <is>
          <t>T3</t>
        </is>
      </c>
      <c r="G42" s="34" t="inlineStr">
        <is>
          <t>med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5000</v>
      </c>
      <c r="AI42" s="34" t="inlineStr">
        <is>
          <t>T3</t>
        </is>
      </c>
      <c r="AJ42" s="34" t="inlineStr">
        <is>
          <t>med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economics_by_route_id.json</t>
        </is>
      </c>
      <c r="AZ42" s="46" t="inlineStr">
        <is>
          <t>gojek-127/route+economics</t>
        </is>
      </c>
      <c r="BA42" s="34" t="inlineStr">
        <is>
          <t>rn-14140e408593</t>
        </is>
      </c>
    </row>
    <row r="43">
      <c r="A43" s="31" t="inlineStr">
        <is>
          <t>Bali</t>
        </is>
      </c>
      <c r="B43" s="31" t="inlineStr">
        <is>
          <t>Indonesia</t>
        </is>
      </c>
      <c r="C43" s="32" t="inlineStr">
        <is>
          <t>Lombok → Gili Air main jetty</t>
        </is>
      </c>
      <c r="D43" s="33" t="n">
        <v>63.1</v>
      </c>
      <c r="E43" s="27" t="n">
        <v>50</v>
      </c>
      <c r="F43" s="34" t="inlineStr">
        <is>
          <t>T3</t>
        </is>
      </c>
      <c r="G43" s="34" t="inlineStr">
        <is>
          <t>med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5000</v>
      </c>
      <c r="AI43" s="34" t="inlineStr">
        <is>
          <t>T3</t>
        </is>
      </c>
      <c r="AJ43" s="34" t="inlineStr">
        <is>
          <t>med</t>
        </is>
      </c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economics_by_route_id.json</t>
        </is>
      </c>
      <c r="AZ43" s="46" t="inlineStr">
        <is>
          <t>gojek-127/route+economics</t>
        </is>
      </c>
      <c r="BA43" s="34" t="inlineStr">
        <is>
          <t>rn-56e10fe5aab7</t>
        </is>
      </c>
    </row>
    <row r="44">
      <c r="A44" s="31" t="inlineStr">
        <is>
          <t>Langkawi</t>
        </is>
      </c>
      <c r="B44" s="31" t="inlineStr">
        <is>
          <t>Malaysia</t>
        </is>
      </c>
      <c r="C44" s="32" t="inlineStr">
        <is>
          <t>George Town (Swettenham) → Butterworth (mainland)</t>
        </is>
      </c>
      <c r="D44" s="33" t="n">
        <v>1.62</v>
      </c>
      <c r="E44" s="27" t="n"/>
      <c r="F44" s="34" t="inlineStr">
        <is>
          <t>T1</t>
        </is>
      </c>
      <c r="G44" s="34" t="inlineStr">
        <is>
          <t>high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/>
      <c r="AI44" s="34" t="inlineStr">
        <is>
          <t>T2</t>
        </is>
      </c>
      <c r="AJ44" s="34" t="inlineStr">
        <is>
          <t>high</t>
        </is>
      </c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Estimated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inlineStr">
        <is>
          <t>Penang Port public ferry (George Town&lt;-&gt;Butterworth) adult pedestrian fare RM2.00/way (RM1.00 under-12), per penangport.gov.my &amp; 2023 fare notice. RM2 @4.30 = $0.47.</t>
        </is>
      </c>
      <c r="AZ44" s="46" t="inlineStr">
        <is>
          <t>Penang ferry service recorded 2.1 million passengers + 747,785 vehicles in 2024 (Wikipedia / Penang Port). New service hit 5M cumulative &lt;2yr (The Star, May 2025).</t>
        </is>
      </c>
      <c r="BA44" s="34" t="inlineStr">
        <is>
          <t>gcn-c46f3bf4b8-shared</t>
        </is>
      </c>
    </row>
    <row r="45">
      <c r="A45" s="31" t="inlineStr">
        <is>
          <t>Borneo</t>
        </is>
      </c>
      <c r="B45" s="31" t="inlineStr">
        <is>
          <t>Malaysia</t>
        </is>
      </c>
      <c r="C45" s="32" t="inlineStr">
        <is>
          <t>Kota Kinabalu (Jesselton Point) → Tunku Abdul Rahman park (Gaya / Manukan / Sapi)</t>
        </is>
      </c>
      <c r="D45" s="33" t="n">
        <v>3.16</v>
      </c>
      <c r="E45" s="27" t="n"/>
      <c r="F45" s="34" t="inlineStr">
        <is>
          <t>T3</t>
        </is>
      </c>
      <c r="G45" s="34" t="inlineStr">
        <is>
          <t>med</t>
        </is>
      </c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inlineStr">
        <is>
          <t>T2</t>
        </is>
      </c>
      <c r="AJ45" s="34" t="inlineStr">
        <is>
          <t>high</t>
        </is>
      </c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inlineStr">
        <is>
          <t>Jesselton Point speedboat to TAR islands: standard RM23 (one island, return) + RM7.20 terminal fee (Tripadvisor); multi-island RM35-65/pax (Instagram/longbeachsabah RM60+); private charter ~RM200/boat (borneotropical). Premium per-seat one-way ~RM35 = $8.</t>
        </is>
      </c>
      <c r="AZ45" s="46" t="inlineStr">
        <is>
          <t>Sabah Parks Dashboard (dashboard.sabahparks.org.my): Tunku Abdul Rahman Park highest accumulated visitor volume 546,383 (2025); &gt;500k in 2019 (citympvtravel).</t>
        </is>
      </c>
      <c r="BA45" s="34" t="inlineStr">
        <is>
          <t>gcn-40abc82f4b-shared</t>
        </is>
      </c>
    </row>
    <row r="46">
      <c r="A46" s="31" t="inlineStr">
        <is>
          <t>Borneo</t>
        </is>
      </c>
      <c r="B46" s="31" t="inlineStr">
        <is>
          <t>Malaysia</t>
        </is>
      </c>
      <c r="C46" s="32" t="inlineStr">
        <is>
          <t>Kota Kinabalu (Sutera Harbour) → Gaya Island resorts</t>
        </is>
      </c>
      <c r="D46" s="33" t="n">
        <v>4.29</v>
      </c>
      <c r="E46" s="27" t="n">
        <v>19</v>
      </c>
      <c r="F46" s="34" t="inlineStr">
        <is>
          <t>T1</t>
        </is>
      </c>
      <c r="G46" s="34" t="inlineStr">
        <is>
          <t>high</t>
        </is>
      </c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>
        <v>45000</v>
      </c>
      <c r="AI46" s="34" t="inlineStr">
        <is>
          <t>T5</t>
        </is>
      </c>
      <c r="AJ46" s="34" t="inlineStr">
        <is>
          <t>low</t>
        </is>
      </c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Grounded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inlineStr">
        <is>
          <t>Gaya Island Resort scheduled speedboat transfer MYR160/adult round-trip (Agoda) / MYR172.80 rt (Klook) = ~RM80-86 one-way ($19-20); +RM10/way fuel surcharge (2026); private charter RM500/boat/way. Sutera/STAR Marina jetty origin.</t>
        </is>
      </c>
      <c r="AZ46" s="46" t="inlineStr">
        <is>
          <t>Served Gaya luxury resorts (Gaya Island Resort, Bunga Raya, Gayana ~200 villas combined). Modeled guest arrivals ~45k/yr (occupancy x turns). Subset of TAR-park traffic via Sutera Marina.</t>
        </is>
      </c>
      <c r="BA46" s="34" t="inlineStr">
        <is>
          <t>gcn-b708b60165-shared</t>
        </is>
      </c>
    </row>
    <row r="47">
      <c r="A47" s="31" t="inlineStr">
        <is>
          <t>Penang</t>
        </is>
      </c>
      <c r="B47" s="31" t="inlineStr">
        <is>
          <t>Malaysia</t>
        </is>
      </c>
      <c r="C47" s="32" t="inlineStr">
        <is>
          <t>George Town → Batu Ferringhi resort strip</t>
        </is>
      </c>
      <c r="D47" s="33" t="n">
        <v>6.6</v>
      </c>
      <c r="E47" s="27" t="n">
        <v>30</v>
      </c>
      <c r="F47" s="34" t="inlineStr">
        <is>
          <t>T5</t>
        </is>
      </c>
      <c r="G47" s="34" t="inlineStr">
        <is>
          <t>low</t>
        </is>
      </c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/>
      <c r="AI47" s="34" t="inlineStr">
        <is>
          <t>T5</t>
        </is>
      </c>
      <c r="AJ47" s="34" t="inlineStr">
        <is>
          <t>low</t>
        </is>
      </c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Estimated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inlineStr">
        <is>
          <t>No scheduled passenger boat George Town&lt;-&gt;Batu Ferringhi; the resort strip is reached by road along the north coast. Modeled premium per-seat scenic speedboat transfer ~RM130/way ($30) by analogy to short Sabah/Langkawi private-speedboat seats.</t>
        </is>
      </c>
      <c r="AZ47" s="46" t="inlineStr">
        <is>
          <t>No boat crossing exists; Batu Ferringhi hotel-strip arrivals come by road. No credible on-water pax pool.</t>
        </is>
      </c>
      <c r="BA47" s="34" t="n"/>
    </row>
    <row r="48">
      <c r="A48" s="31" t="inlineStr">
        <is>
          <t>Penang</t>
        </is>
      </c>
      <c r="B48" s="31" t="inlineStr">
        <is>
          <t>Malaysia</t>
        </is>
      </c>
      <c r="C48" s="32" t="inlineStr">
        <is>
          <t>Kuah Jetty (Langkawi) → Langkawi geopark island-hop (Dayang Bunting / Payar)</t>
        </is>
      </c>
      <c r="D48" s="33" t="n">
        <v>10</v>
      </c>
      <c r="E48" s="27" t="n">
        <v>20</v>
      </c>
      <c r="F48" s="34" t="inlineStr">
        <is>
          <t>T3</t>
        </is>
      </c>
      <c r="G48" s="34" t="inlineStr">
        <is>
          <t>med-high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400000</v>
      </c>
      <c r="AI48" s="34" t="inlineStr">
        <is>
          <t>T5</t>
        </is>
      </c>
      <c r="AJ48" s="34" t="inlineStr">
        <is>
          <t>low</t>
        </is>
      </c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Grounded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Very liquid per-seat market: Klook shared island-hopping speedboat tour (act. 6919, '80K+ booked', 4.4/5, ~4h Dayang Bunting + eagle watching + Beras Basah) ~RM38-65/pax depending on pickup option; editorial range RM36-80/pax standard group (alike.io 2025); Klook PRIVATE 8-seater speedboat tour (act. 33941) US$135.39/boat = $17-23/seat at 6-8 pax. GetYourGuide premium shared tours ~$25-30/pax.</t>
        </is>
      </c>
      <c r="AZ48" s="46" t="inlineStr">
        <is>
          <t>LADA official visitor arrivals: 3,215,730 (2025); 2,904,629 (2024) (lada.gov.my). Corroboration of experience liquidity: single Klook shared-tour listing shows 80K+ cumulative bookings; island hopping is Langkawi's signature boat activity (Dayang Bunting geopark + Pulau Payar marine park).</t>
        </is>
      </c>
      <c r="BA48" s="34" t="inlineStr">
        <is>
          <t>gcn-a9b962223c-shared</t>
        </is>
      </c>
    </row>
    <row r="49">
      <c r="A49" s="31" t="inlineStr">
        <is>
          <t>Penang</t>
        </is>
      </c>
      <c r="B49" s="31" t="inlineStr">
        <is>
          <t>Malaysia</t>
        </is>
      </c>
      <c r="C49" s="32" t="inlineStr">
        <is>
          <t>Kuah Jetty (Langkawi) → Kuala Perlis (mainland)</t>
        </is>
      </c>
      <c r="D49" s="33" t="n">
        <v>16.8</v>
      </c>
      <c r="E49" s="27" t="n">
        <v>10.5</v>
      </c>
      <c r="F49" s="34" t="inlineStr">
        <is>
          <t>T1</t>
        </is>
      </c>
      <c r="G49" s="34" t="inlineStr">
        <is>
          <t>med-high</t>
        </is>
      </c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Korea",FLOOR(60*korea_service_hr/K49,1),MIN(15,FLOOR(60*service_hr/K49,1)))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>
        <v>1600000</v>
      </c>
      <c r="AI49" s="34" t="inlineStr">
        <is>
          <t>T2</t>
        </is>
      </c>
      <c r="AJ49" s="34" t="inlineStr">
        <is>
          <t>med</t>
        </is>
      </c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Grounded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inlineStr">
        <is>
          <t>Langkawi Ferry Line Ventures (operator): non-MyKad adult Kuala Perlis-Langkawi RM45 one-way effective 15 Apr 2026 (The Star/NST/Malay Mail 10 Apr 2026); local MyKad adult RM15 (operator site). Wantas RORO non-Malaysian RM45 (BusOnlineTicket). Operator booking system lists a VIP seat class (MY MASTER 2 VIP) above standard - price unpublished. OTA from RM47 (BusOnlineTicket).</t>
        </is>
      </c>
      <c r="AZ49" s="46" t="inlineStr">
        <is>
          <t>LADA official: 2,904,629 Langkawi visitor arrivals 2024; 3,215,730 in 2025 (lada.gov.my, counted at jetty/airport/cruise/yacht touchpoints). LGK airport 2.5M total pax movements 2024 (~1.25M arrivals, Malaysia Airports). Peak window check: 164,612 ferry pax on KP+KK routes in 18 days 16 Jan-2 Feb 2025 (Bernama), of which 51,003 arrivals via Kuala Perlis (~62% of arrivals).</t>
        </is>
      </c>
      <c r="BA49" s="34" t="inlineStr">
        <is>
          <t>gcn-4ba5d765fa-shared</t>
        </is>
      </c>
    </row>
    <row r="50">
      <c r="A50" s="31" t="inlineStr">
        <is>
          <t>Penang</t>
        </is>
      </c>
      <c r="B50" s="31" t="inlineStr">
        <is>
          <t>Malaysia</t>
        </is>
      </c>
      <c r="C50" s="32" t="inlineStr">
        <is>
          <t>Telaga Harbour (Langkawi) → Koh Lipe (Thailand)</t>
        </is>
      </c>
      <c r="D50" s="33" t="n">
        <v>23</v>
      </c>
      <c r="E50" s="27" t="n">
        <v>41.9</v>
      </c>
      <c r="F50" s="34" t="inlineStr">
        <is>
          <t>T3</t>
        </is>
      </c>
      <c r="G50" s="34" t="inlineStr">
        <is>
          <t>high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45000</v>
      </c>
      <c r="AI50" s="34" t="inlineStr">
        <is>
          <t>T5</t>
        </is>
      </c>
      <c r="AJ50" s="34" t="inlineStr">
        <is>
          <t>med-low</t>
        </is>
      </c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2025-26 season (Oct 2025-31 May 2026): Telaga Harbour -&gt; Koh Lipe one-way adult RM180 = $41.9 (kohlipeisland.org season fare table; operators Tropical Charters + Bundhaya Speed Boat / Tigerline, ~90 min speedboat); DirectFerries cheapest $42 Koh Lipe-Telaga; ferrygogo 'from RM145' Bundhaya. Koh Lipe -&gt; Langkawi THB1,200-1,400 ($34-40). Tarutao NP fee THB200 paid separately on arrival (NOT in fare - no netting needed).</t>
        </is>
      </c>
      <c r="AZ50" s="46" t="inlineStr">
        <is>
          <t>No published crossing count. Schedule (2025-26): core season 1 Nov-14 Apr ~2-3 departures/day (Telaga 2/day + Kuah extras), shoulder Oct + mid-Apr-May 1/day; ~80-100-seat speedboats/fast ferries. Context: Tarutao National Marine Park ~238,000 visitors/yr (park-wide; majority of Koh Lipe traffic arrives via Pak Bara, Thailand - this crossing is the minority international leg).</t>
        </is>
      </c>
      <c r="BA50" s="34" t="inlineStr">
        <is>
          <t>gcn-b3d5523f36-shared</t>
        </is>
      </c>
    </row>
    <row r="51">
      <c r="A51" s="31" t="inlineStr">
        <is>
          <t>Penang</t>
        </is>
      </c>
      <c r="B51" s="31" t="inlineStr">
        <is>
          <t>Malaysia</t>
        </is>
      </c>
      <c r="C51" s="32" t="inlineStr">
        <is>
          <t>Langkawi → Koh Lipe (Thailand)</t>
        </is>
      </c>
      <c r="D51" s="33" t="n">
        <v>24.6</v>
      </c>
      <c r="E51" s="27" t="n">
        <v>37</v>
      </c>
      <c r="F51" s="34" t="inlineStr">
        <is>
          <t>T3</t>
        </is>
      </c>
      <c r="G51" s="34" t="inlineStr">
        <is>
          <t>high</t>
        </is>
      </c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Korea",FLOOR(60*korea_service_hr/K51,1),MIN(15,FLOOR(60*service_hr/K51,1)))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>
        <v>60000</v>
      </c>
      <c r="AI51" s="34" t="inlineStr">
        <is>
          <t>T5</t>
        </is>
      </c>
      <c r="AJ51" s="34" t="inlineStr">
        <is>
          <t>low</t>
        </is>
      </c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Grounded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inlineStr">
        <is>
          <t>Langkawi (Telaga Harbour)-&gt;Koh Lipe international speedboat: RM160 adult one-way (kohlipe.my, agoda-class listings), RM110-180 across operators (Bundhaya/Telaga Terminal; busonlineticket RM110-128, kohlipeisland.org RM180). Plus Thai marine-park 200THB &amp; immigration. RM160 @4.30 = $37.</t>
        </is>
      </c>
      <c r="AZ51" s="46" t="inlineStr">
        <is>
          <t>No published crossing-specific count. Koh Lipe receives an estimated low-hundreds-of-thousands seasonal visitors, but the MAJORITY arrive via Pak Bara (Thai mainland), not Langkawi (R3). Modeled Malaysia-side subset ~60k/yr (freq x capacity x ~180 season days, R4).</t>
        </is>
      </c>
      <c r="BA51" s="34" t="inlineStr">
        <is>
          <t>rn-52d49854390c</t>
        </is>
      </c>
    </row>
    <row r="52">
      <c r="A52" s="31" t="inlineStr">
        <is>
          <t>Penang</t>
        </is>
      </c>
      <c r="B52" s="31" t="inlineStr">
        <is>
          <t>Malaysia</t>
        </is>
      </c>
      <c r="C52" s="32" t="inlineStr">
        <is>
          <t>Kuah Jetty (Langkawi) → Kuala Kedah (mainland)</t>
        </is>
      </c>
      <c r="D52" s="33" t="n">
        <v>27</v>
      </c>
      <c r="E52" s="27" t="n">
        <v>12.8</v>
      </c>
      <c r="F52" s="34" t="inlineStr">
        <is>
          <t>T1</t>
        </is>
      </c>
      <c r="G52" s="34" t="inlineStr">
        <is>
          <t>med-high</t>
        </is>
      </c>
      <c r="H52" s="20" t="n">
        <v>1</v>
      </c>
      <c r="I52" s="35">
        <f>60*D52/cruise_kt</f>
        <v/>
      </c>
      <c r="J52" s="35">
        <f>IF(B52="South Korea",D52/korea_charge_range_nm*korea_full_range_charge_min,0)</f>
        <v/>
      </c>
      <c r="K52" s="35">
        <f>IF(B52="South Korea",I52+korea_turn_min+korea_dwell_min+J52,I52+turn_min+dwell_min)</f>
        <v/>
      </c>
      <c r="L52" s="36">
        <f>IF(B52="South Korea",FLOOR(60*korea_service_hr/K52,1),MIN(15,FLOOR(60*service_hr/K52,1)))</f>
        <v/>
      </c>
      <c r="M52" s="36">
        <f>IF(ABS(MOD(ABS((365*mech_uptime*H52)),1)-0.5)&lt;1E-9,2*ROUND((365*mech_uptime*H52)/2,0),ROUND((365*mech_uptime*H52),0))</f>
        <v/>
      </c>
      <c r="N52" s="37">
        <f>mech_uptime</f>
        <v/>
      </c>
      <c r="O52" s="37">
        <f>IF(AND(B52="South Korea",scenario="MID"),korea_mid_revleg,revleg_sel)</f>
        <v/>
      </c>
      <c r="P52" s="36">
        <f>IF(ABS(MOD(ABS((L52*M52*O52)),1)-0.5)&lt;1E-9,2*ROUND((L52*M52*O52)/2,0),ROUND((L52*M52*O52),0))</f>
        <v/>
      </c>
      <c r="Q52" s="37">
        <f>IF(AND(B52="South Korea",scenario="MID"),korea_mid_load,load_sel)</f>
        <v/>
      </c>
      <c r="R52" s="38">
        <f>pax_cap*Q52</f>
        <v/>
      </c>
      <c r="S52" s="36">
        <f>R52*P52</f>
        <v/>
      </c>
      <c r="T52" s="39">
        <f>E52*discount</f>
        <v/>
      </c>
      <c r="U52" s="40">
        <f>T52*S52</f>
        <v/>
      </c>
      <c r="V52" s="40">
        <f>(battery/range_nm)*D52*P52*VLOOKUP(B52,country_opex,3,FALSE)</f>
        <v/>
      </c>
      <c r="W52" s="40">
        <f>VLOOKUP(B52,country_opex,2,FALSE)*crew_factor</f>
        <v/>
      </c>
      <c r="X52" s="40">
        <f>VLOOKUP(B52,country_opex,5,FALSE)</f>
        <v/>
      </c>
      <c r="Y52" s="40">
        <f>maint</f>
        <v/>
      </c>
      <c r="Z52" s="40">
        <f>VLOOKUP(B52,country_opex,7,FALSE)*ins_pct</f>
        <v/>
      </c>
      <c r="AA52" s="40">
        <f>charge_berth</f>
        <v/>
      </c>
      <c r="AB52" s="40">
        <f>V52+W52+X52+Y52+Z52+AA52</f>
        <v/>
      </c>
      <c r="AC52" s="40">
        <f>VLOOKUP(B52,country_opex,7,FALSE)/dep_years</f>
        <v/>
      </c>
      <c r="AD52" s="40">
        <f>U52-AB52</f>
        <v/>
      </c>
      <c r="AE52" s="37">
        <f>IF(U52=0,"",AD52/U52)</f>
        <v/>
      </c>
      <c r="AF52" s="38">
        <f>IF(AD52&lt;=0,"",VLOOKUP(B52,country_opex,7,FALSE)/AD52)</f>
        <v/>
      </c>
      <c r="AG52" s="35">
        <f>((D52*P52/diesel_nmpg)*diesel_co2pg-(battery/range_nm)*D52*P52*VLOOKUP(B52,country_opex,4,FALSE))/1000</f>
        <v/>
      </c>
      <c r="AH52" s="33" t="n">
        <v>1000000</v>
      </c>
      <c r="AI52" s="34" t="inlineStr">
        <is>
          <t>T2</t>
        </is>
      </c>
      <c r="AJ52" s="34" t="inlineStr">
        <is>
          <t>med</t>
        </is>
      </c>
      <c r="AK52" s="41" t="n">
        <v>0.1</v>
      </c>
      <c r="AL52" s="36">
        <f>IF(AH52="","",AH52*AK52)</f>
        <v/>
      </c>
      <c r="AM52" s="36">
        <f>IF(OR(AH52="",S52=0),"",MIN(IF(AU52="",9.9E+99,AU52),FLOOR(AL52/S52,1)))</f>
        <v/>
      </c>
      <c r="AN52" s="40">
        <f>IF(AM52="","",AM52*IF(ABS(MOD(ABS((U52)),1)-0.5)&lt;1E-9,2*ROUND((U52)/2,0),ROUND((U52),0)))</f>
        <v/>
      </c>
      <c r="AO52" s="38">
        <f>IF(OR(AH52="",S52=0),"",MIN(IF(AU52="",9.9E+99,AU52),AL52/S52))</f>
        <v/>
      </c>
      <c r="AP52" s="40">
        <f>IF(AO52="","",AO52*IF(B52="South Korea",IF(ABS(MOD(ABS((U52)),1)-0.5)&lt;1E-9,2*ROUND((U52)/2,0),ROUND((U52),0)),U52))</f>
        <v/>
      </c>
      <c r="AQ52" s="42" t="n"/>
      <c r="AR52" s="34" t="inlineStr">
        <is>
          <t>Grounded</t>
        </is>
      </c>
      <c r="AS52" s="43" t="n"/>
      <c r="AT52" s="43" t="n"/>
      <c r="AU52" s="44" t="n"/>
      <c r="AV52" s="45">
        <f>IF(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&lt;=0,"",VLOOKUP(B52,country_opex,7,FALSE)/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)</f>
        <v/>
      </c>
      <c r="AW52" s="45">
        <f>IF(((T52*pax_cap*IF(B52="South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Korea",korea_mid_revleg,revleg_mid)),0))*VLOOKUP(B52,country_opex,3,FALSE))+W52+X52+Y52+Z52+AA52))&lt;=0,"",VLOOKUP(B52,country_opex,7,FALSE)/((T52*pax_cap*IF(B52="South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Korea",korea_mid_revleg,revleg_mid)),0))*VLOOKUP(B52,country_opex,3,FALSE))+W52+X52+Y52+Z52+AA52)))</f>
        <v/>
      </c>
      <c r="AX52" s="45">
        <f>IF(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&lt;=0,"",VLOOKUP(B52,country_opex,7,FALSE)/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)</f>
        <v/>
      </c>
      <c r="AY52" s="46" t="inlineStr">
        <is>
          <t>Langkawi Ferry Line Ventures (operator): non-MyKad adult Kuala Kedah-Langkawi RM55 one-way effective 15 Apr 2026 (The Star 10 Apr 2026: 'From Kuala Kedah, fares will be RM55 for adults and RM42 child'); local MyKad adult RM20 (operator site). VIP seat class operates on this route (MY MASTER 2 VIP sailings on operator schedule), price unpublished.</t>
        </is>
      </c>
      <c r="AZ52" s="46" t="inlineStr">
        <is>
          <t>Same base as Kuala Perlis leg: LADA 2.90M (2024)/3.22M (2025) arrivals; LGK airport 2.5M movements 2024; Bernama 164,612 ferry pax KP+KK in 18-day Jan-Feb 2025 peak; Kuala Kedah share ~38% of ferry arrivals in that window.</t>
        </is>
      </c>
      <c r="BA52" s="34" t="inlineStr">
        <is>
          <t>gcn-5126df7a91-shared</t>
        </is>
      </c>
    </row>
    <row r="53">
      <c r="A53" s="31" t="inlineStr">
        <is>
          <t>Borneo</t>
        </is>
      </c>
      <c r="B53" s="31" t="inlineStr">
        <is>
          <t>Malaysia</t>
        </is>
      </c>
      <c r="C53" s="32" t="inlineStr">
        <is>
          <t>Kota Kinabalu → Mantanani Islands</t>
        </is>
      </c>
      <c r="D53" s="33" t="n">
        <v>47.89</v>
      </c>
      <c r="E53" s="27" t="n">
        <v>26</v>
      </c>
      <c r="F53" s="34" t="inlineStr">
        <is>
          <t>T4</t>
        </is>
      </c>
      <c r="G53" s="34" t="inlineStr">
        <is>
          <t>low</t>
        </is>
      </c>
      <c r="H53" s="20" t="n">
        <v>1</v>
      </c>
      <c r="I53" s="35">
        <f>60*D53/cruise_kt</f>
        <v/>
      </c>
      <c r="J53" s="35">
        <f>IF(B53="South Korea",D53/korea_charge_range_nm*korea_full_range_charge_min,0)</f>
        <v/>
      </c>
      <c r="K53" s="35">
        <f>IF(B53="South Korea",I53+korea_turn_min+korea_dwell_min+J53,I53+turn_min+dwell_min)</f>
        <v/>
      </c>
      <c r="L53" s="36">
        <f>IF(B53="South Korea",FLOOR(60*korea_service_hr/K53,1),MIN(15,FLOOR(60*service_hr/K53,1)))</f>
        <v/>
      </c>
      <c r="M53" s="36">
        <f>IF(ABS(MOD(ABS((365*mech_uptime*H53)),1)-0.5)&lt;1E-9,2*ROUND((365*mech_uptime*H53)/2,0),ROUND((365*mech_uptime*H53),0))</f>
        <v/>
      </c>
      <c r="N53" s="37">
        <f>mech_uptime</f>
        <v/>
      </c>
      <c r="O53" s="37">
        <f>IF(AND(B53="South Korea",scenario="MID"),korea_mid_revleg,revleg_sel)</f>
        <v/>
      </c>
      <c r="P53" s="36">
        <f>IF(ABS(MOD(ABS((L53*M53*O53)),1)-0.5)&lt;1E-9,2*ROUND((L53*M53*O53)/2,0),ROUND((L53*M53*O53),0))</f>
        <v/>
      </c>
      <c r="Q53" s="37">
        <f>IF(AND(B53="South Korea",scenario="MID"),korea_mid_load,load_sel)</f>
        <v/>
      </c>
      <c r="R53" s="38">
        <f>pax_cap*Q53</f>
        <v/>
      </c>
      <c r="S53" s="36">
        <f>R53*P53</f>
        <v/>
      </c>
      <c r="T53" s="39">
        <f>E53*discount</f>
        <v/>
      </c>
      <c r="U53" s="40">
        <f>T53*S53</f>
        <v/>
      </c>
      <c r="V53" s="40">
        <f>(battery/range_nm)*D53*P53*VLOOKUP(B53,country_opex,3,FALSE)</f>
        <v/>
      </c>
      <c r="W53" s="40">
        <f>VLOOKUP(B53,country_opex,2,FALSE)*crew_factor</f>
        <v/>
      </c>
      <c r="X53" s="40">
        <f>VLOOKUP(B53,country_opex,5,FALSE)</f>
        <v/>
      </c>
      <c r="Y53" s="40">
        <f>maint</f>
        <v/>
      </c>
      <c r="Z53" s="40">
        <f>VLOOKUP(B53,country_opex,7,FALSE)*ins_pct</f>
        <v/>
      </c>
      <c r="AA53" s="40">
        <f>charge_berth</f>
        <v/>
      </c>
      <c r="AB53" s="40">
        <f>V53+W53+X53+Y53+Z53+AA53</f>
        <v/>
      </c>
      <c r="AC53" s="40">
        <f>VLOOKUP(B53,country_opex,7,FALSE)/dep_years</f>
        <v/>
      </c>
      <c r="AD53" s="40">
        <f>U53-AB53</f>
        <v/>
      </c>
      <c r="AE53" s="37">
        <f>IF(U53=0,"",AD53/U53)</f>
        <v/>
      </c>
      <c r="AF53" s="38">
        <f>IF(AD53&lt;=0,"",VLOOKUP(B53,country_opex,7,FALSE)/AD53)</f>
        <v/>
      </c>
      <c r="AG53" s="35">
        <f>((D53*P53/diesel_nmpg)*diesel_co2pg-(battery/range_nm)*D53*P53*VLOOKUP(B53,country_opex,4,FALSE))/1000</f>
        <v/>
      </c>
      <c r="AH53" s="33" t="n">
        <v>150000</v>
      </c>
      <c r="AI53" s="34" t="inlineStr">
        <is>
          <t>T2</t>
        </is>
      </c>
      <c r="AJ53" s="34" t="inlineStr">
        <is>
          <t>low</t>
        </is>
      </c>
      <c r="AK53" s="41" t="n">
        <v>0.1</v>
      </c>
      <c r="AL53" s="36">
        <f>IF(AH53="","",AH53*AK53)</f>
        <v/>
      </c>
      <c r="AM53" s="36">
        <f>IF(OR(AH53="",S53=0),"",MIN(IF(AU53="",9.9E+99,AU53),FLOOR(AL53/S53,1)))</f>
        <v/>
      </c>
      <c r="AN53" s="40">
        <f>IF(AM53="","",AM53*IF(ABS(MOD(ABS((U53)),1)-0.5)&lt;1E-9,2*ROUND((U53)/2,0),ROUND((U53),0)))</f>
        <v/>
      </c>
      <c r="AO53" s="38">
        <f>IF(OR(AH53="",S53=0),"",MIN(IF(AU53="",9.9E+99,AU53),AL53/S53))</f>
        <v/>
      </c>
      <c r="AP53" s="40">
        <f>IF(AO53="","",AO53*IF(B53="South Korea",IF(ABS(MOD(ABS((U53)),1)-0.5)&lt;1E-9,2*ROUND((U53)/2,0),ROUND((U53),0)),U53))</f>
        <v/>
      </c>
      <c r="AQ53" s="42" t="n"/>
      <c r="AR53" s="34" t="inlineStr">
        <is>
          <t>Grounded</t>
        </is>
      </c>
      <c r="AS53" s="43" t="n"/>
      <c r="AT53" s="43" t="n"/>
      <c r="AU53" s="44" t="n"/>
      <c r="AV53" s="45">
        <f>IF(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&lt;=0,"",VLOOKUP(B53,country_opex,7,FALSE)/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)</f>
        <v/>
      </c>
      <c r="AW53" s="45">
        <f>IF(((T53*pax_cap*IF(B53="South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Korea",korea_mid_revleg,revleg_mid)),0))*VLOOKUP(B53,country_opex,3,FALSE))+W53+X53+Y53+Z53+AA53))&lt;=0,"",VLOOKUP(B53,country_opex,7,FALSE)/((T53*pax_cap*IF(B53="South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Korea",korea_mid_revleg,revleg_mid)),0))*VLOOKUP(B53,country_opex,3,FALSE))+W53+X53+Y53+Z53+AA53)))</f>
        <v/>
      </c>
      <c r="AX53" s="45">
        <f>IF(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&lt;=0,"",VLOOKUP(B53,country_opex,7,FALSE)/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)</f>
        <v/>
      </c>
      <c r="AY53" s="46" t="inlineStr">
        <is>
          <t>Mantanani sold as day-tour packages: MYR245-325 round-trip incl ~60-90min speedboat + lunch + snorkel/dive (Amazing Borneo RM245-325; GetYourGuide ~$58). Stripping activities, premium per-seat one-way transfer modeled ~RM110 = $26.</t>
        </is>
      </c>
      <c r="AZ53" s="46" t="inlineStr">
        <is>
          <t>ADB BIMP-EAGA Ecotourism Pilot Project: Mantanani Islands (Nov-2017, https://bimp-eaga.asia/sites/default/files/publications/bimp-eaga-ecotourism-pilot-project-mantanani.pdf): 2016 total ~152,064 visitors = 126,720 day-trippers + ~25k overnight; avg 417 visitors/day, range 10-15 (low day) to 1,000+ (peak); ~5 day visitors per overnight visitor; resort day-trip rates RM180-220 (snorkel) to RM500 (dive) incl. boat. Proposed overnight carrying cap 300/night. Reef Check (reefcheck.org, c.2019): day-trippers grew 50/day (2011) to ~3,000/day peak. Sabah Tourism Board does not publish island-level Mantanani arrivals (sabahtourism.com/statistics is state-level only).</t>
        </is>
      </c>
      <c r="BA53" s="34" t="inlineStr">
        <is>
          <t>gcn-b3165d242e-shared</t>
        </is>
      </c>
    </row>
    <row r="54">
      <c r="A54" s="31" t="inlineStr">
        <is>
          <t>Penang</t>
        </is>
      </c>
      <c r="B54" s="31" t="inlineStr">
        <is>
          <t>Malaysia</t>
        </is>
      </c>
      <c r="C54" s="32" t="inlineStr">
        <is>
          <t>Kuah Jetty (Langkawi) → George Town, Penang (Swettenham Pier)</t>
        </is>
      </c>
      <c r="D54" s="33" t="n">
        <v>62</v>
      </c>
      <c r="E54" s="27" t="n">
        <v>17.4</v>
      </c>
      <c r="F54" s="34" t="inlineStr">
        <is>
          <t>T3</t>
        </is>
      </c>
      <c r="G54" s="34" t="inlineStr">
        <is>
          <t>med</t>
        </is>
      </c>
      <c r="H54" s="20" t="n">
        <v>1</v>
      </c>
      <c r="I54" s="35">
        <f>60*D54/cruise_kt</f>
        <v/>
      </c>
      <c r="J54" s="35">
        <f>IF(B54="South Korea",D54/korea_charge_range_nm*korea_full_range_charge_min,0)</f>
        <v/>
      </c>
      <c r="K54" s="35">
        <f>IF(B54="South Korea",I54+korea_turn_min+korea_dwell_min+J54,I54+turn_min+dwell_min)</f>
        <v/>
      </c>
      <c r="L54" s="36">
        <f>IF(B54="South Korea",FLOOR(60*korea_service_hr/K54,1),MIN(15,FLOOR(60*service_hr/K54,1)))</f>
        <v/>
      </c>
      <c r="M54" s="36">
        <f>IF(ABS(MOD(ABS((365*mech_uptime*H54)),1)-0.5)&lt;1E-9,2*ROUND((365*mech_uptime*H54)/2,0),ROUND((365*mech_uptime*H54),0))</f>
        <v/>
      </c>
      <c r="N54" s="37">
        <f>mech_uptime</f>
        <v/>
      </c>
      <c r="O54" s="37">
        <f>IF(AND(B54="South Korea",scenario="MID"),korea_mid_revleg,revleg_sel)</f>
        <v/>
      </c>
      <c r="P54" s="36">
        <f>IF(ABS(MOD(ABS((L54*M54*O54)),1)-0.5)&lt;1E-9,2*ROUND((L54*M54*O54)/2,0),ROUND((L54*M54*O54),0))</f>
        <v/>
      </c>
      <c r="Q54" s="37">
        <f>IF(AND(B54="South Korea",scenario="MID"),korea_mid_load,load_sel)</f>
        <v/>
      </c>
      <c r="R54" s="38">
        <f>pax_cap*Q54</f>
        <v/>
      </c>
      <c r="S54" s="36">
        <f>R54*P54</f>
        <v/>
      </c>
      <c r="T54" s="39">
        <f>E54*discount</f>
        <v/>
      </c>
      <c r="U54" s="40">
        <f>T54*S54</f>
        <v/>
      </c>
      <c r="V54" s="40">
        <f>(battery/range_nm)*D54*P54*VLOOKUP(B54,country_opex,3,FALSE)</f>
        <v/>
      </c>
      <c r="W54" s="40">
        <f>VLOOKUP(B54,country_opex,2,FALSE)*crew_factor</f>
        <v/>
      </c>
      <c r="X54" s="40">
        <f>VLOOKUP(B54,country_opex,5,FALSE)</f>
        <v/>
      </c>
      <c r="Y54" s="40">
        <f>maint</f>
        <v/>
      </c>
      <c r="Z54" s="40">
        <f>VLOOKUP(B54,country_opex,7,FALSE)*ins_pct</f>
        <v/>
      </c>
      <c r="AA54" s="40">
        <f>charge_berth</f>
        <v/>
      </c>
      <c r="AB54" s="40">
        <f>V54+W54+X54+Y54+Z54+AA54</f>
        <v/>
      </c>
      <c r="AC54" s="40">
        <f>VLOOKUP(B54,country_opex,7,FALSE)/dep_years</f>
        <v/>
      </c>
      <c r="AD54" s="40">
        <f>U54-AB54</f>
        <v/>
      </c>
      <c r="AE54" s="37">
        <f>IF(U54=0,"",AD54/U54)</f>
        <v/>
      </c>
      <c r="AF54" s="38">
        <f>IF(AD54&lt;=0,"",VLOOKUP(B54,country_opex,7,FALSE)/AD54)</f>
        <v/>
      </c>
      <c r="AG54" s="35">
        <f>((D54*P54/diesel_nmpg)*diesel_co2pg-(battery/range_nm)*D54*P54*VLOOKUP(B54,country_opex,4,FALSE))/1000</f>
        <v/>
      </c>
      <c r="AH54" s="33" t="n"/>
      <c r="AI54" s="34" t="inlineStr">
        <is>
          <t>T5</t>
        </is>
      </c>
      <c r="AJ54" s="34" t="inlineStr">
        <is>
          <t>low</t>
        </is>
      </c>
      <c r="AK54" s="41" t="n">
        <v>0.1</v>
      </c>
      <c r="AL54" s="36">
        <f>IF(AH54="","",AH54*AK54)</f>
        <v/>
      </c>
      <c r="AM54" s="36">
        <f>IF(OR(AH54="",S54=0),"",MIN(IF(AU54="",9.9E+99,AU54),FLOOR(AL54/S54,1)))</f>
        <v/>
      </c>
      <c r="AN54" s="40">
        <f>IF(AM54="","",AM54*IF(ABS(MOD(ABS((U54)),1)-0.5)&lt;1E-9,2*ROUND((U54)/2,0),ROUND((U54),0)))</f>
        <v/>
      </c>
      <c r="AO54" s="38">
        <f>IF(OR(AH54="",S54=0),"",MIN(IF(AU54="",9.9E+99,AU54),AL54/S54))</f>
        <v/>
      </c>
      <c r="AP54" s="40">
        <f>IF(AO54="","",AO54*IF(B54="South Korea",IF(ABS(MOD(ABS((U54)),1)-0.5)&lt;1E-9,2*ROUND((U54)/2,0),ROUND((U54),0)),U54))</f>
        <v/>
      </c>
      <c r="AQ54" s="42" t="n"/>
      <c r="AR54" s="34" t="inlineStr">
        <is>
          <t>Estimated</t>
        </is>
      </c>
      <c r="AS54" s="43" t="n"/>
      <c r="AT54" s="43" t="n"/>
      <c r="AU54" s="44" t="n"/>
      <c r="AV54" s="45">
        <f>IF(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&lt;=0,"",VLOOKUP(B54,country_opex,7,FALSE)/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)</f>
        <v/>
      </c>
      <c r="AW54" s="45">
        <f>IF(((T54*pax_cap*IF(B54="South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Korea",korea_mid_revleg,revleg_mid)),0))*VLOOKUP(B54,country_opex,3,FALSE))+W54+X54+Y54+Z54+AA54))&lt;=0,"",VLOOKUP(B54,country_opex,7,FALSE)/((T54*pax_cap*IF(B54="South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Korea",korea_mid_revleg,revleg_mid)),0))*VLOOKUP(B54,country_opex,3,FALSE))+W54+X54+Y54+Z54+AA54)))</f>
        <v/>
      </c>
      <c r="AX54" s="45">
        <f>IF(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&lt;=0,"",VLOOKUP(B54,country_opex,7,FALSE)/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)</f>
        <v/>
      </c>
      <c r="AY54" s="46" t="inlineStr">
        <is>
          <t>Super Fast Ferry Ventures (restarted the lapsed route post-2023), Kuah Jetty &lt;-&gt; Swettenham Pier, ~3h: BusOnlineTicket 'RM70 per passenger', 3 departures/day each way listed; Easybook RM80 adult / RM60 child; live Klook listing (act. 40908, '100+ booked', dep 08:30 Penang / 15:00 Langkawi). Historical pre-Covid fare RM73.60 (prior R10 record). One 2026 guide (malaysialife.org) claims service has ceased again; Reddit/FB threads 2025-26 mixed.</t>
        </is>
      </c>
      <c r="AZ54" s="46" t="inlineStr">
        <is>
          <t>No published ridership for the restarted Penang-Langkawi service; operating status itself conflicted in 2026 (live OTA booking flows vs editorial 'ceased' updates; travelers widely advised to fly ~RM125 or ferry via Kuala Perlis/Kuala Kedah).</t>
        </is>
      </c>
      <c r="BA54" s="34" t="inlineStr">
        <is>
          <t>gcn-5596b8c9ee-shared</t>
        </is>
      </c>
    </row>
    <row r="55">
      <c r="A55" s="31" t="inlineStr">
        <is>
          <t>Penang</t>
        </is>
      </c>
      <c r="B55" s="31" t="inlineStr">
        <is>
          <t>Malaysia</t>
        </is>
      </c>
      <c r="C55" s="32" t="inlineStr">
        <is>
          <t>Penang → Pangkor Island</t>
        </is>
      </c>
      <c r="D55" s="33" t="n">
        <v>66</v>
      </c>
      <c r="E55" s="27" t="n">
        <v>19</v>
      </c>
      <c r="F55" s="34" t="inlineStr">
        <is>
          <t>T1</t>
        </is>
      </c>
      <c r="G55" s="34" t="inlineStr">
        <is>
          <t>low</t>
        </is>
      </c>
      <c r="H55" s="20" t="n">
        <v>1</v>
      </c>
      <c r="I55" s="35">
        <f>60*D55/cruise_kt</f>
        <v/>
      </c>
      <c r="J55" s="35">
        <f>IF(B55="South Korea",D55/korea_charge_range_nm*korea_full_range_charge_min,0)</f>
        <v/>
      </c>
      <c r="K55" s="35">
        <f>IF(B55="South Korea",I55+korea_turn_min+korea_dwell_min+J55,I55+turn_min+dwell_min)</f>
        <v/>
      </c>
      <c r="L55" s="36">
        <f>IF(B55="South Korea",FLOOR(60*korea_service_hr/K55,1),MIN(15,FLOOR(60*service_hr/K55,1)))</f>
        <v/>
      </c>
      <c r="M55" s="36">
        <f>IF(ABS(MOD(ABS((365*mech_uptime*H55)),1)-0.5)&lt;1E-9,2*ROUND((365*mech_uptime*H55)/2,0),ROUND((365*mech_uptime*H55),0))</f>
        <v/>
      </c>
      <c r="N55" s="37">
        <f>mech_uptime</f>
        <v/>
      </c>
      <c r="O55" s="37">
        <f>IF(AND(B55="South Korea",scenario="MID"),korea_mid_revleg,revleg_sel)</f>
        <v/>
      </c>
      <c r="P55" s="36">
        <f>IF(ABS(MOD(ABS((L55*M55*O55)),1)-0.5)&lt;1E-9,2*ROUND((L55*M55*O55)/2,0),ROUND((L55*M55*O55),0))</f>
        <v/>
      </c>
      <c r="Q55" s="37">
        <f>IF(AND(B55="South Korea",scenario="MID"),korea_mid_load,load_sel)</f>
        <v/>
      </c>
      <c r="R55" s="38">
        <f>pax_cap*Q55</f>
        <v/>
      </c>
      <c r="S55" s="36">
        <f>R55*P55</f>
        <v/>
      </c>
      <c r="T55" s="39">
        <f>E55*discount</f>
        <v/>
      </c>
      <c r="U55" s="40">
        <f>T55*S55</f>
        <v/>
      </c>
      <c r="V55" s="40">
        <f>(battery/range_nm)*D55*P55*VLOOKUP(B55,country_opex,3,FALSE)</f>
        <v/>
      </c>
      <c r="W55" s="40">
        <f>VLOOKUP(B55,country_opex,2,FALSE)*crew_factor</f>
        <v/>
      </c>
      <c r="X55" s="40">
        <f>VLOOKUP(B55,country_opex,5,FALSE)</f>
        <v/>
      </c>
      <c r="Y55" s="40">
        <f>maint</f>
        <v/>
      </c>
      <c r="Z55" s="40">
        <f>VLOOKUP(B55,country_opex,7,FALSE)*ins_pct</f>
        <v/>
      </c>
      <c r="AA55" s="40">
        <f>charge_berth</f>
        <v/>
      </c>
      <c r="AB55" s="40">
        <f>V55+W55+X55+Y55+Z55+AA55</f>
        <v/>
      </c>
      <c r="AC55" s="40">
        <f>VLOOKUP(B55,country_opex,7,FALSE)/dep_years</f>
        <v/>
      </c>
      <c r="AD55" s="40">
        <f>U55-AB55</f>
        <v/>
      </c>
      <c r="AE55" s="37">
        <f>IF(U55=0,"",AD55/U55)</f>
        <v/>
      </c>
      <c r="AF55" s="38">
        <f>IF(AD55&lt;=0,"",VLOOKUP(B55,country_opex,7,FALSE)/AD55)</f>
        <v/>
      </c>
      <c r="AG55" s="35">
        <f>((D55*P55/diesel_nmpg)*diesel_co2pg-(battery/range_nm)*D55*P55*VLOOKUP(B55,country_opex,4,FALSE))/1000</f>
        <v/>
      </c>
      <c r="AH55" s="33" t="n"/>
      <c r="AI55" s="34" t="inlineStr">
        <is>
          <t>T4</t>
        </is>
      </c>
      <c r="AJ55" s="34" t="inlineStr">
        <is>
          <t>low</t>
        </is>
      </c>
      <c r="AK55" s="41" t="n">
        <v>0.1</v>
      </c>
      <c r="AL55" s="36">
        <f>IF(AH55="","",AH55*AK55)</f>
        <v/>
      </c>
      <c r="AM55" s="36">
        <f>IF(OR(AH55="",S55=0),"",MIN(IF(AU55="",9.9E+99,AU55),FLOOR(AL55/S55,1)))</f>
        <v/>
      </c>
      <c r="AN55" s="40">
        <f>IF(AM55="","",AM55*IF(ABS(MOD(ABS((U55)),1)-0.5)&lt;1E-9,2*ROUND((U55)/2,0),ROUND((U55),0)))</f>
        <v/>
      </c>
      <c r="AO55" s="38">
        <f>IF(OR(AH55="",S55=0),"",MIN(IF(AU55="",9.9E+99,AU55),AL55/S55))</f>
        <v/>
      </c>
      <c r="AP55" s="40">
        <f>IF(AO55="","",AO55*IF(B55="South Korea",IF(ABS(MOD(ABS((U55)),1)-0.5)&lt;1E-9,2*ROUND((U55)/2,0),ROUND((U55),0)),U55))</f>
        <v/>
      </c>
      <c r="AQ55" s="42" t="n"/>
      <c r="AR55" s="34" t="inlineStr">
        <is>
          <t>Estimated</t>
        </is>
      </c>
      <c r="AS55" s="43" t="n"/>
      <c r="AT55" s="43" t="n"/>
      <c r="AU55" s="44" t="n"/>
      <c r="AV55" s="45">
        <f>IF(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&lt;=0,"",VLOOKUP(B55,country_opex,7,FALSE)/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)</f>
        <v/>
      </c>
      <c r="AW55" s="45">
        <f>IF(((T55*pax_cap*IF(B55="South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Korea",korea_mid_revleg,revleg_mid)),0))*VLOOKUP(B55,country_opex,3,FALSE))+W55+X55+Y55+Z55+AA55))&lt;=0,"",VLOOKUP(B55,country_opex,7,FALSE)/((T55*pax_cap*IF(B55="South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Korea",korea_mid_revleg,revleg_mid)),0))*VLOOKUP(B55,country_opex,3,FALSE))+W55+X55+Y55+Z55+AA55)))</f>
        <v/>
      </c>
      <c r="AX55" s="45">
        <f>IF(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&lt;=0,"",VLOOKUP(B55,country_opex,7,FALSE)/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)</f>
        <v/>
      </c>
      <c r="AY55" s="46" t="inlineStr">
        <is>
          <t>No direct Penang-&gt;Pangkor boat; Pangkor is served from Lumut/Marina Island (budget public ferry RM10-14/way, easybook/trip.com). Premium per-seat anchor = Pangkor Laut Resort SCHEDULED speedboat MYR160 return = ~RM80/way ($19) (pangkorlautresort.com).</t>
        </is>
      </c>
      <c r="AZ55" s="46" t="inlineStr">
        <is>
          <t>Pangkor receives sizeable visitor traffic but via the Lumut/Marina Island crossing, not from Penang (50nm). No direct-Penang pax pool exists.</t>
        </is>
      </c>
      <c r="BA55" s="34" t="n"/>
    </row>
    <row r="56">
      <c r="A56" s="31" t="inlineStr">
        <is>
          <t>Penang</t>
        </is>
      </c>
      <c r="B56" s="31" t="inlineStr">
        <is>
          <t>Malaysia</t>
        </is>
      </c>
      <c r="C56" s="32" t="inlineStr">
        <is>
          <t>Penang → Langkawi</t>
        </is>
      </c>
      <c r="D56" s="33" t="n">
        <v>66.40000000000001</v>
      </c>
      <c r="E56" s="27" t="n">
        <v>17</v>
      </c>
      <c r="F56" s="34" t="inlineStr">
        <is>
          <t>T4</t>
        </is>
      </c>
      <c r="G56" s="34" t="inlineStr">
        <is>
          <t>low</t>
        </is>
      </c>
      <c r="H56" s="20" t="n">
        <v>1</v>
      </c>
      <c r="I56" s="35">
        <f>60*D56/cruise_kt</f>
        <v/>
      </c>
      <c r="J56" s="35">
        <f>IF(B56="South Korea",D56/korea_charge_range_nm*korea_full_range_charge_min,0)</f>
        <v/>
      </c>
      <c r="K56" s="35">
        <f>IF(B56="South Korea",I56+korea_turn_min+korea_dwell_min+J56,I56+turn_min+dwell_min)</f>
        <v/>
      </c>
      <c r="L56" s="36">
        <f>IF(B56="South Korea",FLOOR(60*korea_service_hr/K56,1),MIN(15,FLOOR(60*service_hr/K56,1)))</f>
        <v/>
      </c>
      <c r="M56" s="36">
        <f>IF(ABS(MOD(ABS((365*mech_uptime*H56)),1)-0.5)&lt;1E-9,2*ROUND((365*mech_uptime*H56)/2,0),ROUND((365*mech_uptime*H56),0))</f>
        <v/>
      </c>
      <c r="N56" s="37">
        <f>mech_uptime</f>
        <v/>
      </c>
      <c r="O56" s="37">
        <f>IF(AND(B56="South Korea",scenario="MID"),korea_mid_revleg,revleg_sel)</f>
        <v/>
      </c>
      <c r="P56" s="36">
        <f>IF(ABS(MOD(ABS((L56*M56*O56)),1)-0.5)&lt;1E-9,2*ROUND((L56*M56*O56)/2,0),ROUND((L56*M56*O56),0))</f>
        <v/>
      </c>
      <c r="Q56" s="37">
        <f>IF(AND(B56="South Korea",scenario="MID"),korea_mid_load,load_sel)</f>
        <v/>
      </c>
      <c r="R56" s="38">
        <f>pax_cap*Q56</f>
        <v/>
      </c>
      <c r="S56" s="36">
        <f>R56*P56</f>
        <v/>
      </c>
      <c r="T56" s="39">
        <f>E56*discount</f>
        <v/>
      </c>
      <c r="U56" s="40">
        <f>T56*S56</f>
        <v/>
      </c>
      <c r="V56" s="40">
        <f>(battery/range_nm)*D56*P56*VLOOKUP(B56,country_opex,3,FALSE)</f>
        <v/>
      </c>
      <c r="W56" s="40">
        <f>VLOOKUP(B56,country_opex,2,FALSE)*crew_factor</f>
        <v/>
      </c>
      <c r="X56" s="40">
        <f>VLOOKUP(B56,country_opex,5,FALSE)</f>
        <v/>
      </c>
      <c r="Y56" s="40">
        <f>maint</f>
        <v/>
      </c>
      <c r="Z56" s="40">
        <f>VLOOKUP(B56,country_opex,7,FALSE)*ins_pct</f>
        <v/>
      </c>
      <c r="AA56" s="40">
        <f>charge_berth</f>
        <v/>
      </c>
      <c r="AB56" s="40">
        <f>V56+W56+X56+Y56+Z56+AA56</f>
        <v/>
      </c>
      <c r="AC56" s="40">
        <f>VLOOKUP(B56,country_opex,7,FALSE)/dep_years</f>
        <v/>
      </c>
      <c r="AD56" s="40">
        <f>U56-AB56</f>
        <v/>
      </c>
      <c r="AE56" s="37">
        <f>IF(U56=0,"",AD56/U56)</f>
        <v/>
      </c>
      <c r="AF56" s="38">
        <f>IF(AD56&lt;=0,"",VLOOKUP(B56,country_opex,7,FALSE)/AD56)</f>
        <v/>
      </c>
      <c r="AG56" s="35">
        <f>((D56*P56/diesel_nmpg)*diesel_co2pg-(battery/range_nm)*D56*P56*VLOOKUP(B56,country_opex,4,FALSE))/1000</f>
        <v/>
      </c>
      <c r="AH56" s="33" t="n"/>
      <c r="AI56" s="34" t="inlineStr">
        <is>
          <t>T4</t>
        </is>
      </c>
      <c r="AJ56" s="34" t="inlineStr">
        <is>
          <t>low</t>
        </is>
      </c>
      <c r="AK56" s="41" t="n">
        <v>0.1</v>
      </c>
      <c r="AL56" s="36">
        <f>IF(AH56="","",AH56*AK56)</f>
        <v/>
      </c>
      <c r="AM56" s="36">
        <f>IF(OR(AH56="",S56=0),"",MIN(IF(AU56="",9.9E+99,AU56),FLOOR(AL56/S56,1)))</f>
        <v/>
      </c>
      <c r="AN56" s="40">
        <f>IF(AM56="","",AM56*IF(ABS(MOD(ABS((U56)),1)-0.5)&lt;1E-9,2*ROUND((U56)/2,0),ROUND((U56),0)))</f>
        <v/>
      </c>
      <c r="AO56" s="38">
        <f>IF(OR(AH56="",S56=0),"",MIN(IF(AU56="",9.9E+99,AU56),AL56/S56))</f>
        <v/>
      </c>
      <c r="AP56" s="40">
        <f>IF(AO56="","",AO56*IF(B56="South Korea",IF(ABS(MOD(ABS((U56)),1)-0.5)&lt;1E-9,2*ROUND((U56)/2,0),ROUND((U56),0)),U56))</f>
        <v/>
      </c>
      <c r="AQ56" s="42" t="n"/>
      <c r="AR56" s="34" t="inlineStr">
        <is>
          <t>Estimated</t>
        </is>
      </c>
      <c r="AS56" s="43" t="n"/>
      <c r="AT56" s="43" t="n"/>
      <c r="AU56" s="44" t="n"/>
      <c r="AV56" s="45">
        <f>IF(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&lt;=0,"",VLOOKUP(B56,country_opex,7,FALSE)/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)</f>
        <v/>
      </c>
      <c r="AW56" s="45">
        <f>IF(((T56*pax_cap*IF(B56="South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Korea",korea_mid_revleg,revleg_mid)),0))*VLOOKUP(B56,country_opex,3,FALSE))+W56+X56+Y56+Z56+AA56))&lt;=0,"",VLOOKUP(B56,country_opex,7,FALSE)/((T56*pax_cap*IF(B56="South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Korea",korea_mid_revleg,revleg_mid)),0))*VLOOKUP(B56,country_opex,3,FALSE))+W56+X56+Y56+Z56+AA56)))</f>
        <v/>
      </c>
      <c r="AX56" s="45">
        <f>IF(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&lt;=0,"",VLOOKUP(B56,country_opex,7,FALSE)/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)</f>
        <v/>
      </c>
      <c r="AY56" s="46" t="inlineStr">
        <is>
          <t>Penang&lt;-&gt;Langkawi fast-ferry was RM73.60 one-way incl port tax (~3h, Langkawi Ferry Services) BEFORE service was terminated during Covid and NOT replaced (travel-penang-malaysia.com; malaysialife.org 2026: 'no longer operating'; r/penang). RM73.60 @4.30 (2019) = $17.</t>
        </is>
      </c>
      <c r="AZ56" s="46" t="inlineStr">
        <is>
          <t>No operating Penang-Langkawi crossing since Covid. Langkawi total visitor arrivals ~750k (LADA, YTD-2026) / ~3.5-4M pre-Covid, but these arrive by AIR or the Kuala Perlis/Kuala Kedah mainland ferries - NOT the Penang crossing (R3).</t>
        </is>
      </c>
      <c r="BA56" s="34" t="n"/>
    </row>
    <row r="57">
      <c r="A57" s="31" t="inlineStr">
        <is>
          <t>Penang</t>
        </is>
      </c>
      <c r="B57" s="31" t="inlineStr">
        <is>
          <t>Malaysia</t>
        </is>
      </c>
      <c r="C57" s="32" t="inlineStr">
        <is>
          <t>Penang → Langkawi</t>
        </is>
      </c>
      <c r="D57" s="33" t="n">
        <v>66.40000000000001</v>
      </c>
      <c r="E57" s="27" t="n">
        <v>17</v>
      </c>
      <c r="F57" s="34" t="inlineStr">
        <is>
          <t>T4</t>
        </is>
      </c>
      <c r="G57" s="34" t="inlineStr">
        <is>
          <t>low</t>
        </is>
      </c>
      <c r="H57" s="20" t="n">
        <v>1</v>
      </c>
      <c r="I57" s="35">
        <f>60*D57/cruise_kt</f>
        <v/>
      </c>
      <c r="J57" s="35">
        <f>IF(B57="South Korea",D57/korea_charge_range_nm*korea_full_range_charge_min,0)</f>
        <v/>
      </c>
      <c r="K57" s="35">
        <f>IF(B57="South Korea",I57+korea_turn_min+korea_dwell_min+J57,I57+turn_min+dwell_min)</f>
        <v/>
      </c>
      <c r="L57" s="36">
        <f>IF(B57="South Korea",FLOOR(60*korea_service_hr/K57,1),MIN(15,FLOOR(60*service_hr/K57,1)))</f>
        <v/>
      </c>
      <c r="M57" s="36">
        <f>IF(ABS(MOD(ABS((365*mech_uptime*H57)),1)-0.5)&lt;1E-9,2*ROUND((365*mech_uptime*H57)/2,0),ROUND((365*mech_uptime*H57),0))</f>
        <v/>
      </c>
      <c r="N57" s="37">
        <f>mech_uptime</f>
        <v/>
      </c>
      <c r="O57" s="37">
        <f>IF(AND(B57="South Korea",scenario="MID"),korea_mid_revleg,revleg_sel)</f>
        <v/>
      </c>
      <c r="P57" s="36">
        <f>IF(ABS(MOD(ABS((L57*M57*O57)),1)-0.5)&lt;1E-9,2*ROUND((L57*M57*O57)/2,0),ROUND((L57*M57*O57),0))</f>
        <v/>
      </c>
      <c r="Q57" s="37">
        <f>IF(AND(B57="South Korea",scenario="MID"),korea_mid_load,load_sel)</f>
        <v/>
      </c>
      <c r="R57" s="38">
        <f>pax_cap*Q57</f>
        <v/>
      </c>
      <c r="S57" s="36">
        <f>R57*P57</f>
        <v/>
      </c>
      <c r="T57" s="39">
        <f>E57*discount</f>
        <v/>
      </c>
      <c r="U57" s="40">
        <f>T57*S57</f>
        <v/>
      </c>
      <c r="V57" s="40">
        <f>(battery/range_nm)*D57*P57*VLOOKUP(B57,country_opex,3,FALSE)</f>
        <v/>
      </c>
      <c r="W57" s="40">
        <f>VLOOKUP(B57,country_opex,2,FALSE)*crew_factor</f>
        <v/>
      </c>
      <c r="X57" s="40">
        <f>VLOOKUP(B57,country_opex,5,FALSE)</f>
        <v/>
      </c>
      <c r="Y57" s="40">
        <f>maint</f>
        <v/>
      </c>
      <c r="Z57" s="40">
        <f>VLOOKUP(B57,country_opex,7,FALSE)*ins_pct</f>
        <v/>
      </c>
      <c r="AA57" s="40">
        <f>charge_berth</f>
        <v/>
      </c>
      <c r="AB57" s="40">
        <f>V57+W57+X57+Y57+Z57+AA57</f>
        <v/>
      </c>
      <c r="AC57" s="40">
        <f>VLOOKUP(B57,country_opex,7,FALSE)/dep_years</f>
        <v/>
      </c>
      <c r="AD57" s="40">
        <f>U57-AB57</f>
        <v/>
      </c>
      <c r="AE57" s="37">
        <f>IF(U57=0,"",AD57/U57)</f>
        <v/>
      </c>
      <c r="AF57" s="38">
        <f>IF(AD57&lt;=0,"",VLOOKUP(B57,country_opex,7,FALSE)/AD57)</f>
        <v/>
      </c>
      <c r="AG57" s="35">
        <f>((D57*P57/diesel_nmpg)*diesel_co2pg-(battery/range_nm)*D57*P57*VLOOKUP(B57,country_opex,4,FALSE))/1000</f>
        <v/>
      </c>
      <c r="AH57" s="33" t="n"/>
      <c r="AI57" s="34" t="inlineStr">
        <is>
          <t>T4</t>
        </is>
      </c>
      <c r="AJ57" s="34" t="inlineStr">
        <is>
          <t>low</t>
        </is>
      </c>
      <c r="AK57" s="41" t="n">
        <v>0.1</v>
      </c>
      <c r="AL57" s="36">
        <f>IF(AH57="","",AH57*AK57)</f>
        <v/>
      </c>
      <c r="AM57" s="36">
        <f>IF(OR(AH57="",S57=0),"",MIN(IF(AU57="",9.9E+99,AU57),FLOOR(AL57/S57,1)))</f>
        <v/>
      </c>
      <c r="AN57" s="40">
        <f>IF(AM57="","",AM57*IF(ABS(MOD(ABS((U57)),1)-0.5)&lt;1E-9,2*ROUND((U57)/2,0),ROUND((U57),0)))</f>
        <v/>
      </c>
      <c r="AO57" s="38">
        <f>IF(OR(AH57="",S57=0),"",MIN(IF(AU57="",9.9E+99,AU57),AL57/S57))</f>
        <v/>
      </c>
      <c r="AP57" s="40">
        <f>IF(AO57="","",AO57*IF(B57="South Korea",IF(ABS(MOD(ABS((U57)),1)-0.5)&lt;1E-9,2*ROUND((U57)/2,0),ROUND((U57),0)),U57))</f>
        <v/>
      </c>
      <c r="AQ57" s="42" t="n"/>
      <c r="AR57" s="34" t="inlineStr">
        <is>
          <t>Estimated</t>
        </is>
      </c>
      <c r="AS57" s="43" t="n"/>
      <c r="AT57" s="43" t="n"/>
      <c r="AU57" s="44" t="n"/>
      <c r="AV57" s="45">
        <f>IF(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&lt;=0,"",VLOOKUP(B57,country_opex,7,FALSE)/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)</f>
        <v/>
      </c>
      <c r="AW57" s="45">
        <f>IF(((T57*pax_cap*IF(B57="South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Korea",korea_mid_revleg,revleg_mid)),0))*VLOOKUP(B57,country_opex,3,FALSE))+W57+X57+Y57+Z57+AA57))&lt;=0,"",VLOOKUP(B57,country_opex,7,FALSE)/((T57*pax_cap*IF(B57="South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Korea",korea_mid_revleg,revleg_mid)),0))*VLOOKUP(B57,country_opex,3,FALSE))+W57+X57+Y57+Z57+AA57)))</f>
        <v/>
      </c>
      <c r="AX57" s="45">
        <f>IF(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&lt;=0,"",VLOOKUP(B57,country_opex,7,FALSE)/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)</f>
        <v/>
      </c>
      <c r="AY57" s="46" t="inlineStr">
        <is>
          <t>Penang&lt;-&gt;Langkawi fast-ferry was RM73.60 one-way incl port tax (~3h, Langkawi Ferry Services) BEFORE service was terminated during Covid and NOT replaced (travel-penang-malaysia.com; malaysialife.org 2026: 'no longer operating'; r/penang). RM73.60 @4.30 (2019) = $17.</t>
        </is>
      </c>
      <c r="AZ57" s="46" t="inlineStr">
        <is>
          <t>No operating Penang-Langkawi crossing since Covid. Langkawi total visitor arrivals ~750k (LADA, YTD-2026) / ~3.5-4M pre-Covid, but these arrive by AIR or the Kuala Perlis/Kuala Kedah mainland ferries - NOT the Penang crossing (R3).</t>
        </is>
      </c>
      <c r="BA57" s="34" t="inlineStr">
        <is>
          <t>gcn-5533f32325-shared</t>
        </is>
      </c>
    </row>
    <row r="58">
      <c r="A58" s="31" t="inlineStr">
        <is>
          <t>Philippines</t>
        </is>
      </c>
      <c r="B58" s="31" t="inlineStr">
        <is>
          <t>Philippines</t>
        </is>
      </c>
      <c r="C58" s="32" t="inlineStr">
        <is>
          <t>Caticlan Jetty (Tabipan) → Boracay (Cagban Jetty)</t>
        </is>
      </c>
      <c r="D58" s="33" t="n">
        <v>0.9</v>
      </c>
      <c r="E58" s="27" t="n">
        <v>15</v>
      </c>
      <c r="F58" s="34" t="inlineStr">
        <is>
          <t>T3</t>
        </is>
      </c>
      <c r="G58" s="34" t="inlineStr">
        <is>
          <t>high</t>
        </is>
      </c>
      <c r="H58" s="20" t="n">
        <v>1</v>
      </c>
      <c r="I58" s="35">
        <f>60*D58/cruise_kt</f>
        <v/>
      </c>
      <c r="J58" s="35">
        <f>IF(B58="South Korea",D58/korea_charge_range_nm*korea_full_range_charge_min,0)</f>
        <v/>
      </c>
      <c r="K58" s="35">
        <f>IF(B58="South Korea",I58+korea_turn_min+korea_dwell_min+J58,I58+turn_min+dwell_min)</f>
        <v/>
      </c>
      <c r="L58" s="36">
        <f>IF(B58="South Korea",FLOOR(60*korea_service_hr/K58,1),MIN(15,FLOOR(60*service_hr/K58,1)))</f>
        <v/>
      </c>
      <c r="M58" s="36">
        <f>IF(ABS(MOD(ABS((365*mech_uptime*H58)),1)-0.5)&lt;1E-9,2*ROUND((365*mech_uptime*H58)/2,0),ROUND((365*mech_uptime*H58),0))</f>
        <v/>
      </c>
      <c r="N58" s="37">
        <f>mech_uptime</f>
        <v/>
      </c>
      <c r="O58" s="37">
        <f>IF(AND(B58="South Korea",scenario="MID"),korea_mid_revleg,revleg_sel)</f>
        <v/>
      </c>
      <c r="P58" s="36">
        <f>IF(ABS(MOD(ABS((L58*M58*O58)),1)-0.5)&lt;1E-9,2*ROUND((L58*M58*O58)/2,0),ROUND((L58*M58*O58),0))</f>
        <v/>
      </c>
      <c r="Q58" s="37">
        <f>IF(AND(B58="South Korea",scenario="MID"),korea_mid_load,load_sel)</f>
        <v/>
      </c>
      <c r="R58" s="38">
        <f>pax_cap*Q58</f>
        <v/>
      </c>
      <c r="S58" s="36">
        <f>R58*P58</f>
        <v/>
      </c>
      <c r="T58" s="39">
        <f>E58*discount</f>
        <v/>
      </c>
      <c r="U58" s="40">
        <f>T58*S58</f>
        <v/>
      </c>
      <c r="V58" s="40">
        <f>(battery/range_nm)*D58*P58*VLOOKUP(B58,country_opex,3,FALSE)</f>
        <v/>
      </c>
      <c r="W58" s="40">
        <f>VLOOKUP(B58,country_opex,2,FALSE)*crew_factor</f>
        <v/>
      </c>
      <c r="X58" s="40">
        <f>VLOOKUP(B58,country_opex,5,FALSE)</f>
        <v/>
      </c>
      <c r="Y58" s="40">
        <f>maint</f>
        <v/>
      </c>
      <c r="Z58" s="40">
        <f>VLOOKUP(B58,country_opex,7,FALSE)*ins_pct</f>
        <v/>
      </c>
      <c r="AA58" s="40">
        <f>charge_berth</f>
        <v/>
      </c>
      <c r="AB58" s="40">
        <f>V58+W58+X58+Y58+Z58+AA58</f>
        <v/>
      </c>
      <c r="AC58" s="40">
        <f>VLOOKUP(B58,country_opex,7,FALSE)/dep_years</f>
        <v/>
      </c>
      <c r="AD58" s="40">
        <f>U58-AB58</f>
        <v/>
      </c>
      <c r="AE58" s="37">
        <f>IF(U58=0,"",AD58/U58)</f>
        <v/>
      </c>
      <c r="AF58" s="38">
        <f>IF(AD58&lt;=0,"",VLOOKUP(B58,country_opex,7,FALSE)/AD58)</f>
        <v/>
      </c>
      <c r="AG58" s="35">
        <f>((D58*P58/diesel_nmpg)*diesel_co2pg-(battery/range_nm)*D58*P58*VLOOKUP(B58,country_opex,4,FALSE))/1000</f>
        <v/>
      </c>
      <c r="AH58" s="33" t="n">
        <v>4000000</v>
      </c>
      <c r="AI58" s="34" t="inlineStr">
        <is>
          <t>T2</t>
        </is>
      </c>
      <c r="AJ58" s="34" t="inlineStr">
        <is>
          <t>high</t>
        </is>
      </c>
      <c r="AK58" s="41" t="n">
        <v>0.1</v>
      </c>
      <c r="AL58" s="36">
        <f>IF(AH58="","",AH58*AK58)</f>
        <v/>
      </c>
      <c r="AM58" s="36">
        <f>IF(OR(AH58="",S58=0),"",MIN(IF(AU58="",9.9E+99,AU58),FLOOR(AL58/S58,1)))</f>
        <v/>
      </c>
      <c r="AN58" s="40">
        <f>IF(AM58="","",AM58*IF(ABS(MOD(ABS((U58)),1)-0.5)&lt;1E-9,2*ROUND((U58)/2,0),ROUND((U58),0)))</f>
        <v/>
      </c>
      <c r="AO58" s="38">
        <f>IF(OR(AH58="",S58=0),"",MIN(IF(AU58="",9.9E+99,AU58),AL58/S58))</f>
        <v/>
      </c>
      <c r="AP58" s="40">
        <f>IF(AO58="","",AO58*IF(B58="South Korea",IF(ABS(MOD(ABS((U58)),1)-0.5)&lt;1E-9,2*ROUND((U58)/2,0),ROUND((U58),0)),U58))</f>
        <v/>
      </c>
      <c r="AQ58" s="42" t="n"/>
      <c r="AR58" s="34" t="inlineStr">
        <is>
          <t>Grounded</t>
        </is>
      </c>
      <c r="AS58" s="43" t="n"/>
      <c r="AT58" s="43" t="n"/>
      <c r="AU58" s="44" t="n"/>
      <c r="AV58" s="45">
        <f>IF(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&lt;=0,"",VLOOKUP(B58,country_opex,7,FALSE)/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)</f>
        <v/>
      </c>
      <c r="AW58" s="45">
        <f>IF(((T58*pax_cap*IF(B58="South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Korea",korea_mid_revleg,revleg_mid)),0))*VLOOKUP(B58,country_opex,3,FALSE))+W58+X58+Y58+Z58+AA58))&lt;=0,"",VLOOKUP(B58,country_opex,7,FALSE)/((T58*pax_cap*IF(B58="South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Korea",korea_mid_revleg,revleg_mid)),0))*VLOOKUP(B58,country_opex,3,FALSE))+W58+X58+Y58+Z58+AA58)))</f>
        <v/>
      </c>
      <c r="AX58" s="45">
        <f>IF(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&lt;=0,"",VLOOKUP(B58,country_opex,7,FALSE)/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)</f>
        <v/>
      </c>
      <c r="AY58" s="46" t="inlineStr">
        <is>
          <t>Premium per-seat = speedboat transfer: (1) Expedia live listing 'Speedboat Caticlan to Boracay Transfer (Oneway)' $15/adult, 119 reviews; (2) Viva Boracay Travel: PHP1,600/head ROUNDTRIP speedboat + aircon van airport-hotel incl terminal+environmental fees (~$14/way, FB 2025); (3) MyBoracayGuide 'Executive Speedboat Transfer' from PHP1,800 private incl land legs (5-7min crossing). Budget: public pump boat (banca) PHP50-75/way (+PHP150 terminal +PHP300 environmental fee paid separately); Southwest Tours shared airport-&gt;hotel transfer PHP850 one-way incl boat. Top: helicopter from PHP63,000.</t>
        </is>
      </c>
      <c r="AZ58" s="46" t="inlineStr">
        <is>
          <t>Malay Municipal Tourism Office (official): Boracay 2024 arrivals 2.06M (1.77M domestic / 358k foreign / 32k OFW; ta-summary-january-december-2024.pdf via malaytourism FB), 2023 = 2.15M; 2025 slightly up (Manila Standard); 2026 target 2.3M; record Dec 2025 month (PIA).</t>
        </is>
      </c>
      <c r="BA58" s="34" t="n"/>
    </row>
    <row r="59">
      <c r="A59" s="31" t="inlineStr">
        <is>
          <t>Philippines</t>
        </is>
      </c>
      <c r="B59" s="31" t="inlineStr">
        <is>
          <t>Philippines</t>
        </is>
      </c>
      <c r="C59" s="32" t="inlineStr">
        <is>
          <t>Boracay (Cagban) → Carabao Island (Lanas Beach)</t>
        </is>
      </c>
      <c r="D59" s="33" t="n">
        <v>5.5</v>
      </c>
      <c r="E59" s="27" t="n">
        <v>11</v>
      </c>
      <c r="F59" s="34" t="inlineStr">
        <is>
          <t>T3</t>
        </is>
      </c>
      <c r="G59" s="34" t="inlineStr">
        <is>
          <t>med</t>
        </is>
      </c>
      <c r="H59" s="20" t="n">
        <v>1</v>
      </c>
      <c r="I59" s="35">
        <f>60*D59/cruise_kt</f>
        <v/>
      </c>
      <c r="J59" s="35">
        <f>IF(B59="South Korea",D59/korea_charge_range_nm*korea_full_range_charge_min,0)</f>
        <v/>
      </c>
      <c r="K59" s="35">
        <f>IF(B59="South Korea",I59+korea_turn_min+korea_dwell_min+J59,I59+turn_min+dwell_min)</f>
        <v/>
      </c>
      <c r="L59" s="36">
        <f>IF(B59="South Korea",FLOOR(60*korea_service_hr/K59,1),MIN(15,FLOOR(60*service_hr/K59,1)))</f>
        <v/>
      </c>
      <c r="M59" s="36">
        <f>IF(ABS(MOD(ABS((365*mech_uptime*H59)),1)-0.5)&lt;1E-9,2*ROUND((365*mech_uptime*H59)/2,0),ROUND((365*mech_uptime*H59),0))</f>
        <v/>
      </c>
      <c r="N59" s="37">
        <f>mech_uptime</f>
        <v/>
      </c>
      <c r="O59" s="37">
        <f>IF(AND(B59="South Korea",scenario="MID"),korea_mid_revleg,revleg_sel)</f>
        <v/>
      </c>
      <c r="P59" s="36">
        <f>IF(ABS(MOD(ABS((L59*M59*O59)),1)-0.5)&lt;1E-9,2*ROUND((L59*M59*O59)/2,0),ROUND((L59*M59*O59),0))</f>
        <v/>
      </c>
      <c r="Q59" s="37">
        <f>IF(AND(B59="South Korea",scenario="MID"),korea_mid_load,load_sel)</f>
        <v/>
      </c>
      <c r="R59" s="38">
        <f>pax_cap*Q59</f>
        <v/>
      </c>
      <c r="S59" s="36">
        <f>R59*P59</f>
        <v/>
      </c>
      <c r="T59" s="39">
        <f>E59*discount</f>
        <v/>
      </c>
      <c r="U59" s="40">
        <f>T59*S59</f>
        <v/>
      </c>
      <c r="V59" s="40">
        <f>(battery/range_nm)*D59*P59*VLOOKUP(B59,country_opex,3,FALSE)</f>
        <v/>
      </c>
      <c r="W59" s="40">
        <f>VLOOKUP(B59,country_opex,2,FALSE)*crew_factor</f>
        <v/>
      </c>
      <c r="X59" s="40">
        <f>VLOOKUP(B59,country_opex,5,FALSE)</f>
        <v/>
      </c>
      <c r="Y59" s="40">
        <f>maint</f>
        <v/>
      </c>
      <c r="Z59" s="40">
        <f>VLOOKUP(B59,country_opex,7,FALSE)*ins_pct</f>
        <v/>
      </c>
      <c r="AA59" s="40">
        <f>charge_berth</f>
        <v/>
      </c>
      <c r="AB59" s="40">
        <f>V59+W59+X59+Y59+Z59+AA59</f>
        <v/>
      </c>
      <c r="AC59" s="40">
        <f>VLOOKUP(B59,country_opex,7,FALSE)/dep_years</f>
        <v/>
      </c>
      <c r="AD59" s="40">
        <f>U59-AB59</f>
        <v/>
      </c>
      <c r="AE59" s="37">
        <f>IF(U59=0,"",AD59/U59)</f>
        <v/>
      </c>
      <c r="AF59" s="38">
        <f>IF(AD59&lt;=0,"",VLOOKUP(B59,country_opex,7,FALSE)/AD59)</f>
        <v/>
      </c>
      <c r="AG59" s="35">
        <f>((D59*P59/diesel_nmpg)*diesel_co2pg-(battery/range_nm)*D59*P59*VLOOKUP(B59,country_opex,4,FALSE))/1000</f>
        <v/>
      </c>
      <c r="AH59" s="33" t="n">
        <v>60000</v>
      </c>
      <c r="AI59" s="34" t="inlineStr">
        <is>
          <t>T5</t>
        </is>
      </c>
      <c r="AJ59" s="34" t="inlineStr">
        <is>
          <t>low</t>
        </is>
      </c>
      <c r="AK59" s="41" t="n">
        <v>0.1</v>
      </c>
      <c r="AL59" s="36">
        <f>IF(AH59="","",AH59*AK59)</f>
        <v/>
      </c>
      <c r="AM59" s="36">
        <f>IF(OR(AH59="",S59=0),"",MIN(IF(AU59="",9.9E+99,AU59),FLOOR(AL59/S59,1)))</f>
        <v/>
      </c>
      <c r="AN59" s="40">
        <f>IF(AM59="","",AM59*IF(ABS(MOD(ABS((U59)),1)-0.5)&lt;1E-9,2*ROUND((U59)/2,0),ROUND((U59),0)))</f>
        <v/>
      </c>
      <c r="AO59" s="38">
        <f>IF(OR(AH59="",S59=0),"",MIN(IF(AU59="",9.9E+99,AU59),AL59/S59))</f>
        <v/>
      </c>
      <c r="AP59" s="40">
        <f>IF(AO59="","",AO59*IF(B59="South Korea",IF(ABS(MOD(ABS((U59)),1)-0.5)&lt;1E-9,2*ROUND((U59)/2,0),ROUND((U59),0)),U59))</f>
        <v/>
      </c>
      <c r="AQ59" s="42" t="n"/>
      <c r="AR59" s="34" t="inlineStr">
        <is>
          <t>Grounded</t>
        </is>
      </c>
      <c r="AS59" s="43" t="n"/>
      <c r="AT59" s="43" t="n"/>
      <c r="AU59" s="44" t="n"/>
      <c r="AV59" s="45">
        <f>IF(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&lt;=0,"",VLOOKUP(B59,country_opex,7,FALSE)/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)</f>
        <v/>
      </c>
      <c r="AW59" s="45">
        <f>IF(((T59*pax_cap*IF(B59="South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Korea",korea_mid_revleg,revleg_mid)),0))*VLOOKUP(B59,country_opex,3,FALSE))+W59+X59+Y59+Z59+AA59))&lt;=0,"",VLOOKUP(B59,country_opex,7,FALSE)/((T59*pax_cap*IF(B59="South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Korea",korea_mid_revleg,revleg_mid)),0))*VLOOKUP(B59,country_opex,3,FALSE))+W59+X59+Y59+Z59+AA59)))</f>
        <v/>
      </c>
      <c r="AX59" s="45">
        <f>IF(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&lt;=0,"",VLOOKUP(B59,country_opex,7,FALSE)/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)</f>
        <v/>
      </c>
      <c r="AY59" s="46" t="inlineStr">
        <is>
          <t>Per-seat day-tour market from Boracay: group day tour PHP800-1,500/pax RT incl lunch buffet (joansfootprints.com; Tripadvisor product 'Carabao Island Day Tour From Boracay', 322 reviews, ~PHP950 entrance-with-buffet component cited in reviews; Traveloka/Klook listings live). Budget: public banca PHP100-200/way (~$2-3.5, thecoastalcampaign.com). Charter: private boat Boracay-&gt;Carabao quoted ~US$120 whole-boat (FB Boracay group) - excluded as overclaim (~$15/way/pax at 4-pax occupancy, consistent with per-seat anchor).</t>
        </is>
      </c>
      <c r="AZ59" s="46" t="inlineStr">
        <is>
          <t>Carabao Island (San Jose, Romblon) arrivals: 17,000 tourists in 2018 full-year; 30,000 in Q1 2019 alone (San Jose LGU via PNA, pna.gov.ph/articles/1086939, Nov 2019 - 'draws a fair share of visitors from nearby Boracay', 30-min boat ride). No post-Covid official count found.</t>
        </is>
      </c>
      <c r="BA59" s="34" t="n"/>
    </row>
    <row r="60">
      <c r="A60" s="31" t="inlineStr">
        <is>
          <t>Philippines</t>
        </is>
      </c>
      <c r="B60" s="31" t="inlineStr">
        <is>
          <t>Philippines</t>
        </is>
      </c>
      <c r="C60" s="32" t="inlineStr">
        <is>
          <t>Boracay (White Beach) → Boracay island-hop loop (Puka / Crocodile Is.)</t>
        </is>
      </c>
      <c r="D60" s="33" t="n">
        <v>6</v>
      </c>
      <c r="E60" s="27" t="n">
        <v>23</v>
      </c>
      <c r="F60" s="34" t="inlineStr">
        <is>
          <t>T3</t>
        </is>
      </c>
      <c r="G60" s="34" t="inlineStr">
        <is>
          <t>med-high</t>
        </is>
      </c>
      <c r="H60" s="20" t="n">
        <v>1</v>
      </c>
      <c r="I60" s="35">
        <f>60*D60/cruise_kt</f>
        <v/>
      </c>
      <c r="J60" s="35">
        <f>IF(B60="South Korea",D60/korea_charge_range_nm*korea_full_range_charge_min,0)</f>
        <v/>
      </c>
      <c r="K60" s="35">
        <f>IF(B60="South Korea",I60+korea_turn_min+korea_dwell_min+J60,I60+turn_min+dwell_min)</f>
        <v/>
      </c>
      <c r="L60" s="36">
        <f>IF(B60="South Korea",FLOOR(60*korea_service_hr/K60,1),MIN(15,FLOOR(60*service_hr/K60,1)))</f>
        <v/>
      </c>
      <c r="M60" s="36">
        <f>IF(ABS(MOD(ABS((365*mech_uptime*H60)),1)-0.5)&lt;1E-9,2*ROUND((365*mech_uptime*H60)/2,0),ROUND((365*mech_uptime*H60),0))</f>
        <v/>
      </c>
      <c r="N60" s="37">
        <f>mech_uptime</f>
        <v/>
      </c>
      <c r="O60" s="37">
        <f>IF(AND(B60="South Korea",scenario="MID"),korea_mid_revleg,revleg_sel)</f>
        <v/>
      </c>
      <c r="P60" s="36">
        <f>IF(ABS(MOD(ABS((L60*M60*O60)),1)-0.5)&lt;1E-9,2*ROUND((L60*M60*O60)/2,0),ROUND((L60*M60*O60),0))</f>
        <v/>
      </c>
      <c r="Q60" s="37">
        <f>IF(AND(B60="South Korea",scenario="MID"),korea_mid_load,load_sel)</f>
        <v/>
      </c>
      <c r="R60" s="38">
        <f>pax_cap*Q60</f>
        <v/>
      </c>
      <c r="S60" s="36">
        <f>R60*P60</f>
        <v/>
      </c>
      <c r="T60" s="39">
        <f>E60*discount</f>
        <v/>
      </c>
      <c r="U60" s="40">
        <f>T60*S60</f>
        <v/>
      </c>
      <c r="V60" s="40">
        <f>(battery/range_nm)*D60*P60*VLOOKUP(B60,country_opex,3,FALSE)</f>
        <v/>
      </c>
      <c r="W60" s="40">
        <f>VLOOKUP(B60,country_opex,2,FALSE)*crew_factor</f>
        <v/>
      </c>
      <c r="X60" s="40">
        <f>VLOOKUP(B60,country_opex,5,FALSE)</f>
        <v/>
      </c>
      <c r="Y60" s="40">
        <f>maint</f>
        <v/>
      </c>
      <c r="Z60" s="40">
        <f>VLOOKUP(B60,country_opex,7,FALSE)*ins_pct</f>
        <v/>
      </c>
      <c r="AA60" s="40">
        <f>charge_berth</f>
        <v/>
      </c>
      <c r="AB60" s="40">
        <f>V60+W60+X60+Y60+Z60+AA60</f>
        <v/>
      </c>
      <c r="AC60" s="40">
        <f>VLOOKUP(B60,country_opex,7,FALSE)/dep_years</f>
        <v/>
      </c>
      <c r="AD60" s="40">
        <f>U60-AB60</f>
        <v/>
      </c>
      <c r="AE60" s="37">
        <f>IF(U60=0,"",AD60/U60)</f>
        <v/>
      </c>
      <c r="AF60" s="38">
        <f>IF(AD60&lt;=0,"",VLOOKUP(B60,country_opex,7,FALSE)/AD60)</f>
        <v/>
      </c>
      <c r="AG60" s="35">
        <f>((D60*P60/diesel_nmpg)*diesel_co2pg-(battery/range_nm)*D60*P60*VLOOKUP(B60,country_opex,4,FALSE))/1000</f>
        <v/>
      </c>
      <c r="AH60" s="33" t="n">
        <v>500000</v>
      </c>
      <c r="AI60" s="34" t="inlineStr">
        <is>
          <t>T5</t>
        </is>
      </c>
      <c r="AJ60" s="34" t="inlineStr">
        <is>
          <t>low</t>
        </is>
      </c>
      <c r="AK60" s="41" t="n">
        <v>0.1</v>
      </c>
      <c r="AL60" s="36">
        <f>IF(AH60="","",AH60*AK60)</f>
        <v/>
      </c>
      <c r="AM60" s="36">
        <f>IF(OR(AH60="",S60=0),"",MIN(IF(AU60="",9.9E+99,AU60),FLOOR(AL60/S60,1)))</f>
        <v/>
      </c>
      <c r="AN60" s="40">
        <f>IF(AM60="","",AM60*IF(ABS(MOD(ABS((U60)),1)-0.5)&lt;1E-9,2*ROUND((U60)/2,0),ROUND((U60),0)))</f>
        <v/>
      </c>
      <c r="AO60" s="38">
        <f>IF(OR(AH60="",S60=0),"",MIN(IF(AU60="",9.9E+99,AU60),AL60/S60))</f>
        <v/>
      </c>
      <c r="AP60" s="40">
        <f>IF(AO60="","",AO60*IF(B60="South Korea",IF(ABS(MOD(ABS((U60)),1)-0.5)&lt;1E-9,2*ROUND((U60)/2,0),ROUND((U60),0)),U60))</f>
        <v/>
      </c>
      <c r="AQ60" s="42" t="n"/>
      <c r="AR60" s="34" t="inlineStr">
        <is>
          <t>Grounded</t>
        </is>
      </c>
      <c r="AS60" s="43" t="n"/>
      <c r="AT60" s="43" t="n"/>
      <c r="AU60" s="44" t="n"/>
      <c r="AV60" s="45">
        <f>IF(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&lt;=0,"",VLOOKUP(B60,country_opex,7,FALSE)/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)</f>
        <v/>
      </c>
      <c r="AW60" s="45">
        <f>IF(((T60*pax_cap*IF(B60="South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Korea",korea_mid_revleg,revleg_mid)),0))*VLOOKUP(B60,country_opex,3,FALSE))+W60+X60+Y60+Z60+AA60))&lt;=0,"",VLOOKUP(B60,country_opex,7,FALSE)/((T60*pax_cap*IF(B60="South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Korea",korea_mid_revleg,revleg_mid)),0))*VLOOKUP(B60,country_opex,3,FALSE))+W60+X60+Y60+Z60+AA60)))</f>
        <v/>
      </c>
      <c r="AX60" s="45">
        <f>IF(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&lt;=0,"",VLOOKUP(B60,country_opex,7,FALSE)/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)</f>
        <v/>
      </c>
      <c r="AY60" s="46" t="inlineStr">
        <is>
          <t>Very liquid per-seat group-tour market (Puka/Crocodile Is. loop): joiner basic PHP800-900/pax incl lunch (thepoortraveler.net; IG joiner ads PHP850, 2025-26); premium group tour PHP1,700/pax (myboracayguide.com 'from PHP1700', 5h, snorkeling+Puka+lunch, hotel pickup) and PHP1,750 all-in 3-island + seafood buffet (IG); premium meal upgrade +PHP700 (islanddiariesph.com); private island-hop from ~PHP5,500/pax (FB) / GetYourGuide private - excluded as overclaim.</t>
        </is>
      </c>
      <c r="AZ60" s="46" t="inlineStr">
        <is>
          <t>No published island-hop participation share found (searched Malay MTO / DOT / academic surveys). Pool basis = GROSS Boracay arrivals 2.06M/yr (Malay Municipal Tourism Office 2024) - NOT used directly per demand discipline (Samui/Langkawi trap: gross arrivals != tour riders).</t>
        </is>
      </c>
      <c r="BA60" s="34" t="n"/>
    </row>
    <row r="61">
      <c r="A61" s="31" t="inlineStr">
        <is>
          <t>Philippines</t>
        </is>
      </c>
      <c r="B61" s="31" t="inlineStr">
        <is>
          <t>Philippines</t>
        </is>
      </c>
      <c r="C61" s="32" t="inlineStr">
        <is>
          <t>Manila (Esplanade) → Sangley Point (Cavite)</t>
        </is>
      </c>
      <c r="D61" s="33" t="n">
        <v>8</v>
      </c>
      <c r="E61" s="27" t="n"/>
      <c r="F61" s="34" t="inlineStr">
        <is>
          <t>T2</t>
        </is>
      </c>
      <c r="G61" s="34" t="inlineStr">
        <is>
          <t>low</t>
        </is>
      </c>
      <c r="H61" s="20" t="n">
        <v>1</v>
      </c>
      <c r="I61" s="35">
        <f>60*D61/cruise_kt</f>
        <v/>
      </c>
      <c r="J61" s="35">
        <f>IF(B61="South Korea",D61/korea_charge_range_nm*korea_full_range_charge_min,0)</f>
        <v/>
      </c>
      <c r="K61" s="35">
        <f>IF(B61="South Korea",I61+korea_turn_min+korea_dwell_min+J61,I61+turn_min+dwell_min)</f>
        <v/>
      </c>
      <c r="L61" s="36">
        <f>IF(B61="South Korea",FLOOR(60*korea_service_hr/K61,1),MIN(15,FLOOR(60*service_hr/K61,1)))</f>
        <v/>
      </c>
      <c r="M61" s="36">
        <f>IF(ABS(MOD(ABS((365*mech_uptime*H61)),1)-0.5)&lt;1E-9,2*ROUND((365*mech_uptime*H61)/2,0),ROUND((365*mech_uptime*H61),0))</f>
        <v/>
      </c>
      <c r="N61" s="37">
        <f>mech_uptime</f>
        <v/>
      </c>
      <c r="O61" s="37">
        <f>IF(AND(B61="South Korea",scenario="MID"),korea_mid_revleg,revleg_sel)</f>
        <v/>
      </c>
      <c r="P61" s="36">
        <f>IF(ABS(MOD(ABS((L61*M61*O61)),1)-0.5)&lt;1E-9,2*ROUND((L61*M61*O61)/2,0),ROUND((L61*M61*O61),0))</f>
        <v/>
      </c>
      <c r="Q61" s="37">
        <f>IF(AND(B61="South Korea",scenario="MID"),korea_mid_load,load_sel)</f>
        <v/>
      </c>
      <c r="R61" s="38">
        <f>pax_cap*Q61</f>
        <v/>
      </c>
      <c r="S61" s="36">
        <f>R61*P61</f>
        <v/>
      </c>
      <c r="T61" s="39">
        <f>E61*discount</f>
        <v/>
      </c>
      <c r="U61" s="40">
        <f>T61*S61</f>
        <v/>
      </c>
      <c r="V61" s="40">
        <f>(battery/range_nm)*D61*P61*VLOOKUP(B61,country_opex,3,FALSE)</f>
        <v/>
      </c>
      <c r="W61" s="40">
        <f>VLOOKUP(B61,country_opex,2,FALSE)*crew_factor</f>
        <v/>
      </c>
      <c r="X61" s="40">
        <f>VLOOKUP(B61,country_opex,5,FALSE)</f>
        <v/>
      </c>
      <c r="Y61" s="40">
        <f>maint</f>
        <v/>
      </c>
      <c r="Z61" s="40">
        <f>VLOOKUP(B61,country_opex,7,FALSE)*ins_pct</f>
        <v/>
      </c>
      <c r="AA61" s="40">
        <f>charge_berth</f>
        <v/>
      </c>
      <c r="AB61" s="40">
        <f>V61+W61+X61+Y61+Z61+AA61</f>
        <v/>
      </c>
      <c r="AC61" s="40">
        <f>VLOOKUP(B61,country_opex,7,FALSE)/dep_years</f>
        <v/>
      </c>
      <c r="AD61" s="40">
        <f>U61-AB61</f>
        <v/>
      </c>
      <c r="AE61" s="37">
        <f>IF(U61=0,"",AD61/U61)</f>
        <v/>
      </c>
      <c r="AF61" s="38">
        <f>IF(AD61&lt;=0,"",VLOOKUP(B61,country_opex,7,FALSE)/AD61)</f>
        <v/>
      </c>
      <c r="AG61" s="35">
        <f>((D61*P61/diesel_nmpg)*diesel_co2pg-(battery/range_nm)*D61*P61*VLOOKUP(B61,country_opex,4,FALSE))/1000</f>
        <v/>
      </c>
      <c r="AH61" s="33" t="n"/>
      <c r="AI61" s="34" t="inlineStr">
        <is>
          <t>T2</t>
        </is>
      </c>
      <c r="AJ61" s="34" t="inlineStr">
        <is>
          <t>low</t>
        </is>
      </c>
      <c r="AK61" s="41" t="n">
        <v>0.1</v>
      </c>
      <c r="AL61" s="36">
        <f>IF(AH61="","",AH61*AK61)</f>
        <v/>
      </c>
      <c r="AM61" s="36">
        <f>IF(OR(AH61="",S61=0),"",MIN(IF(AU61="",9.9E+99,AU61),FLOOR(AL61/S61,1)))</f>
        <v/>
      </c>
      <c r="AN61" s="40">
        <f>IF(AM61="","",AM61*IF(ABS(MOD(ABS((U61)),1)-0.5)&lt;1E-9,2*ROUND((U61)/2,0),ROUND((U61),0)))</f>
        <v/>
      </c>
      <c r="AO61" s="38">
        <f>IF(OR(AH61="",S61=0),"",MIN(IF(AU61="",9.9E+99,AU61),AL61/S61))</f>
        <v/>
      </c>
      <c r="AP61" s="40">
        <f>IF(AO61="","",AO61*IF(B61="South Korea",IF(ABS(MOD(ABS((U61)),1)-0.5)&lt;1E-9,2*ROUND((U61)/2,0),ROUND((U61),0)),U61))</f>
        <v/>
      </c>
      <c r="AQ61" s="42" t="n"/>
      <c r="AR61" s="34" t="inlineStr">
        <is>
          <t>Estimated</t>
        </is>
      </c>
      <c r="AS61" s="43" t="n"/>
      <c r="AT61" s="43" t="n"/>
      <c r="AU61" s="44" t="n"/>
      <c r="AV61" s="45">
        <f>IF(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&lt;=0,"",VLOOKUP(B61,country_opex,7,FALSE)/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)</f>
        <v/>
      </c>
      <c r="AW61" s="45">
        <f>IF(((T61*pax_cap*IF(B61="South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Korea",korea_mid_revleg,revleg_mid)),0))*VLOOKUP(B61,country_opex,3,FALSE))+W61+X61+Y61+Z61+AA61))&lt;=0,"",VLOOKUP(B61,country_opex,7,FALSE)/((T61*pax_cap*IF(B61="South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Korea",korea_mid_revleg,revleg_mid)),0))*VLOOKUP(B61,country_opex,3,FALSE))+W61+X61+Y61+Z61+AA61)))</f>
        <v/>
      </c>
      <c r="AX61" s="45">
        <f>IF(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&lt;=0,"",VLOOKUP(B61,country_opex,7,FALSE)/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)</f>
        <v/>
      </c>
      <c r="AY61" s="46" t="inlineStr">
        <is>
          <t>R5-EXT + R10: Cavite City&lt;-&gt;Manila (Lawton &amp; CCP) ferry launched Dec 2019 by DOTr/MARINA with private operators (Metrostar heritage route); flat single-class commuter fares: regular PHP160, student PHP128, senior PHP114 (thepoortraveler.net 2019; marina.gov.ph). Service lapsed during Covid; as of 2025 DOTr lists a planned Manila (Divisoria)-Cavite 'water jeepney' relaunch (GMA News Aug 2025) - not yet running. No premium/luxury per-seat tier has ever existed on this crossing.</t>
        </is>
      </c>
      <c r="AZ61" s="46" t="inlineStr">
        <is>
          <t>No published route ridership: 2019-2020 relaunch died in Covid (free first month, PNA Dec 2019); no MARINA/PPA route-level count found for any operating year; 2025 'water jeepney' route still pre-launch.</t>
        </is>
      </c>
      <c r="BA61" s="34" t="n"/>
    </row>
    <row r="62">
      <c r="A62" s="31" t="inlineStr">
        <is>
          <t>Philippines</t>
        </is>
      </c>
      <c r="B62" s="31" t="inlineStr">
        <is>
          <t>Philippines</t>
        </is>
      </c>
      <c r="C62" s="32" t="inlineStr">
        <is>
          <t>Manila (SM MOA Esplanade) → Camaya Coast / Orion (Bataan)</t>
        </is>
      </c>
      <c r="D62" s="33" t="n">
        <v>22</v>
      </c>
      <c r="E62" s="27" t="n">
        <v>18</v>
      </c>
      <c r="F62" s="34" t="inlineStr">
        <is>
          <t>T3</t>
        </is>
      </c>
      <c r="G62" s="34" t="inlineStr">
        <is>
          <t>med</t>
        </is>
      </c>
      <c r="H62" s="20" t="n">
        <v>1</v>
      </c>
      <c r="I62" s="35">
        <f>60*D62/cruise_kt</f>
        <v/>
      </c>
      <c r="J62" s="35">
        <f>IF(B62="South Korea",D62/korea_charge_range_nm*korea_full_range_charge_min,0)</f>
        <v/>
      </c>
      <c r="K62" s="35">
        <f>IF(B62="South Korea",I62+korea_turn_min+korea_dwell_min+J62,I62+turn_min+dwell_min)</f>
        <v/>
      </c>
      <c r="L62" s="36">
        <f>IF(B62="South Korea",FLOOR(60*korea_service_hr/K62,1),MIN(15,FLOOR(60*service_hr/K62,1)))</f>
        <v/>
      </c>
      <c r="M62" s="36">
        <f>IF(ABS(MOD(ABS((365*mech_uptime*H62)),1)-0.5)&lt;1E-9,2*ROUND((365*mech_uptime*H62)/2,0),ROUND((365*mech_uptime*H62),0))</f>
        <v/>
      </c>
      <c r="N62" s="37">
        <f>mech_uptime</f>
        <v/>
      </c>
      <c r="O62" s="37">
        <f>IF(AND(B62="South Korea",scenario="MID"),korea_mid_revleg,revleg_sel)</f>
        <v/>
      </c>
      <c r="P62" s="36">
        <f>IF(ABS(MOD(ABS((L62*M62*O62)),1)-0.5)&lt;1E-9,2*ROUND((L62*M62*O62)/2,0),ROUND((L62*M62*O62),0))</f>
        <v/>
      </c>
      <c r="Q62" s="37">
        <f>IF(AND(B62="South Korea",scenario="MID"),korea_mid_load,load_sel)</f>
        <v/>
      </c>
      <c r="R62" s="38">
        <f>pax_cap*Q62</f>
        <v/>
      </c>
      <c r="S62" s="36">
        <f>R62*P62</f>
        <v/>
      </c>
      <c r="T62" s="39">
        <f>E62*discount</f>
        <v/>
      </c>
      <c r="U62" s="40">
        <f>T62*S62</f>
        <v/>
      </c>
      <c r="V62" s="40">
        <f>(battery/range_nm)*D62*P62*VLOOKUP(B62,country_opex,3,FALSE)</f>
        <v/>
      </c>
      <c r="W62" s="40">
        <f>VLOOKUP(B62,country_opex,2,FALSE)*crew_factor</f>
        <v/>
      </c>
      <c r="X62" s="40">
        <f>VLOOKUP(B62,country_opex,5,FALSE)</f>
        <v/>
      </c>
      <c r="Y62" s="40">
        <f>maint</f>
        <v/>
      </c>
      <c r="Z62" s="40">
        <f>VLOOKUP(B62,country_opex,7,FALSE)*ins_pct</f>
        <v/>
      </c>
      <c r="AA62" s="40">
        <f>charge_berth</f>
        <v/>
      </c>
      <c r="AB62" s="40">
        <f>V62+W62+X62+Y62+Z62+AA62</f>
        <v/>
      </c>
      <c r="AC62" s="40">
        <f>VLOOKUP(B62,country_opex,7,FALSE)/dep_years</f>
        <v/>
      </c>
      <c r="AD62" s="40">
        <f>U62-AB62</f>
        <v/>
      </c>
      <c r="AE62" s="37">
        <f>IF(U62=0,"",AD62/U62)</f>
        <v/>
      </c>
      <c r="AF62" s="38">
        <f>IF(AD62&lt;=0,"",VLOOKUP(B62,country_opex,7,FALSE)/AD62)</f>
        <v/>
      </c>
      <c r="AG62" s="35">
        <f>((D62*P62/diesel_nmpg)*diesel_co2pg-(battery/range_nm)*D62*P62*VLOOKUP(B62,country_opex,4,FALSE))/1000</f>
        <v/>
      </c>
      <c r="AH62" s="33" t="n"/>
      <c r="AI62" s="34" t="inlineStr">
        <is>
          <t>T2</t>
        </is>
      </c>
      <c r="AJ62" s="34" t="inlineStr">
        <is>
          <t>low</t>
        </is>
      </c>
      <c r="AK62" s="41" t="n">
        <v>0.1</v>
      </c>
      <c r="AL62" s="36">
        <f>IF(AH62="","",AH62*AK62)</f>
        <v/>
      </c>
      <c r="AM62" s="36">
        <f>IF(OR(AH62="",S62=0),"",MIN(IF(AU62="",9.9E+99,AU62),FLOOR(AL62/S62,1)))</f>
        <v/>
      </c>
      <c r="AN62" s="40">
        <f>IF(AM62="","",AM62*IF(ABS(MOD(ABS((U62)),1)-0.5)&lt;1E-9,2*ROUND((U62)/2,0),ROUND((U62),0)))</f>
        <v/>
      </c>
      <c r="AO62" s="38">
        <f>IF(OR(AH62="",S62=0),"",MIN(IF(AU62="",9.9E+99,AU62),AL62/S62))</f>
        <v/>
      </c>
      <c r="AP62" s="40">
        <f>IF(AO62="","",AO62*IF(B62="South Korea",IF(ABS(MOD(ABS((U62)),1)-0.5)&lt;1E-9,2*ROUND((U62)/2,0),ROUND((U62),0)),U62))</f>
        <v/>
      </c>
      <c r="AQ62" s="42" t="n"/>
      <c r="AR62" s="34" t="inlineStr">
        <is>
          <t>Estimated</t>
        </is>
      </c>
      <c r="AS62" s="43" t="n"/>
      <c r="AT62" s="43" t="n"/>
      <c r="AU62" s="44" t="n"/>
      <c r="AV62" s="45">
        <f>IF(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&lt;=0,"",VLOOKUP(B62,country_opex,7,FALSE)/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)</f>
        <v/>
      </c>
      <c r="AW62" s="45">
        <f>IF(((T62*pax_cap*IF(B62="South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Korea",korea_mid_revleg,revleg_mid)),0))*VLOOKUP(B62,country_opex,3,FALSE))+W62+X62+Y62+Z62+AA62))&lt;=0,"",VLOOKUP(B62,country_opex,7,FALSE)/((T62*pax_cap*IF(B62="South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Korea",korea_mid_revleg,revleg_mid)),0))*VLOOKUP(B62,country_opex,3,FALSE))+W62+X62+Y62+Z62+AA62)))</f>
        <v/>
      </c>
      <c r="AX62" s="45">
        <f>IF(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&lt;=0,"",VLOOKUP(B62,country_opex,7,FALSE)/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)</f>
        <v/>
      </c>
      <c r="AY62" s="46" t="inlineStr">
        <is>
          <t>Two real per-seat products: (1) 1Bataan Integrated Transport System (1BITS) public fastcraft Manila CCP&lt;-&gt;Capinpin Orion: PHP499 walk-in / PHP249 online promo per way (lakwatsero.com + 1bataanits.ph, Jun 2025); single class, 108-seat HK-Macau-style fastcraft, 1h30m. (2) Camaya Coast resort scheduled ferry day-tour packages (resort's own ferry, CCP terminal): weekday PHP1,399-1,449/pax, weekend PHP2,399-2,499/pax incl RT ferry + resort day access (FB group rate card 2025); 2026 vlog shows PHP999 day tour w/ ferry. Resort day access alone (own vehicle) = PHP299 (camayacoast.com).</t>
        </is>
      </c>
      <c r="AZ62" s="46" t="inlineStr">
        <is>
          <t>PPA 2024 Passenger Statistics Summary (ppa.com.ph qtr_stat, prelim): TMO Orion / OTP Orion = 0 passengers recorded for 2024. 1BITS service is intermittent: relaunched Jun 13 2025 (2 RT/day, 108 seats), suspended again since Nov 2025 until further notice (iamtravelinglight.com note; 1Bataan FB advisories). Camaya Coast resort-ferry volumes unpublished.</t>
        </is>
      </c>
      <c r="BA62" s="34" t="n"/>
    </row>
    <row r="63">
      <c r="A63" s="31" t="inlineStr">
        <is>
          <t>Philippines</t>
        </is>
      </c>
      <c r="B63" s="31" t="inlineStr">
        <is>
          <t>Philippines</t>
        </is>
      </c>
      <c r="C63" s="32" t="inlineStr">
        <is>
          <t>Manila (CCP / Esplanade Seaside) → Corregidor Island</t>
        </is>
      </c>
      <c r="D63" s="33" t="n">
        <v>26</v>
      </c>
      <c r="E63" s="27" t="n">
        <v>50</v>
      </c>
      <c r="F63" s="34" t="inlineStr">
        <is>
          <t>T3</t>
        </is>
      </c>
      <c r="G63" s="34" t="inlineStr">
        <is>
          <t>med</t>
        </is>
      </c>
      <c r="H63" s="20" t="n">
        <v>1</v>
      </c>
      <c r="I63" s="35">
        <f>60*D63/cruise_kt</f>
        <v/>
      </c>
      <c r="J63" s="35">
        <f>IF(B63="South Korea",D63/korea_charge_range_nm*korea_full_range_charge_min,0)</f>
        <v/>
      </c>
      <c r="K63" s="35">
        <f>IF(B63="South Korea",I63+korea_turn_min+korea_dwell_min+J63,I63+turn_min+dwell_min)</f>
        <v/>
      </c>
      <c r="L63" s="36">
        <f>IF(B63="South Korea",FLOOR(60*korea_service_hr/K63,1),MIN(15,FLOOR(60*service_hr/K63,1)))</f>
        <v/>
      </c>
      <c r="M63" s="36">
        <f>IF(ABS(MOD(ABS((365*mech_uptime*H63)),1)-0.5)&lt;1E-9,2*ROUND((365*mech_uptime*H63)/2,0),ROUND((365*mech_uptime*H63),0))</f>
        <v/>
      </c>
      <c r="N63" s="37">
        <f>mech_uptime</f>
        <v/>
      </c>
      <c r="O63" s="37">
        <f>IF(AND(B63="South Korea",scenario="MID"),korea_mid_revleg,revleg_sel)</f>
        <v/>
      </c>
      <c r="P63" s="36">
        <f>IF(ABS(MOD(ABS((L63*M63*O63)),1)-0.5)&lt;1E-9,2*ROUND((L63*M63*O63)/2,0),ROUND((L63*M63*O63),0))</f>
        <v/>
      </c>
      <c r="Q63" s="37">
        <f>IF(AND(B63="South Korea",scenario="MID"),korea_mid_load,load_sel)</f>
        <v/>
      </c>
      <c r="R63" s="38">
        <f>pax_cap*Q63</f>
        <v/>
      </c>
      <c r="S63" s="36">
        <f>R63*P63</f>
        <v/>
      </c>
      <c r="T63" s="39">
        <f>E63*discount</f>
        <v/>
      </c>
      <c r="U63" s="40">
        <f>T63*S63</f>
        <v/>
      </c>
      <c r="V63" s="40">
        <f>(battery/range_nm)*D63*P63*VLOOKUP(B63,country_opex,3,FALSE)</f>
        <v/>
      </c>
      <c r="W63" s="40">
        <f>VLOOKUP(B63,country_opex,2,FALSE)*crew_factor</f>
        <v/>
      </c>
      <c r="X63" s="40">
        <f>VLOOKUP(B63,country_opex,5,FALSE)</f>
        <v/>
      </c>
      <c r="Y63" s="40">
        <f>maint</f>
        <v/>
      </c>
      <c r="Z63" s="40">
        <f>VLOOKUP(B63,country_opex,7,FALSE)*ins_pct</f>
        <v/>
      </c>
      <c r="AA63" s="40">
        <f>charge_berth</f>
        <v/>
      </c>
      <c r="AB63" s="40">
        <f>V63+W63+X63+Y63+Z63+AA63</f>
        <v/>
      </c>
      <c r="AC63" s="40">
        <f>VLOOKUP(B63,country_opex,7,FALSE)/dep_years</f>
        <v/>
      </c>
      <c r="AD63" s="40">
        <f>U63-AB63</f>
        <v/>
      </c>
      <c r="AE63" s="37">
        <f>IF(U63=0,"",AD63/U63)</f>
        <v/>
      </c>
      <c r="AF63" s="38">
        <f>IF(AD63&lt;=0,"",VLOOKUP(B63,country_opex,7,FALSE)/AD63)</f>
        <v/>
      </c>
      <c r="AG63" s="35">
        <f>((D63*P63/diesel_nmpg)*diesel_co2pg-(battery/range_nm)*D63*P63*VLOOKUP(B63,country_opex,4,FALSE))/1000</f>
        <v/>
      </c>
      <c r="AH63" s="33" t="n"/>
      <c r="AI63" s="34" t="inlineStr">
        <is>
          <t>T2</t>
        </is>
      </c>
      <c r="AJ63" s="34" t="inlineStr">
        <is>
          <t>low</t>
        </is>
      </c>
      <c r="AK63" s="41" t="n">
        <v>0.1</v>
      </c>
      <c r="AL63" s="36">
        <f>IF(AH63="","",AH63*AK63)</f>
        <v/>
      </c>
      <c r="AM63" s="36">
        <f>IF(OR(AH63="",S63=0),"",MIN(IF(AU63="",9.9E+99,AU63),FLOOR(AL63/S63,1)))</f>
        <v/>
      </c>
      <c r="AN63" s="40">
        <f>IF(AM63="","",AM63*IF(ABS(MOD(ABS((U63)),1)-0.5)&lt;1E-9,2*ROUND((U63)/2,0),ROUND((U63),0)))</f>
        <v/>
      </c>
      <c r="AO63" s="38">
        <f>IF(OR(AH63="",S63=0),"",MIN(IF(AU63="",9.9E+99,AU63),AL63/S63))</f>
        <v/>
      </c>
      <c r="AP63" s="40">
        <f>IF(AO63="","",AO63*IF(B63="South Korea",IF(ABS(MOD(ABS((U63)),1)-0.5)&lt;1E-9,2*ROUND((U63)/2,0),ROUND((U63),0)),U63))</f>
        <v/>
      </c>
      <c r="AQ63" s="42" t="n"/>
      <c r="AR63" s="34" t="inlineStr">
        <is>
          <t>Estimated</t>
        </is>
      </c>
      <c r="AS63" s="43" t="n"/>
      <c r="AT63" s="43" t="n"/>
      <c r="AU63" s="44" t="n"/>
      <c r="AV63" s="45">
        <f>IF(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&lt;=0,"",VLOOKUP(B63,country_opex,7,FALSE)/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)</f>
        <v/>
      </c>
      <c r="AW63" s="45">
        <f>IF(((T63*pax_cap*IF(B63="South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Korea",korea_mid_revleg,revleg_mid)),0))*VLOOKUP(B63,country_opex,3,FALSE))+W63+X63+Y63+Z63+AA63))&lt;=0,"",VLOOKUP(B63,country_opex,7,FALSE)/((T63*pax_cap*IF(B63="South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Korea",korea_mid_revleg,revleg_mid)),0))*VLOOKUP(B63,country_opex,3,FALSE))+W63+X63+Y63+Z63+AA63)))</f>
        <v/>
      </c>
      <c r="AX63" s="45">
        <f>IF(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&lt;=0,"",VLOOKUP(B63,country_opex,7,FALSE)/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)</f>
        <v/>
      </c>
      <c r="AY63" s="46" t="inlineStr">
        <is>
          <t>Travel and Tours Guia Del' Mar launched direct Manila (CCP)-&gt;Corregidor ferry day tour Mar 1 2026 at PHP6,850/pax (RT ferry from CCP + buffet lunch + island entrance + DOT fees; facebook.com/CorregidorIslandTour + Tripadvisor PH forum). Comparison: join-in day tour via Mariveles (Bataan) PHP4,350-4,500/pax (srvtravelservices.rezgo.com PHP4,350; timetravelturtle.com 2026 PHP4,500=$80); 'charter' tour PHP8,500/pax min 75 guests.</t>
        </is>
      </c>
      <c r="AZ63" s="46" t="inlineStr">
        <is>
          <t>R10 lapsed-relaunching: Sun Cruises (sole daily operator, ~100k+ visitors/yr pre-Covid) ceased operations May 16 2020 (ABS-CBN). Island access 'fairly patchy' 2020-2025 (timetravelturtle.com); hotel + regular ferry gone. 2026: Guia Del' Mar direct Manila ferry relaunched Mar 1 2026 but on SELECT scheduled dates only (e.g. May 6, Jun 2 sailings advertised), not daily.</t>
        </is>
      </c>
      <c r="BA63" s="34" t="n"/>
    </row>
    <row r="64">
      <c r="A64" s="31" t="inlineStr">
        <is>
          <t>Philippines</t>
        </is>
      </c>
      <c r="B64" s="31" t="inlineStr">
        <is>
          <t>Philippines</t>
        </is>
      </c>
      <c r="C64" s="32" t="inlineStr">
        <is>
          <t>Cebu (Mactan) → Bohol / Panglao</t>
        </is>
      </c>
      <c r="D64" s="33" t="n">
        <v>35</v>
      </c>
      <c r="E64" s="27" t="n">
        <v>21</v>
      </c>
      <c r="F64" s="34" t="inlineStr">
        <is>
          <t>T3</t>
        </is>
      </c>
      <c r="G64" s="34" t="inlineStr">
        <is>
          <t>med-high</t>
        </is>
      </c>
      <c r="H64" s="20" t="n">
        <v>1</v>
      </c>
      <c r="I64" s="35">
        <f>60*D64/cruise_kt</f>
        <v/>
      </c>
      <c r="J64" s="35">
        <f>IF(B64="South Korea",D64/korea_charge_range_nm*korea_full_range_charge_min,0)</f>
        <v/>
      </c>
      <c r="K64" s="35">
        <f>IF(B64="South Korea",I64+korea_turn_min+korea_dwell_min+J64,I64+turn_min+dwell_min)</f>
        <v/>
      </c>
      <c r="L64" s="36">
        <f>IF(B64="South Korea",FLOOR(60*korea_service_hr/K64,1),MIN(15,FLOOR(60*service_hr/K64,1)))</f>
        <v/>
      </c>
      <c r="M64" s="36">
        <f>IF(ABS(MOD(ABS((365*mech_uptime*H64)),1)-0.5)&lt;1E-9,2*ROUND((365*mech_uptime*H64)/2,0),ROUND((365*mech_uptime*H64),0))</f>
        <v/>
      </c>
      <c r="N64" s="37">
        <f>mech_uptime</f>
        <v/>
      </c>
      <c r="O64" s="37">
        <f>IF(AND(B64="South Korea",scenario="MID"),korea_mid_revleg,revleg_sel)</f>
        <v/>
      </c>
      <c r="P64" s="36">
        <f>IF(ABS(MOD(ABS((L64*M64*O64)),1)-0.5)&lt;1E-9,2*ROUND((L64*M64*O64)/2,0),ROUND((L64*M64*O64),0))</f>
        <v/>
      </c>
      <c r="Q64" s="37">
        <f>IF(AND(B64="South Korea",scenario="MID"),korea_mid_load,load_sel)</f>
        <v/>
      </c>
      <c r="R64" s="38">
        <f>pax_cap*Q64</f>
        <v/>
      </c>
      <c r="S64" s="36">
        <f>R64*P64</f>
        <v/>
      </c>
      <c r="T64" s="39">
        <f>E64*discount</f>
        <v/>
      </c>
      <c r="U64" s="40">
        <f>T64*S64</f>
        <v/>
      </c>
      <c r="V64" s="40">
        <f>(battery/range_nm)*D64*P64*VLOOKUP(B64,country_opex,3,FALSE)</f>
        <v/>
      </c>
      <c r="W64" s="40">
        <f>VLOOKUP(B64,country_opex,2,FALSE)*crew_factor</f>
        <v/>
      </c>
      <c r="X64" s="40">
        <f>VLOOKUP(B64,country_opex,5,FALSE)</f>
        <v/>
      </c>
      <c r="Y64" s="40">
        <f>maint</f>
        <v/>
      </c>
      <c r="Z64" s="40">
        <f>VLOOKUP(B64,country_opex,7,FALSE)*ins_pct</f>
        <v/>
      </c>
      <c r="AA64" s="40">
        <f>charge_berth</f>
        <v/>
      </c>
      <c r="AB64" s="40">
        <f>V64+W64+X64+Y64+Z64+AA64</f>
        <v/>
      </c>
      <c r="AC64" s="40">
        <f>VLOOKUP(B64,country_opex,7,FALSE)/dep_years</f>
        <v/>
      </c>
      <c r="AD64" s="40">
        <f>U64-AB64</f>
        <v/>
      </c>
      <c r="AE64" s="37">
        <f>IF(U64=0,"",AD64/U64)</f>
        <v/>
      </c>
      <c r="AF64" s="38">
        <f>IF(AD64&lt;=0,"",VLOOKUP(B64,country_opex,7,FALSE)/AD64)</f>
        <v/>
      </c>
      <c r="AG64" s="35">
        <f>((D64*P64/diesel_nmpg)*diesel_co2pg-(battery/range_nm)*D64*P64*VLOOKUP(B64,country_opex,4,FALSE))/1000</f>
        <v/>
      </c>
      <c r="AH64" s="33" t="n">
        <v>2000000</v>
      </c>
      <c r="AI64" s="34" t="inlineStr">
        <is>
          <t>T3</t>
        </is>
      </c>
      <c r="AJ64" s="34" t="inlineStr">
        <is>
          <t>med</t>
        </is>
      </c>
      <c r="AK64" s="41" t="n">
        <v>0.1</v>
      </c>
      <c r="AL64" s="36">
        <f>IF(AH64="","",AH64*AK64)</f>
        <v/>
      </c>
      <c r="AM64" s="36">
        <f>IF(OR(AH64="",S64=0),"",MIN(IF(AU64="",9.9E+99,AU64),FLOOR(AL64/S64,1)))</f>
        <v/>
      </c>
      <c r="AN64" s="40">
        <f>IF(AM64="","",AM64*IF(ABS(MOD(ABS((U64)),1)-0.5)&lt;1E-9,2*ROUND((U64)/2,0),ROUND((U64),0)))</f>
        <v/>
      </c>
      <c r="AO64" s="38">
        <f>IF(OR(AH64="",S64=0),"",MIN(IF(AU64="",9.9E+99,AU64),AL64/S64))</f>
        <v/>
      </c>
      <c r="AP64" s="40">
        <f>IF(AO64="","",AO64*IF(B64="South Korea",IF(ABS(MOD(ABS((U64)),1)-0.5)&lt;1E-9,2*ROUND((U64)/2,0),ROUND((U64),0)),U64))</f>
        <v/>
      </c>
      <c r="AQ64" s="42" t="n"/>
      <c r="AR64" s="34" t="inlineStr">
        <is>
          <t>Grounded</t>
        </is>
      </c>
      <c r="AS64" s="43" t="n"/>
      <c r="AT64" s="43" t="n"/>
      <c r="AU64" s="44" t="n"/>
      <c r="AV64" s="45">
        <f>IF(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&lt;=0,"",VLOOKUP(B64,country_opex,7,FALSE)/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)</f>
        <v/>
      </c>
      <c r="AW64" s="45">
        <f>IF(((T64*pax_cap*IF(B64="South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Korea",korea_mid_revleg,revleg_mid)),0))*VLOOKUP(B64,country_opex,3,FALSE))+W64+X64+Y64+Z64+AA64))&lt;=0,"",VLOOKUP(B64,country_opex,7,FALSE)/((T64*pax_cap*IF(B64="South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Korea",korea_mid_revleg,revleg_mid)),0))*VLOOKUP(B64,country_opex,3,FALSE))+W64+X64+Y64+Z64+AA64)))</f>
        <v/>
      </c>
      <c r="AX64" s="45">
        <f>IF(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&lt;=0,"",VLOOKUP(B64,country_opex,7,FALSE)/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)</f>
        <v/>
      </c>
      <c r="AY64" s="46" t="inlineStr">
        <is>
          <t>Premium per-seat = OceanJet Business Class fast-craft Cebu-&gt;Tagbilaran/Bohol PHP1200 ($21) vs Tourist/Open-Air PHP800 ($14). Corroborated thepinaysolobackpacker 2025 + triphappy 2026 + Klook listings. Whole-boat private charter = overclaim, excluded.</t>
        </is>
      </c>
      <c r="AZ64" s="46" t="inlineStr">
        <is>
          <t>(1) Tagbilaran port profile: ~3,400,000 passengers/yr total traffic, all routes (shipnext.com/port/tagbilaran-phtag-phl, c.2024-25; port pax movements are already one-way per convention); Cebu is the dominant route (~70% of fast-craft sailings). (2) JICA Data Collection Survey on Disaster-resilient Feeder Ports (2021, https://openjicareport.jica.go.jp/pdf/12248738.pdf): Bohol sea passengers 'stable at around 1.65 million in recent years... most use Tagbilaran Port and Tubigon Port' (both = Cebu routes). (3) Live operator density: OceanJet ~12-14 round trips/day (300-400 seat fast craft), SuperCat ~5-6 RT/day, Lite Jet - Cebu-Tagbilaran is the Philippines' busiest fast-ferry corridor; pre-covid route commonly cited 2M+/yr. PPA publishes route-level pax (R3-GOLD pattern) but the 2025 PDF (ppa.com.ph qtr_stat) OCR-extracts garbled - exact PMO-Bohol line not retrievable this run; Cebu side sits under Cebu Port Authority (cpa.gov.ph), outside PPA stats.</t>
        </is>
      </c>
      <c r="BA64" s="34" t="inlineStr">
        <is>
          <t>rn-66e9451f405f</t>
        </is>
      </c>
    </row>
    <row r="65">
      <c r="A65" s="31" t="inlineStr">
        <is>
          <t>Singapore</t>
        </is>
      </c>
      <c r="B65" s="31" t="inlineStr">
        <is>
          <t>Singapore</t>
        </is>
      </c>
      <c r="C65" s="32" t="inlineStr">
        <is>
          <t>Changi Point → Pulau Ubin (Main Jetty)</t>
        </is>
      </c>
      <c r="D65" s="33" t="n">
        <v>1.2</v>
      </c>
      <c r="E65" s="27" t="n">
        <v>8</v>
      </c>
      <c r="F65" s="34" t="inlineStr">
        <is>
          <t>T2</t>
        </is>
      </c>
      <c r="G65" s="34" t="inlineStr">
        <is>
          <t>med</t>
        </is>
      </c>
      <c r="H65" s="20" t="n">
        <v>1</v>
      </c>
      <c r="I65" s="35">
        <f>60*D65/cruise_kt</f>
        <v/>
      </c>
      <c r="J65" s="35">
        <f>IF(B65="South Korea",D65/korea_charge_range_nm*korea_full_range_charge_min,0)</f>
        <v/>
      </c>
      <c r="K65" s="35">
        <f>IF(B65="South Korea",I65+korea_turn_min+korea_dwell_min+J65,I65+turn_min+dwell_min)</f>
        <v/>
      </c>
      <c r="L65" s="36">
        <f>IF(B65="South Korea",FLOOR(60*korea_service_hr/K65,1),MIN(15,FLOOR(60*service_hr/K65,1)))</f>
        <v/>
      </c>
      <c r="M65" s="36">
        <f>IF(ABS(MOD(ABS((365*mech_uptime*H65)),1)-0.5)&lt;1E-9,2*ROUND((365*mech_uptime*H65)/2,0),ROUND((365*mech_uptime*H65),0))</f>
        <v/>
      </c>
      <c r="N65" s="37">
        <f>mech_uptime</f>
        <v/>
      </c>
      <c r="O65" s="37">
        <f>IF(AND(B65="South Korea",scenario="MID"),korea_mid_revleg,revleg_sel)</f>
        <v/>
      </c>
      <c r="P65" s="36">
        <f>IF(ABS(MOD(ABS((L65*M65*O65)),1)-0.5)&lt;1E-9,2*ROUND((L65*M65*O65)/2,0),ROUND((L65*M65*O65),0))</f>
        <v/>
      </c>
      <c r="Q65" s="37">
        <f>IF(AND(B65="South Korea",scenario="MID"),korea_mid_load,load_sel)</f>
        <v/>
      </c>
      <c r="R65" s="38">
        <f>pax_cap*Q65</f>
        <v/>
      </c>
      <c r="S65" s="36">
        <f>R65*P65</f>
        <v/>
      </c>
      <c r="T65" s="39">
        <f>E65*discount</f>
        <v/>
      </c>
      <c r="U65" s="40">
        <f>T65*S65</f>
        <v/>
      </c>
      <c r="V65" s="40">
        <f>(battery/range_nm)*D65*P65*VLOOKUP(B65,country_opex,3,FALSE)</f>
        <v/>
      </c>
      <c r="W65" s="40">
        <f>VLOOKUP(B65,country_opex,2,FALSE)*crew_factor</f>
        <v/>
      </c>
      <c r="X65" s="40">
        <f>VLOOKUP(B65,country_opex,5,FALSE)</f>
        <v/>
      </c>
      <c r="Y65" s="40">
        <f>maint</f>
        <v/>
      </c>
      <c r="Z65" s="40">
        <f>VLOOKUP(B65,country_opex,7,FALSE)*ins_pct</f>
        <v/>
      </c>
      <c r="AA65" s="40">
        <f>charge_berth</f>
        <v/>
      </c>
      <c r="AB65" s="40">
        <f>V65+W65+X65+Y65+Z65+AA65</f>
        <v/>
      </c>
      <c r="AC65" s="40">
        <f>VLOOKUP(B65,country_opex,7,FALSE)/dep_years</f>
        <v/>
      </c>
      <c r="AD65" s="40">
        <f>U65-AB65</f>
        <v/>
      </c>
      <c r="AE65" s="37">
        <f>IF(U65=0,"",AD65/U65)</f>
        <v/>
      </c>
      <c r="AF65" s="38">
        <f>IF(AD65&lt;=0,"",VLOOKUP(B65,country_opex,7,FALSE)/AD65)</f>
        <v/>
      </c>
      <c r="AG65" s="35">
        <f>((D65*P65/diesel_nmpg)*diesel_co2pg-(battery/range_nm)*D65*P65*VLOOKUP(B65,country_opex,4,FALSE))/1000</f>
        <v/>
      </c>
      <c r="AH65" s="33" t="n">
        <v>60000</v>
      </c>
      <c r="AI65" s="34" t="n"/>
      <c r="AJ65" s="34" t="n"/>
      <c r="AK65" s="41" t="n">
        <v>0.25</v>
      </c>
      <c r="AL65" s="36">
        <f>IF(AH65="","",AH65*AK65)</f>
        <v/>
      </c>
      <c r="AM65" s="36">
        <f>IF(OR(AH65="",S65=0),"",MIN(IF(AU65="",9.9E+99,AU65),FLOOR(AL65/S65,1)))</f>
        <v/>
      </c>
      <c r="AN65" s="40">
        <f>IF(AM65="","",AM65*IF(ABS(MOD(ABS((U65)),1)-0.5)&lt;1E-9,2*ROUND((U65)/2,0),ROUND((U65),0)))</f>
        <v/>
      </c>
      <c r="AO65" s="38">
        <f>IF(OR(AH65="",S65=0),"",MIN(IF(AU65="",9.9E+99,AU65),AL65/S65))</f>
        <v/>
      </c>
      <c r="AP65" s="40">
        <f>IF(AO65="","",AO65*IF(B65="South Korea",IF(ABS(MOD(ABS((U65)),1)-0.5)&lt;1E-9,2*ROUND((U65)/2,0),ROUND((U65),0)),U65))</f>
        <v/>
      </c>
      <c r="AQ65" s="42" t="n"/>
      <c r="AR65" s="34" t="inlineStr">
        <is>
          <t>Grounded</t>
        </is>
      </c>
      <c r="AS65" s="43" t="n"/>
      <c r="AT65" s="43" t="n"/>
      <c r="AU65" s="44" t="n"/>
      <c r="AV65" s="45">
        <f>IF(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&lt;=0,"",VLOOKUP(B65,country_opex,7,FALSE)/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)</f>
        <v/>
      </c>
      <c r="AW65" s="45">
        <f>IF(((T65*pax_cap*IF(B65="South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Korea",korea_mid_revleg,revleg_mid)),0))*VLOOKUP(B65,country_opex,3,FALSE))+W65+X65+Y65+Z65+AA65))&lt;=0,"",VLOOKUP(B65,country_opex,7,FALSE)/((T65*pax_cap*IF(B65="South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Korea",korea_mid_revleg,revleg_mid)),0))*VLOOKUP(B65,country_opex,3,FALSE))+W65+X65+Y65+Z65+AA65)))</f>
        <v/>
      </c>
      <c r="AX65" s="45">
        <f>IF(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&lt;=0,"",VLOOKUP(B65,country_opex,7,FALSE)/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)</f>
        <v/>
      </c>
      <c r="AY65" s="46" t="inlineStr">
        <is>
          <t>Existing bumboat Changi Point-&gt;Pulau Ubin: S$4/pax one-way (NParks official, T1). Modeled premium per-seat at ~2x bumboat (~S$11 = $8) — branded scheduled departures, zero-emission, faster turn. No private charter overclaim. R5-EXT single-class commuter market exists; premium tier is the addressable slice.</t>
        </is>
      </c>
      <c r="AZ65" s="46" t="n"/>
      <c r="BA65" s="34" t="inlineStr">
        <is>
          <t>rn-82453f6cb33e</t>
        </is>
      </c>
    </row>
    <row r="66">
      <c r="A66" s="31" t="inlineStr">
        <is>
          <t>Singapore</t>
        </is>
      </c>
      <c r="B66" s="31" t="inlineStr">
        <is>
          <t>Singapore</t>
        </is>
      </c>
      <c r="C66" s="32" t="inlineStr">
        <is>
          <t>Marina Bay → Sentosa / southern islands</t>
        </is>
      </c>
      <c r="D66" s="33" t="n">
        <v>2.6</v>
      </c>
      <c r="E66" s="27" t="n">
        <v>18</v>
      </c>
      <c r="F66" s="34" t="inlineStr">
        <is>
          <t>T3</t>
        </is>
      </c>
      <c r="G66" s="34" t="inlineStr">
        <is>
          <t>med</t>
        </is>
      </c>
      <c r="H66" s="20" t="n">
        <v>1</v>
      </c>
      <c r="I66" s="35">
        <f>60*D66/cruise_kt</f>
        <v/>
      </c>
      <c r="J66" s="35">
        <f>IF(B66="South Korea",D66/korea_charge_range_nm*korea_full_range_charge_min,0)</f>
        <v/>
      </c>
      <c r="K66" s="35">
        <f>IF(B66="South Korea",I66+korea_turn_min+korea_dwell_min+J66,I66+turn_min+dwell_min)</f>
        <v/>
      </c>
      <c r="L66" s="36">
        <f>IF(B66="South Korea",FLOOR(60*korea_service_hr/K66,1),MIN(15,FLOOR(60*service_hr/K66,1)))</f>
        <v/>
      </c>
      <c r="M66" s="36">
        <f>IF(ABS(MOD(ABS((365*mech_uptime*H66)),1)-0.5)&lt;1E-9,2*ROUND((365*mech_uptime*H66)/2,0),ROUND((365*mech_uptime*H66),0))</f>
        <v/>
      </c>
      <c r="N66" s="37">
        <f>mech_uptime</f>
        <v/>
      </c>
      <c r="O66" s="37">
        <f>IF(AND(B66="South Korea",scenario="MID"),korea_mid_revleg,revleg_sel)</f>
        <v/>
      </c>
      <c r="P66" s="36">
        <f>IF(ABS(MOD(ABS((L66*M66*O66)),1)-0.5)&lt;1E-9,2*ROUND((L66*M66*O66)/2,0),ROUND((L66*M66*O66),0))</f>
        <v/>
      </c>
      <c r="Q66" s="37">
        <f>IF(AND(B66="South Korea",scenario="MID"),korea_mid_load,load_sel)</f>
        <v/>
      </c>
      <c r="R66" s="38">
        <f>pax_cap*Q66</f>
        <v/>
      </c>
      <c r="S66" s="36">
        <f>R66*P66</f>
        <v/>
      </c>
      <c r="T66" s="39">
        <f>E66*discount</f>
        <v/>
      </c>
      <c r="U66" s="40">
        <f>T66*S66</f>
        <v/>
      </c>
      <c r="V66" s="40">
        <f>(battery/range_nm)*D66*P66*VLOOKUP(B66,country_opex,3,FALSE)</f>
        <v/>
      </c>
      <c r="W66" s="40">
        <f>VLOOKUP(B66,country_opex,2,FALSE)*crew_factor</f>
        <v/>
      </c>
      <c r="X66" s="40">
        <f>VLOOKUP(B66,country_opex,5,FALSE)</f>
        <v/>
      </c>
      <c r="Y66" s="40">
        <f>maint</f>
        <v/>
      </c>
      <c r="Z66" s="40">
        <f>VLOOKUP(B66,country_opex,7,FALSE)*ins_pct</f>
        <v/>
      </c>
      <c r="AA66" s="40">
        <f>charge_berth</f>
        <v/>
      </c>
      <c r="AB66" s="40">
        <f>V66+W66+X66+Y66+Z66+AA66</f>
        <v/>
      </c>
      <c r="AC66" s="40">
        <f>VLOOKUP(B66,country_opex,7,FALSE)/dep_years</f>
        <v/>
      </c>
      <c r="AD66" s="40">
        <f>U66-AB66</f>
        <v/>
      </c>
      <c r="AE66" s="37">
        <f>IF(U66=0,"",AD66/U66)</f>
        <v/>
      </c>
      <c r="AF66" s="38">
        <f>IF(AD66&lt;=0,"",VLOOKUP(B66,country_opex,7,FALSE)/AD66)</f>
        <v/>
      </c>
      <c r="AG66" s="35">
        <f>((D66*P66/diesel_nmpg)*diesel_co2pg-(battery/range_nm)*D66*P66*VLOOKUP(B66,country_opex,4,FALSE))/1000</f>
        <v/>
      </c>
      <c r="AH66" s="33" t="n">
        <v>54000</v>
      </c>
      <c r="AI66" s="34" t="n"/>
      <c r="AJ66" s="34" t="n"/>
      <c r="AK66" s="41" t="n">
        <v>0.25</v>
      </c>
      <c r="AL66" s="36">
        <f>IF(AH66="","",AH66*AK66)</f>
        <v/>
      </c>
      <c r="AM66" s="36">
        <f>IF(OR(AH66="",S66=0),"",MIN(IF(AU66="",9.9E+99,AU66),FLOOR(AL66/S66,1)))</f>
        <v/>
      </c>
      <c r="AN66" s="40">
        <f>IF(AM66="","",AM66*IF(ABS(MOD(ABS((U66)),1)-0.5)&lt;1E-9,2*ROUND((U66)/2,0),ROUND((U66),0)))</f>
        <v/>
      </c>
      <c r="AO66" s="38">
        <f>IF(OR(AH66="",S66=0),"",MIN(IF(AU66="",9.9E+99,AU66),AL66/S66))</f>
        <v/>
      </c>
      <c r="AP66" s="40">
        <f>IF(AO66="","",AO66*IF(B66="South Korea",IF(ABS(MOD(ABS((U66)),1)-0.5)&lt;1E-9,2*ROUND((U66)/2,0),ROUND((U66),0)),U66))</f>
        <v/>
      </c>
      <c r="AQ66" s="42" t="n"/>
      <c r="AR66" s="34" t="inlineStr">
        <is>
          <t>Grounded</t>
        </is>
      </c>
      <c r="AS66" s="43" t="n"/>
      <c r="AT66" s="43" t="n"/>
      <c r="AU66" s="44" t="n"/>
      <c r="AV66" s="45">
        <f>IF(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&lt;=0,"",VLOOKUP(B66,country_opex,7,FALSE)/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)</f>
        <v/>
      </c>
      <c r="AW66" s="45">
        <f>IF(((T66*pax_cap*IF(B66="South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Korea",korea_mid_revleg,revleg_mid)),0))*VLOOKUP(B66,country_opex,3,FALSE))+W66+X66+Y66+Z66+AA66))&lt;=0,"",VLOOKUP(B66,country_opex,7,FALSE)/((T66*pax_cap*IF(B66="South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Korea",korea_mid_revleg,revleg_mid)),0))*VLOOKUP(B66,country_opex,3,FALSE))+W66+X66+Y66+Z66+AA66)))</f>
        <v/>
      </c>
      <c r="AX66" s="45">
        <f>IF(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&lt;=0,"",VLOOKUP(B66,country_opex,7,FALSE)/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)</f>
        <v/>
      </c>
      <c r="AY66" s="46" t="inlineStr">
        <is>
          <t>RE-SOURCED for the CORRECT corridor Marina South Pier -&gt; RWS/Sentosa/southern islands (prior record was sourced for a Sentosa-Cove-&gt;Lazarus/Seringat internal hop). Marina South Ferries / Singapore Island Cruise scheduled per-seat from Marina South Pier: budget open-deck island-hopping ferry ~S$18 RT (~$7 one-way) [Klook/islandcruise.com.sg]; per-seat speedboat to RWS/Ola ~$12 one-way / $18 RT (Marina South Ferries water-taxi / GetYourGuide Sentosa speedboat listings); unlimited island-hop pass ~$45/day. Whole-boat private water taxi S$80-130/trip EXCLUDED (charter overclaim). Premium per-seat one-way transfer anchored ~$18 (R1).</t>
        </is>
      </c>
      <c r="AZ66" s="46" t="n"/>
      <c r="BA66" s="34" t="n"/>
    </row>
    <row r="67">
      <c r="A67" s="31" t="inlineStr">
        <is>
          <t>Singapore</t>
        </is>
      </c>
      <c r="B67" s="31" t="inlineStr">
        <is>
          <t>Singapore</t>
        </is>
      </c>
      <c r="C67" s="32" t="inlineStr">
        <is>
          <t>Sentosa Cove (ONE15 Marina) → Marina Bay (CBD)</t>
        </is>
      </c>
      <c r="D67" s="33" t="n">
        <v>3.2</v>
      </c>
      <c r="E67" s="27" t="n">
        <v>11</v>
      </c>
      <c r="F67" s="34" t="inlineStr">
        <is>
          <t>T3</t>
        </is>
      </c>
      <c r="G67" s="34" t="inlineStr">
        <is>
          <t>low</t>
        </is>
      </c>
      <c r="H67" s="20" t="n">
        <v>1</v>
      </c>
      <c r="I67" s="35">
        <f>60*D67/cruise_kt</f>
        <v/>
      </c>
      <c r="J67" s="35">
        <f>IF(B67="South Korea",D67/korea_charge_range_nm*korea_full_range_charge_min,0)</f>
        <v/>
      </c>
      <c r="K67" s="35">
        <f>IF(B67="South Korea",I67+korea_turn_min+korea_dwell_min+J67,I67+turn_min+dwell_min)</f>
        <v/>
      </c>
      <c r="L67" s="36">
        <f>IF(B67="South Korea",FLOOR(60*korea_service_hr/K67,1),MIN(24,FLOOR(60*service_hr/K67,1)))</f>
        <v/>
      </c>
      <c r="M67" s="36">
        <f>IF(ABS(MOD(ABS((365*mech_uptime*H67)),1)-0.5)&lt;1E-9,2*ROUND((365*mech_uptime*H67)/2,0),ROUND((365*mech_uptime*H67),0))</f>
        <v/>
      </c>
      <c r="N67" s="37">
        <f>mech_uptime</f>
        <v/>
      </c>
      <c r="O67" s="37">
        <f>IF(AND(B67="South Korea",scenario="MID"),korea_mid_revleg,revleg_sel)</f>
        <v/>
      </c>
      <c r="P67" s="36">
        <f>IF(ABS(MOD(ABS((L67*M67*O67)),1)-0.5)&lt;1E-9,2*ROUND((L67*M67*O67)/2,0),ROUND((L67*M67*O67),0))</f>
        <v/>
      </c>
      <c r="Q67" s="37">
        <f>IF(AND(B67="South Korea",scenario="MID"),korea_mid_load,load_sel)</f>
        <v/>
      </c>
      <c r="R67" s="38">
        <f>pax_cap*Q67</f>
        <v/>
      </c>
      <c r="S67" s="36">
        <f>R67*P67</f>
        <v/>
      </c>
      <c r="T67" s="39">
        <f>E67*discount</f>
        <v/>
      </c>
      <c r="U67" s="40">
        <f>T67*S67</f>
        <v/>
      </c>
      <c r="V67" s="40">
        <f>(battery/range_nm)*D67*P67*VLOOKUP(B67,country_opex,3,FALSE)</f>
        <v/>
      </c>
      <c r="W67" s="40">
        <f>VLOOKUP(B67,country_opex,2,FALSE)*crew_factor</f>
        <v/>
      </c>
      <c r="X67" s="40">
        <f>VLOOKUP(B67,country_opex,5,FALSE)</f>
        <v/>
      </c>
      <c r="Y67" s="40">
        <f>maint</f>
        <v/>
      </c>
      <c r="Z67" s="40">
        <f>VLOOKUP(B67,country_opex,7,FALSE)*ins_pct</f>
        <v/>
      </c>
      <c r="AA67" s="40">
        <f>charge_berth</f>
        <v/>
      </c>
      <c r="AB67" s="40">
        <f>V67+W67+X67+Y67+Z67+AA67</f>
        <v/>
      </c>
      <c r="AC67" s="40">
        <f>VLOOKUP(B67,country_opex,7,FALSE)/dep_years</f>
        <v/>
      </c>
      <c r="AD67" s="40">
        <f>U67-AB67</f>
        <v/>
      </c>
      <c r="AE67" s="37">
        <f>IF(U67=0,"",AD67/U67)</f>
        <v/>
      </c>
      <c r="AF67" s="38">
        <f>IF(AD67&lt;=0,"",VLOOKUP(B67,country_opex,7,FALSE)/AD67)</f>
        <v/>
      </c>
      <c r="AG67" s="35">
        <f>((D67*P67/diesel_nmpg)*diesel_co2pg-(battery/range_nm)*D67*P67*VLOOKUP(B67,country_opex,4,FALSE))/1000</f>
        <v/>
      </c>
      <c r="AH67" s="33" t="n">
        <v>8087</v>
      </c>
      <c r="AI67" s="34" t="n"/>
      <c r="AJ67" s="34" t="n"/>
      <c r="AK67" s="41" t="n">
        <v>1</v>
      </c>
      <c r="AL67" s="36">
        <f>IF(AH67="","",AH67*AK67)</f>
        <v/>
      </c>
      <c r="AM67" s="36">
        <f>IF(OR(AH67="",S67=0),"",MIN(IF(AU67="",9.9E+99,AU67),FLOOR(AL67/S67,1)))</f>
        <v/>
      </c>
      <c r="AN67" s="40">
        <f>IF(AM67="","",AM67*IF(ABS(MOD(ABS((U67)),1)-0.5)&lt;1E-9,2*ROUND((U67)/2,0),ROUND((U67),0)))</f>
        <v/>
      </c>
      <c r="AO67" s="38">
        <f>IF(OR(AH67="",S67=0),"",MIN(IF(AU67="",9.9E+99,AU67),AL67/S67))</f>
        <v/>
      </c>
      <c r="AP67" s="40">
        <f>IF(AO67="","",AO67*IF(B67="South Korea",IF(ABS(MOD(ABS((U67)),1)-0.5)&lt;1E-9,2*ROUND((U67)/2,0),ROUND((U67),0)),U67))</f>
        <v/>
      </c>
      <c r="AQ67" s="42" t="n"/>
      <c r="AR67" s="34" t="inlineStr">
        <is>
          <t>Upside tier</t>
        </is>
      </c>
      <c r="AS67" s="43" t="n"/>
      <c r="AT67" s="43" t="inlineStr">
        <is>
          <t>modal_shift_greenfield</t>
        </is>
      </c>
      <c r="AU67" s="44" t="n"/>
      <c r="AV67" s="45">
        <f>IF(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&lt;=0,"",VLOOKUP(B67,country_opex,7,FALSE)/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)</f>
        <v/>
      </c>
      <c r="AW67" s="45">
        <f>IF(((T67*pax_cap*IF(B67="South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Korea",korea_mid_revleg,revleg_mid)),0))*VLOOKUP(B67,country_opex,3,FALSE))+W67+X67+Y67+Z67+AA67))&lt;=0,"",VLOOKUP(B67,country_opex,7,FALSE)/((T67*pax_cap*IF(B67="South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Korea",korea_mid_revleg,revleg_mid)),0))*VLOOKUP(B67,country_opex,3,FALSE))+W67+X67+Y67+Z67+AA67)))</f>
        <v/>
      </c>
      <c r="AX67" s="45">
        <f>IF(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&lt;=0,"",VLOOKUP(B67,country_opex,7,FALSE)/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)</f>
        <v/>
      </c>
      <c r="AY67" s="46" t="inlineStr">
        <is>
          <t>Greenfield premium resident hop (3.2nm). Taxi Sentosa Cove-&gt;CBD ~S$15-25 + Sentosa gantry charges + CBD parking S$15-30/day for self-drive. Per-seat water commute at S$15 = taxi parity per seat, wins on peak time + parking avoidance. Top of LB-97 commuter band; premium rider, short distance.</t>
        </is>
      </c>
      <c r="AZ67" s="46" t="n"/>
      <c r="BA67" s="34" t="n"/>
    </row>
    <row r="68">
      <c r="A68" s="31" t="inlineStr">
        <is>
          <t>Singapore</t>
        </is>
      </c>
      <c r="B68" s="31" t="inlineStr">
        <is>
          <t>Singapore</t>
        </is>
      </c>
      <c r="C68" s="32" t="inlineStr">
        <is>
          <t>Greater Southern Waterfront (Keppel Club site) → Marina Bay (CBD)</t>
        </is>
      </c>
      <c r="D68" s="33" t="n">
        <v>3.5</v>
      </c>
      <c r="E68" s="27" t="n">
        <v>18</v>
      </c>
      <c r="F68" s="34" t="inlineStr">
        <is>
          <t>T3</t>
        </is>
      </c>
      <c r="G68" s="34" t="inlineStr">
        <is>
          <t>low</t>
        </is>
      </c>
      <c r="H68" s="20" t="n">
        <v>1</v>
      </c>
      <c r="I68" s="35">
        <f>60*D68/cruise_kt</f>
        <v/>
      </c>
      <c r="J68" s="35">
        <f>IF(B68="South Korea",D68/korea_charge_range_nm*korea_full_range_charge_min,0)</f>
        <v/>
      </c>
      <c r="K68" s="35">
        <f>IF(B68="South Korea",I68+korea_turn_min+korea_dwell_min+J68,I68+turn_min+dwell_min)</f>
        <v/>
      </c>
      <c r="L68" s="36">
        <f>IF(B68="South Korea",FLOOR(60*korea_service_hr/K68,1),MIN(24,FLOOR(60*service_hr/K68,1)))</f>
        <v/>
      </c>
      <c r="M68" s="36">
        <f>IF(ABS(MOD(ABS((365*mech_uptime*H68)),1)-0.5)&lt;1E-9,2*ROUND((365*mech_uptime*H68)/2,0),ROUND((365*mech_uptime*H68),0))</f>
        <v/>
      </c>
      <c r="N68" s="37">
        <f>mech_uptime</f>
        <v/>
      </c>
      <c r="O68" s="37">
        <f>IF(AND(B68="South Korea",scenario="MID"),korea_mid_revleg,revleg_sel)</f>
        <v/>
      </c>
      <c r="P68" s="36">
        <f>IF(ABS(MOD(ABS((L68*M68*O68)),1)-0.5)&lt;1E-9,2*ROUND((L68*M68*O68)/2,0),ROUND((L68*M68*O68),0))</f>
        <v/>
      </c>
      <c r="Q68" s="37">
        <f>IF(AND(B68="South Korea",scenario="MID"),korea_mid_load,load_sel)</f>
        <v/>
      </c>
      <c r="R68" s="38">
        <f>pax_cap*Q68</f>
        <v/>
      </c>
      <c r="S68" s="36">
        <f>R68*P68</f>
        <v/>
      </c>
      <c r="T68" s="39">
        <f>E68*discount</f>
        <v/>
      </c>
      <c r="U68" s="40">
        <f>T68*S68</f>
        <v/>
      </c>
      <c r="V68" s="40">
        <f>(battery/range_nm)*D68*P68*VLOOKUP(B68,country_opex,3,FALSE)</f>
        <v/>
      </c>
      <c r="W68" s="40">
        <f>VLOOKUP(B68,country_opex,2,FALSE)*crew_factor</f>
        <v/>
      </c>
      <c r="X68" s="40">
        <f>VLOOKUP(B68,country_opex,5,FALSE)</f>
        <v/>
      </c>
      <c r="Y68" s="40">
        <f>maint</f>
        <v/>
      </c>
      <c r="Z68" s="40">
        <f>VLOOKUP(B68,country_opex,7,FALSE)*ins_pct</f>
        <v/>
      </c>
      <c r="AA68" s="40">
        <f>charge_berth</f>
        <v/>
      </c>
      <c r="AB68" s="40">
        <f>V68+W68+X68+Y68+Z68+AA68</f>
        <v/>
      </c>
      <c r="AC68" s="40">
        <f>VLOOKUP(B68,country_opex,7,FALSE)/dep_years</f>
        <v/>
      </c>
      <c r="AD68" s="40">
        <f>U68-AB68</f>
        <v/>
      </c>
      <c r="AE68" s="37">
        <f>IF(U68=0,"",AD68/U68)</f>
        <v/>
      </c>
      <c r="AF68" s="38">
        <f>IF(AD68&lt;=0,"",VLOOKUP(B68,country_opex,7,FALSE)/AD68)</f>
        <v/>
      </c>
      <c r="AG68" s="35">
        <f>((D68*P68/diesel_nmpg)*diesel_co2pg-(battery/range_nm)*D68*P68*VLOOKUP(B68,country_opex,4,FALSE))/1000</f>
        <v/>
      </c>
      <c r="AH68" s="33" t="n">
        <v>19656</v>
      </c>
      <c r="AI68" s="34" t="n"/>
      <c r="AJ68" s="34" t="n"/>
      <c r="AK68" s="41" t="n">
        <v>1</v>
      </c>
      <c r="AL68" s="36">
        <f>IF(AH68="","",AH68*AK68)</f>
        <v/>
      </c>
      <c r="AM68" s="36">
        <f>IF(OR(AH68="",S68=0),"",MIN(IF(AU68="",9.9E+99,AU68),FLOOR(AL68/S68,1)))</f>
        <v/>
      </c>
      <c r="AN68" s="40">
        <f>IF(AM68="","",AM68*IF(ABS(MOD(ABS((U68)),1)-0.5)&lt;1E-9,2*ROUND((U68)/2,0),ROUND((U68),0)))</f>
        <v/>
      </c>
      <c r="AO68" s="38">
        <f>IF(OR(AH68="",S68=0),"",MIN(IF(AU68="",9.9E+99,AU68),AL68/S68))</f>
        <v/>
      </c>
      <c r="AP68" s="40">
        <f>IF(AO68="","",AO68*IF(B68="South Korea",IF(ABS(MOD(ABS((U68)),1)-0.5)&lt;1E-9,2*ROUND((U68)/2,0),ROUND((U68),0)),U68))</f>
        <v/>
      </c>
      <c r="AQ68" s="42" t="n"/>
      <c r="AR68" s="34" t="inlineStr">
        <is>
          <t>Forward SAM</t>
        </is>
      </c>
      <c r="AS68" s="43" t="inlineStr">
        <is>
          <t>FWD-SAM (2030)</t>
        </is>
      </c>
      <c r="AT68" s="43" t="inlineStr">
        <is>
          <t>modal_shift_greenfield</t>
        </is>
      </c>
      <c r="AU68" s="44" t="n"/>
      <c r="AV68" s="45">
        <f>IF(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&lt;=0,"",VLOOKUP(B68,country_opex,7,FALSE)/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)</f>
        <v/>
      </c>
      <c r="AW68" s="45">
        <f>IF(((T68*pax_cap*IF(B68="South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Korea",korea_mid_revleg,revleg_mid)),0))*VLOOKUP(B68,country_opex,3,FALSE))+W68+X68+Y68+Z68+AA68))&lt;=0,"",VLOOKUP(B68,country_opex,7,FALSE)/((T68*pax_cap*IF(B68="South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Korea",korea_mid_revleg,revleg_mid)),0))*VLOOKUP(B68,country_opex,3,FALSE))+W68+X68+Y68+Z68+AA68)))</f>
        <v/>
      </c>
      <c r="AX68" s="45">
        <f>IF(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&lt;=0,"",VLOOKUP(B68,country_opex,7,FALSE)/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)</f>
        <v/>
      </c>
      <c r="AY68" s="46" t="inlineStr">
        <is>
          <t>[LB-255 PREMIUM RE-FARE: subsidized comparable $6 lifted to premium on-demand floor $18.0] Short-hop (3.5nm) waterfront commute, HDB-heavy future catchment (6,000 of 9,000 units are public housing) - anchored at FLOOR of LB-97 commuter band S$8-15/seat.</t>
        </is>
      </c>
      <c r="AZ68" s="46" t="n"/>
      <c r="BA68" s="34" t="n"/>
    </row>
    <row r="69">
      <c r="A69" s="31" t="inlineStr">
        <is>
          <t>Singapore</t>
        </is>
      </c>
      <c r="B69" s="31" t="inlineStr">
        <is>
          <t>Singapore</t>
        </is>
      </c>
      <c r="C69" s="32" t="inlineStr">
        <is>
          <t>Marina Bay (Bayfront) → Marina Bay (Bayfront)</t>
        </is>
      </c>
      <c r="D69" s="33" t="n">
        <v>4.5</v>
      </c>
      <c r="E69" s="27" t="n">
        <v>21</v>
      </c>
      <c r="F69" s="34" t="inlineStr">
        <is>
          <t>T1</t>
        </is>
      </c>
      <c r="G69" s="34" t="inlineStr">
        <is>
          <t>high</t>
        </is>
      </c>
      <c r="H69" s="20" t="n">
        <v>1</v>
      </c>
      <c r="I69" s="35">
        <f>60*D69/cruise_kt</f>
        <v/>
      </c>
      <c r="J69" s="35">
        <f>IF(B69="South Korea",D69/korea_charge_range_nm*korea_full_range_charge_min,0)</f>
        <v/>
      </c>
      <c r="K69" s="35">
        <f>IF(B69="South Korea",I69+korea_turn_min+korea_dwell_min+J69,I69+turn_min+dwell_min)</f>
        <v/>
      </c>
      <c r="L69" s="36">
        <f>IF(B69="South Korea",FLOOR(60*korea_service_hr/K69,1),MIN(15,FLOOR(60*service_hr/K69,1)))</f>
        <v/>
      </c>
      <c r="M69" s="36">
        <f>IF(ABS(MOD(ABS((365*mech_uptime*H69)),1)-0.5)&lt;1E-9,2*ROUND((365*mech_uptime*H69)/2,0),ROUND((365*mech_uptime*H69),0))</f>
        <v/>
      </c>
      <c r="N69" s="37">
        <f>mech_uptime</f>
        <v/>
      </c>
      <c r="O69" s="37">
        <f>IF(AND(B69="South Korea",scenario="MID"),korea_mid_revleg,revleg_sel)</f>
        <v/>
      </c>
      <c r="P69" s="36">
        <f>IF(ABS(MOD(ABS((L69*M69*O69)),1)-0.5)&lt;1E-9,2*ROUND((L69*M69*O69)/2,0),ROUND((L69*M69*O69),0))</f>
        <v/>
      </c>
      <c r="Q69" s="37">
        <f>IF(AND(B69="South Korea",scenario="MID"),korea_mid_load,load_sel)</f>
        <v/>
      </c>
      <c r="R69" s="38">
        <f>pax_cap*Q69</f>
        <v/>
      </c>
      <c r="S69" s="36">
        <f>R69*P69</f>
        <v/>
      </c>
      <c r="T69" s="39">
        <f>E69*discount</f>
        <v/>
      </c>
      <c r="U69" s="40">
        <f>T69*S69</f>
        <v/>
      </c>
      <c r="V69" s="40">
        <f>(battery/range_nm)*D69*P69*VLOOKUP(B69,country_opex,3,FALSE)</f>
        <v/>
      </c>
      <c r="W69" s="40">
        <f>VLOOKUP(B69,country_opex,2,FALSE)*crew_factor</f>
        <v/>
      </c>
      <c r="X69" s="40">
        <f>VLOOKUP(B69,country_opex,5,FALSE)</f>
        <v/>
      </c>
      <c r="Y69" s="40">
        <f>maint</f>
        <v/>
      </c>
      <c r="Z69" s="40">
        <f>VLOOKUP(B69,country_opex,7,FALSE)*ins_pct</f>
        <v/>
      </c>
      <c r="AA69" s="40">
        <f>charge_berth</f>
        <v/>
      </c>
      <c r="AB69" s="40">
        <f>V69+W69+X69+Y69+Z69+AA69</f>
        <v/>
      </c>
      <c r="AC69" s="40">
        <f>VLOOKUP(B69,country_opex,7,FALSE)/dep_years</f>
        <v/>
      </c>
      <c r="AD69" s="40">
        <f>U69-AB69</f>
        <v/>
      </c>
      <c r="AE69" s="37">
        <f>IF(U69=0,"",AD69/U69)</f>
        <v/>
      </c>
      <c r="AF69" s="38">
        <f>IF(AD69&lt;=0,"",VLOOKUP(B69,country_opex,7,FALSE)/AD69)</f>
        <v/>
      </c>
      <c r="AG69" s="35">
        <f>((D69*P69/diesel_nmpg)*diesel_co2pg-(battery/range_nm)*D69*P69*VLOOKUP(B69,country_opex,4,FALSE))/1000</f>
        <v/>
      </c>
      <c r="AH69" s="33" t="n">
        <v>325000</v>
      </c>
      <c r="AI69" s="34" t="n"/>
      <c r="AJ69" s="34" t="n"/>
      <c r="AK69" s="41" t="n">
        <v>0.1</v>
      </c>
      <c r="AL69" s="36">
        <f>IF(AH69="","",AH69*AK69)</f>
        <v/>
      </c>
      <c r="AM69" s="36">
        <f>IF(OR(AH69="",S69=0),"",MIN(IF(AU69="",9.9E+99,AU69),FLOOR(AL69/S69,1)))</f>
        <v/>
      </c>
      <c r="AN69" s="40">
        <f>IF(AM69="","",AM69*IF(ABS(MOD(ABS((U69)),1)-0.5)&lt;1E-9,2*ROUND((U69)/2,0),ROUND((U69),0)))</f>
        <v/>
      </c>
      <c r="AO69" s="38">
        <f>IF(OR(AH69="",S69=0),"",MIN(IF(AU69="",9.9E+99,AU69),AL69/S69))</f>
        <v/>
      </c>
      <c r="AP69" s="40">
        <f>IF(AO69="","",AO69*IF(B69="South Korea",IF(ABS(MOD(ABS((U69)),1)-0.5)&lt;1E-9,2*ROUND((U69)/2,0),ROUND((U69),0)),U69))</f>
        <v/>
      </c>
      <c r="AQ69" s="42" t="n"/>
      <c r="AR69" s="34" t="inlineStr">
        <is>
          <t>Upside tier</t>
        </is>
      </c>
      <c r="AS69" s="43" t="n"/>
      <c r="AT69" s="43" t="inlineStr">
        <is>
          <t>experience_upside</t>
        </is>
      </c>
      <c r="AU69" s="44" t="n"/>
      <c r="AV69" s="45">
        <f>IF(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&lt;=0,"",VLOOKUP(B69,country_opex,7,FALSE)/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)</f>
        <v/>
      </c>
      <c r="AW69" s="45">
        <f>IF(((T69*pax_cap*IF(B69="South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Korea",korea_mid_revleg,revleg_mid)),0))*VLOOKUP(B69,country_opex,3,FALSE))+W69+X69+Y69+Z69+AA69))&lt;=0,"",VLOOKUP(B69,country_opex,7,FALSE)/((T69*pax_cap*IF(B69="South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Korea",korea_mid_revleg,revleg_mid)),0))*VLOOKUP(B69,country_opex,3,FALSE))+W69+X69+Y69+Z69+AA69)))</f>
        <v/>
      </c>
      <c r="AX69" s="45">
        <f>IF(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&lt;=0,"",VLOOKUP(B69,country_opex,7,FALSE)/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)</f>
        <v/>
      </c>
      <c r="AY69" s="46" t="inlineStr">
        <is>
          <t>Same revealed anchor as grounded row: WaterB/SRC S$28 adult loop (ST 17-Mar-2025; SG Culture Pass). Incremental riders assumed to pay the SAME revealed price - no premium invented.</t>
        </is>
      </c>
      <c r="AZ69" s="46" t="n"/>
      <c r="BA69" s="34" t="n"/>
    </row>
    <row r="70">
      <c r="A70" s="31" t="inlineStr">
        <is>
          <t>Singapore</t>
        </is>
      </c>
      <c r="B70" s="31" t="inlineStr">
        <is>
          <t>Singapore</t>
        </is>
      </c>
      <c r="C70" s="32" t="inlineStr">
        <is>
          <t>Clarke Quay (Singapore River) → Clarke Quay (Singapore River)</t>
        </is>
      </c>
      <c r="D70" s="33" t="n">
        <v>5</v>
      </c>
      <c r="E70" s="27" t="n">
        <v>21</v>
      </c>
      <c r="F70" s="34" t="inlineStr">
        <is>
          <t>T1</t>
        </is>
      </c>
      <c r="G70" s="34" t="inlineStr">
        <is>
          <t>high</t>
        </is>
      </c>
      <c r="H70" s="20" t="n">
        <v>1</v>
      </c>
      <c r="I70" s="35">
        <f>60*D70/cruise_kt</f>
        <v/>
      </c>
      <c r="J70" s="35">
        <f>IF(B70="South Korea",D70/korea_charge_range_nm*korea_full_range_charge_min,0)</f>
        <v/>
      </c>
      <c r="K70" s="35">
        <f>IF(B70="South Korea",I70+korea_turn_min+korea_dwell_min+J70,I70+turn_min+dwell_min)</f>
        <v/>
      </c>
      <c r="L70" s="36">
        <f>IF(B70="South Korea",FLOOR(60*korea_service_hr/K70,1),MIN(15,FLOOR(60*service_hr/K70,1)))</f>
        <v/>
      </c>
      <c r="M70" s="36">
        <f>IF(ABS(MOD(ABS((365*mech_uptime*H70)),1)-0.5)&lt;1E-9,2*ROUND((365*mech_uptime*H70)/2,0),ROUND((365*mech_uptime*H70),0))</f>
        <v/>
      </c>
      <c r="N70" s="37">
        <f>mech_uptime</f>
        <v/>
      </c>
      <c r="O70" s="37">
        <f>IF(AND(B70="South Korea",scenario="MID"),korea_mid_revleg,revleg_sel)</f>
        <v/>
      </c>
      <c r="P70" s="36">
        <f>IF(ABS(MOD(ABS((L70*M70*O70)),1)-0.5)&lt;1E-9,2*ROUND((L70*M70*O70)/2,0),ROUND((L70*M70*O70),0))</f>
        <v/>
      </c>
      <c r="Q70" s="37">
        <f>IF(AND(B70="South Korea",scenario="MID"),korea_mid_load,load_sel)</f>
        <v/>
      </c>
      <c r="R70" s="38">
        <f>pax_cap*Q70</f>
        <v/>
      </c>
      <c r="S70" s="36">
        <f>R70*P70</f>
        <v/>
      </c>
      <c r="T70" s="39">
        <f>E70*discount</f>
        <v/>
      </c>
      <c r="U70" s="40">
        <f>T70*S70</f>
        <v/>
      </c>
      <c r="V70" s="40">
        <f>(battery/range_nm)*D70*P70*VLOOKUP(B70,country_opex,3,FALSE)</f>
        <v/>
      </c>
      <c r="W70" s="40">
        <f>VLOOKUP(B70,country_opex,2,FALSE)*crew_factor</f>
        <v/>
      </c>
      <c r="X70" s="40">
        <f>VLOOKUP(B70,country_opex,5,FALSE)</f>
        <v/>
      </c>
      <c r="Y70" s="40">
        <f>maint</f>
        <v/>
      </c>
      <c r="Z70" s="40">
        <f>VLOOKUP(B70,country_opex,7,FALSE)*ins_pct</f>
        <v/>
      </c>
      <c r="AA70" s="40">
        <f>charge_berth</f>
        <v/>
      </c>
      <c r="AB70" s="40">
        <f>V70+W70+X70+Y70+Z70+AA70</f>
        <v/>
      </c>
      <c r="AC70" s="40">
        <f>VLOOKUP(B70,country_opex,7,FALSE)/dep_years</f>
        <v/>
      </c>
      <c r="AD70" s="40">
        <f>U70-AB70</f>
        <v/>
      </c>
      <c r="AE70" s="37">
        <f>IF(U70=0,"",AD70/U70)</f>
        <v/>
      </c>
      <c r="AF70" s="38">
        <f>IF(AD70&lt;=0,"",VLOOKUP(B70,country_opex,7,FALSE)/AD70)</f>
        <v/>
      </c>
      <c r="AG70" s="35">
        <f>((D70*P70/diesel_nmpg)*diesel_co2pg-(battery/range_nm)*D70*P70*VLOOKUP(B70,country_opex,4,FALSE))/1000</f>
        <v/>
      </c>
      <c r="AH70" s="33" t="n">
        <v>650000</v>
      </c>
      <c r="AI70" s="34" t="n"/>
      <c r="AJ70" s="34" t="n"/>
      <c r="AK70" s="41" t="n">
        <v>0.1</v>
      </c>
      <c r="AL70" s="36">
        <f>IF(AH70="","",AH70*AK70)</f>
        <v/>
      </c>
      <c r="AM70" s="36">
        <f>IF(OR(AH70="",S70=0),"",MIN(IF(AU70="",9.9E+99,AU70),FLOOR(AL70/S70,1)))</f>
        <v/>
      </c>
      <c r="AN70" s="40">
        <f>IF(AM70="","",AM70*IF(ABS(MOD(ABS((U70)),1)-0.5)&lt;1E-9,2*ROUND((U70)/2,0),ROUND((U70),0)))</f>
        <v/>
      </c>
      <c r="AO70" s="38">
        <f>IF(OR(AH70="",S70=0),"",MIN(IF(AU70="",9.9E+99,AU70),AL70/S70))</f>
        <v/>
      </c>
      <c r="AP70" s="40">
        <f>IF(AO70="","",AO70*IF(B70="South Korea",IF(ABS(MOD(ABS((U70)),1)-0.5)&lt;1E-9,2*ROUND((U70)/2,0),ROUND((U70),0)),U70))</f>
        <v/>
      </c>
      <c r="AQ70" s="42" t="n"/>
      <c r="AR70" s="34" t="inlineStr">
        <is>
          <t>Grounded</t>
        </is>
      </c>
      <c r="AS70" s="43" t="n"/>
      <c r="AT70" s="43" t="n"/>
      <c r="AU70" s="44" t="n"/>
      <c r="AV70" s="45">
        <f>IF(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&lt;=0,"",VLOOKUP(B70,country_opex,7,FALSE)/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)</f>
        <v/>
      </c>
      <c r="AW70" s="45">
        <f>IF(((T70*pax_cap*IF(B70="South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Korea",korea_mid_revleg,revleg_mid)),0))*VLOOKUP(B70,country_opex,3,FALSE))+W70+X70+Y70+Z70+AA70))&lt;=0,"",VLOOKUP(B70,country_opex,7,FALSE)/((T70*pax_cap*IF(B70="South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Korea",korea_mid_revleg,revleg_mid)),0))*VLOOKUP(B70,country_opex,3,FALSE))+W70+X70+Y70+Z70+AA70)))</f>
        <v/>
      </c>
      <c r="AX70" s="45">
        <f>IF(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&lt;=0,"",VLOOKUP(B70,country_opex,7,FALSE)/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)</f>
        <v/>
      </c>
      <c r="AY70" s="46" t="inlineStr">
        <is>
          <t>Actual operator pricing: WaterB river cruise S$28 adult / S$18 child (Straits Times 17-Mar-2025 quoting WaterB; SG Culture Pass listing 'from $25'). SRC pricing comparable (~S$28 adult).</t>
        </is>
      </c>
      <c r="AZ70" s="46" t="n"/>
      <c r="BA70" s="34" t="n"/>
    </row>
    <row r="71">
      <c r="A71" s="31" t="inlineStr">
        <is>
          <t>Singapore</t>
        </is>
      </c>
      <c r="B71" s="31" t="inlineStr">
        <is>
          <t>Singapore</t>
        </is>
      </c>
      <c r="C71" s="32" t="inlineStr">
        <is>
          <t>East Coast → Marina Bay</t>
        </is>
      </c>
      <c r="D71" s="33" t="n">
        <v>5.8</v>
      </c>
      <c r="E71" s="27" t="n">
        <v>18</v>
      </c>
      <c r="F71" s="34" t="inlineStr">
        <is>
          <t>T5</t>
        </is>
      </c>
      <c r="G71" s="34" t="inlineStr">
        <is>
          <t>low</t>
        </is>
      </c>
      <c r="H71" s="20" t="n">
        <v>1</v>
      </c>
      <c r="I71" s="35">
        <f>60*D71/cruise_kt</f>
        <v/>
      </c>
      <c r="J71" s="35">
        <f>IF(B71="South Korea",D71/korea_charge_range_nm*korea_full_range_charge_min,0)</f>
        <v/>
      </c>
      <c r="K71" s="35">
        <f>IF(B71="South Korea",I71+korea_turn_min+korea_dwell_min+J71,I71+turn_min+dwell_min)</f>
        <v/>
      </c>
      <c r="L71" s="36">
        <f>IF(B71="South Korea",FLOOR(60*korea_service_hr/K71,1),MIN(24,FLOOR(60*service_hr/K71,1)))</f>
        <v/>
      </c>
      <c r="M71" s="36">
        <f>IF(ABS(MOD(ABS((365*mech_uptime*H71)),1)-0.5)&lt;1E-9,2*ROUND((365*mech_uptime*H71)/2,0),ROUND((365*mech_uptime*H71),0))</f>
        <v/>
      </c>
      <c r="N71" s="37">
        <f>mech_uptime</f>
        <v/>
      </c>
      <c r="O71" s="37">
        <f>IF(AND(B71="South Korea",scenario="MID"),korea_mid_revleg,revleg_sel)</f>
        <v/>
      </c>
      <c r="P71" s="36">
        <f>IF(ABS(MOD(ABS((L71*M71*O71)),1)-0.5)&lt;1E-9,2*ROUND((L71*M71*O71)/2,0),ROUND((L71*M71*O71),0))</f>
        <v/>
      </c>
      <c r="Q71" s="37">
        <f>IF(AND(B71="South Korea",scenario="MID"),korea_mid_load,load_sel)</f>
        <v/>
      </c>
      <c r="R71" s="38">
        <f>pax_cap*Q71</f>
        <v/>
      </c>
      <c r="S71" s="36">
        <f>R71*P71</f>
        <v/>
      </c>
      <c r="T71" s="39">
        <f>E71*discount</f>
        <v/>
      </c>
      <c r="U71" s="40">
        <f>T71*S71</f>
        <v/>
      </c>
      <c r="V71" s="40">
        <f>(battery/range_nm)*D71*P71*VLOOKUP(B71,country_opex,3,FALSE)</f>
        <v/>
      </c>
      <c r="W71" s="40">
        <f>VLOOKUP(B71,country_opex,2,FALSE)*crew_factor</f>
        <v/>
      </c>
      <c r="X71" s="40">
        <f>VLOOKUP(B71,country_opex,5,FALSE)</f>
        <v/>
      </c>
      <c r="Y71" s="40">
        <f>maint</f>
        <v/>
      </c>
      <c r="Z71" s="40">
        <f>VLOOKUP(B71,country_opex,7,FALSE)*ins_pct</f>
        <v/>
      </c>
      <c r="AA71" s="40">
        <f>charge_berth</f>
        <v/>
      </c>
      <c r="AB71" s="40">
        <f>V71+W71+X71+Y71+Z71+AA71</f>
        <v/>
      </c>
      <c r="AC71" s="40">
        <f>VLOOKUP(B71,country_opex,7,FALSE)/dep_years</f>
        <v/>
      </c>
      <c r="AD71" s="40">
        <f>U71-AB71</f>
        <v/>
      </c>
      <c r="AE71" s="37">
        <f>IF(U71=0,"",AD71/U71)</f>
        <v/>
      </c>
      <c r="AF71" s="38">
        <f>IF(AD71&lt;=0,"",VLOOKUP(B71,country_opex,7,FALSE)/AD71)</f>
        <v/>
      </c>
      <c r="AG71" s="35">
        <f>((D71*P71/diesel_nmpg)*diesel_co2pg-(battery/range_nm)*D71*P71*VLOOKUP(B71,country_opex,4,FALSE))/1000</f>
        <v/>
      </c>
      <c r="AH71" s="33" t="n">
        <v>111000</v>
      </c>
      <c r="AI71" s="34" t="n"/>
      <c r="AJ71" s="34" t="n"/>
      <c r="AK71" s="41" t="n">
        <v>0.25</v>
      </c>
      <c r="AL71" s="36">
        <f>IF(AH71="","",AH71*AK71)</f>
        <v/>
      </c>
      <c r="AM71" s="36">
        <f>IF(OR(AH71="",S71=0),"",MIN(IF(AU71="",9.9E+99,AU71),FLOOR(AL71/S71,1)))</f>
        <v/>
      </c>
      <c r="AN71" s="40">
        <f>IF(AM71="","",AM71*IF(ABS(MOD(ABS((U71)),1)-0.5)&lt;1E-9,2*ROUND((U71)/2,0),ROUND((U71),0)))</f>
        <v/>
      </c>
      <c r="AO71" s="38">
        <f>IF(OR(AH71="",S71=0),"",MIN(IF(AU71="",9.9E+99,AU71),AL71/S71))</f>
        <v/>
      </c>
      <c r="AP71" s="40">
        <f>IF(AO71="","",AO71*IF(B71="South Korea",IF(ABS(MOD(ABS((U71)),1)-0.5)&lt;1E-9,2*ROUND((U71)/2,0),ROUND((U71),0)),U71))</f>
        <v/>
      </c>
      <c r="AQ71" s="42" t="n"/>
      <c r="AR71" s="34" t="inlineStr">
        <is>
          <t>Grounded</t>
        </is>
      </c>
      <c r="AS71" s="43" t="n"/>
      <c r="AT71" s="43" t="n"/>
      <c r="AU71" s="44" t="n"/>
      <c r="AV71" s="45">
        <f>IF(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&lt;=0,"",VLOOKUP(B71,country_opex,7,FALSE)/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)</f>
        <v/>
      </c>
      <c r="AW71" s="45">
        <f>IF(((T71*pax_cap*IF(B71="South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Korea",korea_mid_revleg,revleg_mid)),0))*VLOOKUP(B71,country_opex,3,FALSE))+W71+X71+Y71+Z71+AA71))&lt;=0,"",VLOOKUP(B71,country_opex,7,FALSE)/((T71*pax_cap*IF(B71="South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Korea",korea_mid_revleg,revleg_mid)),0))*VLOOKUP(B71,country_opex,3,FALSE))+W71+X71+Y71+Z71+AA71)))</f>
        <v/>
      </c>
      <c r="AX71" s="45">
        <f>IF(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&lt;=0,"",VLOOKUP(B71,country_opex,7,FALSE)/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)</f>
        <v/>
      </c>
      <c r="AY71" s="46" t="inlineStr">
        <is>
          <t>NO commuter ferry exists East Coast-&gt;Marina/CBD — road commute only (ECP). Singapore River taxi (Marina&lt;-&gt;Robertson Quay) is intra-river at S$3-7 (commuter single-class, no premium tier; R5-EXT). Harbour water-taxi is whole-boat charter S$80-130/trip (overclaim). Modeled premium per-seat commute fare anchored at road/Grab parity East Coast-&gt;CBD ~S$24 = ~$18.</t>
        </is>
      </c>
      <c r="AZ71" s="46" t="n"/>
      <c r="BA71" s="34" t="inlineStr">
        <is>
          <t>rn-82453f6cb33e</t>
        </is>
      </c>
    </row>
    <row r="72">
      <c r="A72" s="31" t="inlineStr">
        <is>
          <t>Singapore</t>
        </is>
      </c>
      <c r="B72" s="31" t="inlineStr">
        <is>
          <t>Singapore</t>
        </is>
      </c>
      <c r="C72" s="32" t="inlineStr">
        <is>
          <t>Marine Parade / East Coast (Central Region increment) → Raffles Place / Marina Bay</t>
        </is>
      </c>
      <c r="D72" s="33" t="n">
        <v>5.8</v>
      </c>
      <c r="E72" s="27" t="n">
        <v>9</v>
      </c>
      <c r="F72" s="34" t="inlineStr">
        <is>
          <t>T3</t>
        </is>
      </c>
      <c r="G72" s="34" t="inlineStr">
        <is>
          <t>low</t>
        </is>
      </c>
      <c r="H72" s="20" t="n">
        <v>1</v>
      </c>
      <c r="I72" s="35">
        <f>60*D72/cruise_kt</f>
        <v/>
      </c>
      <c r="J72" s="35">
        <f>IF(B72="South Korea",D72/korea_charge_range_nm*korea_full_range_charge_min,0)</f>
        <v/>
      </c>
      <c r="K72" s="35">
        <f>IF(B72="South Korea",I72+korea_turn_min+korea_dwell_min+J72,I72+turn_min+dwell_min)</f>
        <v/>
      </c>
      <c r="L72" s="36">
        <f>IF(B72="South Korea",FLOOR(60*korea_service_hr/K72,1),MIN(24,FLOOR(60*service_hr/K72,1)))</f>
        <v/>
      </c>
      <c r="M72" s="36">
        <f>IF(ABS(MOD(ABS((365*mech_uptime*H72)),1)-0.5)&lt;1E-9,2*ROUND((365*mech_uptime*H72)/2,0),ROUND((365*mech_uptime*H72),0))</f>
        <v/>
      </c>
      <c r="N72" s="37">
        <f>mech_uptime</f>
        <v/>
      </c>
      <c r="O72" s="37">
        <f>IF(AND(B72="South Korea",scenario="MID"),korea_mid_revleg,revleg_sel)</f>
        <v/>
      </c>
      <c r="P72" s="36">
        <f>IF(ABS(MOD(ABS((L72*M72*O72)),1)-0.5)&lt;1E-9,2*ROUND((L72*M72*O72)/2,0),ROUND((L72*M72*O72),0))</f>
        <v/>
      </c>
      <c r="Q72" s="37">
        <f>IF(AND(B72="South Korea",scenario="MID"),korea_mid_load,load_sel)</f>
        <v/>
      </c>
      <c r="R72" s="38">
        <f>pax_cap*Q72</f>
        <v/>
      </c>
      <c r="S72" s="36">
        <f>R72*P72</f>
        <v/>
      </c>
      <c r="T72" s="39">
        <f>E72*discount</f>
        <v/>
      </c>
      <c r="U72" s="40">
        <f>T72*S72</f>
        <v/>
      </c>
      <c r="V72" s="40">
        <f>(battery/range_nm)*D72*P72*VLOOKUP(B72,country_opex,3,FALSE)</f>
        <v/>
      </c>
      <c r="W72" s="40">
        <f>VLOOKUP(B72,country_opex,2,FALSE)*crew_factor</f>
        <v/>
      </c>
      <c r="X72" s="40">
        <f>VLOOKUP(B72,country_opex,5,FALSE)</f>
        <v/>
      </c>
      <c r="Y72" s="40">
        <f>maint</f>
        <v/>
      </c>
      <c r="Z72" s="40">
        <f>VLOOKUP(B72,country_opex,7,FALSE)*ins_pct</f>
        <v/>
      </c>
      <c r="AA72" s="40">
        <f>charge_berth</f>
        <v/>
      </c>
      <c r="AB72" s="40">
        <f>V72+W72+X72+Y72+Z72+AA72</f>
        <v/>
      </c>
      <c r="AC72" s="40">
        <f>VLOOKUP(B72,country_opex,7,FALSE)/dep_years</f>
        <v/>
      </c>
      <c r="AD72" s="40">
        <f>U72-AB72</f>
        <v/>
      </c>
      <c r="AE72" s="37">
        <f>IF(U72=0,"",AD72/U72)</f>
        <v/>
      </c>
      <c r="AF72" s="38">
        <f>IF(AD72&lt;=0,"",VLOOKUP(B72,country_opex,7,FALSE)/AD72)</f>
        <v/>
      </c>
      <c r="AG72" s="35">
        <f>((D72*P72/diesel_nmpg)*diesel_co2pg-(battery/range_nm)*D72*P72*VLOOKUP(B72,country_opex,4,FALSE))/1000</f>
        <v/>
      </c>
      <c r="AH72" s="33" t="n">
        <v>5003</v>
      </c>
      <c r="AI72" s="34" t="n"/>
      <c r="AJ72" s="34" t="n"/>
      <c r="AK72" s="41" t="n">
        <v>1</v>
      </c>
      <c r="AL72" s="36">
        <f>IF(AH72="","",AH72*AK72)</f>
        <v/>
      </c>
      <c r="AM72" s="36">
        <f>IF(OR(AH72="",S72=0),"",MIN(IF(AU72="",9.9E+99,AU72),FLOOR(AL72/S72,1)))</f>
        <v/>
      </c>
      <c r="AN72" s="40">
        <f>IF(AM72="","",AM72*IF(ABS(MOD(ABS((U72)),1)-0.5)&lt;1E-9,2*ROUND((U72)/2,0),ROUND((U72),0)))</f>
        <v/>
      </c>
      <c r="AO72" s="38">
        <f>IF(OR(AH72="",S72=0),"",MIN(IF(AU72="",9.9E+99,AU72),AL72/S72))</f>
        <v/>
      </c>
      <c r="AP72" s="40">
        <f>IF(AO72="","",AO72*IF(B72="South Korea",IF(ABS(MOD(ABS((U72)),1)-0.5)&lt;1E-9,2*ROUND((U72)/2,0),ROUND((U72),0)),U72))</f>
        <v/>
      </c>
      <c r="AQ72" s="42" t="n"/>
      <c r="AR72" s="34" t="inlineStr">
        <is>
          <t>Upside tier</t>
        </is>
      </c>
      <c r="AS72" s="43" t="n"/>
      <c r="AT72" s="43" t="inlineStr">
        <is>
          <t>modal_shift_greenfield</t>
        </is>
      </c>
      <c r="AU72" s="44" t="n"/>
      <c r="AV72" s="45">
        <f>IF(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&lt;=0,"",VLOOKUP(B72,country_opex,7,FALSE)/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)</f>
        <v/>
      </c>
      <c r="AW72" s="45">
        <f>IF(((T72*pax_cap*IF(B72="South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Korea",korea_mid_revleg,revleg_mid)),0))*VLOOKUP(B72,country_opex,3,FALSE))+W72+X72+Y72+Z72+AA72))&lt;=0,"",VLOOKUP(B72,country_opex,7,FALSE)/((T72*pax_cap*IF(B72="South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Korea",korea_mid_revleg,revleg_mid)),0))*VLOOKUP(B72,country_opex,3,FALSE))+W72+X72+Y72+Z72+AA72)))</f>
        <v/>
      </c>
      <c r="AX72" s="45">
        <f>IF(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&lt;=0,"",VLOOKUP(B72,country_opex,7,FALSE)/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)</f>
        <v/>
      </c>
      <c r="AY72" s="46" t="inlineStr">
        <is>
          <t>Greenfield commute hop (5.8nm). Anchored mid LB-97 commuter band S$8-15/seat. NOTE: existing row rn-82453f6cb33e on the same water path carries $18 (road-parity/Grab anchor, R14a). This modal-shift row deliberately prices a per-seat commuter tier below the road-parity premium tier - different product tier, recorded to avoid silent fare conflict.</t>
        </is>
      </c>
      <c r="AZ72" s="46" t="n"/>
      <c r="BA72" s="34" t="inlineStr">
        <is>
          <t>rn-82453f6cb33e</t>
        </is>
      </c>
    </row>
    <row r="73">
      <c r="A73" s="31" t="inlineStr">
        <is>
          <t>Singapore</t>
        </is>
      </c>
      <c r="B73" s="31" t="inlineStr">
        <is>
          <t>Singapore</t>
        </is>
      </c>
      <c r="C73" s="32" t="inlineStr">
        <is>
          <t>Singapore Marina Network → On-demand water mobility</t>
        </is>
      </c>
      <c r="D73" s="33" t="n">
        <v>8</v>
      </c>
      <c r="E73" s="27" t="n">
        <v>35</v>
      </c>
      <c r="F73" s="34" t="inlineStr">
        <is>
          <t>T2</t>
        </is>
      </c>
      <c r="G73" s="34" t="inlineStr">
        <is>
          <t>med</t>
        </is>
      </c>
      <c r="H73" s="20" t="n">
        <v>1</v>
      </c>
      <c r="I73" s="35">
        <f>60*D73/cruise_kt</f>
        <v/>
      </c>
      <c r="J73" s="35">
        <f>IF(B73="South Korea",D73/korea_charge_range_nm*korea_full_range_charge_min,0)</f>
        <v/>
      </c>
      <c r="K73" s="35">
        <f>IF(B73="South Korea",I73+korea_turn_min+korea_dwell_min+J73,I73+turn_min+dwell_min)</f>
        <v/>
      </c>
      <c r="L73" s="36">
        <f>IF(B73="South Korea",FLOOR(60*korea_service_hr/K73,1),MIN(15,FLOOR(60*service_hr/K73,1)))</f>
        <v/>
      </c>
      <c r="M73" s="36">
        <f>IF(ABS(MOD(ABS((365*mech_uptime*H73)),1)-0.5)&lt;1E-9,2*ROUND((365*mech_uptime*H73)/2,0),ROUND((365*mech_uptime*H73),0))</f>
        <v/>
      </c>
      <c r="N73" s="37">
        <f>mech_uptime</f>
        <v/>
      </c>
      <c r="O73" s="37">
        <f>IF(AND(B73="South Korea",scenario="MID"),korea_mid_revleg,revleg_sel)</f>
        <v/>
      </c>
      <c r="P73" s="36">
        <f>IF(ABS(MOD(ABS((L73*M73*O73)),1)-0.5)&lt;1E-9,2*ROUND((L73*M73*O73)/2,0),ROUND((L73*M73*O73),0))</f>
        <v/>
      </c>
      <c r="Q73" s="37">
        <f>IF(AND(B73="South Korea",scenario="MID"),korea_mid_load,load_sel)</f>
        <v/>
      </c>
      <c r="R73" s="38">
        <f>pax_cap*Q73</f>
        <v/>
      </c>
      <c r="S73" s="36">
        <f>R73*P73</f>
        <v/>
      </c>
      <c r="T73" s="39">
        <f>E73*discount</f>
        <v/>
      </c>
      <c r="U73" s="40">
        <f>T73*S73</f>
        <v/>
      </c>
      <c r="V73" s="40">
        <f>(battery/range_nm)*D73*P73*VLOOKUP(B73,country_opex,3,FALSE)</f>
        <v/>
      </c>
      <c r="W73" s="40">
        <f>VLOOKUP(B73,country_opex,2,FALSE)*crew_factor</f>
        <v/>
      </c>
      <c r="X73" s="40">
        <f>VLOOKUP(B73,country_opex,5,FALSE)</f>
        <v/>
      </c>
      <c r="Y73" s="40">
        <f>maint</f>
        <v/>
      </c>
      <c r="Z73" s="40">
        <f>VLOOKUP(B73,country_opex,7,FALSE)*ins_pct</f>
        <v/>
      </c>
      <c r="AA73" s="40">
        <f>charge_berth</f>
        <v/>
      </c>
      <c r="AB73" s="40">
        <f>V73+W73+X73+Y73+Z73+AA73</f>
        <v/>
      </c>
      <c r="AC73" s="40">
        <f>VLOOKUP(B73,country_opex,7,FALSE)/dep_years</f>
        <v/>
      </c>
      <c r="AD73" s="40">
        <f>U73-AB73</f>
        <v/>
      </c>
      <c r="AE73" s="37">
        <f>IF(U73=0,"",AD73/U73)</f>
        <v/>
      </c>
      <c r="AF73" s="38">
        <f>IF(AD73&lt;=0,"",VLOOKUP(B73,country_opex,7,FALSE)/AD73)</f>
        <v/>
      </c>
      <c r="AG73" s="35">
        <f>((D73*P73/diesel_nmpg)*diesel_co2pg-(battery/range_nm)*D73*P73*VLOOKUP(B73,country_opex,4,FALSE))/1000</f>
        <v/>
      </c>
      <c r="AH73" s="33" t="n">
        <v>9900</v>
      </c>
      <c r="AI73" s="34" t="n"/>
      <c r="AJ73" s="34" t="n"/>
      <c r="AK73" s="41" t="n">
        <v>1</v>
      </c>
      <c r="AL73" s="36">
        <f>IF(AH73="","",AH73*AK73)</f>
        <v/>
      </c>
      <c r="AM73" s="36">
        <f>IF(OR(AH73="",S73=0),"",MIN(IF(AU73="",9.9E+99,AU73),FLOOR(AL73/S73,1)))</f>
        <v/>
      </c>
      <c r="AN73" s="40">
        <f>IF(AM73="","",AM73*IF(ABS(MOD(ABS((U73)),1)-0.5)&lt;1E-9,2*ROUND((U73)/2,0),ROUND((U73),0)))</f>
        <v/>
      </c>
      <c r="AO73" s="38">
        <f>IF(OR(AH73="",S73=0),"",MIN(IF(AU73="",9.9E+99,AU73),AL73/S73))</f>
        <v/>
      </c>
      <c r="AP73" s="40">
        <f>IF(AO73="","",AO73*IF(B73="South Korea",IF(ABS(MOD(ABS((U73)),1)-0.5)&lt;1E-9,2*ROUND((U73)/2,0),ROUND((U73),0)),U73))</f>
        <v/>
      </c>
      <c r="AQ73" s="42" t="n"/>
      <c r="AR73" s="34" t="inlineStr">
        <is>
          <t>Grounded</t>
        </is>
      </c>
      <c r="AS73" s="43" t="n"/>
      <c r="AT73" s="43" t="n"/>
      <c r="AU73" s="44" t="n"/>
      <c r="AV73" s="45">
        <f>IF(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&lt;=0,"",VLOOKUP(B73,country_opex,7,FALSE)/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)</f>
        <v/>
      </c>
      <c r="AW73" s="45">
        <f>IF(((T73*pax_cap*IF(B73="South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Korea",korea_mid_revleg,revleg_mid)),0))*VLOOKUP(B73,country_opex,3,FALSE))+W73+X73+Y73+Z73+AA73))&lt;=0,"",VLOOKUP(B73,country_opex,7,FALSE)/((T73*pax_cap*IF(B73="South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Korea",korea_mid_revleg,revleg_mid)),0))*VLOOKUP(B73,country_opex,3,FALSE))+W73+X73+Y73+Z73+AA73)))</f>
        <v/>
      </c>
      <c r="AX73" s="45">
        <f>IF(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&lt;=0,"",VLOOKUP(B73,country_opex,7,FALSE)/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)</f>
        <v/>
      </c>
      <c r="AY73" s="46" t="n"/>
      <c r="AZ73" s="46" t="n"/>
      <c r="BA73" s="34" t="n"/>
    </row>
    <row r="74">
      <c r="A74" s="31" t="inlineStr">
        <is>
          <t>Singapore</t>
        </is>
      </c>
      <c r="B74" s="31" t="inlineStr">
        <is>
          <t>Singapore</t>
        </is>
      </c>
      <c r="C74" s="32" t="inlineStr">
        <is>
          <t>Sentosa / Keppel waterfront → Sentosa / Keppel waterfront</t>
        </is>
      </c>
      <c r="D74" s="33" t="n">
        <v>8</v>
      </c>
      <c r="E74" s="27" t="n">
        <v>95</v>
      </c>
      <c r="F74" s="34" t="inlineStr">
        <is>
          <t>T2</t>
        </is>
      </c>
      <c r="G74" s="34" t="inlineStr">
        <is>
          <t>med</t>
        </is>
      </c>
      <c r="H74" s="20" t="n">
        <v>1</v>
      </c>
      <c r="I74" s="35">
        <f>60*D74/cruise_kt</f>
        <v/>
      </c>
      <c r="J74" s="35">
        <f>IF(B74="South Korea",D74/korea_charge_range_nm*korea_full_range_charge_min,0)</f>
        <v/>
      </c>
      <c r="K74" s="35">
        <f>IF(B74="South Korea",I74+korea_turn_min+korea_dwell_min+J74,I74+turn_min+dwell_min)</f>
        <v/>
      </c>
      <c r="L74" s="36">
        <f>IF(B74="South Korea",FLOOR(60*korea_service_hr/K74,1),MIN(15,FLOOR(60*service_hr/K74,1)))</f>
        <v/>
      </c>
      <c r="M74" s="36">
        <f>IF(ABS(MOD(ABS((365*mech_uptime*H74)),1)-0.5)&lt;1E-9,2*ROUND((365*mech_uptime*H74)/2,0),ROUND((365*mech_uptime*H74),0))</f>
        <v/>
      </c>
      <c r="N74" s="37">
        <f>mech_uptime</f>
        <v/>
      </c>
      <c r="O74" s="37">
        <f>IF(AND(B74="South Korea",scenario="MID"),korea_mid_revleg,revleg_sel)</f>
        <v/>
      </c>
      <c r="P74" s="36">
        <f>IF(ABS(MOD(ABS((L74*M74*O74)),1)-0.5)&lt;1E-9,2*ROUND((L74*M74*O74)/2,0),ROUND((L74*M74*O74),0))</f>
        <v/>
      </c>
      <c r="Q74" s="37">
        <f>IF(AND(B74="South Korea",scenario="MID"),korea_mid_load,load_sel)</f>
        <v/>
      </c>
      <c r="R74" s="38">
        <f>pax_cap*Q74</f>
        <v/>
      </c>
      <c r="S74" s="36">
        <f>R74*P74</f>
        <v/>
      </c>
      <c r="T74" s="39">
        <f>E74*discount</f>
        <v/>
      </c>
      <c r="U74" s="40">
        <f>T74*S74</f>
        <v/>
      </c>
      <c r="V74" s="40">
        <f>(battery/range_nm)*D74*P74*VLOOKUP(B74,country_opex,3,FALSE)</f>
        <v/>
      </c>
      <c r="W74" s="40">
        <f>VLOOKUP(B74,country_opex,2,FALSE)*crew_factor</f>
        <v/>
      </c>
      <c r="X74" s="40">
        <f>VLOOKUP(B74,country_opex,5,FALSE)</f>
        <v/>
      </c>
      <c r="Y74" s="40">
        <f>maint</f>
        <v/>
      </c>
      <c r="Z74" s="40">
        <f>VLOOKUP(B74,country_opex,7,FALSE)*ins_pct</f>
        <v/>
      </c>
      <c r="AA74" s="40">
        <f>charge_berth</f>
        <v/>
      </c>
      <c r="AB74" s="40">
        <f>V74+W74+X74+Y74+Z74+AA74</f>
        <v/>
      </c>
      <c r="AC74" s="40">
        <f>VLOOKUP(B74,country_opex,7,FALSE)/dep_years</f>
        <v/>
      </c>
      <c r="AD74" s="40">
        <f>U74-AB74</f>
        <v/>
      </c>
      <c r="AE74" s="37">
        <f>IF(U74=0,"",AD74/U74)</f>
        <v/>
      </c>
      <c r="AF74" s="38">
        <f>IF(AD74&lt;=0,"",VLOOKUP(B74,country_opex,7,FALSE)/AD74)</f>
        <v/>
      </c>
      <c r="AG74" s="35">
        <f>((D74*P74/diesel_nmpg)*diesel_co2pg-(battery/range_nm)*D74*P74*VLOOKUP(B74,country_opex,4,FALSE))/1000</f>
        <v/>
      </c>
      <c r="AH74" s="33" t="n">
        <v>23000</v>
      </c>
      <c r="AI74" s="34" t="n"/>
      <c r="AJ74" s="34" t="n"/>
      <c r="AK74" s="41" t="n">
        <v>0.1</v>
      </c>
      <c r="AL74" s="36">
        <f>IF(AH74="","",AH74*AK74)</f>
        <v/>
      </c>
      <c r="AM74" s="36">
        <f>IF(OR(AH74="",S74=0),"",MIN(IF(AU74="",9.9E+99,AU74),FLOOR(AL74/S74,1)))</f>
        <v/>
      </c>
      <c r="AN74" s="40">
        <f>IF(AM74="","",AM74*IF(ABS(MOD(ABS((U74)),1)-0.5)&lt;1E-9,2*ROUND((U74)/2,0),ROUND((U74),0)))</f>
        <v/>
      </c>
      <c r="AO74" s="38">
        <f>IF(OR(AH74="",S74=0),"",MIN(IF(AU74="",9.9E+99,AU74),AL74/S74))</f>
        <v/>
      </c>
      <c r="AP74" s="40">
        <f>IF(AO74="","",AO74*IF(B74="South Korea",IF(ABS(MOD(ABS((U74)),1)-0.5)&lt;1E-9,2*ROUND((U74)/2,0),ROUND((U74),0)),U74))</f>
        <v/>
      </c>
      <c r="AQ74" s="42" t="n"/>
      <c r="AR74" s="34" t="inlineStr">
        <is>
          <t>Grounded</t>
        </is>
      </c>
      <c r="AS74" s="43" t="n"/>
      <c r="AT74" s="43" t="n"/>
      <c r="AU74" s="44" t="n"/>
      <c r="AV74" s="45">
        <f>IF(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&lt;=0,"",VLOOKUP(B74,country_opex,7,FALSE)/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)</f>
        <v/>
      </c>
      <c r="AW74" s="45">
        <f>IF(((T74*pax_cap*IF(B74="South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Korea",korea_mid_revleg,revleg_mid)),0))*VLOOKUP(B74,country_opex,3,FALSE))+W74+X74+Y74+Z74+AA74))&lt;=0,"",VLOOKUP(B74,country_opex,7,FALSE)/((T74*pax_cap*IF(B74="South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Korea",korea_mid_revleg,revleg_mid)),0))*VLOOKUP(B74,country_opex,3,FALSE))+W74+X74+Y74+Z74+AA74)))</f>
        <v/>
      </c>
      <c r="AX74" s="45">
        <f>IF(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&lt;=0,"",VLOOKUP(B74,country_opex,7,FALSE)/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)</f>
        <v/>
      </c>
      <c r="AY74" s="46" t="inlineStr">
        <is>
          <t>Anchored at conservative mid of the SG harbor dinner-cruise band S$80-150/seat; Royal Albatross sunset/dinner sails actually list S$150-235/seat (Klook activity 4048 / tallship.com.sg, 2025) - premium recorded in ladder, NOT used as headline. Navier 8-pax product would be drinks/canape-class, not galley-dinner-class, hence mid-band anchor.</t>
        </is>
      </c>
      <c r="AZ74" s="46" t="n"/>
      <c r="BA74" s="34" t="n"/>
    </row>
    <row r="75">
      <c r="A75" s="31" t="inlineStr">
        <is>
          <t>Singapore</t>
        </is>
      </c>
      <c r="B75" s="31" t="inlineStr">
        <is>
          <t>Singapore</t>
        </is>
      </c>
      <c r="C75" s="32" t="inlineStr">
        <is>
          <t>Jurong / West Coast (West Coast Pier catchment) → HarbourFront / Marina Bay</t>
        </is>
      </c>
      <c r="D75" s="33" t="n">
        <v>9.5</v>
      </c>
      <c r="E75" s="27" t="n">
        <v>10</v>
      </c>
      <c r="F75" s="34" t="inlineStr">
        <is>
          <t>T3</t>
        </is>
      </c>
      <c r="G75" s="34" t="inlineStr">
        <is>
          <t>low</t>
        </is>
      </c>
      <c r="H75" s="20" t="n">
        <v>1</v>
      </c>
      <c r="I75" s="35">
        <f>60*D75/cruise_kt</f>
        <v/>
      </c>
      <c r="J75" s="35">
        <f>IF(B75="South Korea",D75/korea_charge_range_nm*korea_full_range_charge_min,0)</f>
        <v/>
      </c>
      <c r="K75" s="35">
        <f>IF(B75="South Korea",I75+korea_turn_min+korea_dwell_min+J75,I75+turn_min+dwell_min)</f>
        <v/>
      </c>
      <c r="L75" s="36">
        <f>IF(B75="South Korea",FLOOR(60*korea_service_hr/K75,1),MIN(24,FLOOR(60*service_hr/K75,1)))</f>
        <v/>
      </c>
      <c r="M75" s="36">
        <f>IF(ABS(MOD(ABS((365*mech_uptime*H75)),1)-0.5)&lt;1E-9,2*ROUND((365*mech_uptime*H75)/2,0),ROUND((365*mech_uptime*H75),0))</f>
        <v/>
      </c>
      <c r="N75" s="37">
        <f>mech_uptime</f>
        <v/>
      </c>
      <c r="O75" s="37">
        <f>IF(AND(B75="South Korea",scenario="MID"),korea_mid_revleg,revleg_sel)</f>
        <v/>
      </c>
      <c r="P75" s="36">
        <f>IF(ABS(MOD(ABS((L75*M75*O75)),1)-0.5)&lt;1E-9,2*ROUND((L75*M75*O75)/2,0),ROUND((L75*M75*O75),0))</f>
        <v/>
      </c>
      <c r="Q75" s="37">
        <f>IF(AND(B75="South Korea",scenario="MID"),korea_mid_load,load_sel)</f>
        <v/>
      </c>
      <c r="R75" s="38">
        <f>pax_cap*Q75</f>
        <v/>
      </c>
      <c r="S75" s="36">
        <f>R75*P75</f>
        <v/>
      </c>
      <c r="T75" s="39">
        <f>E75*discount</f>
        <v/>
      </c>
      <c r="U75" s="40">
        <f>T75*S75</f>
        <v/>
      </c>
      <c r="V75" s="40">
        <f>(battery/range_nm)*D75*P75*VLOOKUP(B75,country_opex,3,FALSE)</f>
        <v/>
      </c>
      <c r="W75" s="40">
        <f>VLOOKUP(B75,country_opex,2,FALSE)*crew_factor</f>
        <v/>
      </c>
      <c r="X75" s="40">
        <f>VLOOKUP(B75,country_opex,5,FALSE)</f>
        <v/>
      </c>
      <c r="Y75" s="40">
        <f>maint</f>
        <v/>
      </c>
      <c r="Z75" s="40">
        <f>VLOOKUP(B75,country_opex,7,FALSE)*ins_pct</f>
        <v/>
      </c>
      <c r="AA75" s="40">
        <f>charge_berth</f>
        <v/>
      </c>
      <c r="AB75" s="40">
        <f>V75+W75+X75+Y75+Z75+AA75</f>
        <v/>
      </c>
      <c r="AC75" s="40">
        <f>VLOOKUP(B75,country_opex,7,FALSE)/dep_years</f>
        <v/>
      </c>
      <c r="AD75" s="40">
        <f>U75-AB75</f>
        <v/>
      </c>
      <c r="AE75" s="37">
        <f>IF(U75=0,"",AD75/U75)</f>
        <v/>
      </c>
      <c r="AF75" s="38">
        <f>IF(AD75&lt;=0,"",VLOOKUP(B75,country_opex,7,FALSE)/AD75)</f>
        <v/>
      </c>
      <c r="AG75" s="35">
        <f>((D75*P75/diesel_nmpg)*diesel_co2pg-(battery/range_nm)*D75*P75*VLOOKUP(B75,country_opex,4,FALSE))/1000</f>
        <v/>
      </c>
      <c r="AH75" s="33" t="n">
        <v>20557</v>
      </c>
      <c r="AI75" s="34" t="n"/>
      <c r="AJ75" s="34" t="n"/>
      <c r="AK75" s="41" t="n">
        <v>1</v>
      </c>
      <c r="AL75" s="36">
        <f>IF(AH75="","",AH75*AK75)</f>
        <v/>
      </c>
      <c r="AM75" s="36">
        <f>IF(OR(AH75="",S75=0),"",MIN(IF(AU75="",9.9E+99,AU75),FLOOR(AL75/S75,1)))</f>
        <v/>
      </c>
      <c r="AN75" s="40">
        <f>IF(AM75="","",AM75*IF(ABS(MOD(ABS((U75)),1)-0.5)&lt;1E-9,2*ROUND((U75)/2,0),ROUND((U75),0)))</f>
        <v/>
      </c>
      <c r="AO75" s="38">
        <f>IF(OR(AH75="",S75=0),"",MIN(IF(AU75="",9.9E+99,AU75),AL75/S75))</f>
        <v/>
      </c>
      <c r="AP75" s="40">
        <f>IF(AO75="","",AO75*IF(B75="South Korea",IF(ABS(MOD(ABS((U75)),1)-0.5)&lt;1E-9,2*ROUND((U75)/2,0),ROUND((U75),0)),U75))</f>
        <v/>
      </c>
      <c r="AQ75" s="42" t="n"/>
      <c r="AR75" s="34" t="inlineStr">
        <is>
          <t>Upside tier</t>
        </is>
      </c>
      <c r="AS75" s="43" t="n"/>
      <c r="AT75" s="43" t="inlineStr">
        <is>
          <t>modal_shift_greenfield</t>
        </is>
      </c>
      <c r="AU75" s="44" t="n"/>
      <c r="AV75" s="45">
        <f>IF(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&lt;=0,"",VLOOKUP(B75,country_opex,7,FALSE)/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)</f>
        <v/>
      </c>
      <c r="AW75" s="45">
        <f>IF(((T75*pax_cap*IF(B75="South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Korea",korea_mid_revleg,revleg_mid)),0))*VLOOKUP(B75,country_opex,3,FALSE))+W75+X75+Y75+Z75+AA75))&lt;=0,"",VLOOKUP(B75,country_opex,7,FALSE)/((T75*pax_cap*IF(B75="South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Korea",korea_mid_revleg,revleg_mid)),0))*VLOOKUP(B75,country_opex,3,FALSE))+W75+X75+Y75+Z75+AA75)))</f>
        <v/>
      </c>
      <c r="AX75" s="45">
        <f>IF(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&lt;=0,"",VLOOKUP(B75,country_opex,7,FALSE)/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)</f>
        <v/>
      </c>
      <c r="AY75" s="46" t="inlineStr">
        <is>
          <t>Greenfield commute (9.5nm). Anchored upper-mid LB-97 commuter band S$8-15/seat; Grab Jurong-&gt;CBD ~S$22-32 peak; MRT EW-line S$2.10. Per-seat premium commute ~half solo ride-hail.</t>
        </is>
      </c>
      <c r="AZ75" s="46" t="n"/>
      <c r="BA75" s="34" t="n"/>
    </row>
    <row r="76">
      <c r="A76" s="31" t="inlineStr">
        <is>
          <t>Cross-Border</t>
        </is>
      </c>
      <c r="B76" s="31" t="inlineStr">
        <is>
          <t>Singapore</t>
        </is>
      </c>
      <c r="C76" s="32" t="inlineStr">
        <is>
          <t>Singapore → Batam (Harbour Bay / Nongsa)</t>
        </is>
      </c>
      <c r="D76" s="33" t="n">
        <v>13</v>
      </c>
      <c r="E76" s="27" t="n">
        <v>57</v>
      </c>
      <c r="F76" s="34" t="inlineStr">
        <is>
          <t>T3</t>
        </is>
      </c>
      <c r="G76" s="34" t="inlineStr">
        <is>
          <t>med-high</t>
        </is>
      </c>
      <c r="H76" s="20" t="n">
        <v>1</v>
      </c>
      <c r="I76" s="35">
        <f>60*D76/cruise_kt</f>
        <v/>
      </c>
      <c r="J76" s="35">
        <f>IF(B76="South Korea",D76/korea_charge_range_nm*korea_full_range_charge_min,0)</f>
        <v/>
      </c>
      <c r="K76" s="35">
        <f>IF(B76="South Korea",I76+korea_turn_min+korea_dwell_min+J76,I76+turn_min+dwell_min)</f>
        <v/>
      </c>
      <c r="L76" s="36">
        <f>IF(B76="South Korea",FLOOR(60*korea_service_hr/K76,1),MIN(15,FLOOR(60*service_hr/K76,1)))</f>
        <v/>
      </c>
      <c r="M76" s="36">
        <f>IF(ABS(MOD(ABS((365*mech_uptime*H76)),1)-0.5)&lt;1E-9,2*ROUND((365*mech_uptime*H76)/2,0),ROUND((365*mech_uptime*H76),0))</f>
        <v/>
      </c>
      <c r="N76" s="37">
        <f>mech_uptime</f>
        <v/>
      </c>
      <c r="O76" s="37">
        <f>IF(AND(B76="South Korea",scenario="MID"),korea_mid_revleg,revleg_sel)</f>
        <v/>
      </c>
      <c r="P76" s="36">
        <f>IF(ABS(MOD(ABS((L76*M76*O76)),1)-0.5)&lt;1E-9,2*ROUND((L76*M76*O76)/2,0),ROUND((L76*M76*O76),0))</f>
        <v/>
      </c>
      <c r="Q76" s="37">
        <f>IF(AND(B76="South Korea",scenario="MID"),korea_mid_load,load_sel)</f>
        <v/>
      </c>
      <c r="R76" s="38">
        <f>pax_cap*Q76</f>
        <v/>
      </c>
      <c r="S76" s="36">
        <f>R76*P76</f>
        <v/>
      </c>
      <c r="T76" s="39">
        <f>E76*discount</f>
        <v/>
      </c>
      <c r="U76" s="40">
        <f>T76*S76</f>
        <v/>
      </c>
      <c r="V76" s="40">
        <f>(battery/range_nm)*D76*P76*VLOOKUP(B76,country_opex,3,FALSE)</f>
        <v/>
      </c>
      <c r="W76" s="40">
        <f>VLOOKUP(B76,country_opex,2,FALSE)*crew_factor</f>
        <v/>
      </c>
      <c r="X76" s="40">
        <f>VLOOKUP(B76,country_opex,5,FALSE)</f>
        <v/>
      </c>
      <c r="Y76" s="40">
        <f>maint</f>
        <v/>
      </c>
      <c r="Z76" s="40">
        <f>VLOOKUP(B76,country_opex,7,FALSE)*ins_pct</f>
        <v/>
      </c>
      <c r="AA76" s="40">
        <f>charge_berth</f>
        <v/>
      </c>
      <c r="AB76" s="40">
        <f>V76+W76+X76+Y76+Z76+AA76</f>
        <v/>
      </c>
      <c r="AC76" s="40">
        <f>VLOOKUP(B76,country_opex,7,FALSE)/dep_years</f>
        <v/>
      </c>
      <c r="AD76" s="40">
        <f>U76-AB76</f>
        <v/>
      </c>
      <c r="AE76" s="37">
        <f>IF(U76=0,"",AD76/U76)</f>
        <v/>
      </c>
      <c r="AF76" s="38">
        <f>IF(AD76&lt;=0,"",VLOOKUP(B76,country_opex,7,FALSE)/AD76)</f>
        <v/>
      </c>
      <c r="AG76" s="35">
        <f>((D76*P76/diesel_nmpg)*diesel_co2pg-(battery/range_nm)*D76*P76*VLOOKUP(B76,country_opex,4,FALSE))/1000</f>
        <v/>
      </c>
      <c r="AH76" s="33" t="n">
        <v>350000</v>
      </c>
      <c r="AI76" s="34" t="n"/>
      <c r="AJ76" s="34" t="n"/>
      <c r="AK76" s="41" t="n">
        <v>0.25</v>
      </c>
      <c r="AL76" s="36">
        <f>IF(AH76="","",AH76*AK76)</f>
        <v/>
      </c>
      <c r="AM76" s="36">
        <f>IF(OR(AH76="",S76=0),"",MIN(IF(AU76="",9.9E+99,AU76),FLOOR(AL76/S76,1)))</f>
        <v/>
      </c>
      <c r="AN76" s="40">
        <f>IF(AM76="","",AM76*IF(ABS(MOD(ABS((U76)),1)-0.5)&lt;1E-9,2*ROUND((U76)/2,0),ROUND((U76),0)))</f>
        <v/>
      </c>
      <c r="AO76" s="38">
        <f>IF(OR(AH76="",S76=0),"",MIN(IF(AU76="",9.9E+99,AU76),AL76/S76))</f>
        <v/>
      </c>
      <c r="AP76" s="40">
        <f>IF(AO76="","",AO76*IF(B76="South Korea",IF(ABS(MOD(ABS((U76)),1)-0.5)&lt;1E-9,2*ROUND((U76)/2,0),ROUND((U76),0)),U76))</f>
        <v/>
      </c>
      <c r="AQ76" s="42" t="n"/>
      <c r="AR76" s="34" t="inlineStr">
        <is>
          <t>Grounded</t>
        </is>
      </c>
      <c r="AS76" s="43" t="n"/>
      <c r="AT76" s="43" t="n"/>
      <c r="AU76" s="44" t="n"/>
      <c r="AV76" s="45">
        <f>IF(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&lt;=0,"",VLOOKUP(B76,country_opex,7,FALSE)/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)</f>
        <v/>
      </c>
      <c r="AW76" s="45">
        <f>IF(((T76*pax_cap*IF(B76="South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Korea",korea_mid_revleg,revleg_mid)),0))*VLOOKUP(B76,country_opex,3,FALSE))+W76+X76+Y76+Z76+AA76))&lt;=0,"",VLOOKUP(B76,country_opex,7,FALSE)/((T76*pax_cap*IF(B76="South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Korea",korea_mid_revleg,revleg_mid)),0))*VLOOKUP(B76,country_opex,3,FALSE))+W76+X76+Y76+Z76+AA76)))</f>
        <v/>
      </c>
      <c r="AX76" s="45">
        <f>IF(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&lt;=0,"",VLOOKUP(B76,country_opex,7,FALSE)/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)</f>
        <v/>
      </c>
      <c r="AY76" s="46" t="inlineStr">
        <is>
          <t>Fare ladder Singapore↔Batam: budget SGD28 (Sindo, HarbourFront→Batam Centre); standard SGD40-43 (BatamFast/Majestic, Batam Centre/Harbour Bay); PREMIUM resort-transfer SGD~73 (BatamFast Tanah Merah→Nongsapura serving Nongsa premium resort zone: Montigo, Turi Beach — real bookings Lemon8 ~SGD73, Rome2Rio Rp430k-650k, DirectFerries from SGD33-35).</t>
        </is>
      </c>
      <c r="AZ76" s="46" t="n"/>
      <c r="BA76" s="34" t="inlineStr">
        <is>
          <t>rn-dc3e2f90d207</t>
        </is>
      </c>
    </row>
    <row r="77">
      <c r="A77" s="31" t="inlineStr">
        <is>
          <t>Singapore</t>
        </is>
      </c>
      <c r="B77" s="31" t="inlineStr">
        <is>
          <t>Singapore</t>
        </is>
      </c>
      <c r="C77" s="32" t="inlineStr">
        <is>
          <t>Marina Bay → Changi Point / Pulau Ubin</t>
        </is>
      </c>
      <c r="D77" s="33" t="n">
        <v>14.2</v>
      </c>
      <c r="E77" s="27" t="n">
        <v>28</v>
      </c>
      <c r="F77" s="34" t="inlineStr">
        <is>
          <t>T5</t>
        </is>
      </c>
      <c r="G77" s="34" t="inlineStr">
        <is>
          <t>low</t>
        </is>
      </c>
      <c r="H77" s="20" t="n">
        <v>1</v>
      </c>
      <c r="I77" s="35">
        <f>60*D77/cruise_kt</f>
        <v/>
      </c>
      <c r="J77" s="35">
        <f>IF(B77="South Korea",D77/korea_charge_range_nm*korea_full_range_charge_min,0)</f>
        <v/>
      </c>
      <c r="K77" s="35">
        <f>IF(B77="South Korea",I77+korea_turn_min+korea_dwell_min+J77,I77+turn_min+dwell_min)</f>
        <v/>
      </c>
      <c r="L77" s="36">
        <f>IF(B77="South Korea",FLOOR(60*korea_service_hr/K77,1),MIN(15,FLOOR(60*service_hr/K77,1)))</f>
        <v/>
      </c>
      <c r="M77" s="36">
        <f>IF(ABS(MOD(ABS((365*mech_uptime*H77)),1)-0.5)&lt;1E-9,2*ROUND((365*mech_uptime*H77)/2,0),ROUND((365*mech_uptime*H77),0))</f>
        <v/>
      </c>
      <c r="N77" s="37">
        <f>mech_uptime</f>
        <v/>
      </c>
      <c r="O77" s="37">
        <f>IF(AND(B77="South Korea",scenario="MID"),korea_mid_revleg,revleg_sel)</f>
        <v/>
      </c>
      <c r="P77" s="36">
        <f>IF(ABS(MOD(ABS((L77*M77*O77)),1)-0.5)&lt;1E-9,2*ROUND((L77*M77*O77)/2,0),ROUND((L77*M77*O77),0))</f>
        <v/>
      </c>
      <c r="Q77" s="37">
        <f>IF(AND(B77="South Korea",scenario="MID"),korea_mid_load,load_sel)</f>
        <v/>
      </c>
      <c r="R77" s="38">
        <f>pax_cap*Q77</f>
        <v/>
      </c>
      <c r="S77" s="36">
        <f>R77*P77</f>
        <v/>
      </c>
      <c r="T77" s="39">
        <f>E77*discount</f>
        <v/>
      </c>
      <c r="U77" s="40">
        <f>T77*S77</f>
        <v/>
      </c>
      <c r="V77" s="40">
        <f>(battery/range_nm)*D77*P77*VLOOKUP(B77,country_opex,3,FALSE)</f>
        <v/>
      </c>
      <c r="W77" s="40">
        <f>VLOOKUP(B77,country_opex,2,FALSE)*crew_factor</f>
        <v/>
      </c>
      <c r="X77" s="40">
        <f>VLOOKUP(B77,country_opex,5,FALSE)</f>
        <v/>
      </c>
      <c r="Y77" s="40">
        <f>maint</f>
        <v/>
      </c>
      <c r="Z77" s="40">
        <f>VLOOKUP(B77,country_opex,7,FALSE)*ins_pct</f>
        <v/>
      </c>
      <c r="AA77" s="40">
        <f>charge_berth</f>
        <v/>
      </c>
      <c r="AB77" s="40">
        <f>V77+W77+X77+Y77+Z77+AA77</f>
        <v/>
      </c>
      <c r="AC77" s="40">
        <f>VLOOKUP(B77,country_opex,7,FALSE)/dep_years</f>
        <v/>
      </c>
      <c r="AD77" s="40">
        <f>U77-AB77</f>
        <v/>
      </c>
      <c r="AE77" s="37">
        <f>IF(U77=0,"",AD77/U77)</f>
        <v/>
      </c>
      <c r="AF77" s="38">
        <f>IF(AD77&lt;=0,"",VLOOKUP(B77,country_opex,7,FALSE)/AD77)</f>
        <v/>
      </c>
      <c r="AG77" s="35">
        <f>((D77*P77/diesel_nmpg)*diesel_co2pg-(battery/range_nm)*D77*P77*VLOOKUP(B77,country_opex,4,FALSE))/1000</f>
        <v/>
      </c>
      <c r="AH77" s="33" t="n">
        <v>30000</v>
      </c>
      <c r="AI77" s="34" t="n"/>
      <c r="AJ77" s="34" t="n"/>
      <c r="AK77" s="41" t="n">
        <v>0.25</v>
      </c>
      <c r="AL77" s="36">
        <f>IF(AH77="","",AH77*AK77)</f>
        <v/>
      </c>
      <c r="AM77" s="36">
        <f>IF(OR(AH77="",S77=0),"",MIN(IF(AU77="",9.9E+99,AU77),FLOOR(AL77/S77,1)))</f>
        <v/>
      </c>
      <c r="AN77" s="40">
        <f>IF(AM77="","",AM77*IF(ABS(MOD(ABS((U77)),1)-0.5)&lt;1E-9,2*ROUND((U77)/2,0),ROUND((U77),0)))</f>
        <v/>
      </c>
      <c r="AO77" s="38">
        <f>IF(OR(AH77="",S77=0),"",MIN(IF(AU77="",9.9E+99,AU77),AL77/S77))</f>
        <v/>
      </c>
      <c r="AP77" s="40">
        <f>IF(AO77="","",AO77*IF(B77="South Korea",IF(ABS(MOD(ABS((U77)),1)-0.5)&lt;1E-9,2*ROUND((U77)/2,0),ROUND((U77),0)),U77))</f>
        <v/>
      </c>
      <c r="AQ77" s="42" t="n"/>
      <c r="AR77" s="34" t="inlineStr">
        <is>
          <t>Grounded</t>
        </is>
      </c>
      <c r="AS77" s="43" t="n"/>
      <c r="AT77" s="43" t="n"/>
      <c r="AU77" s="44" t="n"/>
      <c r="AV77" s="45">
        <f>IF(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&lt;=0,"",VLOOKUP(B77,country_opex,7,FALSE)/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)</f>
        <v/>
      </c>
      <c r="AW77" s="45">
        <f>IF(((T77*pax_cap*IF(B77="South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Korea",korea_mid_revleg,revleg_mid)),0))*VLOOKUP(B77,country_opex,3,FALSE))+W77+X77+Y77+Z77+AA77))&lt;=0,"",VLOOKUP(B77,country_opex,7,FALSE)/((T77*pax_cap*IF(B77="South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Korea",korea_mid_revleg,revleg_mid)),0))*VLOOKUP(B77,country_opex,3,FALSE))+W77+X77+Y77+Z77+AA77)))</f>
        <v/>
      </c>
      <c r="AX77" s="45">
        <f>IF(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&lt;=0,"",VLOOKUP(B77,country_opex,7,FALSE)/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)</f>
        <v/>
      </c>
      <c r="AY77" s="46" t="inlineStr">
        <is>
          <t>Only existing boat is the Changi Point-&gt;Pulau Ubin bumboat: S$4/pax one-way (NParks official, T1) — budget single-class, no premium tier. No direct Marina Bay-&gt;Changi/Ubin boat (14nm long leg is greenfield). Private Ubin boat tours/charters $91-297/group = whole-boat (overclaim). Modeled premium per-seat one-way for the 14nm Marina Bay hop ~$28 (above bumboat budget, below charter).</t>
        </is>
      </c>
      <c r="AZ77" s="46" t="n"/>
      <c r="BA77" s="34" t="inlineStr">
        <is>
          <t>rn-e94c308a28e3</t>
        </is>
      </c>
    </row>
    <row r="78">
      <c r="A78" s="31" t="inlineStr">
        <is>
          <t>Singapore</t>
        </is>
      </c>
      <c r="B78" s="31" t="inlineStr">
        <is>
          <t>Singapore</t>
        </is>
      </c>
      <c r="C78" s="32" t="inlineStr">
        <is>
          <t>Changi Airport (via Changi Point pier access) → Marina Bay (CBD / hotel belt)</t>
        </is>
      </c>
      <c r="D78" s="33" t="n">
        <v>16</v>
      </c>
      <c r="E78" s="27" t="n">
        <v>30</v>
      </c>
      <c r="F78" s="34" t="inlineStr">
        <is>
          <t>T2</t>
        </is>
      </c>
      <c r="G78" s="34" t="inlineStr">
        <is>
          <t>med</t>
        </is>
      </c>
      <c r="H78" s="20" t="n">
        <v>1</v>
      </c>
      <c r="I78" s="35">
        <f>60*D78/cruise_kt</f>
        <v/>
      </c>
      <c r="J78" s="35">
        <f>IF(B78="South Korea",D78/korea_charge_range_nm*korea_full_range_charge_min,0)</f>
        <v/>
      </c>
      <c r="K78" s="35">
        <f>IF(B78="South Korea",I78+korea_turn_min+korea_dwell_min+J78,I78+turn_min+dwell_min)</f>
        <v/>
      </c>
      <c r="L78" s="36">
        <f>IF(B78="South Korea",FLOOR(60*korea_service_hr/K78,1),MIN(24,FLOOR(60*service_hr/K78,1)))</f>
        <v/>
      </c>
      <c r="M78" s="36">
        <f>IF(ABS(MOD(ABS((365*mech_uptime*H78)),1)-0.5)&lt;1E-9,2*ROUND((365*mech_uptime*H78)/2,0),ROUND((365*mech_uptime*H78),0))</f>
        <v/>
      </c>
      <c r="N78" s="37">
        <f>mech_uptime</f>
        <v/>
      </c>
      <c r="O78" s="37">
        <f>IF(AND(B78="South Korea",scenario="MID"),korea_mid_revleg,revleg_sel)</f>
        <v/>
      </c>
      <c r="P78" s="36">
        <f>IF(ABS(MOD(ABS((L78*M78*O78)),1)-0.5)&lt;1E-9,2*ROUND((L78*M78*O78)/2,0),ROUND((L78*M78*O78),0))</f>
        <v/>
      </c>
      <c r="Q78" s="37">
        <f>IF(AND(B78="South Korea",scenario="MID"),korea_mid_load,load_sel)</f>
        <v/>
      </c>
      <c r="R78" s="38">
        <f>pax_cap*Q78</f>
        <v/>
      </c>
      <c r="S78" s="36">
        <f>R78*P78</f>
        <v/>
      </c>
      <c r="T78" s="39">
        <f>E78*discount</f>
        <v/>
      </c>
      <c r="U78" s="40">
        <f>T78*S78</f>
        <v/>
      </c>
      <c r="V78" s="40">
        <f>(battery/range_nm)*D78*P78*VLOOKUP(B78,country_opex,3,FALSE)</f>
        <v/>
      </c>
      <c r="W78" s="40">
        <f>VLOOKUP(B78,country_opex,2,FALSE)*crew_factor</f>
        <v/>
      </c>
      <c r="X78" s="40">
        <f>VLOOKUP(B78,country_opex,5,FALSE)</f>
        <v/>
      </c>
      <c r="Y78" s="40">
        <f>maint</f>
        <v/>
      </c>
      <c r="Z78" s="40">
        <f>VLOOKUP(B78,country_opex,7,FALSE)*ins_pct</f>
        <v/>
      </c>
      <c r="AA78" s="40">
        <f>charge_berth</f>
        <v/>
      </c>
      <c r="AB78" s="40">
        <f>V78+W78+X78+Y78+Z78+AA78</f>
        <v/>
      </c>
      <c r="AC78" s="40">
        <f>VLOOKUP(B78,country_opex,7,FALSE)/dep_years</f>
        <v/>
      </c>
      <c r="AD78" s="40">
        <f>U78-AB78</f>
        <v/>
      </c>
      <c r="AE78" s="37">
        <f>IF(U78=0,"",AD78/U78)</f>
        <v/>
      </c>
      <c r="AF78" s="38">
        <f>IF(AD78&lt;=0,"",VLOOKUP(B78,country_opex,7,FALSE)/AD78)</f>
        <v/>
      </c>
      <c r="AG78" s="35">
        <f>((D78*P78/diesel_nmpg)*diesel_co2pg-(battery/range_nm)*D78*P78*VLOOKUP(B78,country_opex,4,FALSE))/1000</f>
        <v/>
      </c>
      <c r="AH78" s="33" t="n">
        <v>18370</v>
      </c>
      <c r="AI78" s="34" t="n"/>
      <c r="AJ78" s="34" t="n"/>
      <c r="AK78" s="41" t="n">
        <v>1</v>
      </c>
      <c r="AL78" s="36">
        <f>IF(AH78="","",AH78*AK78)</f>
        <v/>
      </c>
      <c r="AM78" s="36">
        <f>IF(OR(AH78="",S78=0),"",MIN(IF(AU78="",9.9E+99,AU78),FLOOR(AL78/S78,1)))</f>
        <v/>
      </c>
      <c r="AN78" s="40">
        <f>IF(AM78="","",AM78*IF(ABS(MOD(ABS((U78)),1)-0.5)&lt;1E-9,2*ROUND((U78)/2,0),ROUND((U78),0)))</f>
        <v/>
      </c>
      <c r="AO78" s="38">
        <f>IF(OR(AH78="",S78=0),"",MIN(IF(AU78="",9.9E+99,AU78),AL78/S78))</f>
        <v/>
      </c>
      <c r="AP78" s="40">
        <f>IF(AO78="","",AO78*IF(B78="South Korea",IF(ABS(MOD(ABS((U78)),1)-0.5)&lt;1E-9,2*ROUND((U78)/2,0),ROUND((U78),0)),U78))</f>
        <v/>
      </c>
      <c r="AQ78" s="42" t="n"/>
      <c r="AR78" s="34" t="inlineStr">
        <is>
          <t>Upside tier</t>
        </is>
      </c>
      <c r="AS78" s="43" t="n"/>
      <c r="AT78" s="43" t="inlineStr">
        <is>
          <t>modal_shift_greenfield</t>
        </is>
      </c>
      <c r="AU78" s="44" t="n"/>
      <c r="AV78" s="45">
        <f>IF(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&lt;=0,"",VLOOKUP(B78,country_opex,7,FALSE)/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)</f>
        <v/>
      </c>
      <c r="AW78" s="45">
        <f>IF(((T78*pax_cap*IF(B78="South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Korea",korea_mid_revleg,revleg_mid)),0))*VLOOKUP(B78,country_opex,3,FALSE))+W78+X78+Y78+Z78+AA78))&lt;=0,"",VLOOKUP(B78,country_opex,7,FALSE)/((T78*pax_cap*IF(B78="South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Korea",korea_mid_revleg,revleg_mid)),0))*VLOOKUP(B78,country_opex,3,FALSE))+W78+X78+Y78+Z78+AA78)))</f>
        <v/>
      </c>
      <c r="AX78" s="45">
        <f>IF(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&lt;=0,"",VLOOKUP(B78,country_opex,7,FALSE)/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)</f>
        <v/>
      </c>
      <c r="AY78" s="46" t="inlineStr">
        <is>
          <t>Anchored within LB-97 premium band S$35-50/seat: metered taxi Changi-&gt;Marina Bay S$20-35 / US$19-24 fastest mode (Rome2Rio 2025; limofahr 2023 range SGD20-65 with surcharges); booked private transfer from US$29.65 for 2 pax i.e. ~S$40+/vehicle (Klook airport-transfer listings 2025). Per-seat premium water arrival at S$40 = above solo taxi, at booked-limo parity - priced for experience, not parity (corridor loses on raw time).</t>
        </is>
      </c>
      <c r="AZ78" s="46" t="n"/>
      <c r="BA78" s="34" t="n"/>
    </row>
    <row r="79">
      <c r="A79" s="31" t="inlineStr">
        <is>
          <t>Singapore</t>
        </is>
      </c>
      <c r="B79" s="31" t="inlineStr">
        <is>
          <t>Singapore</t>
        </is>
      </c>
      <c r="C79" s="32" t="inlineStr">
        <is>
          <t>Punggol (Punggol Point / Marina Country Club) → Marina Bay (CBD)</t>
        </is>
      </c>
      <c r="D79" s="33" t="n">
        <v>17</v>
      </c>
      <c r="E79" s="27" t="n">
        <v>11</v>
      </c>
      <c r="F79" s="34" t="inlineStr">
        <is>
          <t>T3</t>
        </is>
      </c>
      <c r="G79" s="34" t="inlineStr">
        <is>
          <t>low</t>
        </is>
      </c>
      <c r="H79" s="20" t="n">
        <v>1</v>
      </c>
      <c r="I79" s="35">
        <f>60*D79/cruise_kt</f>
        <v/>
      </c>
      <c r="J79" s="35">
        <f>IF(B79="South Korea",D79/korea_charge_range_nm*korea_full_range_charge_min,0)</f>
        <v/>
      </c>
      <c r="K79" s="35">
        <f>IF(B79="South Korea",I79+korea_turn_min+korea_dwell_min+J79,I79+turn_min+dwell_min)</f>
        <v/>
      </c>
      <c r="L79" s="36">
        <f>IF(B79="South Korea",FLOOR(60*korea_service_hr/K79,1),MIN(24,FLOOR(60*service_hr/K79,1)))</f>
        <v/>
      </c>
      <c r="M79" s="36">
        <f>IF(ABS(MOD(ABS((365*mech_uptime*H79)),1)-0.5)&lt;1E-9,2*ROUND((365*mech_uptime*H79)/2,0),ROUND((365*mech_uptime*H79),0))</f>
        <v/>
      </c>
      <c r="N79" s="37">
        <f>mech_uptime</f>
        <v/>
      </c>
      <c r="O79" s="37">
        <f>IF(AND(B79="South Korea",scenario="MID"),korea_mid_revleg,revleg_sel)</f>
        <v/>
      </c>
      <c r="P79" s="36">
        <f>IF(ABS(MOD(ABS((L79*M79*O79)),1)-0.5)&lt;1E-9,2*ROUND((L79*M79*O79)/2,0),ROUND((L79*M79*O79),0))</f>
        <v/>
      </c>
      <c r="Q79" s="37">
        <f>IF(AND(B79="South Korea",scenario="MID"),korea_mid_load,load_sel)</f>
        <v/>
      </c>
      <c r="R79" s="38">
        <f>pax_cap*Q79</f>
        <v/>
      </c>
      <c r="S79" s="36">
        <f>R79*P79</f>
        <v/>
      </c>
      <c r="T79" s="39">
        <f>E79*discount</f>
        <v/>
      </c>
      <c r="U79" s="40">
        <f>T79*S79</f>
        <v/>
      </c>
      <c r="V79" s="40">
        <f>(battery/range_nm)*D79*P79*VLOOKUP(B79,country_opex,3,FALSE)</f>
        <v/>
      </c>
      <c r="W79" s="40">
        <f>VLOOKUP(B79,country_opex,2,FALSE)*crew_factor</f>
        <v/>
      </c>
      <c r="X79" s="40">
        <f>VLOOKUP(B79,country_opex,5,FALSE)</f>
        <v/>
      </c>
      <c r="Y79" s="40">
        <f>maint</f>
        <v/>
      </c>
      <c r="Z79" s="40">
        <f>VLOOKUP(B79,country_opex,7,FALSE)*ins_pct</f>
        <v/>
      </c>
      <c r="AA79" s="40">
        <f>charge_berth</f>
        <v/>
      </c>
      <c r="AB79" s="40">
        <f>V79+W79+X79+Y79+Z79+AA79</f>
        <v/>
      </c>
      <c r="AC79" s="40">
        <f>VLOOKUP(B79,country_opex,7,FALSE)/dep_years</f>
        <v/>
      </c>
      <c r="AD79" s="40">
        <f>U79-AB79</f>
        <v/>
      </c>
      <c r="AE79" s="37">
        <f>IF(U79=0,"",AD79/U79)</f>
        <v/>
      </c>
      <c r="AF79" s="38">
        <f>IF(AD79&lt;=0,"",VLOOKUP(B79,country_opex,7,FALSE)/AD79)</f>
        <v/>
      </c>
      <c r="AG79" s="35">
        <f>((D79*P79/diesel_nmpg)*diesel_co2pg-(battery/range_nm)*D79*P79*VLOOKUP(B79,country_opex,4,FALSE))/1000</f>
        <v/>
      </c>
      <c r="AH79" s="33" t="n">
        <v>15199</v>
      </c>
      <c r="AI79" s="34" t="n"/>
      <c r="AJ79" s="34" t="n"/>
      <c r="AK79" s="41" t="n">
        <v>1</v>
      </c>
      <c r="AL79" s="36">
        <f>IF(AH79="","",AH79*AK79)</f>
        <v/>
      </c>
      <c r="AM79" s="36">
        <f>IF(OR(AH79="",S79=0),"",MIN(IF(AU79="",9.9E+99,AU79),FLOOR(AL79/S79,1)))</f>
        <v/>
      </c>
      <c r="AN79" s="40">
        <f>IF(AM79="","",AM79*IF(ABS(MOD(ABS((U79)),1)-0.5)&lt;1E-9,2*ROUND((U79)/2,0),ROUND((U79),0)))</f>
        <v/>
      </c>
      <c r="AO79" s="38">
        <f>IF(OR(AH79="",S79=0),"",MIN(IF(AU79="",9.9E+99,AU79),AL79/S79))</f>
        <v/>
      </c>
      <c r="AP79" s="40">
        <f>IF(AO79="","",AO79*IF(B79="South Korea",IF(ABS(MOD(ABS((U79)),1)-0.5)&lt;1E-9,2*ROUND((U79)/2,0),ROUND((U79),0)),U79))</f>
        <v/>
      </c>
      <c r="AQ79" s="42" t="n"/>
      <c r="AR79" s="34" t="inlineStr">
        <is>
          <t>Upside tier</t>
        </is>
      </c>
      <c r="AS79" s="43" t="n"/>
      <c r="AT79" s="43" t="inlineStr">
        <is>
          <t>modal_shift_greenfield</t>
        </is>
      </c>
      <c r="AU79" s="44" t="n"/>
      <c r="AV79" s="45">
        <f>IF(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&lt;=0,"",VLOOKUP(B79,country_opex,7,FALSE)/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)</f>
        <v/>
      </c>
      <c r="AW79" s="45">
        <f>IF(((T79*pax_cap*IF(B79="South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Korea",korea_mid_revleg,revleg_mid)),0))*VLOOKUP(B79,country_opex,3,FALSE))+W79+X79+Y79+Z79+AA79))&lt;=0,"",VLOOKUP(B79,country_opex,7,FALSE)/((T79*pax_cap*IF(B79="South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Korea",korea_mid_revleg,revleg_mid)),0))*VLOOKUP(B79,country_opex,3,FALSE))+W79+X79+Y79+Z79+AA79)))</f>
        <v/>
      </c>
      <c r="AX79" s="45">
        <f>IF(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&lt;=0,"",VLOOKUP(B79,country_opex,7,FALSE)/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)</f>
        <v/>
      </c>
      <c r="AY79" s="46" t="inlineStr">
        <is>
          <t>NO water service exists Punggol-&gt;CBD (greenfield). Anchored at top of LB-97 commuter band (S$8-15/seat): 17nm is the longest modal-shift run; Grab/taxi Punggol-&gt;CBD ~S$28-40 peak (ride-hail apps, 2025); MRT NE-line S$2.20. Per-seat premium commute positioned ~half of solo ride-hail, ~7x MRT.</t>
        </is>
      </c>
      <c r="AZ79" s="46" t="n"/>
      <c r="BA79" s="34" t="n"/>
    </row>
    <row r="80">
      <c r="A80" s="31" t="inlineStr">
        <is>
          <t>Singapore</t>
        </is>
      </c>
      <c r="B80" s="31" t="inlineStr">
        <is>
          <t>Singapore</t>
        </is>
      </c>
      <c r="C80" s="32" t="inlineStr">
        <is>
          <t>Marina South Pier → Pulau Ubin Jetty</t>
        </is>
      </c>
      <c r="D80" s="33" t="n">
        <v>20.45</v>
      </c>
      <c r="E80" s="27" t="n">
        <v>18</v>
      </c>
      <c r="F80" s="34" t="inlineStr">
        <is>
          <t>T3</t>
        </is>
      </c>
      <c r="G80" s="34" t="inlineStr">
        <is>
          <t>med</t>
        </is>
      </c>
      <c r="H80" s="20" t="n">
        <v>1</v>
      </c>
      <c r="I80" s="35">
        <f>60*D80/cruise_kt</f>
        <v/>
      </c>
      <c r="J80" s="35">
        <f>IF(B80="South Korea",D80/korea_charge_range_nm*korea_full_range_charge_min,0)</f>
        <v/>
      </c>
      <c r="K80" s="35">
        <f>IF(B80="South Korea",I80+korea_turn_min+korea_dwell_min+J80,I80+turn_min+dwell_min)</f>
        <v/>
      </c>
      <c r="L80" s="36">
        <f>IF(B80="South Korea",FLOOR(60*korea_service_hr/K80,1),MIN(15,FLOOR(60*service_hr/K80,1)))</f>
        <v/>
      </c>
      <c r="M80" s="36">
        <f>IF(ABS(MOD(ABS((365*mech_uptime*H80)),1)-0.5)&lt;1E-9,2*ROUND((365*mech_uptime*H80)/2,0),ROUND((365*mech_uptime*H80),0))</f>
        <v/>
      </c>
      <c r="N80" s="37">
        <f>mech_uptime</f>
        <v/>
      </c>
      <c r="O80" s="37">
        <f>IF(AND(B80="South Korea",scenario="MID"),korea_mid_revleg,revleg_sel)</f>
        <v/>
      </c>
      <c r="P80" s="36">
        <f>IF(ABS(MOD(ABS((L80*M80*O80)),1)-0.5)&lt;1E-9,2*ROUND((L80*M80*O80)/2,0),ROUND((L80*M80*O80),0))</f>
        <v/>
      </c>
      <c r="Q80" s="37">
        <f>IF(AND(B80="South Korea",scenario="MID"),korea_mid_load,load_sel)</f>
        <v/>
      </c>
      <c r="R80" s="38">
        <f>pax_cap*Q80</f>
        <v/>
      </c>
      <c r="S80" s="36">
        <f>R80*P80</f>
        <v/>
      </c>
      <c r="T80" s="39">
        <f>E80*discount</f>
        <v/>
      </c>
      <c r="U80" s="40">
        <f>T80*S80</f>
        <v/>
      </c>
      <c r="V80" s="40">
        <f>(battery/range_nm)*D80*P80*VLOOKUP(B80,country_opex,3,FALSE)</f>
        <v/>
      </c>
      <c r="W80" s="40">
        <f>VLOOKUP(B80,country_opex,2,FALSE)*crew_factor</f>
        <v/>
      </c>
      <c r="X80" s="40">
        <f>VLOOKUP(B80,country_opex,5,FALSE)</f>
        <v/>
      </c>
      <c r="Y80" s="40">
        <f>maint</f>
        <v/>
      </c>
      <c r="Z80" s="40">
        <f>VLOOKUP(B80,country_opex,7,FALSE)*ins_pct</f>
        <v/>
      </c>
      <c r="AA80" s="40">
        <f>charge_berth</f>
        <v/>
      </c>
      <c r="AB80" s="40">
        <f>V80+W80+X80+Y80+Z80+AA80</f>
        <v/>
      </c>
      <c r="AC80" s="40">
        <f>VLOOKUP(B80,country_opex,7,FALSE)/dep_years</f>
        <v/>
      </c>
      <c r="AD80" s="40">
        <f>U80-AB80</f>
        <v/>
      </c>
      <c r="AE80" s="37">
        <f>IF(U80=0,"",AD80/U80)</f>
        <v/>
      </c>
      <c r="AF80" s="38">
        <f>IF(AD80&lt;=0,"",VLOOKUP(B80,country_opex,7,FALSE)/AD80)</f>
        <v/>
      </c>
      <c r="AG80" s="35">
        <f>((D80*P80/diesel_nmpg)*diesel_co2pg-(battery/range_nm)*D80*P80*VLOOKUP(B80,country_opex,4,FALSE))/1000</f>
        <v/>
      </c>
      <c r="AH80" s="33" t="n">
        <v>105000</v>
      </c>
      <c r="AI80" s="34" t="n"/>
      <c r="AJ80" s="34" t="n"/>
      <c r="AK80" s="41" t="n">
        <v>0.25</v>
      </c>
      <c r="AL80" s="36">
        <f>IF(AH80="","",AH80*AK80)</f>
        <v/>
      </c>
      <c r="AM80" s="36">
        <f>IF(OR(AH80="",S80=0),"",MIN(IF(AU80="",9.9E+99,AU80),FLOOR(AL80/S80,1)))</f>
        <v/>
      </c>
      <c r="AN80" s="40">
        <f>IF(AM80="","",AM80*IF(ABS(MOD(ABS((U80)),1)-0.5)&lt;1E-9,2*ROUND((U80)/2,0),ROUND((U80),0)))</f>
        <v/>
      </c>
      <c r="AO80" s="38">
        <f>IF(OR(AH80="",S80=0),"",MIN(IF(AU80="",9.9E+99,AU80),AL80/S80))</f>
        <v/>
      </c>
      <c r="AP80" s="40">
        <f>IF(AO80="","",AO80*IF(B80="South Korea",IF(ABS(MOD(ABS((U80)),1)-0.5)&lt;1E-9,2*ROUND((U80)/2,0),ROUND((U80),0)),U80))</f>
        <v/>
      </c>
      <c r="AQ80" s="42" t="n"/>
      <c r="AR80" s="34" t="inlineStr">
        <is>
          <t>Grounded</t>
        </is>
      </c>
      <c r="AS80" s="43" t="n"/>
      <c r="AT80" s="43" t="n"/>
      <c r="AU80" s="44" t="n"/>
      <c r="AV80" s="45">
        <f>IF(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&lt;=0,"",VLOOKUP(B80,country_opex,7,FALSE)/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)</f>
        <v/>
      </c>
      <c r="AW80" s="45">
        <f>IF(((T80*pax_cap*IF(B80="South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Korea",korea_mid_revleg,revleg_mid)),0))*VLOOKUP(B80,country_opex,3,FALSE))+W80+X80+Y80+Z80+AA80))&lt;=0,"",VLOOKUP(B80,country_opex,7,FALSE)/((T80*pax_cap*IF(B80="South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Korea",korea_mid_revleg,revleg_mid)),0))*VLOOKUP(B80,country_opex,3,FALSE))+W80+X80+Y80+Z80+AA80)))</f>
        <v/>
      </c>
      <c r="AX80" s="45">
        <f>IF(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&lt;=0,"",VLOOKUP(B80,country_opex,7,FALSE)/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)</f>
        <v/>
      </c>
      <c r="AY80" s="46" t="n"/>
      <c r="AZ80" s="46" t="n"/>
      <c r="BA80" s="34" t="n"/>
    </row>
    <row r="81">
      <c r="A81" s="31" t="inlineStr">
        <is>
          <t>Cross-Border</t>
        </is>
      </c>
      <c r="B81" s="31" t="inlineStr">
        <is>
          <t>Singapore</t>
        </is>
      </c>
      <c r="C81" s="32" t="inlineStr">
        <is>
          <t>Singapore → Bintan (Lagoi resort zone)</t>
        </is>
      </c>
      <c r="D81" s="33" t="n">
        <v>21.9</v>
      </c>
      <c r="E81" s="27" t="n">
        <v>69</v>
      </c>
      <c r="F81" s="34" t="inlineStr">
        <is>
          <t>T1</t>
        </is>
      </c>
      <c r="G81" s="34" t="inlineStr">
        <is>
          <t>high</t>
        </is>
      </c>
      <c r="H81" s="20" t="n">
        <v>1</v>
      </c>
      <c r="I81" s="35">
        <f>60*D81/cruise_kt</f>
        <v/>
      </c>
      <c r="J81" s="35">
        <f>IF(B81="South Korea",D81/korea_charge_range_nm*korea_full_range_charge_min,0)</f>
        <v/>
      </c>
      <c r="K81" s="35">
        <f>IF(B81="South Korea",I81+korea_turn_min+korea_dwell_min+J81,I81+turn_min+dwell_min)</f>
        <v/>
      </c>
      <c r="L81" s="36">
        <f>IF(B81="South Korea",FLOOR(60*korea_service_hr/K81,1),MIN(15,FLOOR(60*service_hr/K81,1)))</f>
        <v/>
      </c>
      <c r="M81" s="36">
        <f>IF(ABS(MOD(ABS((365*mech_uptime*H81)),1)-0.5)&lt;1E-9,2*ROUND((365*mech_uptime*H81)/2,0),ROUND((365*mech_uptime*H81),0))</f>
        <v/>
      </c>
      <c r="N81" s="37">
        <f>mech_uptime</f>
        <v/>
      </c>
      <c r="O81" s="37">
        <f>IF(AND(B81="South Korea",scenario="MID"),korea_mid_revleg,revleg_sel)</f>
        <v/>
      </c>
      <c r="P81" s="36">
        <f>IF(ABS(MOD(ABS((L81*M81*O81)),1)-0.5)&lt;1E-9,2*ROUND((L81*M81*O81)/2,0),ROUND((L81*M81*O81),0))</f>
        <v/>
      </c>
      <c r="Q81" s="37">
        <f>IF(AND(B81="South Korea",scenario="MID"),korea_mid_load,load_sel)</f>
        <v/>
      </c>
      <c r="R81" s="38">
        <f>pax_cap*Q81</f>
        <v/>
      </c>
      <c r="S81" s="36">
        <f>R81*P81</f>
        <v/>
      </c>
      <c r="T81" s="39">
        <f>E81*discount</f>
        <v/>
      </c>
      <c r="U81" s="40">
        <f>T81*S81</f>
        <v/>
      </c>
      <c r="V81" s="40">
        <f>(battery/range_nm)*D81*P81*VLOOKUP(B81,country_opex,3,FALSE)</f>
        <v/>
      </c>
      <c r="W81" s="40">
        <f>VLOOKUP(B81,country_opex,2,FALSE)*crew_factor</f>
        <v/>
      </c>
      <c r="X81" s="40">
        <f>VLOOKUP(B81,country_opex,5,FALSE)</f>
        <v/>
      </c>
      <c r="Y81" s="40">
        <f>maint</f>
        <v/>
      </c>
      <c r="Z81" s="40">
        <f>VLOOKUP(B81,country_opex,7,FALSE)*ins_pct</f>
        <v/>
      </c>
      <c r="AA81" s="40">
        <f>charge_berth</f>
        <v/>
      </c>
      <c r="AB81" s="40">
        <f>V81+W81+X81+Y81+Z81+AA81</f>
        <v/>
      </c>
      <c r="AC81" s="40">
        <f>VLOOKUP(B81,country_opex,7,FALSE)/dep_years</f>
        <v/>
      </c>
      <c r="AD81" s="40">
        <f>U81-AB81</f>
        <v/>
      </c>
      <c r="AE81" s="37">
        <f>IF(U81=0,"",AD81/U81)</f>
        <v/>
      </c>
      <c r="AF81" s="38">
        <f>IF(AD81&lt;=0,"",VLOOKUP(B81,country_opex,7,FALSE)/AD81)</f>
        <v/>
      </c>
      <c r="AG81" s="35">
        <f>((D81*P81/diesel_nmpg)*diesel_co2pg-(battery/range_nm)*D81*P81*VLOOKUP(B81,country_opex,4,FALSE))/1000</f>
        <v/>
      </c>
      <c r="AH81" s="33" t="n">
        <v>150000</v>
      </c>
      <c r="AI81" s="34" t="n"/>
      <c r="AJ81" s="34" t="n"/>
      <c r="AK81" s="41" t="n">
        <v>0.25</v>
      </c>
      <c r="AL81" s="36">
        <f>IF(AH81="","",AH81*AK81)</f>
        <v/>
      </c>
      <c r="AM81" s="36">
        <f>IF(OR(AH81="",S81=0),"",MIN(IF(AU81="",9.9E+99,AU81),FLOOR(AL81/S81,1)))</f>
        <v/>
      </c>
      <c r="AN81" s="40">
        <f>IF(AM81="","",AM81*IF(ABS(MOD(ABS((U81)),1)-0.5)&lt;1E-9,2*ROUND((U81)/2,0),ROUND((U81),0)))</f>
        <v/>
      </c>
      <c r="AO81" s="38">
        <f>IF(OR(AH81="",S81=0),"",MIN(IF(AU81="",9.9E+99,AU81),AL81/S81))</f>
        <v/>
      </c>
      <c r="AP81" s="40">
        <f>IF(AO81="","",AO81*IF(B81="South Korea",IF(ABS(MOD(ABS((U81)),1)-0.5)&lt;1E-9,2*ROUND((U81)/2,0),ROUND((U81),0)),U81))</f>
        <v/>
      </c>
      <c r="AQ81" s="42" t="n"/>
      <c r="AR81" s="34" t="inlineStr">
        <is>
          <t>Grounded</t>
        </is>
      </c>
      <c r="AS81" s="43" t="n"/>
      <c r="AT81" s="43" t="n"/>
      <c r="AU81" s="44" t="n"/>
      <c r="AV81" s="45">
        <f>IF(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&lt;=0,"",VLOOKUP(B81,country_opex,7,FALSE)/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)</f>
        <v/>
      </c>
      <c r="AW81" s="45">
        <f>IF(((T81*pax_cap*IF(B81="South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Korea",korea_mid_revleg,revleg_mid)),0))*VLOOKUP(B81,country_opex,3,FALSE))+W81+X81+Y81+Z81+AA81))&lt;=0,"",VLOOKUP(B81,country_opex,7,FALSE)/((T81*pax_cap*IF(B81="South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Korea",korea_mid_revleg,revleg_mid)),0))*VLOOKUP(B81,country_opex,3,FALSE))+W81+X81+Y81+Z81+AA81)))</f>
        <v/>
      </c>
      <c r="AX81" s="45">
        <f>IF(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&lt;=0,"",VLOOKUP(B81,country_opex,7,FALSE)/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)</f>
        <v/>
      </c>
      <c r="AY81" s="46" t="inlineStr">
        <is>
          <t>Bintan Resort Ferries (BRF, official) Tanah Merah↔Bandar Bentan Telani (Lagoi resort zone), fares eff. 12 Mar 2026: Economy one-way SGD62 adult; EMERALD CLASS one-way SGD89 adult (premium per-seat tier, incl levies). 3rd-party budget listings from SGD53. Charter = 180-270 pax whole vessel (excluded, R1).</t>
        </is>
      </c>
      <c r="AZ81" s="46" t="n"/>
      <c r="BA81" s="34" t="inlineStr">
        <is>
          <t>rn-f3670ea7d99b</t>
        </is>
      </c>
    </row>
    <row r="82">
      <c r="A82" s="31" t="inlineStr">
        <is>
          <t>Cross-Border</t>
        </is>
      </c>
      <c r="B82" s="31" t="inlineStr">
        <is>
          <t>Singapore</t>
        </is>
      </c>
      <c r="C82" s="32" t="inlineStr">
        <is>
          <t>Singapore → Desaru Coast / Johor</t>
        </is>
      </c>
      <c r="D82" s="33" t="n">
        <v>29.5</v>
      </c>
      <c r="E82" s="27" t="n">
        <v>47</v>
      </c>
      <c r="F82" s="34" t="inlineStr">
        <is>
          <t>T3</t>
        </is>
      </c>
      <c r="G82" s="34" t="inlineStr">
        <is>
          <t>med</t>
        </is>
      </c>
      <c r="H82" s="20" t="n">
        <v>1</v>
      </c>
      <c r="I82" s="35">
        <f>60*D82/cruise_kt</f>
        <v/>
      </c>
      <c r="J82" s="35">
        <f>IF(B82="South Korea",D82/korea_charge_range_nm*korea_full_range_charge_min,0)</f>
        <v/>
      </c>
      <c r="K82" s="35">
        <f>IF(B82="South Korea",I82+korea_turn_min+korea_dwell_min+J82,I82+turn_min+dwell_min)</f>
        <v/>
      </c>
      <c r="L82" s="36">
        <f>IF(B82="South Korea",FLOOR(60*korea_service_hr/K82,1),MIN(15,FLOOR(60*service_hr/K82,1)))</f>
        <v/>
      </c>
      <c r="M82" s="36">
        <f>IF(ABS(MOD(ABS((365*mech_uptime*H82)),1)-0.5)&lt;1E-9,2*ROUND((365*mech_uptime*H82)/2,0),ROUND((365*mech_uptime*H82),0))</f>
        <v/>
      </c>
      <c r="N82" s="37">
        <f>mech_uptime</f>
        <v/>
      </c>
      <c r="O82" s="37">
        <f>IF(AND(B82="South Korea",scenario="MID"),korea_mid_revleg,revleg_sel)</f>
        <v/>
      </c>
      <c r="P82" s="36">
        <f>IF(ABS(MOD(ABS((L82*M82*O82)),1)-0.5)&lt;1E-9,2*ROUND((L82*M82*O82)/2,0),ROUND((L82*M82*O82),0))</f>
        <v/>
      </c>
      <c r="Q82" s="37">
        <f>IF(AND(B82="South Korea",scenario="MID"),korea_mid_load,load_sel)</f>
        <v/>
      </c>
      <c r="R82" s="38">
        <f>pax_cap*Q82</f>
        <v/>
      </c>
      <c r="S82" s="36">
        <f>R82*P82</f>
        <v/>
      </c>
      <c r="T82" s="39">
        <f>E82*discount</f>
        <v/>
      </c>
      <c r="U82" s="40">
        <f>T82*S82</f>
        <v/>
      </c>
      <c r="V82" s="40">
        <f>(battery/range_nm)*D82*P82*VLOOKUP(B82,country_opex,3,FALSE)</f>
        <v/>
      </c>
      <c r="W82" s="40">
        <f>VLOOKUP(B82,country_opex,2,FALSE)*crew_factor</f>
        <v/>
      </c>
      <c r="X82" s="40">
        <f>VLOOKUP(B82,country_opex,5,FALSE)</f>
        <v/>
      </c>
      <c r="Y82" s="40">
        <f>maint</f>
        <v/>
      </c>
      <c r="Z82" s="40">
        <f>VLOOKUP(B82,country_opex,7,FALSE)*ins_pct</f>
        <v/>
      </c>
      <c r="AA82" s="40">
        <f>charge_berth</f>
        <v/>
      </c>
      <c r="AB82" s="40">
        <f>V82+W82+X82+Y82+Z82+AA82</f>
        <v/>
      </c>
      <c r="AC82" s="40">
        <f>VLOOKUP(B82,country_opex,7,FALSE)/dep_years</f>
        <v/>
      </c>
      <c r="AD82" s="40">
        <f>U82-AB82</f>
        <v/>
      </c>
      <c r="AE82" s="37">
        <f>IF(U82=0,"",AD82/U82)</f>
        <v/>
      </c>
      <c r="AF82" s="38">
        <f>IF(AD82&lt;=0,"",VLOOKUP(B82,country_opex,7,FALSE)/AD82)</f>
        <v/>
      </c>
      <c r="AG82" s="35">
        <f>((D82*P82/diesel_nmpg)*diesel_co2pg-(battery/range_nm)*D82*P82*VLOOKUP(B82,country_opex,4,FALSE))/1000</f>
        <v/>
      </c>
      <c r="AH82" s="33" t="n">
        <v>22500</v>
      </c>
      <c r="AI82" s="34" t="n"/>
      <c r="AJ82" s="34" t="n"/>
      <c r="AK82" s="41" t="n">
        <v>0.25</v>
      </c>
      <c r="AL82" s="36">
        <f>IF(AH82="","",AH82*AK82)</f>
        <v/>
      </c>
      <c r="AM82" s="36">
        <f>IF(OR(AH82="",S82=0),"",MIN(IF(AU82="",9.9E+99,AU82),FLOOR(AL82/S82,1)))</f>
        <v/>
      </c>
      <c r="AN82" s="40">
        <f>IF(AM82="","",AM82*IF(ABS(MOD(ABS((U82)),1)-0.5)&lt;1E-9,2*ROUND((U82)/2,0),ROUND((U82),0)))</f>
        <v/>
      </c>
      <c r="AO82" s="38">
        <f>IF(OR(AH82="",S82=0),"",MIN(IF(AU82="",9.9E+99,AU82),AL82/S82))</f>
        <v/>
      </c>
      <c r="AP82" s="40">
        <f>IF(AO82="","",AO82*IF(B82="South Korea",IF(ABS(MOD(ABS((U82)),1)-0.5)&lt;1E-9,2*ROUND((U82)/2,0),ROUND((U82),0)),U82))</f>
        <v/>
      </c>
      <c r="AQ82" s="42" t="n"/>
      <c r="AR82" s="34" t="inlineStr">
        <is>
          <t>Grounded</t>
        </is>
      </c>
      <c r="AS82" s="43" t="n"/>
      <c r="AT82" s="43" t="n"/>
      <c r="AU82" s="44" t="n"/>
      <c r="AV82" s="45">
        <f>IF(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&lt;=0,"",VLOOKUP(B82,country_opex,7,FALSE)/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)</f>
        <v/>
      </c>
      <c r="AW82" s="45">
        <f>IF(((T82*pax_cap*IF(B82="South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Korea",korea_mid_revleg,revleg_mid)),0))*VLOOKUP(B82,country_opex,3,FALSE))+W82+X82+Y82+Z82+AA82))&lt;=0,"",VLOOKUP(B82,country_opex,7,FALSE)/((T82*pax_cap*IF(B82="South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Korea",korea_mid_revleg,revleg_mid)),0))*VLOOKUP(B82,country_opex,3,FALSE))+W82+X82+Y82+Z82+AA82)))</f>
        <v/>
      </c>
      <c r="AX82" s="45">
        <f>IF(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&lt;=0,"",VLOOKUP(B82,country_opex,7,FALSE)/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)</f>
        <v/>
      </c>
      <c r="AY82" s="46" t="inlineStr">
        <is>
          <t>Tanah Merah↔Desaru Coast ferry (BatamFast). Fare ladder: promo/budget SGD26 (busonlineticket); standard one-way SGD50 (Traveloka); full published one-way ~SGD58-70 (redBus 'from SGD70', instarem breakdown base SGD68). Single operator, essentially single-class fast ferry serving Desaru Coast luxury resorts (One&amp;Only, Anantara, Westin). Whole-vessel charter excluded (150-338 pax ferries).</t>
        </is>
      </c>
      <c r="AZ82" s="46" t="n"/>
      <c r="BA82" s="34" t="inlineStr">
        <is>
          <t>rn-5d1a30fbb0a9</t>
        </is>
      </c>
    </row>
    <row r="83">
      <c r="A83" s="31" t="inlineStr">
        <is>
          <t>Taiwan</t>
        </is>
      </c>
      <c r="B83" s="31" t="inlineStr">
        <is>
          <t>Taiwan</t>
        </is>
      </c>
      <c r="C83" s="32" t="inlineStr">
        <is>
          <t>Magong (Penghu) → Penghu inter-island (Xiyu / Baisha loop)</t>
        </is>
      </c>
      <c r="D83" s="33" t="n">
        <v>12</v>
      </c>
      <c r="E83" s="27" t="n">
        <v>38.7</v>
      </c>
      <c r="F83" s="34" t="inlineStr">
        <is>
          <t>T3</t>
        </is>
      </c>
      <c r="G83" s="34" t="inlineStr">
        <is>
          <t>med</t>
        </is>
      </c>
      <c r="H83" s="20" t="n">
        <v>1</v>
      </c>
      <c r="I83" s="35">
        <f>60*D83/cruise_kt</f>
        <v/>
      </c>
      <c r="J83" s="35">
        <f>IF(B83="South Korea",D83/korea_charge_range_nm*korea_full_range_charge_min,0)</f>
        <v/>
      </c>
      <c r="K83" s="35">
        <f>IF(B83="South Korea",I83+korea_turn_min+korea_dwell_min+J83,I83+turn_min+dwell_min)</f>
        <v/>
      </c>
      <c r="L83" s="36">
        <f>IF(B83="South Korea",FLOOR(60*korea_service_hr/K83,1),MIN(15,FLOOR(60*service_hr/K83,1)))</f>
        <v/>
      </c>
      <c r="M83" s="36">
        <f>IF(ABS(MOD(ABS((365*mech_uptime*H83)),1)-0.5)&lt;1E-9,2*ROUND((365*mech_uptime*H83)/2,0),ROUND((365*mech_uptime*H83),0))</f>
        <v/>
      </c>
      <c r="N83" s="37">
        <f>mech_uptime</f>
        <v/>
      </c>
      <c r="O83" s="37">
        <f>IF(AND(B83="South Korea",scenario="MID"),korea_mid_revleg,revleg_sel)</f>
        <v/>
      </c>
      <c r="P83" s="36">
        <f>IF(ABS(MOD(ABS((L83*M83*O83)),1)-0.5)&lt;1E-9,2*ROUND((L83*M83*O83)/2,0),ROUND((L83*M83*O83),0))</f>
        <v/>
      </c>
      <c r="Q83" s="37">
        <f>IF(AND(B83="South Korea",scenario="MID"),korea_mid_load,load_sel)</f>
        <v/>
      </c>
      <c r="R83" s="38">
        <f>pax_cap*Q83</f>
        <v/>
      </c>
      <c r="S83" s="36">
        <f>R83*P83</f>
        <v/>
      </c>
      <c r="T83" s="39">
        <f>E83*discount</f>
        <v/>
      </c>
      <c r="U83" s="40">
        <f>T83*S83</f>
        <v/>
      </c>
      <c r="V83" s="40">
        <f>(battery/range_nm)*D83*P83*VLOOKUP(B83,country_opex,3,FALSE)</f>
        <v/>
      </c>
      <c r="W83" s="40">
        <f>VLOOKUP(B83,country_opex,2,FALSE)*crew_factor</f>
        <v/>
      </c>
      <c r="X83" s="40">
        <f>VLOOKUP(B83,country_opex,5,FALSE)</f>
        <v/>
      </c>
      <c r="Y83" s="40">
        <f>maint</f>
        <v/>
      </c>
      <c r="Z83" s="40">
        <f>VLOOKUP(B83,country_opex,7,FALSE)*ins_pct</f>
        <v/>
      </c>
      <c r="AA83" s="40">
        <f>charge_berth</f>
        <v/>
      </c>
      <c r="AB83" s="40">
        <f>V83+W83+X83+Y83+Z83+AA83</f>
        <v/>
      </c>
      <c r="AC83" s="40">
        <f>VLOOKUP(B83,country_opex,7,FALSE)/dep_years</f>
        <v/>
      </c>
      <c r="AD83" s="40">
        <f>U83-AB83</f>
        <v/>
      </c>
      <c r="AE83" s="37">
        <f>IF(U83=0,"",AD83/U83)</f>
        <v/>
      </c>
      <c r="AF83" s="38">
        <f>IF(AD83&lt;=0,"",VLOOKUP(B83,country_opex,7,FALSE)/AD83)</f>
        <v/>
      </c>
      <c r="AG83" s="35">
        <f>((D83*P83/diesel_nmpg)*diesel_co2pg-(battery/range_nm)*D83*P83*VLOOKUP(B83,country_opex,4,FALSE))/1000</f>
        <v/>
      </c>
      <c r="AH83" s="33" t="n">
        <v>19226</v>
      </c>
      <c r="AI83" s="34" t="inlineStr">
        <is>
          <t>T2</t>
        </is>
      </c>
      <c r="AJ83" s="34" t="inlineStr">
        <is>
          <t>low</t>
        </is>
      </c>
      <c r="AK83" s="41" t="n">
        <v>0.1</v>
      </c>
      <c r="AL83" s="36">
        <f>IF(AH83="","",AH83*AK83)</f>
        <v/>
      </c>
      <c r="AM83" s="36">
        <f>IF(OR(AH83="",S83=0),"",MIN(IF(AU83="",9.9E+99,AU83),FLOOR(AL83/S83,1)))</f>
        <v/>
      </c>
      <c r="AN83" s="40">
        <f>IF(AM83="","",AM83*IF(ABS(MOD(ABS((U83)),1)-0.5)&lt;1E-9,2*ROUND((U83)/2,0),ROUND((U83),0)))</f>
        <v/>
      </c>
      <c r="AO83" s="38">
        <f>IF(OR(AH83="",S83=0),"",MIN(IF(AU83="",9.9E+99,AU83),AL83/S83))</f>
        <v/>
      </c>
      <c r="AP83" s="40">
        <f>IF(AO83="","",AO83*IF(B83="South Korea",IF(ABS(MOD(ABS((U83)),1)-0.5)&lt;1E-9,2*ROUND((U83)/2,0),ROUND((U83),0)),U83))</f>
        <v/>
      </c>
      <c r="AQ83" s="42" t="n"/>
      <c r="AR83" s="34" t="inlineStr">
        <is>
          <t>Grounded</t>
        </is>
      </c>
      <c r="AS83" s="43" t="n"/>
      <c r="AT83" s="43" t="n"/>
      <c r="AU83" s="44" t="n"/>
      <c r="AV83" s="45">
        <f>IF(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&lt;=0,"",VLOOKUP(B83,country_opex,7,FALSE)/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)</f>
        <v/>
      </c>
      <c r="AW83" s="45">
        <f>IF(((T83*pax_cap*IF(B83="South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Korea",korea_mid_revleg,revleg_mid)),0))*VLOOKUP(B83,country_opex,3,FALSE))+W83+X83+Y83+Z83+AA83))&lt;=0,"",VLOOKUP(B83,country_opex,7,FALSE)/((T83*pax_cap*IF(B83="South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Korea",korea_mid_revleg,revleg_mid)),0))*VLOOKUP(B83,country_opex,3,FALSE))+W83+X83+Y83+Z83+AA83)))</f>
        <v/>
      </c>
      <c r="AX83" s="45">
        <f>IF(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&lt;=0,"",VLOOKUP(B83,country_opex,7,FALSE)/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)</f>
        <v/>
      </c>
      <c r="AY83" s="46" t="inlineStr">
        <is>
          <t>Liquid per-seat island-hop market on Klook/KKday/agencies: Penghu North-Sea island-hopping day cruise (北海跳島一日遊 - cross-sea bridge, Tiejian islet seabird cruise, Jibei landing; Xinyang speedboat from Guangzheng pier) NT$1,250-1,300/pax (play88go/Klook 55995); East-Sea day tours (員貝/澎澎灘, lobster/oyster experience) ~NT$1,000-1,300 (KKday); KKday 澎湖跳島一日遊 from NT$1,300. Transport-only floor: Chikan(Baisha)-Jibei speedboat NT$450 RT (~NT$225/leg, seasonal, Qifeng/New North Sea boats); bundles boat+scooter+activity NT$599-759 (ezpenghu).</t>
        </is>
      </c>
      <c r="AZ83" s="46" t="inlineStr">
        <is>
          <t>Penghu County Govt / Tourism Administration scenic-stats bulletin (DGBAS form 20702-01-01, Dec-2025 cumulative): North Sea Visitor Center &amp; surrounds (北海遊客中心及周邊地區, Chikan/Baisha - departure point for Jibei/Mudou north-sea boats) 19,226 visitors in 2025. CAVEAT: center under reconstruction since Oct-2023 (services moved to Houliao temporary center) -&gt; material under-count; trade sources describe 'thousands daily' into Jibei in peak season historically.</t>
        </is>
      </c>
      <c r="BA83" s="34" t="n"/>
    </row>
    <row r="84">
      <c r="A84" s="31" t="inlineStr">
        <is>
          <t>Taiwan</t>
        </is>
      </c>
      <c r="B84" s="31" t="inlineStr">
        <is>
          <t>Taiwan</t>
        </is>
      </c>
      <c r="C84" s="32" t="inlineStr">
        <is>
          <t>Magong (Penghu) → Penghu outer islands (Qimei / Wang'an)</t>
        </is>
      </c>
      <c r="D84" s="33" t="n">
        <v>23.12</v>
      </c>
      <c r="E84" s="27" t="n">
        <v>15</v>
      </c>
      <c r="F84" s="34" t="inlineStr">
        <is>
          <t>T1</t>
        </is>
      </c>
      <c r="G84" s="34" t="inlineStr">
        <is>
          <t>med</t>
        </is>
      </c>
      <c r="H84" s="20" t="n">
        <v>1</v>
      </c>
      <c r="I84" s="35">
        <f>60*D84/cruise_kt</f>
        <v/>
      </c>
      <c r="J84" s="35">
        <f>IF(B84="South Korea",D84/korea_charge_range_nm*korea_full_range_charge_min,0)</f>
        <v/>
      </c>
      <c r="K84" s="35">
        <f>IF(B84="South Korea",I84+korea_turn_min+korea_dwell_min+J84,I84+turn_min+dwell_min)</f>
        <v/>
      </c>
      <c r="L84" s="36">
        <f>IF(B84="South Korea",FLOOR(60*korea_service_hr/K84,1),MIN(15,FLOOR(60*service_hr/K84,1)))</f>
        <v/>
      </c>
      <c r="M84" s="36">
        <f>IF(ABS(MOD(ABS((365*mech_uptime*H84)),1)-0.5)&lt;1E-9,2*ROUND((365*mech_uptime*H84)/2,0),ROUND((365*mech_uptime*H84),0))</f>
        <v/>
      </c>
      <c r="N84" s="37">
        <f>mech_uptime</f>
        <v/>
      </c>
      <c r="O84" s="37">
        <f>IF(AND(B84="South Korea",scenario="MID"),korea_mid_revleg,revleg_sel)</f>
        <v/>
      </c>
      <c r="P84" s="36">
        <f>IF(ABS(MOD(ABS((L84*M84*O84)),1)-0.5)&lt;1E-9,2*ROUND((L84*M84*O84)/2,0),ROUND((L84*M84*O84),0))</f>
        <v/>
      </c>
      <c r="Q84" s="37">
        <f>IF(AND(B84="South Korea",scenario="MID"),korea_mid_load,load_sel)</f>
        <v/>
      </c>
      <c r="R84" s="38">
        <f>pax_cap*Q84</f>
        <v/>
      </c>
      <c r="S84" s="36">
        <f>R84*P84</f>
        <v/>
      </c>
      <c r="T84" s="39">
        <f>E84*discount</f>
        <v/>
      </c>
      <c r="U84" s="40">
        <f>T84*S84</f>
        <v/>
      </c>
      <c r="V84" s="40">
        <f>(battery/range_nm)*D84*P84*VLOOKUP(B84,country_opex,3,FALSE)</f>
        <v/>
      </c>
      <c r="W84" s="40">
        <f>VLOOKUP(B84,country_opex,2,FALSE)*crew_factor</f>
        <v/>
      </c>
      <c r="X84" s="40">
        <f>VLOOKUP(B84,country_opex,5,FALSE)</f>
        <v/>
      </c>
      <c r="Y84" s="40">
        <f>maint</f>
        <v/>
      </c>
      <c r="Z84" s="40">
        <f>VLOOKUP(B84,country_opex,7,FALSE)*ins_pct</f>
        <v/>
      </c>
      <c r="AA84" s="40">
        <f>charge_berth</f>
        <v/>
      </c>
      <c r="AB84" s="40">
        <f>V84+W84+X84+Y84+Z84+AA84</f>
        <v/>
      </c>
      <c r="AC84" s="40">
        <f>VLOOKUP(B84,country_opex,7,FALSE)/dep_years</f>
        <v/>
      </c>
      <c r="AD84" s="40">
        <f>U84-AB84</f>
        <v/>
      </c>
      <c r="AE84" s="37">
        <f>IF(U84=0,"",AD84/U84)</f>
        <v/>
      </c>
      <c r="AF84" s="38">
        <f>IF(AD84&lt;=0,"",VLOOKUP(B84,country_opex,7,FALSE)/AD84)</f>
        <v/>
      </c>
      <c r="AG84" s="35">
        <f>((D84*P84/diesel_nmpg)*diesel_co2pg-(battery/range_nm)*D84*P84*VLOOKUP(B84,country_opex,4,FALSE))/1000</f>
        <v/>
      </c>
      <c r="AH84" s="33" t="n">
        <v>176528</v>
      </c>
      <c r="AI84" s="34" t="inlineStr">
        <is>
          <t>T2</t>
        </is>
      </c>
      <c r="AJ84" s="34" t="inlineStr">
        <is>
          <t>med-low</t>
        </is>
      </c>
      <c r="AK84" s="41" t="n">
        <v>0.1</v>
      </c>
      <c r="AL84" s="36">
        <f>IF(AH84="","",AH84*AK84)</f>
        <v/>
      </c>
      <c r="AM84" s="36">
        <f>IF(OR(AH84="",S84=0),"",MIN(IF(AU84="",9.9E+99,AU84),FLOOR(AL84/S84,1)))</f>
        <v/>
      </c>
      <c r="AN84" s="40">
        <f>IF(AM84="","",AM84*IF(ABS(MOD(ABS((U84)),1)-0.5)&lt;1E-9,2*ROUND((U84)/2,0),ROUND((U84),0)))</f>
        <v/>
      </c>
      <c r="AO84" s="38">
        <f>IF(OR(AH84="",S84=0),"",MIN(IF(AU84="",9.9E+99,AU84),AL84/S84))</f>
        <v/>
      </c>
      <c r="AP84" s="40">
        <f>IF(AO84="","",AO84*IF(B84="South Korea",IF(ABS(MOD(ABS((U84)),1)-0.5)&lt;1E-9,2*ROUND((U84)/2,0),ROUND((U84),0)),U84))</f>
        <v/>
      </c>
      <c r="AQ84" s="42" t="n"/>
      <c r="AR84" s="34" t="inlineStr">
        <is>
          <t>Grounded</t>
        </is>
      </c>
      <c r="AS84" s="43" t="n"/>
      <c r="AT84" s="43" t="n"/>
      <c r="AU84" s="44" t="n"/>
      <c r="AV84" s="45">
        <f>IF(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&lt;=0,"",VLOOKUP(B84,country_opex,7,FALSE)/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)</f>
        <v/>
      </c>
      <c r="AW84" s="45">
        <f>IF(((T84*pax_cap*IF(B84="South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Korea",korea_mid_revleg,revleg_mid)),0))*VLOOKUP(B84,country_opex,3,FALSE))+W84+X84+Y84+Z84+AA84))&lt;=0,"",VLOOKUP(B84,country_opex,7,FALSE)/((T84*pax_cap*IF(B84="South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Korea",korea_mid_revleg,revleg_mid)),0))*VLOOKUP(B84,country_opex,3,FALSE))+W84+X84+Y84+Z84+AA84)))</f>
        <v/>
      </c>
      <c r="AX84" s="45">
        <f>IF(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&lt;=0,"",VLOOKUP(B84,country_opex,7,FALSE)/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)</f>
        <v/>
      </c>
      <c r="AY84" s="46" t="inlineStr">
        <is>
          <t>Penghu NSA / 公車處 official one-way fares: Magong-&gt;Qimei NT$437/person, Magong-&gt;Wang'an NT$272/person (public 交通船). Private fast 快艇 / island-hop day tours run NT$709-900 incl scooter (ezpenghu, EIT, goplay). Premium per-seat fast-boat transfer on the 18nm Magong-&gt;Qimei leg ~NT$485 (~$15).</t>
        </is>
      </c>
      <c r="AZ84" s="46" t="inlineStr">
        <is>
          <t>Penghu County Govt / Tourism Administration scenic-stats monthly bulletin (DGBAS form 20702-01-01, Dec-2025 cumulative): South Sea Visitor Center &amp; surrounds (南海遊客中心及周邊地區 - the Magong departure terminal for all Qimei/Wang'an/Tongpan/Hujing tourist boats) 176,528 visitors in 2025. Cross-refs same table: Wang'an scenic area 20,054, Qimei scenic area 10,808 (on-island spot counters, likely under-count). Historic: South Sea VC ~393k/yr in 2014 (county bulletin 104-04) - pool roughly halved over a decade.</t>
        </is>
      </c>
      <c r="BA84" s="34" t="inlineStr">
        <is>
          <t>ics-25ecef3e3b</t>
        </is>
      </c>
    </row>
    <row r="85">
      <c r="A85" s="31" t="inlineStr">
        <is>
          <t>Taiwan</t>
        </is>
      </c>
      <c r="B85" s="31" t="inlineStr">
        <is>
          <t>Taiwan</t>
        </is>
      </c>
      <c r="C85" s="32" t="inlineStr">
        <is>
          <t>Budai (Chiayi) → Magong (Penghu)</t>
        </is>
      </c>
      <c r="D85" s="33" t="n">
        <v>33</v>
      </c>
      <c r="E85" s="27" t="n">
        <v>31.6</v>
      </c>
      <c r="F85" s="34" t="inlineStr">
        <is>
          <t>T1</t>
        </is>
      </c>
      <c r="G85" s="34" t="inlineStr">
        <is>
          <t>med-high</t>
        </is>
      </c>
      <c r="H85" s="20" t="n">
        <v>1</v>
      </c>
      <c r="I85" s="35">
        <f>60*D85/cruise_kt</f>
        <v/>
      </c>
      <c r="J85" s="35">
        <f>IF(B85="South Korea",D85/korea_charge_range_nm*korea_full_range_charge_min,0)</f>
        <v/>
      </c>
      <c r="K85" s="35">
        <f>IF(B85="South Korea",I85+korea_turn_min+korea_dwell_min+J85,I85+turn_min+dwell_min)</f>
        <v/>
      </c>
      <c r="L85" s="36">
        <f>IF(B85="South Korea",FLOOR(60*korea_service_hr/K85,1),MIN(15,FLOOR(60*service_hr/K85,1)))</f>
        <v/>
      </c>
      <c r="M85" s="36">
        <f>IF(ABS(MOD(ABS((365*mech_uptime*H85)),1)-0.5)&lt;1E-9,2*ROUND((365*mech_uptime*H85)/2,0),ROUND((365*mech_uptime*H85),0))</f>
        <v/>
      </c>
      <c r="N85" s="37">
        <f>mech_uptime</f>
        <v/>
      </c>
      <c r="O85" s="37">
        <f>IF(AND(B85="South Korea",scenario="MID"),korea_mid_revleg,revleg_sel)</f>
        <v/>
      </c>
      <c r="P85" s="36">
        <f>IF(ABS(MOD(ABS((L85*M85*O85)),1)-0.5)&lt;1E-9,2*ROUND((L85*M85*O85)/2,0),ROUND((L85*M85*O85),0))</f>
        <v/>
      </c>
      <c r="Q85" s="37">
        <f>IF(AND(B85="South Korea",scenario="MID"),korea_mid_load,load_sel)</f>
        <v/>
      </c>
      <c r="R85" s="38">
        <f>pax_cap*Q85</f>
        <v/>
      </c>
      <c r="S85" s="36">
        <f>R85*P85</f>
        <v/>
      </c>
      <c r="T85" s="39">
        <f>E85*discount</f>
        <v/>
      </c>
      <c r="U85" s="40">
        <f>T85*S85</f>
        <v/>
      </c>
      <c r="V85" s="40">
        <f>(battery/range_nm)*D85*P85*VLOOKUP(B85,country_opex,3,FALSE)</f>
        <v/>
      </c>
      <c r="W85" s="40">
        <f>VLOOKUP(B85,country_opex,2,FALSE)*crew_factor</f>
        <v/>
      </c>
      <c r="X85" s="40">
        <f>VLOOKUP(B85,country_opex,5,FALSE)</f>
        <v/>
      </c>
      <c r="Y85" s="40">
        <f>maint</f>
        <v/>
      </c>
      <c r="Z85" s="40">
        <f>VLOOKUP(B85,country_opex,7,FALSE)*ins_pct</f>
        <v/>
      </c>
      <c r="AA85" s="40">
        <f>charge_berth</f>
        <v/>
      </c>
      <c r="AB85" s="40">
        <f>V85+W85+X85+Y85+Z85+AA85</f>
        <v/>
      </c>
      <c r="AC85" s="40">
        <f>VLOOKUP(B85,country_opex,7,FALSE)/dep_years</f>
        <v/>
      </c>
      <c r="AD85" s="40">
        <f>U85-AB85</f>
        <v/>
      </c>
      <c r="AE85" s="37">
        <f>IF(U85=0,"",AD85/U85)</f>
        <v/>
      </c>
      <c r="AF85" s="38">
        <f>IF(AD85&lt;=0,"",VLOOKUP(B85,country_opex,7,FALSE)/AD85)</f>
        <v/>
      </c>
      <c r="AG85" s="35">
        <f>((D85*P85/diesel_nmpg)*diesel_co2pg-(battery/range_nm)*D85*P85*VLOOKUP(B85,country_opex,4,FALSE))/1000</f>
        <v/>
      </c>
      <c r="AH85" s="33" t="n">
        <v>500342</v>
      </c>
      <c r="AI85" s="34" t="inlineStr">
        <is>
          <t>T2</t>
        </is>
      </c>
      <c r="AJ85" s="34" t="inlineStr">
        <is>
          <t>high</t>
        </is>
      </c>
      <c r="AK85" s="41" t="n">
        <v>0.1</v>
      </c>
      <c r="AL85" s="36">
        <f>IF(AH85="","",AH85*AK85)</f>
        <v/>
      </c>
      <c r="AM85" s="36">
        <f>IF(OR(AH85="",S85=0),"",MIN(IF(AU85="",9.9E+99,AU85),FLOOR(AL85/S85,1)))</f>
        <v/>
      </c>
      <c r="AN85" s="40">
        <f>IF(AM85="","",AM85*IF(ABS(MOD(ABS((U85)),1)-0.5)&lt;1E-9,2*ROUND((U85)/2,0),ROUND((U85),0)))</f>
        <v/>
      </c>
      <c r="AO85" s="38">
        <f>IF(OR(AH85="",S85=0),"",MIN(IF(AU85="",9.9E+99,AU85),AL85/S85))</f>
        <v/>
      </c>
      <c r="AP85" s="40">
        <f>IF(AO85="","",AO85*IF(B85="South Korea",IF(ABS(MOD(ABS((U85)),1)-0.5)&lt;1E-9,2*ROUND((U85)/2,0),ROUND((U85),0)),U85))</f>
        <v/>
      </c>
      <c r="AQ85" s="42" t="n"/>
      <c r="AR85" s="34" t="inlineStr">
        <is>
          <t>Grounded</t>
        </is>
      </c>
      <c r="AS85" s="43" t="n"/>
      <c r="AT85" s="43" t="n"/>
      <c r="AU85" s="44" t="n"/>
      <c r="AV85" s="45">
        <f>IF(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&lt;=0,"",VLOOKUP(B85,country_opex,7,FALSE)/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)</f>
        <v/>
      </c>
      <c r="AW85" s="45">
        <f>IF(((T85*pax_cap*IF(B85="South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Korea",korea_mid_revleg,revleg_mid)),0))*VLOOKUP(B85,country_opex,3,FALSE))+W85+X85+Y85+Z85+AA85))&lt;=0,"",VLOOKUP(B85,country_opex,7,FALSE)/((T85*pax_cap*IF(B85="South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Korea",korea_mid_revleg,revleg_mid)),0))*VLOOKUP(B85,country_opex,3,FALSE))+W85+X85+Y85+Z85+AA85)))</f>
        <v/>
      </c>
      <c r="AX85" s="45">
        <f>IF(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&lt;=0,"",VLOOKUP(B85,country_opex,7,FALSE)/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)</f>
        <v/>
      </c>
      <c r="AY85" s="46" t="inlineStr">
        <is>
          <t>Baili Shipping (百麗航運/Pescadores Ferry, 'Clouded Leopard 雲豹' &amp; 'Blue Magpie 藍鵲' fast catamarans) official 2026 (ROC115) tariff, pescadoresferry.com.tw: BUSINESS class (商務艙) Budai-&gt;Magong NT$1,020 one-way (RT NT$2,340 list / NT$1,989 web); economy NT$850 one-way (RT NT$1,950/NT$1,658). Joint fleet (All Star 滿天星, Triumph 凱旋, Taiji Star 太吉之星) standard single-class NT$1,000 one-way, 80-90 min (Penghu NSA English fare page, trip.com, taijistar.com.tw). KKday/Klook live listings from NT$730+.</t>
        </is>
      </c>
      <c r="AZ85" s="46" t="inlineStr">
        <is>
          <t>Taiwan International Ports Corp (TIPC) Budai Harbor Office official counts - Budai port passengers are ~all Budai-Magong domestic ferry: 2025 season 500,342 in/out pax (udn citing TIPC); 2024 season 523,772 (LTN); 2023 record 619,000+ (MOTC press: 'historic high 61.9萬人次'); pre-Covid 2019 590,158 (TIPC kh.twport.com.tw table). TIPC 2036 forecast 594k/yr.</t>
        </is>
      </c>
      <c r="BA85" s="34" t="n"/>
    </row>
    <row r="86">
      <c r="A86" s="31" t="inlineStr">
        <is>
          <t>Bangkok</t>
        </is>
      </c>
      <c r="B86" s="31" t="inlineStr">
        <is>
          <t>Thailand</t>
        </is>
      </c>
      <c r="C86" s="32" t="inlineStr">
        <is>
          <t>Sathorn (Central) Pier → Phra Arthit Pier</t>
        </is>
      </c>
      <c r="D86" s="33" t="n">
        <v>2.9</v>
      </c>
      <c r="E86" s="27" t="n">
        <v>18</v>
      </c>
      <c r="F86" s="34" t="inlineStr">
        <is>
          <t>T1</t>
        </is>
      </c>
      <c r="G86" s="34" t="inlineStr">
        <is>
          <t>high</t>
        </is>
      </c>
      <c r="H86" s="20" t="n">
        <v>1</v>
      </c>
      <c r="I86" s="35">
        <f>60*D86/cruise_kt</f>
        <v/>
      </c>
      <c r="J86" s="35">
        <f>IF(B86="South Korea",D86/korea_charge_range_nm*korea_full_range_charge_min,0)</f>
        <v/>
      </c>
      <c r="K86" s="35">
        <f>IF(B86="South Korea",I86+korea_turn_min+korea_dwell_min+J86,I86+turn_min+dwell_min)</f>
        <v/>
      </c>
      <c r="L86" s="36">
        <f>IF(B86="South Korea",FLOOR(60*korea_service_hr/K86,1),MIN(15,FLOOR(60*service_hr/K86,1)))</f>
        <v/>
      </c>
      <c r="M86" s="36">
        <f>IF(ABS(MOD(ABS((365*mech_uptime*H86)),1)-0.5)&lt;1E-9,2*ROUND((365*mech_uptime*H86)/2,0),ROUND((365*mech_uptime*H86),0))</f>
        <v/>
      </c>
      <c r="N86" s="37">
        <f>mech_uptime</f>
        <v/>
      </c>
      <c r="O86" s="37">
        <f>IF(AND(B86="South Korea",scenario="MID"),korea_mid_revleg,revleg_sel)</f>
        <v/>
      </c>
      <c r="P86" s="36">
        <f>IF(ABS(MOD(ABS((L86*M86*O86)),1)-0.5)&lt;1E-9,2*ROUND((L86*M86*O86)/2,0),ROUND((L86*M86*O86),0))</f>
        <v/>
      </c>
      <c r="Q86" s="37">
        <f>IF(AND(B86="South Korea",scenario="MID"),korea_mid_load,load_sel)</f>
        <v/>
      </c>
      <c r="R86" s="38">
        <f>pax_cap*Q86</f>
        <v/>
      </c>
      <c r="S86" s="36">
        <f>R86*P86</f>
        <v/>
      </c>
      <c r="T86" s="39">
        <f>E86*discount</f>
        <v/>
      </c>
      <c r="U86" s="40">
        <f>T86*S86</f>
        <v/>
      </c>
      <c r="V86" s="40">
        <f>(battery/range_nm)*D86*P86*VLOOKUP(B86,country_opex,3,FALSE)</f>
        <v/>
      </c>
      <c r="W86" s="40">
        <f>VLOOKUP(B86,country_opex,2,FALSE)*crew_factor</f>
        <v/>
      </c>
      <c r="X86" s="40">
        <f>VLOOKUP(B86,country_opex,5,FALSE)</f>
        <v/>
      </c>
      <c r="Y86" s="40">
        <f>maint</f>
        <v/>
      </c>
      <c r="Z86" s="40">
        <f>VLOOKUP(B86,country_opex,7,FALSE)*ins_pct</f>
        <v/>
      </c>
      <c r="AA86" s="40">
        <f>charge_berth</f>
        <v/>
      </c>
      <c r="AB86" s="40">
        <f>V86+W86+X86+Y86+Z86+AA86</f>
        <v/>
      </c>
      <c r="AC86" s="40">
        <f>VLOOKUP(B86,country_opex,7,FALSE)/dep_years</f>
        <v/>
      </c>
      <c r="AD86" s="40">
        <f>U86-AB86</f>
        <v/>
      </c>
      <c r="AE86" s="37">
        <f>IF(U86=0,"",AD86/U86)</f>
        <v/>
      </c>
      <c r="AF86" s="38">
        <f>IF(AD86&lt;=0,"",VLOOKUP(B86,country_opex,7,FALSE)/AD86)</f>
        <v/>
      </c>
      <c r="AG86" s="35">
        <f>((D86*P86/diesel_nmpg)*diesel_co2pg-(battery/range_nm)*D86*P86*VLOOKUP(B86,country_opex,4,FALSE))/1000</f>
        <v/>
      </c>
      <c r="AH86" s="33" t="n">
        <v>1100000</v>
      </c>
      <c r="AI86" s="34" t="n"/>
      <c r="AJ86" s="34" t="n"/>
      <c r="AK86" s="41" t="n">
        <v>0.1</v>
      </c>
      <c r="AL86" s="36">
        <f>IF(AH86="","",AH86*AK86)</f>
        <v/>
      </c>
      <c r="AM86" s="36">
        <f>IF(OR(AH86="",S86=0),"",MIN(IF(AU86="",9.9E+99,AU86),FLOOR(AL86/S86,1)))</f>
        <v/>
      </c>
      <c r="AN86" s="40">
        <f>IF(AM86="","",AM86*IF(ABS(MOD(ABS((U86)),1)-0.5)&lt;1E-9,2*ROUND((U86)/2,0),ROUND((U86),0)))</f>
        <v/>
      </c>
      <c r="AO86" s="38">
        <f>IF(OR(AH86="",S86=0),"",MIN(IF(AU86="",9.9E+99,AU86),AL86/S86))</f>
        <v/>
      </c>
      <c r="AP86" s="40">
        <f>IF(AO86="","",AO86*IF(B86="South Korea",IF(ABS(MOD(ABS((U86)),1)-0.5)&lt;1E-9,2*ROUND((U86)/2,0),ROUND((U86),0)),U86))</f>
        <v/>
      </c>
      <c r="AQ86" s="42" t="n"/>
      <c r="AR86" s="34" t="inlineStr">
        <is>
          <t>Grounded</t>
        </is>
      </c>
      <c r="AS86" s="43" t="n"/>
      <c r="AT86" s="43" t="n"/>
      <c r="AU86" s="44" t="n"/>
      <c r="AV86" s="45">
        <f>IF(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&lt;=0,"",VLOOKUP(B86,country_opex,7,FALSE)/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)</f>
        <v/>
      </c>
      <c r="AW86" s="45">
        <f>IF(((T86*pax_cap*IF(B86="South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Korea",korea_mid_revleg,revleg_mid)),0))*VLOOKUP(B86,country_opex,3,FALSE))+W86+X86+Y86+Z86+AA86))&lt;=0,"",VLOOKUP(B86,country_opex,7,FALSE)/((T86*pax_cap*IF(B86="South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Korea",korea_mid_revleg,revleg_mid)),0))*VLOOKUP(B86,country_opex,3,FALSE))+W86+X86+Y86+Z86+AA86)))</f>
        <v/>
      </c>
      <c r="AX86" s="45">
        <f>IF(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&lt;=0,"",VLOOKUP(B86,country_opex,7,FALSE)/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)</f>
        <v/>
      </c>
      <c r="AY86" s="46" t="inlineStr">
        <is>
          <t>[LB-255 PREMIUM RE-FARE: subsidized comparable $4.4 lifted to premium on-demand floor $18.0] Operator site chaophrayatouristboat.com/tourist_boat: 'All Day River Pass 150 Baht from normal price 225 Baht'; single-journey 40 THB (from 45). Booth price 150 THB corroborated by TripAdvisor review Oct-2025.</t>
        </is>
      </c>
      <c r="AZ86" s="46" t="n"/>
      <c r="BA86" s="34" t="inlineStr">
        <is>
          <t>gcn-e299366426-shared</t>
        </is>
      </c>
    </row>
    <row r="87">
      <c r="A87" s="31" t="inlineStr">
        <is>
          <t>Bangkok</t>
        </is>
      </c>
      <c r="B87" s="31" t="inlineStr">
        <is>
          <t>Thailand</t>
        </is>
      </c>
      <c r="C87" s="32" t="inlineStr">
        <is>
          <t>ICONSIAM Pier (Chao Phraya) → ICONSIAM Pier (Chao Phraya)</t>
        </is>
      </c>
      <c r="D87" s="33" t="n">
        <v>5.3</v>
      </c>
      <c r="E87" s="27" t="n">
        <v>35</v>
      </c>
      <c r="F87" s="34" t="inlineStr">
        <is>
          <t>T2</t>
        </is>
      </c>
      <c r="G87" s="34" t="inlineStr">
        <is>
          <t>med</t>
        </is>
      </c>
      <c r="H87" s="20" t="n">
        <v>1</v>
      </c>
      <c r="I87" s="35">
        <f>60*D87/cruise_kt</f>
        <v/>
      </c>
      <c r="J87" s="35">
        <f>IF(B87="South Korea",D87/korea_charge_range_nm*korea_full_range_charge_min,0)</f>
        <v/>
      </c>
      <c r="K87" s="35">
        <f>IF(B87="South Korea",I87+korea_turn_min+korea_dwell_min+J87,I87+turn_min+dwell_min)</f>
        <v/>
      </c>
      <c r="L87" s="36">
        <f>IF(B87="South Korea",FLOOR(60*korea_service_hr/K87,1),MIN(15,FLOOR(60*service_hr/K87,1)))</f>
        <v/>
      </c>
      <c r="M87" s="36">
        <f>IF(ABS(MOD(ABS((365*mech_uptime*H87)),1)-0.5)&lt;1E-9,2*ROUND((365*mech_uptime*H87)/2,0),ROUND((365*mech_uptime*H87),0))</f>
        <v/>
      </c>
      <c r="N87" s="37">
        <f>mech_uptime</f>
        <v/>
      </c>
      <c r="O87" s="37">
        <f>IF(AND(B87="South Korea",scenario="MID"),korea_mid_revleg,revleg_sel)</f>
        <v/>
      </c>
      <c r="P87" s="36">
        <f>IF(ABS(MOD(ABS((L87*M87*O87)),1)-0.5)&lt;1E-9,2*ROUND((L87*M87*O87)/2,0),ROUND((L87*M87*O87),0))</f>
        <v/>
      </c>
      <c r="Q87" s="37">
        <f>IF(AND(B87="South Korea",scenario="MID"),korea_mid_load,load_sel)</f>
        <v/>
      </c>
      <c r="R87" s="38">
        <f>pax_cap*Q87</f>
        <v/>
      </c>
      <c r="S87" s="36">
        <f>R87*P87</f>
        <v/>
      </c>
      <c r="T87" s="39">
        <f>E87*discount</f>
        <v/>
      </c>
      <c r="U87" s="40">
        <f>T87*S87</f>
        <v/>
      </c>
      <c r="V87" s="40">
        <f>(battery/range_nm)*D87*P87*VLOOKUP(B87,country_opex,3,FALSE)</f>
        <v/>
      </c>
      <c r="W87" s="40">
        <f>VLOOKUP(B87,country_opex,2,FALSE)*crew_factor</f>
        <v/>
      </c>
      <c r="X87" s="40">
        <f>VLOOKUP(B87,country_opex,5,FALSE)</f>
        <v/>
      </c>
      <c r="Y87" s="40">
        <f>maint</f>
        <v/>
      </c>
      <c r="Z87" s="40">
        <f>VLOOKUP(B87,country_opex,7,FALSE)*ins_pct</f>
        <v/>
      </c>
      <c r="AA87" s="40">
        <f>charge_berth</f>
        <v/>
      </c>
      <c r="AB87" s="40">
        <f>V87+W87+X87+Y87+Z87+AA87</f>
        <v/>
      </c>
      <c r="AC87" s="40">
        <f>VLOOKUP(B87,country_opex,7,FALSE)/dep_years</f>
        <v/>
      </c>
      <c r="AD87" s="40">
        <f>U87-AB87</f>
        <v/>
      </c>
      <c r="AE87" s="37">
        <f>IF(U87=0,"",AD87/U87)</f>
        <v/>
      </c>
      <c r="AF87" s="38">
        <f>IF(AD87&lt;=0,"",VLOOKUP(B87,country_opex,7,FALSE)/AD87)</f>
        <v/>
      </c>
      <c r="AG87" s="35">
        <f>((D87*P87/diesel_nmpg)*diesel_co2pg-(battery/range_nm)*D87*P87*VLOOKUP(B87,country_opex,4,FALSE))/1000</f>
        <v/>
      </c>
      <c r="AH87" s="33" t="n">
        <v>1200000</v>
      </c>
      <c r="AI87" s="34" t="n"/>
      <c r="AJ87" s="34" t="n"/>
      <c r="AK87" s="41" t="n">
        <v>0.1</v>
      </c>
      <c r="AL87" s="36">
        <f>IF(AH87="","",AH87*AK87)</f>
        <v/>
      </c>
      <c r="AM87" s="36">
        <f>IF(OR(AH87="",S87=0),"",MIN(IF(AU87="",9.9E+99,AU87),FLOOR(AL87/S87,1)))</f>
        <v/>
      </c>
      <c r="AN87" s="40">
        <f>IF(AM87="","",AM87*IF(ABS(MOD(ABS((U87)),1)-0.5)&lt;1E-9,2*ROUND((U87)/2,0),ROUND((U87),0)))</f>
        <v/>
      </c>
      <c r="AO87" s="38">
        <f>IF(OR(AH87="",S87=0),"",MIN(IF(AU87="",9.9E+99,AU87),AL87/S87))</f>
        <v/>
      </c>
      <c r="AP87" s="40">
        <f>IF(AO87="","",AO87*IF(B87="South Korea",IF(ABS(MOD(ABS((U87)),1)-0.5)&lt;1E-9,2*ROUND((U87)/2,0),ROUND((U87),0)),U87))</f>
        <v/>
      </c>
      <c r="AQ87" s="42" t="n"/>
      <c r="AR87" s="34" t="inlineStr">
        <is>
          <t>Grounded</t>
        </is>
      </c>
      <c r="AS87" s="43" t="n"/>
      <c r="AT87" s="43" t="n"/>
      <c r="AU87" s="44" t="n"/>
      <c r="AV87" s="45">
        <f>IF(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&lt;=0,"",VLOOKUP(B87,country_opex,7,FALSE)/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)</f>
        <v/>
      </c>
      <c r="AW87" s="45">
        <f>IF(((T87*pax_cap*IF(B87="South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Korea",korea_mid_revleg,revleg_mid)),0))*VLOOKUP(B87,country_opex,3,FALSE))+W87+X87+Y87+Z87+AA87))&lt;=0,"",VLOOKUP(B87,country_opex,7,FALSE)/((T87*pax_cap*IF(B87="South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Korea",korea_mid_revleg,revleg_mid)),0))*VLOOKUP(B87,country_opex,3,FALSE))+W87+X87+Y87+Z87+AA87)))</f>
        <v/>
      </c>
      <c r="AX87" s="45">
        <f>IF(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&lt;=0,"",VLOOKUP(B87,country_opex,7,FALSE)/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)</f>
        <v/>
      </c>
      <c r="AY87" s="46" t="inlineStr">
        <is>
          <t>Conservative mid of the live Jun-2026 promo band across 24 listed dinner-round products (899-2,000 THB; cluster at 1,150-1,550): click2gothailand.com top-10 guide (updated 1-Jun-2026); Bangkok Chaophraya Cruise operator site lists 1,550 THB/pax rack. Navier 8-pax product would be drinks/canape-class, not galley-buffet-class, hence mid-band anchor not premium.</t>
        </is>
      </c>
      <c r="AZ87" s="46" t="n"/>
      <c r="BA87" s="34" t="inlineStr">
        <is>
          <t>gcn-334cc44485-shared</t>
        </is>
      </c>
    </row>
    <row r="88">
      <c r="A88" s="31" t="inlineStr">
        <is>
          <t>Koh Samui</t>
        </is>
      </c>
      <c r="B88" s="31" t="inlineStr">
        <is>
          <t>Thailand</t>
        </is>
      </c>
      <c r="C88" s="32" t="inlineStr">
        <is>
          <t>Samui Pralarn Pier (Mae Nam) → Koh Phangan (Thong Sala) — pier-exact</t>
        </is>
      </c>
      <c r="D88" s="33" t="n">
        <v>7.5</v>
      </c>
      <c r="E88" s="27" t="n">
        <v>35</v>
      </c>
      <c r="F88" s="34" t="n"/>
      <c r="G88" s="34" t="inlineStr">
        <is>
          <t>T1</t>
        </is>
      </c>
      <c r="H88" s="20" t="n">
        <v>1</v>
      </c>
      <c r="I88" s="35">
        <f>60*D88/cruise_kt</f>
        <v/>
      </c>
      <c r="J88" s="35">
        <f>IF(B88="South Korea",D88/korea_charge_range_nm*korea_full_range_charge_min,0)</f>
        <v/>
      </c>
      <c r="K88" s="35">
        <f>IF(B88="South Korea",I88+korea_turn_min+korea_dwell_min+J88,I88+turn_min+dwell_min)</f>
        <v/>
      </c>
      <c r="L88" s="36">
        <f>IF(B88="South Korea",FLOOR(60*korea_service_hr/K88,1),MIN(15,FLOOR(60*service_hr/K88,1)))</f>
        <v/>
      </c>
      <c r="M88" s="36">
        <f>IF(ABS(MOD(ABS((365*mech_uptime*H88)),1)-0.5)&lt;1E-9,2*ROUND((365*mech_uptime*H88)/2,0),ROUND((365*mech_uptime*H88),0))</f>
        <v/>
      </c>
      <c r="N88" s="37">
        <f>mech_uptime</f>
        <v/>
      </c>
      <c r="O88" s="37">
        <f>IF(AND(B88="South Korea",scenario="MID"),korea_mid_revleg,revleg_sel)</f>
        <v/>
      </c>
      <c r="P88" s="36">
        <f>IF(ABS(MOD(ABS((L88*M88*O88)),1)-0.5)&lt;1E-9,2*ROUND((L88*M88*O88)/2,0),ROUND((L88*M88*O88),0))</f>
        <v/>
      </c>
      <c r="Q88" s="37">
        <f>IF(AND(B88="South Korea",scenario="MID"),korea_mid_load,load_sel)</f>
        <v/>
      </c>
      <c r="R88" s="38">
        <f>pax_cap*Q88</f>
        <v/>
      </c>
      <c r="S88" s="36">
        <f>R88*P88</f>
        <v/>
      </c>
      <c r="T88" s="39">
        <f>E88*discount</f>
        <v/>
      </c>
      <c r="U88" s="40">
        <f>T88*S88</f>
        <v/>
      </c>
      <c r="V88" s="40">
        <f>(battery/range_nm)*D88*P88*VLOOKUP(B88,country_opex,3,FALSE)</f>
        <v/>
      </c>
      <c r="W88" s="40">
        <f>VLOOKUP(B88,country_opex,2,FALSE)*crew_factor</f>
        <v/>
      </c>
      <c r="X88" s="40">
        <f>VLOOKUP(B88,country_opex,5,FALSE)</f>
        <v/>
      </c>
      <c r="Y88" s="40">
        <f>maint</f>
        <v/>
      </c>
      <c r="Z88" s="40">
        <f>VLOOKUP(B88,country_opex,7,FALSE)*ins_pct</f>
        <v/>
      </c>
      <c r="AA88" s="40">
        <f>charge_berth</f>
        <v/>
      </c>
      <c r="AB88" s="40">
        <f>V88+W88+X88+Y88+Z88+AA88</f>
        <v/>
      </c>
      <c r="AC88" s="40">
        <f>VLOOKUP(B88,country_opex,7,FALSE)/dep_years</f>
        <v/>
      </c>
      <c r="AD88" s="40">
        <f>U88-AB88</f>
        <v/>
      </c>
      <c r="AE88" s="37">
        <f>IF(U88=0,"",AD88/U88)</f>
        <v/>
      </c>
      <c r="AF88" s="38">
        <f>IF(AD88&lt;=0,"",VLOOKUP(B88,country_opex,7,FALSE)/AD88)</f>
        <v/>
      </c>
      <c r="AG88" s="35">
        <f>((D88*P88/diesel_nmpg)*diesel_co2pg-(battery/range_nm)*D88*P88*VLOOKUP(B88,country_opex,4,FALSE))/1000</f>
        <v/>
      </c>
      <c r="AH88" s="33" t="n">
        <v>450000</v>
      </c>
      <c r="AI88" s="34" t="inlineStr">
        <is>
          <t>T5</t>
        </is>
      </c>
      <c r="AJ88" s="34" t="inlineStr">
        <is>
          <t>low-med</t>
        </is>
      </c>
      <c r="AK88" s="41" t="n">
        <v>0.1</v>
      </c>
      <c r="AL88" s="36">
        <f>IF(AH88="","",AH88*AK88)</f>
        <v/>
      </c>
      <c r="AM88" s="36">
        <f>IF(OR(AH88="",S88=0),"",MIN(IF(AU88="",9.9E+99,AU88),FLOOR(AL88/S88,1)))</f>
        <v/>
      </c>
      <c r="AN88" s="40">
        <f>IF(AM88="","",AM88*IF(ABS(MOD(ABS((U88)),1)-0.5)&lt;1E-9,2*ROUND((U88)/2,0),ROUND((U88),0)))</f>
        <v/>
      </c>
      <c r="AO88" s="38">
        <f>IF(OR(AH88="",S88=0),"",MIN(IF(AU88="",9.9E+99,AU88),AL88/S88))</f>
        <v/>
      </c>
      <c r="AP88" s="40">
        <f>IF(AO88="","",AO88*IF(B88="South Korea",IF(ABS(MOD(ABS((U88)),1)-0.5)&lt;1E-9,2*ROUND((U88)/2,0),ROUND((U88),0)),U88))</f>
        <v/>
      </c>
      <c r="AQ88" s="42" t="inlineStr">
        <is>
          <t>rn-db5e83248f9d</t>
        </is>
      </c>
      <c r="AR88" s="34" t="inlineStr">
        <is>
          <t>Grounded</t>
        </is>
      </c>
      <c r="AS88" s="43" t="n"/>
      <c r="AT88" s="43" t="n"/>
      <c r="AU88" s="44" t="n"/>
      <c r="AV88" s="45">
        <f>IF(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&lt;=0,"",VLOOKUP(B88,country_opex,7,FALSE)/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)</f>
        <v/>
      </c>
      <c r="AW88" s="45">
        <f>IF(((T88*pax_cap*IF(B88="South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Korea",korea_mid_revleg,revleg_mid)),0))*VLOOKUP(B88,country_opex,3,FALSE))+W88+X88+Y88+Z88+AA88))&lt;=0,"",VLOOKUP(B88,country_opex,7,FALSE)/((T88*pax_cap*IF(B88="South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Korea",korea_mid_revleg,revleg_mid)),0))*VLOOKUP(B88,country_opex,3,FALSE))+W88+X88+Y88+Z88+AA88)))</f>
        <v/>
      </c>
      <c r="AX88" s="45">
        <f>IF(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&lt;=0,"",VLOOKUP(B88,country_opex,7,FALSE)/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)</f>
        <v/>
      </c>
      <c r="AY88" s="46" t="n"/>
      <c r="AZ88" s="46" t="inlineStr">
        <is>
          <t>SUBSET of rn-db5e83248f9d (do not sum). Lomprayah operates the Pralarn (Mae Nam) terminal with ~4-6 daily fast-cat departures/direction to Thong Sala (lomprayah.com 2026 timetable; ferryadvice.com: Pralarn-&gt;Thong Sala 20 min, THB 300); Lomprayah is the highest-frequency operator on the crossing.</t>
        </is>
      </c>
      <c r="BA88" s="34" t="inlineStr">
        <is>
          <t>ics-5038f54700</t>
        </is>
      </c>
    </row>
    <row r="89">
      <c r="A89" s="31" t="inlineStr">
        <is>
          <t>Penang</t>
        </is>
      </c>
      <c r="B89" s="31" t="inlineStr">
        <is>
          <t>Thailand</t>
        </is>
      </c>
      <c r="C89" s="32" t="inlineStr">
        <is>
          <t>George Town (Penang) → Batu Ferringhi / Penang Bridge corridor</t>
        </is>
      </c>
      <c r="D89" s="33" t="n">
        <v>8</v>
      </c>
      <c r="E89" s="27" t="n">
        <v>30</v>
      </c>
      <c r="F89" s="34" t="inlineStr">
        <is>
          <t>T5</t>
        </is>
      </c>
      <c r="G89" s="34" t="inlineStr">
        <is>
          <t>low</t>
        </is>
      </c>
      <c r="H89" s="20" t="n">
        <v>1</v>
      </c>
      <c r="I89" s="35">
        <f>60*D89/cruise_kt</f>
        <v/>
      </c>
      <c r="J89" s="35">
        <f>IF(B89="South Korea",D89/korea_charge_range_nm*korea_full_range_charge_min,0)</f>
        <v/>
      </c>
      <c r="K89" s="35">
        <f>IF(B89="South Korea",I89+korea_turn_min+korea_dwell_min+J89,I89+turn_min+dwell_min)</f>
        <v/>
      </c>
      <c r="L89" s="36">
        <f>IF(B89="South Korea",FLOOR(60*korea_service_hr/K89,1),MIN(15,FLOOR(60*service_hr/K89,1)))</f>
        <v/>
      </c>
      <c r="M89" s="36">
        <f>IF(ABS(MOD(ABS((365*mech_uptime*H89)),1)-0.5)&lt;1E-9,2*ROUND((365*mech_uptime*H89)/2,0),ROUND((365*mech_uptime*H89),0))</f>
        <v/>
      </c>
      <c r="N89" s="37">
        <f>mech_uptime</f>
        <v/>
      </c>
      <c r="O89" s="37">
        <f>IF(AND(B89="South Korea",scenario="MID"),korea_mid_revleg,revleg_sel)</f>
        <v/>
      </c>
      <c r="P89" s="36">
        <f>IF(ABS(MOD(ABS((L89*M89*O89)),1)-0.5)&lt;1E-9,2*ROUND((L89*M89*O89)/2,0),ROUND((L89*M89*O89),0))</f>
        <v/>
      </c>
      <c r="Q89" s="37">
        <f>IF(AND(B89="South Korea",scenario="MID"),korea_mid_load,load_sel)</f>
        <v/>
      </c>
      <c r="R89" s="38">
        <f>pax_cap*Q89</f>
        <v/>
      </c>
      <c r="S89" s="36">
        <f>R89*P89</f>
        <v/>
      </c>
      <c r="T89" s="39">
        <f>E89*discount</f>
        <v/>
      </c>
      <c r="U89" s="40">
        <f>T89*S89</f>
        <v/>
      </c>
      <c r="V89" s="40">
        <f>(battery/range_nm)*D89*P89*VLOOKUP(B89,country_opex,3,FALSE)</f>
        <v/>
      </c>
      <c r="W89" s="40">
        <f>VLOOKUP(B89,country_opex,2,FALSE)*crew_factor</f>
        <v/>
      </c>
      <c r="X89" s="40">
        <f>VLOOKUP(B89,country_opex,5,FALSE)</f>
        <v/>
      </c>
      <c r="Y89" s="40">
        <f>maint</f>
        <v/>
      </c>
      <c r="Z89" s="40">
        <f>VLOOKUP(B89,country_opex,7,FALSE)*ins_pct</f>
        <v/>
      </c>
      <c r="AA89" s="40">
        <f>charge_berth</f>
        <v/>
      </c>
      <c r="AB89" s="40">
        <f>V89+W89+X89+Y89+Z89+AA89</f>
        <v/>
      </c>
      <c r="AC89" s="40">
        <f>VLOOKUP(B89,country_opex,7,FALSE)/dep_years</f>
        <v/>
      </c>
      <c r="AD89" s="40">
        <f>U89-AB89</f>
        <v/>
      </c>
      <c r="AE89" s="37">
        <f>IF(U89=0,"",AD89/U89)</f>
        <v/>
      </c>
      <c r="AF89" s="38">
        <f>IF(AD89&lt;=0,"",VLOOKUP(B89,country_opex,7,FALSE)/AD89)</f>
        <v/>
      </c>
      <c r="AG89" s="35">
        <f>((D89*P89/diesel_nmpg)*diesel_co2pg-(battery/range_nm)*D89*P89*VLOOKUP(B89,country_opex,4,FALSE))/1000</f>
        <v/>
      </c>
      <c r="AH89" s="33" t="n"/>
      <c r="AI89" s="34" t="inlineStr">
        <is>
          <t>T5</t>
        </is>
      </c>
      <c r="AJ89" s="34" t="inlineStr">
        <is>
          <t>low</t>
        </is>
      </c>
      <c r="AK89" s="41" t="n">
        <v>0.1</v>
      </c>
      <c r="AL89" s="36">
        <f>IF(AH89="","",AH89*AK89)</f>
        <v/>
      </c>
      <c r="AM89" s="36">
        <f>IF(OR(AH89="",S89=0),"",MIN(IF(AU89="",9.9E+99,AU89),FLOOR(AL89/S89,1)))</f>
        <v/>
      </c>
      <c r="AN89" s="40">
        <f>IF(AM89="","",AM89*IF(ABS(MOD(ABS((U89)),1)-0.5)&lt;1E-9,2*ROUND((U89)/2,0),ROUND((U89),0)))</f>
        <v/>
      </c>
      <c r="AO89" s="38">
        <f>IF(OR(AH89="",S89=0),"",MIN(IF(AU89="",9.9E+99,AU89),AL89/S89))</f>
        <v/>
      </c>
      <c r="AP89" s="40">
        <f>IF(AO89="","",AO89*IF(B89="South Korea",IF(ABS(MOD(ABS((U89)),1)-0.5)&lt;1E-9,2*ROUND((U89)/2,0),ROUND((U89),0)),U89))</f>
        <v/>
      </c>
      <c r="AQ89" s="42" t="n"/>
      <c r="AR89" s="34" t="inlineStr">
        <is>
          <t>Estimated</t>
        </is>
      </c>
      <c r="AS89" s="43" t="n"/>
      <c r="AT89" s="43" t="n"/>
      <c r="AU89" s="44" t="n"/>
      <c r="AV89" s="45">
        <f>IF(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&lt;=0,"",VLOOKUP(B89,country_opex,7,FALSE)/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)</f>
        <v/>
      </c>
      <c r="AW89" s="45">
        <f>IF(((T89*pax_cap*IF(B89="South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Korea",korea_mid_revleg,revleg_mid)),0))*VLOOKUP(B89,country_opex,3,FALSE))+W89+X89+Y89+Z89+AA89))&lt;=0,"",VLOOKUP(B89,country_opex,7,FALSE)/((T89*pax_cap*IF(B89="South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Korea",korea_mid_revleg,revleg_mid)),0))*VLOOKUP(B89,country_opex,3,FALSE))+W89+X89+Y89+Z89+AA89)))</f>
        <v/>
      </c>
      <c r="AX89" s="45">
        <f>IF(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&lt;=0,"",VLOOKUP(B89,country_opex,7,FALSE)/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)</f>
        <v/>
      </c>
      <c r="AY89" s="46" t="inlineStr">
        <is>
          <t>No scheduled passenger boat George Town&lt;-&gt;Batu Ferringhi; the resort strip is reached by road along the north coast. Modeled premium per-seat scenic speedboat transfer ~RM130/way ($30) by analogy to short Sabah/Langkawi private-speedboat seats.</t>
        </is>
      </c>
      <c r="AZ89" s="46" t="inlineStr">
        <is>
          <t>No boat crossing exists; Batu Ferringhi hotel-strip arrivals come by road. No credible on-water pax pool.</t>
        </is>
      </c>
      <c r="BA89" s="34" t="inlineStr">
        <is>
          <t>gcn-57d1989825-shared</t>
        </is>
      </c>
    </row>
    <row r="90">
      <c r="A90" s="31" t="inlineStr">
        <is>
          <t>Phuket</t>
        </is>
      </c>
      <c r="B90" s="31" t="inlineStr">
        <is>
          <t>Thailand</t>
        </is>
      </c>
      <c r="C90" s="32" t="inlineStr">
        <is>
          <t>Ao Po Grand Marina → Anantara Layan Phuket Beach Jetty</t>
        </is>
      </c>
      <c r="D90" s="33" t="n">
        <v>9.6</v>
      </c>
      <c r="E90" s="27" t="n">
        <v>100</v>
      </c>
      <c r="F90" s="34" t="inlineStr">
        <is>
          <t>T2</t>
        </is>
      </c>
      <c r="G90" s="34" t="inlineStr">
        <is>
          <t>med</t>
        </is>
      </c>
      <c r="H90" s="20" t="n">
        <v>1</v>
      </c>
      <c r="I90" s="35">
        <f>60*D90/cruise_kt</f>
        <v/>
      </c>
      <c r="J90" s="35">
        <f>IF(B90="South Korea",D90/korea_charge_range_nm*korea_full_range_charge_min,0)</f>
        <v/>
      </c>
      <c r="K90" s="35">
        <f>IF(B90="South Korea",I90+korea_turn_min+korea_dwell_min+J90,I90+turn_min+dwell_min)</f>
        <v/>
      </c>
      <c r="L90" s="36">
        <f>IF(B90="South Korea",FLOOR(60*korea_service_hr/K90,1),MIN(15,FLOOR(60*service_hr/K90,1)))</f>
        <v/>
      </c>
      <c r="M90" s="36">
        <f>IF(ABS(MOD(ABS((365*mech_uptime*H90)),1)-0.5)&lt;1E-9,2*ROUND((365*mech_uptime*H90)/2,0),ROUND((365*mech_uptime*H90),0))</f>
        <v/>
      </c>
      <c r="N90" s="37">
        <f>mech_uptime</f>
        <v/>
      </c>
      <c r="O90" s="37">
        <f>IF(AND(B90="South Korea",scenario="MID"),korea_mid_revleg,revleg_sel)</f>
        <v/>
      </c>
      <c r="P90" s="36">
        <f>IF(ABS(MOD(ABS((L90*M90*O90)),1)-0.5)&lt;1E-9,2*ROUND((L90*M90*O90)/2,0),ROUND((L90*M90*O90),0))</f>
        <v/>
      </c>
      <c r="Q90" s="37">
        <f>IF(AND(B90="South Korea",scenario="MID"),korea_mid_load,load_sel)</f>
        <v/>
      </c>
      <c r="R90" s="38">
        <f>pax_cap*Q90</f>
        <v/>
      </c>
      <c r="S90" s="36">
        <f>R90*P90</f>
        <v/>
      </c>
      <c r="T90" s="39">
        <f>E90*discount</f>
        <v/>
      </c>
      <c r="U90" s="40">
        <f>T90*S90</f>
        <v/>
      </c>
      <c r="V90" s="40">
        <f>(battery/range_nm)*D90*P90*VLOOKUP(B90,country_opex,3,FALSE)</f>
        <v/>
      </c>
      <c r="W90" s="40">
        <f>VLOOKUP(B90,country_opex,2,FALSE)*crew_factor</f>
        <v/>
      </c>
      <c r="X90" s="40">
        <f>VLOOKUP(B90,country_opex,5,FALSE)</f>
        <v/>
      </c>
      <c r="Y90" s="40">
        <f>maint</f>
        <v/>
      </c>
      <c r="Z90" s="40">
        <f>VLOOKUP(B90,country_opex,7,FALSE)*ins_pct</f>
        <v/>
      </c>
      <c r="AA90" s="40">
        <f>charge_berth</f>
        <v/>
      </c>
      <c r="AB90" s="40">
        <f>V90+W90+X90+Y90+Z90+AA90</f>
        <v/>
      </c>
      <c r="AC90" s="40">
        <f>VLOOKUP(B90,country_opex,7,FALSE)/dep_years</f>
        <v/>
      </c>
      <c r="AD90" s="40">
        <f>U90-AB90</f>
        <v/>
      </c>
      <c r="AE90" s="37">
        <f>IF(U90=0,"",AD90/U90)</f>
        <v/>
      </c>
      <c r="AF90" s="38">
        <f>IF(AD90&lt;=0,"",VLOOKUP(B90,country_opex,7,FALSE)/AD90)</f>
        <v/>
      </c>
      <c r="AG90" s="35">
        <f>((D90*P90/diesel_nmpg)*diesel_co2pg-(battery/range_nm)*D90*P90*VLOOKUP(B90,country_opex,4,FALSE))/1000</f>
        <v/>
      </c>
      <c r="AH90" s="33" t="n">
        <v>8500</v>
      </c>
      <c r="AI90" s="34" t="inlineStr">
        <is>
          <t>T2</t>
        </is>
      </c>
      <c r="AJ90" s="34" t="inlineStr">
        <is>
          <t>med</t>
        </is>
      </c>
      <c r="AK90" s="41" t="n">
        <v>0.9</v>
      </c>
      <c r="AL90" s="36">
        <f>IF(AH90="","",AH90*AK90)</f>
        <v/>
      </c>
      <c r="AM90" s="36">
        <f>IF(OR(AH90="",S90=0),"",MIN(IF(AU90="",9.9E+99,AU90),FLOOR(AL90/S90,1)))</f>
        <v/>
      </c>
      <c r="AN90" s="40">
        <f>IF(AM90="","",AM90*IF(ABS(MOD(ABS((U90)),1)-0.5)&lt;1E-9,2*ROUND((U90)/2,0),ROUND((U90),0)))</f>
        <v/>
      </c>
      <c r="AO90" s="38">
        <f>IF(OR(AH90="",S90=0),"",MIN(IF(AU90="",9.9E+99,AU90),AL90/S90))</f>
        <v/>
      </c>
      <c r="AP90" s="40">
        <f>IF(AO90="","",AO90*IF(B90="South Korea",IF(ABS(MOD(ABS((U90)),1)-0.5)&lt;1E-9,2*ROUND((U90)/2,0),ROUND((U90),0)),U90))</f>
        <v/>
      </c>
      <c r="AQ90" s="42" t="n"/>
      <c r="AR90" s="34" t="inlineStr">
        <is>
          <t>Grounded</t>
        </is>
      </c>
      <c r="AS90" s="43" t="n"/>
      <c r="AT90" s="43" t="n"/>
      <c r="AU90" s="44" t="n"/>
      <c r="AV90" s="45">
        <f>IF(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&lt;=0,"",VLOOKUP(B90,country_opex,7,FALSE)/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)</f>
        <v/>
      </c>
      <c r="AW90" s="45">
        <f>IF(((T90*pax_cap*IF(B90="South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Korea",korea_mid_revleg,revleg_mid)),0))*VLOOKUP(B90,country_opex,3,FALSE))+W90+X90+Y90+Z90+AA90))&lt;=0,"",VLOOKUP(B90,country_opex,7,FALSE)/((T90*pax_cap*IF(B90="South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Korea",korea_mid_revleg,revleg_mid)),0))*VLOOKUP(B90,country_opex,3,FALSE))+W90+X90+Y90+Z90+AA90)))</f>
        <v/>
      </c>
      <c r="AX90" s="45">
        <f>IF(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&lt;=0,"",VLOOKUP(B90,country_opex,7,FALSE)/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)</f>
        <v/>
      </c>
      <c r="AY90" s="46" t="inlineStr">
        <is>
          <t>Minor Hotels captive gateway — Anantara Layan marina pickup.</t>
        </is>
      </c>
      <c r="AZ90" s="46" t="inlineStr">
        <is>
          <t>minor-hotels-phuket-flagship-economics-DRAFT.json — Layan gateway pool</t>
        </is>
      </c>
      <c r="BA90" s="34" t="inlineStr">
        <is>
          <t>rn-b28ac4ca3d14</t>
        </is>
      </c>
    </row>
    <row r="91">
      <c r="A91" s="31" t="inlineStr">
        <is>
          <t>Phuket</t>
        </is>
      </c>
      <c r="B91" s="31" t="inlineStr">
        <is>
          <t>Thailand</t>
        </is>
      </c>
      <c r="C91" s="32" t="inlineStr">
        <is>
          <t>Chalong Pier (Ao Chalong) → Chalong Pier (Ao Chalong)</t>
        </is>
      </c>
      <c r="D91" s="33" t="n">
        <v>10</v>
      </c>
      <c r="E91" s="27" t="n">
        <v>35</v>
      </c>
      <c r="F91" s="34" t="inlineStr">
        <is>
          <t>T1</t>
        </is>
      </c>
      <c r="G91" s="34" t="inlineStr">
        <is>
          <t>med</t>
        </is>
      </c>
      <c r="H91" s="20" t="n">
        <v>1</v>
      </c>
      <c r="I91" s="35">
        <f>60*D91/cruise_kt</f>
        <v/>
      </c>
      <c r="J91" s="35">
        <f>IF(B91="South Korea",D91/korea_charge_range_nm*korea_full_range_charge_min,0)</f>
        <v/>
      </c>
      <c r="K91" s="35">
        <f>IF(B91="South Korea",I91+korea_turn_min+korea_dwell_min+J91,I91+turn_min+dwell_min)</f>
        <v/>
      </c>
      <c r="L91" s="36">
        <f>IF(B91="South Korea",FLOOR(60*korea_service_hr/K91,1),MIN(15,FLOOR(60*service_hr/K91,1)))</f>
        <v/>
      </c>
      <c r="M91" s="36">
        <f>IF(ABS(MOD(ABS((365*mech_uptime*H91)),1)-0.5)&lt;1E-9,2*ROUND((365*mech_uptime*H91)/2,0),ROUND((365*mech_uptime*H91),0))</f>
        <v/>
      </c>
      <c r="N91" s="37">
        <f>mech_uptime</f>
        <v/>
      </c>
      <c r="O91" s="37">
        <f>IF(AND(B91="South Korea",scenario="MID"),korea_mid_revleg,revleg_sel)</f>
        <v/>
      </c>
      <c r="P91" s="36">
        <f>IF(ABS(MOD(ABS((L91*M91*O91)),1)-0.5)&lt;1E-9,2*ROUND((L91*M91*O91)/2,0),ROUND((L91*M91*O91),0))</f>
        <v/>
      </c>
      <c r="Q91" s="37">
        <f>IF(AND(B91="South Korea",scenario="MID"),korea_mid_load,load_sel)</f>
        <v/>
      </c>
      <c r="R91" s="38">
        <f>pax_cap*Q91</f>
        <v/>
      </c>
      <c r="S91" s="36">
        <f>R91*P91</f>
        <v/>
      </c>
      <c r="T91" s="39">
        <f>E91*discount</f>
        <v/>
      </c>
      <c r="U91" s="40">
        <f>T91*S91</f>
        <v/>
      </c>
      <c r="V91" s="40">
        <f>(battery/range_nm)*D91*P91*VLOOKUP(B91,country_opex,3,FALSE)</f>
        <v/>
      </c>
      <c r="W91" s="40">
        <f>VLOOKUP(B91,country_opex,2,FALSE)*crew_factor</f>
        <v/>
      </c>
      <c r="X91" s="40">
        <f>VLOOKUP(B91,country_opex,5,FALSE)</f>
        <v/>
      </c>
      <c r="Y91" s="40">
        <f>maint</f>
        <v/>
      </c>
      <c r="Z91" s="40">
        <f>VLOOKUP(B91,country_opex,7,FALSE)*ins_pct</f>
        <v/>
      </c>
      <c r="AA91" s="40">
        <f>charge_berth</f>
        <v/>
      </c>
      <c r="AB91" s="40">
        <f>V91+W91+X91+Y91+Z91+AA91</f>
        <v/>
      </c>
      <c r="AC91" s="40">
        <f>VLOOKUP(B91,country_opex,7,FALSE)/dep_years</f>
        <v/>
      </c>
      <c r="AD91" s="40">
        <f>U91-AB91</f>
        <v/>
      </c>
      <c r="AE91" s="37">
        <f>IF(U91=0,"",AD91/U91)</f>
        <v/>
      </c>
      <c r="AF91" s="38">
        <f>IF(AD91&lt;=0,"",VLOOKUP(B91,country_opex,7,FALSE)/AD91)</f>
        <v/>
      </c>
      <c r="AG91" s="35">
        <f>((D91*P91/diesel_nmpg)*diesel_co2pg-(battery/range_nm)*D91*P91*VLOOKUP(B91,country_opex,4,FALSE))/1000</f>
        <v/>
      </c>
      <c r="AH91" s="33" t="n">
        <v>400000</v>
      </c>
      <c r="AI91" s="34" t="n"/>
      <c r="AJ91" s="34" t="n"/>
      <c r="AK91" s="41" t="n">
        <v>0.1</v>
      </c>
      <c r="AL91" s="36">
        <f>IF(AH91="","",AH91*AK91)</f>
        <v/>
      </c>
      <c r="AM91" s="36">
        <f>IF(OR(AH91="",S91=0),"",MIN(IF(AU91="",9.9E+99,AU91),FLOOR(AL91/S91,1)))</f>
        <v/>
      </c>
      <c r="AN91" s="40">
        <f>IF(AM91="","",AM91*IF(ABS(MOD(ABS((U91)),1)-0.5)&lt;1E-9,2*ROUND((U91)/2,0),ROUND((U91),0)))</f>
        <v/>
      </c>
      <c r="AO91" s="38">
        <f>IF(OR(AH91="",S91=0),"",MIN(IF(AU91="",9.9E+99,AU91),AL91/S91))</f>
        <v/>
      </c>
      <c r="AP91" s="40">
        <f>IF(AO91="","",AO91*IF(B91="South Korea",IF(ABS(MOD(ABS((U91)),1)-0.5)&lt;1E-9,2*ROUND((U91)/2,0),ROUND((U91),0)),U91))</f>
        <v/>
      </c>
      <c r="AQ91" s="42" t="n"/>
      <c r="AR91" s="34" t="inlineStr">
        <is>
          <t>Grounded</t>
        </is>
      </c>
      <c r="AS91" s="43" t="n"/>
      <c r="AT91" s="43" t="n"/>
      <c r="AU91" s="44" t="n"/>
      <c r="AV91" s="45">
        <f>IF(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&lt;=0,"",VLOOKUP(B91,country_opex,7,FALSE)/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)</f>
        <v/>
      </c>
      <c r="AW91" s="45">
        <f>IF(((T91*pax_cap*IF(B91="South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Korea",korea_mid_revleg,revleg_mid)),0))*VLOOKUP(B91,country_opex,3,FALSE))+W91+X91+Y91+Z91+AA91))&lt;=0,"",VLOOKUP(B91,country_opex,7,FALSE)/((T91*pax_cap*IF(B91="South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Korea",korea_mid_revleg,revleg_mid)),0))*VLOOKUP(B91,country_opex,3,FALSE))+W91+X91+Y91+Z91+AA91)))</f>
        <v/>
      </c>
      <c r="AX91" s="45">
        <f>IF(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&lt;=0,"",VLOOKUP(B91,country_opex,7,FALSE)/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)</f>
        <v/>
      </c>
      <c r="AY91" s="46" t="inlineStr">
        <is>
          <t>Modal product = shared speedboat Coral Island half/one-day trip ex-Chalong: Love Sea Tour Racha+Coral speedboat 1,200 THB adult (promo 1,050) (loveseatour.com/racha-coral-speed-boat/); JC Tour Coral+snorkel 1,200 THB (jctour-thai.com/coral); Andamarine one-day Racha Yai+Coral 1,250 THB/pax incl. buffet lunch (operator IG, 2026). Premium top of ladder: HYPE join-in day cruise 3,900 THB adult incl. transfer (operator rate sheet via boatingo.com/boats/hype-catamaran/). Anchor = modal speedboat product ~1,250 THB = ~USD 35, NOT the premium cat.</t>
        </is>
      </c>
      <c r="AZ91" s="46" t="n"/>
      <c r="BA91" s="34" t="inlineStr">
        <is>
          <t>gcn-097bdf6e8e-shared</t>
        </is>
      </c>
    </row>
    <row r="92">
      <c r="A92" s="31" t="inlineStr">
        <is>
          <t>Koh Samui</t>
        </is>
      </c>
      <c r="B92" s="31" t="inlineStr">
        <is>
          <t>Thailand</t>
        </is>
      </c>
      <c r="C92" s="32" t="inlineStr">
        <is>
          <t>Koh Samui (Bangrak) → Koh Phangan (Thong Sala)</t>
        </is>
      </c>
      <c r="D92" s="33" t="n">
        <v>10.2</v>
      </c>
      <c r="E92" s="27" t="n">
        <v>35</v>
      </c>
      <c r="F92" s="34" t="n"/>
      <c r="G92" s="34" t="inlineStr">
        <is>
          <t>T1</t>
        </is>
      </c>
      <c r="H92" s="20" t="n">
        <v>1</v>
      </c>
      <c r="I92" s="35">
        <f>60*D92/cruise_kt</f>
        <v/>
      </c>
      <c r="J92" s="35">
        <f>IF(B92="South Korea",D92/korea_charge_range_nm*korea_full_range_charge_min,0)</f>
        <v/>
      </c>
      <c r="K92" s="35">
        <f>IF(B92="South Korea",I92+korea_turn_min+korea_dwell_min+J92,I92+turn_min+dwell_min)</f>
        <v/>
      </c>
      <c r="L92" s="36">
        <f>IF(B92="South Korea",FLOOR(60*korea_service_hr/K92,1),MIN(15,FLOOR(60*service_hr/K92,1)))</f>
        <v/>
      </c>
      <c r="M92" s="36">
        <f>IF(ABS(MOD(ABS((365*mech_uptime*H92)),1)-0.5)&lt;1E-9,2*ROUND((365*mech_uptime*H92)/2,0),ROUND((365*mech_uptime*H92),0))</f>
        <v/>
      </c>
      <c r="N92" s="37">
        <f>mech_uptime</f>
        <v/>
      </c>
      <c r="O92" s="37">
        <f>IF(AND(B92="South Korea",scenario="MID"),korea_mid_revleg,revleg_sel)</f>
        <v/>
      </c>
      <c r="P92" s="36">
        <f>IF(ABS(MOD(ABS((L92*M92*O92)),1)-0.5)&lt;1E-9,2*ROUND((L92*M92*O92)/2,0),ROUND((L92*M92*O92),0))</f>
        <v/>
      </c>
      <c r="Q92" s="37">
        <f>IF(AND(B92="South Korea",scenario="MID"),korea_mid_load,load_sel)</f>
        <v/>
      </c>
      <c r="R92" s="38">
        <f>pax_cap*Q92</f>
        <v/>
      </c>
      <c r="S92" s="36">
        <f>R92*P92</f>
        <v/>
      </c>
      <c r="T92" s="39">
        <f>E92*discount</f>
        <v/>
      </c>
      <c r="U92" s="40">
        <f>T92*S92</f>
        <v/>
      </c>
      <c r="V92" s="40">
        <f>(battery/range_nm)*D92*P92*VLOOKUP(B92,country_opex,3,FALSE)</f>
        <v/>
      </c>
      <c r="W92" s="40">
        <f>VLOOKUP(B92,country_opex,2,FALSE)*crew_factor</f>
        <v/>
      </c>
      <c r="X92" s="40">
        <f>VLOOKUP(B92,country_opex,5,FALSE)</f>
        <v/>
      </c>
      <c r="Y92" s="40">
        <f>maint</f>
        <v/>
      </c>
      <c r="Z92" s="40">
        <f>VLOOKUP(B92,country_opex,7,FALSE)*ins_pct</f>
        <v/>
      </c>
      <c r="AA92" s="40">
        <f>charge_berth</f>
        <v/>
      </c>
      <c r="AB92" s="40">
        <f>V92+W92+X92+Y92+Z92+AA92</f>
        <v/>
      </c>
      <c r="AC92" s="40">
        <f>VLOOKUP(B92,country_opex,7,FALSE)/dep_years</f>
        <v/>
      </c>
      <c r="AD92" s="40">
        <f>U92-AB92</f>
        <v/>
      </c>
      <c r="AE92" s="37">
        <f>IF(U92=0,"",AD92/U92)</f>
        <v/>
      </c>
      <c r="AF92" s="38">
        <f>IF(AD92&lt;=0,"",VLOOKUP(B92,country_opex,7,FALSE)/AD92)</f>
        <v/>
      </c>
      <c r="AG92" s="35">
        <f>((D92*P92/diesel_nmpg)*diesel_co2pg-(battery/range_nm)*D92*P92*VLOOKUP(B92,country_opex,4,FALSE))/1000</f>
        <v/>
      </c>
      <c r="AH92" s="33" t="n">
        <v>1000000</v>
      </c>
      <c r="AI92" s="34" t="inlineStr">
        <is>
          <t>T4</t>
        </is>
      </c>
      <c r="AJ92" s="34" t="inlineStr">
        <is>
          <t>med-low</t>
        </is>
      </c>
      <c r="AK92" s="41" t="n">
        <v>0.1</v>
      </c>
      <c r="AL92" s="36">
        <f>IF(AH92="","",AH92*AK92)</f>
        <v/>
      </c>
      <c r="AM92" s="36">
        <f>IF(OR(AH92="",S92=0),"",MIN(IF(AU92="",9.9E+99,AU92),FLOOR(AL92/S92,1)))</f>
        <v/>
      </c>
      <c r="AN92" s="40">
        <f>IF(AM92="","",AM92*IF(ABS(MOD(ABS((U92)),1)-0.5)&lt;1E-9,2*ROUND((U92)/2,0),ROUND((U92),0)))</f>
        <v/>
      </c>
      <c r="AO92" s="38">
        <f>IF(OR(AH92="",S92=0),"",MIN(IF(AU92="",9.9E+99,AU92),AL92/S92))</f>
        <v/>
      </c>
      <c r="AP92" s="40">
        <f>IF(AO92="","",AO92*IF(B92="South Korea",IF(ABS(MOD(ABS((U92)),1)-0.5)&lt;1E-9,2*ROUND((U92)/2,0),ROUND((U92),0)),U92))</f>
        <v/>
      </c>
      <c r="AQ92" s="42" t="n"/>
      <c r="AR92" s="34" t="inlineStr">
        <is>
          <t>Grounded</t>
        </is>
      </c>
      <c r="AS92" s="43" t="n"/>
      <c r="AT92" s="43" t="n"/>
      <c r="AU92" s="44" t="n"/>
      <c r="AV92" s="45">
        <f>IF(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&lt;=0,"",VLOOKUP(B92,country_opex,7,FALSE)/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)</f>
        <v/>
      </c>
      <c r="AW92" s="45">
        <f>IF(((T92*pax_cap*IF(B92="South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Korea",korea_mid_revleg,revleg_mid)),0))*VLOOKUP(B92,country_opex,3,FALSE))+W92+X92+Y92+Z92+AA92))&lt;=0,"",VLOOKUP(B92,country_opex,7,FALSE)/((T92*pax_cap*IF(B92="South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Korea",korea_mid_revleg,revleg_mid)),0))*VLOOKUP(B92,country_opex,3,FALSE))+W92+X92+Y92+Z92+AA92)))</f>
        <v/>
      </c>
      <c r="AX92" s="45">
        <f>IF(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&lt;=0,"",VLOOKUP(B92,country_opex,7,FALSE)/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)</f>
        <v/>
      </c>
      <c r="AY92" s="46" t="n"/>
      <c r="AZ92" s="46" t="inlineStr">
        <is>
          <t>Koh Phangan receives ~1M visitors/yr, ~75% (~825,000) for the Full Moon Party (ThaiJo peer-reviewed research article citing official figures, 2024-era; kohphangancity.go.th municipal plan ~2,000 visitors/day baseline). Trio cross-check: &gt;1M tourists entered Tao-Phangan-Samui in Q1-2024 alone (MGR Online / TAT + Koh Tao Tourism Business Association). Full Moon Party draws 20,000-40,000/event (adventureinyou/41n8, 2025). Phangan has NO airport - boat-only island (R3-EXCEPTION: arrivals = crossing ridership).</t>
        </is>
      </c>
      <c r="BA92" s="34" t="inlineStr">
        <is>
          <t>rn-db5e83248f9d</t>
        </is>
      </c>
    </row>
    <row r="93">
      <c r="A93" s="31" t="inlineStr">
        <is>
          <t>Phuket</t>
        </is>
      </c>
      <c r="B93" s="31" t="inlineStr">
        <is>
          <t>Thailand</t>
        </is>
      </c>
      <c r="C93" s="32" t="inlineStr">
        <is>
          <t>Ao Po Pier (Ao Po / Ao Por, NE Phuket) → Khao Phing Kan (James Bond Island), Phang Nga Bay</t>
        </is>
      </c>
      <c r="D93" s="33" t="n">
        <v>13.5</v>
      </c>
      <c r="E93" s="27" t="n">
        <v>90</v>
      </c>
      <c r="F93" s="34" t="inlineStr">
        <is>
          <t>T2</t>
        </is>
      </c>
      <c r="G93" s="34" t="inlineStr">
        <is>
          <t>med</t>
        </is>
      </c>
      <c r="H93" s="20" t="n">
        <v>1</v>
      </c>
      <c r="I93" s="35">
        <f>60*D93/cruise_kt</f>
        <v/>
      </c>
      <c r="J93" s="35">
        <f>IF(B93="South Korea",D93/korea_charge_range_nm*korea_full_range_charge_min,0)</f>
        <v/>
      </c>
      <c r="K93" s="35">
        <f>IF(B93="South Korea",I93+korea_turn_min+korea_dwell_min+J93,I93+turn_min+dwell_min)</f>
        <v/>
      </c>
      <c r="L93" s="36">
        <f>IF(B93="South Korea",FLOOR(60*korea_service_hr/K93,1),MIN(15,FLOOR(60*service_hr/K93,1)))</f>
        <v/>
      </c>
      <c r="M93" s="36">
        <f>IF(ABS(MOD(ABS((365*mech_uptime*H93)),1)-0.5)&lt;1E-9,2*ROUND((365*mech_uptime*H93)/2,0),ROUND((365*mech_uptime*H93),0))</f>
        <v/>
      </c>
      <c r="N93" s="37">
        <f>mech_uptime</f>
        <v/>
      </c>
      <c r="O93" s="37">
        <f>IF(AND(B93="South Korea",scenario="MID"),korea_mid_revleg,revleg_sel)</f>
        <v/>
      </c>
      <c r="P93" s="36">
        <f>IF(ABS(MOD(ABS((L93*M93*O93)),1)-0.5)&lt;1E-9,2*ROUND((L93*M93*O93)/2,0),ROUND((L93*M93*O93),0))</f>
        <v/>
      </c>
      <c r="Q93" s="37">
        <f>IF(AND(B93="South Korea",scenario="MID"),korea_mid_load,load_sel)</f>
        <v/>
      </c>
      <c r="R93" s="38">
        <f>pax_cap*Q93</f>
        <v/>
      </c>
      <c r="S93" s="36">
        <f>R93*P93</f>
        <v/>
      </c>
      <c r="T93" s="39">
        <f>E93*discount</f>
        <v/>
      </c>
      <c r="U93" s="40">
        <f>T93*S93</f>
        <v/>
      </c>
      <c r="V93" s="40">
        <f>(battery/range_nm)*D93*P93*VLOOKUP(B93,country_opex,3,FALSE)</f>
        <v/>
      </c>
      <c r="W93" s="40">
        <f>VLOOKUP(B93,country_opex,2,FALSE)*crew_factor</f>
        <v/>
      </c>
      <c r="X93" s="40">
        <f>VLOOKUP(B93,country_opex,5,FALSE)</f>
        <v/>
      </c>
      <c r="Y93" s="40">
        <f>maint</f>
        <v/>
      </c>
      <c r="Z93" s="40">
        <f>VLOOKUP(B93,country_opex,7,FALSE)*ins_pct</f>
        <v/>
      </c>
      <c r="AA93" s="40">
        <f>charge_berth</f>
        <v/>
      </c>
      <c r="AB93" s="40">
        <f>V93+W93+X93+Y93+Z93+AA93</f>
        <v/>
      </c>
      <c r="AC93" s="40">
        <f>VLOOKUP(B93,country_opex,7,FALSE)/dep_years</f>
        <v/>
      </c>
      <c r="AD93" s="40">
        <f>U93-AB93</f>
        <v/>
      </c>
      <c r="AE93" s="37">
        <f>IF(U93=0,"",AD93/U93)</f>
        <v/>
      </c>
      <c r="AF93" s="38">
        <f>IF(AD93&lt;=0,"",VLOOKUP(B93,country_opex,7,FALSE)/AD93)</f>
        <v/>
      </c>
      <c r="AG93" s="35">
        <f>((D93*P93/diesel_nmpg)*diesel_co2pg-(battery/range_nm)*D93*P93*VLOOKUP(B93,country_opex,4,FALSE))/1000</f>
        <v/>
      </c>
      <c r="AH93" s="33" t="n">
        <v>20000</v>
      </c>
      <c r="AI93" s="34" t="n"/>
      <c r="AJ93" s="34" t="n"/>
      <c r="AK93" s="41" t="n">
        <v>0.1</v>
      </c>
      <c r="AL93" s="36">
        <f>IF(AH93="","",AH93*AK93)</f>
        <v/>
      </c>
      <c r="AM93" s="36">
        <f>IF(OR(AH93="",S93=0),"",MIN(IF(AU93="",9.9E+99,AU93),FLOOR(AL93/S93,1)))</f>
        <v/>
      </c>
      <c r="AN93" s="40">
        <f>IF(AM93="","",AM93*IF(ABS(MOD(ABS((U93)),1)-0.5)&lt;1E-9,2*ROUND((U93)/2,0),ROUND((U93),0)))</f>
        <v/>
      </c>
      <c r="AO93" s="38">
        <f>IF(OR(AH93="",S93=0),"",MIN(IF(AU93="",9.9E+99,AU93),AL93/S93))</f>
        <v/>
      </c>
      <c r="AP93" s="40">
        <f>IF(AO93="","",AO93*IF(B93="South Korea",IF(ABS(MOD(ABS((U93)),1)-0.5)&lt;1E-9,2*ROUND((U93)/2,0),ROUND((U93),0)),U93))</f>
        <v/>
      </c>
      <c r="AQ93" s="42" t="n"/>
      <c r="AR93" s="34" t="inlineStr">
        <is>
          <t>Grounded</t>
        </is>
      </c>
      <c r="AS93" s="43" t="n"/>
      <c r="AT93" s="43" t="n"/>
      <c r="AU93" s="44" t="n"/>
      <c r="AV93" s="45">
        <f>IF(((T93*pax_cap*load_thin*IF(ABS(MOD(ABS((L93*M93*revleg_thin)),1)-0.5)&lt;1E-9,2*ROUND((L93*M93*revleg_thin)/2,0),ROUND((L93*M93*revleg_thin),0)))-(((battery/range_nm)*D93*IF(ABS(MOD(ABS((L93*M93*revleg_thin)),1)-0.5)&lt;1E-9,2*ROUND((L93*M93*revleg_thin)/2,0),ROUND((L93*M93*revleg_thin),0))*VLOOKUP(B93,country_opex,3,FALSE))+W93+X93+Y93+Z93+AA93))&lt;=0,"",VLOOKUP(B93,country_opex,7,FALSE)/((T93*pax_cap*load_thin*IF(ABS(MOD(ABS((L93*M93*revleg_thin)),1)-0.5)&lt;1E-9,2*ROUND((L93*M93*revleg_thin)/2,0),ROUND((L93*M93*revleg_thin),0)))-(((battery/range_nm)*D93*IF(ABS(MOD(ABS((L93*M93*revleg_thin)),1)-0.5)&lt;1E-9,2*ROUND((L93*M93*revleg_thin)/2,0),ROUND((L93*M93*revleg_thin),0))*VLOOKUP(B93,country_opex,3,FALSE))+W93+X93+Y93+Z93+AA93)))</f>
        <v/>
      </c>
      <c r="AW93" s="45">
        <f>IF(((T93*pax_cap*IF(B93="South Korea",korea_mid_load,load_mid)*IF(ABS(MOD(ABS((L93*M93*IF(B93="South Korea",korea_mid_revleg,revleg_mid))),1)-0.5)&lt;1E-9,2*ROUND((L93*M93*IF(B93="South Korea",korea_mid_revleg,revleg_mid))/2,0),ROUND((L93*M93*IF(B93="South Korea",korea_mid_revleg,revleg_mid)),0)))-(((battery/range_nm)*D93*IF(ABS(MOD(ABS((L93*M93*IF(B93="South Korea",korea_mid_revleg,revleg_mid))),1)-0.5)&lt;1E-9,2*ROUND((L93*M93*IF(B93="South Korea",korea_mid_revleg,revleg_mid))/2,0),ROUND((L93*M93*IF(B93="South Korea",korea_mid_revleg,revleg_mid)),0))*VLOOKUP(B93,country_opex,3,FALSE))+W93+X93+Y93+Z93+AA93))&lt;=0,"",VLOOKUP(B93,country_opex,7,FALSE)/((T93*pax_cap*IF(B93="South Korea",korea_mid_load,load_mid)*IF(ABS(MOD(ABS((L93*M93*IF(B93="South Korea",korea_mid_revleg,revleg_mid))),1)-0.5)&lt;1E-9,2*ROUND((L93*M93*IF(B93="South Korea",korea_mid_revleg,revleg_mid))/2,0),ROUND((L93*M93*IF(B93="South Korea",korea_mid_revleg,revleg_mid)),0)))-(((battery/range_nm)*D93*IF(ABS(MOD(ABS((L93*M93*IF(B93="South Korea",korea_mid_revleg,revleg_mid))),1)-0.5)&lt;1E-9,2*ROUND((L93*M93*IF(B93="South Korea",korea_mid_revleg,revleg_mid))/2,0),ROUND((L93*M93*IF(B93="South Korea",korea_mid_revleg,revleg_mid)),0))*VLOOKUP(B93,country_opex,3,FALSE))+W93+X93+Y93+Z93+AA93)))</f>
        <v/>
      </c>
      <c r="AX93" s="45">
        <f>IF(((T93*pax_cap*load_full*IF(ABS(MOD(ABS((L93*M93*revleg_full)),1)-0.5)&lt;1E-9,2*ROUND((L93*M93*revleg_full)/2,0),ROUND((L93*M93*revleg_full),0)))-(((battery/range_nm)*D93*IF(ABS(MOD(ABS((L93*M93*revleg_full)),1)-0.5)&lt;1E-9,2*ROUND((L93*M93*revleg_full)/2,0),ROUND((L93*M93*revleg_full),0))*VLOOKUP(B93,country_opex,3,FALSE))+W93+X93+Y93+Z93+AA93))&lt;=0,"",VLOOKUP(B93,country_opex,7,FALSE)/((T93*pax_cap*load_full*IF(ABS(MOD(ABS((L93*M93*revleg_full)),1)-0.5)&lt;1E-9,2*ROUND((L93*M93*revleg_full)/2,0),ROUND((L93*M93*revleg_full),0)))-(((battery/range_nm)*D93*IF(ABS(MOD(ABS((L93*M93*revleg_full)),1)-0.5)&lt;1E-9,2*ROUND((L93*M93*revleg_full)/2,0),ROUND((L93*M93*revleg_full),0))*VLOOKUP(B93,country_opex,3,FALSE))+W93+X93+Y93+Z93+AA93)))</f>
        <v/>
      </c>
      <c r="AY93" s="46" t="inlineStr">
        <is>
          <t>John Gray's Hong by Starlight 3,350 THB/pax agent rate (phukettoursdirect.com/hong-by-starlight.html) / USD 108.89 retail (Agoda activities listing); Phuket Sail Tours sunset/day band 2,200-2,800 THB (phuketexpatguide.com operator comparison, 2026); Simba Sea Trips premium small-group products (TripAdvisor-listed, 18-adult cap, award-positioned above mass market). Anchor = conservative mid of the 2,500-3,900 THB premium band ~ USD 90.</t>
        </is>
      </c>
      <c r="AZ93" s="46" t="n"/>
      <c r="BA93" s="34" t="inlineStr">
        <is>
          <t>gcn-f1b2ff834e-shared</t>
        </is>
      </c>
    </row>
    <row r="94">
      <c r="A94" s="31" t="inlineStr">
        <is>
          <t>Koh Samui</t>
        </is>
      </c>
      <c r="B94" s="31" t="inlineStr">
        <is>
          <t>Thailand</t>
        </is>
      </c>
      <c r="C94" s="32" t="inlineStr">
        <is>
          <t>Koh Samui (Lipa Noi) → Donsak (Raja Ferry pier)</t>
        </is>
      </c>
      <c r="D94" s="33" t="n">
        <v>14.3</v>
      </c>
      <c r="E94" s="27" t="n">
        <v>15.2</v>
      </c>
      <c r="F94" s="34" t="n"/>
      <c r="G94" s="34" t="inlineStr">
        <is>
          <t>T3</t>
        </is>
      </c>
      <c r="H94" s="20" t="n">
        <v>1</v>
      </c>
      <c r="I94" s="35">
        <f>60*D94/cruise_kt</f>
        <v/>
      </c>
      <c r="J94" s="35">
        <f>IF(B94="South Korea",D94/korea_charge_range_nm*korea_full_range_charge_min,0)</f>
        <v/>
      </c>
      <c r="K94" s="35">
        <f>IF(B94="South Korea",I94+korea_turn_min+korea_dwell_min+J94,I94+turn_min+dwell_min)</f>
        <v/>
      </c>
      <c r="L94" s="36">
        <f>IF(B94="South Korea",FLOOR(60*korea_service_hr/K94,1),MIN(24,FLOOR(60*service_hr/K94,1)))</f>
        <v/>
      </c>
      <c r="M94" s="36">
        <f>IF(ABS(MOD(ABS((365*mech_uptime*H94)),1)-0.5)&lt;1E-9,2*ROUND((365*mech_uptime*H94)/2,0),ROUND((365*mech_uptime*H94),0))</f>
        <v/>
      </c>
      <c r="N94" s="37">
        <f>mech_uptime</f>
        <v/>
      </c>
      <c r="O94" s="37">
        <f>IF(AND(B94="South Korea",scenario="MID"),korea_mid_revleg,revleg_sel)</f>
        <v/>
      </c>
      <c r="P94" s="36">
        <f>IF(ABS(MOD(ABS((L94*M94*O94)),1)-0.5)&lt;1E-9,2*ROUND((L94*M94*O94)/2,0),ROUND((L94*M94*O94),0))</f>
        <v/>
      </c>
      <c r="Q94" s="37">
        <f>IF(AND(B94="South Korea",scenario="MID"),korea_mid_load,load_sel)</f>
        <v/>
      </c>
      <c r="R94" s="38">
        <f>pax_cap*Q94</f>
        <v/>
      </c>
      <c r="S94" s="36">
        <f>R94*P94</f>
        <v/>
      </c>
      <c r="T94" s="39">
        <f>E94*discount</f>
        <v/>
      </c>
      <c r="U94" s="40">
        <f>T94*S94</f>
        <v/>
      </c>
      <c r="V94" s="40">
        <f>(battery/range_nm)*D94*P94*VLOOKUP(B94,country_opex,3,FALSE)</f>
        <v/>
      </c>
      <c r="W94" s="40">
        <f>VLOOKUP(B94,country_opex,2,FALSE)*crew_factor</f>
        <v/>
      </c>
      <c r="X94" s="40">
        <f>VLOOKUP(B94,country_opex,5,FALSE)</f>
        <v/>
      </c>
      <c r="Y94" s="40">
        <f>maint</f>
        <v/>
      </c>
      <c r="Z94" s="40">
        <f>VLOOKUP(B94,country_opex,7,FALSE)*ins_pct</f>
        <v/>
      </c>
      <c r="AA94" s="40">
        <f>charge_berth</f>
        <v/>
      </c>
      <c r="AB94" s="40">
        <f>V94+W94+X94+Y94+Z94+AA94</f>
        <v/>
      </c>
      <c r="AC94" s="40">
        <f>VLOOKUP(B94,country_opex,7,FALSE)/dep_years</f>
        <v/>
      </c>
      <c r="AD94" s="40">
        <f>U94-AB94</f>
        <v/>
      </c>
      <c r="AE94" s="37">
        <f>IF(U94=0,"",AD94/U94)</f>
        <v/>
      </c>
      <c r="AF94" s="38">
        <f>IF(AD94&lt;=0,"",VLOOKUP(B94,country_opex,7,FALSE)/AD94)</f>
        <v/>
      </c>
      <c r="AG94" s="35">
        <f>((D94*P94/diesel_nmpg)*diesel_co2pg-(battery/range_nm)*D94*P94*VLOOKUP(B94,country_opex,4,FALSE))/1000</f>
        <v/>
      </c>
      <c r="AH94" s="33" t="n">
        <v>666667</v>
      </c>
      <c r="AI94" s="34" t="inlineStr">
        <is>
          <t>T2</t>
        </is>
      </c>
      <c r="AJ94" s="34" t="inlineStr">
        <is>
          <t>med-low</t>
        </is>
      </c>
      <c r="AK94" s="41" t="n">
        <v>0.1</v>
      </c>
      <c r="AL94" s="36">
        <f>IF(AH94="","",AH94*AK94)</f>
        <v/>
      </c>
      <c r="AM94" s="36">
        <f>IF(OR(AH94="",S94=0),"",MIN(IF(AU94="",9.9E+99,AU94),FLOOR(AL94/S94,1)))</f>
        <v/>
      </c>
      <c r="AN94" s="40">
        <f>IF(AM94="","",AM94*IF(ABS(MOD(ABS((U94)),1)-0.5)&lt;1E-9,2*ROUND((U94)/2,0),ROUND((U94),0)))</f>
        <v/>
      </c>
      <c r="AO94" s="38">
        <f>IF(OR(AH94="",S94=0),"",MIN(IF(AU94="",9.9E+99,AU94),AL94/S94))</f>
        <v/>
      </c>
      <c r="AP94" s="40">
        <f>IF(AO94="","",AO94*IF(B94="South Korea",IF(ABS(MOD(ABS((U94)),1)-0.5)&lt;1E-9,2*ROUND((U94)/2,0),ROUND((U94),0)),U94))</f>
        <v/>
      </c>
      <c r="AQ94" s="42" t="n"/>
      <c r="AR94" s="34" t="inlineStr">
        <is>
          <t>Grounded</t>
        </is>
      </c>
      <c r="AS94" s="43" t="n"/>
      <c r="AT94" s="43" t="n"/>
      <c r="AU94" s="44" t="n"/>
      <c r="AV94" s="45">
        <f>IF(((T94*pax_cap*load_thin*IF(ABS(MOD(ABS((L94*M94*revleg_thin)),1)-0.5)&lt;1E-9,2*ROUND((L94*M94*revleg_thin)/2,0),ROUND((L94*M94*revleg_thin),0)))-(((battery/range_nm)*D94*IF(ABS(MOD(ABS((L94*M94*revleg_thin)),1)-0.5)&lt;1E-9,2*ROUND((L94*M94*revleg_thin)/2,0),ROUND((L94*M94*revleg_thin),0))*VLOOKUP(B94,country_opex,3,FALSE))+W94+X94+Y94+Z94+AA94))&lt;=0,"",VLOOKUP(B94,country_opex,7,FALSE)/((T94*pax_cap*load_thin*IF(ABS(MOD(ABS((L94*M94*revleg_thin)),1)-0.5)&lt;1E-9,2*ROUND((L94*M94*revleg_thin)/2,0),ROUND((L94*M94*revleg_thin),0)))-(((battery/range_nm)*D94*IF(ABS(MOD(ABS((L94*M94*revleg_thin)),1)-0.5)&lt;1E-9,2*ROUND((L94*M94*revleg_thin)/2,0),ROUND((L94*M94*revleg_thin),0))*VLOOKUP(B94,country_opex,3,FALSE))+W94+X94+Y94+Z94+AA94)))</f>
        <v/>
      </c>
      <c r="AW94" s="45">
        <f>IF(((T94*pax_cap*IF(B94="South Korea",korea_mid_load,load_mid)*IF(ABS(MOD(ABS((L94*M94*IF(B94="South Korea",korea_mid_revleg,revleg_mid))),1)-0.5)&lt;1E-9,2*ROUND((L94*M94*IF(B94="South Korea",korea_mid_revleg,revleg_mid))/2,0),ROUND((L94*M94*IF(B94="South Korea",korea_mid_revleg,revleg_mid)),0)))-(((battery/range_nm)*D94*IF(ABS(MOD(ABS((L94*M94*IF(B94="South Korea",korea_mid_revleg,revleg_mid))),1)-0.5)&lt;1E-9,2*ROUND((L94*M94*IF(B94="South Korea",korea_mid_revleg,revleg_mid))/2,0),ROUND((L94*M94*IF(B94="South Korea",korea_mid_revleg,revleg_mid)),0))*VLOOKUP(B94,country_opex,3,FALSE))+W94+X94+Y94+Z94+AA94))&lt;=0,"",VLOOKUP(B94,country_opex,7,FALSE)/((T94*pax_cap*IF(B94="South Korea",korea_mid_load,load_mid)*IF(ABS(MOD(ABS((L94*M94*IF(B94="South Korea",korea_mid_revleg,revleg_mid))),1)-0.5)&lt;1E-9,2*ROUND((L94*M94*IF(B94="South Korea",korea_mid_revleg,revleg_mid))/2,0),ROUND((L94*M94*IF(B94="South Korea",korea_mid_revleg,revleg_mid)),0)))-(((battery/range_nm)*D94*IF(ABS(MOD(ABS((L94*M94*IF(B94="South Korea",korea_mid_revleg,revleg_mid))),1)-0.5)&lt;1E-9,2*ROUND((L94*M94*IF(B94="South Korea",korea_mid_revleg,revleg_mid))/2,0),ROUND((L94*M94*IF(B94="South Korea",korea_mid_revleg,revleg_mid)),0))*VLOOKUP(B94,country_opex,3,FALSE))+W94+X94+Y94+Z94+AA94)))</f>
        <v/>
      </c>
      <c r="AX94" s="45">
        <f>IF(((T94*pax_cap*load_full*IF(ABS(MOD(ABS((L94*M94*revleg_full)),1)-0.5)&lt;1E-9,2*ROUND((L94*M94*revleg_full)/2,0),ROUND((L94*M94*revleg_full),0)))-(((battery/range_nm)*D94*IF(ABS(MOD(ABS((L94*M94*revleg_full)),1)-0.5)&lt;1E-9,2*ROUND((L94*M94*revleg_full)/2,0),ROUND((L94*M94*revleg_full),0))*VLOOKUP(B94,country_opex,3,FALSE))+W94+X94+Y94+Z94+AA94))&lt;=0,"",VLOOKUP(B94,country_opex,7,FALSE)/((T94*pax_cap*load_full*IF(ABS(MOD(ABS((L94*M94*revleg_full)),1)-0.5)&lt;1E-9,2*ROUND((L94*M94*revleg_full)/2,0),ROUND((L94*M94*revleg_full),0)))-(((battery/range_nm)*D94*IF(ABS(MOD(ABS((L94*M94*revleg_full)),1)-0.5)&lt;1E-9,2*ROUND((L94*M94*revleg_full)/2,0),ROUND((L94*M94*revleg_full),0))*VLOOKUP(B94,country_opex,3,FALSE))+W94+X94+Y94+Z94+AA94)))</f>
        <v/>
      </c>
      <c r="AY94" s="46" t="n"/>
      <c r="AZ94" s="46" t="inlineStr">
        <is>
          <t>SUBSET of rn-347c44e1d360 (do not sum). Raja Ferry Port (SET-listed, RP) company disclosure: ~1.2M passengers + ~600k vehicles carried in 2017 (+20% over 2016) across Donsak-Lipa Noi (Samui) and Donsak-Phangan routes; ~14 ferries, up to 50 trips/day (RP business plan via Koh Samui News/Samui Times; CreditRiskMonitor profile). RP FY2024 (2567) one-report exists but is a scanned PDF; per-route pax not machine-readable.</t>
        </is>
      </c>
      <c r="BA94" s="34" t="inlineStr">
        <is>
          <t>ics-5038f54700</t>
        </is>
      </c>
    </row>
    <row r="95">
      <c r="A95" s="31" t="inlineStr">
        <is>
          <t>Koh Samui</t>
        </is>
      </c>
      <c r="B95" s="31" t="inlineStr">
        <is>
          <t>Thailand</t>
        </is>
      </c>
      <c r="C95" s="32" t="inlineStr">
        <is>
          <t>Four Seasons Koh Samui (Laem Yai) → Ang Thong Marine Park (Wua Talap)</t>
        </is>
      </c>
      <c r="D95" s="33" t="n">
        <v>15.3</v>
      </c>
      <c r="E95" s="27" t="n">
        <v>79</v>
      </c>
      <c r="F95" s="34" t="n"/>
      <c r="G95" s="34" t="inlineStr">
        <is>
          <t>T3</t>
        </is>
      </c>
      <c r="H95" s="20" t="n">
        <v>1</v>
      </c>
      <c r="I95" s="35">
        <f>60*D95/cruise_kt</f>
        <v/>
      </c>
      <c r="J95" s="35">
        <f>IF(B95="South Korea",D95/korea_charge_range_nm*korea_full_range_charge_min,0)</f>
        <v/>
      </c>
      <c r="K95" s="35">
        <f>IF(B95="South Korea",I95+korea_turn_min+korea_dwell_min+J95,I95+turn_min+dwell_min)</f>
        <v/>
      </c>
      <c r="L95" s="36">
        <f>IF(B95="South Korea",FLOOR(60*korea_service_hr/K95,1),MIN(15,FLOOR(60*service_hr/K95,1)))</f>
        <v/>
      </c>
      <c r="M95" s="36">
        <f>IF(ABS(MOD(ABS((365*mech_uptime*H95)),1)-0.5)&lt;1E-9,2*ROUND((365*mech_uptime*H95)/2,0),ROUND((365*mech_uptime*H95),0))</f>
        <v/>
      </c>
      <c r="N95" s="37">
        <f>mech_uptime</f>
        <v/>
      </c>
      <c r="O95" s="37">
        <f>IF(AND(B95="South Korea",scenario="MID"),korea_mid_revleg,revleg_sel)</f>
        <v/>
      </c>
      <c r="P95" s="36">
        <f>IF(ABS(MOD(ABS((L95*M95*O95)),1)-0.5)&lt;1E-9,2*ROUND((L95*M95*O95)/2,0),ROUND((L95*M95*O95),0))</f>
        <v/>
      </c>
      <c r="Q95" s="37">
        <f>IF(AND(B95="South Korea",scenario="MID"),korea_mid_load,load_sel)</f>
        <v/>
      </c>
      <c r="R95" s="38">
        <f>pax_cap*Q95</f>
        <v/>
      </c>
      <c r="S95" s="36">
        <f>R95*P95</f>
        <v/>
      </c>
      <c r="T95" s="39">
        <f>E95*discount</f>
        <v/>
      </c>
      <c r="U95" s="40">
        <f>T95*S95</f>
        <v/>
      </c>
      <c r="V95" s="40">
        <f>(battery/range_nm)*D95*P95*VLOOKUP(B95,country_opex,3,FALSE)</f>
        <v/>
      </c>
      <c r="W95" s="40">
        <f>VLOOKUP(B95,country_opex,2,FALSE)*crew_factor</f>
        <v/>
      </c>
      <c r="X95" s="40">
        <f>VLOOKUP(B95,country_opex,5,FALSE)</f>
        <v/>
      </c>
      <c r="Y95" s="40">
        <f>maint</f>
        <v/>
      </c>
      <c r="Z95" s="40">
        <f>VLOOKUP(B95,country_opex,7,FALSE)*ins_pct</f>
        <v/>
      </c>
      <c r="AA95" s="40">
        <f>charge_berth</f>
        <v/>
      </c>
      <c r="AB95" s="40">
        <f>V95+W95+X95+Y95+Z95+AA95</f>
        <v/>
      </c>
      <c r="AC95" s="40">
        <f>VLOOKUP(B95,country_opex,7,FALSE)/dep_years</f>
        <v/>
      </c>
      <c r="AD95" s="40">
        <f>U95-AB95</f>
        <v/>
      </c>
      <c r="AE95" s="37">
        <f>IF(U95=0,"",AD95/U95)</f>
        <v/>
      </c>
      <c r="AF95" s="38">
        <f>IF(AD95&lt;=0,"",VLOOKUP(B95,country_opex,7,FALSE)/AD95)</f>
        <v/>
      </c>
      <c r="AG95" s="35">
        <f>((D95*P95/diesel_nmpg)*diesel_co2pg-(battery/range_nm)*D95*P95*VLOOKUP(B95,country_opex,4,FALSE))/1000</f>
        <v/>
      </c>
      <c r="AH95" s="33" t="n">
        <v>300000</v>
      </c>
      <c r="AI95" s="34" t="inlineStr">
        <is>
          <t>T2</t>
        </is>
      </c>
      <c r="AJ95" s="34" t="inlineStr">
        <is>
          <t>med-low</t>
        </is>
      </c>
      <c r="AK95" s="41" t="n">
        <v>0.9</v>
      </c>
      <c r="AL95" s="36">
        <f>IF(AH95="","",AH95*AK95)</f>
        <v/>
      </c>
      <c r="AM95" s="36">
        <f>IF(OR(AH95="",S95=0),"",MIN(IF(AU95="",9.9E+99,AU95),FLOOR(AL95/S95,1)))</f>
        <v/>
      </c>
      <c r="AN95" s="40">
        <f>IF(AM95="","",AM95*IF(ABS(MOD(ABS((U95)),1)-0.5)&lt;1E-9,2*ROUND((U95)/2,0),ROUND((U95),0)))</f>
        <v/>
      </c>
      <c r="AO95" s="38">
        <f>IF(OR(AH95="",S95=0),"",MIN(IF(AU95="",9.9E+99,AU95),AL95/S95))</f>
        <v/>
      </c>
      <c r="AP95" s="40">
        <f>IF(AO95="","",AO95*IF(B95="South Korea",IF(ABS(MOD(ABS((U95)),1)-0.5)&lt;1E-9,2*ROUND((U95)/2,0),ROUND((U95),0)),U95))</f>
        <v/>
      </c>
      <c r="AQ95" s="42" t="n"/>
      <c r="AR95" s="34" t="inlineStr">
        <is>
          <t>Grounded</t>
        </is>
      </c>
      <c r="AS95" s="43" t="n"/>
      <c r="AT95" s="43" t="n"/>
      <c r="AU95" s="44" t="n">
        <v>3</v>
      </c>
      <c r="AV95" s="45">
        <f>IF(((T95*pax_cap*load_thin*IF(ABS(MOD(ABS((L95*M95*revleg_thin)),1)-0.5)&lt;1E-9,2*ROUND((L95*M95*revleg_thin)/2,0),ROUND((L95*M95*revleg_thin),0)))-(((battery/range_nm)*D95*IF(ABS(MOD(ABS((L95*M95*revleg_thin)),1)-0.5)&lt;1E-9,2*ROUND((L95*M95*revleg_thin)/2,0),ROUND((L95*M95*revleg_thin),0))*VLOOKUP(B95,country_opex,3,FALSE))+W95+X95+Y95+Z95+AA95))&lt;=0,"",VLOOKUP(B95,country_opex,7,FALSE)/((T95*pax_cap*load_thin*IF(ABS(MOD(ABS((L95*M95*revleg_thin)),1)-0.5)&lt;1E-9,2*ROUND((L95*M95*revleg_thin)/2,0),ROUND((L95*M95*revleg_thin),0)))-(((battery/range_nm)*D95*IF(ABS(MOD(ABS((L95*M95*revleg_thin)),1)-0.5)&lt;1E-9,2*ROUND((L95*M95*revleg_thin)/2,0),ROUND((L95*M95*revleg_thin),0))*VLOOKUP(B95,country_opex,3,FALSE))+W95+X95+Y95+Z95+AA95)))</f>
        <v/>
      </c>
      <c r="AW95" s="45">
        <f>IF(((T95*pax_cap*IF(B95="South Korea",korea_mid_load,load_mid)*IF(ABS(MOD(ABS((L95*M95*IF(B95="South Korea",korea_mid_revleg,revleg_mid))),1)-0.5)&lt;1E-9,2*ROUND((L95*M95*IF(B95="South Korea",korea_mid_revleg,revleg_mid))/2,0),ROUND((L95*M95*IF(B95="South Korea",korea_mid_revleg,revleg_mid)),0)))-(((battery/range_nm)*D95*IF(ABS(MOD(ABS((L95*M95*IF(B95="South Korea",korea_mid_revleg,revleg_mid))),1)-0.5)&lt;1E-9,2*ROUND((L95*M95*IF(B95="South Korea",korea_mid_revleg,revleg_mid))/2,0),ROUND((L95*M95*IF(B95="South Korea",korea_mid_revleg,revleg_mid)),0))*VLOOKUP(B95,country_opex,3,FALSE))+W95+X95+Y95+Z95+AA95))&lt;=0,"",VLOOKUP(B95,country_opex,7,FALSE)/((T95*pax_cap*IF(B95="South Korea",korea_mid_load,load_mid)*IF(ABS(MOD(ABS((L95*M95*IF(B95="South Korea",korea_mid_revleg,revleg_mid))),1)-0.5)&lt;1E-9,2*ROUND((L95*M95*IF(B95="South Korea",korea_mid_revleg,revleg_mid))/2,0),ROUND((L95*M95*IF(B95="South Korea",korea_mid_revleg,revleg_mid)),0)))-(((battery/range_nm)*D95*IF(ABS(MOD(ABS((L95*M95*IF(B95="South Korea",korea_mid_revleg,revleg_mid))),1)-0.5)&lt;1E-9,2*ROUND((L95*M95*IF(B95="South Korea",korea_mid_revleg,revleg_mid))/2,0),ROUND((L95*M95*IF(B95="South Korea",korea_mid_revleg,revleg_mid)),0))*VLOOKUP(B95,country_opex,3,FALSE))+W95+X95+Y95+Z95+AA95)))</f>
        <v/>
      </c>
      <c r="AX95" s="45">
        <f>IF(((T95*pax_cap*load_full*IF(ABS(MOD(ABS((L95*M95*revleg_full)),1)-0.5)&lt;1E-9,2*ROUND((L95*M95*revleg_full)/2,0),ROUND((L95*M95*revleg_full),0)))-(((battery/range_nm)*D95*IF(ABS(MOD(ABS((L95*M95*revleg_full)),1)-0.5)&lt;1E-9,2*ROUND((L95*M95*revleg_full)/2,0),ROUND((L95*M95*revleg_full),0))*VLOOKUP(B95,country_opex,3,FALSE))+W95+X95+Y95+Z95+AA95))&lt;=0,"",VLOOKUP(B95,country_opex,7,FALSE)/((T95*pax_cap*load_full*IF(ABS(MOD(ABS((L95*M95*revleg_full)),1)-0.5)&lt;1E-9,2*ROUND((L95*M95*revleg_full)/2,0),ROUND((L95*M95*revleg_full),0)))-(((battery/range_nm)*D95*IF(ABS(MOD(ABS((L95*M95*revleg_full)),1)-0.5)&lt;1E-9,2*ROUND((L95*M95*revleg_full)/2,0),ROUND((L95*M95*revleg_full),0))*VLOOKUP(B95,country_opex,3,FALSE))+W95+X95+Y95+Z95+AA95)))</f>
        <v/>
      </c>
      <c r="AY95" s="46" t="n"/>
      <c r="AZ95" s="46" t="inlineStr">
        <is>
          <t>Mu Ko Ang Thong National Marine Park: ~160,000 park visitors/yr, ~85% foreign, &gt;THB 40M annual fee revenue (Thai PBS citing park authority, ~2024; DNP visitor-stats system catalog.dnp.go.th is the underlying register - R3-GOLD park-authority class). Park is boat-only and closed annually 1 Nov-15 Dec. Licensed speedboat day tours depart Samui (and Phangan) daily in season.</t>
        </is>
      </c>
      <c r="BA95" s="34" t="inlineStr">
        <is>
          <t>rn-fa231ce52b52</t>
        </is>
      </c>
    </row>
    <row r="96">
      <c r="A96" s="31" t="inlineStr">
        <is>
          <t>Phuket</t>
        </is>
      </c>
      <c r="B96" s="31" t="inlineStr">
        <is>
          <t>Thailand</t>
        </is>
      </c>
      <c r="C96" s="32" t="inlineStr">
        <is>
          <t>Rassada Pier (Phuket Deep Sea Port) → Manoh Pier (Koh Yao Yai)</t>
        </is>
      </c>
      <c r="D96" s="33" t="n">
        <v>16.9</v>
      </c>
      <c r="E96" s="27" t="n">
        <v>100</v>
      </c>
      <c r="F96" s="34" t="inlineStr">
        <is>
          <t>T2</t>
        </is>
      </c>
      <c r="G96" s="34" t="inlineStr">
        <is>
          <t>med</t>
        </is>
      </c>
      <c r="H96" s="20" t="n">
        <v>1</v>
      </c>
      <c r="I96" s="35">
        <f>60*D96/cruise_kt</f>
        <v/>
      </c>
      <c r="J96" s="35">
        <f>IF(B96="South Korea",D96/korea_charge_range_nm*korea_full_range_charge_min,0)</f>
        <v/>
      </c>
      <c r="K96" s="35">
        <f>IF(B96="South Korea",I96+korea_turn_min+korea_dwell_min+J96,I96+turn_min+dwell_min)</f>
        <v/>
      </c>
      <c r="L96" s="36">
        <f>IF(B96="South Korea",FLOOR(60*korea_service_hr/K96,1),MIN(15,FLOOR(60*service_hr/K96,1)))</f>
        <v/>
      </c>
      <c r="M96" s="36">
        <f>IF(ABS(MOD(ABS((365*mech_uptime*H96)),1)-0.5)&lt;1E-9,2*ROUND((365*mech_uptime*H96)/2,0),ROUND((365*mech_uptime*H96),0))</f>
        <v/>
      </c>
      <c r="N96" s="37">
        <f>mech_uptime</f>
        <v/>
      </c>
      <c r="O96" s="37">
        <f>IF(AND(B96="South Korea",scenario="MID"),korea_mid_revleg,revleg_sel)</f>
        <v/>
      </c>
      <c r="P96" s="36">
        <f>IF(ABS(MOD(ABS((L96*M96*O96)),1)-0.5)&lt;1E-9,2*ROUND((L96*M96*O96)/2,0),ROUND((L96*M96*O96),0))</f>
        <v/>
      </c>
      <c r="Q96" s="37">
        <f>IF(AND(B96="South Korea",scenario="MID"),korea_mid_load,load_sel)</f>
        <v/>
      </c>
      <c r="R96" s="38">
        <f>pax_cap*Q96</f>
        <v/>
      </c>
      <c r="S96" s="36">
        <f>R96*P96</f>
        <v/>
      </c>
      <c r="T96" s="39">
        <f>E96*discount</f>
        <v/>
      </c>
      <c r="U96" s="40">
        <f>T96*S96</f>
        <v/>
      </c>
      <c r="V96" s="40">
        <f>(battery/range_nm)*D96*P96*VLOOKUP(B96,country_opex,3,FALSE)</f>
        <v/>
      </c>
      <c r="W96" s="40">
        <f>VLOOKUP(B96,country_opex,2,FALSE)*crew_factor</f>
        <v/>
      </c>
      <c r="X96" s="40">
        <f>VLOOKUP(B96,country_opex,5,FALSE)</f>
        <v/>
      </c>
      <c r="Y96" s="40">
        <f>maint</f>
        <v/>
      </c>
      <c r="Z96" s="40">
        <f>VLOOKUP(B96,country_opex,7,FALSE)*ins_pct</f>
        <v/>
      </c>
      <c r="AA96" s="40">
        <f>charge_berth</f>
        <v/>
      </c>
      <c r="AB96" s="40">
        <f>V96+W96+X96+Y96+Z96+AA96</f>
        <v/>
      </c>
      <c r="AC96" s="40">
        <f>VLOOKUP(B96,country_opex,7,FALSE)/dep_years</f>
        <v/>
      </c>
      <c r="AD96" s="40">
        <f>U96-AB96</f>
        <v/>
      </c>
      <c r="AE96" s="37">
        <f>IF(U96=0,"",AD96/U96)</f>
        <v/>
      </c>
      <c r="AF96" s="38">
        <f>IF(AD96&lt;=0,"",VLOOKUP(B96,country_opex,7,FALSE)/AD96)</f>
        <v/>
      </c>
      <c r="AG96" s="35">
        <f>((D96*P96/diesel_nmpg)*diesel_co2pg-(battery/range_nm)*D96*P96*VLOOKUP(B96,country_opex,4,FALSE))/1000</f>
        <v/>
      </c>
      <c r="AH96" s="33" t="n">
        <v>8500</v>
      </c>
      <c r="AI96" s="34" t="inlineStr">
        <is>
          <t>T2</t>
        </is>
      </c>
      <c r="AJ96" s="34" t="inlineStr">
        <is>
          <t>med</t>
        </is>
      </c>
      <c r="AK96" s="41" t="n">
        <v>0.9</v>
      </c>
      <c r="AL96" s="36">
        <f>IF(AH96="","",AH96*AK96)</f>
        <v/>
      </c>
      <c r="AM96" s="36">
        <f>IF(OR(AH96="",S96=0),"",MIN(IF(AU96="",9.9E+99,AU96),FLOOR(AL96/S96,1)))</f>
        <v/>
      </c>
      <c r="AN96" s="40">
        <f>IF(AM96="","",AM96*IF(ABS(MOD(ABS((U96)),1)-0.5)&lt;1E-9,2*ROUND((U96)/2,0),ROUND((U96),0)))</f>
        <v/>
      </c>
      <c r="AO96" s="38">
        <f>IF(OR(AH96="",S96=0),"",MIN(IF(AU96="",9.9E+99,AU96),AL96/S96))</f>
        <v/>
      </c>
      <c r="AP96" s="40">
        <f>IF(AO96="","",AO96*IF(B96="South Korea",IF(ABS(MOD(ABS((U96)),1)-0.5)&lt;1E-9,2*ROUND((U96)/2,0),ROUND((U96),0)),U96))</f>
        <v/>
      </c>
      <c r="AQ96" s="42" t="n"/>
      <c r="AR96" s="34" t="inlineStr">
        <is>
          <t>Grounded</t>
        </is>
      </c>
      <c r="AS96" s="43" t="n"/>
      <c r="AT96" s="43" t="n"/>
      <c r="AU96" s="44" t="n"/>
      <c r="AV96" s="45">
        <f>IF(((T96*pax_cap*load_thin*IF(ABS(MOD(ABS((L96*M96*revleg_thin)),1)-0.5)&lt;1E-9,2*ROUND((L96*M96*revleg_thin)/2,0),ROUND((L96*M96*revleg_thin),0)))-(((battery/range_nm)*D96*IF(ABS(MOD(ABS((L96*M96*revleg_thin)),1)-0.5)&lt;1E-9,2*ROUND((L96*M96*revleg_thin)/2,0),ROUND((L96*M96*revleg_thin),0))*VLOOKUP(B96,country_opex,3,FALSE))+W96+X96+Y96+Z96+AA96))&lt;=0,"",VLOOKUP(B96,country_opex,7,FALSE)/((T96*pax_cap*load_thin*IF(ABS(MOD(ABS((L96*M96*revleg_thin)),1)-0.5)&lt;1E-9,2*ROUND((L96*M96*revleg_thin)/2,0),ROUND((L96*M96*revleg_thin),0)))-(((battery/range_nm)*D96*IF(ABS(MOD(ABS((L96*M96*revleg_thin)),1)-0.5)&lt;1E-9,2*ROUND((L96*M96*revleg_thin)/2,0),ROUND((L96*M96*revleg_thin),0))*VLOOKUP(B96,country_opex,3,FALSE))+W96+X96+Y96+Z96+AA96)))</f>
        <v/>
      </c>
      <c r="AW96" s="45">
        <f>IF(((T96*pax_cap*IF(B96="South Korea",korea_mid_load,load_mid)*IF(ABS(MOD(ABS((L96*M96*IF(B96="South Korea",korea_mid_revleg,revleg_mid))),1)-0.5)&lt;1E-9,2*ROUND((L96*M96*IF(B96="South Korea",korea_mid_revleg,revleg_mid))/2,0),ROUND((L96*M96*IF(B96="South Korea",korea_mid_revleg,revleg_mid)),0)))-(((battery/range_nm)*D96*IF(ABS(MOD(ABS((L96*M96*IF(B96="South Korea",korea_mid_revleg,revleg_mid))),1)-0.5)&lt;1E-9,2*ROUND((L96*M96*IF(B96="South Korea",korea_mid_revleg,revleg_mid))/2,0),ROUND((L96*M96*IF(B96="South Korea",korea_mid_revleg,revleg_mid)),0))*VLOOKUP(B96,country_opex,3,FALSE))+W96+X96+Y96+Z96+AA96))&lt;=0,"",VLOOKUP(B96,country_opex,7,FALSE)/((T96*pax_cap*IF(B96="South Korea",korea_mid_load,load_mid)*IF(ABS(MOD(ABS((L96*M96*IF(B96="South Korea",korea_mid_revleg,revleg_mid))),1)-0.5)&lt;1E-9,2*ROUND((L96*M96*IF(B96="South Korea",korea_mid_revleg,revleg_mid))/2,0),ROUND((L96*M96*IF(B96="South Korea",korea_mid_revleg,revleg_mid)),0)))-(((battery/range_nm)*D96*IF(ABS(MOD(ABS((L96*M96*IF(B96="South Korea",korea_mid_revleg,revleg_mid))),1)-0.5)&lt;1E-9,2*ROUND((L96*M96*IF(B96="South Korea",korea_mid_revleg,revleg_mid))/2,0),ROUND((L96*M96*IF(B96="South Korea",korea_mid_revleg,revleg_mid)),0))*VLOOKUP(B96,country_opex,3,FALSE))+W96+X96+Y96+Z96+AA96)))</f>
        <v/>
      </c>
      <c r="AX96" s="45">
        <f>IF(((T96*pax_cap*load_full*IF(ABS(MOD(ABS((L96*M96*revleg_full)),1)-0.5)&lt;1E-9,2*ROUND((L96*M96*revleg_full)/2,0),ROUND((L96*M96*revleg_full),0)))-(((battery/range_nm)*D96*IF(ABS(MOD(ABS((L96*M96*revleg_full)),1)-0.5)&lt;1E-9,2*ROUND((L96*M96*revleg_full)/2,0),ROUND((L96*M96*revleg_full),0))*VLOOKUP(B96,country_opex,3,FALSE))+W96+X96+Y96+Z96+AA96))&lt;=0,"",VLOOKUP(B96,country_opex,7,FALSE)/((T96*pax_cap*load_full*IF(ABS(MOD(ABS((L96*M96*revleg_full)),1)-0.5)&lt;1E-9,2*ROUND((L96*M96*revleg_full)/2,0),ROUND((L96*M96*revleg_full),0)))-(((battery/range_nm)*D96*IF(ABS(MOD(ABS((L96*M96*revleg_full)),1)-0.5)&lt;1E-9,2*ROUND((L96*M96*revleg_full)/2,0),ROUND((L96*M96*revleg_full),0))*VLOOKUP(B96,country_opex,3,FALSE))+W96+X96+Y96+Z96+AA96)))</f>
        <v/>
      </c>
      <c r="AY96" s="46" t="inlineStr">
        <is>
          <t>Minor Hotels captive gateway — Anantara Koh Yao Yai boat-only transfer from Phuket.</t>
        </is>
      </c>
      <c r="AZ96" s="46" t="inlineStr">
        <is>
          <t>minor-hotels-phuket-flagship-economics-DRAFT.json — Koh Yao Yai captive transfer pool</t>
        </is>
      </c>
      <c r="BA96" s="34" t="inlineStr">
        <is>
          <t>rn-830bd4d377ca</t>
        </is>
      </c>
    </row>
    <row r="97">
      <c r="A97" s="31" t="inlineStr">
        <is>
          <t>Koh Samui</t>
        </is>
      </c>
      <c r="B97" s="31" t="inlineStr">
        <is>
          <t>Thailand</t>
        </is>
      </c>
      <c r="C97" s="32" t="inlineStr">
        <is>
          <t>Koh Samui (Nathon) → Donsak (Seatran harbour)</t>
        </is>
      </c>
      <c r="D97" s="33" t="n">
        <v>17.9</v>
      </c>
      <c r="E97" s="27" t="n">
        <v>15.2</v>
      </c>
      <c r="F97" s="34" t="n"/>
      <c r="G97" s="34" t="inlineStr">
        <is>
          <t>T3</t>
        </is>
      </c>
      <c r="H97" s="20" t="n">
        <v>1</v>
      </c>
      <c r="I97" s="35">
        <f>60*D97/cruise_kt</f>
        <v/>
      </c>
      <c r="J97" s="35">
        <f>IF(B97="South Korea",D97/korea_charge_range_nm*korea_full_range_charge_min,0)</f>
        <v/>
      </c>
      <c r="K97" s="35">
        <f>IF(B97="South Korea",I97+korea_turn_min+korea_dwell_min+J97,I97+turn_min+dwell_min)</f>
        <v/>
      </c>
      <c r="L97" s="36">
        <f>IF(B97="South Korea",FLOOR(60*korea_service_hr/K97,1),MIN(24,FLOOR(60*service_hr/K97,1)))</f>
        <v/>
      </c>
      <c r="M97" s="36">
        <f>IF(ABS(MOD(ABS((365*mech_uptime*H97)),1)-0.5)&lt;1E-9,2*ROUND((365*mech_uptime*H97)/2,0),ROUND((365*mech_uptime*H97),0))</f>
        <v/>
      </c>
      <c r="N97" s="37">
        <f>mech_uptime</f>
        <v/>
      </c>
      <c r="O97" s="37">
        <f>IF(AND(B97="South Korea",scenario="MID"),korea_mid_revleg,revleg_sel)</f>
        <v/>
      </c>
      <c r="P97" s="36">
        <f>IF(ABS(MOD(ABS((L97*M97*O97)),1)-0.5)&lt;1E-9,2*ROUND((L97*M97*O97)/2,0),ROUND((L97*M97*O97),0))</f>
        <v/>
      </c>
      <c r="Q97" s="37">
        <f>IF(AND(B97="South Korea",scenario="MID"),korea_mid_load,load_sel)</f>
        <v/>
      </c>
      <c r="R97" s="38">
        <f>pax_cap*Q97</f>
        <v/>
      </c>
      <c r="S97" s="36">
        <f>R97*P97</f>
        <v/>
      </c>
      <c r="T97" s="39">
        <f>E97*discount</f>
        <v/>
      </c>
      <c r="U97" s="40">
        <f>T97*S97</f>
        <v/>
      </c>
      <c r="V97" s="40">
        <f>(battery/range_nm)*D97*P97*VLOOKUP(B97,country_opex,3,FALSE)</f>
        <v/>
      </c>
      <c r="W97" s="40">
        <f>VLOOKUP(B97,country_opex,2,FALSE)*crew_factor</f>
        <v/>
      </c>
      <c r="X97" s="40">
        <f>VLOOKUP(B97,country_opex,5,FALSE)</f>
        <v/>
      </c>
      <c r="Y97" s="40">
        <f>maint</f>
        <v/>
      </c>
      <c r="Z97" s="40">
        <f>VLOOKUP(B97,country_opex,7,FALSE)*ins_pct</f>
        <v/>
      </c>
      <c r="AA97" s="40">
        <f>charge_berth</f>
        <v/>
      </c>
      <c r="AB97" s="40">
        <f>V97+W97+X97+Y97+Z97+AA97</f>
        <v/>
      </c>
      <c r="AC97" s="40">
        <f>VLOOKUP(B97,country_opex,7,FALSE)/dep_years</f>
        <v/>
      </c>
      <c r="AD97" s="40">
        <f>U97-AB97</f>
        <v/>
      </c>
      <c r="AE97" s="37">
        <f>IF(U97=0,"",AD97/U97)</f>
        <v/>
      </c>
      <c r="AF97" s="38">
        <f>IF(AD97&lt;=0,"",VLOOKUP(B97,country_opex,7,FALSE)/AD97)</f>
        <v/>
      </c>
      <c r="AG97" s="35">
        <f>((D97*P97/diesel_nmpg)*diesel_co2pg-(battery/range_nm)*D97*P97*VLOOKUP(B97,country_opex,4,FALSE))/1000</f>
        <v/>
      </c>
      <c r="AH97" s="33" t="n">
        <v>666667</v>
      </c>
      <c r="AI97" s="34" t="inlineStr">
        <is>
          <t>T5</t>
        </is>
      </c>
      <c r="AJ97" s="34" t="inlineStr">
        <is>
          <t>low-med</t>
        </is>
      </c>
      <c r="AK97" s="41" t="n">
        <v>0.1</v>
      </c>
      <c r="AL97" s="36">
        <f>IF(AH97="","",AH97*AK97)</f>
        <v/>
      </c>
      <c r="AM97" s="36">
        <f>IF(OR(AH97="",S97=0),"",MIN(IF(AU97="",9.9E+99,AU97),FLOOR(AL97/S97,1)))</f>
        <v/>
      </c>
      <c r="AN97" s="40">
        <f>IF(AM97="","",AM97*IF(ABS(MOD(ABS((U97)),1)-0.5)&lt;1E-9,2*ROUND((U97)/2,0),ROUND((U97),0)))</f>
        <v/>
      </c>
      <c r="AO97" s="38">
        <f>IF(OR(AH97="",S97=0),"",MIN(IF(AU97="",9.9E+99,AU97),AL97/S97))</f>
        <v/>
      </c>
      <c r="AP97" s="40">
        <f>IF(AO97="","",AO97*IF(B97="South Korea",IF(ABS(MOD(ABS((U97)),1)-0.5)&lt;1E-9,2*ROUND((U97)/2,0),ROUND((U97),0)),U97))</f>
        <v/>
      </c>
      <c r="AQ97" s="42" t="n"/>
      <c r="AR97" s="34" t="inlineStr">
        <is>
          <t>Grounded</t>
        </is>
      </c>
      <c r="AS97" s="43" t="n"/>
      <c r="AT97" s="43" t="n"/>
      <c r="AU97" s="44" t="n"/>
      <c r="AV97" s="45">
        <f>IF(((T97*pax_cap*load_thin*IF(ABS(MOD(ABS((L97*M97*revleg_thin)),1)-0.5)&lt;1E-9,2*ROUND((L97*M97*revleg_thin)/2,0),ROUND((L97*M97*revleg_thin),0)))-(((battery/range_nm)*D97*IF(ABS(MOD(ABS((L97*M97*revleg_thin)),1)-0.5)&lt;1E-9,2*ROUND((L97*M97*revleg_thin)/2,0),ROUND((L97*M97*revleg_thin),0))*VLOOKUP(B97,country_opex,3,FALSE))+W97+X97+Y97+Z97+AA97))&lt;=0,"",VLOOKUP(B97,country_opex,7,FALSE)/((T97*pax_cap*load_thin*IF(ABS(MOD(ABS((L97*M97*revleg_thin)),1)-0.5)&lt;1E-9,2*ROUND((L97*M97*revleg_thin)/2,0),ROUND((L97*M97*revleg_thin),0)))-(((battery/range_nm)*D97*IF(ABS(MOD(ABS((L97*M97*revleg_thin)),1)-0.5)&lt;1E-9,2*ROUND((L97*M97*revleg_thin)/2,0),ROUND((L97*M97*revleg_thin),0))*VLOOKUP(B97,country_opex,3,FALSE))+W97+X97+Y97+Z97+AA97)))</f>
        <v/>
      </c>
      <c r="AW97" s="45">
        <f>IF(((T97*pax_cap*IF(B97="South Korea",korea_mid_load,load_mid)*IF(ABS(MOD(ABS((L97*M97*IF(B97="South Korea",korea_mid_revleg,revleg_mid))),1)-0.5)&lt;1E-9,2*ROUND((L97*M97*IF(B97="South Korea",korea_mid_revleg,revleg_mid))/2,0),ROUND((L97*M97*IF(B97="South Korea",korea_mid_revleg,revleg_mid)),0)))-(((battery/range_nm)*D97*IF(ABS(MOD(ABS((L97*M97*IF(B97="South Korea",korea_mid_revleg,revleg_mid))),1)-0.5)&lt;1E-9,2*ROUND((L97*M97*IF(B97="South Korea",korea_mid_revleg,revleg_mid))/2,0),ROUND((L97*M97*IF(B97="South Korea",korea_mid_revleg,revleg_mid)),0))*VLOOKUP(B97,country_opex,3,FALSE))+W97+X97+Y97+Z97+AA97))&lt;=0,"",VLOOKUP(B97,country_opex,7,FALSE)/((T97*pax_cap*IF(B97="South Korea",korea_mid_load,load_mid)*IF(ABS(MOD(ABS((L97*M97*IF(B97="South Korea",korea_mid_revleg,revleg_mid))),1)-0.5)&lt;1E-9,2*ROUND((L97*M97*IF(B97="South Korea",korea_mid_revleg,revleg_mid))/2,0),ROUND((L97*M97*IF(B97="South Korea",korea_mid_revleg,revleg_mid)),0)))-(((battery/range_nm)*D97*IF(ABS(MOD(ABS((L97*M97*IF(B97="South Korea",korea_mid_revleg,revleg_mid))),1)-0.5)&lt;1E-9,2*ROUND((L97*M97*IF(B97="South Korea",korea_mid_revleg,revleg_mid))/2,0),ROUND((L97*M97*IF(B97="South Korea",korea_mid_revleg,revleg_mid)),0))*VLOOKUP(B97,country_opex,3,FALSE))+W97+X97+Y97+Z97+AA97)))</f>
        <v/>
      </c>
      <c r="AX97" s="45">
        <f>IF(((T97*pax_cap*load_full*IF(ABS(MOD(ABS((L97*M97*revleg_full)),1)-0.5)&lt;1E-9,2*ROUND((L97*M97*revleg_full)/2,0),ROUND((L97*M97*revleg_full),0)))-(((battery/range_nm)*D97*IF(ABS(MOD(ABS((L97*M97*revleg_full)),1)-0.5)&lt;1E-9,2*ROUND((L97*M97*revleg_full)/2,0),ROUND((L97*M97*revleg_full),0))*VLOOKUP(B97,country_opex,3,FALSE))+W97+X97+Y97+Z97+AA97))&lt;=0,"",VLOOKUP(B97,country_opex,7,FALSE)/((T97*pax_cap*load_full*IF(ABS(MOD(ABS((L97*M97*revleg_full)),1)-0.5)&lt;1E-9,2*ROUND((L97*M97*revleg_full)/2,0),ROUND((L97*M97*revleg_full),0)))-(((battery/range_nm)*D97*IF(ABS(MOD(ABS((L97*M97*revleg_full)),1)-0.5)&lt;1E-9,2*ROUND((L97*M97*revleg_full)/2,0),ROUND((L97*M97*revleg_full),0))*VLOOKUP(B97,country_opex,3,FALSE))+W97+X97+Y97+Z97+AA97)))</f>
        <v/>
      </c>
      <c r="AY97" s="46" t="n"/>
      <c r="AZ97" s="46" t="inlineStr">
        <is>
          <t>SUBSET of rn-347c44e1d360 (do not sum). Seatran Ferry: 6 vessels, ~hourly departures 05:00-19:00 each way, 13-16 kt, ~1.5h crossing, ~450-pax + ~70-car capacity per vessel (Tripadvisor operator page; thailandboattickets.com; C9 Hotelworks cited in city brief). No published Seatran annual ridership found.</t>
        </is>
      </c>
      <c r="BA97" s="34" t="inlineStr">
        <is>
          <t>ics-5038f54700</t>
        </is>
      </c>
    </row>
    <row r="98">
      <c r="A98" s="31" t="inlineStr">
        <is>
          <t>Phuket</t>
        </is>
      </c>
      <c r="B98" s="31" t="inlineStr">
        <is>
          <t>Thailand</t>
        </is>
      </c>
      <c r="C98" s="32" t="inlineStr">
        <is>
          <t>Phuket (Royal Phuket Marina) → Phang Nga Bay / James Bond Island</t>
        </is>
      </c>
      <c r="D98" s="33" t="n">
        <v>20</v>
      </c>
      <c r="E98" s="27" t="n">
        <v>72</v>
      </c>
      <c r="F98" s="34" t="inlineStr">
        <is>
          <t>T3</t>
        </is>
      </c>
      <c r="G98" s="34" t="inlineStr">
        <is>
          <t>med</t>
        </is>
      </c>
      <c r="H98" s="20" t="n">
        <v>1</v>
      </c>
      <c r="I98" s="35">
        <f>60*D98/cruise_kt</f>
        <v/>
      </c>
      <c r="J98" s="35">
        <f>IF(B98="South Korea",D98/korea_charge_range_nm*korea_full_range_charge_min,0)</f>
        <v/>
      </c>
      <c r="K98" s="35">
        <f>IF(B98="South Korea",I98+korea_turn_min+korea_dwell_min+J98,I98+turn_min+dwell_min)</f>
        <v/>
      </c>
      <c r="L98" s="36">
        <f>IF(B98="South Korea",FLOOR(60*korea_service_hr/K98,1),MIN(15,FLOOR(60*service_hr/K98,1)))</f>
        <v/>
      </c>
      <c r="M98" s="36">
        <f>IF(ABS(MOD(ABS((365*mech_uptime*H98)),1)-0.5)&lt;1E-9,2*ROUND((365*mech_uptime*H98)/2,0),ROUND((365*mech_uptime*H98),0))</f>
        <v/>
      </c>
      <c r="N98" s="37">
        <f>mech_uptime</f>
        <v/>
      </c>
      <c r="O98" s="37">
        <f>IF(AND(B98="South Korea",scenario="MID"),korea_mid_revleg,revleg_sel)</f>
        <v/>
      </c>
      <c r="P98" s="36">
        <f>IF(ABS(MOD(ABS((L98*M98*O98)),1)-0.5)&lt;1E-9,2*ROUND((L98*M98*O98)/2,0),ROUND((L98*M98*O98),0))</f>
        <v/>
      </c>
      <c r="Q98" s="37">
        <f>IF(AND(B98="South Korea",scenario="MID"),korea_mid_load,load_sel)</f>
        <v/>
      </c>
      <c r="R98" s="38">
        <f>pax_cap*Q98</f>
        <v/>
      </c>
      <c r="S98" s="36">
        <f>R98*P98</f>
        <v/>
      </c>
      <c r="T98" s="39">
        <f>E98*discount</f>
        <v/>
      </c>
      <c r="U98" s="40">
        <f>T98*S98</f>
        <v/>
      </c>
      <c r="V98" s="40">
        <f>(battery/range_nm)*D98*P98*VLOOKUP(B98,country_opex,3,FALSE)</f>
        <v/>
      </c>
      <c r="W98" s="40">
        <f>VLOOKUP(B98,country_opex,2,FALSE)*crew_factor</f>
        <v/>
      </c>
      <c r="X98" s="40">
        <f>VLOOKUP(B98,country_opex,5,FALSE)</f>
        <v/>
      </c>
      <c r="Y98" s="40">
        <f>maint</f>
        <v/>
      </c>
      <c r="Z98" s="40">
        <f>VLOOKUP(B98,country_opex,7,FALSE)*ins_pct</f>
        <v/>
      </c>
      <c r="AA98" s="40">
        <f>charge_berth</f>
        <v/>
      </c>
      <c r="AB98" s="40">
        <f>V98+W98+X98+Y98+Z98+AA98</f>
        <v/>
      </c>
      <c r="AC98" s="40">
        <f>VLOOKUP(B98,country_opex,7,FALSE)/dep_years</f>
        <v/>
      </c>
      <c r="AD98" s="40">
        <f>U98-AB98</f>
        <v/>
      </c>
      <c r="AE98" s="37">
        <f>IF(U98=0,"",AD98/U98)</f>
        <v/>
      </c>
      <c r="AF98" s="38">
        <f>IF(AD98&lt;=0,"",VLOOKUP(B98,country_opex,7,FALSE)/AD98)</f>
        <v/>
      </c>
      <c r="AG98" s="35">
        <f>((D98*P98/diesel_nmpg)*diesel_co2pg-(battery/range_nm)*D98*P98*VLOOKUP(B98,country_opex,4,FALSE))/1000</f>
        <v/>
      </c>
      <c r="AH98" s="33" t="n">
        <v>580000</v>
      </c>
      <c r="AI98" s="34" t="inlineStr">
        <is>
          <t>T2</t>
        </is>
      </c>
      <c r="AJ98" s="34" t="inlineStr">
        <is>
          <t>med</t>
        </is>
      </c>
      <c r="AK98" s="41" t="n">
        <v>0.1</v>
      </c>
      <c r="AL98" s="36">
        <f>IF(AH98="","",AH98*AK98)</f>
        <v/>
      </c>
      <c r="AM98" s="36">
        <f>IF(OR(AH98="",S98=0),"",MIN(IF(AU98="",9.9E+99,AU98),FLOOR(AL98/S98,1)))</f>
        <v/>
      </c>
      <c r="AN98" s="40">
        <f>IF(AM98="","",AM98*IF(ABS(MOD(ABS((U98)),1)-0.5)&lt;1E-9,2*ROUND((U98)/2,0),ROUND((U98),0)))</f>
        <v/>
      </c>
      <c r="AO98" s="38">
        <f>IF(OR(AH98="",S98=0),"",MIN(IF(AU98="",9.9E+99,AU98),AL98/S98))</f>
        <v/>
      </c>
      <c r="AP98" s="40">
        <f>IF(AO98="","",AO98*IF(B98="South Korea",IF(ABS(MOD(ABS((U98)),1)-0.5)&lt;1E-9,2*ROUND((U98)/2,0),ROUND((U98),0)),U98))</f>
        <v/>
      </c>
      <c r="AQ98" s="42" t="n"/>
      <c r="AR98" s="34" t="inlineStr">
        <is>
          <t>Grounded</t>
        </is>
      </c>
      <c r="AS98" s="43" t="n"/>
      <c r="AT98" s="43" t="n"/>
      <c r="AU98" s="44" t="n"/>
      <c r="AV98" s="45">
        <f>IF(((T98*pax_cap*load_thin*IF(ABS(MOD(ABS((L98*M98*revleg_thin)),1)-0.5)&lt;1E-9,2*ROUND((L98*M98*revleg_thin)/2,0),ROUND((L98*M98*revleg_thin),0)))-(((battery/range_nm)*D98*IF(ABS(MOD(ABS((L98*M98*revleg_thin)),1)-0.5)&lt;1E-9,2*ROUND((L98*M98*revleg_thin)/2,0),ROUND((L98*M98*revleg_thin),0))*VLOOKUP(B98,country_opex,3,FALSE))+W98+X98+Y98+Z98+AA98))&lt;=0,"",VLOOKUP(B98,country_opex,7,FALSE)/((T98*pax_cap*load_thin*IF(ABS(MOD(ABS((L98*M98*revleg_thin)),1)-0.5)&lt;1E-9,2*ROUND((L98*M98*revleg_thin)/2,0),ROUND((L98*M98*revleg_thin),0)))-(((battery/range_nm)*D98*IF(ABS(MOD(ABS((L98*M98*revleg_thin)),1)-0.5)&lt;1E-9,2*ROUND((L98*M98*revleg_thin)/2,0),ROUND((L98*M98*revleg_thin),0))*VLOOKUP(B98,country_opex,3,FALSE))+W98+X98+Y98+Z98+AA98)))</f>
        <v/>
      </c>
      <c r="AW98" s="45">
        <f>IF(((T98*pax_cap*IF(B98="South Korea",korea_mid_load,load_mid)*IF(ABS(MOD(ABS((L98*M98*IF(B98="South Korea",korea_mid_revleg,revleg_mid))),1)-0.5)&lt;1E-9,2*ROUND((L98*M98*IF(B98="South Korea",korea_mid_revleg,revleg_mid))/2,0),ROUND((L98*M98*IF(B98="South Korea",korea_mid_revleg,revleg_mid)),0)))-(((battery/range_nm)*D98*IF(ABS(MOD(ABS((L98*M98*IF(B98="South Korea",korea_mid_revleg,revleg_mid))),1)-0.5)&lt;1E-9,2*ROUND((L98*M98*IF(B98="South Korea",korea_mid_revleg,revleg_mid))/2,0),ROUND((L98*M98*IF(B98="South Korea",korea_mid_revleg,revleg_mid)),0))*VLOOKUP(B98,country_opex,3,FALSE))+W98+X98+Y98+Z98+AA98))&lt;=0,"",VLOOKUP(B98,country_opex,7,FALSE)/((T98*pax_cap*IF(B98="South Korea",korea_mid_load,load_mid)*IF(ABS(MOD(ABS((L98*M98*IF(B98="South Korea",korea_mid_revleg,revleg_mid))),1)-0.5)&lt;1E-9,2*ROUND((L98*M98*IF(B98="South Korea",korea_mid_revleg,revleg_mid))/2,0),ROUND((L98*M98*IF(B98="South Korea",korea_mid_revleg,revleg_mid)),0)))-(((battery/range_nm)*D98*IF(ABS(MOD(ABS((L98*M98*IF(B98="South Korea",korea_mid_revleg,revleg_mid))),1)-0.5)&lt;1E-9,2*ROUND((L98*M98*IF(B98="South Korea",korea_mid_revleg,revleg_mid))/2,0),ROUND((L98*M98*IF(B98="South Korea",korea_mid_revleg,revleg_mid)),0))*VLOOKUP(B98,country_opex,3,FALSE))+W98+X98+Y98+Z98+AA98)))</f>
        <v/>
      </c>
      <c r="AX98" s="45">
        <f>IF(((T98*pax_cap*load_full*IF(ABS(MOD(ABS((L98*M98*revleg_full)),1)-0.5)&lt;1E-9,2*ROUND((L98*M98*revleg_full)/2,0),ROUND((L98*M98*revleg_full),0)))-(((battery/range_nm)*D98*IF(ABS(MOD(ABS((L98*M98*revleg_full)),1)-0.5)&lt;1E-9,2*ROUND((L98*M98*revleg_full)/2,0),ROUND((L98*M98*revleg_full),0))*VLOOKUP(B98,country_opex,3,FALSE))+W98+X98+Y98+Z98+AA98))&lt;=0,"",VLOOKUP(B98,country_opex,7,FALSE)/((T98*pax_cap*load_full*IF(ABS(MOD(ABS((L98*M98*revleg_full)),1)-0.5)&lt;1E-9,2*ROUND((L98*M98*revleg_full)/2,0),ROUND((L98*M98*revleg_full),0)))-(((battery/range_nm)*D98*IF(ABS(MOD(ABS((L98*M98*revleg_full)),1)-0.5)&lt;1E-9,2*ROUND((L98*M98*revleg_full)/2,0),ROUND((L98*M98*revleg_full),0))*VLOOKUP(B98,country_opex,3,FALSE))+W98+X98+Y98+Z98+AA98)))</f>
        <v/>
      </c>
      <c r="AY98" s="46" t="inlineStr">
        <is>
          <t>Phuket-&gt;Phang Nga Bay/James Bond Island speedboat day-tour ladder (THB/USD 36): budget longtail ~1,400 THB ($39, phukettoursdirect); standard shared speedboat ~2,500 THB ($69); PREMIUM shared speedboat ~2,600-3,700 THB ($72-103, phiphitours/mythailandtours '$55 low-season' to ~3,700 quoted); private charter speedboat ~29,000-40,900 THB/boat/day (yacht-rental-phuket, phuketdreamcompany) = whole-boat, excluded as overclaim. Premium per-seat anchored ~2,600 THB net of 400 THB park fee = $72.</t>
        </is>
      </c>
      <c r="AZ98" s="46" t="inlineStr">
        <is>
          <t>Ao Phang Nga National Park visitors FY2567 (Oct-2023..Sep-2024) = 530,204 (DNP top-10 ranking, #7 by visitors; reported by Prachachat, https://www.prachachat.net/hilight-prachachat/news-1796245, Apr-2025). Park is reachable ONLY by tour boat/longtail/speedboat (no road/air to Khao Phing Kan/Ko Tapu) -&gt; R3-EXCEPTION holds: park arrivals = crossing ridership. DNP also runs e-ticketing at this park (one of 6 pilot parks). Pre-covid FY2019 was ~1M+ (payload note), so FY2024 is the conservative post-covid actual.</t>
        </is>
      </c>
      <c r="BA98" s="34" t="inlineStr">
        <is>
          <t>gcn-cbc11a6947-shared</t>
        </is>
      </c>
    </row>
    <row r="99">
      <c r="A99" s="31" t="inlineStr">
        <is>
          <t>Phuket</t>
        </is>
      </c>
      <c r="B99" s="31" t="inlineStr">
        <is>
          <t>Thailand</t>
        </is>
      </c>
      <c r="C99" s="32" t="inlineStr">
        <is>
          <t>Phuket → Phi Phi (Tonsai)</t>
        </is>
      </c>
      <c r="D99" s="33" t="n">
        <v>25</v>
      </c>
      <c r="E99" s="27" t="n">
        <v>44</v>
      </c>
      <c r="F99" s="34" t="inlineStr">
        <is>
          <t>T3</t>
        </is>
      </c>
      <c r="G99" s="34" t="inlineStr">
        <is>
          <t>med</t>
        </is>
      </c>
      <c r="H99" s="20" t="n">
        <v>1</v>
      </c>
      <c r="I99" s="35">
        <f>60*D99/cruise_kt</f>
        <v/>
      </c>
      <c r="J99" s="35">
        <f>IF(B99="South Korea",D99/korea_charge_range_nm*korea_full_range_charge_min,0)</f>
        <v/>
      </c>
      <c r="K99" s="35">
        <f>IF(B99="South Korea",I99+korea_turn_min+korea_dwell_min+J99,I99+turn_min+dwell_min)</f>
        <v/>
      </c>
      <c r="L99" s="36">
        <f>IF(B99="South Korea",FLOOR(60*korea_service_hr/K99,1),MIN(15,FLOOR(60*service_hr/K99,1)))</f>
        <v/>
      </c>
      <c r="M99" s="36">
        <f>IF(ABS(MOD(ABS((365*mech_uptime*H99)),1)-0.5)&lt;1E-9,2*ROUND((365*mech_uptime*H99)/2,0),ROUND((365*mech_uptime*H99),0))</f>
        <v/>
      </c>
      <c r="N99" s="37">
        <f>mech_uptime</f>
        <v/>
      </c>
      <c r="O99" s="37">
        <f>IF(AND(B99="South Korea",scenario="MID"),korea_mid_revleg,revleg_sel)</f>
        <v/>
      </c>
      <c r="P99" s="36">
        <f>IF(ABS(MOD(ABS((L99*M99*O99)),1)-0.5)&lt;1E-9,2*ROUND((L99*M99*O99)/2,0),ROUND((L99*M99*O99),0))</f>
        <v/>
      </c>
      <c r="Q99" s="37">
        <f>IF(AND(B99="South Korea",scenario="MID"),korea_mid_load,load_sel)</f>
        <v/>
      </c>
      <c r="R99" s="38">
        <f>pax_cap*Q99</f>
        <v/>
      </c>
      <c r="S99" s="36">
        <f>R99*P99</f>
        <v/>
      </c>
      <c r="T99" s="39">
        <f>E99*discount</f>
        <v/>
      </c>
      <c r="U99" s="40">
        <f>T99*S99</f>
        <v/>
      </c>
      <c r="V99" s="40">
        <f>(battery/range_nm)*D99*P99*VLOOKUP(B99,country_opex,3,FALSE)</f>
        <v/>
      </c>
      <c r="W99" s="40">
        <f>VLOOKUP(B99,country_opex,2,FALSE)*crew_factor</f>
        <v/>
      </c>
      <c r="X99" s="40">
        <f>VLOOKUP(B99,country_opex,5,FALSE)</f>
        <v/>
      </c>
      <c r="Y99" s="40">
        <f>maint</f>
        <v/>
      </c>
      <c r="Z99" s="40">
        <f>VLOOKUP(B99,country_opex,7,FALSE)*ins_pct</f>
        <v/>
      </c>
      <c r="AA99" s="40">
        <f>charge_berth</f>
        <v/>
      </c>
      <c r="AB99" s="40">
        <f>V99+W99+X99+Y99+Z99+AA99</f>
        <v/>
      </c>
      <c r="AC99" s="40">
        <f>VLOOKUP(B99,country_opex,7,FALSE)/dep_years</f>
        <v/>
      </c>
      <c r="AD99" s="40">
        <f>U99-AB99</f>
        <v/>
      </c>
      <c r="AE99" s="37">
        <f>IF(U99=0,"",AD99/U99)</f>
        <v/>
      </c>
      <c r="AF99" s="38">
        <f>IF(AD99&lt;=0,"",VLOOKUP(B99,country_opex,7,FALSE)/AD99)</f>
        <v/>
      </c>
      <c r="AG99" s="35">
        <f>((D99*P99/diesel_nmpg)*diesel_co2pg-(battery/range_nm)*D99*P99*VLOOKUP(B99,country_opex,4,FALSE))/1000</f>
        <v/>
      </c>
      <c r="AH99" s="33" t="n">
        <v>1080000</v>
      </c>
      <c r="AI99" s="34" t="inlineStr">
        <is>
          <t>T2</t>
        </is>
      </c>
      <c r="AJ99" s="34" t="inlineStr">
        <is>
          <t>med</t>
        </is>
      </c>
      <c r="AK99" s="41" t="n">
        <v>0.1</v>
      </c>
      <c r="AL99" s="36">
        <f>IF(AH99="","",AH99*AK99)</f>
        <v/>
      </c>
      <c r="AM99" s="36">
        <f>IF(OR(AH99="",S99=0),"",MIN(IF(AU99="",9.9E+99,AU99),FLOOR(AL99/S99,1)))</f>
        <v/>
      </c>
      <c r="AN99" s="40">
        <f>IF(AM99="","",AM99*IF(ABS(MOD(ABS((U99)),1)-0.5)&lt;1E-9,2*ROUND((U99)/2,0),ROUND((U99),0)))</f>
        <v/>
      </c>
      <c r="AO99" s="38">
        <f>IF(OR(AH99="",S99=0),"",MIN(IF(AU99="",9.9E+99,AU99),AL99/S99))</f>
        <v/>
      </c>
      <c r="AP99" s="40">
        <f>IF(AO99="","",AO99*IF(B99="South Korea",IF(ABS(MOD(ABS((U99)),1)-0.5)&lt;1E-9,2*ROUND((U99)/2,0),ROUND((U99),0)),U99))</f>
        <v/>
      </c>
      <c r="AQ99" s="42" t="n"/>
      <c r="AR99" s="34" t="inlineStr">
        <is>
          <t>Grounded</t>
        </is>
      </c>
      <c r="AS99" s="43" t="n"/>
      <c r="AT99" s="43" t="n"/>
      <c r="AU99" s="44" t="n"/>
      <c r="AV99" s="45">
        <f>IF(((T99*pax_cap*load_thin*IF(ABS(MOD(ABS((L99*M99*revleg_thin)),1)-0.5)&lt;1E-9,2*ROUND((L99*M99*revleg_thin)/2,0),ROUND((L99*M99*revleg_thin),0)))-(((battery/range_nm)*D99*IF(ABS(MOD(ABS((L99*M99*revleg_thin)),1)-0.5)&lt;1E-9,2*ROUND((L99*M99*revleg_thin)/2,0),ROUND((L99*M99*revleg_thin),0))*VLOOKUP(B99,country_opex,3,FALSE))+W99+X99+Y99+Z99+AA99))&lt;=0,"",VLOOKUP(B99,country_opex,7,FALSE)/((T99*pax_cap*load_thin*IF(ABS(MOD(ABS((L99*M99*revleg_thin)),1)-0.5)&lt;1E-9,2*ROUND((L99*M99*revleg_thin)/2,0),ROUND((L99*M99*revleg_thin),0)))-(((battery/range_nm)*D99*IF(ABS(MOD(ABS((L99*M99*revleg_thin)),1)-0.5)&lt;1E-9,2*ROUND((L99*M99*revleg_thin)/2,0),ROUND((L99*M99*revleg_thin),0))*VLOOKUP(B99,country_opex,3,FALSE))+W99+X99+Y99+Z99+AA99)))</f>
        <v/>
      </c>
      <c r="AW99" s="45">
        <f>IF(((T99*pax_cap*IF(B99="South Korea",korea_mid_load,load_mid)*IF(ABS(MOD(ABS((L99*M99*IF(B99="South Korea",korea_mid_revleg,revleg_mid))),1)-0.5)&lt;1E-9,2*ROUND((L99*M99*IF(B99="South Korea",korea_mid_revleg,revleg_mid))/2,0),ROUND((L99*M99*IF(B99="South Korea",korea_mid_revleg,revleg_mid)),0)))-(((battery/range_nm)*D99*IF(ABS(MOD(ABS((L99*M99*IF(B99="South Korea",korea_mid_revleg,revleg_mid))),1)-0.5)&lt;1E-9,2*ROUND((L99*M99*IF(B99="South Korea",korea_mid_revleg,revleg_mid))/2,0),ROUND((L99*M99*IF(B99="South Korea",korea_mid_revleg,revleg_mid)),0))*VLOOKUP(B99,country_opex,3,FALSE))+W99+X99+Y99+Z99+AA99))&lt;=0,"",VLOOKUP(B99,country_opex,7,FALSE)/((T99*pax_cap*IF(B99="South Korea",korea_mid_load,load_mid)*IF(ABS(MOD(ABS((L99*M99*IF(B99="South Korea",korea_mid_revleg,revleg_mid))),1)-0.5)&lt;1E-9,2*ROUND((L99*M99*IF(B99="South Korea",korea_mid_revleg,revleg_mid))/2,0),ROUND((L99*M99*IF(B99="South Korea",korea_mid_revleg,revleg_mid)),0)))-(((battery/range_nm)*D99*IF(ABS(MOD(ABS((L99*M99*IF(B99="South Korea",korea_mid_revleg,revleg_mid))),1)-0.5)&lt;1E-9,2*ROUND((L99*M99*IF(B99="South Korea",korea_mid_revleg,revleg_mid))/2,0),ROUND((L99*M99*IF(B99="South Korea",korea_mid_revleg,revleg_mid)),0))*VLOOKUP(B99,country_opex,3,FALSE))+W99+X99+Y99+Z99+AA99)))</f>
        <v/>
      </c>
      <c r="AX99" s="45">
        <f>IF(((T99*pax_cap*load_full*IF(ABS(MOD(ABS((L99*M99*revleg_full)),1)-0.5)&lt;1E-9,2*ROUND((L99*M99*revleg_full)/2,0),ROUND((L99*M99*revleg_full),0)))-(((battery/range_nm)*D99*IF(ABS(MOD(ABS((L99*M99*revleg_full)),1)-0.5)&lt;1E-9,2*ROUND((L99*M99*revleg_full)/2,0),ROUND((L99*M99*revleg_full),0))*VLOOKUP(B99,country_opex,3,FALSE))+W99+X99+Y99+Z99+AA99))&lt;=0,"",VLOOKUP(B99,country_opex,7,FALSE)/((T99*pax_cap*load_full*IF(ABS(MOD(ABS((L99*M99*revleg_full)),1)-0.5)&lt;1E-9,2*ROUND((L99*M99*revleg_full)/2,0),ROUND((L99*M99*revleg_full),0)))-(((battery/range_nm)*D99*IF(ABS(MOD(ABS((L99*M99*revleg_full)),1)-0.5)&lt;1E-9,2*ROUND((L99*M99*revleg_full)/2,0),ROUND((L99*M99*revleg_full),0))*VLOOKUP(B99,country_opex,3,FALSE))+W99+X99+Y99+Z99+AA99)))</f>
        <v/>
      </c>
      <c r="AY99" s="46" t="inlineStr">
        <is>
          <t>Premium private-speedboat tier Phuket-&gt;Phi Phi. Private speedboat ~1,595 THB/pax (phiphitours) = $44; VIP transfer oddly ~$22 (commoditized); budget 650-700 THB ($18-19). Note: this corridor's premium tier is structurally low (mass tourist route).</t>
        </is>
      </c>
      <c r="AZ99" s="46" t="inlineStr">
        <is>
          <t>Hat Noppharat Thara - Mu Ko Phi Phi NP visitors FY2567 (Oct-2023..Sep-2024) = 1,153,515, #2 nationally by visitors and #1 by revenue (THB 629,893,547) (DNP statistics via Prachachat, https://www.prachachat.net/hilight-prachachat/news-1796245, Apr-2025). FY2566 (2023) was 1,449,246 (DNP top-10, Thai press). Phi Phi islands are boat-only (no airport/road) -&gt; R3-EXCEPTION holds for the island portion; BUT the NP unit also includes the MAINLAND Hat Noppharat Thara beach section (Krabi) -&gt; R3-RESORT-SUBSET strip applied.</t>
        </is>
      </c>
      <c r="BA99" s="34" t="inlineStr">
        <is>
          <t>gcn-9ae16d4c34-shared</t>
        </is>
      </c>
    </row>
    <row r="100">
      <c r="A100" s="31" t="inlineStr">
        <is>
          <t>Koh Samui</t>
        </is>
      </c>
      <c r="B100" s="31" t="inlineStr">
        <is>
          <t>Thailand</t>
        </is>
      </c>
      <c r="C100" s="32" t="inlineStr">
        <is>
          <t>Koh Samui (Bangrak) → Don Sak Ferry Harbour</t>
        </is>
      </c>
      <c r="D100" s="33" t="n">
        <v>28.1</v>
      </c>
      <c r="E100" s="27" t="n">
        <v>15.2</v>
      </c>
      <c r="F100" s="34" t="n"/>
      <c r="G100" s="34" t="inlineStr">
        <is>
          <t>T3</t>
        </is>
      </c>
      <c r="H100" s="20" t="n">
        <v>1</v>
      </c>
      <c r="I100" s="35">
        <f>60*D100/cruise_kt</f>
        <v/>
      </c>
      <c r="J100" s="35">
        <f>IF(B100="South Korea",D100/korea_charge_range_nm*korea_full_range_charge_min,0)</f>
        <v/>
      </c>
      <c r="K100" s="35">
        <f>IF(B100="South Korea",I100+korea_turn_min+korea_dwell_min+J100,I100+turn_min+dwell_min)</f>
        <v/>
      </c>
      <c r="L100" s="36">
        <f>IF(B100="South Korea",FLOOR(60*korea_service_hr/K100,1),MIN(24,FLOOR(60*service_hr/K100,1)))</f>
        <v/>
      </c>
      <c r="M100" s="36">
        <f>IF(ABS(MOD(ABS((365*mech_uptime*H100)),1)-0.5)&lt;1E-9,2*ROUND((365*mech_uptime*H100)/2,0),ROUND((365*mech_uptime*H100),0))</f>
        <v/>
      </c>
      <c r="N100" s="37">
        <f>mech_uptime</f>
        <v/>
      </c>
      <c r="O100" s="37">
        <f>IF(AND(B100="South Korea",scenario="MID"),korea_mid_revleg,revleg_sel)</f>
        <v/>
      </c>
      <c r="P100" s="36">
        <f>IF(ABS(MOD(ABS((L100*M100*O100)),1)-0.5)&lt;1E-9,2*ROUND((L100*M100*O100)/2,0),ROUND((L100*M100*O100),0))</f>
        <v/>
      </c>
      <c r="Q100" s="37">
        <f>IF(AND(B100="South Korea",scenario="MID"),korea_mid_load,load_sel)</f>
        <v/>
      </c>
      <c r="R100" s="38">
        <f>pax_cap*Q100</f>
        <v/>
      </c>
      <c r="S100" s="36">
        <f>R100*P100</f>
        <v/>
      </c>
      <c r="T100" s="39">
        <f>E100*discount</f>
        <v/>
      </c>
      <c r="U100" s="40">
        <f>T100*S100</f>
        <v/>
      </c>
      <c r="V100" s="40">
        <f>(battery/range_nm)*D100*P100*VLOOKUP(B100,country_opex,3,FALSE)</f>
        <v/>
      </c>
      <c r="W100" s="40">
        <f>VLOOKUP(B100,country_opex,2,FALSE)*crew_factor</f>
        <v/>
      </c>
      <c r="X100" s="40">
        <f>VLOOKUP(B100,country_opex,5,FALSE)</f>
        <v/>
      </c>
      <c r="Y100" s="40">
        <f>maint</f>
        <v/>
      </c>
      <c r="Z100" s="40">
        <f>VLOOKUP(B100,country_opex,7,FALSE)*ins_pct</f>
        <v/>
      </c>
      <c r="AA100" s="40">
        <f>charge_berth</f>
        <v/>
      </c>
      <c r="AB100" s="40">
        <f>V100+W100+X100+Y100+Z100+AA100</f>
        <v/>
      </c>
      <c r="AC100" s="40">
        <f>VLOOKUP(B100,country_opex,7,FALSE)/dep_years</f>
        <v/>
      </c>
      <c r="AD100" s="40">
        <f>U100-AB100</f>
        <v/>
      </c>
      <c r="AE100" s="37">
        <f>IF(U100=0,"",AD100/U100)</f>
        <v/>
      </c>
      <c r="AF100" s="38">
        <f>IF(AD100&lt;=0,"",VLOOKUP(B100,country_opex,7,FALSE)/AD100)</f>
        <v/>
      </c>
      <c r="AG100" s="35">
        <f>((D100*P100/diesel_nmpg)*diesel_co2pg-(battery/range_nm)*D100*P100*VLOOKUP(B100,country_opex,4,FALSE))/1000</f>
        <v/>
      </c>
      <c r="AH100" s="33" t="n">
        <v>666667</v>
      </c>
      <c r="AI100" s="34" t="inlineStr">
        <is>
          <t>T4</t>
        </is>
      </c>
      <c r="AJ100" s="34" t="inlineStr">
        <is>
          <t>med-low</t>
        </is>
      </c>
      <c r="AK100" s="41" t="n">
        <v>0.1</v>
      </c>
      <c r="AL100" s="36">
        <f>IF(AH100="","",AH100*AK100)</f>
        <v/>
      </c>
      <c r="AM100" s="36">
        <f>IF(OR(AH100="",S100=0),"",MIN(IF(AU100="",9.9E+99,AU100),FLOOR(AL100/S100,1)))</f>
        <v/>
      </c>
      <c r="AN100" s="40">
        <f>IF(AM100="","",AM100*IF(ABS(MOD(ABS((U100)),1)-0.5)&lt;1E-9,2*ROUND((U100)/2,0),ROUND((U100),0)))</f>
        <v/>
      </c>
      <c r="AO100" s="38">
        <f>IF(OR(AH100="",S100=0),"",MIN(IF(AU100="",9.9E+99,AU100),AL100/S100))</f>
        <v/>
      </c>
      <c r="AP100" s="40">
        <f>IF(AO100="","",AO100*IF(B100="South Korea",IF(ABS(MOD(ABS((U100)),1)-0.5)&lt;1E-9,2*ROUND((U100)/2,0),ROUND((U100),0)),U100))</f>
        <v/>
      </c>
      <c r="AQ100" s="42" t="n"/>
      <c r="AR100" s="34" t="inlineStr">
        <is>
          <t>Grounded</t>
        </is>
      </c>
      <c r="AS100" s="43" t="n"/>
      <c r="AT100" s="43" t="n"/>
      <c r="AU100" s="44" t="n"/>
      <c r="AV100" s="45">
        <f>IF(((T100*pax_cap*load_thin*IF(ABS(MOD(ABS((L100*M100*revleg_thin)),1)-0.5)&lt;1E-9,2*ROUND((L100*M100*revleg_thin)/2,0),ROUND((L100*M100*revleg_thin),0)))-(((battery/range_nm)*D100*IF(ABS(MOD(ABS((L100*M100*revleg_thin)),1)-0.5)&lt;1E-9,2*ROUND((L100*M100*revleg_thin)/2,0),ROUND((L100*M100*revleg_thin),0))*VLOOKUP(B100,country_opex,3,FALSE))+W100+X100+Y100+Z100+AA100))&lt;=0,"",VLOOKUP(B100,country_opex,7,FALSE)/((T100*pax_cap*load_thin*IF(ABS(MOD(ABS((L100*M100*revleg_thin)),1)-0.5)&lt;1E-9,2*ROUND((L100*M100*revleg_thin)/2,0),ROUND((L100*M100*revleg_thin),0)))-(((battery/range_nm)*D100*IF(ABS(MOD(ABS((L100*M100*revleg_thin)),1)-0.5)&lt;1E-9,2*ROUND((L100*M100*revleg_thin)/2,0),ROUND((L100*M100*revleg_thin),0))*VLOOKUP(B100,country_opex,3,FALSE))+W100+X100+Y100+Z100+AA100)))</f>
        <v/>
      </c>
      <c r="AW100" s="45">
        <f>IF(((T100*pax_cap*IF(B100="South Korea",korea_mid_load,load_mid)*IF(ABS(MOD(ABS((L100*M100*IF(B100="South Korea",korea_mid_revleg,revleg_mid))),1)-0.5)&lt;1E-9,2*ROUND((L100*M100*IF(B100="South Korea",korea_mid_revleg,revleg_mid))/2,0),ROUND((L100*M100*IF(B100="South Korea",korea_mid_revleg,revleg_mid)),0)))-(((battery/range_nm)*D100*IF(ABS(MOD(ABS((L100*M100*IF(B100="South Korea",korea_mid_revleg,revleg_mid))),1)-0.5)&lt;1E-9,2*ROUND((L100*M100*IF(B100="South Korea",korea_mid_revleg,revleg_mid))/2,0),ROUND((L100*M100*IF(B100="South Korea",korea_mid_revleg,revleg_mid)),0))*VLOOKUP(B100,country_opex,3,FALSE))+W100+X100+Y100+Z100+AA100))&lt;=0,"",VLOOKUP(B100,country_opex,7,FALSE)/((T100*pax_cap*IF(B100="South Korea",korea_mid_load,load_mid)*IF(ABS(MOD(ABS((L100*M100*IF(B100="South Korea",korea_mid_revleg,revleg_mid))),1)-0.5)&lt;1E-9,2*ROUND((L100*M100*IF(B100="South Korea",korea_mid_revleg,revleg_mid))/2,0),ROUND((L100*M100*IF(B100="South Korea",korea_mid_revleg,revleg_mid)),0)))-(((battery/range_nm)*D100*IF(ABS(MOD(ABS((L100*M100*IF(B100="South Korea",korea_mid_revleg,revleg_mid))),1)-0.5)&lt;1E-9,2*ROUND((L100*M100*IF(B100="South Korea",korea_mid_revleg,revleg_mid))/2,0),ROUND((L100*M100*IF(B100="South Korea",korea_mid_revleg,revleg_mid)),0))*VLOOKUP(B100,country_opex,3,FALSE))+W100+X100+Y100+Z100+AA100)))</f>
        <v/>
      </c>
      <c r="AX100" s="45">
        <f>IF(((T100*pax_cap*load_full*IF(ABS(MOD(ABS((L100*M100*revleg_full)),1)-0.5)&lt;1E-9,2*ROUND((L100*M100*revleg_full)/2,0),ROUND((L100*M100*revleg_full),0)))-(((battery/range_nm)*D100*IF(ABS(MOD(ABS((L100*M100*revleg_full)),1)-0.5)&lt;1E-9,2*ROUND((L100*M100*revleg_full)/2,0),ROUND((L100*M100*revleg_full),0))*VLOOKUP(B100,country_opex,3,FALSE))+W100+X100+Y100+Z100+AA100))&lt;=0,"",VLOOKUP(B100,country_opex,7,FALSE)/((T100*pax_cap*load_full*IF(ABS(MOD(ABS((L100*M100*revleg_full)),1)-0.5)&lt;1E-9,2*ROUND((L100*M100*revleg_full)/2,0),ROUND((L100*M100*revleg_full),0)))-(((battery/range_nm)*D100*IF(ABS(MOD(ABS((L100*M100*revleg_full)),1)-0.5)&lt;1E-9,2*ROUND((L100*M100*revleg_full)/2,0),ROUND((L100*M100*revleg_full),0))*VLOOKUP(B100,country_opex,3,FALSE))+W100+X100+Y100+Z100+AA100)))</f>
        <v/>
      </c>
      <c r="AY100" s="46" t="n"/>
      <c r="AZ100" s="46" t="inlineStr">
        <is>
          <t>Total Samui&lt;-&gt;Donsak crossing (all operators/piers). Raja Ferry Port (SET: RP) disclosed ~1.2M passengers carried in 2017 (+20% YoY) across its Donsak-Samui(Lipa Noi)/Donsak-Phangan network, with a 1.5M target (Samui Times / Koh Samui News quoting RP business plan; RP IPO-era disclosure ~600k/yr 2014, Nation Thailand). Seatran runs 6 vessels ~hourly 05:00-19:00 Nathon&lt;-&gt;Donsak (Tripadvisor/operator). Mode balance: Samui drew ~3.54M tourists 2023 (Forbes/C9) vs ~1.4M airport arrivals (Samui Airport 2.8M total pax 2024, BAREIT one-report 56-1) - the majority of non-air arrivals cross at Donsak.</t>
        </is>
      </c>
      <c r="BA100" s="34" t="inlineStr">
        <is>
          <t>rn-347c44e1d360</t>
        </is>
      </c>
    </row>
    <row r="101">
      <c r="A101" s="31" t="inlineStr">
        <is>
          <t>Koh Samui</t>
        </is>
      </c>
      <c r="B101" s="31" t="inlineStr">
        <is>
          <t>Thailand</t>
        </is>
      </c>
      <c r="C101" s="32" t="inlineStr">
        <is>
          <t>Koh Samui → Koh Tao (Mae Haad)</t>
        </is>
      </c>
      <c r="D101" s="33" t="n">
        <v>35.3</v>
      </c>
      <c r="E101" s="27" t="n">
        <v>24.4</v>
      </c>
      <c r="F101" s="34" t="n"/>
      <c r="G101" s="34" t="inlineStr">
        <is>
          <t>T3</t>
        </is>
      </c>
      <c r="H101" s="20" t="n">
        <v>1</v>
      </c>
      <c r="I101" s="35">
        <f>60*D101/cruise_kt</f>
        <v/>
      </c>
      <c r="J101" s="35">
        <f>IF(B101="South Korea",D101/korea_charge_range_nm*korea_full_range_charge_min,0)</f>
        <v/>
      </c>
      <c r="K101" s="35">
        <f>IF(B101="South Korea",I101+korea_turn_min+korea_dwell_min+J101,I101+turn_min+dwell_min)</f>
        <v/>
      </c>
      <c r="L101" s="36">
        <f>IF(B101="South Korea",FLOOR(60*korea_service_hr/K101,1),MIN(15,FLOOR(60*service_hr/K101,1)))</f>
        <v/>
      </c>
      <c r="M101" s="36">
        <f>IF(ABS(MOD(ABS((365*mech_uptime*H101)),1)-0.5)&lt;1E-9,2*ROUND((365*mech_uptime*H101)/2,0),ROUND((365*mech_uptime*H101),0))</f>
        <v/>
      </c>
      <c r="N101" s="37">
        <f>mech_uptime</f>
        <v/>
      </c>
      <c r="O101" s="37">
        <f>IF(AND(B101="South Korea",scenario="MID"),korea_mid_revleg,revleg_sel)</f>
        <v/>
      </c>
      <c r="P101" s="36">
        <f>IF(ABS(MOD(ABS((L101*M101*O101)),1)-0.5)&lt;1E-9,2*ROUND((L101*M101*O101)/2,0),ROUND((L101*M101*O101),0))</f>
        <v/>
      </c>
      <c r="Q101" s="37">
        <f>IF(AND(B101="South Korea",scenario="MID"),korea_mid_load,load_sel)</f>
        <v/>
      </c>
      <c r="R101" s="38">
        <f>pax_cap*Q101</f>
        <v/>
      </c>
      <c r="S101" s="36">
        <f>R101*P101</f>
        <v/>
      </c>
      <c r="T101" s="39">
        <f>E101*discount</f>
        <v/>
      </c>
      <c r="U101" s="40">
        <f>T101*S101</f>
        <v/>
      </c>
      <c r="V101" s="40">
        <f>(battery/range_nm)*D101*P101*VLOOKUP(B101,country_opex,3,FALSE)</f>
        <v/>
      </c>
      <c r="W101" s="40">
        <f>VLOOKUP(B101,country_opex,2,FALSE)*crew_factor</f>
        <v/>
      </c>
      <c r="X101" s="40">
        <f>VLOOKUP(B101,country_opex,5,FALSE)</f>
        <v/>
      </c>
      <c r="Y101" s="40">
        <f>maint</f>
        <v/>
      </c>
      <c r="Z101" s="40">
        <f>VLOOKUP(B101,country_opex,7,FALSE)*ins_pct</f>
        <v/>
      </c>
      <c r="AA101" s="40">
        <f>charge_berth</f>
        <v/>
      </c>
      <c r="AB101" s="40">
        <f>V101+W101+X101+Y101+Z101+AA101</f>
        <v/>
      </c>
      <c r="AC101" s="40">
        <f>VLOOKUP(B101,country_opex,7,FALSE)/dep_years</f>
        <v/>
      </c>
      <c r="AD101" s="40">
        <f>U101-AB101</f>
        <v/>
      </c>
      <c r="AE101" s="37">
        <f>IF(U101=0,"",AD101/U101)</f>
        <v/>
      </c>
      <c r="AF101" s="38">
        <f>IF(AD101&lt;=0,"",VLOOKUP(B101,country_opex,7,FALSE)/AD101)</f>
        <v/>
      </c>
      <c r="AG101" s="35">
        <f>((D101*P101/diesel_nmpg)*diesel_co2pg-(battery/range_nm)*D101*P101*VLOOKUP(B101,country_opex,4,FALSE))/1000</f>
        <v/>
      </c>
      <c r="AH101" s="33" t="n">
        <v>400000</v>
      </c>
      <c r="AI101" s="34" t="inlineStr">
        <is>
          <t>T5</t>
        </is>
      </c>
      <c r="AJ101" s="34" t="inlineStr">
        <is>
          <t>med-low</t>
        </is>
      </c>
      <c r="AK101" s="41" t="n">
        <v>0.1</v>
      </c>
      <c r="AL101" s="36">
        <f>IF(AH101="","",AH101*AK101)</f>
        <v/>
      </c>
      <c r="AM101" s="36">
        <f>IF(OR(AH101="",S101=0),"",MIN(IF(AU101="",9.9E+99,AU101),FLOOR(AL101/S101,1)))</f>
        <v/>
      </c>
      <c r="AN101" s="40">
        <f>IF(AM101="","",AM101*IF(ABS(MOD(ABS((U101)),1)-0.5)&lt;1E-9,2*ROUND((U101)/2,0),ROUND((U101),0)))</f>
        <v/>
      </c>
      <c r="AO101" s="38">
        <f>IF(OR(AH101="",S101=0),"",MIN(IF(AU101="",9.9E+99,AU101),AL101/S101))</f>
        <v/>
      </c>
      <c r="AP101" s="40">
        <f>IF(AO101="","",AO101*IF(B101="South Korea",IF(ABS(MOD(ABS((U101)),1)-0.5)&lt;1E-9,2*ROUND((U101)/2,0),ROUND((U101),0)),U101))</f>
        <v/>
      </c>
      <c r="AQ101" s="42" t="n"/>
      <c r="AR101" s="34" t="inlineStr">
        <is>
          <t>Grounded</t>
        </is>
      </c>
      <c r="AS101" s="43" t="n"/>
      <c r="AT101" s="43" t="n"/>
      <c r="AU101" s="44" t="n"/>
      <c r="AV101" s="45">
        <f>IF(((T101*pax_cap*load_thin*IF(ABS(MOD(ABS((L101*M101*revleg_thin)),1)-0.5)&lt;1E-9,2*ROUND((L101*M101*revleg_thin)/2,0),ROUND((L101*M101*revleg_thin),0)))-(((battery/range_nm)*D101*IF(ABS(MOD(ABS((L101*M101*revleg_thin)),1)-0.5)&lt;1E-9,2*ROUND((L101*M101*revleg_thin)/2,0),ROUND((L101*M101*revleg_thin),0))*VLOOKUP(B101,country_opex,3,FALSE))+W101+X101+Y101+Z101+AA101))&lt;=0,"",VLOOKUP(B101,country_opex,7,FALSE)/((T101*pax_cap*load_thin*IF(ABS(MOD(ABS((L101*M101*revleg_thin)),1)-0.5)&lt;1E-9,2*ROUND((L101*M101*revleg_thin)/2,0),ROUND((L101*M101*revleg_thin),0)))-(((battery/range_nm)*D101*IF(ABS(MOD(ABS((L101*M101*revleg_thin)),1)-0.5)&lt;1E-9,2*ROUND((L101*M101*revleg_thin)/2,0),ROUND((L101*M101*revleg_thin),0))*VLOOKUP(B101,country_opex,3,FALSE))+W101+X101+Y101+Z101+AA101)))</f>
        <v/>
      </c>
      <c r="AW101" s="45">
        <f>IF(((T101*pax_cap*IF(B101="South Korea",korea_mid_load,load_mid)*IF(ABS(MOD(ABS((L101*M101*IF(B101="South Korea",korea_mid_revleg,revleg_mid))),1)-0.5)&lt;1E-9,2*ROUND((L101*M101*IF(B101="South Korea",korea_mid_revleg,revleg_mid))/2,0),ROUND((L101*M101*IF(B101="South Korea",korea_mid_revleg,revleg_mid)),0)))-(((battery/range_nm)*D101*IF(ABS(MOD(ABS((L101*M101*IF(B101="South Korea",korea_mid_revleg,revleg_mid))),1)-0.5)&lt;1E-9,2*ROUND((L101*M101*IF(B101="South Korea",korea_mid_revleg,revleg_mid))/2,0),ROUND((L101*M101*IF(B101="South Korea",korea_mid_revleg,revleg_mid)),0))*VLOOKUP(B101,country_opex,3,FALSE))+W101+X101+Y101+Z101+AA101))&lt;=0,"",VLOOKUP(B101,country_opex,7,FALSE)/((T101*pax_cap*IF(B101="South Korea",korea_mid_load,load_mid)*IF(ABS(MOD(ABS((L101*M101*IF(B101="South Korea",korea_mid_revleg,revleg_mid))),1)-0.5)&lt;1E-9,2*ROUND((L101*M101*IF(B101="South Korea",korea_mid_revleg,revleg_mid))/2,0),ROUND((L101*M101*IF(B101="South Korea",korea_mid_revleg,revleg_mid)),0)))-(((battery/range_nm)*D101*IF(ABS(MOD(ABS((L101*M101*IF(B101="South Korea",korea_mid_revleg,revleg_mid))),1)-0.5)&lt;1E-9,2*ROUND((L101*M101*IF(B101="South Korea",korea_mid_revleg,revleg_mid))/2,0),ROUND((L101*M101*IF(B101="South Korea",korea_mid_revleg,revleg_mid)),0))*VLOOKUP(B101,country_opex,3,FALSE))+W101+X101+Y101+Z101+AA101)))</f>
        <v/>
      </c>
      <c r="AX101" s="45">
        <f>IF(((T101*pax_cap*load_full*IF(ABS(MOD(ABS((L101*M101*revleg_full)),1)-0.5)&lt;1E-9,2*ROUND((L101*M101*revleg_full)/2,0),ROUND((L101*M101*revleg_full),0)))-(((battery/range_nm)*D101*IF(ABS(MOD(ABS((L101*M101*revleg_full)),1)-0.5)&lt;1E-9,2*ROUND((L101*M101*revleg_full)/2,0),ROUND((L101*M101*revleg_full),0))*VLOOKUP(B101,country_opex,3,FALSE))+W101+X101+Y101+Z101+AA101))&lt;=0,"",VLOOKUP(B101,country_opex,7,FALSE)/((T101*pax_cap*load_full*IF(ABS(MOD(ABS((L101*M101*revleg_full)),1)-0.5)&lt;1E-9,2*ROUND((L101*M101*revleg_full)/2,0),ROUND((L101*M101*revleg_full),0)))-(((battery/range_nm)*D101*IF(ABS(MOD(ABS((L101*M101*revleg_full)),1)-0.5)&lt;1E-9,2*ROUND((L101*M101*revleg_full)/2,0),ROUND((L101*M101*revleg_full),0))*VLOOKUP(B101,country_opex,3,FALSE))+W101+X101+Y101+Z101+AA101)))</f>
        <v/>
      </c>
      <c r="AY101" s="46" t="n"/>
      <c r="AZ101" s="46" t="inlineStr">
        <is>
          <t>Koh Tao: 666,778 visitors in 2024 (above pre-Covid; record), 327,000 Jan-May 2025, full-year 2025 forecast &gt;700,000 - Koh Tao Tourism Association / TAT figures via Thairath &amp; Daily News (T2 base). Koh Tao is boat-only (no airport, R3-EXCEPTION: arrivals = crossing ridership). Access splits between the Chumphon side (Bangkok route) and the Samui/Phangan side.</t>
        </is>
      </c>
      <c r="BA101" s="34" t="inlineStr">
        <is>
          <t>rn-21d437d2bf84</t>
        </is>
      </c>
    </row>
    <row r="102">
      <c r="A102" s="31" t="inlineStr">
        <is>
          <t>Phuket</t>
        </is>
      </c>
      <c r="B102" s="31" t="inlineStr">
        <is>
          <t>Thailand</t>
        </is>
      </c>
      <c r="C102" s="32" t="inlineStr">
        <is>
          <t>Manoh Pier (Koh Yao Yai) → Thap Lamu Pier (Similan Gateway)</t>
        </is>
      </c>
      <c r="D102" s="33" t="n">
        <v>35.7</v>
      </c>
      <c r="E102" s="27" t="n">
        <v>100</v>
      </c>
      <c r="F102" s="34" t="inlineStr">
        <is>
          <t>T2</t>
        </is>
      </c>
      <c r="G102" s="34" t="inlineStr">
        <is>
          <t>med</t>
        </is>
      </c>
      <c r="H102" s="20" t="n">
        <v>1</v>
      </c>
      <c r="I102" s="35">
        <f>60*D102/cruise_kt</f>
        <v/>
      </c>
      <c r="J102" s="35">
        <f>IF(B102="South Korea",D102/korea_charge_range_nm*korea_full_range_charge_min,0)</f>
        <v/>
      </c>
      <c r="K102" s="35">
        <f>IF(B102="South Korea",I102+korea_turn_min+korea_dwell_min+J102,I102+turn_min+dwell_min)</f>
        <v/>
      </c>
      <c r="L102" s="36">
        <f>IF(B102="South Korea",FLOOR(60*korea_service_hr/K102,1),MIN(15,FLOOR(60*service_hr/K102,1)))</f>
        <v/>
      </c>
      <c r="M102" s="36">
        <f>IF(ABS(MOD(ABS((365*mech_uptime*H102)),1)-0.5)&lt;1E-9,2*ROUND((365*mech_uptime*H102)/2,0),ROUND((365*mech_uptime*H102),0))</f>
        <v/>
      </c>
      <c r="N102" s="37">
        <f>mech_uptime</f>
        <v/>
      </c>
      <c r="O102" s="37">
        <f>IF(AND(B102="South Korea",scenario="MID"),korea_mid_revleg,revleg_sel)</f>
        <v/>
      </c>
      <c r="P102" s="36">
        <f>IF(ABS(MOD(ABS((L102*M102*O102)),1)-0.5)&lt;1E-9,2*ROUND((L102*M102*O102)/2,0),ROUND((L102*M102*O102),0))</f>
        <v/>
      </c>
      <c r="Q102" s="37">
        <f>IF(AND(B102="South Korea",scenario="MID"),korea_mid_load,load_sel)</f>
        <v/>
      </c>
      <c r="R102" s="38">
        <f>pax_cap*Q102</f>
        <v/>
      </c>
      <c r="S102" s="36">
        <f>R102*P102</f>
        <v/>
      </c>
      <c r="T102" s="39">
        <f>E102*discount</f>
        <v/>
      </c>
      <c r="U102" s="40">
        <f>T102*S102</f>
        <v/>
      </c>
      <c r="V102" s="40">
        <f>(battery/range_nm)*D102*P102*VLOOKUP(B102,country_opex,3,FALSE)</f>
        <v/>
      </c>
      <c r="W102" s="40">
        <f>VLOOKUP(B102,country_opex,2,FALSE)*crew_factor</f>
        <v/>
      </c>
      <c r="X102" s="40">
        <f>VLOOKUP(B102,country_opex,5,FALSE)</f>
        <v/>
      </c>
      <c r="Y102" s="40">
        <f>maint</f>
        <v/>
      </c>
      <c r="Z102" s="40">
        <f>VLOOKUP(B102,country_opex,7,FALSE)*ins_pct</f>
        <v/>
      </c>
      <c r="AA102" s="40">
        <f>charge_berth</f>
        <v/>
      </c>
      <c r="AB102" s="40">
        <f>V102+W102+X102+Y102+Z102+AA102</f>
        <v/>
      </c>
      <c r="AC102" s="40">
        <f>VLOOKUP(B102,country_opex,7,FALSE)/dep_years</f>
        <v/>
      </c>
      <c r="AD102" s="40">
        <f>U102-AB102</f>
        <v/>
      </c>
      <c r="AE102" s="37">
        <f>IF(U102=0,"",AD102/U102)</f>
        <v/>
      </c>
      <c r="AF102" s="38">
        <f>IF(AD102&lt;=0,"",VLOOKUP(B102,country_opex,7,FALSE)/AD102)</f>
        <v/>
      </c>
      <c r="AG102" s="35">
        <f>((D102*P102/diesel_nmpg)*diesel_co2pg-(battery/range_nm)*D102*P102*VLOOKUP(B102,country_opex,4,FALSE))/1000</f>
        <v/>
      </c>
      <c r="AH102" s="33" t="n">
        <v>8500</v>
      </c>
      <c r="AI102" s="34" t="inlineStr">
        <is>
          <t>T2</t>
        </is>
      </c>
      <c r="AJ102" s="34" t="inlineStr">
        <is>
          <t>med</t>
        </is>
      </c>
      <c r="AK102" s="41" t="n">
        <v>0.9</v>
      </c>
      <c r="AL102" s="36">
        <f>IF(AH102="","",AH102*AK102)</f>
        <v/>
      </c>
      <c r="AM102" s="36">
        <f>IF(OR(AH102="",S102=0),"",MIN(IF(AU102="",9.9E+99,AU102),FLOOR(AL102/S102,1)))</f>
        <v/>
      </c>
      <c r="AN102" s="40">
        <f>IF(AM102="","",AM102*IF(ABS(MOD(ABS((U102)),1)-0.5)&lt;1E-9,2*ROUND((U102)/2,0),ROUND((U102),0)))</f>
        <v/>
      </c>
      <c r="AO102" s="38">
        <f>IF(OR(AH102="",S102=0),"",MIN(IF(AU102="",9.9E+99,AU102),AL102/S102))</f>
        <v/>
      </c>
      <c r="AP102" s="40">
        <f>IF(AO102="","",AO102*IF(B102="South Korea",IF(ABS(MOD(ABS((U102)),1)-0.5)&lt;1E-9,2*ROUND((U102)/2,0),ROUND((U102),0)),U102))</f>
        <v/>
      </c>
      <c r="AQ102" s="42" t="n"/>
      <c r="AR102" s="34" t="inlineStr">
        <is>
          <t>Grounded</t>
        </is>
      </c>
      <c r="AS102" s="43" t="n"/>
      <c r="AT102" s="43" t="n"/>
      <c r="AU102" s="44" t="n"/>
      <c r="AV102" s="45">
        <f>IF(((T102*pax_cap*load_thin*IF(ABS(MOD(ABS((L102*M102*revleg_thin)),1)-0.5)&lt;1E-9,2*ROUND((L102*M102*revleg_thin)/2,0),ROUND((L102*M102*revleg_thin),0)))-(((battery/range_nm)*D102*IF(ABS(MOD(ABS((L102*M102*revleg_thin)),1)-0.5)&lt;1E-9,2*ROUND((L102*M102*revleg_thin)/2,0),ROUND((L102*M102*revleg_thin),0))*VLOOKUP(B102,country_opex,3,FALSE))+W102+X102+Y102+Z102+AA102))&lt;=0,"",VLOOKUP(B102,country_opex,7,FALSE)/((T102*pax_cap*load_thin*IF(ABS(MOD(ABS((L102*M102*revleg_thin)),1)-0.5)&lt;1E-9,2*ROUND((L102*M102*revleg_thin)/2,0),ROUND((L102*M102*revleg_thin),0)))-(((battery/range_nm)*D102*IF(ABS(MOD(ABS((L102*M102*revleg_thin)),1)-0.5)&lt;1E-9,2*ROUND((L102*M102*revleg_thin)/2,0),ROUND((L102*M102*revleg_thin),0))*VLOOKUP(B102,country_opex,3,FALSE))+W102+X102+Y102+Z102+AA102)))</f>
        <v/>
      </c>
      <c r="AW102" s="45">
        <f>IF(((T102*pax_cap*IF(B102="South Korea",korea_mid_load,load_mid)*IF(ABS(MOD(ABS((L102*M102*IF(B102="South Korea",korea_mid_revleg,revleg_mid))),1)-0.5)&lt;1E-9,2*ROUND((L102*M102*IF(B102="South Korea",korea_mid_revleg,revleg_mid))/2,0),ROUND((L102*M102*IF(B102="South Korea",korea_mid_revleg,revleg_mid)),0)))-(((battery/range_nm)*D102*IF(ABS(MOD(ABS((L102*M102*IF(B102="South Korea",korea_mid_revleg,revleg_mid))),1)-0.5)&lt;1E-9,2*ROUND((L102*M102*IF(B102="South Korea",korea_mid_revleg,revleg_mid))/2,0),ROUND((L102*M102*IF(B102="South Korea",korea_mid_revleg,revleg_mid)),0))*VLOOKUP(B102,country_opex,3,FALSE))+W102+X102+Y102+Z102+AA102))&lt;=0,"",VLOOKUP(B102,country_opex,7,FALSE)/((T102*pax_cap*IF(B102="South Korea",korea_mid_load,load_mid)*IF(ABS(MOD(ABS((L102*M102*IF(B102="South Korea",korea_mid_revleg,revleg_mid))),1)-0.5)&lt;1E-9,2*ROUND((L102*M102*IF(B102="South Korea",korea_mid_revleg,revleg_mid))/2,0),ROUND((L102*M102*IF(B102="South Korea",korea_mid_revleg,revleg_mid)),0)))-(((battery/range_nm)*D102*IF(ABS(MOD(ABS((L102*M102*IF(B102="South Korea",korea_mid_revleg,revleg_mid))),1)-0.5)&lt;1E-9,2*ROUND((L102*M102*IF(B102="South Korea",korea_mid_revleg,revleg_mid))/2,0),ROUND((L102*M102*IF(B102="South Korea",korea_mid_revleg,revleg_mid)),0))*VLOOKUP(B102,country_opex,3,FALSE))+W102+X102+Y102+Z102+AA102)))</f>
        <v/>
      </c>
      <c r="AX102" s="45">
        <f>IF(((T102*pax_cap*load_full*IF(ABS(MOD(ABS((L102*M102*revleg_full)),1)-0.5)&lt;1E-9,2*ROUND((L102*M102*revleg_full)/2,0),ROUND((L102*M102*revleg_full),0)))-(((battery/range_nm)*D102*IF(ABS(MOD(ABS((L102*M102*revleg_full)),1)-0.5)&lt;1E-9,2*ROUND((L102*M102*revleg_full)/2,0),ROUND((L102*M102*revleg_full),0))*VLOOKUP(B102,country_opex,3,FALSE))+W102+X102+Y102+Z102+AA102))&lt;=0,"",VLOOKUP(B102,country_opex,7,FALSE)/((T102*pax_cap*load_full*IF(ABS(MOD(ABS((L102*M102*revleg_full)),1)-0.5)&lt;1E-9,2*ROUND((L102*M102*revleg_full)/2,0),ROUND((L102*M102*revleg_full),0)))-(((battery/range_nm)*D102*IF(ABS(MOD(ABS((L102*M102*revleg_full)),1)-0.5)&lt;1E-9,2*ROUND((L102*M102*revleg_full)/2,0),ROUND((L102*M102*revleg_full),0))*VLOOKUP(B102,country_opex,3,FALSE))+W102+X102+Y102+Z102+AA102)))</f>
        <v/>
      </c>
      <c r="AY102" s="46" t="inlineStr">
        <is>
          <t>Minor Hotels inter-resort hop — Koh Yao Yai ↔ Khao Lak portfolio.</t>
        </is>
      </c>
      <c r="AZ102" s="46" t="inlineStr">
        <is>
          <t>minor-hotels-phuket-flagship-economics-DRAFT.json — inter-brand Andaman hop</t>
        </is>
      </c>
      <c r="BA102" s="34" t="inlineStr">
        <is>
          <t>rn-b1313beb0eaa</t>
        </is>
      </c>
    </row>
    <row r="103">
      <c r="A103" s="31" t="inlineStr">
        <is>
          <t>Phuket</t>
        </is>
      </c>
      <c r="B103" s="31" t="inlineStr">
        <is>
          <t>Thailand</t>
        </is>
      </c>
      <c r="C103" s="32" t="inlineStr">
        <is>
          <t>Phuket → Krabi (Ao Nang)</t>
        </is>
      </c>
      <c r="D103" s="33" t="n">
        <v>40</v>
      </c>
      <c r="E103" s="27" t="n">
        <v>44</v>
      </c>
      <c r="F103" s="34" t="inlineStr">
        <is>
          <t>T3</t>
        </is>
      </c>
      <c r="G103" s="34" t="inlineStr">
        <is>
          <t>med</t>
        </is>
      </c>
      <c r="H103" s="20" t="n">
        <v>1</v>
      </c>
      <c r="I103" s="35">
        <f>60*D103/cruise_kt</f>
        <v/>
      </c>
      <c r="J103" s="35">
        <f>IF(B103="South Korea",D103/korea_charge_range_nm*korea_full_range_charge_min,0)</f>
        <v/>
      </c>
      <c r="K103" s="35">
        <f>IF(B103="South Korea",I103+korea_turn_min+korea_dwell_min+J103,I103+turn_min+dwell_min)</f>
        <v/>
      </c>
      <c r="L103" s="36">
        <f>IF(B103="South Korea",FLOOR(60*korea_service_hr/K103,1),MIN(15,FLOOR(60*service_hr/K103,1)))</f>
        <v/>
      </c>
      <c r="M103" s="36">
        <f>IF(ABS(MOD(ABS((365*mech_uptime*H103)),1)-0.5)&lt;1E-9,2*ROUND((365*mech_uptime*H103)/2,0),ROUND((365*mech_uptime*H103),0))</f>
        <v/>
      </c>
      <c r="N103" s="37">
        <f>mech_uptime</f>
        <v/>
      </c>
      <c r="O103" s="37">
        <f>IF(AND(B103="South Korea",scenario="MID"),korea_mid_revleg,revleg_sel)</f>
        <v/>
      </c>
      <c r="P103" s="36">
        <f>IF(ABS(MOD(ABS((L103*M103*O103)),1)-0.5)&lt;1E-9,2*ROUND((L103*M103*O103)/2,0),ROUND((L103*M103*O103),0))</f>
        <v/>
      </c>
      <c r="Q103" s="37">
        <f>IF(AND(B103="South Korea",scenario="MID"),korea_mid_load,load_sel)</f>
        <v/>
      </c>
      <c r="R103" s="38">
        <f>pax_cap*Q103</f>
        <v/>
      </c>
      <c r="S103" s="36">
        <f>R103*P103</f>
        <v/>
      </c>
      <c r="T103" s="39">
        <f>E103*discount</f>
        <v/>
      </c>
      <c r="U103" s="40">
        <f>T103*S103</f>
        <v/>
      </c>
      <c r="V103" s="40">
        <f>(battery/range_nm)*D103*P103*VLOOKUP(B103,country_opex,3,FALSE)</f>
        <v/>
      </c>
      <c r="W103" s="40">
        <f>VLOOKUP(B103,country_opex,2,FALSE)*crew_factor</f>
        <v/>
      </c>
      <c r="X103" s="40">
        <f>VLOOKUP(B103,country_opex,5,FALSE)</f>
        <v/>
      </c>
      <c r="Y103" s="40">
        <f>maint</f>
        <v/>
      </c>
      <c r="Z103" s="40">
        <f>VLOOKUP(B103,country_opex,7,FALSE)*ins_pct</f>
        <v/>
      </c>
      <c r="AA103" s="40">
        <f>charge_berth</f>
        <v/>
      </c>
      <c r="AB103" s="40">
        <f>V103+W103+X103+Y103+Z103+AA103</f>
        <v/>
      </c>
      <c r="AC103" s="40">
        <f>VLOOKUP(B103,country_opex,7,FALSE)/dep_years</f>
        <v/>
      </c>
      <c r="AD103" s="40">
        <f>U103-AB103</f>
        <v/>
      </c>
      <c r="AE103" s="37">
        <f>IF(U103=0,"",AD103/U103)</f>
        <v/>
      </c>
      <c r="AF103" s="38">
        <f>IF(AD103&lt;=0,"",VLOOKUP(B103,country_opex,7,FALSE)/AD103)</f>
        <v/>
      </c>
      <c r="AG103" s="35">
        <f>((D103*P103/diesel_nmpg)*diesel_co2pg-(battery/range_nm)*D103*P103*VLOOKUP(B103,country_opex,4,FALSE))/1000</f>
        <v/>
      </c>
      <c r="AH103" s="33" t="n"/>
      <c r="AI103" s="34" t="n"/>
      <c r="AJ103" s="34" t="n"/>
      <c r="AK103" s="41" t="n">
        <v>0.1</v>
      </c>
      <c r="AL103" s="36">
        <f>IF(AH103="","",AH103*AK103)</f>
        <v/>
      </c>
      <c r="AM103" s="36">
        <f>IF(OR(AH103="",S103=0),"",MIN(IF(AU103="",9.9E+99,AU103),FLOOR(AL103/S103,1)))</f>
        <v/>
      </c>
      <c r="AN103" s="40">
        <f>IF(AM103="","",AM103*IF(ABS(MOD(ABS((U103)),1)-0.5)&lt;1E-9,2*ROUND((U103)/2,0),ROUND((U103),0)))</f>
        <v/>
      </c>
      <c r="AO103" s="38">
        <f>IF(OR(AH103="",S103=0),"",MIN(IF(AU103="",9.9E+99,AU103),AL103/S103))</f>
        <v/>
      </c>
      <c r="AP103" s="40">
        <f>IF(AO103="","",AO103*IF(B103="South Korea",IF(ABS(MOD(ABS((U103)),1)-0.5)&lt;1E-9,2*ROUND((U103)/2,0),ROUND((U103),0)),U103))</f>
        <v/>
      </c>
      <c r="AQ103" s="42" t="n"/>
      <c r="AR103" s="34" t="inlineStr">
        <is>
          <t>Estimated</t>
        </is>
      </c>
      <c r="AS103" s="43" t="n"/>
      <c r="AT103" s="43" t="n"/>
      <c r="AU103" s="44" t="n"/>
      <c r="AV103" s="45">
        <f>IF(((T103*pax_cap*load_thin*IF(ABS(MOD(ABS((L103*M103*revleg_thin)),1)-0.5)&lt;1E-9,2*ROUND((L103*M103*revleg_thin)/2,0),ROUND((L103*M103*revleg_thin),0)))-(((battery/range_nm)*D103*IF(ABS(MOD(ABS((L103*M103*revleg_thin)),1)-0.5)&lt;1E-9,2*ROUND((L103*M103*revleg_thin)/2,0),ROUND((L103*M103*revleg_thin),0))*VLOOKUP(B103,country_opex,3,FALSE))+W103+X103+Y103+Z103+AA103))&lt;=0,"",VLOOKUP(B103,country_opex,7,FALSE)/((T103*pax_cap*load_thin*IF(ABS(MOD(ABS((L103*M103*revleg_thin)),1)-0.5)&lt;1E-9,2*ROUND((L103*M103*revleg_thin)/2,0),ROUND((L103*M103*revleg_thin),0)))-(((battery/range_nm)*D103*IF(ABS(MOD(ABS((L103*M103*revleg_thin)),1)-0.5)&lt;1E-9,2*ROUND((L103*M103*revleg_thin)/2,0),ROUND((L103*M103*revleg_thin),0))*VLOOKUP(B103,country_opex,3,FALSE))+W103+X103+Y103+Z103+AA103)))</f>
        <v/>
      </c>
      <c r="AW103" s="45">
        <f>IF(((T103*pax_cap*IF(B103="South Korea",korea_mid_load,load_mid)*IF(ABS(MOD(ABS((L103*M103*IF(B103="South Korea",korea_mid_revleg,revleg_mid))),1)-0.5)&lt;1E-9,2*ROUND((L103*M103*IF(B103="South Korea",korea_mid_revleg,revleg_mid))/2,0),ROUND((L103*M103*IF(B103="South Korea",korea_mid_revleg,revleg_mid)),0)))-(((battery/range_nm)*D103*IF(ABS(MOD(ABS((L103*M103*IF(B103="South Korea",korea_mid_revleg,revleg_mid))),1)-0.5)&lt;1E-9,2*ROUND((L103*M103*IF(B103="South Korea",korea_mid_revleg,revleg_mid))/2,0),ROUND((L103*M103*IF(B103="South Korea",korea_mid_revleg,revleg_mid)),0))*VLOOKUP(B103,country_opex,3,FALSE))+W103+X103+Y103+Z103+AA103))&lt;=0,"",VLOOKUP(B103,country_opex,7,FALSE)/((T103*pax_cap*IF(B103="South Korea",korea_mid_load,load_mid)*IF(ABS(MOD(ABS((L103*M103*IF(B103="South Korea",korea_mid_revleg,revleg_mid))),1)-0.5)&lt;1E-9,2*ROUND((L103*M103*IF(B103="South Korea",korea_mid_revleg,revleg_mid))/2,0),ROUND((L103*M103*IF(B103="South Korea",korea_mid_revleg,revleg_mid)),0)))-(((battery/range_nm)*D103*IF(ABS(MOD(ABS((L103*M103*IF(B103="South Korea",korea_mid_revleg,revleg_mid))),1)-0.5)&lt;1E-9,2*ROUND((L103*M103*IF(B103="South Korea",korea_mid_revleg,revleg_mid))/2,0),ROUND((L103*M103*IF(B103="South Korea",korea_mid_revleg,revleg_mid)),0))*VLOOKUP(B103,country_opex,3,FALSE))+W103+X103+Y103+Z103+AA103)))</f>
        <v/>
      </c>
      <c r="AX103" s="45">
        <f>IF(((T103*pax_cap*load_full*IF(ABS(MOD(ABS((L103*M103*revleg_full)),1)-0.5)&lt;1E-9,2*ROUND((L103*M103*revleg_full)/2,0),ROUND((L103*M103*revleg_full),0)))-(((battery/range_nm)*D103*IF(ABS(MOD(ABS((L103*M103*revleg_full)),1)-0.5)&lt;1E-9,2*ROUND((L103*M103*revleg_full)/2,0),ROUND((L103*M103*revleg_full),0))*VLOOKUP(B103,country_opex,3,FALSE))+W103+X103+Y103+Z103+AA103))&lt;=0,"",VLOOKUP(B103,country_opex,7,FALSE)/((T103*pax_cap*load_full*IF(ABS(MOD(ABS((L103*M103*revleg_full)),1)-0.5)&lt;1E-9,2*ROUND((L103*M103*revleg_full)/2,0),ROUND((L103*M103*revleg_full),0)))-(((battery/range_nm)*D103*IF(ABS(MOD(ABS((L103*M103*revleg_full)),1)-0.5)&lt;1E-9,2*ROUND((L103*M103*revleg_full)/2,0),ROUND((L103*M103*revleg_full),0))*VLOOKUP(B103,country_opex,3,FALSE))+W103+X103+Y103+Z103+AA103)))</f>
        <v/>
      </c>
      <c r="AY103" s="46" t="inlineStr">
        <is>
          <t>Phuket-&gt;Krabi (Ao Nang) speedboat premium tier ~comparable to Phi Phi route ($44). Krabi-specific demand re-source pending.</t>
        </is>
      </c>
      <c r="AZ103" s="46" t="inlineStr">
        <is>
          <t>Phi Phi demand moved to new Phuket-&gt;Phi Phi corridor per Jaideep 2026-06-09. Krabi (Ao Nang) demand to be sourced separately. Until then: estimated via country cascade.</t>
        </is>
      </c>
      <c r="BA103" s="34" t="inlineStr">
        <is>
          <t>gcn-e927fe8958-shared</t>
        </is>
      </c>
    </row>
    <row r="104">
      <c r="A104" s="31" t="inlineStr">
        <is>
          <t>Phuket</t>
        </is>
      </c>
      <c r="B104" s="31" t="inlineStr">
        <is>
          <t>Thailand</t>
        </is>
      </c>
      <c r="C104" s="32" t="inlineStr">
        <is>
          <t>Phuket → Similan / Surin Islands</t>
        </is>
      </c>
      <c r="D104" s="33" t="n">
        <v>55</v>
      </c>
      <c r="E104" s="27" t="n">
        <v>80</v>
      </c>
      <c r="F104" s="34" t="inlineStr">
        <is>
          <t>T3</t>
        </is>
      </c>
      <c r="G104" s="34" t="inlineStr">
        <is>
          <t>med</t>
        </is>
      </c>
      <c r="H104" s="20" t="n">
        <v>1</v>
      </c>
      <c r="I104" s="35">
        <f>60*D104/cruise_kt</f>
        <v/>
      </c>
      <c r="J104" s="35">
        <f>IF(B104="South Korea",D104/korea_charge_range_nm*korea_full_range_charge_min,0)</f>
        <v/>
      </c>
      <c r="K104" s="35">
        <f>IF(B104="South Korea",I104+korea_turn_min+korea_dwell_min+J104,I104+turn_min+dwell_min)</f>
        <v/>
      </c>
      <c r="L104" s="36">
        <f>IF(B104="South Korea",FLOOR(60*korea_service_hr/K104,1),MIN(15,FLOOR(60*service_hr/K104,1)))</f>
        <v/>
      </c>
      <c r="M104" s="36">
        <f>IF(ABS(MOD(ABS((365*mech_uptime*H104)),1)-0.5)&lt;1E-9,2*ROUND((365*mech_uptime*H104)/2,0),ROUND((365*mech_uptime*H104),0))</f>
        <v/>
      </c>
      <c r="N104" s="37">
        <f>mech_uptime</f>
        <v/>
      </c>
      <c r="O104" s="37">
        <f>IF(AND(B104="South Korea",scenario="MID"),korea_mid_revleg,revleg_sel)</f>
        <v/>
      </c>
      <c r="P104" s="36">
        <f>IF(ABS(MOD(ABS((L104*M104*O104)),1)-0.5)&lt;1E-9,2*ROUND((L104*M104*O104)/2,0),ROUND((L104*M104*O104),0))</f>
        <v/>
      </c>
      <c r="Q104" s="37">
        <f>IF(AND(B104="South Korea",scenario="MID"),korea_mid_load,load_sel)</f>
        <v/>
      </c>
      <c r="R104" s="38">
        <f>pax_cap*Q104</f>
        <v/>
      </c>
      <c r="S104" s="36">
        <f>R104*P104</f>
        <v/>
      </c>
      <c r="T104" s="39">
        <f>E104*discount</f>
        <v/>
      </c>
      <c r="U104" s="40">
        <f>T104*S104</f>
        <v/>
      </c>
      <c r="V104" s="40">
        <f>(battery/range_nm)*D104*P104*VLOOKUP(B104,country_opex,3,FALSE)</f>
        <v/>
      </c>
      <c r="W104" s="40">
        <f>VLOOKUP(B104,country_opex,2,FALSE)*crew_factor</f>
        <v/>
      </c>
      <c r="X104" s="40">
        <f>VLOOKUP(B104,country_opex,5,FALSE)</f>
        <v/>
      </c>
      <c r="Y104" s="40">
        <f>maint</f>
        <v/>
      </c>
      <c r="Z104" s="40">
        <f>VLOOKUP(B104,country_opex,7,FALSE)*ins_pct</f>
        <v/>
      </c>
      <c r="AA104" s="40">
        <f>charge_berth</f>
        <v/>
      </c>
      <c r="AB104" s="40">
        <f>V104+W104+X104+Y104+Z104+AA104</f>
        <v/>
      </c>
      <c r="AC104" s="40">
        <f>VLOOKUP(B104,country_opex,7,FALSE)/dep_years</f>
        <v/>
      </c>
      <c r="AD104" s="40">
        <f>U104-AB104</f>
        <v/>
      </c>
      <c r="AE104" s="37">
        <f>IF(U104=0,"",AD104/U104)</f>
        <v/>
      </c>
      <c r="AF104" s="38">
        <f>IF(AD104&lt;=0,"",VLOOKUP(B104,country_opex,7,FALSE)/AD104)</f>
        <v/>
      </c>
      <c r="AG104" s="35">
        <f>((D104*P104/diesel_nmpg)*diesel_co2pg-(battery/range_nm)*D104*P104*VLOOKUP(B104,country_opex,4,FALSE))/1000</f>
        <v/>
      </c>
      <c r="AH104" s="33" t="n">
        <v>580000</v>
      </c>
      <c r="AI104" s="34" t="inlineStr">
        <is>
          <t>T2</t>
        </is>
      </c>
      <c r="AJ104" s="34" t="inlineStr">
        <is>
          <t>low</t>
        </is>
      </c>
      <c r="AK104" s="41" t="n">
        <v>0.1</v>
      </c>
      <c r="AL104" s="36">
        <f>IF(AH104="","",AH104*AK104)</f>
        <v/>
      </c>
      <c r="AM104" s="36">
        <f>IF(OR(AH104="",S104=0),"",MIN(IF(AU104="",9.9E+99,AU104),FLOOR(AL104/S104,1)))</f>
        <v/>
      </c>
      <c r="AN104" s="40">
        <f>IF(AM104="","",AM104*IF(ABS(MOD(ABS((U104)),1)-0.5)&lt;1E-9,2*ROUND((U104)/2,0),ROUND((U104),0)))</f>
        <v/>
      </c>
      <c r="AO104" s="38">
        <f>IF(OR(AH104="",S104=0),"",MIN(IF(AU104="",9.9E+99,AU104),AL104/S104))</f>
        <v/>
      </c>
      <c r="AP104" s="40">
        <f>IF(AO104="","",AO104*IF(B104="South Korea",IF(ABS(MOD(ABS((U104)),1)-0.5)&lt;1E-9,2*ROUND((U104)/2,0),ROUND((U104),0)),U104))</f>
        <v/>
      </c>
      <c r="AQ104" s="42" t="n"/>
      <c r="AR104" s="34" t="inlineStr">
        <is>
          <t>Grounded</t>
        </is>
      </c>
      <c r="AS104" s="43" t="n"/>
      <c r="AT104" s="43" t="n"/>
      <c r="AU104" s="44" t="n"/>
      <c r="AV104" s="45">
        <f>IF(((T104*pax_cap*load_thin*IF(ABS(MOD(ABS((L104*M104*revleg_thin)),1)-0.5)&lt;1E-9,2*ROUND((L104*M104*revleg_thin)/2,0),ROUND((L104*M104*revleg_thin),0)))-(((battery/range_nm)*D104*IF(ABS(MOD(ABS((L104*M104*revleg_thin)),1)-0.5)&lt;1E-9,2*ROUND((L104*M104*revleg_thin)/2,0),ROUND((L104*M104*revleg_thin),0))*VLOOKUP(B104,country_opex,3,FALSE))+W104+X104+Y104+Z104+AA104))&lt;=0,"",VLOOKUP(B104,country_opex,7,FALSE)/((T104*pax_cap*load_thin*IF(ABS(MOD(ABS((L104*M104*revleg_thin)),1)-0.5)&lt;1E-9,2*ROUND((L104*M104*revleg_thin)/2,0),ROUND((L104*M104*revleg_thin),0)))-(((battery/range_nm)*D104*IF(ABS(MOD(ABS((L104*M104*revleg_thin)),1)-0.5)&lt;1E-9,2*ROUND((L104*M104*revleg_thin)/2,0),ROUND((L104*M104*revleg_thin),0))*VLOOKUP(B104,country_opex,3,FALSE))+W104+X104+Y104+Z104+AA104)))</f>
        <v/>
      </c>
      <c r="AW104" s="45">
        <f>IF(((T104*pax_cap*IF(B104="South Korea",korea_mid_load,load_mid)*IF(ABS(MOD(ABS((L104*M104*IF(B104="South Korea",korea_mid_revleg,revleg_mid))),1)-0.5)&lt;1E-9,2*ROUND((L104*M104*IF(B104="South Korea",korea_mid_revleg,revleg_mid))/2,0),ROUND((L104*M104*IF(B104="South Korea",korea_mid_revleg,revleg_mid)),0)))-(((battery/range_nm)*D104*IF(ABS(MOD(ABS((L104*M104*IF(B104="South Korea",korea_mid_revleg,revleg_mid))),1)-0.5)&lt;1E-9,2*ROUND((L104*M104*IF(B104="South Korea",korea_mid_revleg,revleg_mid))/2,0),ROUND((L104*M104*IF(B104="South Korea",korea_mid_revleg,revleg_mid)),0))*VLOOKUP(B104,country_opex,3,FALSE))+W104+X104+Y104+Z104+AA104))&lt;=0,"",VLOOKUP(B104,country_opex,7,FALSE)/((T104*pax_cap*IF(B104="South Korea",korea_mid_load,load_mid)*IF(ABS(MOD(ABS((L104*M104*IF(B104="South Korea",korea_mid_revleg,revleg_mid))),1)-0.5)&lt;1E-9,2*ROUND((L104*M104*IF(B104="South Korea",korea_mid_revleg,revleg_mid))/2,0),ROUND((L104*M104*IF(B104="South Korea",korea_mid_revleg,revleg_mid)),0)))-(((battery/range_nm)*D104*IF(ABS(MOD(ABS((L104*M104*IF(B104="South Korea",korea_mid_revleg,revleg_mid))),1)-0.5)&lt;1E-9,2*ROUND((L104*M104*IF(B104="South Korea",korea_mid_revleg,revleg_mid))/2,0),ROUND((L104*M104*IF(B104="South Korea",korea_mid_revleg,revleg_mid)),0))*VLOOKUP(B104,country_opex,3,FALSE))+W104+X104+Y104+Z104+AA104)))</f>
        <v/>
      </c>
      <c r="AX104" s="45">
        <f>IF(((T104*pax_cap*load_full*IF(ABS(MOD(ABS((L104*M104*revleg_full)),1)-0.5)&lt;1E-9,2*ROUND((L104*M104*revleg_full)/2,0),ROUND((L104*M104*revleg_full),0)))-(((battery/range_nm)*D104*IF(ABS(MOD(ABS((L104*M104*revleg_full)),1)-0.5)&lt;1E-9,2*ROUND((L104*M104*revleg_full)/2,0),ROUND((L104*M104*revleg_full),0))*VLOOKUP(B104,country_opex,3,FALSE))+W104+X104+Y104+Z104+AA104))&lt;=0,"",VLOOKUP(B104,country_opex,7,FALSE)/((T104*pax_cap*load_full*IF(ABS(MOD(ABS((L104*M104*revleg_full)),1)-0.5)&lt;1E-9,2*ROUND((L104*M104*revleg_full)/2,0),ROUND((L104*M104*revleg_full),0)))-(((battery/range_nm)*D104*IF(ABS(MOD(ABS((L104*M104*revleg_full)),1)-0.5)&lt;1E-9,2*ROUND((L104*M104*revleg_full)/2,0),ROUND((L104*M104*revleg_full),0))*VLOOKUP(B104,country_opex,3,FALSE))+W104+X104+Y104+Z104+AA104)))</f>
        <v/>
      </c>
      <c r="AY104" s="46" t="inlineStr">
        <is>
          <t>Phuket-&gt;Similan/Surin premium shared speedboat day-tour (THB/USD 36): premium catamaran-speedboat tours ~2,500-2,600 THB incl 500 THB park fee+meals from Khao Lak (phiphitours 2,590 THB=$72); Phuket-origin runs higher ~2,900-3,500 THB ($80-97) for the longer 55nm leg. Private charter Phuket-&gt;Similan 50,000-80,000 THB/boat/day (forbesandpartners) = whole-boat, excluded. Premium per-seat anchored ~2,900 THB ($80) net for the longer Phuket origin.</t>
        </is>
      </c>
      <c r="AZ104" s="46" t="inlineStr">
        <is>
          <t>Mu Ko Similan NP official visitor statistics (DNP/park clarification, May-2025, via MGR Online https://mgronline.com/uptodate/detail/9680000041761): FY2561(2018)=912,566; FY2562(2019)=676,793; FY2566(2023)=352,701; FY2567(2024)=578,535; FY2568=503,142 as of 30-Apr-2025. Daily cap 3,850 visitors/day (DNP, http://news.dnp.go.th/news/7966). Season: park CLOSED ~May 16 - Oct 14; open season ~212 days/yr (reopened 15-Oct each year, prd.go.th).</t>
        </is>
      </c>
      <c r="BA104" s="34" t="inlineStr">
        <is>
          <t>gcn-0cc5f4e157-shared</t>
        </is>
      </c>
    </row>
    <row r="105">
      <c r="A105" s="31" t="inlineStr">
        <is>
          <t>Penang</t>
        </is>
      </c>
      <c r="B105" s="31" t="inlineStr">
        <is>
          <t>Thailand</t>
        </is>
      </c>
      <c r="C105" s="32" t="inlineStr">
        <is>
          <t>Penang (George Town) → Langkawi</t>
        </is>
      </c>
      <c r="D105" s="33" t="n">
        <v>55</v>
      </c>
      <c r="E105" s="27" t="n">
        <v>17</v>
      </c>
      <c r="F105" s="34" t="inlineStr">
        <is>
          <t>T4</t>
        </is>
      </c>
      <c r="G105" s="34" t="inlineStr">
        <is>
          <t>low</t>
        </is>
      </c>
      <c r="H105" s="20" t="n">
        <v>1</v>
      </c>
      <c r="I105" s="35">
        <f>60*D105/cruise_kt</f>
        <v/>
      </c>
      <c r="J105" s="35">
        <f>IF(B105="South Korea",D105/korea_charge_range_nm*korea_full_range_charge_min,0)</f>
        <v/>
      </c>
      <c r="K105" s="35">
        <f>IF(B105="South Korea",I105+korea_turn_min+korea_dwell_min+J105,I105+turn_min+dwell_min)</f>
        <v/>
      </c>
      <c r="L105" s="36">
        <f>IF(B105="South Korea",FLOOR(60*korea_service_hr/K105,1),MIN(15,FLOOR(60*service_hr/K105,1)))</f>
        <v/>
      </c>
      <c r="M105" s="36">
        <f>IF(ABS(MOD(ABS((365*mech_uptime*H105)),1)-0.5)&lt;1E-9,2*ROUND((365*mech_uptime*H105)/2,0),ROUND((365*mech_uptime*H105),0))</f>
        <v/>
      </c>
      <c r="N105" s="37">
        <f>mech_uptime</f>
        <v/>
      </c>
      <c r="O105" s="37">
        <f>IF(AND(B105="South Korea",scenario="MID"),korea_mid_revleg,revleg_sel)</f>
        <v/>
      </c>
      <c r="P105" s="36">
        <f>IF(ABS(MOD(ABS((L105*M105*O105)),1)-0.5)&lt;1E-9,2*ROUND((L105*M105*O105)/2,0),ROUND((L105*M105*O105),0))</f>
        <v/>
      </c>
      <c r="Q105" s="37">
        <f>IF(AND(B105="South Korea",scenario="MID"),korea_mid_load,load_sel)</f>
        <v/>
      </c>
      <c r="R105" s="38">
        <f>pax_cap*Q105</f>
        <v/>
      </c>
      <c r="S105" s="36">
        <f>R105*P105</f>
        <v/>
      </c>
      <c r="T105" s="39">
        <f>E105*discount</f>
        <v/>
      </c>
      <c r="U105" s="40">
        <f>T105*S105</f>
        <v/>
      </c>
      <c r="V105" s="40">
        <f>(battery/range_nm)*D105*P105*VLOOKUP(B105,country_opex,3,FALSE)</f>
        <v/>
      </c>
      <c r="W105" s="40">
        <f>VLOOKUP(B105,country_opex,2,FALSE)*crew_factor</f>
        <v/>
      </c>
      <c r="X105" s="40">
        <f>VLOOKUP(B105,country_opex,5,FALSE)</f>
        <v/>
      </c>
      <c r="Y105" s="40">
        <f>maint</f>
        <v/>
      </c>
      <c r="Z105" s="40">
        <f>VLOOKUP(B105,country_opex,7,FALSE)*ins_pct</f>
        <v/>
      </c>
      <c r="AA105" s="40">
        <f>charge_berth</f>
        <v/>
      </c>
      <c r="AB105" s="40">
        <f>V105+W105+X105+Y105+Z105+AA105</f>
        <v/>
      </c>
      <c r="AC105" s="40">
        <f>VLOOKUP(B105,country_opex,7,FALSE)/dep_years</f>
        <v/>
      </c>
      <c r="AD105" s="40">
        <f>U105-AB105</f>
        <v/>
      </c>
      <c r="AE105" s="37">
        <f>IF(U105=0,"",AD105/U105)</f>
        <v/>
      </c>
      <c r="AF105" s="38">
        <f>IF(AD105&lt;=0,"",VLOOKUP(B105,country_opex,7,FALSE)/AD105)</f>
        <v/>
      </c>
      <c r="AG105" s="35">
        <f>((D105*P105/diesel_nmpg)*diesel_co2pg-(battery/range_nm)*D105*P105*VLOOKUP(B105,country_opex,4,FALSE))/1000</f>
        <v/>
      </c>
      <c r="AH105" s="33" t="n"/>
      <c r="AI105" s="34" t="inlineStr">
        <is>
          <t>T4</t>
        </is>
      </c>
      <c r="AJ105" s="34" t="inlineStr">
        <is>
          <t>low</t>
        </is>
      </c>
      <c r="AK105" s="41" t="n">
        <v>0.1</v>
      </c>
      <c r="AL105" s="36">
        <f>IF(AH105="","",AH105*AK105)</f>
        <v/>
      </c>
      <c r="AM105" s="36">
        <f>IF(OR(AH105="",S105=0),"",MIN(IF(AU105="",9.9E+99,AU105),FLOOR(AL105/S105,1)))</f>
        <v/>
      </c>
      <c r="AN105" s="40">
        <f>IF(AM105="","",AM105*IF(ABS(MOD(ABS((U105)),1)-0.5)&lt;1E-9,2*ROUND((U105)/2,0),ROUND((U105),0)))</f>
        <v/>
      </c>
      <c r="AO105" s="38">
        <f>IF(OR(AH105="",S105=0),"",MIN(IF(AU105="",9.9E+99,AU105),AL105/S105))</f>
        <v/>
      </c>
      <c r="AP105" s="40">
        <f>IF(AO105="","",AO105*IF(B105="South Korea",IF(ABS(MOD(ABS((U105)),1)-0.5)&lt;1E-9,2*ROUND((U105)/2,0),ROUND((U105),0)),U105))</f>
        <v/>
      </c>
      <c r="AQ105" s="42" t="n"/>
      <c r="AR105" s="34" t="inlineStr">
        <is>
          <t>Estimated</t>
        </is>
      </c>
      <c r="AS105" s="43" t="n"/>
      <c r="AT105" s="43" t="n"/>
      <c r="AU105" s="44" t="n"/>
      <c r="AV105" s="45">
        <f>IF(((T105*pax_cap*load_thin*IF(ABS(MOD(ABS((L105*M105*revleg_thin)),1)-0.5)&lt;1E-9,2*ROUND((L105*M105*revleg_thin)/2,0),ROUND((L105*M105*revleg_thin),0)))-(((battery/range_nm)*D105*IF(ABS(MOD(ABS((L105*M105*revleg_thin)),1)-0.5)&lt;1E-9,2*ROUND((L105*M105*revleg_thin)/2,0),ROUND((L105*M105*revleg_thin),0))*VLOOKUP(B105,country_opex,3,FALSE))+W105+X105+Y105+Z105+AA105))&lt;=0,"",VLOOKUP(B105,country_opex,7,FALSE)/((T105*pax_cap*load_thin*IF(ABS(MOD(ABS((L105*M105*revleg_thin)),1)-0.5)&lt;1E-9,2*ROUND((L105*M105*revleg_thin)/2,0),ROUND((L105*M105*revleg_thin),0)))-(((battery/range_nm)*D105*IF(ABS(MOD(ABS((L105*M105*revleg_thin)),1)-0.5)&lt;1E-9,2*ROUND((L105*M105*revleg_thin)/2,0),ROUND((L105*M105*revleg_thin),0))*VLOOKUP(B105,country_opex,3,FALSE))+W105+X105+Y105+Z105+AA105)))</f>
        <v/>
      </c>
      <c r="AW105" s="45">
        <f>IF(((T105*pax_cap*IF(B105="South Korea",korea_mid_load,load_mid)*IF(ABS(MOD(ABS((L105*M105*IF(B105="South Korea",korea_mid_revleg,revleg_mid))),1)-0.5)&lt;1E-9,2*ROUND((L105*M105*IF(B105="South Korea",korea_mid_revleg,revleg_mid))/2,0),ROUND((L105*M105*IF(B105="South Korea",korea_mid_revleg,revleg_mid)),0)))-(((battery/range_nm)*D105*IF(ABS(MOD(ABS((L105*M105*IF(B105="South Korea",korea_mid_revleg,revleg_mid))),1)-0.5)&lt;1E-9,2*ROUND((L105*M105*IF(B105="South Korea",korea_mid_revleg,revleg_mid))/2,0),ROUND((L105*M105*IF(B105="South Korea",korea_mid_revleg,revleg_mid)),0))*VLOOKUP(B105,country_opex,3,FALSE))+W105+X105+Y105+Z105+AA105))&lt;=0,"",VLOOKUP(B105,country_opex,7,FALSE)/((T105*pax_cap*IF(B105="South Korea",korea_mid_load,load_mid)*IF(ABS(MOD(ABS((L105*M105*IF(B105="South Korea",korea_mid_revleg,revleg_mid))),1)-0.5)&lt;1E-9,2*ROUND((L105*M105*IF(B105="South Korea",korea_mid_revleg,revleg_mid))/2,0),ROUND((L105*M105*IF(B105="South Korea",korea_mid_revleg,revleg_mid)),0)))-(((battery/range_nm)*D105*IF(ABS(MOD(ABS((L105*M105*IF(B105="South Korea",korea_mid_revleg,revleg_mid))),1)-0.5)&lt;1E-9,2*ROUND((L105*M105*IF(B105="South Korea",korea_mid_revleg,revleg_mid))/2,0),ROUND((L105*M105*IF(B105="South Korea",korea_mid_revleg,revleg_mid)),0))*VLOOKUP(B105,country_opex,3,FALSE))+W105+X105+Y105+Z105+AA105)))</f>
        <v/>
      </c>
      <c r="AX105" s="45">
        <f>IF(((T105*pax_cap*load_full*IF(ABS(MOD(ABS((L105*M105*revleg_full)),1)-0.5)&lt;1E-9,2*ROUND((L105*M105*revleg_full)/2,0),ROUND((L105*M105*revleg_full),0)))-(((battery/range_nm)*D105*IF(ABS(MOD(ABS((L105*M105*revleg_full)),1)-0.5)&lt;1E-9,2*ROUND((L105*M105*revleg_full)/2,0),ROUND((L105*M105*revleg_full),0))*VLOOKUP(B105,country_opex,3,FALSE))+W105+X105+Y105+Z105+AA105))&lt;=0,"",VLOOKUP(B105,country_opex,7,FALSE)/((T105*pax_cap*load_full*IF(ABS(MOD(ABS((L105*M105*revleg_full)),1)-0.5)&lt;1E-9,2*ROUND((L105*M105*revleg_full)/2,0),ROUND((L105*M105*revleg_full),0)))-(((battery/range_nm)*D105*IF(ABS(MOD(ABS((L105*M105*revleg_full)),1)-0.5)&lt;1E-9,2*ROUND((L105*M105*revleg_full)/2,0),ROUND((L105*M105*revleg_full),0))*VLOOKUP(B105,country_opex,3,FALSE))+W105+X105+Y105+Z105+AA105)))</f>
        <v/>
      </c>
      <c r="AY105" s="46" t="inlineStr">
        <is>
          <t>Penang&lt;-&gt;Langkawi fast-ferry was RM73.60 one-way incl port tax (~3h, Langkawi Ferry Services) BEFORE service was terminated during Covid and NOT replaced (travel-penang-malaysia.com; malaysialife.org 2026: 'no longer operating'; r/penang). RM73.60 @4.30 (2019) = $17.</t>
        </is>
      </c>
      <c r="AZ105" s="46" t="inlineStr">
        <is>
          <t>No operating Penang-Langkawi crossing since Covid. Langkawi total visitor arrivals ~750k (LADA, YTD-2026) / ~3.5-4M pre-Covid, but these arrive by AIR or the Kuala Perlis/Kuala Kedah mainland ferries - NOT the Penang crossing (R3).</t>
        </is>
      </c>
      <c r="BA105" s="34" t="inlineStr">
        <is>
          <t>gcn-9a2c62641d-shared</t>
        </is>
      </c>
    </row>
    <row r="106">
      <c r="A106" s="31" t="inlineStr">
        <is>
          <t>Vietnam</t>
        </is>
      </c>
      <c r="B106" s="31" t="inlineStr">
        <is>
          <t>Vietnam</t>
        </is>
      </c>
      <c r="C106" s="32" t="inlineStr">
        <is>
          <t>Da Nang (Han River) → Hoi An / Cham Islands</t>
        </is>
      </c>
      <c r="D106" s="33" t="n">
        <v>12</v>
      </c>
      <c r="E106" s="27" t="n">
        <v>35</v>
      </c>
      <c r="F106" s="34" t="inlineStr">
        <is>
          <t>T3</t>
        </is>
      </c>
      <c r="G106" s="34" t="inlineStr">
        <is>
          <t>med</t>
        </is>
      </c>
      <c r="H106" s="20" t="n">
        <v>1</v>
      </c>
      <c r="I106" s="35">
        <f>60*D106/cruise_kt</f>
        <v/>
      </c>
      <c r="J106" s="35">
        <f>IF(B106="South Korea",D106/korea_charge_range_nm*korea_full_range_charge_min,0)</f>
        <v/>
      </c>
      <c r="K106" s="35">
        <f>IF(B106="South Korea",I106+korea_turn_min+korea_dwell_min+J106,I106+turn_min+dwell_min)</f>
        <v/>
      </c>
      <c r="L106" s="36">
        <f>IF(B106="South Korea",FLOOR(60*korea_service_hr/K106,1),MIN(15,FLOOR(60*service_hr/K106,1)))</f>
        <v/>
      </c>
      <c r="M106" s="36">
        <f>IF(ABS(MOD(ABS((365*mech_uptime*H106)),1)-0.5)&lt;1E-9,2*ROUND((365*mech_uptime*H106)/2,0),ROUND((365*mech_uptime*H106),0))</f>
        <v/>
      </c>
      <c r="N106" s="37">
        <f>mech_uptime</f>
        <v/>
      </c>
      <c r="O106" s="37">
        <f>IF(AND(B106="South Korea",scenario="MID"),korea_mid_revleg,revleg_sel)</f>
        <v/>
      </c>
      <c r="P106" s="36">
        <f>IF(ABS(MOD(ABS((L106*M106*O106)),1)-0.5)&lt;1E-9,2*ROUND((L106*M106*O106)/2,0),ROUND((L106*M106*O106),0))</f>
        <v/>
      </c>
      <c r="Q106" s="37">
        <f>IF(AND(B106="South Korea",scenario="MID"),korea_mid_load,load_sel)</f>
        <v/>
      </c>
      <c r="R106" s="38">
        <f>pax_cap*Q106</f>
        <v/>
      </c>
      <c r="S106" s="36">
        <f>R106*P106</f>
        <v/>
      </c>
      <c r="T106" s="39">
        <f>E106*discount</f>
        <v/>
      </c>
      <c r="U106" s="40">
        <f>T106*S106</f>
        <v/>
      </c>
      <c r="V106" s="40">
        <f>(battery/range_nm)*D106*P106*VLOOKUP(B106,country_opex,3,FALSE)</f>
        <v/>
      </c>
      <c r="W106" s="40">
        <f>VLOOKUP(B106,country_opex,2,FALSE)*crew_factor</f>
        <v/>
      </c>
      <c r="X106" s="40">
        <f>VLOOKUP(B106,country_opex,5,FALSE)</f>
        <v/>
      </c>
      <c r="Y106" s="40">
        <f>maint</f>
        <v/>
      </c>
      <c r="Z106" s="40">
        <f>VLOOKUP(B106,country_opex,7,FALSE)*ins_pct</f>
        <v/>
      </c>
      <c r="AA106" s="40">
        <f>charge_berth</f>
        <v/>
      </c>
      <c r="AB106" s="40">
        <f>V106+W106+X106+Y106+Z106+AA106</f>
        <v/>
      </c>
      <c r="AC106" s="40">
        <f>VLOOKUP(B106,country_opex,7,FALSE)/dep_years</f>
        <v/>
      </c>
      <c r="AD106" s="40">
        <f>U106-AB106</f>
        <v/>
      </c>
      <c r="AE106" s="37">
        <f>IF(U106=0,"",AD106/U106)</f>
        <v/>
      </c>
      <c r="AF106" s="38">
        <f>IF(AD106&lt;=0,"",VLOOKUP(B106,country_opex,7,FALSE)/AD106)</f>
        <v/>
      </c>
      <c r="AG106" s="35">
        <f>((D106*P106/diesel_nmpg)*diesel_co2pg-(battery/range_nm)*D106*P106*VLOOKUP(B106,country_opex,4,FALSE))/1000</f>
        <v/>
      </c>
      <c r="AH106" s="33" t="n">
        <v>434000</v>
      </c>
      <c r="AI106" s="34" t="inlineStr">
        <is>
          <t>T2</t>
        </is>
      </c>
      <c r="AJ106" s="34" t="inlineStr">
        <is>
          <t>med</t>
        </is>
      </c>
      <c r="AK106" s="41" t="n">
        <v>0.1</v>
      </c>
      <c r="AL106" s="36">
        <f>IF(AH106="","",AH106*AK106)</f>
        <v/>
      </c>
      <c r="AM106" s="36">
        <f>IF(OR(AH106="",S106=0),"",MIN(IF(AU106="",9.9E+99,AU106),FLOOR(AL106/S106,1)))</f>
        <v/>
      </c>
      <c r="AN106" s="40">
        <f>IF(AM106="","",AM106*IF(ABS(MOD(ABS((U106)),1)-0.5)&lt;1E-9,2*ROUND((U106)/2,0),ROUND((U106),0)))</f>
        <v/>
      </c>
      <c r="AO106" s="38">
        <f>IF(OR(AH106="",S106=0),"",MIN(IF(AU106="",9.9E+99,AU106),AL106/S106))</f>
        <v/>
      </c>
      <c r="AP106" s="40">
        <f>IF(AO106="","",AO106*IF(B106="South Korea",IF(ABS(MOD(ABS((U106)),1)-0.5)&lt;1E-9,2*ROUND((U106)/2,0),ROUND((U106),0)),U106))</f>
        <v/>
      </c>
      <c r="AQ106" s="42" t="n"/>
      <c r="AR106" s="34" t="inlineStr">
        <is>
          <t>Grounded</t>
        </is>
      </c>
      <c r="AS106" s="43" t="n"/>
      <c r="AT106" s="43" t="n"/>
      <c r="AU106" s="44" t="n"/>
      <c r="AV106" s="45">
        <f>IF(((T106*pax_cap*load_thin*IF(ABS(MOD(ABS((L106*M106*revleg_thin)),1)-0.5)&lt;1E-9,2*ROUND((L106*M106*revleg_thin)/2,0),ROUND((L106*M106*revleg_thin),0)))-(((battery/range_nm)*D106*IF(ABS(MOD(ABS((L106*M106*revleg_thin)),1)-0.5)&lt;1E-9,2*ROUND((L106*M106*revleg_thin)/2,0),ROUND((L106*M106*revleg_thin),0))*VLOOKUP(B106,country_opex,3,FALSE))+W106+X106+Y106+Z106+AA106))&lt;=0,"",VLOOKUP(B106,country_opex,7,FALSE)/((T106*pax_cap*load_thin*IF(ABS(MOD(ABS((L106*M106*revleg_thin)),1)-0.5)&lt;1E-9,2*ROUND((L106*M106*revleg_thin)/2,0),ROUND((L106*M106*revleg_thin),0)))-(((battery/range_nm)*D106*IF(ABS(MOD(ABS((L106*M106*revleg_thin)),1)-0.5)&lt;1E-9,2*ROUND((L106*M106*revleg_thin)/2,0),ROUND((L106*M106*revleg_thin),0))*VLOOKUP(B106,country_opex,3,FALSE))+W106+X106+Y106+Z106+AA106)))</f>
        <v/>
      </c>
      <c r="AW106" s="45">
        <f>IF(((T106*pax_cap*IF(B106="South Korea",korea_mid_load,load_mid)*IF(ABS(MOD(ABS((L106*M106*IF(B106="South Korea",korea_mid_revleg,revleg_mid))),1)-0.5)&lt;1E-9,2*ROUND((L106*M106*IF(B106="South Korea",korea_mid_revleg,revleg_mid))/2,0),ROUND((L106*M106*IF(B106="South Korea",korea_mid_revleg,revleg_mid)),0)))-(((battery/range_nm)*D106*IF(ABS(MOD(ABS((L106*M106*IF(B106="South Korea",korea_mid_revleg,revleg_mid))),1)-0.5)&lt;1E-9,2*ROUND((L106*M106*IF(B106="South Korea",korea_mid_revleg,revleg_mid))/2,0),ROUND((L106*M106*IF(B106="South Korea",korea_mid_revleg,revleg_mid)),0))*VLOOKUP(B106,country_opex,3,FALSE))+W106+X106+Y106+Z106+AA106))&lt;=0,"",VLOOKUP(B106,country_opex,7,FALSE)/((T106*pax_cap*IF(B106="South Korea",korea_mid_load,load_mid)*IF(ABS(MOD(ABS((L106*M106*IF(B106="South Korea",korea_mid_revleg,revleg_mid))),1)-0.5)&lt;1E-9,2*ROUND((L106*M106*IF(B106="South Korea",korea_mid_revleg,revleg_mid))/2,0),ROUND((L106*M106*IF(B106="South Korea",korea_mid_revleg,revleg_mid)),0)))-(((battery/range_nm)*D106*IF(ABS(MOD(ABS((L106*M106*IF(B106="South Korea",korea_mid_revleg,revleg_mid))),1)-0.5)&lt;1E-9,2*ROUND((L106*M106*IF(B106="South Korea",korea_mid_revleg,revleg_mid))/2,0),ROUND((L106*M106*IF(B106="South Korea",korea_mid_revleg,revleg_mid)),0))*VLOOKUP(B106,country_opex,3,FALSE))+W106+X106+Y106+Z106+AA106)))</f>
        <v/>
      </c>
      <c r="AX106" s="45">
        <f>IF(((T106*pax_cap*load_full*IF(ABS(MOD(ABS((L106*M106*revleg_full)),1)-0.5)&lt;1E-9,2*ROUND((L106*M106*revleg_full)/2,0),ROUND((L106*M106*revleg_full),0)))-(((battery/range_nm)*D106*IF(ABS(MOD(ABS((L106*M106*revleg_full)),1)-0.5)&lt;1E-9,2*ROUND((L106*M106*revleg_full)/2,0),ROUND((L106*M106*revleg_full),0))*VLOOKUP(B106,country_opex,3,FALSE))+W106+X106+Y106+Z106+AA106))&lt;=0,"",VLOOKUP(B106,country_opex,7,FALSE)/((T106*pax_cap*load_full*IF(ABS(MOD(ABS((L106*M106*revleg_full)),1)-0.5)&lt;1E-9,2*ROUND((L106*M106*revleg_full)/2,0),ROUND((L106*M106*revleg_full),0)))-(((battery/range_nm)*D106*IF(ABS(MOD(ABS((L106*M106*revleg_full)),1)-0.5)&lt;1E-9,2*ROUND((L106*M106*revleg_full)/2,0),ROUND((L106*M106*revleg_full),0))*VLOOKUP(B106,country_opex,3,FALSE))+W106+X106+Y106+Z106+AA106)))</f>
        <v/>
      </c>
      <c r="AY106" s="46" t="inlineStr">
        <is>
          <t>Da Nang/Hoi An -&gt; Cu Lao Cham (Cham Islands). Local wooden ferry 70,000 VND ($2.7); tourist speedboat transfer 500,000-600,000 VND ($19-23); bundled day tour 650,000 VND ($24.7) to Tripadvisor speedboat tours $53-56 (incl lunch/snorkel); private speedboat $195/boat. Premium per-seat transfer anchored at ~$35 (premium speedboat point-to-point, above standard $23, conservative vs $56 bundled tour, excludes whole-boat charter).</t>
        </is>
      </c>
      <c r="AZ106" s="46" t="inlineStr">
        <is>
          <t>Cu Lao Cham visitors 2024: ~217,000 (~600/day avg) per VNAT/Quang Nam (vietnamtourism.gov.vn/post/61674, 2025). 2025 season: &gt;269,000 (nhandan.vn/cu-lao-cham-vien-ngoc-tho-dang-duoc-mai-giua-post918502.html) -&gt; 538k one-way upside. Pre-covid 2016: ~300,000 (laodong.vn 713091); daily cap ~3,000 debated. Holiday peak: ~21,000 in 5 days 30/4-1/5 2025 (baochinhphu.vn 102255646). 140 vessels (mostly speedboats) licensed on the national inland waterway Cua Dai-Cu Lao Cham (baotayninh.vn 36220).</t>
        </is>
      </c>
      <c r="BA106" s="34" t="inlineStr">
        <is>
          <t>ics-1312999652</t>
        </is>
      </c>
    </row>
    <row r="107">
      <c r="A107" s="31" t="inlineStr">
        <is>
          <t>Vietnam</t>
        </is>
      </c>
      <c r="B107" s="31" t="inlineStr">
        <is>
          <t>Vietnam</t>
        </is>
      </c>
      <c r="C107" s="32" t="inlineStr">
        <is>
          <t>Ha Long / Tuan Chau → Lan Ha Bay / Cat Ba</t>
        </is>
      </c>
      <c r="D107" s="33" t="n">
        <v>12</v>
      </c>
      <c r="E107" s="27" t="n">
        <v>16</v>
      </c>
      <c r="F107" s="34" t="inlineStr">
        <is>
          <t>T3</t>
        </is>
      </c>
      <c r="G107" s="34" t="inlineStr">
        <is>
          <t>med</t>
        </is>
      </c>
      <c r="H107" s="20" t="n">
        <v>1</v>
      </c>
      <c r="I107" s="35">
        <f>60*D107/cruise_kt</f>
        <v/>
      </c>
      <c r="J107" s="35">
        <f>IF(B107="South Korea",D107/korea_charge_range_nm*korea_full_range_charge_min,0)</f>
        <v/>
      </c>
      <c r="K107" s="35">
        <f>IF(B107="South Korea",I107+korea_turn_min+korea_dwell_min+J107,I107+turn_min+dwell_min)</f>
        <v/>
      </c>
      <c r="L107" s="36">
        <f>IF(B107="South Korea",FLOOR(60*korea_service_hr/K107,1),MIN(15,FLOOR(60*service_hr/K107,1)))</f>
        <v/>
      </c>
      <c r="M107" s="36">
        <f>IF(ABS(MOD(ABS((365*mech_uptime*H107)),1)-0.5)&lt;1E-9,2*ROUND((365*mech_uptime*H107)/2,0),ROUND((365*mech_uptime*H107),0))</f>
        <v/>
      </c>
      <c r="N107" s="37">
        <f>mech_uptime</f>
        <v/>
      </c>
      <c r="O107" s="37">
        <f>IF(AND(B107="South Korea",scenario="MID"),korea_mid_revleg,revleg_sel)</f>
        <v/>
      </c>
      <c r="P107" s="36">
        <f>IF(ABS(MOD(ABS((L107*M107*O107)),1)-0.5)&lt;1E-9,2*ROUND((L107*M107*O107)/2,0),ROUND((L107*M107*O107),0))</f>
        <v/>
      </c>
      <c r="Q107" s="37">
        <f>IF(AND(B107="South Korea",scenario="MID"),korea_mid_load,load_sel)</f>
        <v/>
      </c>
      <c r="R107" s="38">
        <f>pax_cap*Q107</f>
        <v/>
      </c>
      <c r="S107" s="36">
        <f>R107*P107</f>
        <v/>
      </c>
      <c r="T107" s="39">
        <f>E107*discount</f>
        <v/>
      </c>
      <c r="U107" s="40">
        <f>T107*S107</f>
        <v/>
      </c>
      <c r="V107" s="40">
        <f>(battery/range_nm)*D107*P107*VLOOKUP(B107,country_opex,3,FALSE)</f>
        <v/>
      </c>
      <c r="W107" s="40">
        <f>VLOOKUP(B107,country_opex,2,FALSE)*crew_factor</f>
        <v/>
      </c>
      <c r="X107" s="40">
        <f>VLOOKUP(B107,country_opex,5,FALSE)</f>
        <v/>
      </c>
      <c r="Y107" s="40">
        <f>maint</f>
        <v/>
      </c>
      <c r="Z107" s="40">
        <f>VLOOKUP(B107,country_opex,7,FALSE)*ins_pct</f>
        <v/>
      </c>
      <c r="AA107" s="40">
        <f>charge_berth</f>
        <v/>
      </c>
      <c r="AB107" s="40">
        <f>V107+W107+X107+Y107+Z107+AA107</f>
        <v/>
      </c>
      <c r="AC107" s="40">
        <f>VLOOKUP(B107,country_opex,7,FALSE)/dep_years</f>
        <v/>
      </c>
      <c r="AD107" s="40">
        <f>U107-AB107</f>
        <v/>
      </c>
      <c r="AE107" s="37">
        <f>IF(U107=0,"",AD107/U107)</f>
        <v/>
      </c>
      <c r="AF107" s="38">
        <f>IF(AD107&lt;=0,"",VLOOKUP(B107,country_opex,7,FALSE)/AD107)</f>
        <v/>
      </c>
      <c r="AG107" s="35">
        <f>((D107*P107/diesel_nmpg)*diesel_co2pg-(battery/range_nm)*D107*P107*VLOOKUP(B107,country_opex,4,FALSE))/1000</f>
        <v/>
      </c>
      <c r="AH107" s="33" t="n">
        <v>350000</v>
      </c>
      <c r="AI107" s="34" t="inlineStr">
        <is>
          <t>T5</t>
        </is>
      </c>
      <c r="AJ107" s="34" t="inlineStr">
        <is>
          <t>low-med</t>
        </is>
      </c>
      <c r="AK107" s="41" t="n">
        <v>0.1</v>
      </c>
      <c r="AL107" s="36">
        <f>IF(AH107="","",AH107*AK107)</f>
        <v/>
      </c>
      <c r="AM107" s="36">
        <f>IF(OR(AH107="",S107=0),"",MIN(IF(AU107="",9.9E+99,AU107),FLOOR(AL107/S107,1)))</f>
        <v/>
      </c>
      <c r="AN107" s="40">
        <f>IF(AM107="","",AM107*IF(ABS(MOD(ABS((U107)),1)-0.5)&lt;1E-9,2*ROUND((U107)/2,0),ROUND((U107),0)))</f>
        <v/>
      </c>
      <c r="AO107" s="38">
        <f>IF(OR(AH107="",S107=0),"",MIN(IF(AU107="",9.9E+99,AU107),AL107/S107))</f>
        <v/>
      </c>
      <c r="AP107" s="40">
        <f>IF(AO107="","",AO107*IF(B107="South Korea",IF(ABS(MOD(ABS((U107)),1)-0.5)&lt;1E-9,2*ROUND((U107)/2,0),ROUND((U107),0)),U107))</f>
        <v/>
      </c>
      <c r="AQ107" s="42" t="n"/>
      <c r="AR107" s="34" t="inlineStr">
        <is>
          <t>Grounded</t>
        </is>
      </c>
      <c r="AS107" s="43" t="n"/>
      <c r="AT107" s="43" t="n"/>
      <c r="AU107" s="44" t="n"/>
      <c r="AV107" s="45">
        <f>IF(((T107*pax_cap*load_thin*IF(ABS(MOD(ABS((L107*M107*revleg_thin)),1)-0.5)&lt;1E-9,2*ROUND((L107*M107*revleg_thin)/2,0),ROUND((L107*M107*revleg_thin),0)))-(((battery/range_nm)*D107*IF(ABS(MOD(ABS((L107*M107*revleg_thin)),1)-0.5)&lt;1E-9,2*ROUND((L107*M107*revleg_thin)/2,0),ROUND((L107*M107*revleg_thin),0))*VLOOKUP(B107,country_opex,3,FALSE))+W107+X107+Y107+Z107+AA107))&lt;=0,"",VLOOKUP(B107,country_opex,7,FALSE)/((T107*pax_cap*load_thin*IF(ABS(MOD(ABS((L107*M107*revleg_thin)),1)-0.5)&lt;1E-9,2*ROUND((L107*M107*revleg_thin)/2,0),ROUND((L107*M107*revleg_thin),0)))-(((battery/range_nm)*D107*IF(ABS(MOD(ABS((L107*M107*revleg_thin)),1)-0.5)&lt;1E-9,2*ROUND((L107*M107*revleg_thin)/2,0),ROUND((L107*M107*revleg_thin),0))*VLOOKUP(B107,country_opex,3,FALSE))+W107+X107+Y107+Z107+AA107)))</f>
        <v/>
      </c>
      <c r="AW107" s="45">
        <f>IF(((T107*pax_cap*IF(B107="South Korea",korea_mid_load,load_mid)*IF(ABS(MOD(ABS((L107*M107*IF(B107="South Korea",korea_mid_revleg,revleg_mid))),1)-0.5)&lt;1E-9,2*ROUND((L107*M107*IF(B107="South Korea",korea_mid_revleg,revleg_mid))/2,0),ROUND((L107*M107*IF(B107="South Korea",korea_mid_revleg,revleg_mid)),0)))-(((battery/range_nm)*D107*IF(ABS(MOD(ABS((L107*M107*IF(B107="South Korea",korea_mid_revleg,revleg_mid))),1)-0.5)&lt;1E-9,2*ROUND((L107*M107*IF(B107="South Korea",korea_mid_revleg,revleg_mid))/2,0),ROUND((L107*M107*IF(B107="South Korea",korea_mid_revleg,revleg_mid)),0))*VLOOKUP(B107,country_opex,3,FALSE))+W107+X107+Y107+Z107+AA107))&lt;=0,"",VLOOKUP(B107,country_opex,7,FALSE)/((T107*pax_cap*IF(B107="South Korea",korea_mid_load,load_mid)*IF(ABS(MOD(ABS((L107*M107*IF(B107="South Korea",korea_mid_revleg,revleg_mid))),1)-0.5)&lt;1E-9,2*ROUND((L107*M107*IF(B107="South Korea",korea_mid_revleg,revleg_mid))/2,0),ROUND((L107*M107*IF(B107="South Korea",korea_mid_revleg,revleg_mid)),0)))-(((battery/range_nm)*D107*IF(ABS(MOD(ABS((L107*M107*IF(B107="South Korea",korea_mid_revleg,revleg_mid))),1)-0.5)&lt;1E-9,2*ROUND((L107*M107*IF(B107="South Korea",korea_mid_revleg,revleg_mid))/2,0),ROUND((L107*M107*IF(B107="South Korea",korea_mid_revleg,revleg_mid)),0))*VLOOKUP(B107,country_opex,3,FALSE))+W107+X107+Y107+Z107+AA107)))</f>
        <v/>
      </c>
      <c r="AX107" s="45">
        <f>IF(((T107*pax_cap*load_full*IF(ABS(MOD(ABS((L107*M107*revleg_full)),1)-0.5)&lt;1E-9,2*ROUND((L107*M107*revleg_full)/2,0),ROUND((L107*M107*revleg_full),0)))-(((battery/range_nm)*D107*IF(ABS(MOD(ABS((L107*M107*revleg_full)),1)-0.5)&lt;1E-9,2*ROUND((L107*M107*revleg_full)/2,0),ROUND((L107*M107*revleg_full),0))*VLOOKUP(B107,country_opex,3,FALSE))+W107+X107+Y107+Z107+AA107))&lt;=0,"",VLOOKUP(B107,country_opex,7,FALSE)/((T107*pax_cap*load_full*IF(ABS(MOD(ABS((L107*M107*revleg_full)),1)-0.5)&lt;1E-9,2*ROUND((L107*M107*revleg_full)/2,0),ROUND((L107*M107*revleg_full),0)))-(((battery/range_nm)*D107*IF(ABS(MOD(ABS((L107*M107*revleg_full)),1)-0.5)&lt;1E-9,2*ROUND((L107*M107*revleg_full)/2,0),ROUND((L107*M107*revleg_full),0))*VLOOKUP(B107,country_opex,3,FALSE))+W107+X107+Y107+Z107+AA107)))</f>
        <v/>
      </c>
      <c r="AY107" s="46" t="inlineStr">
        <is>
          <t>Tuan Chau/Ha Long -&gt; Cat Ba / Lan Ha Bay. Slow car-ferry 60,000-80,000 VND ($2.4-3); tourist speedboat 250,000-350,000 VND ($9.5-13.3, ~13-pax craft). Premium per-seat anchored at ~$16 (premium/private Lan Ha speedboat transfer point, above the ~$12.5 standard speedboat). No business-class ferry tier on this short crossing.</t>
        </is>
      </c>
      <c r="AZ107" s="46" t="inlineStr">
        <is>
          <t>ADJACENT MEGA-POOLS (cited, then EXCLUDED per R3): Ha Long Bay sightseeing ~3.1M luot 2024 (1.9M intl; BQL Vinh Ha Long via laodong/halongbay.com.vn p/352) and 3.4M+ 2025 - these are in-bay loop cruises, not the Tuan Chau-&gt;Cat Ba crossing. Cat Ba 3,675,000 visitors 2024 / 4.5M 2025 (vietnamtourism.gov.vn/post/62981; baophutho.vn 244997) - ~all arrive via the HAI PHONG side (Got/Dong Bai ferry, road, Cat Hai-Phu Long cable car), R3-LAND exclude. ON-CORRIDOR: Tuan Chau&lt;-&gt;Gia Luan (Cat Ba) car ferry, 5 RT/day scheduled (up to 15 peak), 75,000 VND foot pax (vietnamcoracle.com tuan-chau-cat-ba-island-ferry; catbaexpress.com 2026) - ridership unpublished. Overnight-on-bay cruise guests ~434,000 luot luu tru (BQL via thuonghieucongluan.com.vn a236498, 2023), a slice of which transits Tuan Chau-&gt;Lan Ha.</t>
        </is>
      </c>
      <c r="BA107" s="34" t="inlineStr">
        <is>
          <t>ics-f21c5d7e8d</t>
        </is>
      </c>
    </row>
    <row r="108">
      <c r="A108" s="31" t="inlineStr">
        <is>
          <t>Vietnam</t>
        </is>
      </c>
      <c r="B108" s="31" t="inlineStr">
        <is>
          <t>Vietnam</t>
        </is>
      </c>
      <c r="C108" s="32" t="inlineStr">
        <is>
          <t>Phu Quoc (Duong Dong) → An Thoi Archipelago</t>
        </is>
      </c>
      <c r="D108" s="33" t="n">
        <v>12</v>
      </c>
      <c r="E108" s="27" t="n">
        <v>45</v>
      </c>
      <c r="F108" s="34" t="inlineStr">
        <is>
          <t>T3</t>
        </is>
      </c>
      <c r="G108" s="34" t="inlineStr">
        <is>
          <t>med-low</t>
        </is>
      </c>
      <c r="H108" s="20" t="n">
        <v>1</v>
      </c>
      <c r="I108" s="35">
        <f>60*D108/cruise_kt</f>
        <v/>
      </c>
      <c r="J108" s="35">
        <f>IF(B108="South Korea",D108/korea_charge_range_nm*korea_full_range_charge_min,0)</f>
        <v/>
      </c>
      <c r="K108" s="35">
        <f>IF(B108="South Korea",I108+korea_turn_min+korea_dwell_min+J108,I108+turn_min+dwell_min)</f>
        <v/>
      </c>
      <c r="L108" s="36">
        <f>IF(B108="South Korea",FLOOR(60*korea_service_hr/K108,1),MIN(15,FLOOR(60*service_hr/K108,1)))</f>
        <v/>
      </c>
      <c r="M108" s="36">
        <f>IF(ABS(MOD(ABS((365*mech_uptime*H108)),1)-0.5)&lt;1E-9,2*ROUND((365*mech_uptime*H108)/2,0),ROUND((365*mech_uptime*H108),0))</f>
        <v/>
      </c>
      <c r="N108" s="37">
        <f>mech_uptime</f>
        <v/>
      </c>
      <c r="O108" s="37">
        <f>IF(AND(B108="South Korea",scenario="MID"),korea_mid_revleg,revleg_sel)</f>
        <v/>
      </c>
      <c r="P108" s="36">
        <f>IF(ABS(MOD(ABS((L108*M108*O108)),1)-0.5)&lt;1E-9,2*ROUND((L108*M108*O108)/2,0),ROUND((L108*M108*O108),0))</f>
        <v/>
      </c>
      <c r="Q108" s="37">
        <f>IF(AND(B108="South Korea",scenario="MID"),korea_mid_load,load_sel)</f>
        <v/>
      </c>
      <c r="R108" s="38">
        <f>pax_cap*Q108</f>
        <v/>
      </c>
      <c r="S108" s="36">
        <f>R108*P108</f>
        <v/>
      </c>
      <c r="T108" s="39">
        <f>E108*discount</f>
        <v/>
      </c>
      <c r="U108" s="40">
        <f>T108*S108</f>
        <v/>
      </c>
      <c r="V108" s="40">
        <f>(battery/range_nm)*D108*P108*VLOOKUP(B108,country_opex,3,FALSE)</f>
        <v/>
      </c>
      <c r="W108" s="40">
        <f>VLOOKUP(B108,country_opex,2,FALSE)*crew_factor</f>
        <v/>
      </c>
      <c r="X108" s="40">
        <f>VLOOKUP(B108,country_opex,5,FALSE)</f>
        <v/>
      </c>
      <c r="Y108" s="40">
        <f>maint</f>
        <v/>
      </c>
      <c r="Z108" s="40">
        <f>VLOOKUP(B108,country_opex,7,FALSE)*ins_pct</f>
        <v/>
      </c>
      <c r="AA108" s="40">
        <f>charge_berth</f>
        <v/>
      </c>
      <c r="AB108" s="40">
        <f>V108+W108+X108+Y108+Z108+AA108</f>
        <v/>
      </c>
      <c r="AC108" s="40">
        <f>VLOOKUP(B108,country_opex,7,FALSE)/dep_years</f>
        <v/>
      </c>
      <c r="AD108" s="40">
        <f>U108-AB108</f>
        <v/>
      </c>
      <c r="AE108" s="37">
        <f>IF(U108=0,"",AD108/U108)</f>
        <v/>
      </c>
      <c r="AF108" s="38">
        <f>IF(AD108&lt;=0,"",VLOOKUP(B108,country_opex,7,FALSE)/AD108)</f>
        <v/>
      </c>
      <c r="AG108" s="35">
        <f>((D108*P108/diesel_nmpg)*diesel_co2pg-(battery/range_nm)*D108*P108*VLOOKUP(B108,country_opex,4,FALSE))/1000</f>
        <v/>
      </c>
      <c r="AH108" s="33" t="n">
        <v>1000000</v>
      </c>
      <c r="AI108" s="34" t="inlineStr">
        <is>
          <t>T5</t>
        </is>
      </c>
      <c r="AJ108" s="34" t="inlineStr">
        <is>
          <t>low-med</t>
        </is>
      </c>
      <c r="AK108" s="41" t="n">
        <v>0.1</v>
      </c>
      <c r="AL108" s="36">
        <f>IF(AH108="","",AH108*AK108)</f>
        <v/>
      </c>
      <c r="AM108" s="36">
        <f>IF(OR(AH108="",S108=0),"",MIN(IF(AU108="",9.9E+99,AU108),FLOOR(AL108/S108,1)))</f>
        <v/>
      </c>
      <c r="AN108" s="40">
        <f>IF(AM108="","",AM108*IF(ABS(MOD(ABS((U108)),1)-0.5)&lt;1E-9,2*ROUND((U108)/2,0),ROUND((U108),0)))</f>
        <v/>
      </c>
      <c r="AO108" s="38">
        <f>IF(OR(AH108="",S108=0),"",MIN(IF(AU108="",9.9E+99,AU108),AL108/S108))</f>
        <v/>
      </c>
      <c r="AP108" s="40">
        <f>IF(AO108="","",AO108*IF(B108="South Korea",IF(ABS(MOD(ABS((U108)),1)-0.5)&lt;1E-9,2*ROUND((U108)/2,0),ROUND((U108),0)),U108))</f>
        <v/>
      </c>
      <c r="AQ108" s="42" t="n"/>
      <c r="AR108" s="34" t="inlineStr">
        <is>
          <t>Grounded</t>
        </is>
      </c>
      <c r="AS108" s="43" t="n"/>
      <c r="AT108" s="43" t="n"/>
      <c r="AU108" s="44" t="n"/>
      <c r="AV108" s="45">
        <f>IF(((T108*pax_cap*load_thin*IF(ABS(MOD(ABS((L108*M108*revleg_thin)),1)-0.5)&lt;1E-9,2*ROUND((L108*M108*revleg_thin)/2,0),ROUND((L108*M108*revleg_thin),0)))-(((battery/range_nm)*D108*IF(ABS(MOD(ABS((L108*M108*revleg_thin)),1)-0.5)&lt;1E-9,2*ROUND((L108*M108*revleg_thin)/2,0),ROUND((L108*M108*revleg_thin),0))*VLOOKUP(B108,country_opex,3,FALSE))+W108+X108+Y108+Z108+AA108))&lt;=0,"",VLOOKUP(B108,country_opex,7,FALSE)/((T108*pax_cap*load_thin*IF(ABS(MOD(ABS((L108*M108*revleg_thin)),1)-0.5)&lt;1E-9,2*ROUND((L108*M108*revleg_thin)/2,0),ROUND((L108*M108*revleg_thin),0)))-(((battery/range_nm)*D108*IF(ABS(MOD(ABS((L108*M108*revleg_thin)),1)-0.5)&lt;1E-9,2*ROUND((L108*M108*revleg_thin)/2,0),ROUND((L108*M108*revleg_thin),0))*VLOOKUP(B108,country_opex,3,FALSE))+W108+X108+Y108+Z108+AA108)))</f>
        <v/>
      </c>
      <c r="AW108" s="45">
        <f>IF(((T108*pax_cap*IF(B108="South Korea",korea_mid_load,load_mid)*IF(ABS(MOD(ABS((L108*M108*IF(B108="South Korea",korea_mid_revleg,revleg_mid))),1)-0.5)&lt;1E-9,2*ROUND((L108*M108*IF(B108="South Korea",korea_mid_revleg,revleg_mid))/2,0),ROUND((L108*M108*IF(B108="South Korea",korea_mid_revleg,revleg_mid)),0)))-(((battery/range_nm)*D108*IF(ABS(MOD(ABS((L108*M108*IF(B108="South Korea",korea_mid_revleg,revleg_mid))),1)-0.5)&lt;1E-9,2*ROUND((L108*M108*IF(B108="South Korea",korea_mid_revleg,revleg_mid))/2,0),ROUND((L108*M108*IF(B108="South Korea",korea_mid_revleg,revleg_mid)),0))*VLOOKUP(B108,country_opex,3,FALSE))+W108+X108+Y108+Z108+AA108))&lt;=0,"",VLOOKUP(B108,country_opex,7,FALSE)/((T108*pax_cap*IF(B108="South Korea",korea_mid_load,load_mid)*IF(ABS(MOD(ABS((L108*M108*IF(B108="South Korea",korea_mid_revleg,revleg_mid))),1)-0.5)&lt;1E-9,2*ROUND((L108*M108*IF(B108="South Korea",korea_mid_revleg,revleg_mid))/2,0),ROUND((L108*M108*IF(B108="South Korea",korea_mid_revleg,revleg_mid)),0)))-(((battery/range_nm)*D108*IF(ABS(MOD(ABS((L108*M108*IF(B108="South Korea",korea_mid_revleg,revleg_mid))),1)-0.5)&lt;1E-9,2*ROUND((L108*M108*IF(B108="South Korea",korea_mid_revleg,revleg_mid))/2,0),ROUND((L108*M108*IF(B108="South Korea",korea_mid_revleg,revleg_mid)),0))*VLOOKUP(B108,country_opex,3,FALSE))+W108+X108+Y108+Z108+AA108)))</f>
        <v/>
      </c>
      <c r="AX108" s="45">
        <f>IF(((T108*pax_cap*load_full*IF(ABS(MOD(ABS((L108*M108*revleg_full)),1)-0.5)&lt;1E-9,2*ROUND((L108*M108*revleg_full)/2,0),ROUND((L108*M108*revleg_full),0)))-(((battery/range_nm)*D108*IF(ABS(MOD(ABS((L108*M108*revleg_full)),1)-0.5)&lt;1E-9,2*ROUND((L108*M108*revleg_full)/2,0),ROUND((L108*M108*revleg_full),0))*VLOOKUP(B108,country_opex,3,FALSE))+W108+X108+Y108+Z108+AA108))&lt;=0,"",VLOOKUP(B108,country_opex,7,FALSE)/((T108*pax_cap*load_full*IF(ABS(MOD(ABS((L108*M108*revleg_full)),1)-0.5)&lt;1E-9,2*ROUND((L108*M108*revleg_full)/2,0),ROUND((L108*M108*revleg_full),0)))-(((battery/range_nm)*D108*IF(ABS(MOD(ABS((L108*M108*revleg_full)),1)-0.5)&lt;1E-9,2*ROUND((L108*M108*revleg_full)/2,0),ROUND((L108*M108*revleg_full),0))*VLOOKUP(B108,country_opex,3,FALSE))+W108+X108+Y108+Z108+AA108)))</f>
        <v/>
      </c>
      <c r="AY108" s="46" t="inlineStr">
        <is>
          <t>Phu Quoc -&gt; An Thoi archipelago island-hopping by speedboat. Klook/operator 3-4 island speedboat tours $25-64/pax (John's Tours cable-car + 4 islands $64 USD-priced); private speedboat to 3 islands ~$195/boat. Premium per-seat anchored at ~$45 (premium speedboat island-hop seat, conservative vs $64 bundled-with-cablecar, excludes whole-boat charter). Note: An Thoi transfer is sold as a tour, so this is a tour-bundled proxy for a pure transfer.</t>
        </is>
      </c>
      <c r="AZ108" s="46" t="inlineStr">
        <is>
          <t>Base pool: Phu Quoc 7.6M visitors 2025 (SKG 2025 HOSE annual report citing tourism dept, cdn.24hmoney.vn 17-Apr-2026 PDF; cross-check: An Giang Tourism Dept ~7.1M in 10mo-2025, nld.com.vn 196251117141314421); 2024: ~3.97M by Jul (vietnamtourism.gov.vn). The 3-5-island An Thoi canoe/speedboat tour (Hon May Rut, Gam Ghi, Mong Tay, Hon Thom) is THE staple Phu Quoc activity, sold universally (KKday, phuquoctrip, Klook; ~USD 35-50 incl cable-car combos). An Thoi islands are boat-only (R3-EXCEPTION). SUBSTITUTION: Sun World Hon Thom cable car (world's longest oversea, Duong Dong-adjacent An Thoi-&gt;Hon Thom) - developer capacity claim ~3,500 pax/hr (~6.9M/yr theoretical); ACTUALS UNPUBLISHED ('luong khach ky luc' marketing only, sungroupcatba/sunworld.vn) - capacity claim NOT used as demand.</t>
        </is>
      </c>
      <c r="BA108" s="34" t="inlineStr">
        <is>
          <t>ics-26acf800c5</t>
        </is>
      </c>
    </row>
    <row r="109">
      <c r="A109" s="31" t="inlineStr">
        <is>
          <t>Vietnam</t>
        </is>
      </c>
      <c r="B109" s="31" t="inlineStr">
        <is>
          <t>Vietnam</t>
        </is>
      </c>
      <c r="C109" s="32" t="inlineStr">
        <is>
          <t>Bach Dang Wharf (Saigon) → Can Gio Mangrove Biosphere</t>
        </is>
      </c>
      <c r="D109" s="33" t="n">
        <v>30</v>
      </c>
      <c r="E109" s="27" t="n">
        <v>65</v>
      </c>
      <c r="F109" s="34" t="inlineStr">
        <is>
          <t>T3</t>
        </is>
      </c>
      <c r="G109" s="34" t="inlineStr">
        <is>
          <t>med-low</t>
        </is>
      </c>
      <c r="H109" s="20" t="n">
        <v>1</v>
      </c>
      <c r="I109" s="35">
        <f>60*D109/cruise_kt</f>
        <v/>
      </c>
      <c r="J109" s="35">
        <f>IF(B109="South Korea",D109/korea_charge_range_nm*korea_full_range_charge_min,0)</f>
        <v/>
      </c>
      <c r="K109" s="35">
        <f>IF(B109="South Korea",I109+korea_turn_min+korea_dwell_min+J109,I109+turn_min+dwell_min)</f>
        <v/>
      </c>
      <c r="L109" s="36">
        <f>IF(B109="South Korea",FLOOR(60*korea_service_hr/K109,1),MIN(15,FLOOR(60*service_hr/K109,1)))</f>
        <v/>
      </c>
      <c r="M109" s="36">
        <f>IF(ABS(MOD(ABS((365*mech_uptime*H109)),1)-0.5)&lt;1E-9,2*ROUND((365*mech_uptime*H109)/2,0),ROUND((365*mech_uptime*H109),0))</f>
        <v/>
      </c>
      <c r="N109" s="37">
        <f>mech_uptime</f>
        <v/>
      </c>
      <c r="O109" s="37">
        <f>IF(AND(B109="South Korea",scenario="MID"),korea_mid_revleg,revleg_sel)</f>
        <v/>
      </c>
      <c r="P109" s="36">
        <f>IF(ABS(MOD(ABS((L109*M109*O109)),1)-0.5)&lt;1E-9,2*ROUND((L109*M109*O109)/2,0),ROUND((L109*M109*O109),0))</f>
        <v/>
      </c>
      <c r="Q109" s="37">
        <f>IF(AND(B109="South Korea",scenario="MID"),korea_mid_load,load_sel)</f>
        <v/>
      </c>
      <c r="R109" s="38">
        <f>pax_cap*Q109</f>
        <v/>
      </c>
      <c r="S109" s="36">
        <f>R109*P109</f>
        <v/>
      </c>
      <c r="T109" s="39">
        <f>E109*discount</f>
        <v/>
      </c>
      <c r="U109" s="40">
        <f>T109*S109</f>
        <v/>
      </c>
      <c r="V109" s="40">
        <f>(battery/range_nm)*D109*P109*VLOOKUP(B109,country_opex,3,FALSE)</f>
        <v/>
      </c>
      <c r="W109" s="40">
        <f>VLOOKUP(B109,country_opex,2,FALSE)*crew_factor</f>
        <v/>
      </c>
      <c r="X109" s="40">
        <f>VLOOKUP(B109,country_opex,5,FALSE)</f>
        <v/>
      </c>
      <c r="Y109" s="40">
        <f>maint</f>
        <v/>
      </c>
      <c r="Z109" s="40">
        <f>VLOOKUP(B109,country_opex,7,FALSE)*ins_pct</f>
        <v/>
      </c>
      <c r="AA109" s="40">
        <f>charge_berth</f>
        <v/>
      </c>
      <c r="AB109" s="40">
        <f>V109+W109+X109+Y109+Z109+AA109</f>
        <v/>
      </c>
      <c r="AC109" s="40">
        <f>VLOOKUP(B109,country_opex,7,FALSE)/dep_years</f>
        <v/>
      </c>
      <c r="AD109" s="40">
        <f>U109-AB109</f>
        <v/>
      </c>
      <c r="AE109" s="37">
        <f>IF(U109=0,"",AD109/U109)</f>
        <v/>
      </c>
      <c r="AF109" s="38">
        <f>IF(AD109&lt;=0,"",VLOOKUP(B109,country_opex,7,FALSE)/AD109)</f>
        <v/>
      </c>
      <c r="AG109" s="35">
        <f>((D109*P109/diesel_nmpg)*diesel_co2pg-(battery/range_nm)*D109*P109*VLOOKUP(B109,country_opex,4,FALSE))/1000</f>
        <v/>
      </c>
      <c r="AH109" s="33" t="n"/>
      <c r="AI109" s="34" t="inlineStr">
        <is>
          <t>null</t>
        </is>
      </c>
      <c r="AJ109" s="34" t="inlineStr">
        <is>
          <t>null</t>
        </is>
      </c>
      <c r="AK109" s="41" t="n">
        <v>0.1</v>
      </c>
      <c r="AL109" s="36">
        <f>IF(AH109="","",AH109*AK109)</f>
        <v/>
      </c>
      <c r="AM109" s="36">
        <f>IF(OR(AH109="",S109=0),"",MIN(IF(AU109="",9.9E+99,AU109),FLOOR(AL109/S109,1)))</f>
        <v/>
      </c>
      <c r="AN109" s="40">
        <f>IF(AM109="","",AM109*IF(ABS(MOD(ABS((U109)),1)-0.5)&lt;1E-9,2*ROUND((U109)/2,0),ROUND((U109),0)))</f>
        <v/>
      </c>
      <c r="AO109" s="38">
        <f>IF(OR(AH109="",S109=0),"",MIN(IF(AU109="",9.9E+99,AU109),AL109/S109))</f>
        <v/>
      </c>
      <c r="AP109" s="40">
        <f>IF(AO109="","",AO109*IF(B109="South Korea",IF(ABS(MOD(ABS((U109)),1)-0.5)&lt;1E-9,2*ROUND((U109)/2,0),ROUND((U109),0)),U109))</f>
        <v/>
      </c>
      <c r="AQ109" s="42" t="n"/>
      <c r="AR109" s="34" t="inlineStr">
        <is>
          <t>Estimated</t>
        </is>
      </c>
      <c r="AS109" s="43" t="n"/>
      <c r="AT109" s="43" t="n"/>
      <c r="AU109" s="44" t="n"/>
      <c r="AV109" s="45">
        <f>IF(((T109*pax_cap*load_thin*IF(ABS(MOD(ABS((L109*M109*revleg_thin)),1)-0.5)&lt;1E-9,2*ROUND((L109*M109*revleg_thin)/2,0),ROUND((L109*M109*revleg_thin),0)))-(((battery/range_nm)*D109*IF(ABS(MOD(ABS((L109*M109*revleg_thin)),1)-0.5)&lt;1E-9,2*ROUND((L109*M109*revleg_thin)/2,0),ROUND((L109*M109*revleg_thin),0))*VLOOKUP(B109,country_opex,3,FALSE))+W109+X109+Y109+Z109+AA109))&lt;=0,"",VLOOKUP(B109,country_opex,7,FALSE)/((T109*pax_cap*load_thin*IF(ABS(MOD(ABS((L109*M109*revleg_thin)),1)-0.5)&lt;1E-9,2*ROUND((L109*M109*revleg_thin)/2,0),ROUND((L109*M109*revleg_thin),0)))-(((battery/range_nm)*D109*IF(ABS(MOD(ABS((L109*M109*revleg_thin)),1)-0.5)&lt;1E-9,2*ROUND((L109*M109*revleg_thin)/2,0),ROUND((L109*M109*revleg_thin),0))*VLOOKUP(B109,country_opex,3,FALSE))+W109+X109+Y109+Z109+AA109)))</f>
        <v/>
      </c>
      <c r="AW109" s="45">
        <f>IF(((T109*pax_cap*IF(B109="South Korea",korea_mid_load,load_mid)*IF(ABS(MOD(ABS((L109*M109*IF(B109="South Korea",korea_mid_revleg,revleg_mid))),1)-0.5)&lt;1E-9,2*ROUND((L109*M109*IF(B109="South Korea",korea_mid_revleg,revleg_mid))/2,0),ROUND((L109*M109*IF(B109="South Korea",korea_mid_revleg,revleg_mid)),0)))-(((battery/range_nm)*D109*IF(ABS(MOD(ABS((L109*M109*IF(B109="South Korea",korea_mid_revleg,revleg_mid))),1)-0.5)&lt;1E-9,2*ROUND((L109*M109*IF(B109="South Korea",korea_mid_revleg,revleg_mid))/2,0),ROUND((L109*M109*IF(B109="South Korea",korea_mid_revleg,revleg_mid)),0))*VLOOKUP(B109,country_opex,3,FALSE))+W109+X109+Y109+Z109+AA109))&lt;=0,"",VLOOKUP(B109,country_opex,7,FALSE)/((T109*pax_cap*IF(B109="South Korea",korea_mid_load,load_mid)*IF(ABS(MOD(ABS((L109*M109*IF(B109="South Korea",korea_mid_revleg,revleg_mid))),1)-0.5)&lt;1E-9,2*ROUND((L109*M109*IF(B109="South Korea",korea_mid_revleg,revleg_mid))/2,0),ROUND((L109*M109*IF(B109="South Korea",korea_mid_revleg,revleg_mid)),0)))-(((battery/range_nm)*D109*IF(ABS(MOD(ABS((L109*M109*IF(B109="South Korea",korea_mid_revleg,revleg_mid))),1)-0.5)&lt;1E-9,2*ROUND((L109*M109*IF(B109="South Korea",korea_mid_revleg,revleg_mid))/2,0),ROUND((L109*M109*IF(B109="South Korea",korea_mid_revleg,revleg_mid)),0))*VLOOKUP(B109,country_opex,3,FALSE))+W109+X109+Y109+Z109+AA109)))</f>
        <v/>
      </c>
      <c r="AX109" s="45">
        <f>IF(((T109*pax_cap*load_full*IF(ABS(MOD(ABS((L109*M109*revleg_full)),1)-0.5)&lt;1E-9,2*ROUND((L109*M109*revleg_full)/2,0),ROUND((L109*M109*revleg_full),0)))-(((battery/range_nm)*D109*IF(ABS(MOD(ABS((L109*M109*revleg_full)),1)-0.5)&lt;1E-9,2*ROUND((L109*M109*revleg_full)/2,0),ROUND((L109*M109*revleg_full),0))*VLOOKUP(B109,country_opex,3,FALSE))+W109+X109+Y109+Z109+AA109))&lt;=0,"",VLOOKUP(B109,country_opex,7,FALSE)/((T109*pax_cap*load_full*IF(ABS(MOD(ABS((L109*M109*revleg_full)),1)-0.5)&lt;1E-9,2*ROUND((L109*M109*revleg_full)/2,0),ROUND((L109*M109*revleg_full),0)))-(((battery/range_nm)*D109*IF(ABS(MOD(ABS((L109*M109*revleg_full)),1)-0.5)&lt;1E-9,2*ROUND((L109*M109*revleg_full)/2,0),ROUND((L109*M109*revleg_full),0))*VLOOKUP(B109,country_opex,3,FALSE))+W109+X109+Y109+Z109+AA109)))</f>
        <v/>
      </c>
      <c r="AY109" s="46" t="inlineStr">
        <is>
          <t>Saigon -&gt; Can Gio Mangrove Biosphere. No scheduled public boat; visitors go by ROAD + Binh Khanh car-ferry. Premium boat product = Les Rives luxury-speedboat day tour 3,099,000 VND ($118 bundled w/ lunch+guide); private Vam Sat tour $129; small-group road+boat $38; local Vam Sat speedboat ~$26/6pax. Premium per-seat transfer anchored at ~$65 (luxury speedboat de-bundled from tour). R5 finding: near-greenfield premium-boat corridor (no scheduled crossing) -&gt; cascade candidate.</t>
        </is>
      </c>
      <c r="AZ109" s="46" t="inlineStr">
        <is>
          <t>NO scheduled boat crossing Saigon&lt;-&gt;Can Gio exists; Can Gio visitors arrive by road + Binh Khanh car-ferry. Premium speedboat is a niche luxury tour only. No credible annual on-corridor pax pool. R2 (null beats guess) + R5 (no direct premium route is itself a finding).</t>
        </is>
      </c>
      <c r="BA109" s="34" t="n"/>
    </row>
    <row r="110">
      <c r="A110" s="31" t="inlineStr">
        <is>
          <t>Vietnam</t>
        </is>
      </c>
      <c r="B110" s="31" t="inlineStr">
        <is>
          <t>Vietnam</t>
        </is>
      </c>
      <c r="C110" s="32" t="inlineStr">
        <is>
          <t>Saigon (Bach Dang) → Vung Tau</t>
        </is>
      </c>
      <c r="D110" s="33" t="n">
        <v>44.7</v>
      </c>
      <c r="E110" s="27" t="n">
        <v>14</v>
      </c>
      <c r="F110" s="34" t="inlineStr">
        <is>
          <t>T3</t>
        </is>
      </c>
      <c r="G110" s="34" t="inlineStr">
        <is>
          <t>med-high</t>
        </is>
      </c>
      <c r="H110" s="20" t="n">
        <v>1</v>
      </c>
      <c r="I110" s="35">
        <f>60*D110/cruise_kt</f>
        <v/>
      </c>
      <c r="J110" s="35">
        <f>IF(B110="South Korea",D110/korea_charge_range_nm*korea_full_range_charge_min,0)</f>
        <v/>
      </c>
      <c r="K110" s="35">
        <f>IF(B110="South Korea",I110+korea_turn_min+korea_dwell_min+J110,I110+turn_min+dwell_min)</f>
        <v/>
      </c>
      <c r="L110" s="36">
        <f>IF(B110="South Korea",FLOOR(60*korea_service_hr/K110,1),MIN(15,FLOOR(60*service_hr/K110,1)))</f>
        <v/>
      </c>
      <c r="M110" s="36">
        <f>IF(ABS(MOD(ABS((365*mech_uptime*H110)),1)-0.5)&lt;1E-9,2*ROUND((365*mech_uptime*H110)/2,0),ROUND((365*mech_uptime*H110),0))</f>
        <v/>
      </c>
      <c r="N110" s="37">
        <f>mech_uptime</f>
        <v/>
      </c>
      <c r="O110" s="37">
        <f>IF(AND(B110="South Korea",scenario="MID"),korea_mid_revleg,revleg_sel)</f>
        <v/>
      </c>
      <c r="P110" s="36">
        <f>IF(ABS(MOD(ABS((L110*M110*O110)),1)-0.5)&lt;1E-9,2*ROUND((L110*M110*O110)/2,0),ROUND((L110*M110*O110),0))</f>
        <v/>
      </c>
      <c r="Q110" s="37">
        <f>IF(AND(B110="South Korea",scenario="MID"),korea_mid_load,load_sel)</f>
        <v/>
      </c>
      <c r="R110" s="38">
        <f>pax_cap*Q110</f>
        <v/>
      </c>
      <c r="S110" s="36">
        <f>R110*P110</f>
        <v/>
      </c>
      <c r="T110" s="39">
        <f>E110*discount</f>
        <v/>
      </c>
      <c r="U110" s="40">
        <f>T110*S110</f>
        <v/>
      </c>
      <c r="V110" s="40">
        <f>(battery/range_nm)*D110*P110*VLOOKUP(B110,country_opex,3,FALSE)</f>
        <v/>
      </c>
      <c r="W110" s="40">
        <f>VLOOKUP(B110,country_opex,2,FALSE)*crew_factor</f>
        <v/>
      </c>
      <c r="X110" s="40">
        <f>VLOOKUP(B110,country_opex,5,FALSE)</f>
        <v/>
      </c>
      <c r="Y110" s="40">
        <f>maint</f>
        <v/>
      </c>
      <c r="Z110" s="40">
        <f>VLOOKUP(B110,country_opex,7,FALSE)*ins_pct</f>
        <v/>
      </c>
      <c r="AA110" s="40">
        <f>charge_berth</f>
        <v/>
      </c>
      <c r="AB110" s="40">
        <f>V110+W110+X110+Y110+Z110+AA110</f>
        <v/>
      </c>
      <c r="AC110" s="40">
        <f>VLOOKUP(B110,country_opex,7,FALSE)/dep_years</f>
        <v/>
      </c>
      <c r="AD110" s="40">
        <f>U110-AB110</f>
        <v/>
      </c>
      <c r="AE110" s="37">
        <f>IF(U110=0,"",AD110/U110)</f>
        <v/>
      </c>
      <c r="AF110" s="38">
        <f>IF(AD110&lt;=0,"",VLOOKUP(B110,country_opex,7,FALSE)/AD110)</f>
        <v/>
      </c>
      <c r="AG110" s="35">
        <f>((D110*P110/diesel_nmpg)*diesel_co2pg-(battery/range_nm)*D110*P110*VLOOKUP(B110,country_opex,4,FALSE))/1000</f>
        <v/>
      </c>
      <c r="AH110" s="33" t="n">
        <v>100000</v>
      </c>
      <c r="AI110" s="34" t="inlineStr">
        <is>
          <t>T5</t>
        </is>
      </c>
      <c r="AJ110" s="34" t="inlineStr">
        <is>
          <t>low-med</t>
        </is>
      </c>
      <c r="AK110" s="41" t="n">
        <v>0.1</v>
      </c>
      <c r="AL110" s="36">
        <f>IF(AH110="","",AH110*AK110)</f>
        <v/>
      </c>
      <c r="AM110" s="36">
        <f>IF(OR(AH110="",S110=0),"",MIN(IF(AU110="",9.9E+99,AU110),FLOOR(AL110/S110,1)))</f>
        <v/>
      </c>
      <c r="AN110" s="40">
        <f>IF(AM110="","",AM110*IF(ABS(MOD(ABS((U110)),1)-0.5)&lt;1E-9,2*ROUND((U110)/2,0),ROUND((U110),0)))</f>
        <v/>
      </c>
      <c r="AO110" s="38">
        <f>IF(OR(AH110="",S110=0),"",MIN(IF(AU110="",9.9E+99,AU110),AL110/S110))</f>
        <v/>
      </c>
      <c r="AP110" s="40">
        <f>IF(AO110="","",AO110*IF(B110="South Korea",IF(ABS(MOD(ABS((U110)),1)-0.5)&lt;1E-9,2*ROUND((U110)/2,0),ROUND((U110),0)),U110))</f>
        <v/>
      </c>
      <c r="AQ110" s="42" t="n"/>
      <c r="AR110" s="34" t="inlineStr">
        <is>
          <t>Grounded</t>
        </is>
      </c>
      <c r="AS110" s="43" t="n"/>
      <c r="AT110" s="43" t="n"/>
      <c r="AU110" s="44" t="n"/>
      <c r="AV110" s="45">
        <f>IF(((T110*pax_cap*load_thin*IF(ABS(MOD(ABS((L110*M110*revleg_thin)),1)-0.5)&lt;1E-9,2*ROUND((L110*M110*revleg_thin)/2,0),ROUND((L110*M110*revleg_thin),0)))-(((battery/range_nm)*D110*IF(ABS(MOD(ABS((L110*M110*revleg_thin)),1)-0.5)&lt;1E-9,2*ROUND((L110*M110*revleg_thin)/2,0),ROUND((L110*M110*revleg_thin),0))*VLOOKUP(B110,country_opex,3,FALSE))+W110+X110+Y110+Z110+AA110))&lt;=0,"",VLOOKUP(B110,country_opex,7,FALSE)/((T110*pax_cap*load_thin*IF(ABS(MOD(ABS((L110*M110*revleg_thin)),1)-0.5)&lt;1E-9,2*ROUND((L110*M110*revleg_thin)/2,0),ROUND((L110*M110*revleg_thin),0)))-(((battery/range_nm)*D110*IF(ABS(MOD(ABS((L110*M110*revleg_thin)),1)-0.5)&lt;1E-9,2*ROUND((L110*M110*revleg_thin)/2,0),ROUND((L110*M110*revleg_thin),0))*VLOOKUP(B110,country_opex,3,FALSE))+W110+X110+Y110+Z110+AA110)))</f>
        <v/>
      </c>
      <c r="AW110" s="45">
        <f>IF(((T110*pax_cap*IF(B110="South Korea",korea_mid_load,load_mid)*IF(ABS(MOD(ABS((L110*M110*IF(B110="South Korea",korea_mid_revleg,revleg_mid))),1)-0.5)&lt;1E-9,2*ROUND((L110*M110*IF(B110="South Korea",korea_mid_revleg,revleg_mid))/2,0),ROUND((L110*M110*IF(B110="South Korea",korea_mid_revleg,revleg_mid)),0)))-(((battery/range_nm)*D110*IF(ABS(MOD(ABS((L110*M110*IF(B110="South Korea",korea_mid_revleg,revleg_mid))),1)-0.5)&lt;1E-9,2*ROUND((L110*M110*IF(B110="South Korea",korea_mid_revleg,revleg_mid))/2,0),ROUND((L110*M110*IF(B110="South Korea",korea_mid_revleg,revleg_mid)),0))*VLOOKUP(B110,country_opex,3,FALSE))+W110+X110+Y110+Z110+AA110))&lt;=0,"",VLOOKUP(B110,country_opex,7,FALSE)/((T110*pax_cap*IF(B110="South Korea",korea_mid_load,load_mid)*IF(ABS(MOD(ABS((L110*M110*IF(B110="South Korea",korea_mid_revleg,revleg_mid))),1)-0.5)&lt;1E-9,2*ROUND((L110*M110*IF(B110="South Korea",korea_mid_revleg,revleg_mid))/2,0),ROUND((L110*M110*IF(B110="South Korea",korea_mid_revleg,revleg_mid)),0)))-(((battery/range_nm)*D110*IF(ABS(MOD(ABS((L110*M110*IF(B110="South Korea",korea_mid_revleg,revleg_mid))),1)-0.5)&lt;1E-9,2*ROUND((L110*M110*IF(B110="South Korea",korea_mid_revleg,revleg_mid))/2,0),ROUND((L110*M110*IF(B110="South Korea",korea_mid_revleg,revleg_mid)),0))*VLOOKUP(B110,country_opex,3,FALSE))+W110+X110+Y110+Z110+AA110)))</f>
        <v/>
      </c>
      <c r="AX110" s="45">
        <f>IF(((T110*pax_cap*load_full*IF(ABS(MOD(ABS((L110*M110*revleg_full)),1)-0.5)&lt;1E-9,2*ROUND((L110*M110*revleg_full)/2,0),ROUND((L110*M110*revleg_full),0)))-(((battery/range_nm)*D110*IF(ABS(MOD(ABS((L110*M110*revleg_full)),1)-0.5)&lt;1E-9,2*ROUND((L110*M110*revleg_full)/2,0),ROUND((L110*M110*revleg_full),0))*VLOOKUP(B110,country_opex,3,FALSE))+W110+X110+Y110+Z110+AA110))&lt;=0,"",VLOOKUP(B110,country_opex,7,FALSE)/((T110*pax_cap*load_full*IF(ABS(MOD(ABS((L110*M110*revleg_full)),1)-0.5)&lt;1E-9,2*ROUND((L110*M110*revleg_full)/2,0),ROUND((L110*M110*revleg_full),0)))-(((battery/range_nm)*D110*IF(ABS(MOD(ABS((L110*M110*revleg_full)),1)-0.5)&lt;1E-9,2*ROUND((L110*M110*revleg_full)/2,0),ROUND((L110*M110*revleg_full),0))*VLOOKUP(B110,country_opex,3,FALSE))+W110+X110+Y110+Z110+AA110)))</f>
        <v/>
      </c>
      <c r="AY110" s="46" t="inlineStr">
        <is>
          <t>Greenlines DP high-speed ferry Saigon-&gt;Vung Tau, single fast-craft class: standard ~320,000 VND ($12.2), advance promo 260,000-290,000 VND ($9.9-11). No business/VIP sub-tier on this route; the fast ferry IS the premium option vs the 2.5h highway bus. Private whole-boat day charter ($205, Tripadvisor) excluded as overclaim. Premium per-seat anchored at ~$14.</t>
        </is>
      </c>
      <c r="AZ110" s="46" t="inlineStr">
        <is>
          <t>CURRENT: GreenlinesDP is sole operator (Bach Dang-&gt;Tac Suat Can Gio-&gt;Ho May Vung Tau, since 2018; 4-8 trips/day, 10-12 weekend; VnExpress 06-May-2025 vnexpress.net/tau-cao-toc-tu-trung-tam-tp-hcm-di-vung-tau-dung-chay-4882184.html). Service DISRUPTED May-2025 (Bach Dang Pier 2 returned for Thu Thiem pedestrian-bridge construction); resumed/expanded by Jul-2025 incl. new 07:00 daily sailing from 28-Jul-2025 (vovgiaothong.vn d46090, 2025). HISTORIC CEILING: hydrofoil era 1996-2016 peaked ~500,000 luot khach/yr with 21 vessels (Vina Express + Petro Express + Greenlines; baoxaydung.vn 17-Nov-2016 xin-gia-han-tau-canh-ngam-tphcm-vung-tau-den-2020-192176776.htm, T2); post-2014-fire loads fell to ~40%, fleet 14-&gt;4, hydrofoils terminated end-2016 (znews.vn post710155). Highway/bus mega-flow NOT poolable (R3-LAND).</t>
        </is>
      </c>
      <c r="BA110" s="34" t="n"/>
    </row>
    <row r="111">
      <c r="A111" s="31" t="inlineStr">
        <is>
          <t>Vietnam</t>
        </is>
      </c>
      <c r="B111" s="31" t="inlineStr">
        <is>
          <t>Vietnam</t>
        </is>
      </c>
      <c r="C111" s="32" t="inlineStr">
        <is>
          <t>Phu Quoc (Bai Vong Port) → Rach Gia (mainland)</t>
        </is>
      </c>
      <c r="D111" s="33" t="n">
        <v>62</v>
      </c>
      <c r="E111" s="27" t="n">
        <v>19</v>
      </c>
      <c r="F111" s="34" t="inlineStr">
        <is>
          <t>T3</t>
        </is>
      </c>
      <c r="G111" s="34" t="inlineStr">
        <is>
          <t>med-high</t>
        </is>
      </c>
      <c r="H111" s="20" t="n">
        <v>1</v>
      </c>
      <c r="I111" s="35">
        <f>60*D111/cruise_kt</f>
        <v/>
      </c>
      <c r="J111" s="35">
        <f>IF(B111="South Korea",D111/korea_charge_range_nm*korea_full_range_charge_min,0)</f>
        <v/>
      </c>
      <c r="K111" s="35">
        <f>IF(B111="South Korea",I111+korea_turn_min+korea_dwell_min+J111,I111+turn_min+dwell_min)</f>
        <v/>
      </c>
      <c r="L111" s="36">
        <f>IF(B111="South Korea",FLOOR(60*korea_service_hr/K111,1),MIN(15,FLOOR(60*service_hr/K111,1)))</f>
        <v/>
      </c>
      <c r="M111" s="36">
        <f>IF(ABS(MOD(ABS((365*mech_uptime*H111)),1)-0.5)&lt;1E-9,2*ROUND((365*mech_uptime*H111)/2,0),ROUND((365*mech_uptime*H111),0))</f>
        <v/>
      </c>
      <c r="N111" s="37">
        <f>mech_uptime</f>
        <v/>
      </c>
      <c r="O111" s="37">
        <f>IF(AND(B111="South Korea",scenario="MID"),korea_mid_revleg,revleg_sel)</f>
        <v/>
      </c>
      <c r="P111" s="36">
        <f>IF(ABS(MOD(ABS((L111*M111*O111)),1)-0.5)&lt;1E-9,2*ROUND((L111*M111*O111)/2,0),ROUND((L111*M111*O111),0))</f>
        <v/>
      </c>
      <c r="Q111" s="37">
        <f>IF(AND(B111="South Korea",scenario="MID"),korea_mid_load,load_sel)</f>
        <v/>
      </c>
      <c r="R111" s="38">
        <f>pax_cap*Q111</f>
        <v/>
      </c>
      <c r="S111" s="36">
        <f>R111*P111</f>
        <v/>
      </c>
      <c r="T111" s="39">
        <f>E111*discount</f>
        <v/>
      </c>
      <c r="U111" s="40">
        <f>T111*S111</f>
        <v/>
      </c>
      <c r="V111" s="40">
        <f>(battery/range_nm)*D111*P111*VLOOKUP(B111,country_opex,3,FALSE)</f>
        <v/>
      </c>
      <c r="W111" s="40">
        <f>VLOOKUP(B111,country_opex,2,FALSE)*crew_factor</f>
        <v/>
      </c>
      <c r="X111" s="40">
        <f>VLOOKUP(B111,country_opex,5,FALSE)</f>
        <v/>
      </c>
      <c r="Y111" s="40">
        <f>maint</f>
        <v/>
      </c>
      <c r="Z111" s="40">
        <f>VLOOKUP(B111,country_opex,7,FALSE)*ins_pct</f>
        <v/>
      </c>
      <c r="AA111" s="40">
        <f>charge_berth</f>
        <v/>
      </c>
      <c r="AB111" s="40">
        <f>V111+W111+X111+Y111+Z111+AA111</f>
        <v/>
      </c>
      <c r="AC111" s="40">
        <f>VLOOKUP(B111,country_opex,7,FALSE)/dep_years</f>
        <v/>
      </c>
      <c r="AD111" s="40">
        <f>U111-AB111</f>
        <v/>
      </c>
      <c r="AE111" s="37">
        <f>IF(U111=0,"",AD111/U111)</f>
        <v/>
      </c>
      <c r="AF111" s="38">
        <f>IF(AD111&lt;=0,"",VLOOKUP(B111,country_opex,7,FALSE)/AD111)</f>
        <v/>
      </c>
      <c r="AG111" s="35">
        <f>((D111*P111/diesel_nmpg)*diesel_co2pg-(battery/range_nm)*D111*P111*VLOOKUP(B111,country_opex,4,FALSE))/1000</f>
        <v/>
      </c>
      <c r="AH111" s="33" t="n">
        <v>650000</v>
      </c>
      <c r="AI111" s="34" t="inlineStr">
        <is>
          <t>T2</t>
        </is>
      </c>
      <c r="AJ111" s="34" t="inlineStr">
        <is>
          <t>med</t>
        </is>
      </c>
      <c r="AK111" s="41" t="n">
        <v>0.1</v>
      </c>
      <c r="AL111" s="36">
        <f>IF(AH111="","",AH111*AK111)</f>
        <v/>
      </c>
      <c r="AM111" s="36">
        <f>IF(OR(AH111="",S111=0),"",MIN(IF(AU111="",9.9E+99,AU111),FLOOR(AL111/S111,1)))</f>
        <v/>
      </c>
      <c r="AN111" s="40">
        <f>IF(AM111="","",AM111*IF(ABS(MOD(ABS((U111)),1)-0.5)&lt;1E-9,2*ROUND((U111)/2,0),ROUND((U111),0)))</f>
        <v/>
      </c>
      <c r="AO111" s="38">
        <f>IF(OR(AH111="",S111=0),"",MIN(IF(AU111="",9.9E+99,AU111),AL111/S111))</f>
        <v/>
      </c>
      <c r="AP111" s="40">
        <f>IF(AO111="","",AO111*IF(B111="South Korea",IF(ABS(MOD(ABS((U111)),1)-0.5)&lt;1E-9,2*ROUND((U111)/2,0),ROUND((U111),0)),U111))</f>
        <v/>
      </c>
      <c r="AQ111" s="42" t="n"/>
      <c r="AR111" s="34" t="inlineStr">
        <is>
          <t>Grounded</t>
        </is>
      </c>
      <c r="AS111" s="43" t="n"/>
      <c r="AT111" s="43" t="n"/>
      <c r="AU111" s="44" t="n"/>
      <c r="AV111" s="45">
        <f>IF(((T111*pax_cap*load_thin*IF(ABS(MOD(ABS((L111*M111*revleg_thin)),1)-0.5)&lt;1E-9,2*ROUND((L111*M111*revleg_thin)/2,0),ROUND((L111*M111*revleg_thin),0)))-(((battery/range_nm)*D111*IF(ABS(MOD(ABS((L111*M111*revleg_thin)),1)-0.5)&lt;1E-9,2*ROUND((L111*M111*revleg_thin)/2,0),ROUND((L111*M111*revleg_thin),0))*VLOOKUP(B111,country_opex,3,FALSE))+W111+X111+Y111+Z111+AA111))&lt;=0,"",VLOOKUP(B111,country_opex,7,FALSE)/((T111*pax_cap*load_thin*IF(ABS(MOD(ABS((L111*M111*revleg_thin)),1)-0.5)&lt;1E-9,2*ROUND((L111*M111*revleg_thin)/2,0),ROUND((L111*M111*revleg_thin),0)))-(((battery/range_nm)*D111*IF(ABS(MOD(ABS((L111*M111*revleg_thin)),1)-0.5)&lt;1E-9,2*ROUND((L111*M111*revleg_thin)/2,0),ROUND((L111*M111*revleg_thin),0))*VLOOKUP(B111,country_opex,3,FALSE))+W111+X111+Y111+Z111+AA111)))</f>
        <v/>
      </c>
      <c r="AW111" s="45">
        <f>IF(((T111*pax_cap*IF(B111="South Korea",korea_mid_load,load_mid)*IF(ABS(MOD(ABS((L111*M111*IF(B111="South Korea",korea_mid_revleg,revleg_mid))),1)-0.5)&lt;1E-9,2*ROUND((L111*M111*IF(B111="South Korea",korea_mid_revleg,revleg_mid))/2,0),ROUND((L111*M111*IF(B111="South Korea",korea_mid_revleg,revleg_mid)),0)))-(((battery/range_nm)*D111*IF(ABS(MOD(ABS((L111*M111*IF(B111="South Korea",korea_mid_revleg,revleg_mid))),1)-0.5)&lt;1E-9,2*ROUND((L111*M111*IF(B111="South Korea",korea_mid_revleg,revleg_mid))/2,0),ROUND((L111*M111*IF(B111="South Korea",korea_mid_revleg,revleg_mid)),0))*VLOOKUP(B111,country_opex,3,FALSE))+W111+X111+Y111+Z111+AA111))&lt;=0,"",VLOOKUP(B111,country_opex,7,FALSE)/((T111*pax_cap*IF(B111="South Korea",korea_mid_load,load_mid)*IF(ABS(MOD(ABS((L111*M111*IF(B111="South Korea",korea_mid_revleg,revleg_mid))),1)-0.5)&lt;1E-9,2*ROUND((L111*M111*IF(B111="South Korea",korea_mid_revleg,revleg_mid))/2,0),ROUND((L111*M111*IF(B111="South Korea",korea_mid_revleg,revleg_mid)),0)))-(((battery/range_nm)*D111*IF(ABS(MOD(ABS((L111*M111*IF(B111="South Korea",korea_mid_revleg,revleg_mid))),1)-0.5)&lt;1E-9,2*ROUND((L111*M111*IF(B111="South Korea",korea_mid_revleg,revleg_mid))/2,0),ROUND((L111*M111*IF(B111="South Korea",korea_mid_revleg,revleg_mid)),0))*VLOOKUP(B111,country_opex,3,FALSE))+W111+X111+Y111+Z111+AA111)))</f>
        <v/>
      </c>
      <c r="AX111" s="45">
        <f>IF(((T111*pax_cap*load_full*IF(ABS(MOD(ABS((L111*M111*revleg_full)),1)-0.5)&lt;1E-9,2*ROUND((L111*M111*revleg_full)/2,0),ROUND((L111*M111*revleg_full),0)))-(((battery/range_nm)*D111*IF(ABS(MOD(ABS((L111*M111*revleg_full)),1)-0.5)&lt;1E-9,2*ROUND((L111*M111*revleg_full)/2,0),ROUND((L111*M111*revleg_full),0))*VLOOKUP(B111,country_opex,3,FALSE))+W111+X111+Y111+Z111+AA111))&lt;=0,"",VLOOKUP(B111,country_opex,7,FALSE)/((T111*pax_cap*load_full*IF(ABS(MOD(ABS((L111*M111*revleg_full)),1)-0.5)&lt;1E-9,2*ROUND((L111*M111*revleg_full)/2,0),ROUND((L111*M111*revleg_full),0)))-(((battery/range_nm)*D111*IF(ABS(MOD(ABS((L111*M111*revleg_full)),1)-0.5)&lt;1E-9,2*ROUND((L111*M111*revleg_full)/2,0),ROUND((L111*M111*revleg_full),0))*VLOOKUP(B111,country_opex,3,FALSE))+W111+X111+Y111+Z111+AA111)))</f>
        <v/>
      </c>
      <c r="AY111" s="46" t="inlineStr">
        <is>
          <t>Phu Quoc &lt;-&gt; Rach Gia high-speed ferry. Superdong VIP class 500,000 VND ($19); standard adult 315,000-350,000 VND ($12-13.3); Phu Quoc Express ~340,000 VND ($12.9). Clean published premium tier = Superdong VIP -&gt; anchor $19. Corroborated: Vinpearl (VIP 500k / adult 315k), phuquocislandguide (adult 350k).</t>
        </is>
      </c>
      <c r="AZ111" s="46" t="inlineStr">
        <is>
          <t>R3-GOLD pattern (listed-company disclosure): Superdong-Kien Giang (HOSE: SKG) 2025 annual report (cdn.24hmoney.vn/upload/file/2026-2/2026-04-17/no-name-1776366287.pdf) discloses per-route revenue: Rach Gia-Phu Quoc = VND 113.857bn (29.88% of 2024) -&gt; VND 122.001bn (28.91% of 2025), gross profit VND 36.2bn 2025; 3 dedicated vessels (Superdong VII, X, XI). SKG fleet-wide carries &gt;1.5M pax/yr (SKG company materials via studocu/MBS). Adult one-way fare RG-PQ ~VND 340,000-360,000 (superdong.com.vn 2025). Competitor Phu Quoc Express operates same route with larger (~300-seat) craft; route described as 2-operator (MBS/nguoiquansat SKG initiation PDF, 2023). Fare war on PQ routes ongoing (vnexpress.net 5008109, Q4-2025).</t>
        </is>
      </c>
      <c r="BA111" s="34" t="inlineStr">
        <is>
          <t>ics-26acf800c5</t>
        </is>
      </c>
    </row>
    <row r="112">
      <c r="A112" s="47" t="inlineStr">
        <is>
          <t>TOTAL / median</t>
        </is>
      </c>
      <c r="U112" s="48">
        <f>SUM(U4:U111)</f>
        <v/>
      </c>
      <c r="AD112" s="48">
        <f>SUM(AD4:AD111)</f>
        <v/>
      </c>
      <c r="AE112" s="49">
        <f>IF(U112=0,"",AD112/U112)</f>
        <v/>
      </c>
      <c r="AM112" s="50">
        <f>SUM(AM4:AM111)</f>
        <v/>
      </c>
      <c r="AN112" s="48">
        <f>SUM(AN4:AN111)</f>
        <v/>
      </c>
    </row>
    <row r="114">
      <c r="A11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15">
      <c r="A115" s="25" t="inlineStr">
        <is>
          <t>Market</t>
        </is>
      </c>
      <c r="B115" s="25" t="inlineStr">
        <is>
          <t>Fleet basis</t>
        </is>
      </c>
      <c r="C115" s="25" t="inlineStr">
        <is>
          <t>Raw vessels (sum)</t>
        </is>
      </c>
      <c r="D115" s="25" t="inlineStr">
        <is>
          <t>Fleet (rounded once)</t>
        </is>
      </c>
      <c r="E115" s="25" t="inlineStr">
        <is>
          <t>Market rev/yr (raw sum)</t>
        </is>
      </c>
    </row>
    <row r="116">
      <c r="A116" s="26" t="inlineStr">
        <is>
          <t>Cambodia</t>
        </is>
      </c>
      <c r="B116" s="14" t="inlineStr">
        <is>
          <t>network_sum / ceil</t>
        </is>
      </c>
      <c r="C116" s="24">
        <f>SUMIFS(AO4:AO111,A4:A111,"Cambodia",AQ4:AQ111,"=",AR4:AR111,"Grounded")</f>
        <v/>
      </c>
      <c r="D116" s="51">
        <f>IF(C116=0,0,CEILING(C116,1))</f>
        <v/>
      </c>
      <c r="E116" s="52">
        <f>SUMIFS(AP4:AP111,A4:A111,"Cambodia",AQ4:AQ111,"=",AR4:AR111,"Grounded")</f>
        <v/>
      </c>
    </row>
    <row r="117">
      <c r="A117" s="26" t="inlineStr">
        <is>
          <t>Komodo Flores</t>
        </is>
      </c>
      <c r="B117" s="14" t="inlineStr">
        <is>
          <t>network_sum / ceil</t>
        </is>
      </c>
      <c r="C117" s="24">
        <f>SUMIFS(AO4:AO111,A4:A111,"Komodo Flores",AQ4:AQ111,"=",AR4:AR111,"Grounded")</f>
        <v/>
      </c>
      <c r="D117" s="51">
        <f>IF(C117=0,0,CEILING(C117,1))</f>
        <v/>
      </c>
      <c r="E117" s="52">
        <f>SUMIFS(AP4:AP111,A4:A111,"Komodo Flores",AQ4:AQ111,"=",AR4:AR111,"Grounded")</f>
        <v/>
      </c>
    </row>
    <row r="118">
      <c r="A118" s="26" t="inlineStr">
        <is>
          <t>Bali</t>
        </is>
      </c>
      <c r="B118" s="14" t="inlineStr">
        <is>
          <t>network_sum / ceil</t>
        </is>
      </c>
      <c r="C118" s="24">
        <f>SUMIFS(AO4:AO111,A4:A111,"Bali",AQ4:AQ111,"=",AR4:AR111,"Grounded")</f>
        <v/>
      </c>
      <c r="D118" s="51">
        <f>IF(C118=0,0,CEILING(C118,1))</f>
        <v/>
      </c>
      <c r="E118" s="52">
        <f>SUMIFS(AP4:AP111,A4:A111,"Bali",AQ4:AQ111,"=",AR4:AR111,"Grounded")</f>
        <v/>
      </c>
    </row>
    <row r="119">
      <c r="A119" s="26" t="inlineStr">
        <is>
          <t>Jakarta</t>
        </is>
      </c>
      <c r="B119" s="14" t="inlineStr">
        <is>
          <t>network_sum / ceil</t>
        </is>
      </c>
      <c r="C119" s="24">
        <f>SUMIFS(AO4:AO111,A4:A111,"Jakarta",AQ4:AQ111,"=",AR4:AR111,"Grounded")</f>
        <v/>
      </c>
      <c r="D119" s="51">
        <f>IF(C119=0,0,CEILING(C119,1))</f>
        <v/>
      </c>
      <c r="E119" s="52">
        <f>SUMIFS(AP4:AP111,A4:A111,"Jakarta",AQ4:AQ111,"=",AR4:AR111,"Grounded")</f>
        <v/>
      </c>
    </row>
    <row r="120">
      <c r="A120" s="26" t="inlineStr">
        <is>
          <t>Eastern Indonesia</t>
        </is>
      </c>
      <c r="B120" s="14" t="inlineStr">
        <is>
          <t>network_sum / ceil</t>
        </is>
      </c>
      <c r="C120" s="24">
        <f>SUMIFS(AO4:AO111,A4:A111,"Eastern Indonesia",AQ4:AQ111,"=",AR4:AR111,"Grounded")</f>
        <v/>
      </c>
      <c r="D120" s="51">
        <f>IF(C120=0,0,CEILING(C120,1))</f>
        <v/>
      </c>
      <c r="E120" s="52">
        <f>SUMIFS(AP4:AP111,A4:A111,"Eastern Indonesia",AQ4:AQ111,"=",AR4:AR111,"Grounded")</f>
        <v/>
      </c>
    </row>
    <row r="121">
      <c r="A121" s="26" t="inlineStr">
        <is>
          <t>Singapore</t>
        </is>
      </c>
      <c r="B121" s="14" t="inlineStr">
        <is>
          <t>network_sum / ceil</t>
        </is>
      </c>
      <c r="C121" s="24">
        <f>SUMIFS(AO4:AO111,A4:A111,"Singapore",AQ4:AQ111,"=",AR4:AR111,"Grounded")</f>
        <v/>
      </c>
      <c r="D121" s="51">
        <f>IF(C121=0,0,CEILING(C121,1))</f>
        <v/>
      </c>
      <c r="E121" s="52">
        <f>SUMIFS(AP4:AP111,A4:A111,"Singapore",AQ4:AQ111,"=",AR4:AR111,"Grounded")</f>
        <v/>
      </c>
    </row>
    <row r="122">
      <c r="A122" s="26" t="inlineStr">
        <is>
          <t>Langkawi</t>
        </is>
      </c>
      <c r="B122" s="14" t="inlineStr">
        <is>
          <t>network_sum / ceil</t>
        </is>
      </c>
      <c r="C122" s="24">
        <f>SUMIFS(AO4:AO111,A4:A111,"Langkawi",AQ4:AQ111,"=",AR4:AR111,"Grounded")</f>
        <v/>
      </c>
      <c r="D122" s="51">
        <f>IF(C122=0,0,CEILING(C122,1))</f>
        <v/>
      </c>
      <c r="E122" s="52">
        <f>SUMIFS(AP4:AP111,A4:A111,"Langkawi",AQ4:AQ111,"=",AR4:AR111,"Grounded")</f>
        <v/>
      </c>
    </row>
    <row r="123">
      <c r="A123" s="26" t="inlineStr">
        <is>
          <t>Borneo</t>
        </is>
      </c>
      <c r="B123" s="14" t="inlineStr">
        <is>
          <t>network_sum / ceil</t>
        </is>
      </c>
      <c r="C123" s="24">
        <f>SUMIFS(AO4:AO111,A4:A111,"Borneo",AQ4:AQ111,"=",AR4:AR111,"Grounded")</f>
        <v/>
      </c>
      <c r="D123" s="51">
        <f>IF(C123=0,0,CEILING(C123,1))</f>
        <v/>
      </c>
      <c r="E123" s="52">
        <f>SUMIFS(AP4:AP111,A4:A111,"Borneo",AQ4:AQ111,"=",AR4:AR111,"Grounded")</f>
        <v/>
      </c>
    </row>
    <row r="124">
      <c r="A124" s="26" t="inlineStr">
        <is>
          <t>Penang</t>
        </is>
      </c>
      <c r="B124" s="14" t="inlineStr">
        <is>
          <t>network_sum / ceil</t>
        </is>
      </c>
      <c r="C124" s="24">
        <f>SUMIFS(AO4:AO111,A4:A111,"Penang",AQ4:AQ111,"=",AR4:AR111,"Grounded")</f>
        <v/>
      </c>
      <c r="D124" s="51">
        <f>IF(C124=0,0,CEILING(C124,1))</f>
        <v/>
      </c>
      <c r="E124" s="52">
        <f>SUMIFS(AP4:AP111,A4:A111,"Penang",AQ4:AQ111,"=",AR4:AR111,"Grounded")</f>
        <v/>
      </c>
    </row>
    <row r="125">
      <c r="A125" s="26" t="inlineStr">
        <is>
          <t>Philippines</t>
        </is>
      </c>
      <c r="B125" s="14" t="inlineStr">
        <is>
          <t>network_sum / ceil</t>
        </is>
      </c>
      <c r="C125" s="24">
        <f>SUMIFS(AO4:AO111,A4:A111,"Philippines",AQ4:AQ111,"=",AR4:AR111,"Grounded")</f>
        <v/>
      </c>
      <c r="D125" s="51">
        <f>IF(C125=0,0,CEILING(C125,1))</f>
        <v/>
      </c>
      <c r="E125" s="52">
        <f>SUMIFS(AP4:AP111,A4:A111,"Philippines",AQ4:AQ111,"=",AR4:AR111,"Grounded")</f>
        <v/>
      </c>
    </row>
    <row r="126">
      <c r="A126" s="26" t="inlineStr">
        <is>
          <t>Cross-Border</t>
        </is>
      </c>
      <c r="B126" s="14" t="inlineStr">
        <is>
          <t>network_sum / ceil</t>
        </is>
      </c>
      <c r="C126" s="24">
        <f>SUMIFS(AO4:AO111,A4:A111,"Cross-Border",AQ4:AQ111,"=",AR4:AR111,"Grounded")</f>
        <v/>
      </c>
      <c r="D126" s="51">
        <f>IF(C126=0,0,CEILING(C126,1))</f>
        <v/>
      </c>
      <c r="E126" s="52">
        <f>SUMIFS(AP4:AP111,A4:A111,"Cross-Border",AQ4:AQ111,"=",AR4:AR111,"Grounded")</f>
        <v/>
      </c>
    </row>
    <row r="127">
      <c r="A127" s="26" t="inlineStr">
        <is>
          <t>Taiwan</t>
        </is>
      </c>
      <c r="B127" s="14" t="inlineStr">
        <is>
          <t>network_sum / ceil</t>
        </is>
      </c>
      <c r="C127" s="24">
        <f>SUMIFS(AO4:AO111,A4:A111,"Taiwan",AQ4:AQ111,"=",AR4:AR111,"Grounded")</f>
        <v/>
      </c>
      <c r="D127" s="51">
        <f>IF(C127=0,0,CEILING(C127,1))</f>
        <v/>
      </c>
      <c r="E127" s="52">
        <f>SUMIFS(AP4:AP111,A4:A111,"Taiwan",AQ4:AQ111,"=",AR4:AR111,"Grounded")</f>
        <v/>
      </c>
    </row>
    <row r="128">
      <c r="A128" s="26" t="inlineStr">
        <is>
          <t>Bangkok</t>
        </is>
      </c>
      <c r="B128" s="14" t="inlineStr">
        <is>
          <t>network_sum / ceil</t>
        </is>
      </c>
      <c r="C128" s="24">
        <f>SUMIFS(AO4:AO111,A4:A111,"Bangkok",AQ4:AQ111,"=",AR4:AR111,"Grounded")</f>
        <v/>
      </c>
      <c r="D128" s="51">
        <f>IF(C128=0,0,CEILING(C128,1))</f>
        <v/>
      </c>
      <c r="E128" s="52">
        <f>SUMIFS(AP4:AP111,A4:A111,"Bangkok",AQ4:AQ111,"=",AR4:AR111,"Grounded")</f>
        <v/>
      </c>
    </row>
    <row r="129">
      <c r="A129" s="26" t="inlineStr">
        <is>
          <t>Koh Samui</t>
        </is>
      </c>
      <c r="B129" s="14" t="inlineStr">
        <is>
          <t>network_sum / ceil</t>
        </is>
      </c>
      <c r="C129" s="24">
        <f>SUMIFS(AO4:AO111,A4:A111,"Koh Samui",AQ4:AQ111,"=",AR4:AR111,"Grounded")</f>
        <v/>
      </c>
      <c r="D129" s="51">
        <f>IF(C129=0,0,CEILING(C129,1))</f>
        <v/>
      </c>
      <c r="E129" s="52">
        <f>SUMIFS(AP4:AP111,A4:A111,"Koh Samui",AQ4:AQ111,"=",AR4:AR111,"Grounded")</f>
        <v/>
      </c>
    </row>
    <row r="130">
      <c r="A130" s="26" t="inlineStr">
        <is>
          <t>Phuket</t>
        </is>
      </c>
      <c r="B130" s="14" t="inlineStr">
        <is>
          <t>network_sum / ceil</t>
        </is>
      </c>
      <c r="C130" s="24">
        <f>SUMIFS(AO4:AO111,A4:A111,"Phuket",AQ4:AQ111,"=",AR4:AR111,"Grounded")</f>
        <v/>
      </c>
      <c r="D130" s="51">
        <f>IF(C130=0,0,CEILING(C130,1))</f>
        <v/>
      </c>
      <c r="E130" s="52">
        <f>SUMIFS(AP4:AP111,A4:A111,"Phuket",AQ4:AQ111,"=",AR4:AR111,"Grounded")</f>
        <v/>
      </c>
    </row>
    <row r="131">
      <c r="A131" s="26" t="inlineStr">
        <is>
          <t>Vietnam</t>
        </is>
      </c>
      <c r="B131" s="14" t="inlineStr">
        <is>
          <t>network_sum / ceil</t>
        </is>
      </c>
      <c r="C131" s="24">
        <f>SUMIFS(AO4:AO111,A4:A111,"Vietnam",AQ4:AQ111,"=",AR4:AR111,"Grounded")</f>
        <v/>
      </c>
      <c r="D131" s="51">
        <f>IF(C131=0,0,CEILING(C131,1))</f>
        <v/>
      </c>
      <c r="E131" s="52">
        <f>SUMIFS(AP4:AP111,A4:A111,"Vietnam",AQ4:AQ111,"=",AR4:AR111,"Grounded")</f>
        <v/>
      </c>
    </row>
    <row r="132">
      <c r="A132" s="47" t="inlineStr">
        <is>
          <t>GROUNDED FLOOR (PUBLISHED)</t>
        </is>
      </c>
      <c r="D132" s="50">
        <f>SUM(D116:D131)</f>
        <v/>
      </c>
      <c r="E132" s="48">
        <f>SUM(E116:E131)</f>
        <v/>
      </c>
    </row>
    <row r="133">
      <c r="A133" s="21" t="inlineStr">
        <is>
          <t>ESTIMATED DEMAND (country-median cascade; held OUT of grounded floor)</t>
        </is>
      </c>
      <c r="D133" s="53">
        <f>SUMIF(AR4:AR111,"Estimated",AM4:AM111)</f>
        <v/>
      </c>
      <c r="E133" s="54">
        <f>SUMIF(AR4:AR111,"Estimated",AN4:AN111)</f>
        <v/>
      </c>
    </row>
    <row r="134">
      <c r="A134" s="21" t="inlineStr">
        <is>
          <t>ESTIMATED UPSIDE (LB-99 modal-shift / experience-upside tiers; held OUT of grounded floor)</t>
        </is>
      </c>
      <c r="D134" s="53">
        <f>SUMIF(AR4:AR111,"Upside tier",AM4:AM111)</f>
        <v/>
      </c>
      <c r="E134" s="54">
        <f>SUMIF(AR4:AR111,"Upside tier",AN4:AN111)</f>
        <v/>
      </c>
    </row>
    <row r="135">
      <c r="A135" s="21" t="inlineStr">
        <is>
          <t>FORWARD SAM (2030-dated; held OUT of grounded floor)</t>
        </is>
      </c>
      <c r="D135" s="53">
        <f>SUMIF(AR4:AR111,"Forward SAM",AM4:AM111)</f>
        <v/>
      </c>
      <c r="E135" s="54">
        <f>SUMIF(AR4:AR111,"Forward SAM",AN4:AN111)</f>
        <v/>
      </c>
    </row>
    <row r="137">
      <c r="A137" s="55" t="inlineStr">
        <is>
          <t>Held for Quanta-LR (&gt;70nm, roadmap H2 2026+):</t>
        </is>
      </c>
      <c r="C137" s="56" t="inlineStr">
        <is>
          <t>Singapore (Tanah Merah) → Tioman Island (east-coast Malaysia) (108.6nm)</t>
        </is>
      </c>
    </row>
    <row r="138">
      <c r="C138" s="56" t="inlineStr">
        <is>
          <t>Lombok → Komodo / Labuan Bajo (237nm)</t>
        </is>
      </c>
    </row>
    <row r="139">
      <c r="C139" s="56" t="inlineStr">
        <is>
          <t>Komodo / Labuan Bajo → Sumba (Nihi) (90nm)</t>
        </is>
      </c>
    </row>
    <row r="140">
      <c r="C140" s="56" t="inlineStr">
        <is>
          <t>Lombok → Komodo / Labuan Bajo (237nm)</t>
        </is>
      </c>
    </row>
    <row r="141">
      <c r="C141" s="56" t="inlineStr">
        <is>
          <t>Phuket → Langkawi (cross-border, regional reach) (107nm)</t>
        </is>
      </c>
    </row>
    <row r="142">
      <c r="C142" s="56" t="inlineStr">
        <is>
          <t>Phuket → Langkawi (cross-border, regional reach) (107nm)</t>
        </is>
      </c>
    </row>
    <row r="143">
      <c r="C143" s="56" t="inlineStr">
        <is>
          <t>Manila → Coron (Palawan) (150nm)</t>
        </is>
      </c>
    </row>
    <row r="144">
      <c r="C144" s="56" t="inlineStr">
        <is>
          <t>Cebu → Boracay (90nm)</t>
        </is>
      </c>
    </row>
    <row r="145">
      <c r="C145" s="56" t="inlineStr">
        <is>
          <t>Karimunjawa Archipelago → Jakarta (223.5nm)</t>
        </is>
      </c>
    </row>
    <row r="146">
      <c r="C146" s="56" t="inlineStr">
        <is>
          <t>Kaohsiung → Magong (Penghu) (73.0nm)</t>
        </is>
      </c>
    </row>
    <row r="147">
      <c r="C147" s="56" t="inlineStr">
        <is>
          <t>Padang Bai (Bali east — Pioneer II Bali↔Lombok pointer, NOT LBJ) → Meruorah Komodo Labuan Bajo (261.6nm)</t>
        </is>
      </c>
    </row>
    <row r="148">
      <c r="C148" s="56" t="inlineStr">
        <is>
          <t>Komodo / Labuan Bajo / Flores / Sumba → Sumba (82.9nm)</t>
        </is>
      </c>
    </row>
    <row r="149">
      <c r="C149" s="56" t="inlineStr">
        <is>
          <t>Marina Labuan Bajo → Maumere Port (Lorenz Say) — Kelimutu access (153.3nm)</t>
        </is>
      </c>
    </row>
    <row r="150">
      <c r="C150" s="56" t="inlineStr">
        <is>
          <t>Raja Ampat → Misool (114.6nm)</t>
        </is>
      </c>
    </row>
  </sheetData>
  <mergeCells count="2">
    <mergeCell ref="A114:L11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economics'!$AR$4:$AR$111="Grounded"),'Corridor economics'!$AH$4:$AH$111,'Corridor economics'!$E$4:$E$111),0))</f>
        <v/>
      </c>
      <c r="E11" s="15" t="inlineStr">
        <is>
          <t>New-entrant ~11%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economics'!$AR$4:$AR$111="Grounded"),'Corridor economics'!$AH$4:$AH$111,'Corridor economics'!$E$4:$E$111),0)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2026-07-20T06:56:51Z</dcterms:created>
  <dcterms:modified xsi:type="dcterms:W3CDTF">2026-07-20T06:56:51Z</dcterms:modified>
</cp:coreProperties>
</file>