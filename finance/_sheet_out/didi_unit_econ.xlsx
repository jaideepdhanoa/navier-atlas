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opex'!$A$4:$G$5</definedName>
    <definedName name="som_floor_fleet">'Corridor economics'!$D$23</definedName>
    <definedName name="som_floor_rev">'Corridor economics'!$E$23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Didi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4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Brazil</t>
        </is>
      </c>
      <c r="B4" s="27" t="n">
        <v>14000</v>
      </c>
      <c r="C4" s="28" t="n">
        <v>0.09</v>
      </c>
      <c r="D4" s="20" t="n">
        <v>0.5</v>
      </c>
      <c r="E4" s="27" t="n">
        <v>10000</v>
      </c>
      <c r="F4" s="20" t="n">
        <v>0.38</v>
      </c>
      <c r="G4" s="27" t="n">
        <v>600000</v>
      </c>
      <c r="H4" s="15" t="inlineStr">
        <is>
          <t>Minor Hotels seal preflight — modeled vs SG anchor | Minor Hotels seal preflight — national tariff avg | Modeled | CAPEX LB-243 US/EU=$900K else $600K</t>
        </is>
      </c>
    </row>
    <row r="5">
      <c r="A5" s="26" t="inlineStr">
        <is>
          <t>Mexico</t>
        </is>
      </c>
      <c r="B5" s="27" t="n">
        <v>14000</v>
      </c>
      <c r="C5" s="28" t="n">
        <v>0.23</v>
      </c>
      <c r="D5" s="20" t="n">
        <v>0.444</v>
      </c>
      <c r="E5" s="27" t="n">
        <v>11000</v>
      </c>
      <c r="F5" s="20" t="n">
        <v>0.54</v>
      </c>
      <c r="G5" s="27" t="n">
        <v>600000</v>
      </c>
      <c r="H5" s="15" t="inlineStr">
        <is>
          <t>MODELED, not an official wage fact. Use USD 14,000/year only as a provisional loaded planning allowance for a commercial captain. It deliberately exceeds the national survey cash-wage anchor to allow for licensing, employer burden, seniority and tourist-market hiring, but no operator quote validates the uplift. Sources: World Bank World Development Indicators: Official exchange rate (LCU per US$, period average) — Mexico (https://api.worldbank.org/v2/country/MEX/indicator/PA.NUS.FCRF?format=json&amp;per_page=10); Data México, Secretaría de Economía: Capitanes y Conductores de Transporte Marítimo (https://www.economia.gob.mx/datamexico/es/profile/occupation/capitanes-y-conductores-de-transporte-maritimo) | SOURCE-ANCHORED CONVERSION, tariff applicability provisional. PDBT is a small low-voltage business comparator. It is not a bankable fast-charging tariff and excludes VAT, connection work, demand/capacity/reactive charges and any move to GDBT/GDMTH. Obtain CFE supply study for vessel charging load. Sources: Banco de México: Cuadro CF86 — Tipo de cambio FIX (https://www.banxico.org.mx/SieInternet/consultarDirectorioInternetAction.do?accion=consultarCuadro&amp;idCuadro=CF86&amp;locale=es&amp;sector=6); AI Regula Solutions (mirror linking each row to CFE): CFE tariff mirror — PDBT, Quintana Roo (https://airegulasolutions.com/cfe/tarifas?year=2026&amp;month=5&amp;tariffCode=PDBT&amp;state=QUINTANA%20ROO&amp;page=1&amp;pageSize=100) | MODELED, not a published marina tariff. Covers annual berth, port fees and local marine admin per vessel under repo definition; excludes insurance and fast-charge infrastructure. Replace with berth/port/operator quotes for Puerto Juárez, Isla Mujeres, Playa and Cozumel. Sources: World Bank World Development Indicators: Official exchange rate (LCU per US$, period average) — Mexico (https://api.worldbank.org/v2/country/MEX/indicator/PA.NUS.FCRF?format=json&amp;per_page=10); World Bank World Development Indicators: PPP conversion factor, GDP (LCU per international $) — Mexico (https://api.worldbank.org/v2/country/MEX/indicator/PA.NUS.PPP?format=json&amp;per_page=10)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Costa Rica</t>
        </is>
      </c>
      <c r="B4" s="15" t="inlineStr">
        <is>
          <t>Paquera Ferry Terminal → Puntarenas Ferry Terminal (Gulf of Nicoya car/passenger ferries)</t>
        </is>
      </c>
      <c r="C4" s="15" t="inlineStr">
        <is>
          <t>rn-7e59f984abec</t>
        </is>
      </c>
      <c r="D4" s="15" t="inlineStr">
        <is>
          <t>Costa Rica</t>
        </is>
      </c>
      <c r="E4" s="15" t="inlineStr">
        <is>
          <t>country_reference_incomplete: Gulf of Nicoya terminal/berth cost unresolved</t>
        </is>
      </c>
    </row>
    <row r="5">
      <c r="A5" s="29" t="inlineStr">
        <is>
          <t>Costa Rica</t>
        </is>
      </c>
      <c r="B5" s="15" t="inlineStr">
        <is>
          <t>Playa Naranjo Ferry Terminal → Puntarenas Ferry Terminal (Gulf of Nicoya car/passenger ferries)</t>
        </is>
      </c>
      <c r="C5" s="15" t="inlineStr">
        <is>
          <t>rn-eb4ca32edbef</t>
        </is>
      </c>
      <c r="D5" s="15" t="inlineStr">
        <is>
          <t>Costa Rica</t>
        </is>
      </c>
      <c r="E5" s="15" t="inlineStr">
        <is>
          <t>country_reference_incomplete: Gulf of Nicoya terminal/berth cost unresolved</t>
        </is>
      </c>
    </row>
    <row r="6">
      <c r="A6" s="29" t="inlineStr">
        <is>
          <t>Argentina</t>
        </is>
      </c>
      <c r="B6" s="15" t="inlineStr">
        <is>
          <t>Terminal Fluvial de Pasajeros de Rosario → Isla Sabino Corsi landing</t>
        </is>
      </c>
      <c r="C6" s="15" t="inlineStr">
        <is>
          <t>rn-f451444da7fe</t>
        </is>
      </c>
      <c r="D6" s="15" t="inlineStr">
        <is>
          <t>Argentina</t>
        </is>
      </c>
      <c r="E6" s="15" t="inlineStr">
        <is>
          <t>country_reference_incomplete: workers-compensation and terminal/port inputs unresolved</t>
        </is>
      </c>
    </row>
    <row r="7">
      <c r="A7" s="29" t="inlineStr">
        <is>
          <t>Argentina</t>
        </is>
      </c>
      <c r="B7" s="15" t="inlineStr">
        <is>
          <t>Terminal Fluvial de Puerto Madero (Buquebus) → Terminal Fluvial Puerto de Colonia</t>
        </is>
      </c>
      <c r="C7" s="15" t="inlineStr">
        <is>
          <t>rn-04b92d6952d2</t>
        </is>
      </c>
      <c r="D7" s="15" t="inlineStr">
        <is>
          <t>Argentina</t>
        </is>
      </c>
      <c r="E7" s="15" t="inlineStr">
        <is>
          <t>country_reference_incomplete: workers-compensation and terminal/port inputs unresolved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Didi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Brazil</t>
        </is>
      </c>
      <c r="B4" s="31" t="inlineStr">
        <is>
          <t>Brazil</t>
        </is>
      </c>
      <c r="C4" s="32" t="inlineStr">
        <is>
          <t>Praça XV Terminal (central Rio) → Arariboia Terminal (Niterói)</t>
        </is>
      </c>
      <c r="D4" s="33" t="n">
        <v>2.7</v>
      </c>
      <c r="E4" s="27" t="n">
        <v>28</v>
      </c>
      <c r="F4" s="34" t="inlineStr">
        <is>
          <t>T1/T2</t>
        </is>
      </c>
      <c r="G4" s="34" t="inlineStr">
        <is>
          <t>med-low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>
        <v>10848719</v>
      </c>
      <c r="AI4" s="34" t="inlineStr">
        <is>
          <t>T1</t>
        </is>
      </c>
      <c r="AJ4" s="34" t="inlineStr">
        <is>
          <t>high</t>
        </is>
      </c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Grounded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https://barcasrio.com.br/linhas-horarios-e-tarifas/</t>
        </is>
      </c>
      <c r="AZ4" s="46" t="inlineStr">
        <is>
          <t>https://www2.agetransp.rj.gov.br/arquivos/operacao-servicos/relatorio-de-atividades/Relat%C3%B3rio%20Mensal%20de%20Atividades%20Janeiro%202024.pdf</t>
        </is>
      </c>
      <c r="BA4" s="34" t="inlineStr">
        <is>
          <t>rn-1886629dbf0c</t>
        </is>
      </c>
    </row>
    <row r="5">
      <c r="A5" s="31" t="inlineStr">
        <is>
          <t>Brazil</t>
        </is>
      </c>
      <c r="B5" s="31" t="inlineStr">
        <is>
          <t>Brazil</t>
        </is>
      </c>
      <c r="C5" s="32" t="inlineStr">
        <is>
          <t>Praça XV Terminal (central Rio) → Charitas Terminal (Niterói, fast catamaran)</t>
        </is>
      </c>
      <c r="D5" s="33" t="n">
        <v>4.4</v>
      </c>
      <c r="E5" s="27" t="n">
        <v>28</v>
      </c>
      <c r="F5" s="34" t="inlineStr">
        <is>
          <t>T1/T2</t>
        </is>
      </c>
      <c r="G5" s="34" t="inlineStr">
        <is>
          <t>med-low</t>
        </is>
      </c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>
        <v>825637</v>
      </c>
      <c r="AI5" s="34" t="inlineStr">
        <is>
          <t>T1</t>
        </is>
      </c>
      <c r="AJ5" s="34" t="inlineStr">
        <is>
          <t>high</t>
        </is>
      </c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Grounded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inlineStr">
        <is>
          <t>https://barcasrio.com.br/linhas-horarios-e-tarifas/</t>
        </is>
      </c>
      <c r="AZ5" s="46" t="inlineStr">
        <is>
          <t>https://www2.agetransp.rj.gov.br/arquivos/operacao-servicos/relatorio-de-atividades/Relat%C3%B3rio%20Mensal%20de%20Atividades%20Janeiro%202024.pdf</t>
        </is>
      </c>
      <c r="BA5" s="34" t="inlineStr">
        <is>
          <t>rn-80f0d0ebe0bd</t>
        </is>
      </c>
    </row>
    <row r="6">
      <c r="A6" s="31" t="inlineStr">
        <is>
          <t>Brazil</t>
        </is>
      </c>
      <c r="B6" s="31" t="inlineStr">
        <is>
          <t>Brazil</t>
        </is>
      </c>
      <c r="C6" s="32" t="inlineStr">
        <is>
          <t>Praça XV Terminal (central Rio) → Cocotá Terminal (Ilha do Governador)</t>
        </is>
      </c>
      <c r="D6" s="33" t="n">
        <v>6</v>
      </c>
      <c r="E6" s="27" t="n">
        <v>28</v>
      </c>
      <c r="F6" s="34" t="inlineStr">
        <is>
          <t>T1/T2</t>
        </is>
      </c>
      <c r="G6" s="34" t="inlineStr">
        <is>
          <t>med-low</t>
        </is>
      </c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278607</v>
      </c>
      <c r="AI6" s="34" t="inlineStr">
        <is>
          <t>T1</t>
        </is>
      </c>
      <c r="AJ6" s="34" t="inlineStr">
        <is>
          <t>high</t>
        </is>
      </c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Grounded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inlineStr">
        <is>
          <t>https://barcasrio.com.br/linhas-horarios-e-tarifas/</t>
        </is>
      </c>
      <c r="AZ6" s="46" t="inlineStr">
        <is>
          <t>https://www2.agetransp.rj.gov.br/arquivos/operacao-servicos/relatorio-de-atividades/Relat%C3%B3rio%20Mensal%20de%20Atividades%20Janeiro%202024.pdf</t>
        </is>
      </c>
      <c r="BA6" s="34" t="inlineStr">
        <is>
          <t>rn-369ef0eb69d9</t>
        </is>
      </c>
    </row>
    <row r="7">
      <c r="A7" s="31" t="inlineStr">
        <is>
          <t>Brazil</t>
        </is>
      </c>
      <c r="B7" s="31" t="inlineStr">
        <is>
          <t>Brazil</t>
        </is>
      </c>
      <c r="C7" s="32" t="inlineStr">
        <is>
          <t>Praça XV Terminal (central Rio) → Paquetá Island Terminal</t>
        </is>
      </c>
      <c r="D7" s="33" t="n">
        <v>9.199999999999999</v>
      </c>
      <c r="E7" s="27" t="n">
        <v>28</v>
      </c>
      <c r="F7" s="34" t="inlineStr">
        <is>
          <t>T1/T2</t>
        </is>
      </c>
      <c r="G7" s="34" t="inlineStr">
        <is>
          <t>med-low</t>
        </is>
      </c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>
        <v>1170652</v>
      </c>
      <c r="AI7" s="34" t="inlineStr">
        <is>
          <t>T1</t>
        </is>
      </c>
      <c r="AJ7" s="34" t="inlineStr">
        <is>
          <t>high</t>
        </is>
      </c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Grounded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inlineStr">
        <is>
          <t>https://barcasrio.com.br/linhas-horarios-e-tarifas/</t>
        </is>
      </c>
      <c r="AZ7" s="46" t="inlineStr">
        <is>
          <t>https://www2.agetransp.rj.gov.br/arquivos/operacao-servicos/relatorio-de-atividades/Relat%C3%B3rio%20Mensal%20de%20Atividades%20Janeiro%202024.pdf</t>
        </is>
      </c>
      <c r="BA7" s="34" t="inlineStr">
        <is>
          <t>rn-00bb6ded4be5</t>
        </is>
      </c>
    </row>
    <row r="8">
      <c r="A8" s="31" t="inlineStr">
        <is>
          <t>Mexico Caribbean</t>
        </is>
      </c>
      <c r="B8" s="31" t="inlineStr">
        <is>
          <t>Mexico</t>
        </is>
      </c>
      <c r="C8" s="32" t="inlineStr">
        <is>
          <t>Punta Sam ferry terminal → Terminal Martima De Isla Mujeres</t>
        </is>
      </c>
      <c r="D8" s="33" t="n">
        <v>3.35</v>
      </c>
      <c r="E8" s="27" t="n">
        <v>15.07</v>
      </c>
      <c r="F8" s="34" t="inlineStr">
        <is>
          <t>T2</t>
        </is>
      </c>
      <c r="G8" s="34" t="inlineStr">
        <is>
          <t>medium</t>
        </is>
      </c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>
        <v>238128</v>
      </c>
      <c r="AI8" s="34" t="inlineStr">
        <is>
          <t>T1</t>
        </is>
      </c>
      <c r="AJ8" s="34" t="inlineStr">
        <is>
          <t>high</t>
        </is>
      </c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Grounded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https://ultracarga.com/ruta-punta-sam-isla-mujeres/</t>
        </is>
      </c>
      <c r="AZ8" s="46" t="inlineStr">
        <is>
          <t>https://servicios.apiqroo.com.mx/estadistica/datos/informeTransbordador.php?anio=2025</t>
        </is>
      </c>
      <c r="BA8" s="34" t="inlineStr">
        <is>
          <t>ics-aa6ff40d2d</t>
        </is>
      </c>
    </row>
    <row r="9">
      <c r="A9" s="31" t="inlineStr">
        <is>
          <t>Mexico Pacific</t>
        </is>
      </c>
      <c r="B9" s="31" t="inlineStr">
        <is>
          <t>Mexico</t>
        </is>
      </c>
      <c r="C9" s="32" t="inlineStr">
        <is>
          <t>Palmilla → San José Del Cabo Marina</t>
        </is>
      </c>
      <c r="D9" s="33" t="n">
        <v>3.4</v>
      </c>
      <c r="E9" s="27" t="n"/>
      <c r="F9" s="34" t="n"/>
      <c r="G9" s="34" t="n"/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/>
      <c r="AI9" s="34" t="n"/>
      <c r="AJ9" s="34" t="n"/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Estimated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n"/>
      <c r="AZ9" s="46" t="n"/>
      <c r="BA9" s="34" t="inlineStr">
        <is>
          <t>ics-b5861451fb</t>
        </is>
      </c>
    </row>
    <row r="10">
      <c r="A10" s="31" t="inlineStr">
        <is>
          <t>Mexico Caribbean</t>
        </is>
      </c>
      <c r="B10" s="31" t="inlineStr">
        <is>
          <t>Mexico</t>
        </is>
      </c>
      <c r="C10" s="32" t="inlineStr">
        <is>
          <t>Terminal Maritima Puerto Juarez → Terminal Martima De Isla Mujeres</t>
        </is>
      </c>
      <c r="D10" s="33" t="n">
        <v>5.27</v>
      </c>
      <c r="E10" s="27" t="n">
        <v>15.07</v>
      </c>
      <c r="F10" s="34" t="inlineStr">
        <is>
          <t>T2</t>
        </is>
      </c>
      <c r="G10" s="34" t="inlineStr">
        <is>
          <t>med-low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>
        <v>5458304</v>
      </c>
      <c r="AI10" s="34" t="inlineStr">
        <is>
          <t>T1</t>
        </is>
      </c>
      <c r="AJ10" s="34" t="inlineStr">
        <is>
          <t>high</t>
        </is>
      </c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Grounded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https://www.ultramarferry.com/es/tarifas</t>
        </is>
      </c>
      <c r="AZ10" s="46" t="inlineStr">
        <is>
          <t>https://servicios.apiqroo.com.mx/estadistica/datos/informeRutaPasaje.php?anio=2025</t>
        </is>
      </c>
      <c r="BA10" s="34" t="inlineStr">
        <is>
          <t>ics-413f51cd44</t>
        </is>
      </c>
    </row>
    <row r="11">
      <c r="A11" s="31" t="inlineStr">
        <is>
          <t>Mexico Caribbean</t>
        </is>
      </c>
      <c r="B11" s="31" t="inlineStr">
        <is>
          <t>Mexico</t>
        </is>
      </c>
      <c r="C11" s="32" t="inlineStr">
        <is>
          <t>Ultramar → Terminal Martima De Isla Mujeres</t>
        </is>
      </c>
      <c r="D11" s="33" t="n">
        <v>5.49</v>
      </c>
      <c r="E11" s="27" t="n"/>
      <c r="F11" s="34" t="n"/>
      <c r="G11" s="34" t="n"/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/>
      <c r="AI11" s="34" t="n"/>
      <c r="AJ11" s="34" t="n"/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Estimated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n"/>
      <c r="AZ11" s="46" t="n"/>
      <c r="BA11" s="34" t="inlineStr">
        <is>
          <t>ics-03e3853317</t>
        </is>
      </c>
    </row>
    <row r="12">
      <c r="A12" s="31" t="inlineStr">
        <is>
          <t>Mexico Caribbean</t>
        </is>
      </c>
      <c r="B12" s="31" t="inlineStr">
        <is>
          <t>Mexico</t>
        </is>
      </c>
      <c r="C12" s="32" t="inlineStr">
        <is>
          <t>Muelle Fiscal Playa del Carmen → Passenger Ferry Ultramar Cozumel</t>
        </is>
      </c>
      <c r="D12" s="33" t="n">
        <v>9.529999999999999</v>
      </c>
      <c r="E12" s="27" t="n">
        <v>16.63</v>
      </c>
      <c r="F12" s="34" t="inlineStr">
        <is>
          <t>T2</t>
        </is>
      </c>
      <c r="G12" s="34" t="inlineStr">
        <is>
          <t>med-low</t>
        </is>
      </c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Korea",FLOOR(60*korea_service_hr/K12,1),MIN(15,FLOOR(60*service_hr/K12,1)))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>
        <v>3853770</v>
      </c>
      <c r="AI12" s="34" t="inlineStr">
        <is>
          <t>T1</t>
        </is>
      </c>
      <c r="AJ12" s="34" t="inlineStr">
        <is>
          <t>high</t>
        </is>
      </c>
      <c r="AK12" s="41" t="n">
        <v>0.1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Grounded</t>
        </is>
      </c>
      <c r="AS12" s="43" t="n"/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inlineStr">
        <is>
          <t>https://www.ultramarferry.com/en/fares</t>
        </is>
      </c>
      <c r="AZ12" s="46" t="inlineStr">
        <is>
          <t>https://servicios.apiqroo.com.mx/estadistica/datos/informeRutaPasaje.php?anio=2025</t>
        </is>
      </c>
      <c r="BA12" s="34" t="inlineStr">
        <is>
          <t>ics-dd1d814699</t>
        </is>
      </c>
    </row>
    <row r="13">
      <c r="A13" s="31" t="inlineStr">
        <is>
          <t>Mexico Pacific</t>
        </is>
      </c>
      <c r="B13" s="31" t="inlineStr">
        <is>
          <t>Mexico</t>
        </is>
      </c>
      <c r="C13" s="32" t="inlineStr">
        <is>
          <t>Puerto Vallarta &amp; Riviera Nayarit → Punta De Mita</t>
        </is>
      </c>
      <c r="D13" s="33" t="n">
        <v>9.9</v>
      </c>
      <c r="E13" s="27" t="n"/>
      <c r="F13" s="34" t="n"/>
      <c r="G13" s="34" t="n"/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Korea",FLOOR(60*korea_service_hr/K13,1),MIN(15,FLOOR(60*service_hr/K13,1)))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/>
      <c r="AI13" s="34" t="n"/>
      <c r="AJ13" s="34" t="n"/>
      <c r="AK13" s="41" t="n">
        <v>0.1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Estimated</t>
        </is>
      </c>
      <c r="AS13" s="43" t="n"/>
      <c r="AT13" s="43" t="n"/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n"/>
      <c r="AZ13" s="46" t="n"/>
      <c r="BA13" s="34" t="inlineStr">
        <is>
          <t>ics-de6758216f</t>
        </is>
      </c>
    </row>
    <row r="14">
      <c r="A14" s="31" t="inlineStr">
        <is>
          <t>Mexico Pacific</t>
        </is>
      </c>
      <c r="B14" s="31" t="inlineStr">
        <is>
          <t>Mexico</t>
        </is>
      </c>
      <c r="C14" s="32" t="inlineStr">
        <is>
          <t>Puerto Vallarta &amp; Riviera Nayarit → Yelapa</t>
        </is>
      </c>
      <c r="D14" s="33" t="n">
        <v>14.5</v>
      </c>
      <c r="E14" s="27" t="n">
        <v>18.19</v>
      </c>
      <c r="F14" s="34" t="inlineStr">
        <is>
          <t>T2</t>
        </is>
      </c>
      <c r="G14" s="34" t="inlineStr">
        <is>
          <t>med</t>
        </is>
      </c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Korea",FLOOR(60*korea_service_hr/K14,1),MIN(15,FLOOR(60*service_hr/K14,1)))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/>
      <c r="AI14" s="34" t="n"/>
      <c r="AJ14" s="34" t="n"/>
      <c r="AK14" s="41" t="n">
        <v>0.1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Estimated</t>
        </is>
      </c>
      <c r="AS14" s="43" t="n"/>
      <c r="AT14" s="43" t="n"/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inlineStr">
        <is>
          <t>https://www.yelapa.info/transport1.html</t>
        </is>
      </c>
      <c r="AZ14" s="46" t="n"/>
      <c r="BA14" s="34" t="inlineStr">
        <is>
          <t>ics-89a8844858</t>
        </is>
      </c>
    </row>
    <row r="15">
      <c r="A15" s="31" t="inlineStr">
        <is>
          <t>Mexico Pacific</t>
        </is>
      </c>
      <c r="B15" s="31" t="inlineStr">
        <is>
          <t>Mexico</t>
        </is>
      </c>
      <c r="C15" s="32" t="inlineStr">
        <is>
          <t>Cabo San Lucas Marina → Los Cabos, Baja Sur</t>
        </is>
      </c>
      <c r="D15" s="33" t="n">
        <v>17</v>
      </c>
      <c r="E15" s="27" t="n"/>
      <c r="F15" s="34" t="n"/>
      <c r="G15" s="34" t="n"/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Korea",FLOOR(60*korea_service_hr/K15,1),MIN(15,FLOOR(60*service_hr/K15,1)))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/>
      <c r="AI15" s="34" t="n"/>
      <c r="AJ15" s="34" t="n"/>
      <c r="AK15" s="41" t="n">
        <v>0.1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Estimated</t>
        </is>
      </c>
      <c r="AS15" s="43" t="n"/>
      <c r="AT15" s="43" t="n"/>
      <c r="AU15" s="44" t="n"/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n"/>
      <c r="AZ15" s="46" t="n"/>
      <c r="BA15" s="34" t="inlineStr">
        <is>
          <t>ics-db0930d9d1</t>
        </is>
      </c>
    </row>
    <row r="16">
      <c r="A16" s="47" t="inlineStr">
        <is>
          <t>TOTAL / median</t>
        </is>
      </c>
      <c r="U16" s="48">
        <f>SUM(U4:U15)</f>
        <v/>
      </c>
      <c r="AD16" s="48">
        <f>SUM(AD4:AD15)</f>
        <v/>
      </c>
      <c r="AE16" s="49">
        <f>IF(U16=0,"",AD16/U16)</f>
        <v/>
      </c>
      <c r="AM16" s="50">
        <f>SUM(AM4:AM15)</f>
        <v/>
      </c>
      <c r="AN16" s="48">
        <f>SUM(AN4:AN15)</f>
        <v/>
      </c>
    </row>
    <row r="18">
      <c r="A18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9">
      <c r="A19" s="25" t="inlineStr">
        <is>
          <t>Market</t>
        </is>
      </c>
      <c r="B19" s="25" t="inlineStr">
        <is>
          <t>Fleet basis</t>
        </is>
      </c>
      <c r="C19" s="25" t="inlineStr">
        <is>
          <t>Raw vessels (sum)</t>
        </is>
      </c>
      <c r="D19" s="25" t="inlineStr">
        <is>
          <t>Fleet (rounded once)</t>
        </is>
      </c>
      <c r="E19" s="25" t="inlineStr">
        <is>
          <t>Market rev/yr (raw sum)</t>
        </is>
      </c>
    </row>
    <row r="20">
      <c r="A20" s="26" t="inlineStr">
        <is>
          <t>Brazil</t>
        </is>
      </c>
      <c r="B20" s="14" t="inlineStr">
        <is>
          <t>per_corridor_floor</t>
        </is>
      </c>
      <c r="C20" s="14" t="inlineStr">
        <is>
          <t>—</t>
        </is>
      </c>
      <c r="D20" s="51">
        <f>SUMIFS(AM4:AM15,A4:A15,"Brazil",AQ4:AQ15,"=",AR4:AR15,"Grounded")</f>
        <v/>
      </c>
      <c r="E20" s="52">
        <f>SUMIFS(AN4:AN15,A4:A15,"Brazil",AQ4:AQ15,"=",AR4:AR15,"Grounded")</f>
        <v/>
      </c>
    </row>
    <row r="21">
      <c r="A21" s="26" t="inlineStr">
        <is>
          <t>Mexico Caribbean</t>
        </is>
      </c>
      <c r="B21" s="14" t="inlineStr">
        <is>
          <t>grounded</t>
        </is>
      </c>
      <c r="C21" s="14" t="inlineStr">
        <is>
          <t>—</t>
        </is>
      </c>
      <c r="D21" s="51">
        <f>SUMIFS(AM4:AM15,A4:A15,"Mexico Caribbean",AQ4:AQ15,"=",AR4:AR15,"Grounded")</f>
        <v/>
      </c>
      <c r="E21" s="52">
        <f>SUMIFS(AN4:AN15,A4:A15,"Mexico Caribbean",AQ4:AQ15,"=",AR4:AR15,"Grounded")</f>
        <v/>
      </c>
    </row>
    <row r="22">
      <c r="A22" s="26" t="inlineStr">
        <is>
          <t>Mexico Pacific</t>
        </is>
      </c>
      <c r="B22" s="14" t="inlineStr">
        <is>
          <t>grounded</t>
        </is>
      </c>
      <c r="C22" s="14" t="inlineStr">
        <is>
          <t>—</t>
        </is>
      </c>
      <c r="D22" s="51">
        <f>SUMIFS(AM4:AM15,A4:A15,"Mexico Pacific",AQ4:AQ15,"=",AR4:AR15,"Grounded")</f>
        <v/>
      </c>
      <c r="E22" s="52">
        <f>SUMIFS(AN4:AN15,A4:A15,"Mexico Pacific",AQ4:AQ15,"=",AR4:AR15,"Grounded")</f>
        <v/>
      </c>
    </row>
    <row r="23">
      <c r="A23" s="47" t="inlineStr">
        <is>
          <t>GROUNDED FLOOR (PUBLISHED)</t>
        </is>
      </c>
      <c r="D23" s="50">
        <f>SUM(D20:D22)</f>
        <v/>
      </c>
      <c r="E23" s="48">
        <f>SUM(E20:E22)</f>
        <v/>
      </c>
    </row>
    <row r="24">
      <c r="A24" s="21" t="inlineStr">
        <is>
          <t>ESTIMATED DEMAND (country-median cascade; held OUT of grounded floor)</t>
        </is>
      </c>
      <c r="D24" s="53">
        <f>SUMIF(AR4:AR15,"Estimated",AM4:AM15)</f>
        <v/>
      </c>
      <c r="E24" s="54">
        <f>SUMIF(AR4:AR15,"Estimated",AN4:AN15)</f>
        <v/>
      </c>
    </row>
  </sheetData>
  <mergeCells count="2">
    <mergeCell ref="A1:L1"/>
    <mergeCell ref="A18:L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global template band pending a DiDi-specific census; this is not a Grab or DiDi counted census.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5">
        <f>som_floor_rev/(ROUND(SUMPRODUCT(--('Corridor economics'!$AR$4:$AR$15="Grounded"),'Corridor economics'!$AH$4:$AH$15,'Corridor economics'!$E$4:$E$15),0))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economics'!$AR$4:$AR$15="Grounded"),'Corridor economics'!$AH$4:$AH$15,'Corridor economics'!$E$4:$E$15),0)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(~10%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6" t="inlineStr">
        <is>
          <t>Note</t>
        </is>
      </c>
      <c r="B26" s="5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2026-07-15T20:04:47Z</dcterms:created>
  <dcterms:modified xsi:type="dcterms:W3CDTF">2026-07-15T20:04:47Z</dcterms:modified>
</cp:coreProperties>
</file>