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opex'!$A$4:$G$6</definedName>
    <definedName name="som_floor_fleet">'Corridor economics'!$D$38</definedName>
    <definedName name="som_floor_rev">'Corridor economics'!$E$38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2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Costa Rica</t>
        </is>
      </c>
      <c r="B5" s="27" t="n">
        <v>16000</v>
      </c>
      <c r="C5" s="28" t="n">
        <v>0.254</v>
      </c>
      <c r="D5" s="20" t="n">
        <v>0.056</v>
      </c>
      <c r="E5" s="27" t="n">
        <v>12000</v>
      </c>
      <c r="F5" s="20" t="n">
        <v>0.976</v>
      </c>
      <c r="G5" s="27" t="n">
        <v>600000</v>
      </c>
      <c r="H5" s="15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6">
      <c r="A6" s="26" t="inlineStr">
        <is>
          <t>Mexico</t>
        </is>
      </c>
      <c r="B6" s="27" t="n">
        <v>14000</v>
      </c>
      <c r="C6" s="28" t="n">
        <v>0.23</v>
      </c>
      <c r="D6" s="20" t="n">
        <v>0.444</v>
      </c>
      <c r="E6" s="27" t="n">
        <v>11000</v>
      </c>
      <c r="F6" s="20" t="n">
        <v>0.54</v>
      </c>
      <c r="G6" s="27" t="n">
        <v>600000</v>
      </c>
      <c r="H6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Argentina</t>
        </is>
      </c>
      <c r="B4" s="15" t="inlineStr">
        <is>
          <t>Terminal Fluvial de Pasajeros de Rosario → Isla Sabino Corsi landing</t>
        </is>
      </c>
      <c r="C4" s="15" t="inlineStr">
        <is>
          <t>rn-f451444da7fe</t>
        </is>
      </c>
      <c r="D4" s="15" t="inlineStr">
        <is>
          <t>Argentina</t>
        </is>
      </c>
      <c r="E4" s="15" t="inlineStr">
        <is>
          <t>demand_not_exact_annual_oneway: 38,900 is a summer-season passenger total with both directions aggregated — not calendar-year annual one-way; country-reference row now present but demand semantics block production cascade</t>
        </is>
      </c>
    </row>
    <row r="5">
      <c r="A5" s="29" t="inlineStr">
        <is>
          <t>Argentina</t>
        </is>
      </c>
      <c r="B5" s="15" t="inlineStr">
        <is>
          <t>Terminal Fluvial de Puerto Madero (Buquebus) → Terminal Fluvial Puerto de Colonia</t>
        </is>
      </c>
      <c r="C5" s="15" t="inlineStr">
        <is>
          <t>rn-04b92d6952d2</t>
        </is>
      </c>
      <c r="D5" s="15" t="inlineStr">
        <is>
          <t>Argentina</t>
        </is>
      </c>
      <c r="E5" s="15" t="inlineStr">
        <is>
          <t>demand_not_exact_annual_oneway: 2,177,670 is an annual port-pair passenger total with both directions aggregated — not annual one-way; country-reference row now present but demand semantics block production cascade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Terminal da Balsa Ponta da Praia (Santos) → Terminal da Balsa Guarujá (Av. Adhemar de Barros)</t>
        </is>
      </c>
      <c r="D4" s="33" t="n">
        <v>0.25</v>
      </c>
      <c r="E4" s="27" t="n">
        <v>12</v>
      </c>
      <c r="F4" s="34" t="inlineStr">
        <is>
          <t>T1</t>
        </is>
      </c>
      <c r="G4" s="34" t="inlineStr">
        <is>
          <t>high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5584500</v>
      </c>
      <c r="AI4" s="34" t="inlineStr">
        <is>
          <t>T2/T3 (annualized from crossing-specific dailies)</t>
        </is>
      </c>
      <c r="AJ4" s="34" t="inlineStr">
        <is>
          <t>med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Acqua Vias PPP terms / state announcement</t>
        </is>
      </c>
      <c r="AZ4" s="46" t="inlineStr">
        <is>
          <t>Crossing-specific daily counts: ~7.6k pedestrians + ~7.7k cyclists = 15,300/day (Travessia Santos–Guarujá, A Tribuna basis, corroborated by DH system datasheets: system-wide 57k users/day across 8 crossings, Santos–Guarujá the busiest).</t>
        </is>
      </c>
      <c r="BA4" s="34" t="inlineStr">
        <is>
          <t>rn-07cdabeba7a9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Terminal de Passageiros Santos Centro / Praça da República → Terminal de Passageiros Vicente de Carvalho (Guarujá)</t>
        </is>
      </c>
      <c r="D5" s="33" t="n">
        <v>0.66</v>
      </c>
      <c r="E5" s="27" t="n">
        <v>12</v>
      </c>
      <c r="F5" s="34" t="n"/>
      <c r="G5" s="34" t="n"/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/>
      <c r="AI5" s="34" t="n"/>
      <c r="AJ5" s="34" t="n"/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Estimated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n"/>
      <c r="AZ5" s="46" t="n"/>
      <c r="BA5" s="34" t="inlineStr">
        <is>
          <t>rn-3a67668a48a5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São Sebastião Ferry Terminal (Balsa) → Ilhabela Ferry Terminal (Barra Velha)</t>
        </is>
      </c>
      <c r="D6" s="33" t="n">
        <v>1.18</v>
      </c>
      <c r="E6" s="27" t="n">
        <v>15</v>
      </c>
      <c r="F6" s="34" t="inlineStr">
        <is>
          <t>T1</t>
        </is>
      </c>
      <c r="G6" s="34" t="inlineStr">
        <is>
          <t>high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1493447</v>
      </c>
      <c r="AI6" s="34" t="inlineStr">
        <is>
          <t>T3 (modeled from T1 official inputs)</t>
        </is>
      </c>
      <c r="AJ6" s="34" t="inlineStr">
        <is>
          <t>med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Prefeitura de Ilhabela Aquabus tariff + Jan-2025 decree</t>
        </is>
      </c>
      <c r="AZ6" s="46" t="inlineStr">
        <is>
          <t>Semil-SP official figures: H1-2024 system users 9,647,595 (8 litoral crossings); crossing share 15% of trips (Semil, Jul 2024); summer-operation mode split 593,073 ped+cyc of 1.15M users (15 Dec 2024–10 Mar 2025).</t>
        </is>
      </c>
      <c r="BA6" s="34" t="inlineStr">
        <is>
          <t>rn-1d1a798e7d82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Terminal Aquaviário Público de Pontal do Sul → Ilha do Mel — Trapiche de Encantadas</t>
        </is>
      </c>
      <c r="D7" s="33" t="n">
        <v>2.25</v>
      </c>
      <c r="E7" s="27" t="n">
        <v>12</v>
      </c>
      <c r="F7" s="34" t="n"/>
      <c r="G7" s="34" t="n"/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/>
      <c r="AI7" s="34" t="n"/>
      <c r="AJ7" s="34" t="n"/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Estimated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n"/>
      <c r="AZ7" s="46" t="n"/>
      <c r="BA7" s="34" t="inlineStr">
        <is>
          <t>rn-f405c4df3ed2</t>
        </is>
      </c>
    </row>
    <row r="8">
      <c r="A8" s="31" t="inlineStr">
        <is>
          <t>Brazil</t>
        </is>
      </c>
      <c r="B8" s="31" t="inlineStr">
        <is>
          <t>Brazil</t>
        </is>
      </c>
      <c r="C8" s="32" t="inlineStr">
        <is>
          <t>Praça XV Terminal (central Rio) → Arariboia Terminal (Niterói)</t>
        </is>
      </c>
      <c r="D8" s="33" t="n">
        <v>2.7</v>
      </c>
      <c r="E8" s="27" t="n">
        <v>28</v>
      </c>
      <c r="F8" s="34" t="inlineStr">
        <is>
          <t>T1/T2</t>
        </is>
      </c>
      <c r="G8" s="34" t="inlineStr">
        <is>
          <t>med-low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10848719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https://barcasrio.com.br/linhas-horarios-e-tarifas/</t>
        </is>
      </c>
      <c r="AZ8" s="46" t="inlineStr">
        <is>
          <t>https://www2.agetransp.rj.gov.br/arquivos/operacao-servicos/relatorio-de-atividades/Relat%C3%B3rio%20Mensal%20de%20Atividades%20Janeiro%202024.pdf</t>
        </is>
      </c>
      <c r="BA8" s="34" t="inlineStr">
        <is>
          <t>rn-1886629dbf0c</t>
        </is>
      </c>
    </row>
    <row r="9">
      <c r="A9" s="31" t="inlineStr">
        <is>
          <t>Brazil</t>
        </is>
      </c>
      <c r="B9" s="31" t="inlineStr">
        <is>
          <t>Brazil</t>
        </is>
      </c>
      <c r="C9" s="32" t="inlineStr">
        <is>
          <t>Estação Governador Albuíno Azeredo (Aquaviário da Prainha, Vila Velha) → Estação Prefeito Setembrino Pelissari (Aquaviário da Praça do Papa, Vitória)</t>
        </is>
      </c>
      <c r="D9" s="33" t="n">
        <v>3.49</v>
      </c>
      <c r="E9" s="27" t="n">
        <v>20</v>
      </c>
      <c r="F9" s="34" t="inlineStr">
        <is>
          <t>T1</t>
        </is>
      </c>
      <c r="G9" s="34" t="inlineStr">
        <is>
          <t>high</t>
        </is>
      </c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500000</v>
      </c>
      <c r="AI9" s="34" t="inlineStr">
        <is>
          <t>T1</t>
        </is>
      </c>
      <c r="AJ9" s="34" t="inlineStr">
        <is>
          <t>high</t>
        </is>
      </c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inlineStr">
        <is>
          <t>CETURB-ES published tariff (R$5.10 ≈ US$1.01)</t>
        </is>
      </c>
      <c r="AZ9" s="46" t="inlineStr">
        <is>
          <t>SEMOBI official: 'Aquaviário comemora um ano de atividade com marca de 500 mil passageiros'; corroborated by SEP Mar-2026 (&gt;1.2M cumulative through Dec 2025 ⇒ ~500–550k/yr run-rate).</t>
        </is>
      </c>
      <c r="BA9" s="34" t="inlineStr">
        <is>
          <t>rn-1ff034e787c5</t>
        </is>
      </c>
    </row>
    <row r="10">
      <c r="A10" s="31" t="inlineStr">
        <is>
          <t>Brazil</t>
        </is>
      </c>
      <c r="B10" s="31" t="inlineStr">
        <is>
          <t>Brazil</t>
        </is>
      </c>
      <c r="C10" s="32" t="inlineStr">
        <is>
          <t>Terminal Aquaviário Público de Pontal do Sul → Ilha do Mel — Trapiche de Nova Brasília</t>
        </is>
      </c>
      <c r="D10" s="33" t="n">
        <v>3.82</v>
      </c>
      <c r="E10" s="27" t="n">
        <v>12</v>
      </c>
      <c r="F10" s="34" t="inlineStr">
        <is>
          <t>T1</t>
        </is>
      </c>
      <c r="G10" s="34" t="inlineStr">
        <is>
          <t>med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383162</v>
      </c>
      <c r="AI10" s="34" t="inlineStr">
        <is>
          <t>T1/T2</t>
        </is>
      </c>
      <c r="AJ10" s="34" t="inlineStr">
        <is>
          <t>med-high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AGEPAR homologated tariff table (Mar 2023); 2025/26 season market pricing</t>
        </is>
      </c>
      <c r="AZ10" s="46" t="inlineStr">
        <is>
          <t>Abaline (official crossing operators' association) via Gazeta do Povo; corroborated by IAT park visitation 247,020 (2025, most-visited state park in Paraná; +21% vs 2024).</t>
        </is>
      </c>
      <c r="BA10" s="34" t="inlineStr">
        <is>
          <t>rn-d0bee9173524</t>
        </is>
      </c>
    </row>
    <row r="11">
      <c r="A11" s="31" t="inlineStr">
        <is>
          <t>Brazil</t>
        </is>
      </c>
      <c r="B11" s="31" t="inlineStr">
        <is>
          <t>Brazil</t>
        </is>
      </c>
      <c r="C11" s="32" t="inlineStr">
        <is>
          <t>Terminal Turístico Náutico da Bahia (Comércio) → Terminal Marítimo de Mar Grande (Vera Cruz)</t>
        </is>
      </c>
      <c r="D11" s="33" t="n">
        <v>4.14</v>
      </c>
      <c r="E11" s="27" t="n">
        <v>15</v>
      </c>
      <c r="F11" s="34" t="n"/>
      <c r="G11" s="34" t="n"/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/>
      <c r="AI11" s="34" t="n"/>
      <c r="AJ11" s="34" t="n"/>
      <c r="AK11" s="41" t="n">
        <v>0.1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Estimated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n"/>
      <c r="AZ11" s="46" t="n"/>
      <c r="BA11" s="34" t="inlineStr">
        <is>
          <t>rn-c6d5aa38e4dc</t>
        </is>
      </c>
    </row>
    <row r="12">
      <c r="A12" s="31" t="inlineStr">
        <is>
          <t>Brazil</t>
        </is>
      </c>
      <c r="B12" s="31" t="inlineStr">
        <is>
          <t>Brazil</t>
        </is>
      </c>
      <c r="C12" s="32" t="inlineStr">
        <is>
          <t>Praça XV Terminal (central Rio) → Charitas Terminal (Niterói, fast catamaran)</t>
        </is>
      </c>
      <c r="D12" s="33" t="n">
        <v>4.4</v>
      </c>
      <c r="E12" s="27" t="n">
        <v>28</v>
      </c>
      <c r="F12" s="34" t="inlineStr">
        <is>
          <t>T1/T2</t>
        </is>
      </c>
      <c r="G12" s="34" t="inlineStr">
        <is>
          <t>med-low</t>
        </is>
      </c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>
        <v>825637</v>
      </c>
      <c r="AI12" s="34" t="inlineStr">
        <is>
          <t>T1</t>
        </is>
      </c>
      <c r="AJ12" s="34" t="inlineStr">
        <is>
          <t>high</t>
        </is>
      </c>
      <c r="AK12" s="41" t="n">
        <v>0.1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Grounded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inlineStr">
        <is>
          <t>https://barcasrio.com.br/linhas-horarios-e-tarifas/</t>
        </is>
      </c>
      <c r="AZ12" s="46" t="inlineStr">
        <is>
          <t>https://www2.agetransp.rj.gov.br/arquivos/operacao-servicos/relatorio-de-atividades/Relat%C3%B3rio%20Mensal%20de%20Atividades%20Janeiro%202024.pdf</t>
        </is>
      </c>
      <c r="BA12" s="34" t="inlineStr">
        <is>
          <t>rn-80f0d0ebe0bd</t>
        </is>
      </c>
    </row>
    <row r="13">
      <c r="A13" s="31" t="inlineStr">
        <is>
          <t>Brazil</t>
        </is>
      </c>
      <c r="B13" s="31" t="inlineStr">
        <is>
          <t>Brazil</t>
        </is>
      </c>
      <c r="C13" s="32" t="inlineStr">
        <is>
          <t>Barreiros Terminal (Sao Jose / continent) → Miramar Terminal (Florianopolis island)</t>
        </is>
      </c>
      <c r="D13" s="33" t="n">
        <v>4.77</v>
      </c>
      <c r="E13" s="27" t="n">
        <v>20</v>
      </c>
      <c r="F13" s="34" t="n"/>
      <c r="G13" s="34" t="n"/>
      <c r="H13" s="20" t="n">
        <v>1</v>
      </c>
      <c r="I13" s="35">
        <f>60*D13/cruise_kt</f>
        <v/>
      </c>
      <c r="J13" s="35">
        <f>IF(B13="South Korea",D13/korea_charge_range_nm*korea_full_range_charge_min,0)</f>
        <v/>
      </c>
      <c r="K13" s="35">
        <f>IF(B13="South Korea",I13+korea_turn_min+korea_dwell_min+J13,I13+turn_min+dwell_min)</f>
        <v/>
      </c>
      <c r="L13" s="36">
        <f>IF(B13="South Korea",FLOOR(60*korea_service_hr/K13,1),MIN(15,FLOOR(60*service_hr/K13,1)))</f>
        <v/>
      </c>
      <c r="M13" s="36">
        <f>IF(ABS(MOD(ABS((365*mech_uptime*H13)),1)-0.5)&lt;1E-9,2*ROUND((365*mech_uptime*H13)/2,0),ROUND((365*mech_uptime*H13),0))</f>
        <v/>
      </c>
      <c r="N13" s="37">
        <f>mech_uptime</f>
        <v/>
      </c>
      <c r="O13" s="37">
        <f>IF(AND(B13="South Korea",scenario="MID"),korea_mid_revleg,revleg_sel)</f>
        <v/>
      </c>
      <c r="P13" s="36">
        <f>IF(ABS(MOD(ABS((L13*M13*O13)),1)-0.5)&lt;1E-9,2*ROUND((L13*M13*O13)/2,0),ROUND((L13*M13*O13),0))</f>
        <v/>
      </c>
      <c r="Q13" s="37">
        <f>IF(AND(B13="South Korea",scenario="MID"),korea_mid_load,load_sel)</f>
        <v/>
      </c>
      <c r="R13" s="38">
        <f>pax_cap*Q13</f>
        <v/>
      </c>
      <c r="S13" s="36">
        <f>R13*P13</f>
        <v/>
      </c>
      <c r="T13" s="39">
        <f>E13*discount</f>
        <v/>
      </c>
      <c r="U13" s="40">
        <f>T13*S13</f>
        <v/>
      </c>
      <c r="V13" s="40">
        <f>(battery/range_nm)*D13*P13*VLOOKUP(B13,country_opex,3,FALSE)</f>
        <v/>
      </c>
      <c r="W13" s="40">
        <f>VLOOKUP(B13,country_opex,2,FALSE)*crew_factor</f>
        <v/>
      </c>
      <c r="X13" s="40">
        <f>VLOOKUP(B13,country_opex,5,FALSE)</f>
        <v/>
      </c>
      <c r="Y13" s="40">
        <f>maint</f>
        <v/>
      </c>
      <c r="Z13" s="40">
        <f>VLOOKUP(B13,country_opex,7,FALSE)*ins_pct</f>
        <v/>
      </c>
      <c r="AA13" s="40">
        <f>charge_berth</f>
        <v/>
      </c>
      <c r="AB13" s="40">
        <f>V13+W13+X13+Y13+Z13+AA13</f>
        <v/>
      </c>
      <c r="AC13" s="40">
        <f>VLOOKUP(B13,country_opex,7,FALSE)/dep_years</f>
        <v/>
      </c>
      <c r="AD13" s="40">
        <f>U13-AB13</f>
        <v/>
      </c>
      <c r="AE13" s="37">
        <f>IF(U13=0,"",AD13/U13)</f>
        <v/>
      </c>
      <c r="AF13" s="38">
        <f>IF(AD13&lt;=0,"",VLOOKUP(B13,country_opex,7,FALSE)/AD13)</f>
        <v/>
      </c>
      <c r="AG13" s="35">
        <f>((D13*P13/diesel_nmpg)*diesel_co2pg-(battery/range_nm)*D13*P13*VLOOKUP(B13,country_opex,4,FALSE))/1000</f>
        <v/>
      </c>
      <c r="AH13" s="33" t="n">
        <v>3890964</v>
      </c>
      <c r="AI13" s="34" t="inlineStr">
        <is>
          <t>T3</t>
        </is>
      </c>
      <c r="AJ13" s="34" t="inlineStr">
        <is>
          <t>med-low</t>
        </is>
      </c>
      <c r="AK13" s="41" t="n">
        <v>0.1</v>
      </c>
      <c r="AL13" s="36">
        <f>IF(AH13="","",AH13*AK13)</f>
        <v/>
      </c>
      <c r="AM13" s="36">
        <f>IF(OR(AH13="",S13=0),"",MIN(IF(AU13="",9.9E+99,AU13),FLOOR(AL13/S13,1)))</f>
        <v/>
      </c>
      <c r="AN13" s="40">
        <f>IF(AM13="","",AM13*IF(ABS(MOD(ABS((U13)),1)-0.5)&lt;1E-9,2*ROUND((U13)/2,0),ROUND((U13),0)))</f>
        <v/>
      </c>
      <c r="AO13" s="38">
        <f>IF(OR(AH13="",S13=0),"",MIN(IF(AU13="",9.9E+99,AU13),AL13/S13))</f>
        <v/>
      </c>
      <c r="AP13" s="40">
        <f>IF(AO13="","",AO13*IF(B13="South Korea",IF(ABS(MOD(ABS((U13)),1)-0.5)&lt;1E-9,2*ROUND((U13)/2,0),ROUND((U13),0)),U13))</f>
        <v/>
      </c>
      <c r="AQ13" s="42" t="n"/>
      <c r="AR13" s="34" t="inlineStr">
        <is>
          <t>Grounded</t>
        </is>
      </c>
      <c r="AS13" s="43" t="n"/>
      <c r="AT13" s="43" t="n"/>
      <c r="AU13" s="44" t="n"/>
      <c r="AV13" s="45">
        <f>IF(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&lt;=0,"",VLOOKUP(B13,country_opex,7,FALSE)/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)</f>
        <v/>
      </c>
      <c r="AW13" s="45">
        <f>IF(((T13*pax_cap*IF(B13="South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Korea",korea_mid_revleg,revleg_mid)),0))*VLOOKUP(B13,country_opex,3,FALSE))+W13+X13+Y13+Z13+AA13))&lt;=0,"",VLOOKUP(B13,country_opex,7,FALSE)/((T13*pax_cap*IF(B13="South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Korea",korea_mid_revleg,revleg_mid)),0))*VLOOKUP(B13,country_opex,3,FALSE))+W13+X13+Y13+Z13+AA13)))</f>
        <v/>
      </c>
      <c r="AX13" s="45">
        <f>IF(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&lt;=0,"",VLOOKUP(B13,country_opex,7,FALSE)/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)</f>
        <v/>
      </c>
      <c r="AY13" s="46" t="n"/>
      <c r="AZ13" s="46" t="inlineStr">
        <is>
          <t>https://www.sie.sc.gov.br/webdocs/sie/doc-tecnicos/aquaviario/ (EVTE Aquaviario RMF, Relatorio 3 - Componente Demanda; SIE-SC + BID)</t>
        </is>
      </c>
      <c r="BA13" s="34" t="inlineStr">
        <is>
          <t>rn-36dcca92d821</t>
        </is>
      </c>
    </row>
    <row r="14">
      <c r="A14" s="31" t="inlineStr">
        <is>
          <t>Brazil</t>
        </is>
      </c>
      <c r="B14" s="31" t="inlineStr">
        <is>
          <t>Brazil</t>
        </is>
      </c>
      <c r="C14" s="32" t="inlineStr">
        <is>
          <t>Beira Mar Terminal (continent) → Miramar Terminal (Florianopolis island)</t>
        </is>
      </c>
      <c r="D14" s="33" t="n">
        <v>5.15</v>
      </c>
      <c r="E14" s="27" t="n">
        <v>20</v>
      </c>
      <c r="F14" s="34" t="n"/>
      <c r="G14" s="34" t="n"/>
      <c r="H14" s="20" t="n">
        <v>1</v>
      </c>
      <c r="I14" s="35">
        <f>60*D14/cruise_kt</f>
        <v/>
      </c>
      <c r="J14" s="35">
        <f>IF(B14="South Korea",D14/korea_charge_range_nm*korea_full_range_charge_min,0)</f>
        <v/>
      </c>
      <c r="K14" s="35">
        <f>IF(B14="South Korea",I14+korea_turn_min+korea_dwell_min+J14,I14+turn_min+dwell_min)</f>
        <v/>
      </c>
      <c r="L14" s="36">
        <f>IF(B14="South Korea",FLOOR(60*korea_service_hr/K14,1),MIN(15,FLOOR(60*service_hr/K14,1)))</f>
        <v/>
      </c>
      <c r="M14" s="36">
        <f>IF(ABS(MOD(ABS((365*mech_uptime*H14)),1)-0.5)&lt;1E-9,2*ROUND((365*mech_uptime*H14)/2,0),ROUND((365*mech_uptime*H14),0))</f>
        <v/>
      </c>
      <c r="N14" s="37">
        <f>mech_uptime</f>
        <v/>
      </c>
      <c r="O14" s="37">
        <f>IF(AND(B14="South Korea",scenario="MID"),korea_mid_revleg,revleg_sel)</f>
        <v/>
      </c>
      <c r="P14" s="36">
        <f>IF(ABS(MOD(ABS((L14*M14*O14)),1)-0.5)&lt;1E-9,2*ROUND((L14*M14*O14)/2,0),ROUND((L14*M14*O14),0))</f>
        <v/>
      </c>
      <c r="Q14" s="37">
        <f>IF(AND(B14="South Korea",scenario="MID"),korea_mid_load,load_sel)</f>
        <v/>
      </c>
      <c r="R14" s="38">
        <f>pax_cap*Q14</f>
        <v/>
      </c>
      <c r="S14" s="36">
        <f>R14*P14</f>
        <v/>
      </c>
      <c r="T14" s="39">
        <f>E14*discount</f>
        <v/>
      </c>
      <c r="U14" s="40">
        <f>T14*S14</f>
        <v/>
      </c>
      <c r="V14" s="40">
        <f>(battery/range_nm)*D14*P14*VLOOKUP(B14,country_opex,3,FALSE)</f>
        <v/>
      </c>
      <c r="W14" s="40">
        <f>VLOOKUP(B14,country_opex,2,FALSE)*crew_factor</f>
        <v/>
      </c>
      <c r="X14" s="40">
        <f>VLOOKUP(B14,country_opex,5,FALSE)</f>
        <v/>
      </c>
      <c r="Y14" s="40">
        <f>maint</f>
        <v/>
      </c>
      <c r="Z14" s="40">
        <f>VLOOKUP(B14,country_opex,7,FALSE)*ins_pct</f>
        <v/>
      </c>
      <c r="AA14" s="40">
        <f>charge_berth</f>
        <v/>
      </c>
      <c r="AB14" s="40">
        <f>V14+W14+X14+Y14+Z14+AA14</f>
        <v/>
      </c>
      <c r="AC14" s="40">
        <f>VLOOKUP(B14,country_opex,7,FALSE)/dep_years</f>
        <v/>
      </c>
      <c r="AD14" s="40">
        <f>U14-AB14</f>
        <v/>
      </c>
      <c r="AE14" s="37">
        <f>IF(U14=0,"",AD14/U14)</f>
        <v/>
      </c>
      <c r="AF14" s="38">
        <f>IF(AD14&lt;=0,"",VLOOKUP(B14,country_opex,7,FALSE)/AD14)</f>
        <v/>
      </c>
      <c r="AG14" s="35">
        <f>((D14*P14/diesel_nmpg)*diesel_co2pg-(battery/range_nm)*D14*P14*VLOOKUP(B14,country_opex,4,FALSE))/1000</f>
        <v/>
      </c>
      <c r="AH14" s="33" t="n">
        <v>6100556</v>
      </c>
      <c r="AI14" s="34" t="inlineStr">
        <is>
          <t>T3</t>
        </is>
      </c>
      <c r="AJ14" s="34" t="inlineStr">
        <is>
          <t>med-low</t>
        </is>
      </c>
      <c r="AK14" s="41" t="n">
        <v>0.1</v>
      </c>
      <c r="AL14" s="36">
        <f>IF(AH14="","",AH14*AK14)</f>
        <v/>
      </c>
      <c r="AM14" s="36">
        <f>IF(OR(AH14="",S14=0),"",MIN(IF(AU14="",9.9E+99,AU14),FLOOR(AL14/S14,1)))</f>
        <v/>
      </c>
      <c r="AN14" s="40">
        <f>IF(AM14="","",AM14*IF(ABS(MOD(ABS((U14)),1)-0.5)&lt;1E-9,2*ROUND((U14)/2,0),ROUND((U14),0)))</f>
        <v/>
      </c>
      <c r="AO14" s="38">
        <f>IF(OR(AH14="",S14=0),"",MIN(IF(AU14="",9.9E+99,AU14),AL14/S14))</f>
        <v/>
      </c>
      <c r="AP14" s="40">
        <f>IF(AO14="","",AO14*IF(B14="South Korea",IF(ABS(MOD(ABS((U14)),1)-0.5)&lt;1E-9,2*ROUND((U14)/2,0),ROUND((U14),0)),U14))</f>
        <v/>
      </c>
      <c r="AQ14" s="42" t="n"/>
      <c r="AR14" s="34" t="inlineStr">
        <is>
          <t>Grounded</t>
        </is>
      </c>
      <c r="AS14" s="43" t="n"/>
      <c r="AT14" s="43" t="n"/>
      <c r="AU14" s="44" t="n"/>
      <c r="AV14" s="45">
        <f>IF(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&lt;=0,"",VLOOKUP(B14,country_opex,7,FALSE)/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)</f>
        <v/>
      </c>
      <c r="AW14" s="45">
        <f>IF(((T14*pax_cap*IF(B14="South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Korea",korea_mid_revleg,revleg_mid)),0))*VLOOKUP(B14,country_opex,3,FALSE))+W14+X14+Y14+Z14+AA14))&lt;=0,"",VLOOKUP(B14,country_opex,7,FALSE)/((T14*pax_cap*IF(B14="South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Korea",korea_mid_revleg,revleg_mid)),0))*VLOOKUP(B14,country_opex,3,FALSE))+W14+X14+Y14+Z14+AA14)))</f>
        <v/>
      </c>
      <c r="AX14" s="45">
        <f>IF(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&lt;=0,"",VLOOKUP(B14,country_opex,7,FALSE)/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)</f>
        <v/>
      </c>
      <c r="AY14" s="46" t="n"/>
      <c r="AZ14" s="46" t="inlineStr">
        <is>
          <t>https://www.sie.sc.gov.br/webdocs/sie/doc-tecnicos/aquaviario/ (EVTE Aquaviario RMF, Relatorio 3 - Componente Demanda; SIE-SC + BID)</t>
        </is>
      </c>
      <c r="BA14" s="34" t="inlineStr">
        <is>
          <t>rn-7d157e1300da</t>
        </is>
      </c>
    </row>
    <row r="15">
      <c r="A15" s="31" t="inlineStr">
        <is>
          <t>Brazil</t>
        </is>
      </c>
      <c r="B15" s="31" t="inlineStr">
        <is>
          <t>Brazil</t>
        </is>
      </c>
      <c r="C15" s="32" t="inlineStr">
        <is>
          <t>Praça XV Terminal (central Rio) → Cocotá Terminal (Ilha do Governador)</t>
        </is>
      </c>
      <c r="D15" s="33" t="n">
        <v>6</v>
      </c>
      <c r="E15" s="27" t="n">
        <v>28</v>
      </c>
      <c r="F15" s="34" t="inlineStr">
        <is>
          <t>T1/T2</t>
        </is>
      </c>
      <c r="G15" s="34" t="inlineStr">
        <is>
          <t>med-low</t>
        </is>
      </c>
      <c r="H15" s="20" t="n">
        <v>1</v>
      </c>
      <c r="I15" s="35">
        <f>60*D15/cruise_kt</f>
        <v/>
      </c>
      <c r="J15" s="35">
        <f>IF(B15="South Korea",D15/korea_charge_range_nm*korea_full_range_charge_min,0)</f>
        <v/>
      </c>
      <c r="K15" s="35">
        <f>IF(B15="South Korea",I15+korea_turn_min+korea_dwell_min+J15,I15+turn_min+dwell_min)</f>
        <v/>
      </c>
      <c r="L15" s="36">
        <f>IF(B15="South Korea",FLOOR(60*korea_service_hr/K15,1),MIN(15,FLOOR(60*service_hr/K15,1)))</f>
        <v/>
      </c>
      <c r="M15" s="36">
        <f>IF(ABS(MOD(ABS((365*mech_uptime*H15)),1)-0.5)&lt;1E-9,2*ROUND((365*mech_uptime*H15)/2,0),ROUND((365*mech_uptime*H15),0))</f>
        <v/>
      </c>
      <c r="N15" s="37">
        <f>mech_uptime</f>
        <v/>
      </c>
      <c r="O15" s="37">
        <f>IF(AND(B15="South Korea",scenario="MID"),korea_mid_revleg,revleg_sel)</f>
        <v/>
      </c>
      <c r="P15" s="36">
        <f>IF(ABS(MOD(ABS((L15*M15*O15)),1)-0.5)&lt;1E-9,2*ROUND((L15*M15*O15)/2,0),ROUND((L15*M15*O15),0))</f>
        <v/>
      </c>
      <c r="Q15" s="37">
        <f>IF(AND(B15="South Korea",scenario="MID"),korea_mid_load,load_sel)</f>
        <v/>
      </c>
      <c r="R15" s="38">
        <f>pax_cap*Q15</f>
        <v/>
      </c>
      <c r="S15" s="36">
        <f>R15*P15</f>
        <v/>
      </c>
      <c r="T15" s="39">
        <f>E15*discount</f>
        <v/>
      </c>
      <c r="U15" s="40">
        <f>T15*S15</f>
        <v/>
      </c>
      <c r="V15" s="40">
        <f>(battery/range_nm)*D15*P15*VLOOKUP(B15,country_opex,3,FALSE)</f>
        <v/>
      </c>
      <c r="W15" s="40">
        <f>VLOOKUP(B15,country_opex,2,FALSE)*crew_factor</f>
        <v/>
      </c>
      <c r="X15" s="40">
        <f>VLOOKUP(B15,country_opex,5,FALSE)</f>
        <v/>
      </c>
      <c r="Y15" s="40">
        <f>maint</f>
        <v/>
      </c>
      <c r="Z15" s="40">
        <f>VLOOKUP(B15,country_opex,7,FALSE)*ins_pct</f>
        <v/>
      </c>
      <c r="AA15" s="40">
        <f>charge_berth</f>
        <v/>
      </c>
      <c r="AB15" s="40">
        <f>V15+W15+X15+Y15+Z15+AA15</f>
        <v/>
      </c>
      <c r="AC15" s="40">
        <f>VLOOKUP(B15,country_opex,7,FALSE)/dep_years</f>
        <v/>
      </c>
      <c r="AD15" s="40">
        <f>U15-AB15</f>
        <v/>
      </c>
      <c r="AE15" s="37">
        <f>IF(U15=0,"",AD15/U15)</f>
        <v/>
      </c>
      <c r="AF15" s="38">
        <f>IF(AD15&lt;=0,"",VLOOKUP(B15,country_opex,7,FALSE)/AD15)</f>
        <v/>
      </c>
      <c r="AG15" s="35">
        <f>((D15*P15/diesel_nmpg)*diesel_co2pg-(battery/range_nm)*D15*P15*VLOOKUP(B15,country_opex,4,FALSE))/1000</f>
        <v/>
      </c>
      <c r="AH15" s="33" t="n">
        <v>278607</v>
      </c>
      <c r="AI15" s="34" t="inlineStr">
        <is>
          <t>T1</t>
        </is>
      </c>
      <c r="AJ15" s="34" t="inlineStr">
        <is>
          <t>high</t>
        </is>
      </c>
      <c r="AK15" s="41" t="n">
        <v>0.1</v>
      </c>
      <c r="AL15" s="36">
        <f>IF(AH15="","",AH15*AK15)</f>
        <v/>
      </c>
      <c r="AM15" s="36">
        <f>IF(OR(AH15="",S15=0),"",MIN(IF(AU15="",9.9E+99,AU15),FLOOR(AL15/S15,1)))</f>
        <v/>
      </c>
      <c r="AN15" s="40">
        <f>IF(AM15="","",AM15*IF(ABS(MOD(ABS((U15)),1)-0.5)&lt;1E-9,2*ROUND((U15)/2,0),ROUND((U15),0)))</f>
        <v/>
      </c>
      <c r="AO15" s="38">
        <f>IF(OR(AH15="",S15=0),"",MIN(IF(AU15="",9.9E+99,AU15),AL15/S15))</f>
        <v/>
      </c>
      <c r="AP15" s="40">
        <f>IF(AO15="","",AO15*IF(B15="South Korea",IF(ABS(MOD(ABS((U15)),1)-0.5)&lt;1E-9,2*ROUND((U15)/2,0),ROUND((U15),0)),U15))</f>
        <v/>
      </c>
      <c r="AQ15" s="42" t="n"/>
      <c r="AR15" s="34" t="inlineStr">
        <is>
          <t>Grounded</t>
        </is>
      </c>
      <c r="AS15" s="43" t="n"/>
      <c r="AT15" s="43" t="n"/>
      <c r="AU15" s="44" t="n"/>
      <c r="AV15" s="45">
        <f>IF(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&lt;=0,"",VLOOKUP(B15,country_opex,7,FALSE)/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)</f>
        <v/>
      </c>
      <c r="AW15" s="45">
        <f>IF(((T15*pax_cap*IF(B15="South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Korea",korea_mid_revleg,revleg_mid)),0))*VLOOKUP(B15,country_opex,3,FALSE))+W15+X15+Y15+Z15+AA15))&lt;=0,"",VLOOKUP(B15,country_opex,7,FALSE)/((T15*pax_cap*IF(B15="South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Korea",korea_mid_revleg,revleg_mid)),0))*VLOOKUP(B15,country_opex,3,FALSE))+W15+X15+Y15+Z15+AA15)))</f>
        <v/>
      </c>
      <c r="AX15" s="45">
        <f>IF(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&lt;=0,"",VLOOKUP(B15,country_opex,7,FALSE)/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)</f>
        <v/>
      </c>
      <c r="AY15" s="46" t="inlineStr">
        <is>
          <t>https://barcasrio.com.br/linhas-horarios-e-tarifas/</t>
        </is>
      </c>
      <c r="AZ15" s="46" t="inlineStr">
        <is>
          <t>https://www2.agetransp.rj.gov.br/arquivos/operacao-servicos/relatorio-de-atividades/Relat%C3%B3rio%20Mensal%20de%20Atividades%20Janeiro%202024.pdf</t>
        </is>
      </c>
      <c r="BA15" s="34" t="inlineStr">
        <is>
          <t>rn-369ef0eb69d9</t>
        </is>
      </c>
    </row>
    <row r="16">
      <c r="A16" s="31" t="inlineStr">
        <is>
          <t>Brazil</t>
        </is>
      </c>
      <c r="B16" s="31" t="inlineStr">
        <is>
          <t>Brazil</t>
        </is>
      </c>
      <c r="C16" s="32" t="inlineStr">
        <is>
          <t>Terminal São Joaquim (Salvador ferry-boat) → Terminal Marítimo de Bom Despacho (Itaparica)</t>
        </is>
      </c>
      <c r="D16" s="33" t="n">
        <v>6.31</v>
      </c>
      <c r="E16" s="27" t="n">
        <v>15</v>
      </c>
      <c r="F16" s="34" t="inlineStr">
        <is>
          <t>T1</t>
        </is>
      </c>
      <c r="G16" s="34" t="inlineStr">
        <is>
          <t>high</t>
        </is>
      </c>
      <c r="H16" s="20" t="n">
        <v>1</v>
      </c>
      <c r="I16" s="35">
        <f>60*D16/cruise_kt</f>
        <v/>
      </c>
      <c r="J16" s="35">
        <f>IF(B16="South Korea",D16/korea_charge_range_nm*korea_full_range_charge_min,0)</f>
        <v/>
      </c>
      <c r="K16" s="35">
        <f>IF(B16="South Korea",I16+korea_turn_min+korea_dwell_min+J16,I16+turn_min+dwell_min)</f>
        <v/>
      </c>
      <c r="L16" s="36">
        <f>IF(B16="South Korea",FLOOR(60*korea_service_hr/K16,1),MIN(15,FLOOR(60*service_hr/K16,1)))</f>
        <v/>
      </c>
      <c r="M16" s="36">
        <f>IF(ABS(MOD(ABS((365*mech_uptime*H16)),1)-0.5)&lt;1E-9,2*ROUND((365*mech_uptime*H16)/2,0),ROUND((365*mech_uptime*H16),0))</f>
        <v/>
      </c>
      <c r="N16" s="37">
        <f>mech_uptime</f>
        <v/>
      </c>
      <c r="O16" s="37">
        <f>IF(AND(B16="South Korea",scenario="MID"),korea_mid_revleg,revleg_sel)</f>
        <v/>
      </c>
      <c r="P16" s="36">
        <f>IF(ABS(MOD(ABS((L16*M16*O16)),1)-0.5)&lt;1E-9,2*ROUND((L16*M16*O16)/2,0),ROUND((L16*M16*O16),0))</f>
        <v/>
      </c>
      <c r="Q16" s="37">
        <f>IF(AND(B16="South Korea",scenario="MID"),korea_mid_load,load_sel)</f>
        <v/>
      </c>
      <c r="R16" s="38">
        <f>pax_cap*Q16</f>
        <v/>
      </c>
      <c r="S16" s="36">
        <f>R16*P16</f>
        <v/>
      </c>
      <c r="T16" s="39">
        <f>E16*discount</f>
        <v/>
      </c>
      <c r="U16" s="40">
        <f>T16*S16</f>
        <v/>
      </c>
      <c r="V16" s="40">
        <f>(battery/range_nm)*D16*P16*VLOOKUP(B16,country_opex,3,FALSE)</f>
        <v/>
      </c>
      <c r="W16" s="40">
        <f>VLOOKUP(B16,country_opex,2,FALSE)*crew_factor</f>
        <v/>
      </c>
      <c r="X16" s="40">
        <f>VLOOKUP(B16,country_opex,5,FALSE)</f>
        <v/>
      </c>
      <c r="Y16" s="40">
        <f>maint</f>
        <v/>
      </c>
      <c r="Z16" s="40">
        <f>VLOOKUP(B16,country_opex,7,FALSE)*ins_pct</f>
        <v/>
      </c>
      <c r="AA16" s="40">
        <f>charge_berth</f>
        <v/>
      </c>
      <c r="AB16" s="40">
        <f>V16+W16+X16+Y16+Z16+AA16</f>
        <v/>
      </c>
      <c r="AC16" s="40">
        <f>VLOOKUP(B16,country_opex,7,FALSE)/dep_years</f>
        <v/>
      </c>
      <c r="AD16" s="40">
        <f>U16-AB16</f>
        <v/>
      </c>
      <c r="AE16" s="37">
        <f>IF(U16=0,"",AD16/U16)</f>
        <v/>
      </c>
      <c r="AF16" s="38">
        <f>IF(AD16&lt;=0,"",VLOOKUP(B16,country_opex,7,FALSE)/AD16)</f>
        <v/>
      </c>
      <c r="AG16" s="35">
        <f>((D16*P16/diesel_nmpg)*diesel_co2pg-(battery/range_nm)*D16*P16*VLOOKUP(B16,country_opex,4,FALSE))/1000</f>
        <v/>
      </c>
      <c r="AH16" s="33" t="n">
        <v>7490000</v>
      </c>
      <c r="AI16" s="34" t="inlineStr">
        <is>
          <t>T1/T2</t>
        </is>
      </c>
      <c r="AJ16" s="34" t="inlineStr">
        <is>
          <t>high</t>
        </is>
      </c>
      <c r="AK16" s="41" t="n">
        <v>0.1</v>
      </c>
      <c r="AL16" s="36">
        <f>IF(AH16="","",AH16*AK16)</f>
        <v/>
      </c>
      <c r="AM16" s="36">
        <f>IF(OR(AH16="",S16=0),"",MIN(IF(AU16="",9.9E+99,AU16),FLOOR(AL16/S16,1)))</f>
        <v/>
      </c>
      <c r="AN16" s="40">
        <f>IF(AM16="","",AM16*IF(ABS(MOD(ABS((U16)),1)-0.5)&lt;1E-9,2*ROUND((U16)/2,0),ROUND((U16),0)))</f>
        <v/>
      </c>
      <c r="AO16" s="38">
        <f>IF(OR(AH16="",S16=0),"",MIN(IF(AU16="",9.9E+99,AU16),AL16/S16))</f>
        <v/>
      </c>
      <c r="AP16" s="40">
        <f>IF(AO16="","",AO16*IF(B16="South Korea",IF(ABS(MOD(ABS((U16)),1)-0.5)&lt;1E-9,2*ROUND((U16)/2,0),ROUND((U16),0)),U16))</f>
        <v/>
      </c>
      <c r="AQ16" s="42" t="n"/>
      <c r="AR16" s="34" t="inlineStr">
        <is>
          <t>Grounded</t>
        </is>
      </c>
      <c r="AS16" s="43" t="n"/>
      <c r="AT16" s="43" t="n"/>
      <c r="AU16" s="44" t="n"/>
      <c r="AV16" s="45">
        <f>IF(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&lt;=0,"",VLOOKUP(B16,country_opex,7,FALSE)/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)</f>
        <v/>
      </c>
      <c r="AW16" s="45">
        <f>IF(((T16*pax_cap*IF(B16="South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Korea",korea_mid_revleg,revleg_mid)),0))*VLOOKUP(B16,country_opex,3,FALSE))+W16+X16+Y16+Z16+AA16))&lt;=0,"",VLOOKUP(B16,country_opex,7,FALSE)/((T16*pax_cap*IF(B16="South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Korea",korea_mid_revleg,revleg_mid)),0))*VLOOKUP(B16,country_opex,3,FALSE))+W16+X16+Y16+Z16+AA16)))</f>
        <v/>
      </c>
      <c r="AX16" s="45">
        <f>IF(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&lt;=0,"",VLOOKUP(B16,country_opex,7,FALSE)/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)</f>
        <v/>
      </c>
      <c r="AY16" s="46" t="inlineStr">
        <is>
          <t>AGERBA Resolução Nº 11 (2026-03-03) tariff table, in force 2026-03-06</t>
        </is>
      </c>
      <c r="AZ16" s="46" t="inlineStr">
        <is>
          <t>Ministério do Turismo figures released at the Salvador–Itaparica bridge groundbreaking (2026-07-01), via Diário do Turismo 2026-07-03; Jan–May 2026 = 3.42M (~8.2M annualized run-rate) corroborates.</t>
        </is>
      </c>
      <c r="BA16" s="34" t="inlineStr">
        <is>
          <t>rn-4aa1660ff921</t>
        </is>
      </c>
    </row>
    <row r="17">
      <c r="A17" s="31" t="inlineStr">
        <is>
          <t>Brazil</t>
        </is>
      </c>
      <c r="B17" s="31" t="inlineStr">
        <is>
          <t>Brazil</t>
        </is>
      </c>
      <c r="C17" s="32" t="inlineStr">
        <is>
          <t>Praça XV Terminal (central Rio) → Paquetá Island Terminal</t>
        </is>
      </c>
      <c r="D17" s="33" t="n">
        <v>9.199999999999999</v>
      </c>
      <c r="E17" s="27" t="n">
        <v>28</v>
      </c>
      <c r="F17" s="34" t="inlineStr">
        <is>
          <t>T1/T2</t>
        </is>
      </c>
      <c r="G17" s="34" t="inlineStr">
        <is>
          <t>med-low</t>
        </is>
      </c>
      <c r="H17" s="20" t="n">
        <v>1</v>
      </c>
      <c r="I17" s="35">
        <f>60*D17/cruise_kt</f>
        <v/>
      </c>
      <c r="J17" s="35">
        <f>IF(B17="South Korea",D17/korea_charge_range_nm*korea_full_range_charge_min,0)</f>
        <v/>
      </c>
      <c r="K17" s="35">
        <f>IF(B17="South Korea",I17+korea_turn_min+korea_dwell_min+J17,I17+turn_min+dwell_min)</f>
        <v/>
      </c>
      <c r="L17" s="36">
        <f>IF(B17="South Korea",FLOOR(60*korea_service_hr/K17,1),MIN(15,FLOOR(60*service_hr/K17,1)))</f>
        <v/>
      </c>
      <c r="M17" s="36">
        <f>IF(ABS(MOD(ABS((365*mech_uptime*H17)),1)-0.5)&lt;1E-9,2*ROUND((365*mech_uptime*H17)/2,0),ROUND((365*mech_uptime*H17),0))</f>
        <v/>
      </c>
      <c r="N17" s="37">
        <f>mech_uptime</f>
        <v/>
      </c>
      <c r="O17" s="37">
        <f>IF(AND(B17="South Korea",scenario="MID"),korea_mid_revleg,revleg_sel)</f>
        <v/>
      </c>
      <c r="P17" s="36">
        <f>IF(ABS(MOD(ABS((L17*M17*O17)),1)-0.5)&lt;1E-9,2*ROUND((L17*M17*O17)/2,0),ROUND((L17*M17*O17),0))</f>
        <v/>
      </c>
      <c r="Q17" s="37">
        <f>IF(AND(B17="South Korea",scenario="MID"),korea_mid_load,load_sel)</f>
        <v/>
      </c>
      <c r="R17" s="38">
        <f>pax_cap*Q17</f>
        <v/>
      </c>
      <c r="S17" s="36">
        <f>R17*P17</f>
        <v/>
      </c>
      <c r="T17" s="39">
        <f>E17*discount</f>
        <v/>
      </c>
      <c r="U17" s="40">
        <f>T17*S17</f>
        <v/>
      </c>
      <c r="V17" s="40">
        <f>(battery/range_nm)*D17*P17*VLOOKUP(B17,country_opex,3,FALSE)</f>
        <v/>
      </c>
      <c r="W17" s="40">
        <f>VLOOKUP(B17,country_opex,2,FALSE)*crew_factor</f>
        <v/>
      </c>
      <c r="X17" s="40">
        <f>VLOOKUP(B17,country_opex,5,FALSE)</f>
        <v/>
      </c>
      <c r="Y17" s="40">
        <f>maint</f>
        <v/>
      </c>
      <c r="Z17" s="40">
        <f>VLOOKUP(B17,country_opex,7,FALSE)*ins_pct</f>
        <v/>
      </c>
      <c r="AA17" s="40">
        <f>charge_berth</f>
        <v/>
      </c>
      <c r="AB17" s="40">
        <f>V17+W17+X17+Y17+Z17+AA17</f>
        <v/>
      </c>
      <c r="AC17" s="40">
        <f>VLOOKUP(B17,country_opex,7,FALSE)/dep_years</f>
        <v/>
      </c>
      <c r="AD17" s="40">
        <f>U17-AB17</f>
        <v/>
      </c>
      <c r="AE17" s="37">
        <f>IF(U17=0,"",AD17/U17)</f>
        <v/>
      </c>
      <c r="AF17" s="38">
        <f>IF(AD17&lt;=0,"",VLOOKUP(B17,country_opex,7,FALSE)/AD17)</f>
        <v/>
      </c>
      <c r="AG17" s="35">
        <f>((D17*P17/diesel_nmpg)*diesel_co2pg-(battery/range_nm)*D17*P17*VLOOKUP(B17,country_opex,4,FALSE))/1000</f>
        <v/>
      </c>
      <c r="AH17" s="33" t="n">
        <v>1170652</v>
      </c>
      <c r="AI17" s="34" t="inlineStr">
        <is>
          <t>T1</t>
        </is>
      </c>
      <c r="AJ17" s="34" t="inlineStr">
        <is>
          <t>high</t>
        </is>
      </c>
      <c r="AK17" s="41" t="n">
        <v>0.1</v>
      </c>
      <c r="AL17" s="36">
        <f>IF(AH17="","",AH17*AK17)</f>
        <v/>
      </c>
      <c r="AM17" s="36">
        <f>IF(OR(AH17="",S17=0),"",MIN(IF(AU17="",9.9E+99,AU17),FLOOR(AL17/S17,1)))</f>
        <v/>
      </c>
      <c r="AN17" s="40">
        <f>IF(AM17="","",AM17*IF(ABS(MOD(ABS((U17)),1)-0.5)&lt;1E-9,2*ROUND((U17)/2,0),ROUND((U17),0)))</f>
        <v/>
      </c>
      <c r="AO17" s="38">
        <f>IF(OR(AH17="",S17=0),"",MIN(IF(AU17="",9.9E+99,AU17),AL17/S17))</f>
        <v/>
      </c>
      <c r="AP17" s="40">
        <f>IF(AO17="","",AO17*IF(B17="South Korea",IF(ABS(MOD(ABS((U17)),1)-0.5)&lt;1E-9,2*ROUND((U17)/2,0),ROUND((U17),0)),U17))</f>
        <v/>
      </c>
      <c r="AQ17" s="42" t="n"/>
      <c r="AR17" s="34" t="inlineStr">
        <is>
          <t>Grounded</t>
        </is>
      </c>
      <c r="AS17" s="43" t="n"/>
      <c r="AT17" s="43" t="n"/>
      <c r="AU17" s="44" t="n"/>
      <c r="AV17" s="45">
        <f>IF(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&lt;=0,"",VLOOKUP(B17,country_opex,7,FALSE)/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)</f>
        <v/>
      </c>
      <c r="AW17" s="45">
        <f>IF(((T17*pax_cap*IF(B17="South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Korea",korea_mid_revleg,revleg_mid)),0))*VLOOKUP(B17,country_opex,3,FALSE))+W17+X17+Y17+Z17+AA17))&lt;=0,"",VLOOKUP(B17,country_opex,7,FALSE)/((T17*pax_cap*IF(B17="South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Korea",korea_mid_revleg,revleg_mid)),0))*VLOOKUP(B17,country_opex,3,FALSE))+W17+X17+Y17+Z17+AA17)))</f>
        <v/>
      </c>
      <c r="AX17" s="45">
        <f>IF(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&lt;=0,"",VLOOKUP(B17,country_opex,7,FALSE)/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)</f>
        <v/>
      </c>
      <c r="AY17" s="46" t="inlineStr">
        <is>
          <t>https://barcasrio.com.br/linhas-horarios-e-tarifas/</t>
        </is>
      </c>
      <c r="AZ17" s="46" t="inlineStr">
        <is>
          <t>https://www2.agetransp.rj.gov.br/arquivos/operacao-servicos/relatorio-de-atividades/Relat%C3%B3rio%20Mensal%20de%20Atividades%20Janeiro%202024.pdf</t>
        </is>
      </c>
      <c r="BA17" s="34" t="inlineStr">
        <is>
          <t>rn-00bb6ded4be5</t>
        </is>
      </c>
    </row>
    <row r="18">
      <c r="A18" s="31" t="inlineStr">
        <is>
          <t>Brazil</t>
        </is>
      </c>
      <c r="B18" s="31" t="inlineStr">
        <is>
          <t>Brazil</t>
        </is>
      </c>
      <c r="C18" s="32" t="inlineStr">
        <is>
          <t>Angra dos Reis Terminal (Costa Verde) → Abraão Terminal (Ilha Grande)</t>
        </is>
      </c>
      <c r="D18" s="33" t="n">
        <v>13</v>
      </c>
      <c r="E18" s="27" t="n">
        <v>30</v>
      </c>
      <c r="F18" s="34" t="inlineStr">
        <is>
          <t>T1</t>
        </is>
      </c>
      <c r="G18" s="34" t="inlineStr">
        <is>
          <t>high</t>
        </is>
      </c>
      <c r="H18" s="20" t="n">
        <v>1</v>
      </c>
      <c r="I18" s="35">
        <f>60*D18/cruise_kt</f>
        <v/>
      </c>
      <c r="J18" s="35">
        <f>IF(B18="South Korea",D18/korea_charge_range_nm*korea_full_range_charge_min,0)</f>
        <v/>
      </c>
      <c r="K18" s="35">
        <f>IF(B18="South Korea",I18+korea_turn_min+korea_dwell_min+J18,I18+turn_min+dwell_min)</f>
        <v/>
      </c>
      <c r="L18" s="36">
        <f>IF(B18="South Korea",FLOOR(60*korea_service_hr/K18,1),MIN(15,FLOOR(60*service_hr/K18,1)))</f>
        <v/>
      </c>
      <c r="M18" s="36">
        <f>IF(ABS(MOD(ABS((365*mech_uptime*H18)),1)-0.5)&lt;1E-9,2*ROUND((365*mech_uptime*H18)/2,0),ROUND((365*mech_uptime*H18),0))</f>
        <v/>
      </c>
      <c r="N18" s="37">
        <f>mech_uptime</f>
        <v/>
      </c>
      <c r="O18" s="37">
        <f>IF(AND(B18="South Korea",scenario="MID"),korea_mid_revleg,revleg_sel)</f>
        <v/>
      </c>
      <c r="P18" s="36">
        <f>IF(ABS(MOD(ABS((L18*M18*O18)),1)-0.5)&lt;1E-9,2*ROUND((L18*M18*O18)/2,0),ROUND((L18*M18*O18),0))</f>
        <v/>
      </c>
      <c r="Q18" s="37">
        <f>IF(AND(B18="South Korea",scenario="MID"),korea_mid_load,load_sel)</f>
        <v/>
      </c>
      <c r="R18" s="38">
        <f>pax_cap*Q18</f>
        <v/>
      </c>
      <c r="S18" s="36">
        <f>R18*P18</f>
        <v/>
      </c>
      <c r="T18" s="39">
        <f>E18*discount</f>
        <v/>
      </c>
      <c r="U18" s="40">
        <f>T18*S18</f>
        <v/>
      </c>
      <c r="V18" s="40">
        <f>(battery/range_nm)*D18*P18*VLOOKUP(B18,country_opex,3,FALSE)</f>
        <v/>
      </c>
      <c r="W18" s="40">
        <f>VLOOKUP(B18,country_opex,2,FALSE)*crew_factor</f>
        <v/>
      </c>
      <c r="X18" s="40">
        <f>VLOOKUP(B18,country_opex,5,FALSE)</f>
        <v/>
      </c>
      <c r="Y18" s="40">
        <f>maint</f>
        <v/>
      </c>
      <c r="Z18" s="40">
        <f>VLOOKUP(B18,country_opex,7,FALSE)*ins_pct</f>
        <v/>
      </c>
      <c r="AA18" s="40">
        <f>charge_berth</f>
        <v/>
      </c>
      <c r="AB18" s="40">
        <f>V18+W18+X18+Y18+Z18+AA18</f>
        <v/>
      </c>
      <c r="AC18" s="40">
        <f>VLOOKUP(B18,country_opex,7,FALSE)/dep_years</f>
        <v/>
      </c>
      <c r="AD18" s="40">
        <f>U18-AB18</f>
        <v/>
      </c>
      <c r="AE18" s="37">
        <f>IF(U18=0,"",AD18/U18)</f>
        <v/>
      </c>
      <c r="AF18" s="38">
        <f>IF(AD18&lt;=0,"",VLOOKUP(B18,country_opex,7,FALSE)/AD18)</f>
        <v/>
      </c>
      <c r="AG18" s="35">
        <f>((D18*P18/diesel_nmpg)*diesel_co2pg-(battery/range_nm)*D18*P18*VLOOKUP(B18,country_opex,4,FALSE))/1000</f>
        <v/>
      </c>
      <c r="AH18" s="33" t="n">
        <v>207993</v>
      </c>
      <c r="AI18" s="34" t="inlineStr">
        <is>
          <t>T1</t>
        </is>
      </c>
      <c r="AJ18" s="34" t="inlineStr">
        <is>
          <t>high</t>
        </is>
      </c>
      <c r="AK18" s="41" t="n">
        <v>0.1</v>
      </c>
      <c r="AL18" s="36">
        <f>IF(AH18="","",AH18*AK18)</f>
        <v/>
      </c>
      <c r="AM18" s="36">
        <f>IF(OR(AH18="",S18=0),"",MIN(IF(AU18="",9.9E+99,AU18),FLOOR(AL18/S18,1)))</f>
        <v/>
      </c>
      <c r="AN18" s="40">
        <f>IF(AM18="","",AM18*IF(ABS(MOD(ABS((U18)),1)-0.5)&lt;1E-9,2*ROUND((U18)/2,0),ROUND((U18),0)))</f>
        <v/>
      </c>
      <c r="AO18" s="38">
        <f>IF(OR(AH18="",S18=0),"",MIN(IF(AU18="",9.9E+99,AU18),AL18/S18))</f>
        <v/>
      </c>
      <c r="AP18" s="40">
        <f>IF(AO18="","",AO18*IF(B18="South Korea",IF(ABS(MOD(ABS((U18)),1)-0.5)&lt;1E-9,2*ROUND((U18)/2,0),ROUND((U18),0)),U18))</f>
        <v/>
      </c>
      <c r="AQ18" s="42" t="n"/>
      <c r="AR18" s="34" t="inlineStr">
        <is>
          <t>Grounded</t>
        </is>
      </c>
      <c r="AS18" s="43" t="n"/>
      <c r="AT18" s="43" t="n"/>
      <c r="AU18" s="44" t="n"/>
      <c r="AV18" s="45">
        <f>IF(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&lt;=0,"",VLOOKUP(B18,country_opex,7,FALSE)/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)</f>
        <v/>
      </c>
      <c r="AW18" s="45">
        <f>IF(((T18*pax_cap*IF(B18="South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Korea",korea_mid_revleg,revleg_mid)),0))*VLOOKUP(B18,country_opex,3,FALSE))+W18+X18+Y18+Z18+AA18))&lt;=0,"",VLOOKUP(B18,country_opex,7,FALSE)/((T18*pax_cap*IF(B18="South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Korea",korea_mid_revleg,revleg_mid)),0))*VLOOKUP(B18,country_opex,3,FALSE))+W18+X18+Y18+Z18+AA18)))</f>
        <v/>
      </c>
      <c r="AX18" s="45">
        <f>IF(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&lt;=0,"",VLOOKUP(B18,country_opex,7,FALSE)/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)</f>
        <v/>
      </c>
      <c r="AY18" s="46" t="inlineStr">
        <is>
          <t>AGETRANSP / CCR Barcas Costa Verde published tariff</t>
        </is>
      </c>
      <c r="AZ18" s="46" t="inlineStr">
        <is>
          <t>https://www2.agetransp.rj.gov.br/arquivos/operacao-servicos/relatorio-de-atividades/Relat%C3%B3rio%20Mensal%20de%20Atividades%20Janeiro%202024.pdf</t>
        </is>
      </c>
      <c r="BA18" s="34" t="inlineStr">
        <is>
          <t>rn-7ec802385553</t>
        </is>
      </c>
    </row>
    <row r="19">
      <c r="A19" s="31" t="inlineStr">
        <is>
          <t>Brazil</t>
        </is>
      </c>
      <c r="B19" s="31" t="inlineStr">
        <is>
          <t>Brazil</t>
        </is>
      </c>
      <c r="C19" s="32" t="inlineStr">
        <is>
          <t>Terminal Turístico Náutico da Bahia (Comércio) → Terminal Hidroviário de Morro de São Paulo (Cairu)</t>
        </is>
      </c>
      <c r="D19" s="33" t="n">
        <v>33.89</v>
      </c>
      <c r="E19" s="27" t="n">
        <v>30</v>
      </c>
      <c r="F19" s="34" t="n"/>
      <c r="G19" s="34" t="n"/>
      <c r="H19" s="20" t="n">
        <v>1</v>
      </c>
      <c r="I19" s="35">
        <f>60*D19/cruise_kt</f>
        <v/>
      </c>
      <c r="J19" s="35">
        <f>IF(B19="South Korea",D19/korea_charge_range_nm*korea_full_range_charge_min,0)</f>
        <v/>
      </c>
      <c r="K19" s="35">
        <f>IF(B19="South Korea",I19+korea_turn_min+korea_dwell_min+J19,I19+turn_min+dwell_min)</f>
        <v/>
      </c>
      <c r="L19" s="36">
        <f>IF(B19="South Korea",FLOOR(60*korea_service_hr/K19,1),MIN(15,FLOOR(60*service_hr/K19,1)))</f>
        <v/>
      </c>
      <c r="M19" s="36">
        <f>IF(ABS(MOD(ABS((365*mech_uptime*H19)),1)-0.5)&lt;1E-9,2*ROUND((365*mech_uptime*H19)/2,0),ROUND((365*mech_uptime*H19),0))</f>
        <v/>
      </c>
      <c r="N19" s="37">
        <f>mech_uptime</f>
        <v/>
      </c>
      <c r="O19" s="37">
        <f>IF(AND(B19="South Korea",scenario="MID"),korea_mid_revleg,revleg_sel)</f>
        <v/>
      </c>
      <c r="P19" s="36">
        <f>IF(ABS(MOD(ABS((L19*M19*O19)),1)-0.5)&lt;1E-9,2*ROUND((L19*M19*O19)/2,0),ROUND((L19*M19*O19),0))</f>
        <v/>
      </c>
      <c r="Q19" s="37">
        <f>IF(AND(B19="South Korea",scenario="MID"),korea_mid_load,load_sel)</f>
        <v/>
      </c>
      <c r="R19" s="38">
        <f>pax_cap*Q19</f>
        <v/>
      </c>
      <c r="S19" s="36">
        <f>R19*P19</f>
        <v/>
      </c>
      <c r="T19" s="39">
        <f>E19*discount</f>
        <v/>
      </c>
      <c r="U19" s="40">
        <f>T19*S19</f>
        <v/>
      </c>
      <c r="V19" s="40">
        <f>(battery/range_nm)*D19*P19*VLOOKUP(B19,country_opex,3,FALSE)</f>
        <v/>
      </c>
      <c r="W19" s="40">
        <f>VLOOKUP(B19,country_opex,2,FALSE)*crew_factor</f>
        <v/>
      </c>
      <c r="X19" s="40">
        <f>VLOOKUP(B19,country_opex,5,FALSE)</f>
        <v/>
      </c>
      <c r="Y19" s="40">
        <f>maint</f>
        <v/>
      </c>
      <c r="Z19" s="40">
        <f>VLOOKUP(B19,country_opex,7,FALSE)*ins_pct</f>
        <v/>
      </c>
      <c r="AA19" s="40">
        <f>charge_berth</f>
        <v/>
      </c>
      <c r="AB19" s="40">
        <f>V19+W19+X19+Y19+Z19+AA19</f>
        <v/>
      </c>
      <c r="AC19" s="40">
        <f>VLOOKUP(B19,country_opex,7,FALSE)/dep_years</f>
        <v/>
      </c>
      <c r="AD19" s="40">
        <f>U19-AB19</f>
        <v/>
      </c>
      <c r="AE19" s="37">
        <f>IF(U19=0,"",AD19/U19)</f>
        <v/>
      </c>
      <c r="AF19" s="38">
        <f>IF(AD19&lt;=0,"",VLOOKUP(B19,country_opex,7,FALSE)/AD19)</f>
        <v/>
      </c>
      <c r="AG19" s="35">
        <f>((D19*P19/diesel_nmpg)*diesel_co2pg-(battery/range_nm)*D19*P19*VLOOKUP(B19,country_opex,4,FALSE))/1000</f>
        <v/>
      </c>
      <c r="AH19" s="33" t="n"/>
      <c r="AI19" s="34" t="n"/>
      <c r="AJ19" s="34" t="n"/>
      <c r="AK19" s="41" t="n">
        <v>0.1</v>
      </c>
      <c r="AL19" s="36">
        <f>IF(AH19="","",AH19*AK19)</f>
        <v/>
      </c>
      <c r="AM19" s="36">
        <f>IF(OR(AH19="",S19=0),"",MIN(IF(AU19="",9.9E+99,AU19),FLOOR(AL19/S19,1)))</f>
        <v/>
      </c>
      <c r="AN19" s="40">
        <f>IF(AM19="","",AM19*IF(ABS(MOD(ABS((U19)),1)-0.5)&lt;1E-9,2*ROUND((U19)/2,0),ROUND((U19),0)))</f>
        <v/>
      </c>
      <c r="AO19" s="38">
        <f>IF(OR(AH19="",S19=0),"",MIN(IF(AU19="",9.9E+99,AU19),AL19/S19))</f>
        <v/>
      </c>
      <c r="AP19" s="40">
        <f>IF(AO19="","",AO19*IF(B19="South Korea",IF(ABS(MOD(ABS((U19)),1)-0.5)&lt;1E-9,2*ROUND((U19)/2,0),ROUND((U19),0)),U19))</f>
        <v/>
      </c>
      <c r="AQ19" s="42" t="n"/>
      <c r="AR19" s="34" t="inlineStr">
        <is>
          <t>Estimated</t>
        </is>
      </c>
      <c r="AS19" s="43" t="n"/>
      <c r="AT19" s="43" t="n"/>
      <c r="AU19" s="44" t="n"/>
      <c r="AV19" s="45">
        <f>IF(((T19*pax_cap*load_thin*IF(ABS(MOD(ABS((L19*M19*revleg_thin)),1)-0.5)&lt;1E-9,2*ROUND((L19*M19*revleg_thin)/2,0),ROUND((L19*M19*revleg_thin),0)))-(((battery/range_nm)*D19*IF(ABS(MOD(ABS((L19*M19*revleg_thin)),1)-0.5)&lt;1E-9,2*ROUND((L19*M19*revleg_thin)/2,0),ROUND((L19*M19*revleg_thin),0))*VLOOKUP(B19,country_opex,3,FALSE))+W19+X19+Y19+Z19+AA19))&lt;=0,"",VLOOKUP(B19,country_opex,7,FALSE)/((T19*pax_cap*load_thin*IF(ABS(MOD(ABS((L19*M19*revleg_thin)),1)-0.5)&lt;1E-9,2*ROUND((L19*M19*revleg_thin)/2,0),ROUND((L19*M19*revleg_thin),0)))-(((battery/range_nm)*D19*IF(ABS(MOD(ABS((L19*M19*revleg_thin)),1)-0.5)&lt;1E-9,2*ROUND((L19*M19*revleg_thin)/2,0),ROUND((L19*M19*revleg_thin),0))*VLOOKUP(B19,country_opex,3,FALSE))+W19+X19+Y19+Z19+AA19)))</f>
        <v/>
      </c>
      <c r="AW19" s="45">
        <f>IF(((T19*pax_cap*IF(B19="South Korea",korea_mid_load,load_mid)*IF(ABS(MOD(ABS((L19*M19*IF(B19="South Korea",korea_mid_revleg,revleg_mid))),1)-0.5)&lt;1E-9,2*ROUND((L19*M19*IF(B19="South Korea",korea_mid_revleg,revleg_mid))/2,0),ROUND((L19*M19*IF(B19="South Korea",korea_mid_revleg,revleg_mid)),0)))-(((battery/range_nm)*D19*IF(ABS(MOD(ABS((L19*M19*IF(B19="South Korea",korea_mid_revleg,revleg_mid))),1)-0.5)&lt;1E-9,2*ROUND((L19*M19*IF(B19="South Korea",korea_mid_revleg,revleg_mid))/2,0),ROUND((L19*M19*IF(B19="South Korea",korea_mid_revleg,revleg_mid)),0))*VLOOKUP(B19,country_opex,3,FALSE))+W19+X19+Y19+Z19+AA19))&lt;=0,"",VLOOKUP(B19,country_opex,7,FALSE)/((T19*pax_cap*IF(B19="South Korea",korea_mid_load,load_mid)*IF(ABS(MOD(ABS((L19*M19*IF(B19="South Korea",korea_mid_revleg,revleg_mid))),1)-0.5)&lt;1E-9,2*ROUND((L19*M19*IF(B19="South Korea",korea_mid_revleg,revleg_mid))/2,0),ROUND((L19*M19*IF(B19="South Korea",korea_mid_revleg,revleg_mid)),0)))-(((battery/range_nm)*D19*IF(ABS(MOD(ABS((L19*M19*IF(B19="South Korea",korea_mid_revleg,revleg_mid))),1)-0.5)&lt;1E-9,2*ROUND((L19*M19*IF(B19="South Korea",korea_mid_revleg,revleg_mid))/2,0),ROUND((L19*M19*IF(B19="South Korea",korea_mid_revleg,revleg_mid)),0))*VLOOKUP(B19,country_opex,3,FALSE))+W19+X19+Y19+Z19+AA19)))</f>
        <v/>
      </c>
      <c r="AX19" s="45">
        <f>IF(((T19*pax_cap*load_full*IF(ABS(MOD(ABS((L19*M19*revleg_full)),1)-0.5)&lt;1E-9,2*ROUND((L19*M19*revleg_full)/2,0),ROUND((L19*M19*revleg_full),0)))-(((battery/range_nm)*D19*IF(ABS(MOD(ABS((L19*M19*revleg_full)),1)-0.5)&lt;1E-9,2*ROUND((L19*M19*revleg_full)/2,0),ROUND((L19*M19*revleg_full),0))*VLOOKUP(B19,country_opex,3,FALSE))+W19+X19+Y19+Z19+AA19))&lt;=0,"",VLOOKUP(B19,country_opex,7,FALSE)/((T19*pax_cap*load_full*IF(ABS(MOD(ABS((L19*M19*revleg_full)),1)-0.5)&lt;1E-9,2*ROUND((L19*M19*revleg_full)/2,0),ROUND((L19*M19*revleg_full),0)))-(((battery/range_nm)*D19*IF(ABS(MOD(ABS((L19*M19*revleg_full)),1)-0.5)&lt;1E-9,2*ROUND((L19*M19*revleg_full)/2,0),ROUND((L19*M19*revleg_full),0))*VLOOKUP(B19,country_opex,3,FALSE))+W19+X19+Y19+Z19+AA19)))</f>
        <v/>
      </c>
      <c r="AY19" s="46" t="n"/>
      <c r="AZ19" s="46" t="n"/>
      <c r="BA19" s="34" t="inlineStr">
        <is>
          <t>rn-8dbc3663c115</t>
        </is>
      </c>
    </row>
    <row r="20">
      <c r="A20" s="31" t="inlineStr">
        <is>
          <t>Costa Rica</t>
        </is>
      </c>
      <c r="B20" s="31" t="inlineStr">
        <is>
          <t>Costa Rica</t>
        </is>
      </c>
      <c r="C20" s="32" t="inlineStr">
        <is>
          <t>Playa Naranjo Ferry Terminal → Puntarenas Ferry Terminal (Gulf of Nicoya car/passenger ferries)</t>
        </is>
      </c>
      <c r="D20" s="33" t="n">
        <v>7.5</v>
      </c>
      <c r="E20" s="27" t="n">
        <v>18</v>
      </c>
      <c r="F20" s="34" t="inlineStr">
        <is>
          <t>T1/T2</t>
        </is>
      </c>
      <c r="G20" s="34" t="inlineStr">
        <is>
          <t>med</t>
        </is>
      </c>
      <c r="H20" s="20" t="n">
        <v>1</v>
      </c>
      <c r="I20" s="35">
        <f>60*D20/cruise_kt</f>
        <v/>
      </c>
      <c r="J20" s="35">
        <f>IF(B20="South Korea",D20/korea_charge_range_nm*korea_full_range_charge_min,0)</f>
        <v/>
      </c>
      <c r="K20" s="35">
        <f>IF(B20="South Korea",I20+korea_turn_min+korea_dwell_min+J20,I20+turn_min+dwell_min)</f>
        <v/>
      </c>
      <c r="L20" s="36">
        <f>IF(B20="South Korea",FLOOR(60*korea_service_hr/K20,1),MIN(15,FLOOR(60*service_hr/K20,1)))</f>
        <v/>
      </c>
      <c r="M20" s="36">
        <f>IF(ABS(MOD(ABS((365*mech_uptime*H20)),1)-0.5)&lt;1E-9,2*ROUND((365*mech_uptime*H20)/2,0),ROUND((365*mech_uptime*H20),0))</f>
        <v/>
      </c>
      <c r="N20" s="37">
        <f>mech_uptime</f>
        <v/>
      </c>
      <c r="O20" s="37">
        <f>IF(AND(B20="South Korea",scenario="MID"),korea_mid_revleg,revleg_sel)</f>
        <v/>
      </c>
      <c r="P20" s="36">
        <f>IF(ABS(MOD(ABS((L20*M20*O20)),1)-0.5)&lt;1E-9,2*ROUND((L20*M20*O20)/2,0),ROUND((L20*M20*O20),0))</f>
        <v/>
      </c>
      <c r="Q20" s="37">
        <f>IF(AND(B20="South Korea",scenario="MID"),korea_mid_load,load_sel)</f>
        <v/>
      </c>
      <c r="R20" s="38">
        <f>pax_cap*Q20</f>
        <v/>
      </c>
      <c r="S20" s="36">
        <f>R20*P20</f>
        <v/>
      </c>
      <c r="T20" s="39">
        <f>E20*discount</f>
        <v/>
      </c>
      <c r="U20" s="40">
        <f>T20*S20</f>
        <v/>
      </c>
      <c r="V20" s="40">
        <f>(battery/range_nm)*D20*P20*VLOOKUP(B20,country_opex,3,FALSE)</f>
        <v/>
      </c>
      <c r="W20" s="40">
        <f>VLOOKUP(B20,country_opex,2,FALSE)*crew_factor</f>
        <v/>
      </c>
      <c r="X20" s="40">
        <f>VLOOKUP(B20,country_opex,5,FALSE)</f>
        <v/>
      </c>
      <c r="Y20" s="40">
        <f>maint</f>
        <v/>
      </c>
      <c r="Z20" s="40">
        <f>VLOOKUP(B20,country_opex,7,FALSE)*ins_pct</f>
        <v/>
      </c>
      <c r="AA20" s="40">
        <f>charge_berth</f>
        <v/>
      </c>
      <c r="AB20" s="40">
        <f>V20+W20+X20+Y20+Z20+AA20</f>
        <v/>
      </c>
      <c r="AC20" s="40">
        <f>VLOOKUP(B20,country_opex,7,FALSE)/dep_years</f>
        <v/>
      </c>
      <c r="AD20" s="40">
        <f>U20-AB20</f>
        <v/>
      </c>
      <c r="AE20" s="37">
        <f>IF(U20=0,"",AD20/U20)</f>
        <v/>
      </c>
      <c r="AF20" s="38">
        <f>IF(AD20&lt;=0,"",VLOOKUP(B20,country_opex,7,FALSE)/AD20)</f>
        <v/>
      </c>
      <c r="AG20" s="35">
        <f>((D20*P20/diesel_nmpg)*diesel_co2pg-(battery/range_nm)*D20*P20*VLOOKUP(B20,country_opex,4,FALSE))/1000</f>
        <v/>
      </c>
      <c r="AH20" s="33" t="n">
        <v>317859</v>
      </c>
      <c r="AI20" s="34" t="inlineStr">
        <is>
          <t>T1</t>
        </is>
      </c>
      <c r="AJ20" s="34" t="inlineStr">
        <is>
          <t>high</t>
        </is>
      </c>
      <c r="AK20" s="41" t="n">
        <v>0.1</v>
      </c>
      <c r="AL20" s="36">
        <f>IF(AH20="","",AH20*AK20)</f>
        <v/>
      </c>
      <c r="AM20" s="36">
        <f>IF(OR(AH20="",S20=0),"",MIN(IF(AU20="",9.9E+99,AU20),FLOOR(AL20/S20,1)))</f>
        <v/>
      </c>
      <c r="AN20" s="40">
        <f>IF(AM20="","",AM20*IF(ABS(MOD(ABS((U20)),1)-0.5)&lt;1E-9,2*ROUND((U20)/2,0),ROUND((U20),0)))</f>
        <v/>
      </c>
      <c r="AO20" s="38">
        <f>IF(OR(AH20="",S20=0),"",MIN(IF(AU20="",9.9E+99,AU20),AL20/S20))</f>
        <v/>
      </c>
      <c r="AP20" s="40">
        <f>IF(AO20="","",AO20*IF(B20="South Korea",IF(ABS(MOD(ABS((U20)),1)-0.5)&lt;1E-9,2*ROUND((U20)/2,0),ROUND((U20),0)),U20))</f>
        <v/>
      </c>
      <c r="AQ20" s="42" t="n"/>
      <c r="AR20" s="34" t="inlineStr">
        <is>
          <t>Grounded</t>
        </is>
      </c>
      <c r="AS20" s="43" t="n"/>
      <c r="AT20" s="43" t="n"/>
      <c r="AU20" s="44" t="n"/>
      <c r="AV20" s="45">
        <f>IF(((T20*pax_cap*load_thin*IF(ABS(MOD(ABS((L20*M20*revleg_thin)),1)-0.5)&lt;1E-9,2*ROUND((L20*M20*revleg_thin)/2,0),ROUND((L20*M20*revleg_thin),0)))-(((battery/range_nm)*D20*IF(ABS(MOD(ABS((L20*M20*revleg_thin)),1)-0.5)&lt;1E-9,2*ROUND((L20*M20*revleg_thin)/2,0),ROUND((L20*M20*revleg_thin),0))*VLOOKUP(B20,country_opex,3,FALSE))+W20+X20+Y20+Z20+AA20))&lt;=0,"",VLOOKUP(B20,country_opex,7,FALSE)/((T20*pax_cap*load_thin*IF(ABS(MOD(ABS((L20*M20*revleg_thin)),1)-0.5)&lt;1E-9,2*ROUND((L20*M20*revleg_thin)/2,0),ROUND((L20*M20*revleg_thin),0)))-(((battery/range_nm)*D20*IF(ABS(MOD(ABS((L20*M20*revleg_thin)),1)-0.5)&lt;1E-9,2*ROUND((L20*M20*revleg_thin)/2,0),ROUND((L20*M20*revleg_thin),0))*VLOOKUP(B20,country_opex,3,FALSE))+W20+X20+Y20+Z20+AA20)))</f>
        <v/>
      </c>
      <c r="AW20" s="45">
        <f>IF(((T20*pax_cap*IF(B20="South Korea",korea_mid_load,load_mid)*IF(ABS(MOD(ABS((L20*M20*IF(B20="South Korea",korea_mid_revleg,revleg_mid))),1)-0.5)&lt;1E-9,2*ROUND((L20*M20*IF(B20="South Korea",korea_mid_revleg,revleg_mid))/2,0),ROUND((L20*M20*IF(B20="South Korea",korea_mid_revleg,revleg_mid)),0)))-(((battery/range_nm)*D20*IF(ABS(MOD(ABS((L20*M20*IF(B20="South Korea",korea_mid_revleg,revleg_mid))),1)-0.5)&lt;1E-9,2*ROUND((L20*M20*IF(B20="South Korea",korea_mid_revleg,revleg_mid))/2,0),ROUND((L20*M20*IF(B20="South Korea",korea_mid_revleg,revleg_mid)),0))*VLOOKUP(B20,country_opex,3,FALSE))+W20+X20+Y20+Z20+AA20))&lt;=0,"",VLOOKUP(B20,country_opex,7,FALSE)/((T20*pax_cap*IF(B20="South Korea",korea_mid_load,load_mid)*IF(ABS(MOD(ABS((L20*M20*IF(B20="South Korea",korea_mid_revleg,revleg_mid))),1)-0.5)&lt;1E-9,2*ROUND((L20*M20*IF(B20="South Korea",korea_mid_revleg,revleg_mid))/2,0),ROUND((L20*M20*IF(B20="South Korea",korea_mid_revleg,revleg_mid)),0)))-(((battery/range_nm)*D20*IF(ABS(MOD(ABS((L20*M20*IF(B20="South Korea",korea_mid_revleg,revleg_mid))),1)-0.5)&lt;1E-9,2*ROUND((L20*M20*IF(B20="South Korea",korea_mid_revleg,revleg_mid))/2,0),ROUND((L20*M20*IF(B20="South Korea",korea_mid_revleg,revleg_mid)),0))*VLOOKUP(B20,country_opex,3,FALSE))+W20+X20+Y20+Z20+AA20)))</f>
        <v/>
      </c>
      <c r="AX20" s="45">
        <f>IF(((T20*pax_cap*load_full*IF(ABS(MOD(ABS((L20*M20*revleg_full)),1)-0.5)&lt;1E-9,2*ROUND((L20*M20*revleg_full)/2,0),ROUND((L20*M20*revleg_full),0)))-(((battery/range_nm)*D20*IF(ABS(MOD(ABS((L20*M20*revleg_full)),1)-0.5)&lt;1E-9,2*ROUND((L20*M20*revleg_full)/2,0),ROUND((L20*M20*revleg_full),0))*VLOOKUP(B20,country_opex,3,FALSE))+W20+X20+Y20+Z20+AA20))&lt;=0,"",VLOOKUP(B20,country_opex,7,FALSE)/((T20*pax_cap*load_full*IF(ABS(MOD(ABS((L20*M20*revleg_full)),1)-0.5)&lt;1E-9,2*ROUND((L20*M20*revleg_full)/2,0),ROUND((L20*M20*revleg_full),0)))-(((battery/range_nm)*D20*IF(ABS(MOD(ABS((L20*M20*revleg_full)),1)-0.5)&lt;1E-9,2*ROUND((L20*M20*revleg_full)/2,0),ROUND((L20*M20*revleg_full),0))*VLOOKUP(B20,country_opex,3,FALSE))+W20+X20+Y20+Z20+AA20)))</f>
        <v/>
      </c>
      <c r="AY20" s="46" t="inlineStr">
        <is>
          <t xml:space="preserve">[LB-255 PREMIUM RE-FARE: subsidized comparable $2.2038 lifted to premium on-demand floor $18.0] </t>
        </is>
      </c>
      <c r="AZ20" s="46" t="inlineStr">
        <is>
          <t>MOPT 2024 statistical yearbook Cuadro 6.2</t>
        </is>
      </c>
      <c r="BA20" s="34" t="inlineStr">
        <is>
          <t>rn-eb4ca32edbef</t>
        </is>
      </c>
    </row>
    <row r="21">
      <c r="A21" s="31" t="inlineStr">
        <is>
          <t>Costa Rica</t>
        </is>
      </c>
      <c r="B21" s="31" t="inlineStr">
        <is>
          <t>Costa Rica</t>
        </is>
      </c>
      <c r="C21" s="32" t="inlineStr">
        <is>
          <t>Paquera Ferry Terminal → Puntarenas Ferry Terminal (Gulf of Nicoya car/passenger ferries)</t>
        </is>
      </c>
      <c r="D21" s="33" t="n">
        <v>9.300000000000001</v>
      </c>
      <c r="E21" s="27" t="n">
        <v>18</v>
      </c>
      <c r="F21" s="34" t="inlineStr">
        <is>
          <t>T1/T2</t>
        </is>
      </c>
      <c r="G21" s="34" t="inlineStr">
        <is>
          <t>med</t>
        </is>
      </c>
      <c r="H21" s="20" t="n">
        <v>1</v>
      </c>
      <c r="I21" s="35">
        <f>60*D21/cruise_kt</f>
        <v/>
      </c>
      <c r="J21" s="35">
        <f>IF(B21="South Korea",D21/korea_charge_range_nm*korea_full_range_charge_min,0)</f>
        <v/>
      </c>
      <c r="K21" s="35">
        <f>IF(B21="South Korea",I21+korea_turn_min+korea_dwell_min+J21,I21+turn_min+dwell_min)</f>
        <v/>
      </c>
      <c r="L21" s="36">
        <f>IF(B21="South Korea",FLOOR(60*korea_service_hr/K21,1),MIN(15,FLOOR(60*service_hr/K21,1)))</f>
        <v/>
      </c>
      <c r="M21" s="36">
        <f>IF(ABS(MOD(ABS((365*mech_uptime*H21)),1)-0.5)&lt;1E-9,2*ROUND((365*mech_uptime*H21)/2,0),ROUND((365*mech_uptime*H21),0))</f>
        <v/>
      </c>
      <c r="N21" s="37">
        <f>mech_uptime</f>
        <v/>
      </c>
      <c r="O21" s="37">
        <f>IF(AND(B21="South Korea",scenario="MID"),korea_mid_revleg,revleg_sel)</f>
        <v/>
      </c>
      <c r="P21" s="36">
        <f>IF(ABS(MOD(ABS((L21*M21*O21)),1)-0.5)&lt;1E-9,2*ROUND((L21*M21*O21)/2,0),ROUND((L21*M21*O21),0))</f>
        <v/>
      </c>
      <c r="Q21" s="37">
        <f>IF(AND(B21="South Korea",scenario="MID"),korea_mid_load,load_sel)</f>
        <v/>
      </c>
      <c r="R21" s="38">
        <f>pax_cap*Q21</f>
        <v/>
      </c>
      <c r="S21" s="36">
        <f>R21*P21</f>
        <v/>
      </c>
      <c r="T21" s="39">
        <f>E21*discount</f>
        <v/>
      </c>
      <c r="U21" s="40">
        <f>T21*S21</f>
        <v/>
      </c>
      <c r="V21" s="40">
        <f>(battery/range_nm)*D21*P21*VLOOKUP(B21,country_opex,3,FALSE)</f>
        <v/>
      </c>
      <c r="W21" s="40">
        <f>VLOOKUP(B21,country_opex,2,FALSE)*crew_factor</f>
        <v/>
      </c>
      <c r="X21" s="40">
        <f>VLOOKUP(B21,country_opex,5,FALSE)</f>
        <v/>
      </c>
      <c r="Y21" s="40">
        <f>maint</f>
        <v/>
      </c>
      <c r="Z21" s="40">
        <f>VLOOKUP(B21,country_opex,7,FALSE)*ins_pct</f>
        <v/>
      </c>
      <c r="AA21" s="40">
        <f>charge_berth</f>
        <v/>
      </c>
      <c r="AB21" s="40">
        <f>V21+W21+X21+Y21+Z21+AA21</f>
        <v/>
      </c>
      <c r="AC21" s="40">
        <f>VLOOKUP(B21,country_opex,7,FALSE)/dep_years</f>
        <v/>
      </c>
      <c r="AD21" s="40">
        <f>U21-AB21</f>
        <v/>
      </c>
      <c r="AE21" s="37">
        <f>IF(U21=0,"",AD21/U21)</f>
        <v/>
      </c>
      <c r="AF21" s="38">
        <f>IF(AD21&lt;=0,"",VLOOKUP(B21,country_opex,7,FALSE)/AD21)</f>
        <v/>
      </c>
      <c r="AG21" s="35">
        <f>((D21*P21/diesel_nmpg)*diesel_co2pg-(battery/range_nm)*D21*P21*VLOOKUP(B21,country_opex,4,FALSE))/1000</f>
        <v/>
      </c>
      <c r="AH21" s="33" t="n">
        <v>642133</v>
      </c>
      <c r="AI21" s="34" t="inlineStr">
        <is>
          <t>T1</t>
        </is>
      </c>
      <c r="AJ21" s="34" t="inlineStr">
        <is>
          <t>high</t>
        </is>
      </c>
      <c r="AK21" s="41" t="n">
        <v>0.1</v>
      </c>
      <c r="AL21" s="36">
        <f>IF(AH21="","",AH21*AK21)</f>
        <v/>
      </c>
      <c r="AM21" s="36">
        <f>IF(OR(AH21="",S21=0),"",MIN(IF(AU21="",9.9E+99,AU21),FLOOR(AL21/S21,1)))</f>
        <v/>
      </c>
      <c r="AN21" s="40">
        <f>IF(AM21="","",AM21*IF(ABS(MOD(ABS((U21)),1)-0.5)&lt;1E-9,2*ROUND((U21)/2,0),ROUND((U21),0)))</f>
        <v/>
      </c>
      <c r="AO21" s="38">
        <f>IF(OR(AH21="",S21=0),"",MIN(IF(AU21="",9.9E+99,AU21),AL21/S21))</f>
        <v/>
      </c>
      <c r="AP21" s="40">
        <f>IF(AO21="","",AO21*IF(B21="South Korea",IF(ABS(MOD(ABS((U21)),1)-0.5)&lt;1E-9,2*ROUND((U21)/2,0),ROUND((U21),0)),U21))</f>
        <v/>
      </c>
      <c r="AQ21" s="42" t="n"/>
      <c r="AR21" s="34" t="inlineStr">
        <is>
          <t>Grounded</t>
        </is>
      </c>
      <c r="AS21" s="43" t="n"/>
      <c r="AT21" s="43" t="n"/>
      <c r="AU21" s="44" t="n"/>
      <c r="AV21" s="45">
        <f>IF(((T21*pax_cap*load_thin*IF(ABS(MOD(ABS((L21*M21*revleg_thin)),1)-0.5)&lt;1E-9,2*ROUND((L21*M21*revleg_thin)/2,0),ROUND((L21*M21*revleg_thin),0)))-(((battery/range_nm)*D21*IF(ABS(MOD(ABS((L21*M21*revleg_thin)),1)-0.5)&lt;1E-9,2*ROUND((L21*M21*revleg_thin)/2,0),ROUND((L21*M21*revleg_thin),0))*VLOOKUP(B21,country_opex,3,FALSE))+W21+X21+Y21+Z21+AA21))&lt;=0,"",VLOOKUP(B21,country_opex,7,FALSE)/((T21*pax_cap*load_thin*IF(ABS(MOD(ABS((L21*M21*revleg_thin)),1)-0.5)&lt;1E-9,2*ROUND((L21*M21*revleg_thin)/2,0),ROUND((L21*M21*revleg_thin),0)))-(((battery/range_nm)*D21*IF(ABS(MOD(ABS((L21*M21*revleg_thin)),1)-0.5)&lt;1E-9,2*ROUND((L21*M21*revleg_thin)/2,0),ROUND((L21*M21*revleg_thin),0))*VLOOKUP(B21,country_opex,3,FALSE))+W21+X21+Y21+Z21+AA21)))</f>
        <v/>
      </c>
      <c r="AW21" s="45">
        <f>IF(((T21*pax_cap*IF(B21="South Korea",korea_mid_load,load_mid)*IF(ABS(MOD(ABS((L21*M21*IF(B21="South Korea",korea_mid_revleg,revleg_mid))),1)-0.5)&lt;1E-9,2*ROUND((L21*M21*IF(B21="South Korea",korea_mid_revleg,revleg_mid))/2,0),ROUND((L21*M21*IF(B21="South Korea",korea_mid_revleg,revleg_mid)),0)))-(((battery/range_nm)*D21*IF(ABS(MOD(ABS((L21*M21*IF(B21="South Korea",korea_mid_revleg,revleg_mid))),1)-0.5)&lt;1E-9,2*ROUND((L21*M21*IF(B21="South Korea",korea_mid_revleg,revleg_mid))/2,0),ROUND((L21*M21*IF(B21="South Korea",korea_mid_revleg,revleg_mid)),0))*VLOOKUP(B21,country_opex,3,FALSE))+W21+X21+Y21+Z21+AA21))&lt;=0,"",VLOOKUP(B21,country_opex,7,FALSE)/((T21*pax_cap*IF(B21="South Korea",korea_mid_load,load_mid)*IF(ABS(MOD(ABS((L21*M21*IF(B21="South Korea",korea_mid_revleg,revleg_mid))),1)-0.5)&lt;1E-9,2*ROUND((L21*M21*IF(B21="South Korea",korea_mid_revleg,revleg_mid))/2,0),ROUND((L21*M21*IF(B21="South Korea",korea_mid_revleg,revleg_mid)),0)))-(((battery/range_nm)*D21*IF(ABS(MOD(ABS((L21*M21*IF(B21="South Korea",korea_mid_revleg,revleg_mid))),1)-0.5)&lt;1E-9,2*ROUND((L21*M21*IF(B21="South Korea",korea_mid_revleg,revleg_mid))/2,0),ROUND((L21*M21*IF(B21="South Korea",korea_mid_revleg,revleg_mid)),0))*VLOOKUP(B21,country_opex,3,FALSE))+W21+X21+Y21+Z21+AA21)))</f>
        <v/>
      </c>
      <c r="AX21" s="45">
        <f>IF(((T21*pax_cap*load_full*IF(ABS(MOD(ABS((L21*M21*revleg_full)),1)-0.5)&lt;1E-9,2*ROUND((L21*M21*revleg_full)/2,0),ROUND((L21*M21*revleg_full),0)))-(((battery/range_nm)*D21*IF(ABS(MOD(ABS((L21*M21*revleg_full)),1)-0.5)&lt;1E-9,2*ROUND((L21*M21*revleg_full)/2,0),ROUND((L21*M21*revleg_full),0))*VLOOKUP(B21,country_opex,3,FALSE))+W21+X21+Y21+Z21+AA21))&lt;=0,"",VLOOKUP(B21,country_opex,7,FALSE)/((T21*pax_cap*load_full*IF(ABS(MOD(ABS((L21*M21*revleg_full)),1)-0.5)&lt;1E-9,2*ROUND((L21*M21*revleg_full)/2,0),ROUND((L21*M21*revleg_full),0)))-(((battery/range_nm)*D21*IF(ABS(MOD(ABS((L21*M21*revleg_full)),1)-0.5)&lt;1E-9,2*ROUND((L21*M21*revleg_full)/2,0),ROUND((L21*M21*revleg_full),0))*VLOOKUP(B21,country_opex,3,FALSE))+W21+X21+Y21+Z21+AA21)))</f>
        <v/>
      </c>
      <c r="AY21" s="46" t="inlineStr">
        <is>
          <t xml:space="preserve">[LB-255 PREMIUM RE-FARE: subsidized comparable $1.785 lifted to premium on-demand floor $18.0] </t>
        </is>
      </c>
      <c r="AZ21" s="46" t="inlineStr">
        <is>
          <t>MOPT 2024 statistical yearbook Cuadro 6.2</t>
        </is>
      </c>
      <c r="BA21" s="34" t="inlineStr">
        <is>
          <t>rn-7e59f984abec</t>
        </is>
      </c>
    </row>
    <row r="22">
      <c r="A22" s="31" t="inlineStr">
        <is>
          <t>Mexico Caribbean</t>
        </is>
      </c>
      <c r="B22" s="31" t="inlineStr">
        <is>
          <t>Mexico</t>
        </is>
      </c>
      <c r="C22" s="32" t="inlineStr">
        <is>
          <t>Punta Sam ferry terminal → Terminal Martima De Isla Mujeres</t>
        </is>
      </c>
      <c r="D22" s="33" t="n">
        <v>3.35</v>
      </c>
      <c r="E22" s="27" t="n">
        <v>30</v>
      </c>
      <c r="F22" s="34" t="inlineStr">
        <is>
          <t>T2</t>
        </is>
      </c>
      <c r="G22" s="34" t="inlineStr">
        <is>
          <t>med</t>
        </is>
      </c>
      <c r="H22" s="20" t="n">
        <v>1</v>
      </c>
      <c r="I22" s="35">
        <f>60*D22/cruise_kt</f>
        <v/>
      </c>
      <c r="J22" s="35">
        <f>IF(B22="South Korea",D22/korea_charge_range_nm*korea_full_range_charge_min,0)</f>
        <v/>
      </c>
      <c r="K22" s="35">
        <f>IF(B22="South Korea",I22+korea_turn_min+korea_dwell_min+J22,I22+turn_min+dwell_min)</f>
        <v/>
      </c>
      <c r="L22" s="36">
        <f>IF(B22="South Korea",FLOOR(60*korea_service_hr/K22,1),MIN(15,FLOOR(60*service_hr/K22,1)))</f>
        <v/>
      </c>
      <c r="M22" s="36">
        <f>IF(ABS(MOD(ABS((365*mech_uptime*H22)),1)-0.5)&lt;1E-9,2*ROUND((365*mech_uptime*H22)/2,0),ROUND((365*mech_uptime*H22),0))</f>
        <v/>
      </c>
      <c r="N22" s="37">
        <f>mech_uptime</f>
        <v/>
      </c>
      <c r="O22" s="37">
        <f>IF(AND(B22="South Korea",scenario="MID"),korea_mid_revleg,revleg_sel)</f>
        <v/>
      </c>
      <c r="P22" s="36">
        <f>IF(ABS(MOD(ABS((L22*M22*O22)),1)-0.5)&lt;1E-9,2*ROUND((L22*M22*O22)/2,0),ROUND((L22*M22*O22),0))</f>
        <v/>
      </c>
      <c r="Q22" s="37">
        <f>IF(AND(B22="South Korea",scenario="MID"),korea_mid_load,load_sel)</f>
        <v/>
      </c>
      <c r="R22" s="38">
        <f>pax_cap*Q22</f>
        <v/>
      </c>
      <c r="S22" s="36">
        <f>R22*P22</f>
        <v/>
      </c>
      <c r="T22" s="39">
        <f>E22*discount</f>
        <v/>
      </c>
      <c r="U22" s="40">
        <f>T22*S22</f>
        <v/>
      </c>
      <c r="V22" s="40">
        <f>(battery/range_nm)*D22*P22*VLOOKUP(B22,country_opex,3,FALSE)</f>
        <v/>
      </c>
      <c r="W22" s="40">
        <f>VLOOKUP(B22,country_opex,2,FALSE)*crew_factor</f>
        <v/>
      </c>
      <c r="X22" s="40">
        <f>VLOOKUP(B22,country_opex,5,FALSE)</f>
        <v/>
      </c>
      <c r="Y22" s="40">
        <f>maint</f>
        <v/>
      </c>
      <c r="Z22" s="40">
        <f>VLOOKUP(B22,country_opex,7,FALSE)*ins_pct</f>
        <v/>
      </c>
      <c r="AA22" s="40">
        <f>charge_berth</f>
        <v/>
      </c>
      <c r="AB22" s="40">
        <f>V22+W22+X22+Y22+Z22+AA22</f>
        <v/>
      </c>
      <c r="AC22" s="40">
        <f>VLOOKUP(B22,country_opex,7,FALSE)/dep_years</f>
        <v/>
      </c>
      <c r="AD22" s="40">
        <f>U22-AB22</f>
        <v/>
      </c>
      <c r="AE22" s="37">
        <f>IF(U22=0,"",AD22/U22)</f>
        <v/>
      </c>
      <c r="AF22" s="38">
        <f>IF(AD22&lt;=0,"",VLOOKUP(B22,country_opex,7,FALSE)/AD22)</f>
        <v/>
      </c>
      <c r="AG22" s="35">
        <f>((D22*P22/diesel_nmpg)*diesel_co2pg-(battery/range_nm)*D22*P22*VLOOKUP(B22,country_opex,4,FALSE))/1000</f>
        <v/>
      </c>
      <c r="AH22" s="33" t="n">
        <v>238128</v>
      </c>
      <c r="AI22" s="34" t="inlineStr">
        <is>
          <t>T1</t>
        </is>
      </c>
      <c r="AJ22" s="34" t="inlineStr">
        <is>
          <t>high</t>
        </is>
      </c>
      <c r="AK22" s="41" t="n">
        <v>0.1</v>
      </c>
      <c r="AL22" s="36">
        <f>IF(AH22="","",AH22*AK22)</f>
        <v/>
      </c>
      <c r="AM22" s="36">
        <f>IF(OR(AH22="",S22=0),"",MIN(IF(AU22="",9.9E+99,AU22),FLOOR(AL22/S22,1)))</f>
        <v/>
      </c>
      <c r="AN22" s="40">
        <f>IF(AM22="","",AM22*IF(ABS(MOD(ABS((U22)),1)-0.5)&lt;1E-9,2*ROUND((U22)/2,0),ROUND((U22),0)))</f>
        <v/>
      </c>
      <c r="AO22" s="38">
        <f>IF(OR(AH22="",S22=0),"",MIN(IF(AU22="",9.9E+99,AU22),AL22/S22))</f>
        <v/>
      </c>
      <c r="AP22" s="40">
        <f>IF(AO22="","",AO22*IF(B22="South Korea",IF(ABS(MOD(ABS((U22)),1)-0.5)&lt;1E-9,2*ROUND((U22)/2,0),ROUND((U22),0)),U22))</f>
        <v/>
      </c>
      <c r="AQ22" s="42" t="n"/>
      <c r="AR22" s="34" t="inlineStr">
        <is>
          <t>Grounded</t>
        </is>
      </c>
      <c r="AS22" s="43" t="n"/>
      <c r="AT22" s="43" t="n"/>
      <c r="AU22" s="44" t="n"/>
      <c r="AV22" s="45">
        <f>IF(((T22*pax_cap*load_thin*IF(ABS(MOD(ABS((L22*M22*revleg_thin)),1)-0.5)&lt;1E-9,2*ROUND((L22*M22*revleg_thin)/2,0),ROUND((L22*M22*revleg_thin),0)))-(((battery/range_nm)*D22*IF(ABS(MOD(ABS((L22*M22*revleg_thin)),1)-0.5)&lt;1E-9,2*ROUND((L22*M22*revleg_thin)/2,0),ROUND((L22*M22*revleg_thin),0))*VLOOKUP(B22,country_opex,3,FALSE))+W22+X22+Y22+Z22+AA22))&lt;=0,"",VLOOKUP(B22,country_opex,7,FALSE)/((T22*pax_cap*load_thin*IF(ABS(MOD(ABS((L22*M22*revleg_thin)),1)-0.5)&lt;1E-9,2*ROUND((L22*M22*revleg_thin)/2,0),ROUND((L22*M22*revleg_thin),0)))-(((battery/range_nm)*D22*IF(ABS(MOD(ABS((L22*M22*revleg_thin)),1)-0.5)&lt;1E-9,2*ROUND((L22*M22*revleg_thin)/2,0),ROUND((L22*M22*revleg_thin),0))*VLOOKUP(B22,country_opex,3,FALSE))+W22+X22+Y22+Z22+AA22)))</f>
        <v/>
      </c>
      <c r="AW22" s="45">
        <f>IF(((T22*pax_cap*IF(B22="South Korea",korea_mid_load,load_mid)*IF(ABS(MOD(ABS((L22*M22*IF(B22="South Korea",korea_mid_revleg,revleg_mid))),1)-0.5)&lt;1E-9,2*ROUND((L22*M22*IF(B22="South Korea",korea_mid_revleg,revleg_mid))/2,0),ROUND((L22*M22*IF(B22="South Korea",korea_mid_revleg,revleg_mid)),0)))-(((battery/range_nm)*D22*IF(ABS(MOD(ABS((L22*M22*IF(B22="South Korea",korea_mid_revleg,revleg_mid))),1)-0.5)&lt;1E-9,2*ROUND((L22*M22*IF(B22="South Korea",korea_mid_revleg,revleg_mid))/2,0),ROUND((L22*M22*IF(B22="South Korea",korea_mid_revleg,revleg_mid)),0))*VLOOKUP(B22,country_opex,3,FALSE))+W22+X22+Y22+Z22+AA22))&lt;=0,"",VLOOKUP(B22,country_opex,7,FALSE)/((T22*pax_cap*IF(B22="South Korea",korea_mid_load,load_mid)*IF(ABS(MOD(ABS((L22*M22*IF(B22="South Korea",korea_mid_revleg,revleg_mid))),1)-0.5)&lt;1E-9,2*ROUND((L22*M22*IF(B22="South Korea",korea_mid_revleg,revleg_mid))/2,0),ROUND((L22*M22*IF(B22="South Korea",korea_mid_revleg,revleg_mid)),0)))-(((battery/range_nm)*D22*IF(ABS(MOD(ABS((L22*M22*IF(B22="South Korea",korea_mid_revleg,revleg_mid))),1)-0.5)&lt;1E-9,2*ROUND((L22*M22*IF(B22="South Korea",korea_mid_revleg,revleg_mid))/2,0),ROUND((L22*M22*IF(B22="South Korea",korea_mid_revleg,revleg_mid)),0))*VLOOKUP(B22,country_opex,3,FALSE))+W22+X22+Y22+Z22+AA22)))</f>
        <v/>
      </c>
      <c r="AX22" s="45">
        <f>IF(((T22*pax_cap*load_full*IF(ABS(MOD(ABS((L22*M22*revleg_full)),1)-0.5)&lt;1E-9,2*ROUND((L22*M22*revleg_full)/2,0),ROUND((L22*M22*revleg_full),0)))-(((battery/range_nm)*D22*IF(ABS(MOD(ABS((L22*M22*revleg_full)),1)-0.5)&lt;1E-9,2*ROUND((L22*M22*revleg_full)/2,0),ROUND((L22*M22*revleg_full),0))*VLOOKUP(B22,country_opex,3,FALSE))+W22+X22+Y22+Z22+AA22))&lt;=0,"",VLOOKUP(B22,country_opex,7,FALSE)/((T22*pax_cap*load_full*IF(ABS(MOD(ABS((L22*M22*revleg_full)),1)-0.5)&lt;1E-9,2*ROUND((L22*M22*revleg_full)/2,0),ROUND((L22*M22*revleg_full),0)))-(((battery/range_nm)*D22*IF(ABS(MOD(ABS((L22*M22*revleg_full)),1)-0.5)&lt;1E-9,2*ROUND((L22*M22*revleg_full)/2,0),ROUND((L22*M22*revleg_full),0))*VLOOKUP(B22,country_opex,3,FALSE))+W22+X22+Y22+Z22+AA22)))</f>
        <v/>
      </c>
      <c r="AY22" s="46" t="inlineStr">
        <is>
          <t>https://www.uber.com/mx/en/ride/uber-black/</t>
        </is>
      </c>
      <c r="AZ22" s="46" t="inlineStr">
        <is>
          <t>https://servicios.apiqroo.com.mx/estadistica/datos/informeTransbordador.php?anio=2025</t>
        </is>
      </c>
      <c r="BA22" s="34" t="inlineStr">
        <is>
          <t>ics-aa6ff40d2d</t>
        </is>
      </c>
    </row>
    <row r="23">
      <c r="A23" s="31" t="inlineStr">
        <is>
          <t>Mexico Pacific</t>
        </is>
      </c>
      <c r="B23" s="31" t="inlineStr">
        <is>
          <t>Mexico</t>
        </is>
      </c>
      <c r="C23" s="32" t="inlineStr">
        <is>
          <t>Palmilla → San José Del Cabo Marina</t>
        </is>
      </c>
      <c r="D23" s="33" t="n">
        <v>3.4</v>
      </c>
      <c r="E23" s="27" t="n"/>
      <c r="F23" s="34" t="n"/>
      <c r="G23" s="34" t="n"/>
      <c r="H23" s="20" t="n">
        <v>1</v>
      </c>
      <c r="I23" s="35">
        <f>60*D23/cruise_kt</f>
        <v/>
      </c>
      <c r="J23" s="35">
        <f>IF(B23="South Korea",D23/korea_charge_range_nm*korea_full_range_charge_min,0)</f>
        <v/>
      </c>
      <c r="K23" s="35">
        <f>IF(B23="South Korea",I23+korea_turn_min+korea_dwell_min+J23,I23+turn_min+dwell_min)</f>
        <v/>
      </c>
      <c r="L23" s="36">
        <f>IF(B23="South Korea",FLOOR(60*korea_service_hr/K23,1),MIN(15,FLOOR(60*service_hr/K23,1)))</f>
        <v/>
      </c>
      <c r="M23" s="36">
        <f>IF(ABS(MOD(ABS((365*mech_uptime*H23)),1)-0.5)&lt;1E-9,2*ROUND((365*mech_uptime*H23)/2,0),ROUND((365*mech_uptime*H23),0))</f>
        <v/>
      </c>
      <c r="N23" s="37">
        <f>mech_uptime</f>
        <v/>
      </c>
      <c r="O23" s="37">
        <f>IF(AND(B23="South Korea",scenario="MID"),korea_mid_revleg,revleg_sel)</f>
        <v/>
      </c>
      <c r="P23" s="36">
        <f>IF(ABS(MOD(ABS((L23*M23*O23)),1)-0.5)&lt;1E-9,2*ROUND((L23*M23*O23)/2,0),ROUND((L23*M23*O23),0))</f>
        <v/>
      </c>
      <c r="Q23" s="37">
        <f>IF(AND(B23="South Korea",scenario="MID"),korea_mid_load,load_sel)</f>
        <v/>
      </c>
      <c r="R23" s="38">
        <f>pax_cap*Q23</f>
        <v/>
      </c>
      <c r="S23" s="36">
        <f>R23*P23</f>
        <v/>
      </c>
      <c r="T23" s="39">
        <f>E23*discount</f>
        <v/>
      </c>
      <c r="U23" s="40">
        <f>T23*S23</f>
        <v/>
      </c>
      <c r="V23" s="40">
        <f>(battery/range_nm)*D23*P23*VLOOKUP(B23,country_opex,3,FALSE)</f>
        <v/>
      </c>
      <c r="W23" s="40">
        <f>VLOOKUP(B23,country_opex,2,FALSE)*crew_factor</f>
        <v/>
      </c>
      <c r="X23" s="40">
        <f>VLOOKUP(B23,country_opex,5,FALSE)</f>
        <v/>
      </c>
      <c r="Y23" s="40">
        <f>maint</f>
        <v/>
      </c>
      <c r="Z23" s="40">
        <f>VLOOKUP(B23,country_opex,7,FALSE)*ins_pct</f>
        <v/>
      </c>
      <c r="AA23" s="40">
        <f>charge_berth</f>
        <v/>
      </c>
      <c r="AB23" s="40">
        <f>V23+W23+X23+Y23+Z23+AA23</f>
        <v/>
      </c>
      <c r="AC23" s="40">
        <f>VLOOKUP(B23,country_opex,7,FALSE)/dep_years</f>
        <v/>
      </c>
      <c r="AD23" s="40">
        <f>U23-AB23</f>
        <v/>
      </c>
      <c r="AE23" s="37">
        <f>IF(U23=0,"",AD23/U23)</f>
        <v/>
      </c>
      <c r="AF23" s="38">
        <f>IF(AD23&lt;=0,"",VLOOKUP(B23,country_opex,7,FALSE)/AD23)</f>
        <v/>
      </c>
      <c r="AG23" s="35">
        <f>((D23*P23/diesel_nmpg)*diesel_co2pg-(battery/range_nm)*D23*P23*VLOOKUP(B23,country_opex,4,FALSE))/1000</f>
        <v/>
      </c>
      <c r="AH23" s="33" t="n"/>
      <c r="AI23" s="34" t="n"/>
      <c r="AJ23" s="34" t="n"/>
      <c r="AK23" s="41" t="n">
        <v>0.1</v>
      </c>
      <c r="AL23" s="36">
        <f>IF(AH23="","",AH23*AK23)</f>
        <v/>
      </c>
      <c r="AM23" s="36">
        <f>IF(OR(AH23="",S23=0),"",MIN(IF(AU23="",9.9E+99,AU23),FLOOR(AL23/S23,1)))</f>
        <v/>
      </c>
      <c r="AN23" s="40">
        <f>IF(AM23="","",AM23*IF(ABS(MOD(ABS((U23)),1)-0.5)&lt;1E-9,2*ROUND((U23)/2,0),ROUND((U23),0)))</f>
        <v/>
      </c>
      <c r="AO23" s="38">
        <f>IF(OR(AH23="",S23=0),"",MIN(IF(AU23="",9.9E+99,AU23),AL23/S23))</f>
        <v/>
      </c>
      <c r="AP23" s="40">
        <f>IF(AO23="","",AO23*IF(B23="South Korea",IF(ABS(MOD(ABS((U23)),1)-0.5)&lt;1E-9,2*ROUND((U23)/2,0),ROUND((U23),0)),U23))</f>
        <v/>
      </c>
      <c r="AQ23" s="42" t="n"/>
      <c r="AR23" s="34" t="inlineStr">
        <is>
          <t>Estimated</t>
        </is>
      </c>
      <c r="AS23" s="43" t="n"/>
      <c r="AT23" s="43" t="n"/>
      <c r="AU23" s="44" t="n"/>
      <c r="AV23" s="45">
        <f>IF(((T23*pax_cap*load_thin*IF(ABS(MOD(ABS((L23*M23*revleg_thin)),1)-0.5)&lt;1E-9,2*ROUND((L23*M23*revleg_thin)/2,0),ROUND((L23*M23*revleg_thin),0)))-(((battery/range_nm)*D23*IF(ABS(MOD(ABS((L23*M23*revleg_thin)),1)-0.5)&lt;1E-9,2*ROUND((L23*M23*revleg_thin)/2,0),ROUND((L23*M23*revleg_thin),0))*VLOOKUP(B23,country_opex,3,FALSE))+W23+X23+Y23+Z23+AA23))&lt;=0,"",VLOOKUP(B23,country_opex,7,FALSE)/((T23*pax_cap*load_thin*IF(ABS(MOD(ABS((L23*M23*revleg_thin)),1)-0.5)&lt;1E-9,2*ROUND((L23*M23*revleg_thin)/2,0),ROUND((L23*M23*revleg_thin),0)))-(((battery/range_nm)*D23*IF(ABS(MOD(ABS((L23*M23*revleg_thin)),1)-0.5)&lt;1E-9,2*ROUND((L23*M23*revleg_thin)/2,0),ROUND((L23*M23*revleg_thin),0))*VLOOKUP(B23,country_opex,3,FALSE))+W23+X23+Y23+Z23+AA23)))</f>
        <v/>
      </c>
      <c r="AW23" s="45">
        <f>IF(((T23*pax_cap*IF(B23="South Korea",korea_mid_load,load_mid)*IF(ABS(MOD(ABS((L23*M23*IF(B23="South Korea",korea_mid_revleg,revleg_mid))),1)-0.5)&lt;1E-9,2*ROUND((L23*M23*IF(B23="South Korea",korea_mid_revleg,revleg_mid))/2,0),ROUND((L23*M23*IF(B23="South Korea",korea_mid_revleg,revleg_mid)),0)))-(((battery/range_nm)*D23*IF(ABS(MOD(ABS((L23*M23*IF(B23="South Korea",korea_mid_revleg,revleg_mid))),1)-0.5)&lt;1E-9,2*ROUND((L23*M23*IF(B23="South Korea",korea_mid_revleg,revleg_mid))/2,0),ROUND((L23*M23*IF(B23="South Korea",korea_mid_revleg,revleg_mid)),0))*VLOOKUP(B23,country_opex,3,FALSE))+W23+X23+Y23+Z23+AA23))&lt;=0,"",VLOOKUP(B23,country_opex,7,FALSE)/((T23*pax_cap*IF(B23="South Korea",korea_mid_load,load_mid)*IF(ABS(MOD(ABS((L23*M23*IF(B23="South Korea",korea_mid_revleg,revleg_mid))),1)-0.5)&lt;1E-9,2*ROUND((L23*M23*IF(B23="South Korea",korea_mid_revleg,revleg_mid))/2,0),ROUND((L23*M23*IF(B23="South Korea",korea_mid_revleg,revleg_mid)),0)))-(((battery/range_nm)*D23*IF(ABS(MOD(ABS((L23*M23*IF(B23="South Korea",korea_mid_revleg,revleg_mid))),1)-0.5)&lt;1E-9,2*ROUND((L23*M23*IF(B23="South Korea",korea_mid_revleg,revleg_mid))/2,0),ROUND((L23*M23*IF(B23="South Korea",korea_mid_revleg,revleg_mid)),0))*VLOOKUP(B23,country_opex,3,FALSE))+W23+X23+Y23+Z23+AA23)))</f>
        <v/>
      </c>
      <c r="AX23" s="45">
        <f>IF(((T23*pax_cap*load_full*IF(ABS(MOD(ABS((L23*M23*revleg_full)),1)-0.5)&lt;1E-9,2*ROUND((L23*M23*revleg_full)/2,0),ROUND((L23*M23*revleg_full),0)))-(((battery/range_nm)*D23*IF(ABS(MOD(ABS((L23*M23*revleg_full)),1)-0.5)&lt;1E-9,2*ROUND((L23*M23*revleg_full)/2,0),ROUND((L23*M23*revleg_full),0))*VLOOKUP(B23,country_opex,3,FALSE))+W23+X23+Y23+Z23+AA23))&lt;=0,"",VLOOKUP(B23,country_opex,7,FALSE)/((T23*pax_cap*load_full*IF(ABS(MOD(ABS((L23*M23*revleg_full)),1)-0.5)&lt;1E-9,2*ROUND((L23*M23*revleg_full)/2,0),ROUND((L23*M23*revleg_full),0)))-(((battery/range_nm)*D23*IF(ABS(MOD(ABS((L23*M23*revleg_full)),1)-0.5)&lt;1E-9,2*ROUND((L23*M23*revleg_full)/2,0),ROUND((L23*M23*revleg_full),0))*VLOOKUP(B23,country_opex,3,FALSE))+W23+X23+Y23+Z23+AA23)))</f>
        <v/>
      </c>
      <c r="AY23" s="46" t="n"/>
      <c r="AZ23" s="46" t="n"/>
      <c r="BA23" s="34" t="inlineStr">
        <is>
          <t>ics-b5861451fb</t>
        </is>
      </c>
    </row>
    <row r="24">
      <c r="A24" s="31" t="inlineStr">
        <is>
          <t>Mexico Caribbean</t>
        </is>
      </c>
      <c r="B24" s="31" t="inlineStr">
        <is>
          <t>Mexico</t>
        </is>
      </c>
      <c r="C24" s="32" t="inlineStr">
        <is>
          <t>Terminal Maritima Puerto Juarez → Terminal Martima De Isla Mujeres</t>
        </is>
      </c>
      <c r="D24" s="33" t="n">
        <v>5.27</v>
      </c>
      <c r="E24" s="27" t="n">
        <v>30</v>
      </c>
      <c r="F24" s="34" t="inlineStr">
        <is>
          <t>T2</t>
        </is>
      </c>
      <c r="G24" s="34" t="inlineStr">
        <is>
          <t>med</t>
        </is>
      </c>
      <c r="H24" s="20" t="n">
        <v>1</v>
      </c>
      <c r="I24" s="35">
        <f>60*D24/cruise_kt</f>
        <v/>
      </c>
      <c r="J24" s="35">
        <f>IF(B24="South Korea",D24/korea_charge_range_nm*korea_full_range_charge_min,0)</f>
        <v/>
      </c>
      <c r="K24" s="35">
        <f>IF(B24="South Korea",I24+korea_turn_min+korea_dwell_min+J24,I24+turn_min+dwell_min)</f>
        <v/>
      </c>
      <c r="L24" s="36">
        <f>IF(B24="South Korea",FLOOR(60*korea_service_hr/K24,1),MIN(15,FLOOR(60*service_hr/K24,1)))</f>
        <v/>
      </c>
      <c r="M24" s="36">
        <f>IF(ABS(MOD(ABS((365*mech_uptime*H24)),1)-0.5)&lt;1E-9,2*ROUND((365*mech_uptime*H24)/2,0),ROUND((365*mech_uptime*H24),0))</f>
        <v/>
      </c>
      <c r="N24" s="37">
        <f>mech_uptime</f>
        <v/>
      </c>
      <c r="O24" s="37">
        <f>IF(AND(B24="South Korea",scenario="MID"),korea_mid_revleg,revleg_sel)</f>
        <v/>
      </c>
      <c r="P24" s="36">
        <f>IF(ABS(MOD(ABS((L24*M24*O24)),1)-0.5)&lt;1E-9,2*ROUND((L24*M24*O24)/2,0),ROUND((L24*M24*O24),0))</f>
        <v/>
      </c>
      <c r="Q24" s="37">
        <f>IF(AND(B24="South Korea",scenario="MID"),korea_mid_load,load_sel)</f>
        <v/>
      </c>
      <c r="R24" s="38">
        <f>pax_cap*Q24</f>
        <v/>
      </c>
      <c r="S24" s="36">
        <f>R24*P24</f>
        <v/>
      </c>
      <c r="T24" s="39">
        <f>E24*discount</f>
        <v/>
      </c>
      <c r="U24" s="40">
        <f>T24*S24</f>
        <v/>
      </c>
      <c r="V24" s="40">
        <f>(battery/range_nm)*D24*P24*VLOOKUP(B24,country_opex,3,FALSE)</f>
        <v/>
      </c>
      <c r="W24" s="40">
        <f>VLOOKUP(B24,country_opex,2,FALSE)*crew_factor</f>
        <v/>
      </c>
      <c r="X24" s="40">
        <f>VLOOKUP(B24,country_opex,5,FALSE)</f>
        <v/>
      </c>
      <c r="Y24" s="40">
        <f>maint</f>
        <v/>
      </c>
      <c r="Z24" s="40">
        <f>VLOOKUP(B24,country_opex,7,FALSE)*ins_pct</f>
        <v/>
      </c>
      <c r="AA24" s="40">
        <f>charge_berth</f>
        <v/>
      </c>
      <c r="AB24" s="40">
        <f>V24+W24+X24+Y24+Z24+AA24</f>
        <v/>
      </c>
      <c r="AC24" s="40">
        <f>VLOOKUP(B24,country_opex,7,FALSE)/dep_years</f>
        <v/>
      </c>
      <c r="AD24" s="40">
        <f>U24-AB24</f>
        <v/>
      </c>
      <c r="AE24" s="37">
        <f>IF(U24=0,"",AD24/U24)</f>
        <v/>
      </c>
      <c r="AF24" s="38">
        <f>IF(AD24&lt;=0,"",VLOOKUP(B24,country_opex,7,FALSE)/AD24)</f>
        <v/>
      </c>
      <c r="AG24" s="35">
        <f>((D24*P24/diesel_nmpg)*diesel_co2pg-(battery/range_nm)*D24*P24*VLOOKUP(B24,country_opex,4,FALSE))/1000</f>
        <v/>
      </c>
      <c r="AH24" s="33" t="n">
        <v>5458304</v>
      </c>
      <c r="AI24" s="34" t="inlineStr">
        <is>
          <t>T1</t>
        </is>
      </c>
      <c r="AJ24" s="34" t="inlineStr">
        <is>
          <t>high</t>
        </is>
      </c>
      <c r="AK24" s="41" t="n">
        <v>0.1</v>
      </c>
      <c r="AL24" s="36">
        <f>IF(AH24="","",AH24*AK24)</f>
        <v/>
      </c>
      <c r="AM24" s="36">
        <f>IF(OR(AH24="",S24=0),"",MIN(IF(AU24="",9.9E+99,AU24),FLOOR(AL24/S24,1)))</f>
        <v/>
      </c>
      <c r="AN24" s="40">
        <f>IF(AM24="","",AM24*IF(ABS(MOD(ABS((U24)),1)-0.5)&lt;1E-9,2*ROUND((U24)/2,0),ROUND((U24),0)))</f>
        <v/>
      </c>
      <c r="AO24" s="38">
        <f>IF(OR(AH24="",S24=0),"",MIN(IF(AU24="",9.9E+99,AU24),AL24/S24))</f>
        <v/>
      </c>
      <c r="AP24" s="40">
        <f>IF(AO24="","",AO24*IF(B24="South Korea",IF(ABS(MOD(ABS((U24)),1)-0.5)&lt;1E-9,2*ROUND((U24)/2,0),ROUND((U24),0)),U24))</f>
        <v/>
      </c>
      <c r="AQ24" s="42" t="n"/>
      <c r="AR24" s="34" t="inlineStr">
        <is>
          <t>Grounded</t>
        </is>
      </c>
      <c r="AS24" s="43" t="n"/>
      <c r="AT24" s="43" t="n"/>
      <c r="AU24" s="44" t="n"/>
      <c r="AV24" s="45">
        <f>IF(((T24*pax_cap*load_thin*IF(ABS(MOD(ABS((L24*M24*revleg_thin)),1)-0.5)&lt;1E-9,2*ROUND((L24*M24*revleg_thin)/2,0),ROUND((L24*M24*revleg_thin),0)))-(((battery/range_nm)*D24*IF(ABS(MOD(ABS((L24*M24*revleg_thin)),1)-0.5)&lt;1E-9,2*ROUND((L24*M24*revleg_thin)/2,0),ROUND((L24*M24*revleg_thin),0))*VLOOKUP(B24,country_opex,3,FALSE))+W24+X24+Y24+Z24+AA24))&lt;=0,"",VLOOKUP(B24,country_opex,7,FALSE)/((T24*pax_cap*load_thin*IF(ABS(MOD(ABS((L24*M24*revleg_thin)),1)-0.5)&lt;1E-9,2*ROUND((L24*M24*revleg_thin)/2,0),ROUND((L24*M24*revleg_thin),0)))-(((battery/range_nm)*D24*IF(ABS(MOD(ABS((L24*M24*revleg_thin)),1)-0.5)&lt;1E-9,2*ROUND((L24*M24*revleg_thin)/2,0),ROUND((L24*M24*revleg_thin),0))*VLOOKUP(B24,country_opex,3,FALSE))+W24+X24+Y24+Z24+AA24)))</f>
        <v/>
      </c>
      <c r="AW24" s="45">
        <f>IF(((T24*pax_cap*IF(B24="South Korea",korea_mid_load,load_mid)*IF(ABS(MOD(ABS((L24*M24*IF(B24="South Korea",korea_mid_revleg,revleg_mid))),1)-0.5)&lt;1E-9,2*ROUND((L24*M24*IF(B24="South Korea",korea_mid_revleg,revleg_mid))/2,0),ROUND((L24*M24*IF(B24="South Korea",korea_mid_revleg,revleg_mid)),0)))-(((battery/range_nm)*D24*IF(ABS(MOD(ABS((L24*M24*IF(B24="South Korea",korea_mid_revleg,revleg_mid))),1)-0.5)&lt;1E-9,2*ROUND((L24*M24*IF(B24="South Korea",korea_mid_revleg,revleg_mid))/2,0),ROUND((L24*M24*IF(B24="South Korea",korea_mid_revleg,revleg_mid)),0))*VLOOKUP(B24,country_opex,3,FALSE))+W24+X24+Y24+Z24+AA24))&lt;=0,"",VLOOKUP(B24,country_opex,7,FALSE)/((T24*pax_cap*IF(B24="South Korea",korea_mid_load,load_mid)*IF(ABS(MOD(ABS((L24*M24*IF(B24="South Korea",korea_mid_revleg,revleg_mid))),1)-0.5)&lt;1E-9,2*ROUND((L24*M24*IF(B24="South Korea",korea_mid_revleg,revleg_mid))/2,0),ROUND((L24*M24*IF(B24="South Korea",korea_mid_revleg,revleg_mid)),0)))-(((battery/range_nm)*D24*IF(ABS(MOD(ABS((L24*M24*IF(B24="South Korea",korea_mid_revleg,revleg_mid))),1)-0.5)&lt;1E-9,2*ROUND((L24*M24*IF(B24="South Korea",korea_mid_revleg,revleg_mid))/2,0),ROUND((L24*M24*IF(B24="South Korea",korea_mid_revleg,revleg_mid)),0))*VLOOKUP(B24,country_opex,3,FALSE))+W24+X24+Y24+Z24+AA24)))</f>
        <v/>
      </c>
      <c r="AX24" s="45">
        <f>IF(((T24*pax_cap*load_full*IF(ABS(MOD(ABS((L24*M24*revleg_full)),1)-0.5)&lt;1E-9,2*ROUND((L24*M24*revleg_full)/2,0),ROUND((L24*M24*revleg_full),0)))-(((battery/range_nm)*D24*IF(ABS(MOD(ABS((L24*M24*revleg_full)),1)-0.5)&lt;1E-9,2*ROUND((L24*M24*revleg_full)/2,0),ROUND((L24*M24*revleg_full),0))*VLOOKUP(B24,country_opex,3,FALSE))+W24+X24+Y24+Z24+AA24))&lt;=0,"",VLOOKUP(B24,country_opex,7,FALSE)/((T24*pax_cap*load_full*IF(ABS(MOD(ABS((L24*M24*revleg_full)),1)-0.5)&lt;1E-9,2*ROUND((L24*M24*revleg_full)/2,0),ROUND((L24*M24*revleg_full),0)))-(((battery/range_nm)*D24*IF(ABS(MOD(ABS((L24*M24*revleg_full)),1)-0.5)&lt;1E-9,2*ROUND((L24*M24*revleg_full)/2,0),ROUND((L24*M24*revleg_full),0))*VLOOKUP(B24,country_opex,3,FALSE))+W24+X24+Y24+Z24+AA24)))</f>
        <v/>
      </c>
      <c r="AY24" s="46" t="inlineStr">
        <is>
          <t>https://www.uber.com/mx/en/ride/uber-black/</t>
        </is>
      </c>
      <c r="AZ24" s="46" t="inlineStr">
        <is>
          <t>https://servicios.apiqroo.com.mx/estadistica/datos/informeRutaPasaje.php?anio=2025</t>
        </is>
      </c>
      <c r="BA24" s="34" t="inlineStr">
        <is>
          <t>ics-413f51cd44</t>
        </is>
      </c>
    </row>
    <row r="25">
      <c r="A25" s="31" t="inlineStr">
        <is>
          <t>Mexico Caribbean</t>
        </is>
      </c>
      <c r="B25" s="31" t="inlineStr">
        <is>
          <t>Mexico</t>
        </is>
      </c>
      <c r="C25" s="32" t="inlineStr">
        <is>
          <t>Ultramar → Terminal Martima De Isla Mujeres</t>
        </is>
      </c>
      <c r="D25" s="33" t="n">
        <v>5.49</v>
      </c>
      <c r="E25" s="27" t="n"/>
      <c r="F25" s="34" t="n"/>
      <c r="G25" s="34" t="n"/>
      <c r="H25" s="20" t="n">
        <v>1</v>
      </c>
      <c r="I25" s="35">
        <f>60*D25/cruise_kt</f>
        <v/>
      </c>
      <c r="J25" s="35">
        <f>IF(B25="South Korea",D25/korea_charge_range_nm*korea_full_range_charge_min,0)</f>
        <v/>
      </c>
      <c r="K25" s="35">
        <f>IF(B25="South Korea",I25+korea_turn_min+korea_dwell_min+J25,I25+turn_min+dwell_min)</f>
        <v/>
      </c>
      <c r="L25" s="36">
        <f>IF(B25="South Korea",FLOOR(60*korea_service_hr/K25,1),MIN(15,FLOOR(60*service_hr/K25,1)))</f>
        <v/>
      </c>
      <c r="M25" s="36">
        <f>IF(ABS(MOD(ABS((365*mech_uptime*H25)),1)-0.5)&lt;1E-9,2*ROUND((365*mech_uptime*H25)/2,0),ROUND((365*mech_uptime*H25),0))</f>
        <v/>
      </c>
      <c r="N25" s="37">
        <f>mech_uptime</f>
        <v/>
      </c>
      <c r="O25" s="37">
        <f>IF(AND(B25="South Korea",scenario="MID"),korea_mid_revleg,revleg_sel)</f>
        <v/>
      </c>
      <c r="P25" s="36">
        <f>IF(ABS(MOD(ABS((L25*M25*O25)),1)-0.5)&lt;1E-9,2*ROUND((L25*M25*O25)/2,0),ROUND((L25*M25*O25),0))</f>
        <v/>
      </c>
      <c r="Q25" s="37">
        <f>IF(AND(B25="South Korea",scenario="MID"),korea_mid_load,load_sel)</f>
        <v/>
      </c>
      <c r="R25" s="38">
        <f>pax_cap*Q25</f>
        <v/>
      </c>
      <c r="S25" s="36">
        <f>R25*P25</f>
        <v/>
      </c>
      <c r="T25" s="39">
        <f>E25*discount</f>
        <v/>
      </c>
      <c r="U25" s="40">
        <f>T25*S25</f>
        <v/>
      </c>
      <c r="V25" s="40">
        <f>(battery/range_nm)*D25*P25*VLOOKUP(B25,country_opex,3,FALSE)</f>
        <v/>
      </c>
      <c r="W25" s="40">
        <f>VLOOKUP(B25,country_opex,2,FALSE)*crew_factor</f>
        <v/>
      </c>
      <c r="X25" s="40">
        <f>VLOOKUP(B25,country_opex,5,FALSE)</f>
        <v/>
      </c>
      <c r="Y25" s="40">
        <f>maint</f>
        <v/>
      </c>
      <c r="Z25" s="40">
        <f>VLOOKUP(B25,country_opex,7,FALSE)*ins_pct</f>
        <v/>
      </c>
      <c r="AA25" s="40">
        <f>charge_berth</f>
        <v/>
      </c>
      <c r="AB25" s="40">
        <f>V25+W25+X25+Y25+Z25+AA25</f>
        <v/>
      </c>
      <c r="AC25" s="40">
        <f>VLOOKUP(B25,country_opex,7,FALSE)/dep_years</f>
        <v/>
      </c>
      <c r="AD25" s="40">
        <f>U25-AB25</f>
        <v/>
      </c>
      <c r="AE25" s="37">
        <f>IF(U25=0,"",AD25/U25)</f>
        <v/>
      </c>
      <c r="AF25" s="38">
        <f>IF(AD25&lt;=0,"",VLOOKUP(B25,country_opex,7,FALSE)/AD25)</f>
        <v/>
      </c>
      <c r="AG25" s="35">
        <f>((D25*P25/diesel_nmpg)*diesel_co2pg-(battery/range_nm)*D25*P25*VLOOKUP(B25,country_opex,4,FALSE))/1000</f>
        <v/>
      </c>
      <c r="AH25" s="33" t="n"/>
      <c r="AI25" s="34" t="n"/>
      <c r="AJ25" s="34" t="n"/>
      <c r="AK25" s="41" t="n">
        <v>0.1</v>
      </c>
      <c r="AL25" s="36">
        <f>IF(AH25="","",AH25*AK25)</f>
        <v/>
      </c>
      <c r="AM25" s="36">
        <f>IF(OR(AH25="",S25=0),"",MIN(IF(AU25="",9.9E+99,AU25),FLOOR(AL25/S25,1)))</f>
        <v/>
      </c>
      <c r="AN25" s="40">
        <f>IF(AM25="","",AM25*IF(ABS(MOD(ABS((U25)),1)-0.5)&lt;1E-9,2*ROUND((U25)/2,0),ROUND((U25),0)))</f>
        <v/>
      </c>
      <c r="AO25" s="38">
        <f>IF(OR(AH25="",S25=0),"",MIN(IF(AU25="",9.9E+99,AU25),AL25/S25))</f>
        <v/>
      </c>
      <c r="AP25" s="40">
        <f>IF(AO25="","",AO25*IF(B25="South Korea",IF(ABS(MOD(ABS((U25)),1)-0.5)&lt;1E-9,2*ROUND((U25)/2,0),ROUND((U25),0)),U25))</f>
        <v/>
      </c>
      <c r="AQ25" s="42" t="n"/>
      <c r="AR25" s="34" t="inlineStr">
        <is>
          <t>Estimated</t>
        </is>
      </c>
      <c r="AS25" s="43" t="n"/>
      <c r="AT25" s="43" t="n"/>
      <c r="AU25" s="44" t="n"/>
      <c r="AV25" s="45">
        <f>IF(((T25*pax_cap*load_thin*IF(ABS(MOD(ABS((L25*M25*revleg_thin)),1)-0.5)&lt;1E-9,2*ROUND((L25*M25*revleg_thin)/2,0),ROUND((L25*M25*revleg_thin),0)))-(((battery/range_nm)*D25*IF(ABS(MOD(ABS((L25*M25*revleg_thin)),1)-0.5)&lt;1E-9,2*ROUND((L25*M25*revleg_thin)/2,0),ROUND((L25*M25*revleg_thin),0))*VLOOKUP(B25,country_opex,3,FALSE))+W25+X25+Y25+Z25+AA25))&lt;=0,"",VLOOKUP(B25,country_opex,7,FALSE)/((T25*pax_cap*load_thin*IF(ABS(MOD(ABS((L25*M25*revleg_thin)),1)-0.5)&lt;1E-9,2*ROUND((L25*M25*revleg_thin)/2,0),ROUND((L25*M25*revleg_thin),0)))-(((battery/range_nm)*D25*IF(ABS(MOD(ABS((L25*M25*revleg_thin)),1)-0.5)&lt;1E-9,2*ROUND((L25*M25*revleg_thin)/2,0),ROUND((L25*M25*revleg_thin),0))*VLOOKUP(B25,country_opex,3,FALSE))+W25+X25+Y25+Z25+AA25)))</f>
        <v/>
      </c>
      <c r="AW25" s="45">
        <f>IF(((T25*pax_cap*IF(B25="South Korea",korea_mid_load,load_mid)*IF(ABS(MOD(ABS((L25*M25*IF(B25="South Korea",korea_mid_revleg,revleg_mid))),1)-0.5)&lt;1E-9,2*ROUND((L25*M25*IF(B25="South Korea",korea_mid_revleg,revleg_mid))/2,0),ROUND((L25*M25*IF(B25="South Korea",korea_mid_revleg,revleg_mid)),0)))-(((battery/range_nm)*D25*IF(ABS(MOD(ABS((L25*M25*IF(B25="South Korea",korea_mid_revleg,revleg_mid))),1)-0.5)&lt;1E-9,2*ROUND((L25*M25*IF(B25="South Korea",korea_mid_revleg,revleg_mid))/2,0),ROUND((L25*M25*IF(B25="South Korea",korea_mid_revleg,revleg_mid)),0))*VLOOKUP(B25,country_opex,3,FALSE))+W25+X25+Y25+Z25+AA25))&lt;=0,"",VLOOKUP(B25,country_opex,7,FALSE)/((T25*pax_cap*IF(B25="South Korea",korea_mid_load,load_mid)*IF(ABS(MOD(ABS((L25*M25*IF(B25="South Korea",korea_mid_revleg,revleg_mid))),1)-0.5)&lt;1E-9,2*ROUND((L25*M25*IF(B25="South Korea",korea_mid_revleg,revleg_mid))/2,0),ROUND((L25*M25*IF(B25="South Korea",korea_mid_revleg,revleg_mid)),0)))-(((battery/range_nm)*D25*IF(ABS(MOD(ABS((L25*M25*IF(B25="South Korea",korea_mid_revleg,revleg_mid))),1)-0.5)&lt;1E-9,2*ROUND((L25*M25*IF(B25="South Korea",korea_mid_revleg,revleg_mid))/2,0),ROUND((L25*M25*IF(B25="South Korea",korea_mid_revleg,revleg_mid)),0))*VLOOKUP(B25,country_opex,3,FALSE))+W25+X25+Y25+Z25+AA25)))</f>
        <v/>
      </c>
      <c r="AX25" s="45">
        <f>IF(((T25*pax_cap*load_full*IF(ABS(MOD(ABS((L25*M25*revleg_full)),1)-0.5)&lt;1E-9,2*ROUND((L25*M25*revleg_full)/2,0),ROUND((L25*M25*revleg_full),0)))-(((battery/range_nm)*D25*IF(ABS(MOD(ABS((L25*M25*revleg_full)),1)-0.5)&lt;1E-9,2*ROUND((L25*M25*revleg_full)/2,0),ROUND((L25*M25*revleg_full),0))*VLOOKUP(B25,country_opex,3,FALSE))+W25+X25+Y25+Z25+AA25))&lt;=0,"",VLOOKUP(B25,country_opex,7,FALSE)/((T25*pax_cap*load_full*IF(ABS(MOD(ABS((L25*M25*revleg_full)),1)-0.5)&lt;1E-9,2*ROUND((L25*M25*revleg_full)/2,0),ROUND((L25*M25*revleg_full),0)))-(((battery/range_nm)*D25*IF(ABS(MOD(ABS((L25*M25*revleg_full)),1)-0.5)&lt;1E-9,2*ROUND((L25*M25*revleg_full)/2,0),ROUND((L25*M25*revleg_full),0))*VLOOKUP(B25,country_opex,3,FALSE))+W25+X25+Y25+Z25+AA25)))</f>
        <v/>
      </c>
      <c r="AY25" s="46" t="n"/>
      <c r="AZ25" s="46" t="n"/>
      <c r="BA25" s="34" t="inlineStr">
        <is>
          <t>ics-03e3853317</t>
        </is>
      </c>
    </row>
    <row r="26">
      <c r="A26" s="31" t="inlineStr">
        <is>
          <t>Mexico Caribbean</t>
        </is>
      </c>
      <c r="B26" s="31" t="inlineStr">
        <is>
          <t>Mexico</t>
        </is>
      </c>
      <c r="C26" s="32" t="inlineStr">
        <is>
          <t>Muelle Fiscal Playa del Carmen → Passenger Ferry Ultramar Cozumel</t>
        </is>
      </c>
      <c r="D26" s="33" t="n">
        <v>9.529999999999999</v>
      </c>
      <c r="E26" s="27" t="n">
        <v>30</v>
      </c>
      <c r="F26" s="34" t="inlineStr">
        <is>
          <t>T2</t>
        </is>
      </c>
      <c r="G26" s="34" t="inlineStr">
        <is>
          <t>med</t>
        </is>
      </c>
      <c r="H26" s="20" t="n">
        <v>1</v>
      </c>
      <c r="I26" s="35">
        <f>60*D26/cruise_kt</f>
        <v/>
      </c>
      <c r="J26" s="35">
        <f>IF(B26="South Korea",D26/korea_charge_range_nm*korea_full_range_charge_min,0)</f>
        <v/>
      </c>
      <c r="K26" s="35">
        <f>IF(B26="South Korea",I26+korea_turn_min+korea_dwell_min+J26,I26+turn_min+dwell_min)</f>
        <v/>
      </c>
      <c r="L26" s="36">
        <f>IF(B26="South Korea",FLOOR(60*korea_service_hr/K26,1),MIN(15,FLOOR(60*service_hr/K26,1)))</f>
        <v/>
      </c>
      <c r="M26" s="36">
        <f>IF(ABS(MOD(ABS((365*mech_uptime*H26)),1)-0.5)&lt;1E-9,2*ROUND((365*mech_uptime*H26)/2,0),ROUND((365*mech_uptime*H26),0))</f>
        <v/>
      </c>
      <c r="N26" s="37">
        <f>mech_uptime</f>
        <v/>
      </c>
      <c r="O26" s="37">
        <f>IF(AND(B26="South Korea",scenario="MID"),korea_mid_revleg,revleg_sel)</f>
        <v/>
      </c>
      <c r="P26" s="36">
        <f>IF(ABS(MOD(ABS((L26*M26*O26)),1)-0.5)&lt;1E-9,2*ROUND((L26*M26*O26)/2,0),ROUND((L26*M26*O26),0))</f>
        <v/>
      </c>
      <c r="Q26" s="37">
        <f>IF(AND(B26="South Korea",scenario="MID"),korea_mid_load,load_sel)</f>
        <v/>
      </c>
      <c r="R26" s="38">
        <f>pax_cap*Q26</f>
        <v/>
      </c>
      <c r="S26" s="36">
        <f>R26*P26</f>
        <v/>
      </c>
      <c r="T26" s="39">
        <f>E26*discount</f>
        <v/>
      </c>
      <c r="U26" s="40">
        <f>T26*S26</f>
        <v/>
      </c>
      <c r="V26" s="40">
        <f>(battery/range_nm)*D26*P26*VLOOKUP(B26,country_opex,3,FALSE)</f>
        <v/>
      </c>
      <c r="W26" s="40">
        <f>VLOOKUP(B26,country_opex,2,FALSE)*crew_factor</f>
        <v/>
      </c>
      <c r="X26" s="40">
        <f>VLOOKUP(B26,country_opex,5,FALSE)</f>
        <v/>
      </c>
      <c r="Y26" s="40">
        <f>maint</f>
        <v/>
      </c>
      <c r="Z26" s="40">
        <f>VLOOKUP(B26,country_opex,7,FALSE)*ins_pct</f>
        <v/>
      </c>
      <c r="AA26" s="40">
        <f>charge_berth</f>
        <v/>
      </c>
      <c r="AB26" s="40">
        <f>V26+W26+X26+Y26+Z26+AA26</f>
        <v/>
      </c>
      <c r="AC26" s="40">
        <f>VLOOKUP(B26,country_opex,7,FALSE)/dep_years</f>
        <v/>
      </c>
      <c r="AD26" s="40">
        <f>U26-AB26</f>
        <v/>
      </c>
      <c r="AE26" s="37">
        <f>IF(U26=0,"",AD26/U26)</f>
        <v/>
      </c>
      <c r="AF26" s="38">
        <f>IF(AD26&lt;=0,"",VLOOKUP(B26,country_opex,7,FALSE)/AD26)</f>
        <v/>
      </c>
      <c r="AG26" s="35">
        <f>((D26*P26/diesel_nmpg)*diesel_co2pg-(battery/range_nm)*D26*P26*VLOOKUP(B26,country_opex,4,FALSE))/1000</f>
        <v/>
      </c>
      <c r="AH26" s="33" t="n">
        <v>3853770</v>
      </c>
      <c r="AI26" s="34" t="inlineStr">
        <is>
          <t>T1</t>
        </is>
      </c>
      <c r="AJ26" s="34" t="inlineStr">
        <is>
          <t>high</t>
        </is>
      </c>
      <c r="AK26" s="41" t="n">
        <v>0.1</v>
      </c>
      <c r="AL26" s="36">
        <f>IF(AH26="","",AH26*AK26)</f>
        <v/>
      </c>
      <c r="AM26" s="36">
        <f>IF(OR(AH26="",S26=0),"",MIN(IF(AU26="",9.9E+99,AU26),FLOOR(AL26/S26,1)))</f>
        <v/>
      </c>
      <c r="AN26" s="40">
        <f>IF(AM26="","",AM26*IF(ABS(MOD(ABS((U26)),1)-0.5)&lt;1E-9,2*ROUND((U26)/2,0),ROUND((U26),0)))</f>
        <v/>
      </c>
      <c r="AO26" s="38">
        <f>IF(OR(AH26="",S26=0),"",MIN(IF(AU26="",9.9E+99,AU26),AL26/S26))</f>
        <v/>
      </c>
      <c r="AP26" s="40">
        <f>IF(AO26="","",AO26*IF(B26="South Korea",IF(ABS(MOD(ABS((U26)),1)-0.5)&lt;1E-9,2*ROUND((U26)/2,0),ROUND((U26),0)),U26))</f>
        <v/>
      </c>
      <c r="AQ26" s="42" t="n"/>
      <c r="AR26" s="34" t="inlineStr">
        <is>
          <t>Grounded</t>
        </is>
      </c>
      <c r="AS26" s="43" t="n"/>
      <c r="AT26" s="43" t="n"/>
      <c r="AU26" s="44" t="n"/>
      <c r="AV26" s="45">
        <f>IF(((T26*pax_cap*load_thin*IF(ABS(MOD(ABS((L26*M26*revleg_thin)),1)-0.5)&lt;1E-9,2*ROUND((L26*M26*revleg_thin)/2,0),ROUND((L26*M26*revleg_thin),0)))-(((battery/range_nm)*D26*IF(ABS(MOD(ABS((L26*M26*revleg_thin)),1)-0.5)&lt;1E-9,2*ROUND((L26*M26*revleg_thin)/2,0),ROUND((L26*M26*revleg_thin),0))*VLOOKUP(B26,country_opex,3,FALSE))+W26+X26+Y26+Z26+AA26))&lt;=0,"",VLOOKUP(B26,country_opex,7,FALSE)/((T26*pax_cap*load_thin*IF(ABS(MOD(ABS((L26*M26*revleg_thin)),1)-0.5)&lt;1E-9,2*ROUND((L26*M26*revleg_thin)/2,0),ROUND((L26*M26*revleg_thin),0)))-(((battery/range_nm)*D26*IF(ABS(MOD(ABS((L26*M26*revleg_thin)),1)-0.5)&lt;1E-9,2*ROUND((L26*M26*revleg_thin)/2,0),ROUND((L26*M26*revleg_thin),0))*VLOOKUP(B26,country_opex,3,FALSE))+W26+X26+Y26+Z26+AA26)))</f>
        <v/>
      </c>
      <c r="AW26" s="45">
        <f>IF(((T26*pax_cap*IF(B26="South Korea",korea_mid_load,load_mid)*IF(ABS(MOD(ABS((L26*M26*IF(B26="South Korea",korea_mid_revleg,revleg_mid))),1)-0.5)&lt;1E-9,2*ROUND((L26*M26*IF(B26="South Korea",korea_mid_revleg,revleg_mid))/2,0),ROUND((L26*M26*IF(B26="South Korea",korea_mid_revleg,revleg_mid)),0)))-(((battery/range_nm)*D26*IF(ABS(MOD(ABS((L26*M26*IF(B26="South Korea",korea_mid_revleg,revleg_mid))),1)-0.5)&lt;1E-9,2*ROUND((L26*M26*IF(B26="South Korea",korea_mid_revleg,revleg_mid))/2,0),ROUND((L26*M26*IF(B26="South Korea",korea_mid_revleg,revleg_mid)),0))*VLOOKUP(B26,country_opex,3,FALSE))+W26+X26+Y26+Z26+AA26))&lt;=0,"",VLOOKUP(B26,country_opex,7,FALSE)/((T26*pax_cap*IF(B26="South Korea",korea_mid_load,load_mid)*IF(ABS(MOD(ABS((L26*M26*IF(B26="South Korea",korea_mid_revleg,revleg_mid))),1)-0.5)&lt;1E-9,2*ROUND((L26*M26*IF(B26="South Korea",korea_mid_revleg,revleg_mid))/2,0),ROUND((L26*M26*IF(B26="South Korea",korea_mid_revleg,revleg_mid)),0)))-(((battery/range_nm)*D26*IF(ABS(MOD(ABS((L26*M26*IF(B26="South Korea",korea_mid_revleg,revleg_mid))),1)-0.5)&lt;1E-9,2*ROUND((L26*M26*IF(B26="South Korea",korea_mid_revleg,revleg_mid))/2,0),ROUND((L26*M26*IF(B26="South Korea",korea_mid_revleg,revleg_mid)),0))*VLOOKUP(B26,country_opex,3,FALSE))+W26+X26+Y26+Z26+AA26)))</f>
        <v/>
      </c>
      <c r="AX26" s="45">
        <f>IF(((T26*pax_cap*load_full*IF(ABS(MOD(ABS((L26*M26*revleg_full)),1)-0.5)&lt;1E-9,2*ROUND((L26*M26*revleg_full)/2,0),ROUND((L26*M26*revleg_full),0)))-(((battery/range_nm)*D26*IF(ABS(MOD(ABS((L26*M26*revleg_full)),1)-0.5)&lt;1E-9,2*ROUND((L26*M26*revleg_full)/2,0),ROUND((L26*M26*revleg_full),0))*VLOOKUP(B26,country_opex,3,FALSE))+W26+X26+Y26+Z26+AA26))&lt;=0,"",VLOOKUP(B26,country_opex,7,FALSE)/((T26*pax_cap*load_full*IF(ABS(MOD(ABS((L26*M26*revleg_full)),1)-0.5)&lt;1E-9,2*ROUND((L26*M26*revleg_full)/2,0),ROUND((L26*M26*revleg_full),0)))-(((battery/range_nm)*D26*IF(ABS(MOD(ABS((L26*M26*revleg_full)),1)-0.5)&lt;1E-9,2*ROUND((L26*M26*revleg_full)/2,0),ROUND((L26*M26*revleg_full),0))*VLOOKUP(B26,country_opex,3,FALSE))+W26+X26+Y26+Z26+AA26)))</f>
        <v/>
      </c>
      <c r="AY26" s="46" t="inlineStr">
        <is>
          <t>https://www.uber.com/mx/en/ride/uber-black/</t>
        </is>
      </c>
      <c r="AZ26" s="46" t="inlineStr">
        <is>
          <t>https://servicios.apiqroo.com.mx/estadistica/datos/informeRutaPasaje.php?anio=2025</t>
        </is>
      </c>
      <c r="BA26" s="34" t="inlineStr">
        <is>
          <t>ics-dd1d814699</t>
        </is>
      </c>
    </row>
    <row r="27">
      <c r="A27" s="31" t="inlineStr">
        <is>
          <t>Mexico Pacific</t>
        </is>
      </c>
      <c r="B27" s="31" t="inlineStr">
        <is>
          <t>Mexico</t>
        </is>
      </c>
      <c r="C27" s="32" t="inlineStr">
        <is>
          <t>Puerto Vallarta &amp; Riviera Nayarit → Punta De Mita</t>
        </is>
      </c>
      <c r="D27" s="33" t="n">
        <v>9.9</v>
      </c>
      <c r="E27" s="27" t="n"/>
      <c r="F27" s="34" t="n"/>
      <c r="G27" s="34" t="n"/>
      <c r="H27" s="20" t="n">
        <v>1</v>
      </c>
      <c r="I27" s="35">
        <f>60*D27/cruise_kt</f>
        <v/>
      </c>
      <c r="J27" s="35">
        <f>IF(B27="South Korea",D27/korea_charge_range_nm*korea_full_range_charge_min,0)</f>
        <v/>
      </c>
      <c r="K27" s="35">
        <f>IF(B27="South Korea",I27+korea_turn_min+korea_dwell_min+J27,I27+turn_min+dwell_min)</f>
        <v/>
      </c>
      <c r="L27" s="36">
        <f>IF(B27="South Korea",FLOOR(60*korea_service_hr/K27,1),MIN(15,FLOOR(60*service_hr/K27,1)))</f>
        <v/>
      </c>
      <c r="M27" s="36">
        <f>IF(ABS(MOD(ABS((365*mech_uptime*H27)),1)-0.5)&lt;1E-9,2*ROUND((365*mech_uptime*H27)/2,0),ROUND((365*mech_uptime*H27),0))</f>
        <v/>
      </c>
      <c r="N27" s="37">
        <f>mech_uptime</f>
        <v/>
      </c>
      <c r="O27" s="37">
        <f>IF(AND(B27="South Korea",scenario="MID"),korea_mid_revleg,revleg_sel)</f>
        <v/>
      </c>
      <c r="P27" s="36">
        <f>IF(ABS(MOD(ABS((L27*M27*O27)),1)-0.5)&lt;1E-9,2*ROUND((L27*M27*O27)/2,0),ROUND((L27*M27*O27),0))</f>
        <v/>
      </c>
      <c r="Q27" s="37">
        <f>IF(AND(B27="South Korea",scenario="MID"),korea_mid_load,load_sel)</f>
        <v/>
      </c>
      <c r="R27" s="38">
        <f>pax_cap*Q27</f>
        <v/>
      </c>
      <c r="S27" s="36">
        <f>R27*P27</f>
        <v/>
      </c>
      <c r="T27" s="39">
        <f>E27*discount</f>
        <v/>
      </c>
      <c r="U27" s="40">
        <f>T27*S27</f>
        <v/>
      </c>
      <c r="V27" s="40">
        <f>(battery/range_nm)*D27*P27*VLOOKUP(B27,country_opex,3,FALSE)</f>
        <v/>
      </c>
      <c r="W27" s="40">
        <f>VLOOKUP(B27,country_opex,2,FALSE)*crew_factor</f>
        <v/>
      </c>
      <c r="X27" s="40">
        <f>VLOOKUP(B27,country_opex,5,FALSE)</f>
        <v/>
      </c>
      <c r="Y27" s="40">
        <f>maint</f>
        <v/>
      </c>
      <c r="Z27" s="40">
        <f>VLOOKUP(B27,country_opex,7,FALSE)*ins_pct</f>
        <v/>
      </c>
      <c r="AA27" s="40">
        <f>charge_berth</f>
        <v/>
      </c>
      <c r="AB27" s="40">
        <f>V27+W27+X27+Y27+Z27+AA27</f>
        <v/>
      </c>
      <c r="AC27" s="40">
        <f>VLOOKUP(B27,country_opex,7,FALSE)/dep_years</f>
        <v/>
      </c>
      <c r="AD27" s="40">
        <f>U27-AB27</f>
        <v/>
      </c>
      <c r="AE27" s="37">
        <f>IF(U27=0,"",AD27/U27)</f>
        <v/>
      </c>
      <c r="AF27" s="38">
        <f>IF(AD27&lt;=0,"",VLOOKUP(B27,country_opex,7,FALSE)/AD27)</f>
        <v/>
      </c>
      <c r="AG27" s="35">
        <f>((D27*P27/diesel_nmpg)*diesel_co2pg-(battery/range_nm)*D27*P27*VLOOKUP(B27,country_opex,4,FALSE))/1000</f>
        <v/>
      </c>
      <c r="AH27" s="33" t="n"/>
      <c r="AI27" s="34" t="n"/>
      <c r="AJ27" s="34" t="n"/>
      <c r="AK27" s="41" t="n">
        <v>0.1</v>
      </c>
      <c r="AL27" s="36">
        <f>IF(AH27="","",AH27*AK27)</f>
        <v/>
      </c>
      <c r="AM27" s="36">
        <f>IF(OR(AH27="",S27=0),"",MIN(IF(AU27="",9.9E+99,AU27),FLOOR(AL27/S27,1)))</f>
        <v/>
      </c>
      <c r="AN27" s="40">
        <f>IF(AM27="","",AM27*IF(ABS(MOD(ABS((U27)),1)-0.5)&lt;1E-9,2*ROUND((U27)/2,0),ROUND((U27),0)))</f>
        <v/>
      </c>
      <c r="AO27" s="38">
        <f>IF(OR(AH27="",S27=0),"",MIN(IF(AU27="",9.9E+99,AU27),AL27/S27))</f>
        <v/>
      </c>
      <c r="AP27" s="40">
        <f>IF(AO27="","",AO27*IF(B27="South Korea",IF(ABS(MOD(ABS((U27)),1)-0.5)&lt;1E-9,2*ROUND((U27)/2,0),ROUND((U27),0)),U27))</f>
        <v/>
      </c>
      <c r="AQ27" s="42" t="n"/>
      <c r="AR27" s="34" t="inlineStr">
        <is>
          <t>Estimated</t>
        </is>
      </c>
      <c r="AS27" s="43" t="n"/>
      <c r="AT27" s="43" t="n"/>
      <c r="AU27" s="44" t="n"/>
      <c r="AV27" s="45">
        <f>IF(((T27*pax_cap*load_thin*IF(ABS(MOD(ABS((L27*M27*revleg_thin)),1)-0.5)&lt;1E-9,2*ROUND((L27*M27*revleg_thin)/2,0),ROUND((L27*M27*revleg_thin),0)))-(((battery/range_nm)*D27*IF(ABS(MOD(ABS((L27*M27*revleg_thin)),1)-0.5)&lt;1E-9,2*ROUND((L27*M27*revleg_thin)/2,0),ROUND((L27*M27*revleg_thin),0))*VLOOKUP(B27,country_opex,3,FALSE))+W27+X27+Y27+Z27+AA27))&lt;=0,"",VLOOKUP(B27,country_opex,7,FALSE)/((T27*pax_cap*load_thin*IF(ABS(MOD(ABS((L27*M27*revleg_thin)),1)-0.5)&lt;1E-9,2*ROUND((L27*M27*revleg_thin)/2,0),ROUND((L27*M27*revleg_thin),0)))-(((battery/range_nm)*D27*IF(ABS(MOD(ABS((L27*M27*revleg_thin)),1)-0.5)&lt;1E-9,2*ROUND((L27*M27*revleg_thin)/2,0),ROUND((L27*M27*revleg_thin),0))*VLOOKUP(B27,country_opex,3,FALSE))+W27+X27+Y27+Z27+AA27)))</f>
        <v/>
      </c>
      <c r="AW27" s="45">
        <f>IF(((T27*pax_cap*IF(B27="South Korea",korea_mid_load,load_mid)*IF(ABS(MOD(ABS((L27*M27*IF(B27="South Korea",korea_mid_revleg,revleg_mid))),1)-0.5)&lt;1E-9,2*ROUND((L27*M27*IF(B27="South Korea",korea_mid_revleg,revleg_mid))/2,0),ROUND((L27*M27*IF(B27="South Korea",korea_mid_revleg,revleg_mid)),0)))-(((battery/range_nm)*D27*IF(ABS(MOD(ABS((L27*M27*IF(B27="South Korea",korea_mid_revleg,revleg_mid))),1)-0.5)&lt;1E-9,2*ROUND((L27*M27*IF(B27="South Korea",korea_mid_revleg,revleg_mid))/2,0),ROUND((L27*M27*IF(B27="South Korea",korea_mid_revleg,revleg_mid)),0))*VLOOKUP(B27,country_opex,3,FALSE))+W27+X27+Y27+Z27+AA27))&lt;=0,"",VLOOKUP(B27,country_opex,7,FALSE)/((T27*pax_cap*IF(B27="South Korea",korea_mid_load,load_mid)*IF(ABS(MOD(ABS((L27*M27*IF(B27="South Korea",korea_mid_revleg,revleg_mid))),1)-0.5)&lt;1E-9,2*ROUND((L27*M27*IF(B27="South Korea",korea_mid_revleg,revleg_mid))/2,0),ROUND((L27*M27*IF(B27="South Korea",korea_mid_revleg,revleg_mid)),0)))-(((battery/range_nm)*D27*IF(ABS(MOD(ABS((L27*M27*IF(B27="South Korea",korea_mid_revleg,revleg_mid))),1)-0.5)&lt;1E-9,2*ROUND((L27*M27*IF(B27="South Korea",korea_mid_revleg,revleg_mid))/2,0),ROUND((L27*M27*IF(B27="South Korea",korea_mid_revleg,revleg_mid)),0))*VLOOKUP(B27,country_opex,3,FALSE))+W27+X27+Y27+Z27+AA27)))</f>
        <v/>
      </c>
      <c r="AX27" s="45">
        <f>IF(((T27*pax_cap*load_full*IF(ABS(MOD(ABS((L27*M27*revleg_full)),1)-0.5)&lt;1E-9,2*ROUND((L27*M27*revleg_full)/2,0),ROUND((L27*M27*revleg_full),0)))-(((battery/range_nm)*D27*IF(ABS(MOD(ABS((L27*M27*revleg_full)),1)-0.5)&lt;1E-9,2*ROUND((L27*M27*revleg_full)/2,0),ROUND((L27*M27*revleg_full),0))*VLOOKUP(B27,country_opex,3,FALSE))+W27+X27+Y27+Z27+AA27))&lt;=0,"",VLOOKUP(B27,country_opex,7,FALSE)/((T27*pax_cap*load_full*IF(ABS(MOD(ABS((L27*M27*revleg_full)),1)-0.5)&lt;1E-9,2*ROUND((L27*M27*revleg_full)/2,0),ROUND((L27*M27*revleg_full),0)))-(((battery/range_nm)*D27*IF(ABS(MOD(ABS((L27*M27*revleg_full)),1)-0.5)&lt;1E-9,2*ROUND((L27*M27*revleg_full)/2,0),ROUND((L27*M27*revleg_full),0))*VLOOKUP(B27,country_opex,3,FALSE))+W27+X27+Y27+Z27+AA27)))</f>
        <v/>
      </c>
      <c r="AY27" s="46" t="n"/>
      <c r="AZ27" s="46" t="n"/>
      <c r="BA27" s="34" t="inlineStr">
        <is>
          <t>ics-de6758216f</t>
        </is>
      </c>
    </row>
    <row r="28">
      <c r="A28" s="31" t="inlineStr">
        <is>
          <t>Mexico Pacific</t>
        </is>
      </c>
      <c r="B28" s="31" t="inlineStr">
        <is>
          <t>Mexico</t>
        </is>
      </c>
      <c r="C28" s="32" t="inlineStr">
        <is>
          <t>Puerto Vallarta &amp; Riviera Nayarit → Yelapa</t>
        </is>
      </c>
      <c r="D28" s="33" t="n">
        <v>14.5</v>
      </c>
      <c r="E28" s="27" t="n">
        <v>18.19</v>
      </c>
      <c r="F28" s="34" t="inlineStr">
        <is>
          <t>T2</t>
        </is>
      </c>
      <c r="G28" s="34" t="inlineStr">
        <is>
          <t>med</t>
        </is>
      </c>
      <c r="H28" s="20" t="n">
        <v>1</v>
      </c>
      <c r="I28" s="35">
        <f>60*D28/cruise_kt</f>
        <v/>
      </c>
      <c r="J28" s="35">
        <f>IF(B28="South Korea",D28/korea_charge_range_nm*korea_full_range_charge_min,0)</f>
        <v/>
      </c>
      <c r="K28" s="35">
        <f>IF(B28="South Korea",I28+korea_turn_min+korea_dwell_min+J28,I28+turn_min+dwell_min)</f>
        <v/>
      </c>
      <c r="L28" s="36">
        <f>IF(B28="South Korea",FLOOR(60*korea_service_hr/K28,1),MIN(15,FLOOR(60*service_hr/K28,1)))</f>
        <v/>
      </c>
      <c r="M28" s="36">
        <f>IF(ABS(MOD(ABS((365*mech_uptime*H28)),1)-0.5)&lt;1E-9,2*ROUND((365*mech_uptime*H28)/2,0),ROUND((365*mech_uptime*H28),0))</f>
        <v/>
      </c>
      <c r="N28" s="37">
        <f>mech_uptime</f>
        <v/>
      </c>
      <c r="O28" s="37">
        <f>IF(AND(B28="South Korea",scenario="MID"),korea_mid_revleg,revleg_sel)</f>
        <v/>
      </c>
      <c r="P28" s="36">
        <f>IF(ABS(MOD(ABS((L28*M28*O28)),1)-0.5)&lt;1E-9,2*ROUND((L28*M28*O28)/2,0),ROUND((L28*M28*O28),0))</f>
        <v/>
      </c>
      <c r="Q28" s="37">
        <f>IF(AND(B28="South Korea",scenario="MID"),korea_mid_load,load_sel)</f>
        <v/>
      </c>
      <c r="R28" s="38">
        <f>pax_cap*Q28</f>
        <v/>
      </c>
      <c r="S28" s="36">
        <f>R28*P28</f>
        <v/>
      </c>
      <c r="T28" s="39">
        <f>E28*discount</f>
        <v/>
      </c>
      <c r="U28" s="40">
        <f>T28*S28</f>
        <v/>
      </c>
      <c r="V28" s="40">
        <f>(battery/range_nm)*D28*P28*VLOOKUP(B28,country_opex,3,FALSE)</f>
        <v/>
      </c>
      <c r="W28" s="40">
        <f>VLOOKUP(B28,country_opex,2,FALSE)*crew_factor</f>
        <v/>
      </c>
      <c r="X28" s="40">
        <f>VLOOKUP(B28,country_opex,5,FALSE)</f>
        <v/>
      </c>
      <c r="Y28" s="40">
        <f>maint</f>
        <v/>
      </c>
      <c r="Z28" s="40">
        <f>VLOOKUP(B28,country_opex,7,FALSE)*ins_pct</f>
        <v/>
      </c>
      <c r="AA28" s="40">
        <f>charge_berth</f>
        <v/>
      </c>
      <c r="AB28" s="40">
        <f>V28+W28+X28+Y28+Z28+AA28</f>
        <v/>
      </c>
      <c r="AC28" s="40">
        <f>VLOOKUP(B28,country_opex,7,FALSE)/dep_years</f>
        <v/>
      </c>
      <c r="AD28" s="40">
        <f>U28-AB28</f>
        <v/>
      </c>
      <c r="AE28" s="37">
        <f>IF(U28=0,"",AD28/U28)</f>
        <v/>
      </c>
      <c r="AF28" s="38">
        <f>IF(AD28&lt;=0,"",VLOOKUP(B28,country_opex,7,FALSE)/AD28)</f>
        <v/>
      </c>
      <c r="AG28" s="35">
        <f>((D28*P28/diesel_nmpg)*diesel_co2pg-(battery/range_nm)*D28*P28*VLOOKUP(B28,country_opex,4,FALSE))/1000</f>
        <v/>
      </c>
      <c r="AH28" s="33" t="n"/>
      <c r="AI28" s="34" t="n"/>
      <c r="AJ28" s="34" t="n"/>
      <c r="AK28" s="41" t="n">
        <v>0.1</v>
      </c>
      <c r="AL28" s="36">
        <f>IF(AH28="","",AH28*AK28)</f>
        <v/>
      </c>
      <c r="AM28" s="36">
        <f>IF(OR(AH28="",S28=0),"",MIN(IF(AU28="",9.9E+99,AU28),FLOOR(AL28/S28,1)))</f>
        <v/>
      </c>
      <c r="AN28" s="40">
        <f>IF(AM28="","",AM28*IF(ABS(MOD(ABS((U28)),1)-0.5)&lt;1E-9,2*ROUND((U28)/2,0),ROUND((U28),0)))</f>
        <v/>
      </c>
      <c r="AO28" s="38">
        <f>IF(OR(AH28="",S28=0),"",MIN(IF(AU28="",9.9E+99,AU28),AL28/S28))</f>
        <v/>
      </c>
      <c r="AP28" s="40">
        <f>IF(AO28="","",AO28*IF(B28="South Korea",IF(ABS(MOD(ABS((U28)),1)-0.5)&lt;1E-9,2*ROUND((U28)/2,0),ROUND((U28),0)),U28))</f>
        <v/>
      </c>
      <c r="AQ28" s="42" t="n"/>
      <c r="AR28" s="34" t="inlineStr">
        <is>
          <t>Estimated</t>
        </is>
      </c>
      <c r="AS28" s="43" t="n"/>
      <c r="AT28" s="43" t="n"/>
      <c r="AU28" s="44" t="n"/>
      <c r="AV28" s="45">
        <f>IF(((T28*pax_cap*load_thin*IF(ABS(MOD(ABS((L28*M28*revleg_thin)),1)-0.5)&lt;1E-9,2*ROUND((L28*M28*revleg_thin)/2,0),ROUND((L28*M28*revleg_thin),0)))-(((battery/range_nm)*D28*IF(ABS(MOD(ABS((L28*M28*revleg_thin)),1)-0.5)&lt;1E-9,2*ROUND((L28*M28*revleg_thin)/2,0),ROUND((L28*M28*revleg_thin),0))*VLOOKUP(B28,country_opex,3,FALSE))+W28+X28+Y28+Z28+AA28))&lt;=0,"",VLOOKUP(B28,country_opex,7,FALSE)/((T28*pax_cap*load_thin*IF(ABS(MOD(ABS((L28*M28*revleg_thin)),1)-0.5)&lt;1E-9,2*ROUND((L28*M28*revleg_thin)/2,0),ROUND((L28*M28*revleg_thin),0)))-(((battery/range_nm)*D28*IF(ABS(MOD(ABS((L28*M28*revleg_thin)),1)-0.5)&lt;1E-9,2*ROUND((L28*M28*revleg_thin)/2,0),ROUND((L28*M28*revleg_thin),0))*VLOOKUP(B28,country_opex,3,FALSE))+W28+X28+Y28+Z28+AA28)))</f>
        <v/>
      </c>
      <c r="AW28" s="45">
        <f>IF(((T28*pax_cap*IF(B28="South Korea",korea_mid_load,load_mid)*IF(ABS(MOD(ABS((L28*M28*IF(B28="South Korea",korea_mid_revleg,revleg_mid))),1)-0.5)&lt;1E-9,2*ROUND((L28*M28*IF(B28="South Korea",korea_mid_revleg,revleg_mid))/2,0),ROUND((L28*M28*IF(B28="South Korea",korea_mid_revleg,revleg_mid)),0)))-(((battery/range_nm)*D28*IF(ABS(MOD(ABS((L28*M28*IF(B28="South Korea",korea_mid_revleg,revleg_mid))),1)-0.5)&lt;1E-9,2*ROUND((L28*M28*IF(B28="South Korea",korea_mid_revleg,revleg_mid))/2,0),ROUND((L28*M28*IF(B28="South Korea",korea_mid_revleg,revleg_mid)),0))*VLOOKUP(B28,country_opex,3,FALSE))+W28+X28+Y28+Z28+AA28))&lt;=0,"",VLOOKUP(B28,country_opex,7,FALSE)/((T28*pax_cap*IF(B28="South Korea",korea_mid_load,load_mid)*IF(ABS(MOD(ABS((L28*M28*IF(B28="South Korea",korea_mid_revleg,revleg_mid))),1)-0.5)&lt;1E-9,2*ROUND((L28*M28*IF(B28="South Korea",korea_mid_revleg,revleg_mid))/2,0),ROUND((L28*M28*IF(B28="South Korea",korea_mid_revleg,revleg_mid)),0)))-(((battery/range_nm)*D28*IF(ABS(MOD(ABS((L28*M28*IF(B28="South Korea",korea_mid_revleg,revleg_mid))),1)-0.5)&lt;1E-9,2*ROUND((L28*M28*IF(B28="South Korea",korea_mid_revleg,revleg_mid))/2,0),ROUND((L28*M28*IF(B28="South Korea",korea_mid_revleg,revleg_mid)),0))*VLOOKUP(B28,country_opex,3,FALSE))+W28+X28+Y28+Z28+AA28)))</f>
        <v/>
      </c>
      <c r="AX28" s="45">
        <f>IF(((T28*pax_cap*load_full*IF(ABS(MOD(ABS((L28*M28*revleg_full)),1)-0.5)&lt;1E-9,2*ROUND((L28*M28*revleg_full)/2,0),ROUND((L28*M28*revleg_full),0)))-(((battery/range_nm)*D28*IF(ABS(MOD(ABS((L28*M28*revleg_full)),1)-0.5)&lt;1E-9,2*ROUND((L28*M28*revleg_full)/2,0),ROUND((L28*M28*revleg_full),0))*VLOOKUP(B28,country_opex,3,FALSE))+W28+X28+Y28+Z28+AA28))&lt;=0,"",VLOOKUP(B28,country_opex,7,FALSE)/((T28*pax_cap*load_full*IF(ABS(MOD(ABS((L28*M28*revleg_full)),1)-0.5)&lt;1E-9,2*ROUND((L28*M28*revleg_full)/2,0),ROUND((L28*M28*revleg_full),0)))-(((battery/range_nm)*D28*IF(ABS(MOD(ABS((L28*M28*revleg_full)),1)-0.5)&lt;1E-9,2*ROUND((L28*M28*revleg_full)/2,0),ROUND((L28*M28*revleg_full),0))*VLOOKUP(B28,country_opex,3,FALSE))+W28+X28+Y28+Z28+AA28)))</f>
        <v/>
      </c>
      <c r="AY28" s="46" t="inlineStr">
        <is>
          <t>https://www.yelapa.info/transport1.html</t>
        </is>
      </c>
      <c r="AZ28" s="46" t="n"/>
      <c r="BA28" s="34" t="inlineStr">
        <is>
          <t>ics-89a8844858</t>
        </is>
      </c>
    </row>
    <row r="29">
      <c r="A29" s="31" t="inlineStr">
        <is>
          <t>Mexico Pacific</t>
        </is>
      </c>
      <c r="B29" s="31" t="inlineStr">
        <is>
          <t>Mexico</t>
        </is>
      </c>
      <c r="C29" s="32" t="inlineStr">
        <is>
          <t>Cabo San Lucas Marina → Los Cabos, Baja Sur</t>
        </is>
      </c>
      <c r="D29" s="33" t="n">
        <v>17</v>
      </c>
      <c r="E29" s="27" t="n"/>
      <c r="F29" s="34" t="n"/>
      <c r="G29" s="34" t="n"/>
      <c r="H29" s="20" t="n">
        <v>1</v>
      </c>
      <c r="I29" s="35">
        <f>60*D29/cruise_kt</f>
        <v/>
      </c>
      <c r="J29" s="35">
        <f>IF(B29="South Korea",D29/korea_charge_range_nm*korea_full_range_charge_min,0)</f>
        <v/>
      </c>
      <c r="K29" s="35">
        <f>IF(B29="South Korea",I29+korea_turn_min+korea_dwell_min+J29,I29+turn_min+dwell_min)</f>
        <v/>
      </c>
      <c r="L29" s="36">
        <f>IF(B29="South Korea",FLOOR(60*korea_service_hr/K29,1),MIN(15,FLOOR(60*service_hr/K29,1)))</f>
        <v/>
      </c>
      <c r="M29" s="36">
        <f>IF(ABS(MOD(ABS((365*mech_uptime*H29)),1)-0.5)&lt;1E-9,2*ROUND((365*mech_uptime*H29)/2,0),ROUND((365*mech_uptime*H29),0))</f>
        <v/>
      </c>
      <c r="N29" s="37">
        <f>mech_uptime</f>
        <v/>
      </c>
      <c r="O29" s="37">
        <f>IF(AND(B29="South Korea",scenario="MID"),korea_mid_revleg,revleg_sel)</f>
        <v/>
      </c>
      <c r="P29" s="36">
        <f>IF(ABS(MOD(ABS((L29*M29*O29)),1)-0.5)&lt;1E-9,2*ROUND((L29*M29*O29)/2,0),ROUND((L29*M29*O29),0))</f>
        <v/>
      </c>
      <c r="Q29" s="37">
        <f>IF(AND(B29="South Korea",scenario="MID"),korea_mid_load,load_sel)</f>
        <v/>
      </c>
      <c r="R29" s="38">
        <f>pax_cap*Q29</f>
        <v/>
      </c>
      <c r="S29" s="36">
        <f>R29*P29</f>
        <v/>
      </c>
      <c r="T29" s="39">
        <f>E29*discount</f>
        <v/>
      </c>
      <c r="U29" s="40">
        <f>T29*S29</f>
        <v/>
      </c>
      <c r="V29" s="40">
        <f>(battery/range_nm)*D29*P29*VLOOKUP(B29,country_opex,3,FALSE)</f>
        <v/>
      </c>
      <c r="W29" s="40">
        <f>VLOOKUP(B29,country_opex,2,FALSE)*crew_factor</f>
        <v/>
      </c>
      <c r="X29" s="40">
        <f>VLOOKUP(B29,country_opex,5,FALSE)</f>
        <v/>
      </c>
      <c r="Y29" s="40">
        <f>maint</f>
        <v/>
      </c>
      <c r="Z29" s="40">
        <f>VLOOKUP(B29,country_opex,7,FALSE)*ins_pct</f>
        <v/>
      </c>
      <c r="AA29" s="40">
        <f>charge_berth</f>
        <v/>
      </c>
      <c r="AB29" s="40">
        <f>V29+W29+X29+Y29+Z29+AA29</f>
        <v/>
      </c>
      <c r="AC29" s="40">
        <f>VLOOKUP(B29,country_opex,7,FALSE)/dep_years</f>
        <v/>
      </c>
      <c r="AD29" s="40">
        <f>U29-AB29</f>
        <v/>
      </c>
      <c r="AE29" s="37">
        <f>IF(U29=0,"",AD29/U29)</f>
        <v/>
      </c>
      <c r="AF29" s="38">
        <f>IF(AD29&lt;=0,"",VLOOKUP(B29,country_opex,7,FALSE)/AD29)</f>
        <v/>
      </c>
      <c r="AG29" s="35">
        <f>((D29*P29/diesel_nmpg)*diesel_co2pg-(battery/range_nm)*D29*P29*VLOOKUP(B29,country_opex,4,FALSE))/1000</f>
        <v/>
      </c>
      <c r="AH29" s="33" t="n"/>
      <c r="AI29" s="34" t="n"/>
      <c r="AJ29" s="34" t="n"/>
      <c r="AK29" s="41" t="n">
        <v>0.1</v>
      </c>
      <c r="AL29" s="36">
        <f>IF(AH29="","",AH29*AK29)</f>
        <v/>
      </c>
      <c r="AM29" s="36">
        <f>IF(OR(AH29="",S29=0),"",MIN(IF(AU29="",9.9E+99,AU29),FLOOR(AL29/S29,1)))</f>
        <v/>
      </c>
      <c r="AN29" s="40">
        <f>IF(AM29="","",AM29*IF(ABS(MOD(ABS((U29)),1)-0.5)&lt;1E-9,2*ROUND((U29)/2,0),ROUND((U29),0)))</f>
        <v/>
      </c>
      <c r="AO29" s="38">
        <f>IF(OR(AH29="",S29=0),"",MIN(IF(AU29="",9.9E+99,AU29),AL29/S29))</f>
        <v/>
      </c>
      <c r="AP29" s="40">
        <f>IF(AO29="","",AO29*IF(B29="South Korea",IF(ABS(MOD(ABS((U29)),1)-0.5)&lt;1E-9,2*ROUND((U29)/2,0),ROUND((U29),0)),U29))</f>
        <v/>
      </c>
      <c r="AQ29" s="42" t="n"/>
      <c r="AR29" s="34" t="inlineStr">
        <is>
          <t>Estimated</t>
        </is>
      </c>
      <c r="AS29" s="43" t="n"/>
      <c r="AT29" s="43" t="n"/>
      <c r="AU29" s="44" t="n"/>
      <c r="AV29" s="45">
        <f>IF(((T29*pax_cap*load_thin*IF(ABS(MOD(ABS((L29*M29*revleg_thin)),1)-0.5)&lt;1E-9,2*ROUND((L29*M29*revleg_thin)/2,0),ROUND((L29*M29*revleg_thin),0)))-(((battery/range_nm)*D29*IF(ABS(MOD(ABS((L29*M29*revleg_thin)),1)-0.5)&lt;1E-9,2*ROUND((L29*M29*revleg_thin)/2,0),ROUND((L29*M29*revleg_thin),0))*VLOOKUP(B29,country_opex,3,FALSE))+W29+X29+Y29+Z29+AA29))&lt;=0,"",VLOOKUP(B29,country_opex,7,FALSE)/((T29*pax_cap*load_thin*IF(ABS(MOD(ABS((L29*M29*revleg_thin)),1)-0.5)&lt;1E-9,2*ROUND((L29*M29*revleg_thin)/2,0),ROUND((L29*M29*revleg_thin),0)))-(((battery/range_nm)*D29*IF(ABS(MOD(ABS((L29*M29*revleg_thin)),1)-0.5)&lt;1E-9,2*ROUND((L29*M29*revleg_thin)/2,0),ROUND((L29*M29*revleg_thin),0))*VLOOKUP(B29,country_opex,3,FALSE))+W29+X29+Y29+Z29+AA29)))</f>
        <v/>
      </c>
      <c r="AW29" s="45">
        <f>IF(((T29*pax_cap*IF(B29="South Korea",korea_mid_load,load_mid)*IF(ABS(MOD(ABS((L29*M29*IF(B29="South Korea",korea_mid_revleg,revleg_mid))),1)-0.5)&lt;1E-9,2*ROUND((L29*M29*IF(B29="South Korea",korea_mid_revleg,revleg_mid))/2,0),ROUND((L29*M29*IF(B29="South Korea",korea_mid_revleg,revleg_mid)),0)))-(((battery/range_nm)*D29*IF(ABS(MOD(ABS((L29*M29*IF(B29="South Korea",korea_mid_revleg,revleg_mid))),1)-0.5)&lt;1E-9,2*ROUND((L29*M29*IF(B29="South Korea",korea_mid_revleg,revleg_mid))/2,0),ROUND((L29*M29*IF(B29="South Korea",korea_mid_revleg,revleg_mid)),0))*VLOOKUP(B29,country_opex,3,FALSE))+W29+X29+Y29+Z29+AA29))&lt;=0,"",VLOOKUP(B29,country_opex,7,FALSE)/((T29*pax_cap*IF(B29="South Korea",korea_mid_load,load_mid)*IF(ABS(MOD(ABS((L29*M29*IF(B29="South Korea",korea_mid_revleg,revleg_mid))),1)-0.5)&lt;1E-9,2*ROUND((L29*M29*IF(B29="South Korea",korea_mid_revleg,revleg_mid))/2,0),ROUND((L29*M29*IF(B29="South Korea",korea_mid_revleg,revleg_mid)),0)))-(((battery/range_nm)*D29*IF(ABS(MOD(ABS((L29*M29*IF(B29="South Korea",korea_mid_revleg,revleg_mid))),1)-0.5)&lt;1E-9,2*ROUND((L29*M29*IF(B29="South Korea",korea_mid_revleg,revleg_mid))/2,0),ROUND((L29*M29*IF(B29="South Korea",korea_mid_revleg,revleg_mid)),0))*VLOOKUP(B29,country_opex,3,FALSE))+W29+X29+Y29+Z29+AA29)))</f>
        <v/>
      </c>
      <c r="AX29" s="45">
        <f>IF(((T29*pax_cap*load_full*IF(ABS(MOD(ABS((L29*M29*revleg_full)),1)-0.5)&lt;1E-9,2*ROUND((L29*M29*revleg_full)/2,0),ROUND((L29*M29*revleg_full),0)))-(((battery/range_nm)*D29*IF(ABS(MOD(ABS((L29*M29*revleg_full)),1)-0.5)&lt;1E-9,2*ROUND((L29*M29*revleg_full)/2,0),ROUND((L29*M29*revleg_full),0))*VLOOKUP(B29,country_opex,3,FALSE))+W29+X29+Y29+Z29+AA29))&lt;=0,"",VLOOKUP(B29,country_opex,7,FALSE)/((T29*pax_cap*load_full*IF(ABS(MOD(ABS((L29*M29*revleg_full)),1)-0.5)&lt;1E-9,2*ROUND((L29*M29*revleg_full)/2,0),ROUND((L29*M29*revleg_full),0)))-(((battery/range_nm)*D29*IF(ABS(MOD(ABS((L29*M29*revleg_full)),1)-0.5)&lt;1E-9,2*ROUND((L29*M29*revleg_full)/2,0),ROUND((L29*M29*revleg_full),0))*VLOOKUP(B29,country_opex,3,FALSE))+W29+X29+Y29+Z29+AA29)))</f>
        <v/>
      </c>
      <c r="AY29" s="46" t="n"/>
      <c r="AZ29" s="46" t="n"/>
      <c r="BA29" s="34" t="inlineStr">
        <is>
          <t>ics-db0930d9d1</t>
        </is>
      </c>
    </row>
    <row r="30">
      <c r="A30" s="47" t="inlineStr">
        <is>
          <t>TOTAL / median</t>
        </is>
      </c>
      <c r="U30" s="48">
        <f>SUM(U4:U29)</f>
        <v/>
      </c>
      <c r="AD30" s="48">
        <f>SUM(AD4:AD29)</f>
        <v/>
      </c>
      <c r="AE30" s="49">
        <f>IF(U30=0,"",AD30/U30)</f>
        <v/>
      </c>
      <c r="AM30" s="50">
        <f>SUM(AM4:AM29)</f>
        <v/>
      </c>
      <c r="AN30" s="48">
        <f>SUM(AN4:AN29)</f>
        <v/>
      </c>
    </row>
    <row r="32">
      <c r="A32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3">
      <c r="A33" s="25" t="inlineStr">
        <is>
          <t>Market</t>
        </is>
      </c>
      <c r="B33" s="25" t="inlineStr">
        <is>
          <t>Fleet basis</t>
        </is>
      </c>
      <c r="C33" s="25" t="inlineStr">
        <is>
          <t>Raw vessels (sum)</t>
        </is>
      </c>
      <c r="D33" s="25" t="inlineStr">
        <is>
          <t>Fleet (rounded once)</t>
        </is>
      </c>
      <c r="E33" s="25" t="inlineStr">
        <is>
          <t>Market rev/yr (raw sum)</t>
        </is>
      </c>
    </row>
    <row r="34">
      <c r="A34" s="26" t="inlineStr">
        <is>
          <t>Brazil</t>
        </is>
      </c>
      <c r="B34" s="14" t="inlineStr">
        <is>
          <t>per_corridor_floor</t>
        </is>
      </c>
      <c r="C34" s="14" t="inlineStr">
        <is>
          <t>—</t>
        </is>
      </c>
      <c r="D34" s="51">
        <f>SUMIFS(AM4:AM29,A4:A29,"Brazil",AQ4:AQ29,"=",AR4:AR29,"Grounded")</f>
        <v/>
      </c>
      <c r="E34" s="52">
        <f>SUMIFS(AN4:AN29,A4:A29,"Brazil",AQ4:AQ29,"=",AR4:AR29,"Grounded")</f>
        <v/>
      </c>
    </row>
    <row r="35">
      <c r="A35" s="26" t="inlineStr">
        <is>
          <t>Costa Rica</t>
        </is>
      </c>
      <c r="B35" s="14" t="inlineStr">
        <is>
          <t>per_corridor_floor</t>
        </is>
      </c>
      <c r="C35" s="14" t="inlineStr">
        <is>
          <t>—</t>
        </is>
      </c>
      <c r="D35" s="51">
        <f>SUMIFS(AM4:AM29,A4:A29,"Costa Rica",AQ4:AQ29,"=",AR4:AR29,"Grounded")</f>
        <v/>
      </c>
      <c r="E35" s="52">
        <f>SUMIFS(AN4:AN29,A4:A29,"Costa Rica",AQ4:AQ29,"=",AR4:AR29,"Grounded")</f>
        <v/>
      </c>
    </row>
    <row r="36">
      <c r="A36" s="26" t="inlineStr">
        <is>
          <t>Mexico Caribbean</t>
        </is>
      </c>
      <c r="B36" s="14" t="inlineStr">
        <is>
          <t>grounded</t>
        </is>
      </c>
      <c r="C36" s="14" t="inlineStr">
        <is>
          <t>—</t>
        </is>
      </c>
      <c r="D36" s="51">
        <f>SUMIFS(AM4:AM29,A4:A29,"Mexico Caribbean",AQ4:AQ29,"=",AR4:AR29,"Grounded")</f>
        <v/>
      </c>
      <c r="E36" s="52">
        <f>SUMIFS(AN4:AN29,A4:A29,"Mexico Caribbean",AQ4:AQ29,"=",AR4:AR29,"Grounded")</f>
        <v/>
      </c>
    </row>
    <row r="37">
      <c r="A37" s="26" t="inlineStr">
        <is>
          <t>Mexico Pacific</t>
        </is>
      </c>
      <c r="B37" s="14" t="inlineStr">
        <is>
          <t>grounded</t>
        </is>
      </c>
      <c r="C37" s="14" t="inlineStr">
        <is>
          <t>—</t>
        </is>
      </c>
      <c r="D37" s="51">
        <f>SUMIFS(AM4:AM29,A4:A29,"Mexico Pacific",AQ4:AQ29,"=",AR4:AR29,"Grounded")</f>
        <v/>
      </c>
      <c r="E37" s="52">
        <f>SUMIFS(AN4:AN29,A4:A29,"Mexico Pacific",AQ4:AQ29,"=",AR4:AR29,"Grounded")</f>
        <v/>
      </c>
    </row>
    <row r="38">
      <c r="A38" s="47" t="inlineStr">
        <is>
          <t>GROUNDED FLOOR (PUBLISHED)</t>
        </is>
      </c>
      <c r="D38" s="50">
        <f>SUM(D34:D37)</f>
        <v/>
      </c>
      <c r="E38" s="48">
        <f>SUM(E34:E37)</f>
        <v/>
      </c>
    </row>
    <row r="39">
      <c r="A39" s="21" t="inlineStr">
        <is>
          <t>ESTIMATED DEMAND (country-median cascade; held OUT of grounded floor)</t>
        </is>
      </c>
      <c r="D39" s="53">
        <f>SUMIF(AR4:AR29,"Estimated",AM4:AM29)</f>
        <v/>
      </c>
      <c r="E39" s="54">
        <f>SUMIF(AR4:AR29,"Estimated",AN4:AN29)</f>
        <v/>
      </c>
    </row>
  </sheetData>
  <mergeCells count="2">
    <mergeCell ref="A1:L1"/>
    <mergeCell ref="A32:L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economics'!$AR$4:$AR$29="Grounded"),'Corridor economics'!$AH$4:$AH$29,'Corridor economics'!$E$4:$E$29),0))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economics'!$AR$4:$AR$29="Grounded"),'Corridor economics'!$AH$4:$AH$29,'Corridor economics'!$E$4:$E$29),0)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2026-07-20T06:57:02Z</dcterms:created>
  <dcterms:modified xsi:type="dcterms:W3CDTF">2026-07-20T06:57:02Z</dcterms:modified>
</cp:coreProperties>
</file>