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opex'!$A$4:$G$6</definedName>
    <definedName name="som_floor_fleet">'Corridor economics'!$D$17</definedName>
    <definedName name="som_floor_rev">'Corridor economics'!$E$17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Caribbean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Aruba</t>
        </is>
      </c>
      <c r="B4" s="27" t="n">
        <v>40000</v>
      </c>
      <c r="C4" s="28" t="n">
        <v>0.35</v>
      </c>
      <c r="D4" s="20" t="n">
        <v>0.58</v>
      </c>
      <c r="E4" s="27" t="n">
        <v>18000</v>
      </c>
      <c r="F4" s="20" t="n">
        <v>0.8</v>
      </c>
      <c r="G4" s="27" t="n">
        <v>600000</v>
      </c>
      <c r="H4" s="15" t="inlineStr">
        <is>
          <t>Modeled. Dutch-Caribbean tourism economy (GDP/cap ~$30k); AWG pegged to USD. Blended 1 commercial tourism-boat captain + deckhand fully-loaded ~$40k/vessel/yr. Above Latin America, below French Polynesia's French-territory social charges ($55k). | Dutch govt report: ABC commercial electricity US$0.35-0.38/kWh despite subsidies. WEB Aruba fuel-oil + Vader Piet wind. Anchored $0.35. | Modeled berth+insurance+admin/vessel/yr. Renaissance Marina / Palm Beach premium island ops; ~= French Polynesia $18k. | CAPEX LB-243 US/EU=$900K else $600K</t>
        </is>
      </c>
    </row>
    <row r="5">
      <c r="A5" s="26" t="inlineStr">
        <is>
          <t>Bonaire</t>
        </is>
      </c>
      <c r="B5" s="27" t="n">
        <v>38000</v>
      </c>
      <c r="C5" s="28" t="n">
        <v>0.35</v>
      </c>
      <c r="D5" s="20" t="n">
        <v>0.5</v>
      </c>
      <c r="E5" s="27" t="n">
        <v>16000</v>
      </c>
      <c r="F5" s="20" t="n">
        <v>0.8</v>
      </c>
      <c r="G5" s="27" t="n">
        <v>600000</v>
      </c>
      <c r="H5" s="15" t="inlineStr">
        <is>
          <t>Modeled. Special municipality of the Netherlands; uses USD. Smaller dive-led economy; blended captain+deckhand ~$38k/vessel/yr, just below Aruba/Curacao. | Dutch govt report $0.35-0.38/kWh; ACM-NL regulated. ContourGlobal diesel + high wind share. Anchored $0.35. | Modeled. Kralendijk + dive-resort jetties; smaller-scale than Aruba/Curacao premium marinas. | CAPEX LB-243 US/EU=$900K else $600K</t>
        </is>
      </c>
    </row>
    <row r="6">
      <c r="A6" s="26" t="inlineStr">
        <is>
          <t>Curaçao</t>
        </is>
      </c>
      <c r="B6" s="27" t="n">
        <v>40000</v>
      </c>
      <c r="C6" s="28" t="n">
        <v>0.35</v>
      </c>
      <c r="D6" s="20" t="n">
        <v>0.6</v>
      </c>
      <c r="E6" s="27" t="n">
        <v>18000</v>
      </c>
      <c r="F6" s="20" t="n">
        <v>0.78</v>
      </c>
      <c r="G6" s="27" t="n">
        <v>600000</v>
      </c>
      <c r="H6" s="15" t="inlineStr">
        <is>
          <t>Modeled. ANG pegged to USD; tourism+refinery economy. Blended captain+deckhand ~$40k/vessel/yr, ~= Aruba. | Dutch govt report $0.35-0.38/kWh. Aqualectra fuel-oil + Tera Kora/Playa Kanoa wind; Aqualectra raising renewable share. Anchored $0.35. | Modeled. Spanish Water (Caracasbaai) + Willemstad premium island ops.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Caribbean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Caribbean</t>
        </is>
      </c>
      <c r="B4" s="31" t="inlineStr">
        <is>
          <t>Aruba</t>
        </is>
      </c>
      <c r="C4" s="32" t="inlineStr">
        <is>
          <t>Queen Beatrix Airport waterfront (Aruba) → Palm Beach resort strip (Aruba)</t>
        </is>
      </c>
      <c r="D4" s="33" t="n">
        <v>5</v>
      </c>
      <c r="E4" s="27" t="n">
        <v>45</v>
      </c>
      <c r="F4" s="34" t="inlineStr">
        <is>
          <t>T5</t>
        </is>
      </c>
      <c r="G4" s="34" t="inlineStr">
        <is>
          <t>low</t>
        </is>
      </c>
      <c r="H4" s="20" t="n">
        <v>0.9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MODELED premium air→resort transfer band. To be finalized in cascade.</t>
        </is>
      </c>
      <c r="AZ4" s="46" t="n"/>
      <c r="BA4" s="34" t="inlineStr">
        <is>
          <t>rn-b3209572e89e</t>
        </is>
      </c>
    </row>
    <row r="5">
      <c r="A5" s="31" t="inlineStr">
        <is>
          <t>Caribbean</t>
        </is>
      </c>
      <c r="B5" s="31" t="inlineStr">
        <is>
          <t>Aruba</t>
        </is>
      </c>
      <c r="C5" s="32" t="inlineStr">
        <is>
          <t>Oranjestad Cruise Terminal (Aruba) → Palm Beach resort strip (Aruba)</t>
        </is>
      </c>
      <c r="D5" s="33" t="n">
        <v>6</v>
      </c>
      <c r="E5" s="27" t="n">
        <v>40</v>
      </c>
      <c r="F5" s="34" t="inlineStr">
        <is>
          <t>T5</t>
        </is>
      </c>
      <c r="G5" s="34" t="inlineStr">
        <is>
          <t>low</t>
        </is>
      </c>
      <c r="H5" s="20" t="n">
        <v>0.9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MODELED premium cruise-shore / resort transfer band. To be finalized in cascade.</t>
        </is>
      </c>
      <c r="AZ5" s="46" t="n"/>
      <c r="BA5" s="34" t="inlineStr">
        <is>
          <t>rn-7839c5ad6d42</t>
        </is>
      </c>
    </row>
    <row r="6">
      <c r="A6" s="31" t="inlineStr">
        <is>
          <t>Caribbean</t>
        </is>
      </c>
      <c r="B6" s="31" t="inlineStr">
        <is>
          <t>Bonaire</t>
        </is>
      </c>
      <c r="C6" s="32" t="inlineStr">
        <is>
          <t>Kralendijk Town Pier (Bonaire) → Klein Bonaire dive transfer (Bonaire National Marine Park)</t>
        </is>
      </c>
      <c r="D6" s="33" t="n">
        <v>2</v>
      </c>
      <c r="E6" s="27" t="n">
        <v>30</v>
      </c>
      <c r="F6" s="34" t="inlineStr">
        <is>
          <t>T5</t>
        </is>
      </c>
      <c r="G6" s="34" t="inlineStr">
        <is>
          <t>low</t>
        </is>
      </c>
      <c r="H6" s="20" t="n">
        <v>0.92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MODELED dive-transfer band (Klein Bonaire). To be finalized in cascade.</t>
        </is>
      </c>
      <c r="AZ6" s="46" t="n"/>
      <c r="BA6" s="34" t="inlineStr">
        <is>
          <t>rn-f23a5af76773</t>
        </is>
      </c>
    </row>
    <row r="7">
      <c r="A7" s="31" t="inlineStr">
        <is>
          <t>Caribbean</t>
        </is>
      </c>
      <c r="B7" s="31" t="inlineStr">
        <is>
          <t>Bonaire</t>
        </is>
      </c>
      <c r="C7" s="32" t="inlineStr">
        <is>
          <t>Kralendijk Town Pier (Bonaire) → Harbour Village Marina / dive-resort jetty cluster (Bonaire)</t>
        </is>
      </c>
      <c r="D7" s="33" t="n">
        <v>2</v>
      </c>
      <c r="E7" s="27" t="n">
        <v>28</v>
      </c>
      <c r="F7" s="34" t="inlineStr">
        <is>
          <t>T5</t>
        </is>
      </c>
      <c r="G7" s="34" t="inlineStr">
        <is>
          <t>low</t>
        </is>
      </c>
      <c r="H7" s="20" t="n">
        <v>0.92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MODELED short town/cruise→dive-resort transfer. To be finalized in cascade.</t>
        </is>
      </c>
      <c r="AZ7" s="46" t="n"/>
      <c r="BA7" s="34" t="inlineStr">
        <is>
          <t>rn-99a4997572f3</t>
        </is>
      </c>
    </row>
    <row r="8">
      <c r="A8" s="31" t="inlineStr">
        <is>
          <t>Caribbean</t>
        </is>
      </c>
      <c r="B8" s="31" t="inlineStr">
        <is>
          <t>Curaçao</t>
        </is>
      </c>
      <c r="C8" s="32" t="inlineStr">
        <is>
          <t>Willemstad / Sint Anna Bay (Curaçao) → Spanish Water / Jan Thiel resort &amp; leisure cluster (Curaçao)</t>
        </is>
      </c>
      <c r="D8" s="33" t="n">
        <v>7</v>
      </c>
      <c r="E8" s="27" t="n">
        <v>40</v>
      </c>
      <c r="F8" s="34" t="inlineStr">
        <is>
          <t>T5</t>
        </is>
      </c>
      <c r="G8" s="34" t="inlineStr">
        <is>
          <t>low</t>
        </is>
      </c>
      <c r="H8" s="20" t="n">
        <v>0.9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MODELED premium cruise/town→resort transfer band. To be finalized in cascade.</t>
        </is>
      </c>
      <c r="AZ8" s="46" t="n"/>
      <c r="BA8" s="34" t="inlineStr">
        <is>
          <t>rn-b07d96b330cd</t>
        </is>
      </c>
    </row>
    <row r="9">
      <c r="A9" s="31" t="inlineStr">
        <is>
          <t>Caribbean</t>
        </is>
      </c>
      <c r="B9" s="31" t="inlineStr">
        <is>
          <t>Curaçao</t>
        </is>
      </c>
      <c r="C9" s="32" t="inlineStr">
        <is>
          <t>Hato (Curaçao Int'l) airport waterfront → Spanish Water / Jan Thiel resort cluster (Curaçao)</t>
        </is>
      </c>
      <c r="D9" s="33" t="n">
        <v>10</v>
      </c>
      <c r="E9" s="27" t="n">
        <v>50</v>
      </c>
      <c r="F9" s="34" t="inlineStr">
        <is>
          <t>T5</t>
        </is>
      </c>
      <c r="G9" s="34" t="inlineStr">
        <is>
          <t>low</t>
        </is>
      </c>
      <c r="H9" s="20" t="n">
        <v>0.9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MODELED premium air→resort transfer band. To be finalized in cascade.</t>
        </is>
      </c>
      <c r="AZ9" s="46" t="n"/>
      <c r="BA9" s="34" t="inlineStr">
        <is>
          <t>rn-a88f7e7cffc2</t>
        </is>
      </c>
    </row>
    <row r="10">
      <c r="A10" s="31" t="inlineStr">
        <is>
          <t>Caribbean</t>
        </is>
      </c>
      <c r="B10" s="31" t="inlineStr">
        <is>
          <t>Curaçao</t>
        </is>
      </c>
      <c r="C10" s="32" t="inlineStr">
        <is>
          <t>Curaçao (Spanish Water / Caracasbaai) → Klein Curaçao day-trip jetty</t>
        </is>
      </c>
      <c r="D10" s="33" t="n">
        <v>15</v>
      </c>
      <c r="E10" s="27" t="n">
        <v>110</v>
      </c>
      <c r="F10" s="34" t="inlineStr">
        <is>
          <t>T5</t>
        </is>
      </c>
      <c r="G10" s="34" t="inlineStr">
        <is>
          <t>low</t>
        </is>
      </c>
      <c r="H10" s="20" t="n">
        <v>0.6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/>
      <c r="AI10" s="34" t="n"/>
      <c r="AJ10" s="34" t="n"/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Estimated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MODELED premium seasonal excursion. To be finalized in cascade with season_days.</t>
        </is>
      </c>
      <c r="AZ10" s="46" t="n"/>
      <c r="BA10" s="34" t="inlineStr">
        <is>
          <t>rn-09a43a616a1a</t>
        </is>
      </c>
    </row>
    <row r="11">
      <c r="A11" s="31" t="inlineStr">
        <is>
          <t>Caribbean</t>
        </is>
      </c>
      <c r="B11" s="31" t="inlineStr">
        <is>
          <t>Curaçao</t>
        </is>
      </c>
      <c r="C11" s="32" t="inlineStr">
        <is>
          <t>Curaçao (Spanish Water / Caracasbaai) → Bonaire (Kralendijk town pier)</t>
        </is>
      </c>
      <c r="D11" s="33" t="n">
        <v>38</v>
      </c>
      <c r="E11" s="27" t="n">
        <v>75</v>
      </c>
      <c r="F11" s="34" t="inlineStr">
        <is>
          <t>T4</t>
        </is>
      </c>
      <c r="G11" s="34" t="inlineStr">
        <is>
          <t>low-med</t>
        </is>
      </c>
      <c r="H11" s="20" t="n">
        <v>0.85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MODELED against the live Divi Divi/EZ Air Curaçao↔Bonaire one-way fare band (~$90-130); sea transfer priced below air. To be finalized in cascade.</t>
        </is>
      </c>
      <c r="AZ11" s="46" t="n"/>
      <c r="BA11" s="34" t="inlineStr">
        <is>
          <t>rn-0f8e77cfef46</t>
        </is>
      </c>
    </row>
    <row r="12">
      <c r="A12" s="47" t="inlineStr">
        <is>
          <t>TOTAL / median</t>
        </is>
      </c>
      <c r="U12" s="48">
        <f>SUM(U4:U11)</f>
        <v/>
      </c>
      <c r="AD12" s="48">
        <f>SUM(AD4:AD11)</f>
        <v/>
      </c>
      <c r="AE12" s="49">
        <f>IF(U12=0,"",AD12/U12)</f>
        <v/>
      </c>
      <c r="AM12" s="50">
        <f>SUM(AM4:AM11)</f>
        <v/>
      </c>
      <c r="AN12" s="48">
        <f>SUM(AN4:AN11)</f>
        <v/>
      </c>
    </row>
    <row r="14">
      <c r="A1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5">
      <c r="A15" s="25" t="inlineStr">
        <is>
          <t>Market</t>
        </is>
      </c>
      <c r="B15" s="25" t="inlineStr">
        <is>
          <t>Fleet basis</t>
        </is>
      </c>
      <c r="C15" s="25" t="inlineStr">
        <is>
          <t>Raw vessels (sum)</t>
        </is>
      </c>
      <c r="D15" s="25" t="inlineStr">
        <is>
          <t>Fleet (rounded once)</t>
        </is>
      </c>
      <c r="E15" s="25" t="inlineStr">
        <is>
          <t>Market rev/yr (raw sum)</t>
        </is>
      </c>
    </row>
    <row r="16">
      <c r="A16" s="26" t="inlineStr">
        <is>
          <t>Caribbean</t>
        </is>
      </c>
      <c r="B16" s="14" t="inlineStr">
        <is>
          <t>island-hopping-network / phase-cap</t>
        </is>
      </c>
      <c r="C16" s="14" t="inlineStr">
        <is>
          <t>—</t>
        </is>
      </c>
      <c r="D16" s="51">
        <f>SUMIFS(AM4:AM11,A4:A11,"Caribbean",AQ4:AQ11,"=",AR4:AR11,"Grounded")</f>
        <v/>
      </c>
      <c r="E16" s="52">
        <f>SUMIFS(AN4:AN11,A4:A11,"Caribbean",AQ4:AQ11,"=",AR4:AR11,"Grounded")</f>
        <v/>
      </c>
    </row>
    <row r="17">
      <c r="A17" s="47" t="inlineStr">
        <is>
          <t>GROUNDED FLOOR (PUBLISHED)</t>
        </is>
      </c>
      <c r="D17" s="50">
        <f>SUM(D16:D16)</f>
        <v/>
      </c>
      <c r="E17" s="48">
        <f>SUM(E16:E16)</f>
        <v/>
      </c>
    </row>
    <row r="18">
      <c r="A18" s="21" t="inlineStr">
        <is>
          <t>ESTIMATED DEMAND (country-median cascade; held OUT of grounded floor)</t>
        </is>
      </c>
      <c r="D18" s="53">
        <f>SUMIF(AR4:AR11,"Estimated",AM4:AM11)</f>
        <v/>
      </c>
      <c r="E18" s="54">
        <f>SUMIF(AR4:AR11,"Estimated",AN4:AN11)</f>
        <v/>
      </c>
    </row>
  </sheetData>
  <mergeCells count="2">
    <mergeCell ref="A14:L1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0.5101</v>
      </c>
      <c r="C6" s="41" t="n">
        <v>0.5101</v>
      </c>
      <c r="D6" s="41" t="n">
        <v>0.5601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economics'!$AR$4:$AR$11="Grounded"),'Corridor economics'!$AH$4:$AH$11,'Corridor economics'!$E$4:$E$11),0))</f>
        <v/>
      </c>
      <c r="E11" s="15" t="inlineStr">
        <is>
          <t>Captive sole-operator capture (~51%)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economics'!$AR$4:$AR$11="Grounded"),'Corridor economics'!$AH$4:$AH$11,'Corridor economics'!$E$4:$E$11),0)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(~51%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(~51%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2026-07-20T06:56:59Z</dcterms:created>
  <dcterms:modified xsi:type="dcterms:W3CDTF">2026-07-20T06:56:59Z</dcterms:modified>
</cp:coreProperties>
</file>