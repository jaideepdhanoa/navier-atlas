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opex'!$A$4:$G$5</definedName>
    <definedName name="som_floor_fleet">'Corridor economics'!$D$53</definedName>
    <definedName name="som_floor_rev">'Corridor economics'!$E$53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Bahrain-Motc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Bahrain</t>
        </is>
      </c>
      <c r="B4" s="27" t="n">
        <v>36000</v>
      </c>
      <c r="C4" s="28" t="n">
        <v>0.08</v>
      </c>
      <c r="D4" s="20" t="n">
        <v>0.55</v>
      </c>
      <c r="E4" s="27" t="n">
        <v>15000</v>
      </c>
      <c r="F4" s="20" t="n">
        <v>0.63</v>
      </c>
      <c r="G4" s="27" t="n">
        <v>600000</v>
      </c>
      <c r="H4" s="15" t="inlineStr">
        <is>
          <t>GCC expat marine crew, slightly below Saudi. Job ads (Instagram 2026): private boat captain BHD 250-350/mo (~$660-930/mo). Blended 1 commercial tourism-boat captain (~BHD 1,000/mo ~$2,650) + deckhand (~BHD 400/mo ~$1,060) fully-loaded (visa/accom provided) ~= ~$36k/vessel/yr @BHD 0.376. High-income GCC; just below Saudi $42k. | SUBSIDIZED. EWA non-subsidized (expat/commercial) rate 32 fils/kWh = BHD 0.032 = ~$0.085 (GulfInsider/Reddit 2026). GlobalPetrolPrices business BHD 0.029 = $0.077 (Sep 2025). Anchored $0.08. @BHD 0.376 (pegged). | Modeled berth+insurance+admin/vessel/yr. Bahrain marine ops (Manama/Marina) mid-high GCC; below Saudi $18k, above Taiwan $14k. Tagged low. | CAPEX LB-243 US/EU=$900K else $600K</t>
        </is>
      </c>
    </row>
    <row r="5">
      <c r="A5" s="26" t="inlineStr">
        <is>
          <t>United Arab Emirates</t>
        </is>
      </c>
      <c r="B5" s="27" t="n">
        <v>40000</v>
      </c>
      <c r="C5" s="28" t="n">
        <v>0.08500000000000001</v>
      </c>
      <c r="D5" s="20" t="n">
        <v>0.4</v>
      </c>
      <c r="E5" s="27" t="n">
        <v>22000</v>
      </c>
      <c r="F5" s="20" t="n">
        <v>0.74</v>
      </c>
      <c r="G5" s="27" t="n">
        <v>600000</v>
      </c>
      <c r="H5" s="15" t="inlineStr">
        <is>
          <t>GCC expat marine crew (Dubai). Dubai yacht-group ads: captain AED 5,000-10,000/mo, deckhand AED 2,000-3,500/mo; Morgan &amp; Mallet GCC guide captain $4,200-7,200/mo, deckhand $1,550-2,300/mo. Blended 1 commercial tourism-boat captain (~AED 8,000/mo ~$2,180) + deckhand (~AED 3,000/mo ~$817) fully-loaded incl visa/accommodation/insurance ~= ~$40k/vessel/yr @AED 3.6725. High-income GCC; between Saudi $42k and Bahrain $36k. | DEWA commercial slab tariff AED 0.23/0.28/0.32 per kWh + ~6 fils fuel surcharge (DEWA 2025); utilitybilluae.com business band AED 0.20-0.38/kWh. Effective commercial ~AED 0.30-0.33 = ~$0.082-0.090 @AED 3.6725. Abu Dhabi (ADDC) commercial cheaper. Blended UAE commercial ~$0.085. Subsidized like other GCC but above Saudi $0.074. | Modeled berth+insurance+admin/vessel/yr. Dubai premium marinas (Dubai Marina, Dubai Harbour, Bluewaters) are among the most expensive GCC marine ops; above Saudi $18k and Singapore $20k. Tagged low.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6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Bahrain-Motc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Gulf Authority Bahrain Motc</t>
        </is>
      </c>
      <c r="B4" s="31" t="inlineStr">
        <is>
          <t>Bahrain</t>
        </is>
      </c>
      <c r="C4" s="32" t="inlineStr">
        <is>
          <t>Sitra (Ad-Dur) Hawar Ferry Terminal → Bahrain Yacht Club</t>
        </is>
      </c>
      <c r="D4" s="33" t="n">
        <v>1.2</v>
      </c>
      <c r="E4" s="27" t="n">
        <v>28</v>
      </c>
      <c r="F4" s="34" t="inlineStr">
        <is>
          <t>T3</t>
        </is>
      </c>
      <c r="G4" s="34" t="inlineStr">
        <is>
          <t>med-low</t>
        </is>
      </c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>
        <v>22500</v>
      </c>
      <c r="AI4" s="34" t="inlineStr">
        <is>
          <t>T3</t>
        </is>
      </c>
      <c r="AJ4" s="34" t="inlineStr">
        <is>
          <t>med-low</t>
        </is>
      </c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Grounded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n"/>
      <c r="AZ4" s="46" t="n"/>
      <c r="BA4" s="34" t="inlineStr">
        <is>
          <t>rn-063a88bc18d1</t>
        </is>
      </c>
    </row>
    <row r="5">
      <c r="A5" s="31" t="inlineStr">
        <is>
          <t>Gulf Authority Bahrain Motc</t>
        </is>
      </c>
      <c r="B5" s="31" t="inlineStr">
        <is>
          <t>Bahrain</t>
        </is>
      </c>
      <c r="C5" s="32" t="inlineStr">
        <is>
          <t>Manama → Eastern Province</t>
        </is>
      </c>
      <c r="D5" s="33" t="n">
        <v>21.2</v>
      </c>
      <c r="E5" s="27" t="n">
        <v>28</v>
      </c>
      <c r="F5" s="34" t="inlineStr">
        <is>
          <t>T3</t>
        </is>
      </c>
      <c r="G5" s="34" t="inlineStr">
        <is>
          <t>med-low</t>
        </is>
      </c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>
        <v>22500</v>
      </c>
      <c r="AI5" s="34" t="inlineStr">
        <is>
          <t>T3</t>
        </is>
      </c>
      <c r="AJ5" s="34" t="inlineStr">
        <is>
          <t>med-low</t>
        </is>
      </c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Grounded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n"/>
      <c r="AZ5" s="46" t="n"/>
      <c r="BA5" s="34" t="inlineStr">
        <is>
          <t>rn-fffd9a53d482</t>
        </is>
      </c>
    </row>
    <row r="6">
      <c r="A6" s="31" t="inlineStr">
        <is>
          <t>Gulf Authority Bahrain Motc</t>
        </is>
      </c>
      <c r="B6" s="31" t="inlineStr">
        <is>
          <t>United Arab Emirates</t>
        </is>
      </c>
      <c r="C6" s="32" t="inlineStr">
        <is>
          <t>Al Marjan Island public arrival marina → Rixos Bab Al Bahr beach jetty</t>
        </is>
      </c>
      <c r="D6" s="33" t="n">
        <v>0.2</v>
      </c>
      <c r="E6" s="27" t="n"/>
      <c r="F6" s="34" t="n"/>
      <c r="G6" s="34" t="n"/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/>
      <c r="AI6" s="34" t="n"/>
      <c r="AJ6" s="34" t="n"/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Estimated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n"/>
      <c r="AZ6" s="46" t="n"/>
      <c r="BA6" s="34" t="inlineStr">
        <is>
          <t>rn-f0d6b20a125c</t>
        </is>
      </c>
    </row>
    <row r="7">
      <c r="A7" s="31" t="inlineStr">
        <is>
          <t>Gulf Authority Bahrain Motc</t>
        </is>
      </c>
      <c r="B7" s="31" t="inlineStr">
        <is>
          <t>United Arab Emirates</t>
        </is>
      </c>
      <c r="C7" s="32" t="inlineStr">
        <is>
          <t>Marjan Island Resort &amp; Spa beach jetty → Hampton by Hilton Marjan Island beach landing</t>
        </is>
      </c>
      <c r="D7" s="33" t="n">
        <v>0.4</v>
      </c>
      <c r="E7" s="27" t="n"/>
      <c r="F7" s="34" t="n"/>
      <c r="G7" s="34" t="n"/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/>
      <c r="AI7" s="34" t="n"/>
      <c r="AJ7" s="34" t="n"/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Estimated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n"/>
      <c r="AZ7" s="46" t="n"/>
      <c r="BA7" s="34" t="inlineStr">
        <is>
          <t>rn-67316de45b8f</t>
        </is>
      </c>
    </row>
    <row r="8">
      <c r="A8" s="31" t="inlineStr">
        <is>
          <t>Gulf Authority Bahrain Motc</t>
        </is>
      </c>
      <c r="B8" s="31" t="inlineStr">
        <is>
          <t>United Arab Emirates</t>
        </is>
      </c>
      <c r="C8" s="32" t="inlineStr">
        <is>
          <t>Ras Al Khaimah Harbour → RAK Corniche public pier</t>
        </is>
      </c>
      <c r="D8" s="33" t="n">
        <v>0.4</v>
      </c>
      <c r="E8" s="27" t="n"/>
      <c r="F8" s="34" t="n"/>
      <c r="G8" s="34" t="n"/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/>
      <c r="AI8" s="34" t="n"/>
      <c r="AJ8" s="34" t="n"/>
      <c r="AK8" s="41" t="n">
        <v>0.1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Estimated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n"/>
      <c r="AZ8" s="46" t="n"/>
      <c r="BA8" s="34" t="inlineStr">
        <is>
          <t>rn-2a5c2fe11732</t>
        </is>
      </c>
    </row>
    <row r="9">
      <c r="A9" s="31" t="inlineStr">
        <is>
          <t>Gulf Authority Bahrain Motc</t>
        </is>
      </c>
      <c r="B9" s="31" t="inlineStr">
        <is>
          <t>United Arab Emirates</t>
        </is>
      </c>
      <c r="C9" s="32" t="inlineStr">
        <is>
          <t>Anantara Mina Al Arab Ras Al Khaimah Resort jetty → InterContinental Ras Al Khaimah Mina Al Arab Resort &amp; Spa jetty</t>
        </is>
      </c>
      <c r="D9" s="33" t="n">
        <v>0.6</v>
      </c>
      <c r="E9" s="27" t="n"/>
      <c r="F9" s="34" t="n"/>
      <c r="G9" s="34" t="n"/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/>
      <c r="AI9" s="34" t="n"/>
      <c r="AJ9" s="34" t="n"/>
      <c r="AK9" s="41" t="n">
        <v>0.1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Estimated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n"/>
      <c r="AZ9" s="46" t="n"/>
      <c r="BA9" s="34" t="inlineStr">
        <is>
          <t>rn-259c74613206</t>
        </is>
      </c>
    </row>
    <row r="10">
      <c r="A10" s="31" t="inlineStr">
        <is>
          <t>Gulf Authority Bahrain Motc</t>
        </is>
      </c>
      <c r="B10" s="31" t="inlineStr">
        <is>
          <t>United Arab Emirates</t>
        </is>
      </c>
      <c r="C10" s="32" t="inlineStr">
        <is>
          <t>Wynn Al Marjan Island arrival lagoon → Marjan Island Resort &amp; Spa beach jetty</t>
        </is>
      </c>
      <c r="D10" s="33" t="n">
        <v>0.6</v>
      </c>
      <c r="E10" s="27" t="n"/>
      <c r="F10" s="34" t="n"/>
      <c r="G10" s="34" t="n"/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Korea",FLOOR(60*korea_service_hr/K10,1),MIN(15,FLOOR(60*service_hr/K10,1)))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/>
      <c r="AI10" s="34" t="n"/>
      <c r="AJ10" s="34" t="n"/>
      <c r="AK10" s="41" t="n">
        <v>0.1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Estimated</t>
        </is>
      </c>
      <c r="AS10" s="43" t="n"/>
      <c r="AT10" s="43" t="n"/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n"/>
      <c r="AZ10" s="46" t="n"/>
      <c r="BA10" s="34" t="inlineStr">
        <is>
          <t>rn-0bdf53c78a31</t>
        </is>
      </c>
    </row>
    <row r="11">
      <c r="A11" s="31" t="inlineStr">
        <is>
          <t>Gulf Authority Bahrain Motc</t>
        </is>
      </c>
      <c r="B11" s="31" t="inlineStr">
        <is>
          <t>United Arab Emirates</t>
        </is>
      </c>
      <c r="C11" s="32" t="inlineStr">
        <is>
          <t>Al Hamra Marina &amp; Royal Yacht Club RAK → Waldorf Astoria Ras Al Khaimah jetty</t>
        </is>
      </c>
      <c r="D11" s="33" t="n">
        <v>0.7</v>
      </c>
      <c r="E11" s="27" t="n"/>
      <c r="F11" s="34" t="n"/>
      <c r="G11" s="34" t="n"/>
      <c r="H11" s="20" t="n">
        <v>1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Korea",FLOOR(60*korea_service_hr/K11,1),MIN(15,FLOOR(60*service_hr/K11,1)))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/>
      <c r="AI11" s="34" t="n"/>
      <c r="AJ11" s="34" t="n"/>
      <c r="AK11" s="41" t="n">
        <v>0.1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Estimated</t>
        </is>
      </c>
      <c r="AS11" s="43" t="n"/>
      <c r="AT11" s="43" t="n"/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n"/>
      <c r="AZ11" s="46" t="n"/>
      <c r="BA11" s="34" t="inlineStr">
        <is>
          <t>rn-f6d21c86c4d0</t>
        </is>
      </c>
    </row>
    <row r="12">
      <c r="A12" s="31" t="inlineStr">
        <is>
          <t>Gulf Authority Bahrain Motc</t>
        </is>
      </c>
      <c r="B12" s="31" t="inlineStr">
        <is>
          <t>United Arab Emirates</t>
        </is>
      </c>
      <c r="C12" s="32" t="inlineStr">
        <is>
          <t>Al Marjan Island public arrival marina → Hampton by Hilton Marjan Island beach landing</t>
        </is>
      </c>
      <c r="D12" s="33" t="n">
        <v>0.8</v>
      </c>
      <c r="E12" s="27" t="n"/>
      <c r="F12" s="34" t="n"/>
      <c r="G12" s="34" t="n"/>
      <c r="H12" s="20" t="n">
        <v>1</v>
      </c>
      <c r="I12" s="35">
        <f>60*D12/cruise_kt</f>
        <v/>
      </c>
      <c r="J12" s="35">
        <f>IF(B12="South Korea",D12/korea_charge_range_nm*korea_full_range_charge_min,0)</f>
        <v/>
      </c>
      <c r="K12" s="35">
        <f>IF(B12="South Korea",I12+korea_turn_min+korea_dwell_min+J12,I12+turn_min+dwell_min)</f>
        <v/>
      </c>
      <c r="L12" s="36">
        <f>IF(B12="South Korea",FLOOR(60*korea_service_hr/K12,1),MIN(15,FLOOR(60*service_hr/K12,1)))</f>
        <v/>
      </c>
      <c r="M12" s="36">
        <f>IF(ABS(MOD(ABS((365*mech_uptime*H12)),1)-0.5)&lt;1E-9,2*ROUND((365*mech_uptime*H12)/2,0),ROUND((365*mech_uptime*H12),0))</f>
        <v/>
      </c>
      <c r="N12" s="37">
        <f>mech_uptime</f>
        <v/>
      </c>
      <c r="O12" s="37">
        <f>IF(AND(B12="South Korea",scenario="MID"),korea_mid_revleg,revleg_sel)</f>
        <v/>
      </c>
      <c r="P12" s="36">
        <f>IF(ABS(MOD(ABS((L12*M12*O12)),1)-0.5)&lt;1E-9,2*ROUND((L12*M12*O12)/2,0),ROUND((L12*M12*O12),0))</f>
        <v/>
      </c>
      <c r="Q12" s="37">
        <f>IF(AND(B12="South Korea",scenario="MID"),korea_mid_load,load_sel)</f>
        <v/>
      </c>
      <c r="R12" s="38">
        <f>pax_cap*Q12</f>
        <v/>
      </c>
      <c r="S12" s="36">
        <f>R12*P12</f>
        <v/>
      </c>
      <c r="T12" s="39">
        <f>E12*discount</f>
        <v/>
      </c>
      <c r="U12" s="40">
        <f>T12*S12</f>
        <v/>
      </c>
      <c r="V12" s="40">
        <f>(battery/range_nm)*D12*P12*VLOOKUP(B12,country_opex,3,FALSE)</f>
        <v/>
      </c>
      <c r="W12" s="40">
        <f>VLOOKUP(B12,country_opex,2,FALSE)*crew_factor</f>
        <v/>
      </c>
      <c r="X12" s="40">
        <f>VLOOKUP(B12,country_opex,5,FALSE)</f>
        <v/>
      </c>
      <c r="Y12" s="40">
        <f>maint</f>
        <v/>
      </c>
      <c r="Z12" s="40">
        <f>VLOOKUP(B12,country_opex,7,FALSE)*ins_pct</f>
        <v/>
      </c>
      <c r="AA12" s="40">
        <f>charge_berth</f>
        <v/>
      </c>
      <c r="AB12" s="40">
        <f>V12+W12+X12+Y12+Z12+AA12</f>
        <v/>
      </c>
      <c r="AC12" s="40">
        <f>VLOOKUP(B12,country_opex,7,FALSE)/dep_years</f>
        <v/>
      </c>
      <c r="AD12" s="40">
        <f>U12-AB12</f>
        <v/>
      </c>
      <c r="AE12" s="37">
        <f>IF(U12=0,"",AD12/U12)</f>
        <v/>
      </c>
      <c r="AF12" s="38">
        <f>IF(AD12&lt;=0,"",VLOOKUP(B12,country_opex,7,FALSE)/AD12)</f>
        <v/>
      </c>
      <c r="AG12" s="35">
        <f>((D12*P12/diesel_nmpg)*diesel_co2pg-(battery/range_nm)*D12*P12*VLOOKUP(B12,country_opex,4,FALSE))/1000</f>
        <v/>
      </c>
      <c r="AH12" s="33" t="n"/>
      <c r="AI12" s="34" t="n"/>
      <c r="AJ12" s="34" t="n"/>
      <c r="AK12" s="41" t="n">
        <v>0.1</v>
      </c>
      <c r="AL12" s="36">
        <f>IF(AH12="","",AH12*AK12)</f>
        <v/>
      </c>
      <c r="AM12" s="36">
        <f>IF(OR(AH12="",S12=0),"",MIN(IF(AU12="",9.9E+99,AU12),FLOOR(AL12/S12,1)))</f>
        <v/>
      </c>
      <c r="AN12" s="40">
        <f>IF(AM12="","",AM12*IF(ABS(MOD(ABS((U12)),1)-0.5)&lt;1E-9,2*ROUND((U12)/2,0),ROUND((U12),0)))</f>
        <v/>
      </c>
      <c r="AO12" s="38">
        <f>IF(OR(AH12="",S12=0),"",MIN(IF(AU12="",9.9E+99,AU12),AL12/S12))</f>
        <v/>
      </c>
      <c r="AP12" s="40">
        <f>IF(AO12="","",AO12*IF(B12="South Korea",IF(ABS(MOD(ABS((U12)),1)-0.5)&lt;1E-9,2*ROUND((U12)/2,0),ROUND((U12),0)),U12))</f>
        <v/>
      </c>
      <c r="AQ12" s="42" t="n"/>
      <c r="AR12" s="34" t="inlineStr">
        <is>
          <t>Estimated</t>
        </is>
      </c>
      <c r="AS12" s="43" t="n"/>
      <c r="AT12" s="43" t="n"/>
      <c r="AU12" s="44" t="n"/>
      <c r="AV12" s="45">
        <f>IF(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&lt;=0,"",VLOOKUP(B12,country_opex,7,FALSE)/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)</f>
        <v/>
      </c>
      <c r="AW12" s="45">
        <f>IF(((T12*pax_cap*IF(B12="South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Korea",korea_mid_revleg,revleg_mid)),0))*VLOOKUP(B12,country_opex,3,FALSE))+W12+X12+Y12+Z12+AA12))&lt;=0,"",VLOOKUP(B12,country_opex,7,FALSE)/((T12*pax_cap*IF(B12="South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Korea",korea_mid_revleg,revleg_mid)),0))*VLOOKUP(B12,country_opex,3,FALSE))+W12+X12+Y12+Z12+AA12)))</f>
        <v/>
      </c>
      <c r="AX12" s="45">
        <f>IF(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&lt;=0,"",VLOOKUP(B12,country_opex,7,FALSE)/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)</f>
        <v/>
      </c>
      <c r="AY12" s="46" t="n"/>
      <c r="AZ12" s="46" t="n"/>
      <c r="BA12" s="34" t="inlineStr">
        <is>
          <t>rn-f7356e7a6fb3</t>
        </is>
      </c>
    </row>
    <row r="13">
      <c r="A13" s="31" t="inlineStr">
        <is>
          <t>Gulf Authority Bahrain Motc</t>
        </is>
      </c>
      <c r="B13" s="31" t="inlineStr">
        <is>
          <t>United Arab Emirates</t>
        </is>
      </c>
      <c r="C13" s="32" t="inlineStr">
        <is>
          <t>Anantara Mina Al Arab Ras Al Khaimah Resort jetty → Mina Al Arab marina / lagoon basin</t>
        </is>
      </c>
      <c r="D13" s="33" t="n">
        <v>0.9</v>
      </c>
      <c r="E13" s="27" t="n"/>
      <c r="F13" s="34" t="n"/>
      <c r="G13" s="34" t="n"/>
      <c r="H13" s="20" t="n">
        <v>1</v>
      </c>
      <c r="I13" s="35">
        <f>60*D13/cruise_kt</f>
        <v/>
      </c>
      <c r="J13" s="35">
        <f>IF(B13="South Korea",D13/korea_charge_range_nm*korea_full_range_charge_min,0)</f>
        <v/>
      </c>
      <c r="K13" s="35">
        <f>IF(B13="South Korea",I13+korea_turn_min+korea_dwell_min+J13,I13+turn_min+dwell_min)</f>
        <v/>
      </c>
      <c r="L13" s="36">
        <f>IF(B13="South Korea",FLOOR(60*korea_service_hr/K13,1),MIN(15,FLOOR(60*service_hr/K13,1)))</f>
        <v/>
      </c>
      <c r="M13" s="36">
        <f>IF(ABS(MOD(ABS((365*mech_uptime*H13)),1)-0.5)&lt;1E-9,2*ROUND((365*mech_uptime*H13)/2,0),ROUND((365*mech_uptime*H13),0))</f>
        <v/>
      </c>
      <c r="N13" s="37">
        <f>mech_uptime</f>
        <v/>
      </c>
      <c r="O13" s="37">
        <f>IF(AND(B13="South Korea",scenario="MID"),korea_mid_revleg,revleg_sel)</f>
        <v/>
      </c>
      <c r="P13" s="36">
        <f>IF(ABS(MOD(ABS((L13*M13*O13)),1)-0.5)&lt;1E-9,2*ROUND((L13*M13*O13)/2,0),ROUND((L13*M13*O13),0))</f>
        <v/>
      </c>
      <c r="Q13" s="37">
        <f>IF(AND(B13="South Korea",scenario="MID"),korea_mid_load,load_sel)</f>
        <v/>
      </c>
      <c r="R13" s="38">
        <f>pax_cap*Q13</f>
        <v/>
      </c>
      <c r="S13" s="36">
        <f>R13*P13</f>
        <v/>
      </c>
      <c r="T13" s="39">
        <f>E13*discount</f>
        <v/>
      </c>
      <c r="U13" s="40">
        <f>T13*S13</f>
        <v/>
      </c>
      <c r="V13" s="40">
        <f>(battery/range_nm)*D13*P13*VLOOKUP(B13,country_opex,3,FALSE)</f>
        <v/>
      </c>
      <c r="W13" s="40">
        <f>VLOOKUP(B13,country_opex,2,FALSE)*crew_factor</f>
        <v/>
      </c>
      <c r="X13" s="40">
        <f>VLOOKUP(B13,country_opex,5,FALSE)</f>
        <v/>
      </c>
      <c r="Y13" s="40">
        <f>maint</f>
        <v/>
      </c>
      <c r="Z13" s="40">
        <f>VLOOKUP(B13,country_opex,7,FALSE)*ins_pct</f>
        <v/>
      </c>
      <c r="AA13" s="40">
        <f>charge_berth</f>
        <v/>
      </c>
      <c r="AB13" s="40">
        <f>V13+W13+X13+Y13+Z13+AA13</f>
        <v/>
      </c>
      <c r="AC13" s="40">
        <f>VLOOKUP(B13,country_opex,7,FALSE)/dep_years</f>
        <v/>
      </c>
      <c r="AD13" s="40">
        <f>U13-AB13</f>
        <v/>
      </c>
      <c r="AE13" s="37">
        <f>IF(U13=0,"",AD13/U13)</f>
        <v/>
      </c>
      <c r="AF13" s="38">
        <f>IF(AD13&lt;=0,"",VLOOKUP(B13,country_opex,7,FALSE)/AD13)</f>
        <v/>
      </c>
      <c r="AG13" s="35">
        <f>((D13*P13/diesel_nmpg)*diesel_co2pg-(battery/range_nm)*D13*P13*VLOOKUP(B13,country_opex,4,FALSE))/1000</f>
        <v/>
      </c>
      <c r="AH13" s="33" t="n"/>
      <c r="AI13" s="34" t="n"/>
      <c r="AJ13" s="34" t="n"/>
      <c r="AK13" s="41" t="n">
        <v>0.1</v>
      </c>
      <c r="AL13" s="36">
        <f>IF(AH13="","",AH13*AK13)</f>
        <v/>
      </c>
      <c r="AM13" s="36">
        <f>IF(OR(AH13="",S13=0),"",MIN(IF(AU13="",9.9E+99,AU13),FLOOR(AL13/S13,1)))</f>
        <v/>
      </c>
      <c r="AN13" s="40">
        <f>IF(AM13="","",AM13*IF(ABS(MOD(ABS((U13)),1)-0.5)&lt;1E-9,2*ROUND((U13)/2,0),ROUND((U13),0)))</f>
        <v/>
      </c>
      <c r="AO13" s="38">
        <f>IF(OR(AH13="",S13=0),"",MIN(IF(AU13="",9.9E+99,AU13),AL13/S13))</f>
        <v/>
      </c>
      <c r="AP13" s="40">
        <f>IF(AO13="","",AO13*IF(B13="South Korea",IF(ABS(MOD(ABS((U13)),1)-0.5)&lt;1E-9,2*ROUND((U13)/2,0),ROUND((U13),0)),U13))</f>
        <v/>
      </c>
      <c r="AQ13" s="42" t="n"/>
      <c r="AR13" s="34" t="inlineStr">
        <is>
          <t>Estimated</t>
        </is>
      </c>
      <c r="AS13" s="43" t="n"/>
      <c r="AT13" s="43" t="n"/>
      <c r="AU13" s="44" t="n"/>
      <c r="AV13" s="45">
        <f>IF(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&lt;=0,"",VLOOKUP(B13,country_opex,7,FALSE)/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)</f>
        <v/>
      </c>
      <c r="AW13" s="45">
        <f>IF(((T13*pax_cap*IF(B13="South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Korea",korea_mid_revleg,revleg_mid)),0))*VLOOKUP(B13,country_opex,3,FALSE))+W13+X13+Y13+Z13+AA13))&lt;=0,"",VLOOKUP(B13,country_opex,7,FALSE)/((T13*pax_cap*IF(B13="South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Korea",korea_mid_revleg,revleg_mid)),0))*VLOOKUP(B13,country_opex,3,FALSE))+W13+X13+Y13+Z13+AA13)))</f>
        <v/>
      </c>
      <c r="AX13" s="45">
        <f>IF(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&lt;=0,"",VLOOKUP(B13,country_opex,7,FALSE)/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)</f>
        <v/>
      </c>
      <c r="AY13" s="46" t="n"/>
      <c r="AZ13" s="46" t="n"/>
      <c r="BA13" s="34" t="inlineStr">
        <is>
          <t>rn-239a65d9ff67</t>
        </is>
      </c>
    </row>
    <row r="14">
      <c r="A14" s="31" t="inlineStr">
        <is>
          <t>Gulf Authority Bahrain Motc</t>
        </is>
      </c>
      <c r="B14" s="31" t="inlineStr">
        <is>
          <t>United Arab Emirates</t>
        </is>
      </c>
      <c r="C14" s="32" t="inlineStr">
        <is>
          <t>Mina Al Arab marina / lagoon basin → InterContinental Ras Al Khaimah Mina Al Arab Resort &amp; Spa jetty</t>
        </is>
      </c>
      <c r="D14" s="33" t="n">
        <v>0.9</v>
      </c>
      <c r="E14" s="27" t="n"/>
      <c r="F14" s="34" t="n"/>
      <c r="G14" s="34" t="n"/>
      <c r="H14" s="20" t="n">
        <v>1</v>
      </c>
      <c r="I14" s="35">
        <f>60*D14/cruise_kt</f>
        <v/>
      </c>
      <c r="J14" s="35">
        <f>IF(B14="South Korea",D14/korea_charge_range_nm*korea_full_range_charge_min,0)</f>
        <v/>
      </c>
      <c r="K14" s="35">
        <f>IF(B14="South Korea",I14+korea_turn_min+korea_dwell_min+J14,I14+turn_min+dwell_min)</f>
        <v/>
      </c>
      <c r="L14" s="36">
        <f>IF(B14="South Korea",FLOOR(60*korea_service_hr/K14,1),MIN(15,FLOOR(60*service_hr/K14,1)))</f>
        <v/>
      </c>
      <c r="M14" s="36">
        <f>IF(ABS(MOD(ABS((365*mech_uptime*H14)),1)-0.5)&lt;1E-9,2*ROUND((365*mech_uptime*H14)/2,0),ROUND((365*mech_uptime*H14),0))</f>
        <v/>
      </c>
      <c r="N14" s="37">
        <f>mech_uptime</f>
        <v/>
      </c>
      <c r="O14" s="37">
        <f>IF(AND(B14="South Korea",scenario="MID"),korea_mid_revleg,revleg_sel)</f>
        <v/>
      </c>
      <c r="P14" s="36">
        <f>IF(ABS(MOD(ABS((L14*M14*O14)),1)-0.5)&lt;1E-9,2*ROUND((L14*M14*O14)/2,0),ROUND((L14*M14*O14),0))</f>
        <v/>
      </c>
      <c r="Q14" s="37">
        <f>IF(AND(B14="South Korea",scenario="MID"),korea_mid_load,load_sel)</f>
        <v/>
      </c>
      <c r="R14" s="38">
        <f>pax_cap*Q14</f>
        <v/>
      </c>
      <c r="S14" s="36">
        <f>R14*P14</f>
        <v/>
      </c>
      <c r="T14" s="39">
        <f>E14*discount</f>
        <v/>
      </c>
      <c r="U14" s="40">
        <f>T14*S14</f>
        <v/>
      </c>
      <c r="V14" s="40">
        <f>(battery/range_nm)*D14*P14*VLOOKUP(B14,country_opex,3,FALSE)</f>
        <v/>
      </c>
      <c r="W14" s="40">
        <f>VLOOKUP(B14,country_opex,2,FALSE)*crew_factor</f>
        <v/>
      </c>
      <c r="X14" s="40">
        <f>VLOOKUP(B14,country_opex,5,FALSE)</f>
        <v/>
      </c>
      <c r="Y14" s="40">
        <f>maint</f>
        <v/>
      </c>
      <c r="Z14" s="40">
        <f>VLOOKUP(B14,country_opex,7,FALSE)*ins_pct</f>
        <v/>
      </c>
      <c r="AA14" s="40">
        <f>charge_berth</f>
        <v/>
      </c>
      <c r="AB14" s="40">
        <f>V14+W14+X14+Y14+Z14+AA14</f>
        <v/>
      </c>
      <c r="AC14" s="40">
        <f>VLOOKUP(B14,country_opex,7,FALSE)/dep_years</f>
        <v/>
      </c>
      <c r="AD14" s="40">
        <f>U14-AB14</f>
        <v/>
      </c>
      <c r="AE14" s="37">
        <f>IF(U14=0,"",AD14/U14)</f>
        <v/>
      </c>
      <c r="AF14" s="38">
        <f>IF(AD14&lt;=0,"",VLOOKUP(B14,country_opex,7,FALSE)/AD14)</f>
        <v/>
      </c>
      <c r="AG14" s="35">
        <f>((D14*P14/diesel_nmpg)*diesel_co2pg-(battery/range_nm)*D14*P14*VLOOKUP(B14,country_opex,4,FALSE))/1000</f>
        <v/>
      </c>
      <c r="AH14" s="33" t="n"/>
      <c r="AI14" s="34" t="n"/>
      <c r="AJ14" s="34" t="n"/>
      <c r="AK14" s="41" t="n">
        <v>0.1</v>
      </c>
      <c r="AL14" s="36">
        <f>IF(AH14="","",AH14*AK14)</f>
        <v/>
      </c>
      <c r="AM14" s="36">
        <f>IF(OR(AH14="",S14=0),"",MIN(IF(AU14="",9.9E+99,AU14),FLOOR(AL14/S14,1)))</f>
        <v/>
      </c>
      <c r="AN14" s="40">
        <f>IF(AM14="","",AM14*IF(ABS(MOD(ABS((U14)),1)-0.5)&lt;1E-9,2*ROUND((U14)/2,0),ROUND((U14),0)))</f>
        <v/>
      </c>
      <c r="AO14" s="38">
        <f>IF(OR(AH14="",S14=0),"",MIN(IF(AU14="",9.9E+99,AU14),AL14/S14))</f>
        <v/>
      </c>
      <c r="AP14" s="40">
        <f>IF(AO14="","",AO14*IF(B14="South Korea",IF(ABS(MOD(ABS((U14)),1)-0.5)&lt;1E-9,2*ROUND((U14)/2,0),ROUND((U14),0)),U14))</f>
        <v/>
      </c>
      <c r="AQ14" s="42" t="n"/>
      <c r="AR14" s="34" t="inlineStr">
        <is>
          <t>Estimated</t>
        </is>
      </c>
      <c r="AS14" s="43" t="n"/>
      <c r="AT14" s="43" t="n"/>
      <c r="AU14" s="44" t="n"/>
      <c r="AV14" s="45">
        <f>IF(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&lt;=0,"",VLOOKUP(B14,country_opex,7,FALSE)/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)</f>
        <v/>
      </c>
      <c r="AW14" s="45">
        <f>IF(((T14*pax_cap*IF(B14="South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Korea",korea_mid_revleg,revleg_mid)),0))*VLOOKUP(B14,country_opex,3,FALSE))+W14+X14+Y14+Z14+AA14))&lt;=0,"",VLOOKUP(B14,country_opex,7,FALSE)/((T14*pax_cap*IF(B14="South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Korea",korea_mid_revleg,revleg_mid)),0))*VLOOKUP(B14,country_opex,3,FALSE))+W14+X14+Y14+Z14+AA14)))</f>
        <v/>
      </c>
      <c r="AX14" s="45">
        <f>IF(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&lt;=0,"",VLOOKUP(B14,country_opex,7,FALSE)/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)</f>
        <v/>
      </c>
      <c r="AY14" s="46" t="n"/>
      <c r="AZ14" s="46" t="n"/>
      <c r="BA14" s="34" t="inlineStr">
        <is>
          <t>rn-1ad18654169b</t>
        </is>
      </c>
    </row>
    <row r="15">
      <c r="A15" s="31" t="inlineStr">
        <is>
          <t>Gulf Authority Bahrain Motc</t>
        </is>
      </c>
      <c r="B15" s="31" t="inlineStr">
        <is>
          <t>United Arab Emirates</t>
        </is>
      </c>
      <c r="C15" s="32" t="inlineStr">
        <is>
          <t>Rixos Bab Al Bahr beach jetty → Hampton by Hilton Marjan Island beach landing</t>
        </is>
      </c>
      <c r="D15" s="33" t="n">
        <v>1</v>
      </c>
      <c r="E15" s="27" t="n"/>
      <c r="F15" s="34" t="n"/>
      <c r="G15" s="34" t="n"/>
      <c r="H15" s="20" t="n">
        <v>1</v>
      </c>
      <c r="I15" s="35">
        <f>60*D15/cruise_kt</f>
        <v/>
      </c>
      <c r="J15" s="35">
        <f>IF(B15="South Korea",D15/korea_charge_range_nm*korea_full_range_charge_min,0)</f>
        <v/>
      </c>
      <c r="K15" s="35">
        <f>IF(B15="South Korea",I15+korea_turn_min+korea_dwell_min+J15,I15+turn_min+dwell_min)</f>
        <v/>
      </c>
      <c r="L15" s="36">
        <f>IF(B15="South Korea",FLOOR(60*korea_service_hr/K15,1),MIN(15,FLOOR(60*service_hr/K15,1)))</f>
        <v/>
      </c>
      <c r="M15" s="36">
        <f>IF(ABS(MOD(ABS((365*mech_uptime*H15)),1)-0.5)&lt;1E-9,2*ROUND((365*mech_uptime*H15)/2,0),ROUND((365*mech_uptime*H15),0))</f>
        <v/>
      </c>
      <c r="N15" s="37">
        <f>mech_uptime</f>
        <v/>
      </c>
      <c r="O15" s="37">
        <f>IF(AND(B15="South Korea",scenario="MID"),korea_mid_revleg,revleg_sel)</f>
        <v/>
      </c>
      <c r="P15" s="36">
        <f>IF(ABS(MOD(ABS((L15*M15*O15)),1)-0.5)&lt;1E-9,2*ROUND((L15*M15*O15)/2,0),ROUND((L15*M15*O15),0))</f>
        <v/>
      </c>
      <c r="Q15" s="37">
        <f>IF(AND(B15="South Korea",scenario="MID"),korea_mid_load,load_sel)</f>
        <v/>
      </c>
      <c r="R15" s="38">
        <f>pax_cap*Q15</f>
        <v/>
      </c>
      <c r="S15" s="36">
        <f>R15*P15</f>
        <v/>
      </c>
      <c r="T15" s="39">
        <f>E15*discount</f>
        <v/>
      </c>
      <c r="U15" s="40">
        <f>T15*S15</f>
        <v/>
      </c>
      <c r="V15" s="40">
        <f>(battery/range_nm)*D15*P15*VLOOKUP(B15,country_opex,3,FALSE)</f>
        <v/>
      </c>
      <c r="W15" s="40">
        <f>VLOOKUP(B15,country_opex,2,FALSE)*crew_factor</f>
        <v/>
      </c>
      <c r="X15" s="40">
        <f>VLOOKUP(B15,country_opex,5,FALSE)</f>
        <v/>
      </c>
      <c r="Y15" s="40">
        <f>maint</f>
        <v/>
      </c>
      <c r="Z15" s="40">
        <f>VLOOKUP(B15,country_opex,7,FALSE)*ins_pct</f>
        <v/>
      </c>
      <c r="AA15" s="40">
        <f>charge_berth</f>
        <v/>
      </c>
      <c r="AB15" s="40">
        <f>V15+W15+X15+Y15+Z15+AA15</f>
        <v/>
      </c>
      <c r="AC15" s="40">
        <f>VLOOKUP(B15,country_opex,7,FALSE)/dep_years</f>
        <v/>
      </c>
      <c r="AD15" s="40">
        <f>U15-AB15</f>
        <v/>
      </c>
      <c r="AE15" s="37">
        <f>IF(U15=0,"",AD15/U15)</f>
        <v/>
      </c>
      <c r="AF15" s="38">
        <f>IF(AD15&lt;=0,"",VLOOKUP(B15,country_opex,7,FALSE)/AD15)</f>
        <v/>
      </c>
      <c r="AG15" s="35">
        <f>((D15*P15/diesel_nmpg)*diesel_co2pg-(battery/range_nm)*D15*P15*VLOOKUP(B15,country_opex,4,FALSE))/1000</f>
        <v/>
      </c>
      <c r="AH15" s="33" t="n"/>
      <c r="AI15" s="34" t="n"/>
      <c r="AJ15" s="34" t="n"/>
      <c r="AK15" s="41" t="n">
        <v>0.1</v>
      </c>
      <c r="AL15" s="36">
        <f>IF(AH15="","",AH15*AK15)</f>
        <v/>
      </c>
      <c r="AM15" s="36">
        <f>IF(OR(AH15="",S15=0),"",MIN(IF(AU15="",9.9E+99,AU15),FLOOR(AL15/S15,1)))</f>
        <v/>
      </c>
      <c r="AN15" s="40">
        <f>IF(AM15="","",AM15*IF(ABS(MOD(ABS((U15)),1)-0.5)&lt;1E-9,2*ROUND((U15)/2,0),ROUND((U15),0)))</f>
        <v/>
      </c>
      <c r="AO15" s="38">
        <f>IF(OR(AH15="",S15=0),"",MIN(IF(AU15="",9.9E+99,AU15),AL15/S15))</f>
        <v/>
      </c>
      <c r="AP15" s="40">
        <f>IF(AO15="","",AO15*IF(B15="South Korea",IF(ABS(MOD(ABS((U15)),1)-0.5)&lt;1E-9,2*ROUND((U15)/2,0),ROUND((U15),0)),U15))</f>
        <v/>
      </c>
      <c r="AQ15" s="42" t="n"/>
      <c r="AR15" s="34" t="inlineStr">
        <is>
          <t>Estimated</t>
        </is>
      </c>
      <c r="AS15" s="43" t="n"/>
      <c r="AT15" s="43" t="n"/>
      <c r="AU15" s="44" t="n"/>
      <c r="AV15" s="45">
        <f>IF(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&lt;=0,"",VLOOKUP(B15,country_opex,7,FALSE)/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)</f>
        <v/>
      </c>
      <c r="AW15" s="45">
        <f>IF(((T15*pax_cap*IF(B15="South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Korea",korea_mid_revleg,revleg_mid)),0))*VLOOKUP(B15,country_opex,3,FALSE))+W15+X15+Y15+Z15+AA15))&lt;=0,"",VLOOKUP(B15,country_opex,7,FALSE)/((T15*pax_cap*IF(B15="South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Korea",korea_mid_revleg,revleg_mid)),0))*VLOOKUP(B15,country_opex,3,FALSE))+W15+X15+Y15+Z15+AA15)))</f>
        <v/>
      </c>
      <c r="AX15" s="45">
        <f>IF(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&lt;=0,"",VLOOKUP(B15,country_opex,7,FALSE)/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)</f>
        <v/>
      </c>
      <c r="AY15" s="46" t="n"/>
      <c r="AZ15" s="46" t="n"/>
      <c r="BA15" s="34" t="inlineStr">
        <is>
          <t>rn-4f0d97b8a3ed</t>
        </is>
      </c>
    </row>
    <row r="16">
      <c r="A16" s="31" t="inlineStr">
        <is>
          <t>Gulf Authority Bahrain Motc</t>
        </is>
      </c>
      <c r="B16" s="31" t="inlineStr">
        <is>
          <t>United Arab Emirates</t>
        </is>
      </c>
      <c r="C16" s="32" t="inlineStr">
        <is>
          <t>Wynn Al Marjan Island arrival lagoon → Hampton by Hilton Marjan Island beach landing</t>
        </is>
      </c>
      <c r="D16" s="33" t="n">
        <v>1</v>
      </c>
      <c r="E16" s="27" t="n"/>
      <c r="F16" s="34" t="n"/>
      <c r="G16" s="34" t="n"/>
      <c r="H16" s="20" t="n">
        <v>1</v>
      </c>
      <c r="I16" s="35">
        <f>60*D16/cruise_kt</f>
        <v/>
      </c>
      <c r="J16" s="35">
        <f>IF(B16="South Korea",D16/korea_charge_range_nm*korea_full_range_charge_min,0)</f>
        <v/>
      </c>
      <c r="K16" s="35">
        <f>IF(B16="South Korea",I16+korea_turn_min+korea_dwell_min+J16,I16+turn_min+dwell_min)</f>
        <v/>
      </c>
      <c r="L16" s="36">
        <f>IF(B16="South Korea",FLOOR(60*korea_service_hr/K16,1),MIN(15,FLOOR(60*service_hr/K16,1)))</f>
        <v/>
      </c>
      <c r="M16" s="36">
        <f>IF(ABS(MOD(ABS((365*mech_uptime*H16)),1)-0.5)&lt;1E-9,2*ROUND((365*mech_uptime*H16)/2,0),ROUND((365*mech_uptime*H16),0))</f>
        <v/>
      </c>
      <c r="N16" s="37">
        <f>mech_uptime</f>
        <v/>
      </c>
      <c r="O16" s="37">
        <f>IF(AND(B16="South Korea",scenario="MID"),korea_mid_revleg,revleg_sel)</f>
        <v/>
      </c>
      <c r="P16" s="36">
        <f>IF(ABS(MOD(ABS((L16*M16*O16)),1)-0.5)&lt;1E-9,2*ROUND((L16*M16*O16)/2,0),ROUND((L16*M16*O16),0))</f>
        <v/>
      </c>
      <c r="Q16" s="37">
        <f>IF(AND(B16="South Korea",scenario="MID"),korea_mid_load,load_sel)</f>
        <v/>
      </c>
      <c r="R16" s="38">
        <f>pax_cap*Q16</f>
        <v/>
      </c>
      <c r="S16" s="36">
        <f>R16*P16</f>
        <v/>
      </c>
      <c r="T16" s="39">
        <f>E16*discount</f>
        <v/>
      </c>
      <c r="U16" s="40">
        <f>T16*S16</f>
        <v/>
      </c>
      <c r="V16" s="40">
        <f>(battery/range_nm)*D16*P16*VLOOKUP(B16,country_opex,3,FALSE)</f>
        <v/>
      </c>
      <c r="W16" s="40">
        <f>VLOOKUP(B16,country_opex,2,FALSE)*crew_factor</f>
        <v/>
      </c>
      <c r="X16" s="40">
        <f>VLOOKUP(B16,country_opex,5,FALSE)</f>
        <v/>
      </c>
      <c r="Y16" s="40">
        <f>maint</f>
        <v/>
      </c>
      <c r="Z16" s="40">
        <f>VLOOKUP(B16,country_opex,7,FALSE)*ins_pct</f>
        <v/>
      </c>
      <c r="AA16" s="40">
        <f>charge_berth</f>
        <v/>
      </c>
      <c r="AB16" s="40">
        <f>V16+W16+X16+Y16+Z16+AA16</f>
        <v/>
      </c>
      <c r="AC16" s="40">
        <f>VLOOKUP(B16,country_opex,7,FALSE)/dep_years</f>
        <v/>
      </c>
      <c r="AD16" s="40">
        <f>U16-AB16</f>
        <v/>
      </c>
      <c r="AE16" s="37">
        <f>IF(U16=0,"",AD16/U16)</f>
        <v/>
      </c>
      <c r="AF16" s="38">
        <f>IF(AD16&lt;=0,"",VLOOKUP(B16,country_opex,7,FALSE)/AD16)</f>
        <v/>
      </c>
      <c r="AG16" s="35">
        <f>((D16*P16/diesel_nmpg)*diesel_co2pg-(battery/range_nm)*D16*P16*VLOOKUP(B16,country_opex,4,FALSE))/1000</f>
        <v/>
      </c>
      <c r="AH16" s="33" t="n"/>
      <c r="AI16" s="34" t="n"/>
      <c r="AJ16" s="34" t="n"/>
      <c r="AK16" s="41" t="n">
        <v>0.1</v>
      </c>
      <c r="AL16" s="36">
        <f>IF(AH16="","",AH16*AK16)</f>
        <v/>
      </c>
      <c r="AM16" s="36">
        <f>IF(OR(AH16="",S16=0),"",MIN(IF(AU16="",9.9E+99,AU16),FLOOR(AL16/S16,1)))</f>
        <v/>
      </c>
      <c r="AN16" s="40">
        <f>IF(AM16="","",AM16*IF(ABS(MOD(ABS((U16)),1)-0.5)&lt;1E-9,2*ROUND((U16)/2,0),ROUND((U16),0)))</f>
        <v/>
      </c>
      <c r="AO16" s="38">
        <f>IF(OR(AH16="",S16=0),"",MIN(IF(AU16="",9.9E+99,AU16),AL16/S16))</f>
        <v/>
      </c>
      <c r="AP16" s="40">
        <f>IF(AO16="","",AO16*IF(B16="South Korea",IF(ABS(MOD(ABS((U16)),1)-0.5)&lt;1E-9,2*ROUND((U16)/2,0),ROUND((U16),0)),U16))</f>
        <v/>
      </c>
      <c r="AQ16" s="42" t="n"/>
      <c r="AR16" s="34" t="inlineStr">
        <is>
          <t>Estimated</t>
        </is>
      </c>
      <c r="AS16" s="43" t="n"/>
      <c r="AT16" s="43" t="n"/>
      <c r="AU16" s="44" t="n"/>
      <c r="AV16" s="45">
        <f>IF(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&lt;=0,"",VLOOKUP(B16,country_opex,7,FALSE)/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)</f>
        <v/>
      </c>
      <c r="AW16" s="45">
        <f>IF(((T16*pax_cap*IF(B16="South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Korea",korea_mid_revleg,revleg_mid)),0))*VLOOKUP(B16,country_opex,3,FALSE))+W16+X16+Y16+Z16+AA16))&lt;=0,"",VLOOKUP(B16,country_opex,7,FALSE)/((T16*pax_cap*IF(B16="South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Korea",korea_mid_revleg,revleg_mid)),0))*VLOOKUP(B16,country_opex,3,FALSE))+W16+X16+Y16+Z16+AA16)))</f>
        <v/>
      </c>
      <c r="AX16" s="45">
        <f>IF(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&lt;=0,"",VLOOKUP(B16,country_opex,7,FALSE)/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)</f>
        <v/>
      </c>
      <c r="AY16" s="46" t="n"/>
      <c r="AZ16" s="46" t="n"/>
      <c r="BA16" s="34" t="inlineStr">
        <is>
          <t>rn-cf6a87b5e146</t>
        </is>
      </c>
    </row>
    <row r="17">
      <c r="A17" s="31" t="inlineStr">
        <is>
          <t>Gulf Authority Bahrain Motc</t>
        </is>
      </c>
      <c r="B17" s="31" t="inlineStr">
        <is>
          <t>United Arab Emirates</t>
        </is>
      </c>
      <c r="C17" s="32" t="inlineStr">
        <is>
          <t>Ras Al Khaimah Harbour → Hilton Garden Inn Ras Al Khaimah (Corniche) jetty</t>
        </is>
      </c>
      <c r="D17" s="33" t="n">
        <v>1.1</v>
      </c>
      <c r="E17" s="27" t="n"/>
      <c r="F17" s="34" t="n"/>
      <c r="G17" s="34" t="n"/>
      <c r="H17" s="20" t="n">
        <v>1</v>
      </c>
      <c r="I17" s="35">
        <f>60*D17/cruise_kt</f>
        <v/>
      </c>
      <c r="J17" s="35">
        <f>IF(B17="South Korea",D17/korea_charge_range_nm*korea_full_range_charge_min,0)</f>
        <v/>
      </c>
      <c r="K17" s="35">
        <f>IF(B17="South Korea",I17+korea_turn_min+korea_dwell_min+J17,I17+turn_min+dwell_min)</f>
        <v/>
      </c>
      <c r="L17" s="36">
        <f>IF(B17="South Korea",FLOOR(60*korea_service_hr/K17,1),MIN(15,FLOOR(60*service_hr/K17,1)))</f>
        <v/>
      </c>
      <c r="M17" s="36">
        <f>IF(ABS(MOD(ABS((365*mech_uptime*H17)),1)-0.5)&lt;1E-9,2*ROUND((365*mech_uptime*H17)/2,0),ROUND((365*mech_uptime*H17),0))</f>
        <v/>
      </c>
      <c r="N17" s="37">
        <f>mech_uptime</f>
        <v/>
      </c>
      <c r="O17" s="37">
        <f>IF(AND(B17="South Korea",scenario="MID"),korea_mid_revleg,revleg_sel)</f>
        <v/>
      </c>
      <c r="P17" s="36">
        <f>IF(ABS(MOD(ABS((L17*M17*O17)),1)-0.5)&lt;1E-9,2*ROUND((L17*M17*O17)/2,0),ROUND((L17*M17*O17),0))</f>
        <v/>
      </c>
      <c r="Q17" s="37">
        <f>IF(AND(B17="South Korea",scenario="MID"),korea_mid_load,load_sel)</f>
        <v/>
      </c>
      <c r="R17" s="38">
        <f>pax_cap*Q17</f>
        <v/>
      </c>
      <c r="S17" s="36">
        <f>R17*P17</f>
        <v/>
      </c>
      <c r="T17" s="39">
        <f>E17*discount</f>
        <v/>
      </c>
      <c r="U17" s="40">
        <f>T17*S17</f>
        <v/>
      </c>
      <c r="V17" s="40">
        <f>(battery/range_nm)*D17*P17*VLOOKUP(B17,country_opex,3,FALSE)</f>
        <v/>
      </c>
      <c r="W17" s="40">
        <f>VLOOKUP(B17,country_opex,2,FALSE)*crew_factor</f>
        <v/>
      </c>
      <c r="X17" s="40">
        <f>VLOOKUP(B17,country_opex,5,FALSE)</f>
        <v/>
      </c>
      <c r="Y17" s="40">
        <f>maint</f>
        <v/>
      </c>
      <c r="Z17" s="40">
        <f>VLOOKUP(B17,country_opex,7,FALSE)*ins_pct</f>
        <v/>
      </c>
      <c r="AA17" s="40">
        <f>charge_berth</f>
        <v/>
      </c>
      <c r="AB17" s="40">
        <f>V17+W17+X17+Y17+Z17+AA17</f>
        <v/>
      </c>
      <c r="AC17" s="40">
        <f>VLOOKUP(B17,country_opex,7,FALSE)/dep_years</f>
        <v/>
      </c>
      <c r="AD17" s="40">
        <f>U17-AB17</f>
        <v/>
      </c>
      <c r="AE17" s="37">
        <f>IF(U17=0,"",AD17/U17)</f>
        <v/>
      </c>
      <c r="AF17" s="38">
        <f>IF(AD17&lt;=0,"",VLOOKUP(B17,country_opex,7,FALSE)/AD17)</f>
        <v/>
      </c>
      <c r="AG17" s="35">
        <f>((D17*P17/diesel_nmpg)*diesel_co2pg-(battery/range_nm)*D17*P17*VLOOKUP(B17,country_opex,4,FALSE))/1000</f>
        <v/>
      </c>
      <c r="AH17" s="33" t="n"/>
      <c r="AI17" s="34" t="n"/>
      <c r="AJ17" s="34" t="n"/>
      <c r="AK17" s="41" t="n">
        <v>0.1</v>
      </c>
      <c r="AL17" s="36">
        <f>IF(AH17="","",AH17*AK17)</f>
        <v/>
      </c>
      <c r="AM17" s="36">
        <f>IF(OR(AH17="",S17=0),"",MIN(IF(AU17="",9.9E+99,AU17),FLOOR(AL17/S17,1)))</f>
        <v/>
      </c>
      <c r="AN17" s="40">
        <f>IF(AM17="","",AM17*IF(ABS(MOD(ABS((U17)),1)-0.5)&lt;1E-9,2*ROUND((U17)/2,0),ROUND((U17),0)))</f>
        <v/>
      </c>
      <c r="AO17" s="38">
        <f>IF(OR(AH17="",S17=0),"",MIN(IF(AU17="",9.9E+99,AU17),AL17/S17))</f>
        <v/>
      </c>
      <c r="AP17" s="40">
        <f>IF(AO17="","",AO17*IF(B17="South Korea",IF(ABS(MOD(ABS((U17)),1)-0.5)&lt;1E-9,2*ROUND((U17)/2,0),ROUND((U17),0)),U17))</f>
        <v/>
      </c>
      <c r="AQ17" s="42" t="n"/>
      <c r="AR17" s="34" t="inlineStr">
        <is>
          <t>Estimated</t>
        </is>
      </c>
      <c r="AS17" s="43" t="n"/>
      <c r="AT17" s="43" t="n"/>
      <c r="AU17" s="44" t="n"/>
      <c r="AV17" s="45">
        <f>IF(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&lt;=0,"",VLOOKUP(B17,country_opex,7,FALSE)/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)</f>
        <v/>
      </c>
      <c r="AW17" s="45">
        <f>IF(((T17*pax_cap*IF(B17="South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Korea",korea_mid_revleg,revleg_mid)),0))*VLOOKUP(B17,country_opex,3,FALSE))+W17+X17+Y17+Z17+AA17))&lt;=0,"",VLOOKUP(B17,country_opex,7,FALSE)/((T17*pax_cap*IF(B17="South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Korea",korea_mid_revleg,revleg_mid)),0))*VLOOKUP(B17,country_opex,3,FALSE))+W17+X17+Y17+Z17+AA17)))</f>
        <v/>
      </c>
      <c r="AX17" s="45">
        <f>IF(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&lt;=0,"",VLOOKUP(B17,country_opex,7,FALSE)/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)</f>
        <v/>
      </c>
      <c r="AY17" s="46" t="n"/>
      <c r="AZ17" s="46" t="n"/>
      <c r="BA17" s="34" t="inlineStr">
        <is>
          <t>rn-ea8ffe092848</t>
        </is>
      </c>
    </row>
    <row r="18">
      <c r="A18" s="31" t="inlineStr">
        <is>
          <t>Gulf Authority Bahrain Motc</t>
        </is>
      </c>
      <c r="B18" s="31" t="inlineStr">
        <is>
          <t>United Arab Emirates</t>
        </is>
      </c>
      <c r="C18" s="32" t="inlineStr">
        <is>
          <t>Bin Majid Beach Resort jetty → Acacia by Bin Majid jetty</t>
        </is>
      </c>
      <c r="D18" s="33" t="n">
        <v>1.2</v>
      </c>
      <c r="E18" s="27" t="n"/>
      <c r="F18" s="34" t="n"/>
      <c r="G18" s="34" t="n"/>
      <c r="H18" s="20" t="n">
        <v>1</v>
      </c>
      <c r="I18" s="35">
        <f>60*D18/cruise_kt</f>
        <v/>
      </c>
      <c r="J18" s="35">
        <f>IF(B18="South Korea",D18/korea_charge_range_nm*korea_full_range_charge_min,0)</f>
        <v/>
      </c>
      <c r="K18" s="35">
        <f>IF(B18="South Korea",I18+korea_turn_min+korea_dwell_min+J18,I18+turn_min+dwell_min)</f>
        <v/>
      </c>
      <c r="L18" s="36">
        <f>IF(B18="South Korea",FLOOR(60*korea_service_hr/K18,1),MIN(15,FLOOR(60*service_hr/K18,1)))</f>
        <v/>
      </c>
      <c r="M18" s="36">
        <f>IF(ABS(MOD(ABS((365*mech_uptime*H18)),1)-0.5)&lt;1E-9,2*ROUND((365*mech_uptime*H18)/2,0),ROUND((365*mech_uptime*H18),0))</f>
        <v/>
      </c>
      <c r="N18" s="37">
        <f>mech_uptime</f>
        <v/>
      </c>
      <c r="O18" s="37">
        <f>IF(AND(B18="South Korea",scenario="MID"),korea_mid_revleg,revleg_sel)</f>
        <v/>
      </c>
      <c r="P18" s="36">
        <f>IF(ABS(MOD(ABS((L18*M18*O18)),1)-0.5)&lt;1E-9,2*ROUND((L18*M18*O18)/2,0),ROUND((L18*M18*O18),0))</f>
        <v/>
      </c>
      <c r="Q18" s="37">
        <f>IF(AND(B18="South Korea",scenario="MID"),korea_mid_load,load_sel)</f>
        <v/>
      </c>
      <c r="R18" s="38">
        <f>pax_cap*Q18</f>
        <v/>
      </c>
      <c r="S18" s="36">
        <f>R18*P18</f>
        <v/>
      </c>
      <c r="T18" s="39">
        <f>E18*discount</f>
        <v/>
      </c>
      <c r="U18" s="40">
        <f>T18*S18</f>
        <v/>
      </c>
      <c r="V18" s="40">
        <f>(battery/range_nm)*D18*P18*VLOOKUP(B18,country_opex,3,FALSE)</f>
        <v/>
      </c>
      <c r="W18" s="40">
        <f>VLOOKUP(B18,country_opex,2,FALSE)*crew_factor</f>
        <v/>
      </c>
      <c r="X18" s="40">
        <f>VLOOKUP(B18,country_opex,5,FALSE)</f>
        <v/>
      </c>
      <c r="Y18" s="40">
        <f>maint</f>
        <v/>
      </c>
      <c r="Z18" s="40">
        <f>VLOOKUP(B18,country_opex,7,FALSE)*ins_pct</f>
        <v/>
      </c>
      <c r="AA18" s="40">
        <f>charge_berth</f>
        <v/>
      </c>
      <c r="AB18" s="40">
        <f>V18+W18+X18+Y18+Z18+AA18</f>
        <v/>
      </c>
      <c r="AC18" s="40">
        <f>VLOOKUP(B18,country_opex,7,FALSE)/dep_years</f>
        <v/>
      </c>
      <c r="AD18" s="40">
        <f>U18-AB18</f>
        <v/>
      </c>
      <c r="AE18" s="37">
        <f>IF(U18=0,"",AD18/U18)</f>
        <v/>
      </c>
      <c r="AF18" s="38">
        <f>IF(AD18&lt;=0,"",VLOOKUP(B18,country_opex,7,FALSE)/AD18)</f>
        <v/>
      </c>
      <c r="AG18" s="35">
        <f>((D18*P18/diesel_nmpg)*diesel_co2pg-(battery/range_nm)*D18*P18*VLOOKUP(B18,country_opex,4,FALSE))/1000</f>
        <v/>
      </c>
      <c r="AH18" s="33" t="n"/>
      <c r="AI18" s="34" t="n"/>
      <c r="AJ18" s="34" t="n"/>
      <c r="AK18" s="41" t="n">
        <v>0.1</v>
      </c>
      <c r="AL18" s="36">
        <f>IF(AH18="","",AH18*AK18)</f>
        <v/>
      </c>
      <c r="AM18" s="36">
        <f>IF(OR(AH18="",S18=0),"",MIN(IF(AU18="",9.9E+99,AU18),FLOOR(AL18/S18,1)))</f>
        <v/>
      </c>
      <c r="AN18" s="40">
        <f>IF(AM18="","",AM18*IF(ABS(MOD(ABS((U18)),1)-0.5)&lt;1E-9,2*ROUND((U18)/2,0),ROUND((U18),0)))</f>
        <v/>
      </c>
      <c r="AO18" s="38">
        <f>IF(OR(AH18="",S18=0),"",MIN(IF(AU18="",9.9E+99,AU18),AL18/S18))</f>
        <v/>
      </c>
      <c r="AP18" s="40">
        <f>IF(AO18="","",AO18*IF(B18="South Korea",IF(ABS(MOD(ABS((U18)),1)-0.5)&lt;1E-9,2*ROUND((U18)/2,0),ROUND((U18),0)),U18))</f>
        <v/>
      </c>
      <c r="AQ18" s="42" t="n"/>
      <c r="AR18" s="34" t="inlineStr">
        <is>
          <t>Estimated</t>
        </is>
      </c>
      <c r="AS18" s="43" t="n"/>
      <c r="AT18" s="43" t="n"/>
      <c r="AU18" s="44" t="n"/>
      <c r="AV18" s="45">
        <f>IF(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&lt;=0,"",VLOOKUP(B18,country_opex,7,FALSE)/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)</f>
        <v/>
      </c>
      <c r="AW18" s="45">
        <f>IF(((T18*pax_cap*IF(B18="South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Korea",korea_mid_revleg,revleg_mid)),0))*VLOOKUP(B18,country_opex,3,FALSE))+W18+X18+Y18+Z18+AA18))&lt;=0,"",VLOOKUP(B18,country_opex,7,FALSE)/((T18*pax_cap*IF(B18="South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Korea",korea_mid_revleg,revleg_mid)),0))*VLOOKUP(B18,country_opex,3,FALSE))+W18+X18+Y18+Z18+AA18)))</f>
        <v/>
      </c>
      <c r="AX18" s="45">
        <f>IF(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&lt;=0,"",VLOOKUP(B18,country_opex,7,FALSE)/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)</f>
        <v/>
      </c>
      <c r="AY18" s="46" t="n"/>
      <c r="AZ18" s="46" t="n"/>
      <c r="BA18" s="34" t="inlineStr">
        <is>
          <t>rn-f1870f49bf3e</t>
        </is>
      </c>
    </row>
    <row r="19">
      <c r="A19" s="31" t="inlineStr">
        <is>
          <t>Gulf Authority Bahrain Motc</t>
        </is>
      </c>
      <c r="B19" s="31" t="inlineStr">
        <is>
          <t>United Arab Emirates</t>
        </is>
      </c>
      <c r="C19" s="32" t="inlineStr">
        <is>
          <t>Hilton Garden Inn Ras Al Khaimah (Corniche) jetty → RAK Corniche public pier</t>
        </is>
      </c>
      <c r="D19" s="33" t="n">
        <v>1.2</v>
      </c>
      <c r="E19" s="27" t="n"/>
      <c r="F19" s="34" t="n"/>
      <c r="G19" s="34" t="n"/>
      <c r="H19" s="20" t="n">
        <v>1</v>
      </c>
      <c r="I19" s="35">
        <f>60*D19/cruise_kt</f>
        <v/>
      </c>
      <c r="J19" s="35">
        <f>IF(B19="South Korea",D19/korea_charge_range_nm*korea_full_range_charge_min,0)</f>
        <v/>
      </c>
      <c r="K19" s="35">
        <f>IF(B19="South Korea",I19+korea_turn_min+korea_dwell_min+J19,I19+turn_min+dwell_min)</f>
        <v/>
      </c>
      <c r="L19" s="36">
        <f>IF(B19="South Korea",FLOOR(60*korea_service_hr/K19,1),MIN(15,FLOOR(60*service_hr/K19,1)))</f>
        <v/>
      </c>
      <c r="M19" s="36">
        <f>IF(ABS(MOD(ABS((365*mech_uptime*H19)),1)-0.5)&lt;1E-9,2*ROUND((365*mech_uptime*H19)/2,0),ROUND((365*mech_uptime*H19),0))</f>
        <v/>
      </c>
      <c r="N19" s="37">
        <f>mech_uptime</f>
        <v/>
      </c>
      <c r="O19" s="37">
        <f>IF(AND(B19="South Korea",scenario="MID"),korea_mid_revleg,revleg_sel)</f>
        <v/>
      </c>
      <c r="P19" s="36">
        <f>IF(ABS(MOD(ABS((L19*M19*O19)),1)-0.5)&lt;1E-9,2*ROUND((L19*M19*O19)/2,0),ROUND((L19*M19*O19),0))</f>
        <v/>
      </c>
      <c r="Q19" s="37">
        <f>IF(AND(B19="South Korea",scenario="MID"),korea_mid_load,load_sel)</f>
        <v/>
      </c>
      <c r="R19" s="38">
        <f>pax_cap*Q19</f>
        <v/>
      </c>
      <c r="S19" s="36">
        <f>R19*P19</f>
        <v/>
      </c>
      <c r="T19" s="39">
        <f>E19*discount</f>
        <v/>
      </c>
      <c r="U19" s="40">
        <f>T19*S19</f>
        <v/>
      </c>
      <c r="V19" s="40">
        <f>(battery/range_nm)*D19*P19*VLOOKUP(B19,country_opex,3,FALSE)</f>
        <v/>
      </c>
      <c r="W19" s="40">
        <f>VLOOKUP(B19,country_opex,2,FALSE)*crew_factor</f>
        <v/>
      </c>
      <c r="X19" s="40">
        <f>VLOOKUP(B19,country_opex,5,FALSE)</f>
        <v/>
      </c>
      <c r="Y19" s="40">
        <f>maint</f>
        <v/>
      </c>
      <c r="Z19" s="40">
        <f>VLOOKUP(B19,country_opex,7,FALSE)*ins_pct</f>
        <v/>
      </c>
      <c r="AA19" s="40">
        <f>charge_berth</f>
        <v/>
      </c>
      <c r="AB19" s="40">
        <f>V19+W19+X19+Y19+Z19+AA19</f>
        <v/>
      </c>
      <c r="AC19" s="40">
        <f>VLOOKUP(B19,country_opex,7,FALSE)/dep_years</f>
        <v/>
      </c>
      <c r="AD19" s="40">
        <f>U19-AB19</f>
        <v/>
      </c>
      <c r="AE19" s="37">
        <f>IF(U19=0,"",AD19/U19)</f>
        <v/>
      </c>
      <c r="AF19" s="38">
        <f>IF(AD19&lt;=0,"",VLOOKUP(B19,country_opex,7,FALSE)/AD19)</f>
        <v/>
      </c>
      <c r="AG19" s="35">
        <f>((D19*P19/diesel_nmpg)*diesel_co2pg-(battery/range_nm)*D19*P19*VLOOKUP(B19,country_opex,4,FALSE))/1000</f>
        <v/>
      </c>
      <c r="AH19" s="33" t="n"/>
      <c r="AI19" s="34" t="n"/>
      <c r="AJ19" s="34" t="n"/>
      <c r="AK19" s="41" t="n">
        <v>0.1</v>
      </c>
      <c r="AL19" s="36">
        <f>IF(AH19="","",AH19*AK19)</f>
        <v/>
      </c>
      <c r="AM19" s="36">
        <f>IF(OR(AH19="",S19=0),"",MIN(IF(AU19="",9.9E+99,AU19),FLOOR(AL19/S19,1)))</f>
        <v/>
      </c>
      <c r="AN19" s="40">
        <f>IF(AM19="","",AM19*IF(ABS(MOD(ABS((U19)),1)-0.5)&lt;1E-9,2*ROUND((U19)/2,0),ROUND((U19),0)))</f>
        <v/>
      </c>
      <c r="AO19" s="38">
        <f>IF(OR(AH19="",S19=0),"",MIN(IF(AU19="",9.9E+99,AU19),AL19/S19))</f>
        <v/>
      </c>
      <c r="AP19" s="40">
        <f>IF(AO19="","",AO19*IF(B19="South Korea",IF(ABS(MOD(ABS((U19)),1)-0.5)&lt;1E-9,2*ROUND((U19)/2,0),ROUND((U19),0)),U19))</f>
        <v/>
      </c>
      <c r="AQ19" s="42" t="n"/>
      <c r="AR19" s="34" t="inlineStr">
        <is>
          <t>Estimated</t>
        </is>
      </c>
      <c r="AS19" s="43" t="n"/>
      <c r="AT19" s="43" t="n"/>
      <c r="AU19" s="44" t="n"/>
      <c r="AV19" s="45">
        <f>IF(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&lt;=0,"",VLOOKUP(B19,country_opex,7,FALSE)/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)</f>
        <v/>
      </c>
      <c r="AW19" s="45">
        <f>IF(((T19*pax_cap*IF(B19="South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Korea",korea_mid_revleg,revleg_mid)),0))*VLOOKUP(B19,country_opex,3,FALSE))+W19+X19+Y19+Z19+AA19))&lt;=0,"",VLOOKUP(B19,country_opex,7,FALSE)/((T19*pax_cap*IF(B19="South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Korea",korea_mid_revleg,revleg_mid)),0))*VLOOKUP(B19,country_opex,3,FALSE))+W19+X19+Y19+Z19+AA19)))</f>
        <v/>
      </c>
      <c r="AX19" s="45">
        <f>IF(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&lt;=0,"",VLOOKUP(B19,country_opex,7,FALSE)/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)</f>
        <v/>
      </c>
      <c r="AY19" s="46" t="n"/>
      <c r="AZ19" s="46" t="n"/>
      <c r="BA19" s="34" t="inlineStr">
        <is>
          <t>rn-c35ab68f5b90</t>
        </is>
      </c>
    </row>
    <row r="20">
      <c r="A20" s="31" t="inlineStr">
        <is>
          <t>Gulf Authority Bahrain Motc</t>
        </is>
      </c>
      <c r="B20" s="31" t="inlineStr">
        <is>
          <t>United Arab Emirates</t>
        </is>
      </c>
      <c r="C20" s="32" t="inlineStr">
        <is>
          <t>Al Zorah Marina 1 → Ajman Marina</t>
        </is>
      </c>
      <c r="D20" s="33" t="n">
        <v>1.6</v>
      </c>
      <c r="E20" s="27" t="n"/>
      <c r="F20" s="34" t="n"/>
      <c r="G20" s="34" t="n"/>
      <c r="H20" s="20" t="n">
        <v>1</v>
      </c>
      <c r="I20" s="35">
        <f>60*D20/cruise_kt</f>
        <v/>
      </c>
      <c r="J20" s="35">
        <f>IF(B20="South Korea",D20/korea_charge_range_nm*korea_full_range_charge_min,0)</f>
        <v/>
      </c>
      <c r="K20" s="35">
        <f>IF(B20="South Korea",I20+korea_turn_min+korea_dwell_min+J20,I20+turn_min+dwell_min)</f>
        <v/>
      </c>
      <c r="L20" s="36">
        <f>IF(B20="South Korea",FLOOR(60*korea_service_hr/K20,1),MIN(15,FLOOR(60*service_hr/K20,1)))</f>
        <v/>
      </c>
      <c r="M20" s="36">
        <f>IF(ABS(MOD(ABS((365*mech_uptime*H20)),1)-0.5)&lt;1E-9,2*ROUND((365*mech_uptime*H20)/2,0),ROUND((365*mech_uptime*H20),0))</f>
        <v/>
      </c>
      <c r="N20" s="37">
        <f>mech_uptime</f>
        <v/>
      </c>
      <c r="O20" s="37">
        <f>IF(AND(B20="South Korea",scenario="MID"),korea_mid_revleg,revleg_sel)</f>
        <v/>
      </c>
      <c r="P20" s="36">
        <f>IF(ABS(MOD(ABS((L20*M20*O20)),1)-0.5)&lt;1E-9,2*ROUND((L20*M20*O20)/2,0),ROUND((L20*M20*O20),0))</f>
        <v/>
      </c>
      <c r="Q20" s="37">
        <f>IF(AND(B20="South Korea",scenario="MID"),korea_mid_load,load_sel)</f>
        <v/>
      </c>
      <c r="R20" s="38">
        <f>pax_cap*Q20</f>
        <v/>
      </c>
      <c r="S20" s="36">
        <f>R20*P20</f>
        <v/>
      </c>
      <c r="T20" s="39">
        <f>E20*discount</f>
        <v/>
      </c>
      <c r="U20" s="40">
        <f>T20*S20</f>
        <v/>
      </c>
      <c r="V20" s="40">
        <f>(battery/range_nm)*D20*P20*VLOOKUP(B20,country_opex,3,FALSE)</f>
        <v/>
      </c>
      <c r="W20" s="40">
        <f>VLOOKUP(B20,country_opex,2,FALSE)*crew_factor</f>
        <v/>
      </c>
      <c r="X20" s="40">
        <f>VLOOKUP(B20,country_opex,5,FALSE)</f>
        <v/>
      </c>
      <c r="Y20" s="40">
        <f>maint</f>
        <v/>
      </c>
      <c r="Z20" s="40">
        <f>VLOOKUP(B20,country_opex,7,FALSE)*ins_pct</f>
        <v/>
      </c>
      <c r="AA20" s="40">
        <f>charge_berth</f>
        <v/>
      </c>
      <c r="AB20" s="40">
        <f>V20+W20+X20+Y20+Z20+AA20</f>
        <v/>
      </c>
      <c r="AC20" s="40">
        <f>VLOOKUP(B20,country_opex,7,FALSE)/dep_years</f>
        <v/>
      </c>
      <c r="AD20" s="40">
        <f>U20-AB20</f>
        <v/>
      </c>
      <c r="AE20" s="37">
        <f>IF(U20=0,"",AD20/U20)</f>
        <v/>
      </c>
      <c r="AF20" s="38">
        <f>IF(AD20&lt;=0,"",VLOOKUP(B20,country_opex,7,FALSE)/AD20)</f>
        <v/>
      </c>
      <c r="AG20" s="35">
        <f>((D20*P20/diesel_nmpg)*diesel_co2pg-(battery/range_nm)*D20*P20*VLOOKUP(B20,country_opex,4,FALSE))/1000</f>
        <v/>
      </c>
      <c r="AH20" s="33" t="n"/>
      <c r="AI20" s="34" t="n"/>
      <c r="AJ20" s="34" t="n"/>
      <c r="AK20" s="41" t="n">
        <v>0.1</v>
      </c>
      <c r="AL20" s="36">
        <f>IF(AH20="","",AH20*AK20)</f>
        <v/>
      </c>
      <c r="AM20" s="36">
        <f>IF(OR(AH20="",S20=0),"",MIN(IF(AU20="",9.9E+99,AU20),FLOOR(AL20/S20,1)))</f>
        <v/>
      </c>
      <c r="AN20" s="40">
        <f>IF(AM20="","",AM20*IF(ABS(MOD(ABS((U20)),1)-0.5)&lt;1E-9,2*ROUND((U20)/2,0),ROUND((U20),0)))</f>
        <v/>
      </c>
      <c r="AO20" s="38">
        <f>IF(OR(AH20="",S20=0),"",MIN(IF(AU20="",9.9E+99,AU20),AL20/S20))</f>
        <v/>
      </c>
      <c r="AP20" s="40">
        <f>IF(AO20="","",AO20*IF(B20="South Korea",IF(ABS(MOD(ABS((U20)),1)-0.5)&lt;1E-9,2*ROUND((U20)/2,0),ROUND((U20),0)),U20))</f>
        <v/>
      </c>
      <c r="AQ20" s="42" t="n"/>
      <c r="AR20" s="34" t="inlineStr">
        <is>
          <t>Estimated</t>
        </is>
      </c>
      <c r="AS20" s="43" t="n"/>
      <c r="AT20" s="43" t="n"/>
      <c r="AU20" s="44" t="n"/>
      <c r="AV20" s="45">
        <f>IF(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&lt;=0,"",VLOOKUP(B20,country_opex,7,FALSE)/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)</f>
        <v/>
      </c>
      <c r="AW20" s="45">
        <f>IF(((T20*pax_cap*IF(B20="South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Korea",korea_mid_revleg,revleg_mid)),0))*VLOOKUP(B20,country_opex,3,FALSE))+W20+X20+Y20+Z20+AA20))&lt;=0,"",VLOOKUP(B20,country_opex,7,FALSE)/((T20*pax_cap*IF(B20="South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Korea",korea_mid_revleg,revleg_mid)),0))*VLOOKUP(B20,country_opex,3,FALSE))+W20+X20+Y20+Z20+AA20)))</f>
        <v/>
      </c>
      <c r="AX20" s="45">
        <f>IF(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&lt;=0,"",VLOOKUP(B20,country_opex,7,FALSE)/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)</f>
        <v/>
      </c>
      <c r="AY20" s="46" t="n"/>
      <c r="AZ20" s="46" t="n"/>
      <c r="BA20" s="34" t="inlineStr">
        <is>
          <t>rn-11d3a0b9153a</t>
        </is>
      </c>
    </row>
    <row r="21">
      <c r="A21" s="31" t="inlineStr">
        <is>
          <t>Gulf Authority Bahrain Motc</t>
        </is>
      </c>
      <c r="B21" s="31" t="inlineStr">
        <is>
          <t>United Arab Emirates</t>
        </is>
      </c>
      <c r="C21" s="32" t="inlineStr">
        <is>
          <t>Raksa → Ras Al Khaimah Harbour</t>
        </is>
      </c>
      <c r="D21" s="33" t="n">
        <v>1.9</v>
      </c>
      <c r="E21" s="27" t="n"/>
      <c r="F21" s="34" t="n"/>
      <c r="G21" s="34" t="n"/>
      <c r="H21" s="20" t="n">
        <v>1</v>
      </c>
      <c r="I21" s="35">
        <f>60*D21/cruise_kt</f>
        <v/>
      </c>
      <c r="J21" s="35">
        <f>IF(B21="South Korea",D21/korea_charge_range_nm*korea_full_range_charge_min,0)</f>
        <v/>
      </c>
      <c r="K21" s="35">
        <f>IF(B21="South Korea",I21+korea_turn_min+korea_dwell_min+J21,I21+turn_min+dwell_min)</f>
        <v/>
      </c>
      <c r="L21" s="36">
        <f>IF(B21="South Korea",FLOOR(60*korea_service_hr/K21,1),MIN(15,FLOOR(60*service_hr/K21,1)))</f>
        <v/>
      </c>
      <c r="M21" s="36">
        <f>IF(ABS(MOD(ABS((365*mech_uptime*H21)),1)-0.5)&lt;1E-9,2*ROUND((365*mech_uptime*H21)/2,0),ROUND((365*mech_uptime*H21),0))</f>
        <v/>
      </c>
      <c r="N21" s="37">
        <f>mech_uptime</f>
        <v/>
      </c>
      <c r="O21" s="37">
        <f>IF(AND(B21="South Korea",scenario="MID"),korea_mid_revleg,revleg_sel)</f>
        <v/>
      </c>
      <c r="P21" s="36">
        <f>IF(ABS(MOD(ABS((L21*M21*O21)),1)-0.5)&lt;1E-9,2*ROUND((L21*M21*O21)/2,0),ROUND((L21*M21*O21),0))</f>
        <v/>
      </c>
      <c r="Q21" s="37">
        <f>IF(AND(B21="South Korea",scenario="MID"),korea_mid_load,load_sel)</f>
        <v/>
      </c>
      <c r="R21" s="38">
        <f>pax_cap*Q21</f>
        <v/>
      </c>
      <c r="S21" s="36">
        <f>R21*P21</f>
        <v/>
      </c>
      <c r="T21" s="39">
        <f>E21*discount</f>
        <v/>
      </c>
      <c r="U21" s="40">
        <f>T21*S21</f>
        <v/>
      </c>
      <c r="V21" s="40">
        <f>(battery/range_nm)*D21*P21*VLOOKUP(B21,country_opex,3,FALSE)</f>
        <v/>
      </c>
      <c r="W21" s="40">
        <f>VLOOKUP(B21,country_opex,2,FALSE)*crew_factor</f>
        <v/>
      </c>
      <c r="X21" s="40">
        <f>VLOOKUP(B21,country_opex,5,FALSE)</f>
        <v/>
      </c>
      <c r="Y21" s="40">
        <f>maint</f>
        <v/>
      </c>
      <c r="Z21" s="40">
        <f>VLOOKUP(B21,country_opex,7,FALSE)*ins_pct</f>
        <v/>
      </c>
      <c r="AA21" s="40">
        <f>charge_berth</f>
        <v/>
      </c>
      <c r="AB21" s="40">
        <f>V21+W21+X21+Y21+Z21+AA21</f>
        <v/>
      </c>
      <c r="AC21" s="40">
        <f>VLOOKUP(B21,country_opex,7,FALSE)/dep_years</f>
        <v/>
      </c>
      <c r="AD21" s="40">
        <f>U21-AB21</f>
        <v/>
      </c>
      <c r="AE21" s="37">
        <f>IF(U21=0,"",AD21/U21)</f>
        <v/>
      </c>
      <c r="AF21" s="38">
        <f>IF(AD21&lt;=0,"",VLOOKUP(B21,country_opex,7,FALSE)/AD21)</f>
        <v/>
      </c>
      <c r="AG21" s="35">
        <f>((D21*P21/diesel_nmpg)*diesel_co2pg-(battery/range_nm)*D21*P21*VLOOKUP(B21,country_opex,4,FALSE))/1000</f>
        <v/>
      </c>
      <c r="AH21" s="33" t="n"/>
      <c r="AI21" s="34" t="n"/>
      <c r="AJ21" s="34" t="n"/>
      <c r="AK21" s="41" t="n">
        <v>0.1</v>
      </c>
      <c r="AL21" s="36">
        <f>IF(AH21="","",AH21*AK21)</f>
        <v/>
      </c>
      <c r="AM21" s="36">
        <f>IF(OR(AH21="",S21=0),"",MIN(IF(AU21="",9.9E+99,AU21),FLOOR(AL21/S21,1)))</f>
        <v/>
      </c>
      <c r="AN21" s="40">
        <f>IF(AM21="","",AM21*IF(ABS(MOD(ABS((U21)),1)-0.5)&lt;1E-9,2*ROUND((U21)/2,0),ROUND((U21),0)))</f>
        <v/>
      </c>
      <c r="AO21" s="38">
        <f>IF(OR(AH21="",S21=0),"",MIN(IF(AU21="",9.9E+99,AU21),AL21/S21))</f>
        <v/>
      </c>
      <c r="AP21" s="40">
        <f>IF(AO21="","",AO21*IF(B21="South Korea",IF(ABS(MOD(ABS((U21)),1)-0.5)&lt;1E-9,2*ROUND((U21)/2,0),ROUND((U21),0)),U21))</f>
        <v/>
      </c>
      <c r="AQ21" s="42" t="n"/>
      <c r="AR21" s="34" t="inlineStr">
        <is>
          <t>Estimated</t>
        </is>
      </c>
      <c r="AS21" s="43" t="n"/>
      <c r="AT21" s="43" t="n"/>
      <c r="AU21" s="44" t="n"/>
      <c r="AV21" s="45">
        <f>IF(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&lt;=0,"",VLOOKUP(B21,country_opex,7,FALSE)/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)</f>
        <v/>
      </c>
      <c r="AW21" s="45">
        <f>IF(((T21*pax_cap*IF(B21="South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Korea",korea_mid_revleg,revleg_mid)),0))*VLOOKUP(B21,country_opex,3,FALSE))+W21+X21+Y21+Z21+AA21))&lt;=0,"",VLOOKUP(B21,country_opex,7,FALSE)/((T21*pax_cap*IF(B21="South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Korea",korea_mid_revleg,revleg_mid)),0))*VLOOKUP(B21,country_opex,3,FALSE))+W21+X21+Y21+Z21+AA21)))</f>
        <v/>
      </c>
      <c r="AX21" s="45">
        <f>IF(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&lt;=0,"",VLOOKUP(B21,country_opex,7,FALSE)/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)</f>
        <v/>
      </c>
      <c r="AY21" s="46" t="n"/>
      <c r="AZ21" s="46" t="n"/>
      <c r="BA21" s="34" t="inlineStr">
        <is>
          <t>rn-45de8febe019</t>
        </is>
      </c>
    </row>
    <row r="22">
      <c r="A22" s="31" t="inlineStr">
        <is>
          <t>Gulf Authority Bahrain Motc</t>
        </is>
      </c>
      <c r="B22" s="31" t="inlineStr">
        <is>
          <t>United Arab Emirates</t>
        </is>
      </c>
      <c r="C22" s="32" t="inlineStr">
        <is>
          <t>Sha'am Fishing Boat Harbour → Sha'am coastal staging point</t>
        </is>
      </c>
      <c r="D22" s="33" t="n">
        <v>2.1</v>
      </c>
      <c r="E22" s="27" t="n"/>
      <c r="F22" s="34" t="n"/>
      <c r="G22" s="34" t="n"/>
      <c r="H22" s="20" t="n">
        <v>1</v>
      </c>
      <c r="I22" s="35">
        <f>60*D22/cruise_kt</f>
        <v/>
      </c>
      <c r="J22" s="35">
        <f>IF(B22="South Korea",D22/korea_charge_range_nm*korea_full_range_charge_min,0)</f>
        <v/>
      </c>
      <c r="K22" s="35">
        <f>IF(B22="South Korea",I22+korea_turn_min+korea_dwell_min+J22,I22+turn_min+dwell_min)</f>
        <v/>
      </c>
      <c r="L22" s="36">
        <f>IF(B22="South Korea",FLOOR(60*korea_service_hr/K22,1),MIN(15,FLOOR(60*service_hr/K22,1)))</f>
        <v/>
      </c>
      <c r="M22" s="36">
        <f>IF(ABS(MOD(ABS((365*mech_uptime*H22)),1)-0.5)&lt;1E-9,2*ROUND((365*mech_uptime*H22)/2,0),ROUND((365*mech_uptime*H22),0))</f>
        <v/>
      </c>
      <c r="N22" s="37">
        <f>mech_uptime</f>
        <v/>
      </c>
      <c r="O22" s="37">
        <f>IF(AND(B22="South Korea",scenario="MID"),korea_mid_revleg,revleg_sel)</f>
        <v/>
      </c>
      <c r="P22" s="36">
        <f>IF(ABS(MOD(ABS((L22*M22*O22)),1)-0.5)&lt;1E-9,2*ROUND((L22*M22*O22)/2,0),ROUND((L22*M22*O22),0))</f>
        <v/>
      </c>
      <c r="Q22" s="37">
        <f>IF(AND(B22="South Korea",scenario="MID"),korea_mid_load,load_sel)</f>
        <v/>
      </c>
      <c r="R22" s="38">
        <f>pax_cap*Q22</f>
        <v/>
      </c>
      <c r="S22" s="36">
        <f>R22*P22</f>
        <v/>
      </c>
      <c r="T22" s="39">
        <f>E22*discount</f>
        <v/>
      </c>
      <c r="U22" s="40">
        <f>T22*S22</f>
        <v/>
      </c>
      <c r="V22" s="40">
        <f>(battery/range_nm)*D22*P22*VLOOKUP(B22,country_opex,3,FALSE)</f>
        <v/>
      </c>
      <c r="W22" s="40">
        <f>VLOOKUP(B22,country_opex,2,FALSE)*crew_factor</f>
        <v/>
      </c>
      <c r="X22" s="40">
        <f>VLOOKUP(B22,country_opex,5,FALSE)</f>
        <v/>
      </c>
      <c r="Y22" s="40">
        <f>maint</f>
        <v/>
      </c>
      <c r="Z22" s="40">
        <f>VLOOKUP(B22,country_opex,7,FALSE)*ins_pct</f>
        <v/>
      </c>
      <c r="AA22" s="40">
        <f>charge_berth</f>
        <v/>
      </c>
      <c r="AB22" s="40">
        <f>V22+W22+X22+Y22+Z22+AA22</f>
        <v/>
      </c>
      <c r="AC22" s="40">
        <f>VLOOKUP(B22,country_opex,7,FALSE)/dep_years</f>
        <v/>
      </c>
      <c r="AD22" s="40">
        <f>U22-AB22</f>
        <v/>
      </c>
      <c r="AE22" s="37">
        <f>IF(U22=0,"",AD22/U22)</f>
        <v/>
      </c>
      <c r="AF22" s="38">
        <f>IF(AD22&lt;=0,"",VLOOKUP(B22,country_opex,7,FALSE)/AD22)</f>
        <v/>
      </c>
      <c r="AG22" s="35">
        <f>((D22*P22/diesel_nmpg)*diesel_co2pg-(battery/range_nm)*D22*P22*VLOOKUP(B22,country_opex,4,FALSE))/1000</f>
        <v/>
      </c>
      <c r="AH22" s="33" t="n"/>
      <c r="AI22" s="34" t="n"/>
      <c r="AJ22" s="34" t="n"/>
      <c r="AK22" s="41" t="n">
        <v>0.1</v>
      </c>
      <c r="AL22" s="36">
        <f>IF(AH22="","",AH22*AK22)</f>
        <v/>
      </c>
      <c r="AM22" s="36">
        <f>IF(OR(AH22="",S22=0),"",MIN(IF(AU22="",9.9E+99,AU22),FLOOR(AL22/S22,1)))</f>
        <v/>
      </c>
      <c r="AN22" s="40">
        <f>IF(AM22="","",AM22*IF(ABS(MOD(ABS((U22)),1)-0.5)&lt;1E-9,2*ROUND((U22)/2,0),ROUND((U22),0)))</f>
        <v/>
      </c>
      <c r="AO22" s="38">
        <f>IF(OR(AH22="",S22=0),"",MIN(IF(AU22="",9.9E+99,AU22),AL22/S22))</f>
        <v/>
      </c>
      <c r="AP22" s="40">
        <f>IF(AO22="","",AO22*IF(B22="South Korea",IF(ABS(MOD(ABS((U22)),1)-0.5)&lt;1E-9,2*ROUND((U22)/2,0),ROUND((U22),0)),U22))</f>
        <v/>
      </c>
      <c r="AQ22" s="42" t="n"/>
      <c r="AR22" s="34" t="inlineStr">
        <is>
          <t>Estimated</t>
        </is>
      </c>
      <c r="AS22" s="43" t="n"/>
      <c r="AT22" s="43" t="n"/>
      <c r="AU22" s="44" t="n"/>
      <c r="AV22" s="45">
        <f>IF(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&lt;=0,"",VLOOKUP(B22,country_opex,7,FALSE)/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)</f>
        <v/>
      </c>
      <c r="AW22" s="45">
        <f>IF(((T22*pax_cap*IF(B22="South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Korea",korea_mid_revleg,revleg_mid)),0))*VLOOKUP(B22,country_opex,3,FALSE))+W22+X22+Y22+Z22+AA22))&lt;=0,"",VLOOKUP(B22,country_opex,7,FALSE)/((T22*pax_cap*IF(B22="South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Korea",korea_mid_revleg,revleg_mid)),0))*VLOOKUP(B22,country_opex,3,FALSE))+W22+X22+Y22+Z22+AA22)))</f>
        <v/>
      </c>
      <c r="AX22" s="45">
        <f>IF(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&lt;=0,"",VLOOKUP(B22,country_opex,7,FALSE)/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)</f>
        <v/>
      </c>
      <c r="AY22" s="46" t="n"/>
      <c r="AZ22" s="46" t="n"/>
      <c r="BA22" s="34" t="inlineStr">
        <is>
          <t>rn-610b1a3bb4db</t>
        </is>
      </c>
    </row>
    <row r="23">
      <c r="A23" s="31" t="inlineStr">
        <is>
          <t>Gulf Authority Bahrain Motc</t>
        </is>
      </c>
      <c r="B23" s="31" t="inlineStr">
        <is>
          <t>United Arab Emirates</t>
        </is>
      </c>
      <c r="C23" s="32" t="inlineStr">
        <is>
          <t>The Cove Rotana Resort jetty → Anantara Mina Al Arab Ras Al Khaimah Resort jetty</t>
        </is>
      </c>
      <c r="D23" s="33" t="n">
        <v>2.2</v>
      </c>
      <c r="E23" s="27" t="n"/>
      <c r="F23" s="34" t="n"/>
      <c r="G23" s="34" t="n"/>
      <c r="H23" s="20" t="n">
        <v>1</v>
      </c>
      <c r="I23" s="35">
        <f>60*D23/cruise_kt</f>
        <v/>
      </c>
      <c r="J23" s="35">
        <f>IF(B23="South Korea",D23/korea_charge_range_nm*korea_full_range_charge_min,0)</f>
        <v/>
      </c>
      <c r="K23" s="35">
        <f>IF(B23="South Korea",I23+korea_turn_min+korea_dwell_min+J23,I23+turn_min+dwell_min)</f>
        <v/>
      </c>
      <c r="L23" s="36">
        <f>IF(B23="South Korea",FLOOR(60*korea_service_hr/K23,1),MIN(15,FLOOR(60*service_hr/K23,1)))</f>
        <v/>
      </c>
      <c r="M23" s="36">
        <f>IF(ABS(MOD(ABS((365*mech_uptime*H23)),1)-0.5)&lt;1E-9,2*ROUND((365*mech_uptime*H23)/2,0),ROUND((365*mech_uptime*H23),0))</f>
        <v/>
      </c>
      <c r="N23" s="37">
        <f>mech_uptime</f>
        <v/>
      </c>
      <c r="O23" s="37">
        <f>IF(AND(B23="South Korea",scenario="MID"),korea_mid_revleg,revleg_sel)</f>
        <v/>
      </c>
      <c r="P23" s="36">
        <f>IF(ABS(MOD(ABS((L23*M23*O23)),1)-0.5)&lt;1E-9,2*ROUND((L23*M23*O23)/2,0),ROUND((L23*M23*O23),0))</f>
        <v/>
      </c>
      <c r="Q23" s="37">
        <f>IF(AND(B23="South Korea",scenario="MID"),korea_mid_load,load_sel)</f>
        <v/>
      </c>
      <c r="R23" s="38">
        <f>pax_cap*Q23</f>
        <v/>
      </c>
      <c r="S23" s="36">
        <f>R23*P23</f>
        <v/>
      </c>
      <c r="T23" s="39">
        <f>E23*discount</f>
        <v/>
      </c>
      <c r="U23" s="40">
        <f>T23*S23</f>
        <v/>
      </c>
      <c r="V23" s="40">
        <f>(battery/range_nm)*D23*P23*VLOOKUP(B23,country_opex,3,FALSE)</f>
        <v/>
      </c>
      <c r="W23" s="40">
        <f>VLOOKUP(B23,country_opex,2,FALSE)*crew_factor</f>
        <v/>
      </c>
      <c r="X23" s="40">
        <f>VLOOKUP(B23,country_opex,5,FALSE)</f>
        <v/>
      </c>
      <c r="Y23" s="40">
        <f>maint</f>
        <v/>
      </c>
      <c r="Z23" s="40">
        <f>VLOOKUP(B23,country_opex,7,FALSE)*ins_pct</f>
        <v/>
      </c>
      <c r="AA23" s="40">
        <f>charge_berth</f>
        <v/>
      </c>
      <c r="AB23" s="40">
        <f>V23+W23+X23+Y23+Z23+AA23</f>
        <v/>
      </c>
      <c r="AC23" s="40">
        <f>VLOOKUP(B23,country_opex,7,FALSE)/dep_years</f>
        <v/>
      </c>
      <c r="AD23" s="40">
        <f>U23-AB23</f>
        <v/>
      </c>
      <c r="AE23" s="37">
        <f>IF(U23=0,"",AD23/U23)</f>
        <v/>
      </c>
      <c r="AF23" s="38">
        <f>IF(AD23&lt;=0,"",VLOOKUP(B23,country_opex,7,FALSE)/AD23)</f>
        <v/>
      </c>
      <c r="AG23" s="35">
        <f>((D23*P23/diesel_nmpg)*diesel_co2pg-(battery/range_nm)*D23*P23*VLOOKUP(B23,country_opex,4,FALSE))/1000</f>
        <v/>
      </c>
      <c r="AH23" s="33" t="n"/>
      <c r="AI23" s="34" t="n"/>
      <c r="AJ23" s="34" t="n"/>
      <c r="AK23" s="41" t="n">
        <v>0.1</v>
      </c>
      <c r="AL23" s="36">
        <f>IF(AH23="","",AH23*AK23)</f>
        <v/>
      </c>
      <c r="AM23" s="36">
        <f>IF(OR(AH23="",S23=0),"",MIN(IF(AU23="",9.9E+99,AU23),FLOOR(AL23/S23,1)))</f>
        <v/>
      </c>
      <c r="AN23" s="40">
        <f>IF(AM23="","",AM23*IF(ABS(MOD(ABS((U23)),1)-0.5)&lt;1E-9,2*ROUND((U23)/2,0),ROUND((U23),0)))</f>
        <v/>
      </c>
      <c r="AO23" s="38">
        <f>IF(OR(AH23="",S23=0),"",MIN(IF(AU23="",9.9E+99,AU23),AL23/S23))</f>
        <v/>
      </c>
      <c r="AP23" s="40">
        <f>IF(AO23="","",AO23*IF(B23="South Korea",IF(ABS(MOD(ABS((U23)),1)-0.5)&lt;1E-9,2*ROUND((U23)/2,0),ROUND((U23),0)),U23))</f>
        <v/>
      </c>
      <c r="AQ23" s="42" t="n"/>
      <c r="AR23" s="34" t="inlineStr">
        <is>
          <t>Estimated</t>
        </is>
      </c>
      <c r="AS23" s="43" t="n"/>
      <c r="AT23" s="43" t="n"/>
      <c r="AU23" s="44" t="n"/>
      <c r="AV23" s="45">
        <f>IF(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&lt;=0,"",VLOOKUP(B23,country_opex,7,FALSE)/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)</f>
        <v/>
      </c>
      <c r="AW23" s="45">
        <f>IF(((T23*pax_cap*IF(B23="South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Korea",korea_mid_revleg,revleg_mid)),0))*VLOOKUP(B23,country_opex,3,FALSE))+W23+X23+Y23+Z23+AA23))&lt;=0,"",VLOOKUP(B23,country_opex,7,FALSE)/((T23*pax_cap*IF(B23="South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Korea",korea_mid_revleg,revleg_mid)),0))*VLOOKUP(B23,country_opex,3,FALSE))+W23+X23+Y23+Z23+AA23)))</f>
        <v/>
      </c>
      <c r="AX23" s="45">
        <f>IF(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&lt;=0,"",VLOOKUP(B23,country_opex,7,FALSE)/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)</f>
        <v/>
      </c>
      <c r="AY23" s="46" t="n"/>
      <c r="AZ23" s="46" t="n"/>
      <c r="BA23" s="34" t="inlineStr">
        <is>
          <t>rn-fc522269661a</t>
        </is>
      </c>
    </row>
    <row r="24">
      <c r="A24" s="31" t="inlineStr">
        <is>
          <t>Gulf Authority Bahrain Motc</t>
        </is>
      </c>
      <c r="B24" s="31" t="inlineStr">
        <is>
          <t>United Arab Emirates</t>
        </is>
      </c>
      <c r="C24" s="32" t="inlineStr">
        <is>
          <t>ميناء صيادين غليلة → Sha'am Fishing Boat Harbour</t>
        </is>
      </c>
      <c r="D24" s="33" t="n">
        <v>2.5</v>
      </c>
      <c r="E24" s="27" t="n"/>
      <c r="F24" s="34" t="n"/>
      <c r="G24" s="34" t="n"/>
      <c r="H24" s="20" t="n">
        <v>1</v>
      </c>
      <c r="I24" s="35">
        <f>60*D24/cruise_kt</f>
        <v/>
      </c>
      <c r="J24" s="35">
        <f>IF(B24="South Korea",D24/korea_charge_range_nm*korea_full_range_charge_min,0)</f>
        <v/>
      </c>
      <c r="K24" s="35">
        <f>IF(B24="South Korea",I24+korea_turn_min+korea_dwell_min+J24,I24+turn_min+dwell_min)</f>
        <v/>
      </c>
      <c r="L24" s="36">
        <f>IF(B24="South Korea",FLOOR(60*korea_service_hr/K24,1),MIN(15,FLOOR(60*service_hr/K24,1)))</f>
        <v/>
      </c>
      <c r="M24" s="36">
        <f>IF(ABS(MOD(ABS((365*mech_uptime*H24)),1)-0.5)&lt;1E-9,2*ROUND((365*mech_uptime*H24)/2,0),ROUND((365*mech_uptime*H24),0))</f>
        <v/>
      </c>
      <c r="N24" s="37">
        <f>mech_uptime</f>
        <v/>
      </c>
      <c r="O24" s="37">
        <f>IF(AND(B24="South Korea",scenario="MID"),korea_mid_revleg,revleg_sel)</f>
        <v/>
      </c>
      <c r="P24" s="36">
        <f>IF(ABS(MOD(ABS((L24*M24*O24)),1)-0.5)&lt;1E-9,2*ROUND((L24*M24*O24)/2,0),ROUND((L24*M24*O24),0))</f>
        <v/>
      </c>
      <c r="Q24" s="37">
        <f>IF(AND(B24="South Korea",scenario="MID"),korea_mid_load,load_sel)</f>
        <v/>
      </c>
      <c r="R24" s="38">
        <f>pax_cap*Q24</f>
        <v/>
      </c>
      <c r="S24" s="36">
        <f>R24*P24</f>
        <v/>
      </c>
      <c r="T24" s="39">
        <f>E24*discount</f>
        <v/>
      </c>
      <c r="U24" s="40">
        <f>T24*S24</f>
        <v/>
      </c>
      <c r="V24" s="40">
        <f>(battery/range_nm)*D24*P24*VLOOKUP(B24,country_opex,3,FALSE)</f>
        <v/>
      </c>
      <c r="W24" s="40">
        <f>VLOOKUP(B24,country_opex,2,FALSE)*crew_factor</f>
        <v/>
      </c>
      <c r="X24" s="40">
        <f>VLOOKUP(B24,country_opex,5,FALSE)</f>
        <v/>
      </c>
      <c r="Y24" s="40">
        <f>maint</f>
        <v/>
      </c>
      <c r="Z24" s="40">
        <f>VLOOKUP(B24,country_opex,7,FALSE)*ins_pct</f>
        <v/>
      </c>
      <c r="AA24" s="40">
        <f>charge_berth</f>
        <v/>
      </c>
      <c r="AB24" s="40">
        <f>V24+W24+X24+Y24+Z24+AA24</f>
        <v/>
      </c>
      <c r="AC24" s="40">
        <f>VLOOKUP(B24,country_opex,7,FALSE)/dep_years</f>
        <v/>
      </c>
      <c r="AD24" s="40">
        <f>U24-AB24</f>
        <v/>
      </c>
      <c r="AE24" s="37">
        <f>IF(U24=0,"",AD24/U24)</f>
        <v/>
      </c>
      <c r="AF24" s="38">
        <f>IF(AD24&lt;=0,"",VLOOKUP(B24,country_opex,7,FALSE)/AD24)</f>
        <v/>
      </c>
      <c r="AG24" s="35">
        <f>((D24*P24/diesel_nmpg)*diesel_co2pg-(battery/range_nm)*D24*P24*VLOOKUP(B24,country_opex,4,FALSE))/1000</f>
        <v/>
      </c>
      <c r="AH24" s="33" t="n"/>
      <c r="AI24" s="34" t="n"/>
      <c r="AJ24" s="34" t="n"/>
      <c r="AK24" s="41" t="n">
        <v>0.1</v>
      </c>
      <c r="AL24" s="36">
        <f>IF(AH24="","",AH24*AK24)</f>
        <v/>
      </c>
      <c r="AM24" s="36">
        <f>IF(OR(AH24="",S24=0),"",MIN(IF(AU24="",9.9E+99,AU24),FLOOR(AL24/S24,1)))</f>
        <v/>
      </c>
      <c r="AN24" s="40">
        <f>IF(AM24="","",AM24*IF(ABS(MOD(ABS((U24)),1)-0.5)&lt;1E-9,2*ROUND((U24)/2,0),ROUND((U24),0)))</f>
        <v/>
      </c>
      <c r="AO24" s="38">
        <f>IF(OR(AH24="",S24=0),"",MIN(IF(AU24="",9.9E+99,AU24),AL24/S24))</f>
        <v/>
      </c>
      <c r="AP24" s="40">
        <f>IF(AO24="","",AO24*IF(B24="South Korea",IF(ABS(MOD(ABS((U24)),1)-0.5)&lt;1E-9,2*ROUND((U24)/2,0),ROUND((U24),0)),U24))</f>
        <v/>
      </c>
      <c r="AQ24" s="42" t="n"/>
      <c r="AR24" s="34" t="inlineStr">
        <is>
          <t>Estimated</t>
        </is>
      </c>
      <c r="AS24" s="43" t="n"/>
      <c r="AT24" s="43" t="n"/>
      <c r="AU24" s="44" t="n"/>
      <c r="AV24" s="45">
        <f>IF(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&lt;=0,"",VLOOKUP(B24,country_opex,7,FALSE)/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)</f>
        <v/>
      </c>
      <c r="AW24" s="45">
        <f>IF(((T24*pax_cap*IF(B24="South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Korea",korea_mid_revleg,revleg_mid)),0))*VLOOKUP(B24,country_opex,3,FALSE))+W24+X24+Y24+Z24+AA24))&lt;=0,"",VLOOKUP(B24,country_opex,7,FALSE)/((T24*pax_cap*IF(B24="South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Korea",korea_mid_revleg,revleg_mid)),0))*VLOOKUP(B24,country_opex,3,FALSE))+W24+X24+Y24+Z24+AA24)))</f>
        <v/>
      </c>
      <c r="AX24" s="45">
        <f>IF(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&lt;=0,"",VLOOKUP(B24,country_opex,7,FALSE)/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)</f>
        <v/>
      </c>
      <c r="AY24" s="46" t="n"/>
      <c r="AZ24" s="46" t="n"/>
      <c r="BA24" s="34" t="inlineStr">
        <is>
          <t>rn-e54d51128055</t>
        </is>
      </c>
    </row>
    <row r="25">
      <c r="A25" s="31" t="inlineStr">
        <is>
          <t>Gulf Authority Bahrain Motc</t>
        </is>
      </c>
      <c r="B25" s="31" t="inlineStr">
        <is>
          <t>United Arab Emirates</t>
        </is>
      </c>
      <c r="C25" s="32" t="inlineStr">
        <is>
          <t>Daba Port → Dibba Al-Hisn Marina - Sharjah</t>
        </is>
      </c>
      <c r="D25" s="33" t="n">
        <v>2.7</v>
      </c>
      <c r="E25" s="27" t="n"/>
      <c r="F25" s="34" t="n"/>
      <c r="G25" s="34" t="n"/>
      <c r="H25" s="20" t="n">
        <v>1</v>
      </c>
      <c r="I25" s="35">
        <f>60*D25/cruise_kt</f>
        <v/>
      </c>
      <c r="J25" s="35">
        <f>IF(B25="South Korea",D25/korea_charge_range_nm*korea_full_range_charge_min,0)</f>
        <v/>
      </c>
      <c r="K25" s="35">
        <f>IF(B25="South Korea",I25+korea_turn_min+korea_dwell_min+J25,I25+turn_min+dwell_min)</f>
        <v/>
      </c>
      <c r="L25" s="36">
        <f>IF(B25="South Korea",FLOOR(60*korea_service_hr/K25,1),MIN(15,FLOOR(60*service_hr/K25,1)))</f>
        <v/>
      </c>
      <c r="M25" s="36">
        <f>IF(ABS(MOD(ABS((365*mech_uptime*H25)),1)-0.5)&lt;1E-9,2*ROUND((365*mech_uptime*H25)/2,0),ROUND((365*mech_uptime*H25),0))</f>
        <v/>
      </c>
      <c r="N25" s="37">
        <f>mech_uptime</f>
        <v/>
      </c>
      <c r="O25" s="37">
        <f>IF(AND(B25="South Korea",scenario="MID"),korea_mid_revleg,revleg_sel)</f>
        <v/>
      </c>
      <c r="P25" s="36">
        <f>IF(ABS(MOD(ABS((L25*M25*O25)),1)-0.5)&lt;1E-9,2*ROUND((L25*M25*O25)/2,0),ROUND((L25*M25*O25),0))</f>
        <v/>
      </c>
      <c r="Q25" s="37">
        <f>IF(AND(B25="South Korea",scenario="MID"),korea_mid_load,load_sel)</f>
        <v/>
      </c>
      <c r="R25" s="38">
        <f>pax_cap*Q25</f>
        <v/>
      </c>
      <c r="S25" s="36">
        <f>R25*P25</f>
        <v/>
      </c>
      <c r="T25" s="39">
        <f>E25*discount</f>
        <v/>
      </c>
      <c r="U25" s="40">
        <f>T25*S25</f>
        <v/>
      </c>
      <c r="V25" s="40">
        <f>(battery/range_nm)*D25*P25*VLOOKUP(B25,country_opex,3,FALSE)</f>
        <v/>
      </c>
      <c r="W25" s="40">
        <f>VLOOKUP(B25,country_opex,2,FALSE)*crew_factor</f>
        <v/>
      </c>
      <c r="X25" s="40">
        <f>VLOOKUP(B25,country_opex,5,FALSE)</f>
        <v/>
      </c>
      <c r="Y25" s="40">
        <f>maint</f>
        <v/>
      </c>
      <c r="Z25" s="40">
        <f>VLOOKUP(B25,country_opex,7,FALSE)*ins_pct</f>
        <v/>
      </c>
      <c r="AA25" s="40">
        <f>charge_berth</f>
        <v/>
      </c>
      <c r="AB25" s="40">
        <f>V25+W25+X25+Y25+Z25+AA25</f>
        <v/>
      </c>
      <c r="AC25" s="40">
        <f>VLOOKUP(B25,country_opex,7,FALSE)/dep_years</f>
        <v/>
      </c>
      <c r="AD25" s="40">
        <f>U25-AB25</f>
        <v/>
      </c>
      <c r="AE25" s="37">
        <f>IF(U25=0,"",AD25/U25)</f>
        <v/>
      </c>
      <c r="AF25" s="38">
        <f>IF(AD25&lt;=0,"",VLOOKUP(B25,country_opex,7,FALSE)/AD25)</f>
        <v/>
      </c>
      <c r="AG25" s="35">
        <f>((D25*P25/diesel_nmpg)*diesel_co2pg-(battery/range_nm)*D25*P25*VLOOKUP(B25,country_opex,4,FALSE))/1000</f>
        <v/>
      </c>
      <c r="AH25" s="33" t="n"/>
      <c r="AI25" s="34" t="n"/>
      <c r="AJ25" s="34" t="n"/>
      <c r="AK25" s="41" t="n">
        <v>0.1</v>
      </c>
      <c r="AL25" s="36">
        <f>IF(AH25="","",AH25*AK25)</f>
        <v/>
      </c>
      <c r="AM25" s="36">
        <f>IF(OR(AH25="",S25=0),"",MIN(IF(AU25="",9.9E+99,AU25),FLOOR(AL25/S25,1)))</f>
        <v/>
      </c>
      <c r="AN25" s="40">
        <f>IF(AM25="","",AM25*IF(ABS(MOD(ABS((U25)),1)-0.5)&lt;1E-9,2*ROUND((U25)/2,0),ROUND((U25),0)))</f>
        <v/>
      </c>
      <c r="AO25" s="38">
        <f>IF(OR(AH25="",S25=0),"",MIN(IF(AU25="",9.9E+99,AU25),AL25/S25))</f>
        <v/>
      </c>
      <c r="AP25" s="40">
        <f>IF(AO25="","",AO25*IF(B25="South Korea",IF(ABS(MOD(ABS((U25)),1)-0.5)&lt;1E-9,2*ROUND((U25)/2,0),ROUND((U25),0)),U25))</f>
        <v/>
      </c>
      <c r="AQ25" s="42" t="n"/>
      <c r="AR25" s="34" t="inlineStr">
        <is>
          <t>Estimated</t>
        </is>
      </c>
      <c r="AS25" s="43" t="n"/>
      <c r="AT25" s="43" t="n"/>
      <c r="AU25" s="44" t="n"/>
      <c r="AV25" s="45">
        <f>IF(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&lt;=0,"",VLOOKUP(B25,country_opex,7,FALSE)/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)</f>
        <v/>
      </c>
      <c r="AW25" s="45">
        <f>IF(((T25*pax_cap*IF(B25="South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Korea",korea_mid_revleg,revleg_mid)),0))*VLOOKUP(B25,country_opex,3,FALSE))+W25+X25+Y25+Z25+AA25))&lt;=0,"",VLOOKUP(B25,country_opex,7,FALSE)/((T25*pax_cap*IF(B25="South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Korea",korea_mid_revleg,revleg_mid)),0))*VLOOKUP(B25,country_opex,3,FALSE))+W25+X25+Y25+Z25+AA25)))</f>
        <v/>
      </c>
      <c r="AX25" s="45">
        <f>IF(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&lt;=0,"",VLOOKUP(B25,country_opex,7,FALSE)/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)</f>
        <v/>
      </c>
      <c r="AY25" s="46" t="n"/>
      <c r="AZ25" s="46" t="n"/>
      <c r="BA25" s="34" t="inlineStr">
        <is>
          <t>rn-86890f46f3a5</t>
        </is>
      </c>
    </row>
    <row r="26">
      <c r="A26" s="31" t="inlineStr">
        <is>
          <t>Gulf Authority Bahrain Motc</t>
        </is>
      </c>
      <c r="B26" s="31" t="inlineStr">
        <is>
          <t>United Arab Emirates</t>
        </is>
      </c>
      <c r="C26" s="32" t="inlineStr">
        <is>
          <t>ميناء صيادين غليلة → ميناء صيادين خورخوير</t>
        </is>
      </c>
      <c r="D26" s="33" t="n">
        <v>2.8</v>
      </c>
      <c r="E26" s="27" t="n"/>
      <c r="F26" s="34" t="n"/>
      <c r="G26" s="34" t="n"/>
      <c r="H26" s="20" t="n">
        <v>1</v>
      </c>
      <c r="I26" s="35">
        <f>60*D26/cruise_kt</f>
        <v/>
      </c>
      <c r="J26" s="35">
        <f>IF(B26="South Korea",D26/korea_charge_range_nm*korea_full_range_charge_min,0)</f>
        <v/>
      </c>
      <c r="K26" s="35">
        <f>IF(B26="South Korea",I26+korea_turn_min+korea_dwell_min+J26,I26+turn_min+dwell_min)</f>
        <v/>
      </c>
      <c r="L26" s="36">
        <f>IF(B26="South Korea",FLOOR(60*korea_service_hr/K26,1),MIN(15,FLOOR(60*service_hr/K26,1)))</f>
        <v/>
      </c>
      <c r="M26" s="36">
        <f>IF(ABS(MOD(ABS((365*mech_uptime*H26)),1)-0.5)&lt;1E-9,2*ROUND((365*mech_uptime*H26)/2,0),ROUND((365*mech_uptime*H26),0))</f>
        <v/>
      </c>
      <c r="N26" s="37">
        <f>mech_uptime</f>
        <v/>
      </c>
      <c r="O26" s="37">
        <f>IF(AND(B26="South Korea",scenario="MID"),korea_mid_revleg,revleg_sel)</f>
        <v/>
      </c>
      <c r="P26" s="36">
        <f>IF(ABS(MOD(ABS((L26*M26*O26)),1)-0.5)&lt;1E-9,2*ROUND((L26*M26*O26)/2,0),ROUND((L26*M26*O26),0))</f>
        <v/>
      </c>
      <c r="Q26" s="37">
        <f>IF(AND(B26="South Korea",scenario="MID"),korea_mid_load,load_sel)</f>
        <v/>
      </c>
      <c r="R26" s="38">
        <f>pax_cap*Q26</f>
        <v/>
      </c>
      <c r="S26" s="36">
        <f>R26*P26</f>
        <v/>
      </c>
      <c r="T26" s="39">
        <f>E26*discount</f>
        <v/>
      </c>
      <c r="U26" s="40">
        <f>T26*S26</f>
        <v/>
      </c>
      <c r="V26" s="40">
        <f>(battery/range_nm)*D26*P26*VLOOKUP(B26,country_opex,3,FALSE)</f>
        <v/>
      </c>
      <c r="W26" s="40">
        <f>VLOOKUP(B26,country_opex,2,FALSE)*crew_factor</f>
        <v/>
      </c>
      <c r="X26" s="40">
        <f>VLOOKUP(B26,country_opex,5,FALSE)</f>
        <v/>
      </c>
      <c r="Y26" s="40">
        <f>maint</f>
        <v/>
      </c>
      <c r="Z26" s="40">
        <f>VLOOKUP(B26,country_opex,7,FALSE)*ins_pct</f>
        <v/>
      </c>
      <c r="AA26" s="40">
        <f>charge_berth</f>
        <v/>
      </c>
      <c r="AB26" s="40">
        <f>V26+W26+X26+Y26+Z26+AA26</f>
        <v/>
      </c>
      <c r="AC26" s="40">
        <f>VLOOKUP(B26,country_opex,7,FALSE)/dep_years</f>
        <v/>
      </c>
      <c r="AD26" s="40">
        <f>U26-AB26</f>
        <v/>
      </c>
      <c r="AE26" s="37">
        <f>IF(U26=0,"",AD26/U26)</f>
        <v/>
      </c>
      <c r="AF26" s="38">
        <f>IF(AD26&lt;=0,"",VLOOKUP(B26,country_opex,7,FALSE)/AD26)</f>
        <v/>
      </c>
      <c r="AG26" s="35">
        <f>((D26*P26/diesel_nmpg)*diesel_co2pg-(battery/range_nm)*D26*P26*VLOOKUP(B26,country_opex,4,FALSE))/1000</f>
        <v/>
      </c>
      <c r="AH26" s="33" t="n"/>
      <c r="AI26" s="34" t="n"/>
      <c r="AJ26" s="34" t="n"/>
      <c r="AK26" s="41" t="n">
        <v>0.1</v>
      </c>
      <c r="AL26" s="36">
        <f>IF(AH26="","",AH26*AK26)</f>
        <v/>
      </c>
      <c r="AM26" s="36">
        <f>IF(OR(AH26="",S26=0),"",MIN(IF(AU26="",9.9E+99,AU26),FLOOR(AL26/S26,1)))</f>
        <v/>
      </c>
      <c r="AN26" s="40">
        <f>IF(AM26="","",AM26*IF(ABS(MOD(ABS((U26)),1)-0.5)&lt;1E-9,2*ROUND((U26)/2,0),ROUND((U26),0)))</f>
        <v/>
      </c>
      <c r="AO26" s="38">
        <f>IF(OR(AH26="",S26=0),"",MIN(IF(AU26="",9.9E+99,AU26),AL26/S26))</f>
        <v/>
      </c>
      <c r="AP26" s="40">
        <f>IF(AO26="","",AO26*IF(B26="South Korea",IF(ABS(MOD(ABS((U26)),1)-0.5)&lt;1E-9,2*ROUND((U26)/2,0),ROUND((U26),0)),U26))</f>
        <v/>
      </c>
      <c r="AQ26" s="42" t="n"/>
      <c r="AR26" s="34" t="inlineStr">
        <is>
          <t>Estimated</t>
        </is>
      </c>
      <c r="AS26" s="43" t="n"/>
      <c r="AT26" s="43" t="n"/>
      <c r="AU26" s="44" t="n"/>
      <c r="AV26" s="45">
        <f>IF(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&lt;=0,"",VLOOKUP(B26,country_opex,7,FALSE)/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)</f>
        <v/>
      </c>
      <c r="AW26" s="45">
        <f>IF(((T26*pax_cap*IF(B26="South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Korea",korea_mid_revleg,revleg_mid)),0))*VLOOKUP(B26,country_opex,3,FALSE))+W26+X26+Y26+Z26+AA26))&lt;=0,"",VLOOKUP(B26,country_opex,7,FALSE)/((T26*pax_cap*IF(B26="South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Korea",korea_mid_revleg,revleg_mid)),0))*VLOOKUP(B26,country_opex,3,FALSE))+W26+X26+Y26+Z26+AA26)))</f>
        <v/>
      </c>
      <c r="AX26" s="45">
        <f>IF(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&lt;=0,"",VLOOKUP(B26,country_opex,7,FALSE)/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)</f>
        <v/>
      </c>
      <c r="AY26" s="46" t="n"/>
      <c r="AZ26" s="46" t="n"/>
      <c r="BA26" s="34" t="inlineStr">
        <is>
          <t>rn-501c17b57a72</t>
        </is>
      </c>
    </row>
    <row r="27">
      <c r="A27" s="31" t="inlineStr">
        <is>
          <t>Gulf Authority Bahrain Motc</t>
        </is>
      </c>
      <c r="B27" s="31" t="inlineStr">
        <is>
          <t>United Arab Emirates</t>
        </is>
      </c>
      <c r="C27" s="32" t="inlineStr">
        <is>
          <t>Acacia by Bin Majid jetty → The Cove Rotana Resort jetty</t>
        </is>
      </c>
      <c r="D27" s="33" t="n">
        <v>2.9</v>
      </c>
      <c r="E27" s="27" t="n"/>
      <c r="F27" s="34" t="n"/>
      <c r="G27" s="34" t="n"/>
      <c r="H27" s="20" t="n">
        <v>1</v>
      </c>
      <c r="I27" s="35">
        <f>60*D27/cruise_kt</f>
        <v/>
      </c>
      <c r="J27" s="35">
        <f>IF(B27="South Korea",D27/korea_charge_range_nm*korea_full_range_charge_min,0)</f>
        <v/>
      </c>
      <c r="K27" s="35">
        <f>IF(B27="South Korea",I27+korea_turn_min+korea_dwell_min+J27,I27+turn_min+dwell_min)</f>
        <v/>
      </c>
      <c r="L27" s="36">
        <f>IF(B27="South Korea",FLOOR(60*korea_service_hr/K27,1),MIN(15,FLOOR(60*service_hr/K27,1)))</f>
        <v/>
      </c>
      <c r="M27" s="36">
        <f>IF(ABS(MOD(ABS((365*mech_uptime*H27)),1)-0.5)&lt;1E-9,2*ROUND((365*mech_uptime*H27)/2,0),ROUND((365*mech_uptime*H27),0))</f>
        <v/>
      </c>
      <c r="N27" s="37">
        <f>mech_uptime</f>
        <v/>
      </c>
      <c r="O27" s="37">
        <f>IF(AND(B27="South Korea",scenario="MID"),korea_mid_revleg,revleg_sel)</f>
        <v/>
      </c>
      <c r="P27" s="36">
        <f>IF(ABS(MOD(ABS((L27*M27*O27)),1)-0.5)&lt;1E-9,2*ROUND((L27*M27*O27)/2,0),ROUND((L27*M27*O27),0))</f>
        <v/>
      </c>
      <c r="Q27" s="37">
        <f>IF(AND(B27="South Korea",scenario="MID"),korea_mid_load,load_sel)</f>
        <v/>
      </c>
      <c r="R27" s="38">
        <f>pax_cap*Q27</f>
        <v/>
      </c>
      <c r="S27" s="36">
        <f>R27*P27</f>
        <v/>
      </c>
      <c r="T27" s="39">
        <f>E27*discount</f>
        <v/>
      </c>
      <c r="U27" s="40">
        <f>T27*S27</f>
        <v/>
      </c>
      <c r="V27" s="40">
        <f>(battery/range_nm)*D27*P27*VLOOKUP(B27,country_opex,3,FALSE)</f>
        <v/>
      </c>
      <c r="W27" s="40">
        <f>VLOOKUP(B27,country_opex,2,FALSE)*crew_factor</f>
        <v/>
      </c>
      <c r="X27" s="40">
        <f>VLOOKUP(B27,country_opex,5,FALSE)</f>
        <v/>
      </c>
      <c r="Y27" s="40">
        <f>maint</f>
        <v/>
      </c>
      <c r="Z27" s="40">
        <f>VLOOKUP(B27,country_opex,7,FALSE)*ins_pct</f>
        <v/>
      </c>
      <c r="AA27" s="40">
        <f>charge_berth</f>
        <v/>
      </c>
      <c r="AB27" s="40">
        <f>V27+W27+X27+Y27+Z27+AA27</f>
        <v/>
      </c>
      <c r="AC27" s="40">
        <f>VLOOKUP(B27,country_opex,7,FALSE)/dep_years</f>
        <v/>
      </c>
      <c r="AD27" s="40">
        <f>U27-AB27</f>
        <v/>
      </c>
      <c r="AE27" s="37">
        <f>IF(U27=0,"",AD27/U27)</f>
        <v/>
      </c>
      <c r="AF27" s="38">
        <f>IF(AD27&lt;=0,"",VLOOKUP(B27,country_opex,7,FALSE)/AD27)</f>
        <v/>
      </c>
      <c r="AG27" s="35">
        <f>((D27*P27/diesel_nmpg)*diesel_co2pg-(battery/range_nm)*D27*P27*VLOOKUP(B27,country_opex,4,FALSE))/1000</f>
        <v/>
      </c>
      <c r="AH27" s="33" t="n"/>
      <c r="AI27" s="34" t="n"/>
      <c r="AJ27" s="34" t="n"/>
      <c r="AK27" s="41" t="n">
        <v>0.1</v>
      </c>
      <c r="AL27" s="36">
        <f>IF(AH27="","",AH27*AK27)</f>
        <v/>
      </c>
      <c r="AM27" s="36">
        <f>IF(OR(AH27="",S27=0),"",MIN(IF(AU27="",9.9E+99,AU27),FLOOR(AL27/S27,1)))</f>
        <v/>
      </c>
      <c r="AN27" s="40">
        <f>IF(AM27="","",AM27*IF(ABS(MOD(ABS((U27)),1)-0.5)&lt;1E-9,2*ROUND((U27)/2,0),ROUND((U27),0)))</f>
        <v/>
      </c>
      <c r="AO27" s="38">
        <f>IF(OR(AH27="",S27=0),"",MIN(IF(AU27="",9.9E+99,AU27),AL27/S27))</f>
        <v/>
      </c>
      <c r="AP27" s="40">
        <f>IF(AO27="","",AO27*IF(B27="South Korea",IF(ABS(MOD(ABS((U27)),1)-0.5)&lt;1E-9,2*ROUND((U27)/2,0),ROUND((U27),0)),U27))</f>
        <v/>
      </c>
      <c r="AQ27" s="42" t="n"/>
      <c r="AR27" s="34" t="inlineStr">
        <is>
          <t>Estimated</t>
        </is>
      </c>
      <c r="AS27" s="43" t="n"/>
      <c r="AT27" s="43" t="n"/>
      <c r="AU27" s="44" t="n"/>
      <c r="AV27" s="45">
        <f>IF(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&lt;=0,"",VLOOKUP(B27,country_opex,7,FALSE)/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)</f>
        <v/>
      </c>
      <c r="AW27" s="45">
        <f>IF(((T27*pax_cap*IF(B27="South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Korea",korea_mid_revleg,revleg_mid)),0))*VLOOKUP(B27,country_opex,3,FALSE))+W27+X27+Y27+Z27+AA27))&lt;=0,"",VLOOKUP(B27,country_opex,7,FALSE)/((T27*pax_cap*IF(B27="South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Korea",korea_mid_revleg,revleg_mid)),0))*VLOOKUP(B27,country_opex,3,FALSE))+W27+X27+Y27+Z27+AA27)))</f>
        <v/>
      </c>
      <c r="AX27" s="45">
        <f>IF(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&lt;=0,"",VLOOKUP(B27,country_opex,7,FALSE)/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)</f>
        <v/>
      </c>
      <c r="AY27" s="46" t="n"/>
      <c r="AZ27" s="46" t="n"/>
      <c r="BA27" s="34" t="inlineStr">
        <is>
          <t>rn-c861bfe0ceb6</t>
        </is>
      </c>
    </row>
    <row r="28">
      <c r="A28" s="31" t="inlineStr">
        <is>
          <t>Gulf Authority Bahrain Motc</t>
        </is>
      </c>
      <c r="B28" s="31" t="inlineStr">
        <is>
          <t>United Arab Emirates</t>
        </is>
      </c>
      <c r="C28" s="32" t="inlineStr">
        <is>
          <t>Bin Majid Beach Resort jetty → The Cove Rotana Resort jetty</t>
        </is>
      </c>
      <c r="D28" s="33" t="n">
        <v>3</v>
      </c>
      <c r="E28" s="27" t="n"/>
      <c r="F28" s="34" t="n"/>
      <c r="G28" s="34" t="n"/>
      <c r="H28" s="20" t="n">
        <v>1</v>
      </c>
      <c r="I28" s="35">
        <f>60*D28/cruise_kt</f>
        <v/>
      </c>
      <c r="J28" s="35">
        <f>IF(B28="South Korea",D28/korea_charge_range_nm*korea_full_range_charge_min,0)</f>
        <v/>
      </c>
      <c r="K28" s="35">
        <f>IF(B28="South Korea",I28+korea_turn_min+korea_dwell_min+J28,I28+turn_min+dwell_min)</f>
        <v/>
      </c>
      <c r="L28" s="36">
        <f>IF(B28="South Korea",FLOOR(60*korea_service_hr/K28,1),MIN(15,FLOOR(60*service_hr/K28,1)))</f>
        <v/>
      </c>
      <c r="M28" s="36">
        <f>IF(ABS(MOD(ABS((365*mech_uptime*H28)),1)-0.5)&lt;1E-9,2*ROUND((365*mech_uptime*H28)/2,0),ROUND((365*mech_uptime*H28),0))</f>
        <v/>
      </c>
      <c r="N28" s="37">
        <f>mech_uptime</f>
        <v/>
      </c>
      <c r="O28" s="37">
        <f>IF(AND(B28="South Korea",scenario="MID"),korea_mid_revleg,revleg_sel)</f>
        <v/>
      </c>
      <c r="P28" s="36">
        <f>IF(ABS(MOD(ABS((L28*M28*O28)),1)-0.5)&lt;1E-9,2*ROUND((L28*M28*O28)/2,0),ROUND((L28*M28*O28),0))</f>
        <v/>
      </c>
      <c r="Q28" s="37">
        <f>IF(AND(B28="South Korea",scenario="MID"),korea_mid_load,load_sel)</f>
        <v/>
      </c>
      <c r="R28" s="38">
        <f>pax_cap*Q28</f>
        <v/>
      </c>
      <c r="S28" s="36">
        <f>R28*P28</f>
        <v/>
      </c>
      <c r="T28" s="39">
        <f>E28*discount</f>
        <v/>
      </c>
      <c r="U28" s="40">
        <f>T28*S28</f>
        <v/>
      </c>
      <c r="V28" s="40">
        <f>(battery/range_nm)*D28*P28*VLOOKUP(B28,country_opex,3,FALSE)</f>
        <v/>
      </c>
      <c r="W28" s="40">
        <f>VLOOKUP(B28,country_opex,2,FALSE)*crew_factor</f>
        <v/>
      </c>
      <c r="X28" s="40">
        <f>VLOOKUP(B28,country_opex,5,FALSE)</f>
        <v/>
      </c>
      <c r="Y28" s="40">
        <f>maint</f>
        <v/>
      </c>
      <c r="Z28" s="40">
        <f>VLOOKUP(B28,country_opex,7,FALSE)*ins_pct</f>
        <v/>
      </c>
      <c r="AA28" s="40">
        <f>charge_berth</f>
        <v/>
      </c>
      <c r="AB28" s="40">
        <f>V28+W28+X28+Y28+Z28+AA28</f>
        <v/>
      </c>
      <c r="AC28" s="40">
        <f>VLOOKUP(B28,country_opex,7,FALSE)/dep_years</f>
        <v/>
      </c>
      <c r="AD28" s="40">
        <f>U28-AB28</f>
        <v/>
      </c>
      <c r="AE28" s="37">
        <f>IF(U28=0,"",AD28/U28)</f>
        <v/>
      </c>
      <c r="AF28" s="38">
        <f>IF(AD28&lt;=0,"",VLOOKUP(B28,country_opex,7,FALSE)/AD28)</f>
        <v/>
      </c>
      <c r="AG28" s="35">
        <f>((D28*P28/diesel_nmpg)*diesel_co2pg-(battery/range_nm)*D28*P28*VLOOKUP(B28,country_opex,4,FALSE))/1000</f>
        <v/>
      </c>
      <c r="AH28" s="33" t="n"/>
      <c r="AI28" s="34" t="n"/>
      <c r="AJ28" s="34" t="n"/>
      <c r="AK28" s="41" t="n">
        <v>0.1</v>
      </c>
      <c r="AL28" s="36">
        <f>IF(AH28="","",AH28*AK28)</f>
        <v/>
      </c>
      <c r="AM28" s="36">
        <f>IF(OR(AH28="",S28=0),"",MIN(IF(AU28="",9.9E+99,AU28),FLOOR(AL28/S28,1)))</f>
        <v/>
      </c>
      <c r="AN28" s="40">
        <f>IF(AM28="","",AM28*IF(ABS(MOD(ABS((U28)),1)-0.5)&lt;1E-9,2*ROUND((U28)/2,0),ROUND((U28),0)))</f>
        <v/>
      </c>
      <c r="AO28" s="38">
        <f>IF(OR(AH28="",S28=0),"",MIN(IF(AU28="",9.9E+99,AU28),AL28/S28))</f>
        <v/>
      </c>
      <c r="AP28" s="40">
        <f>IF(AO28="","",AO28*IF(B28="South Korea",IF(ABS(MOD(ABS((U28)),1)-0.5)&lt;1E-9,2*ROUND((U28)/2,0),ROUND((U28),0)),U28))</f>
        <v/>
      </c>
      <c r="AQ28" s="42" t="n"/>
      <c r="AR28" s="34" t="inlineStr">
        <is>
          <t>Estimated</t>
        </is>
      </c>
      <c r="AS28" s="43" t="n"/>
      <c r="AT28" s="43" t="n"/>
      <c r="AU28" s="44" t="n"/>
      <c r="AV28" s="45">
        <f>IF(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&lt;=0,"",VLOOKUP(B28,country_opex,7,FALSE)/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)</f>
        <v/>
      </c>
      <c r="AW28" s="45">
        <f>IF(((T28*pax_cap*IF(B28="South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Korea",korea_mid_revleg,revleg_mid)),0))*VLOOKUP(B28,country_opex,3,FALSE))+W28+X28+Y28+Z28+AA28))&lt;=0,"",VLOOKUP(B28,country_opex,7,FALSE)/((T28*pax_cap*IF(B28="South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Korea",korea_mid_revleg,revleg_mid)),0))*VLOOKUP(B28,country_opex,3,FALSE))+W28+X28+Y28+Z28+AA28)))</f>
        <v/>
      </c>
      <c r="AX28" s="45">
        <f>IF(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&lt;=0,"",VLOOKUP(B28,country_opex,7,FALSE)/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)</f>
        <v/>
      </c>
      <c r="AY28" s="46" t="n"/>
      <c r="AZ28" s="46" t="n"/>
      <c r="BA28" s="34" t="inlineStr">
        <is>
          <t>rn-86d55b7a87a5</t>
        </is>
      </c>
    </row>
    <row r="29">
      <c r="A29" s="31" t="inlineStr">
        <is>
          <t>Gulf Authority Bahrain Motc</t>
        </is>
      </c>
      <c r="B29" s="31" t="inlineStr">
        <is>
          <t>United Arab Emirates</t>
        </is>
      </c>
      <c r="C29" s="32" t="inlineStr">
        <is>
          <t>Raksa → Hilton Garden Inn Ras Al Khaimah (Corniche) jetty</t>
        </is>
      </c>
      <c r="D29" s="33" t="n">
        <v>3</v>
      </c>
      <c r="E29" s="27" t="n"/>
      <c r="F29" s="34" t="n"/>
      <c r="G29" s="34" t="n"/>
      <c r="H29" s="20" t="n">
        <v>1</v>
      </c>
      <c r="I29" s="35">
        <f>60*D29/cruise_kt</f>
        <v/>
      </c>
      <c r="J29" s="35">
        <f>IF(B29="South Korea",D29/korea_charge_range_nm*korea_full_range_charge_min,0)</f>
        <v/>
      </c>
      <c r="K29" s="35">
        <f>IF(B29="South Korea",I29+korea_turn_min+korea_dwell_min+J29,I29+turn_min+dwell_min)</f>
        <v/>
      </c>
      <c r="L29" s="36">
        <f>IF(B29="South Korea",FLOOR(60*korea_service_hr/K29,1),MIN(15,FLOOR(60*service_hr/K29,1)))</f>
        <v/>
      </c>
      <c r="M29" s="36">
        <f>IF(ABS(MOD(ABS((365*mech_uptime*H29)),1)-0.5)&lt;1E-9,2*ROUND((365*mech_uptime*H29)/2,0),ROUND((365*mech_uptime*H29),0))</f>
        <v/>
      </c>
      <c r="N29" s="37">
        <f>mech_uptime</f>
        <v/>
      </c>
      <c r="O29" s="37">
        <f>IF(AND(B29="South Korea",scenario="MID"),korea_mid_revleg,revleg_sel)</f>
        <v/>
      </c>
      <c r="P29" s="36">
        <f>IF(ABS(MOD(ABS((L29*M29*O29)),1)-0.5)&lt;1E-9,2*ROUND((L29*M29*O29)/2,0),ROUND((L29*M29*O29),0))</f>
        <v/>
      </c>
      <c r="Q29" s="37">
        <f>IF(AND(B29="South Korea",scenario="MID"),korea_mid_load,load_sel)</f>
        <v/>
      </c>
      <c r="R29" s="38">
        <f>pax_cap*Q29</f>
        <v/>
      </c>
      <c r="S29" s="36">
        <f>R29*P29</f>
        <v/>
      </c>
      <c r="T29" s="39">
        <f>E29*discount</f>
        <v/>
      </c>
      <c r="U29" s="40">
        <f>T29*S29</f>
        <v/>
      </c>
      <c r="V29" s="40">
        <f>(battery/range_nm)*D29*P29*VLOOKUP(B29,country_opex,3,FALSE)</f>
        <v/>
      </c>
      <c r="W29" s="40">
        <f>VLOOKUP(B29,country_opex,2,FALSE)*crew_factor</f>
        <v/>
      </c>
      <c r="X29" s="40">
        <f>VLOOKUP(B29,country_opex,5,FALSE)</f>
        <v/>
      </c>
      <c r="Y29" s="40">
        <f>maint</f>
        <v/>
      </c>
      <c r="Z29" s="40">
        <f>VLOOKUP(B29,country_opex,7,FALSE)*ins_pct</f>
        <v/>
      </c>
      <c r="AA29" s="40">
        <f>charge_berth</f>
        <v/>
      </c>
      <c r="AB29" s="40">
        <f>V29+W29+X29+Y29+Z29+AA29</f>
        <v/>
      </c>
      <c r="AC29" s="40">
        <f>VLOOKUP(B29,country_opex,7,FALSE)/dep_years</f>
        <v/>
      </c>
      <c r="AD29" s="40">
        <f>U29-AB29</f>
        <v/>
      </c>
      <c r="AE29" s="37">
        <f>IF(U29=0,"",AD29/U29)</f>
        <v/>
      </c>
      <c r="AF29" s="38">
        <f>IF(AD29&lt;=0,"",VLOOKUP(B29,country_opex,7,FALSE)/AD29)</f>
        <v/>
      </c>
      <c r="AG29" s="35">
        <f>((D29*P29/diesel_nmpg)*diesel_co2pg-(battery/range_nm)*D29*P29*VLOOKUP(B29,country_opex,4,FALSE))/1000</f>
        <v/>
      </c>
      <c r="AH29" s="33" t="n"/>
      <c r="AI29" s="34" t="n"/>
      <c r="AJ29" s="34" t="n"/>
      <c r="AK29" s="41" t="n">
        <v>0.1</v>
      </c>
      <c r="AL29" s="36">
        <f>IF(AH29="","",AH29*AK29)</f>
        <v/>
      </c>
      <c r="AM29" s="36">
        <f>IF(OR(AH29="",S29=0),"",MIN(IF(AU29="",9.9E+99,AU29),FLOOR(AL29/S29,1)))</f>
        <v/>
      </c>
      <c r="AN29" s="40">
        <f>IF(AM29="","",AM29*IF(ABS(MOD(ABS((U29)),1)-0.5)&lt;1E-9,2*ROUND((U29)/2,0),ROUND((U29),0)))</f>
        <v/>
      </c>
      <c r="AO29" s="38">
        <f>IF(OR(AH29="",S29=0),"",MIN(IF(AU29="",9.9E+99,AU29),AL29/S29))</f>
        <v/>
      </c>
      <c r="AP29" s="40">
        <f>IF(AO29="","",AO29*IF(B29="South Korea",IF(ABS(MOD(ABS((U29)),1)-0.5)&lt;1E-9,2*ROUND((U29)/2,0),ROUND((U29),0)),U29))</f>
        <v/>
      </c>
      <c r="AQ29" s="42" t="n"/>
      <c r="AR29" s="34" t="inlineStr">
        <is>
          <t>Estimated</t>
        </is>
      </c>
      <c r="AS29" s="43" t="n"/>
      <c r="AT29" s="43" t="n"/>
      <c r="AU29" s="44" t="n"/>
      <c r="AV29" s="45">
        <f>IF(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&lt;=0,"",VLOOKUP(B29,country_opex,7,FALSE)/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)</f>
        <v/>
      </c>
      <c r="AW29" s="45">
        <f>IF(((T29*pax_cap*IF(B29="South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Korea",korea_mid_revleg,revleg_mid)),0))*VLOOKUP(B29,country_opex,3,FALSE))+W29+X29+Y29+Z29+AA29))&lt;=0,"",VLOOKUP(B29,country_opex,7,FALSE)/((T29*pax_cap*IF(B29="South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Korea",korea_mid_revleg,revleg_mid)),0))*VLOOKUP(B29,country_opex,3,FALSE))+W29+X29+Y29+Z29+AA29)))</f>
        <v/>
      </c>
      <c r="AX29" s="45">
        <f>IF(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&lt;=0,"",VLOOKUP(B29,country_opex,7,FALSE)/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)</f>
        <v/>
      </c>
      <c r="AY29" s="46" t="n"/>
      <c r="AZ29" s="46" t="n"/>
      <c r="BA29" s="34" t="inlineStr">
        <is>
          <t>rn-0fecef31458f</t>
        </is>
      </c>
    </row>
    <row r="30">
      <c r="A30" s="31" t="inlineStr">
        <is>
          <t>Gulf Authority Bahrain Motc</t>
        </is>
      </c>
      <c r="B30" s="31" t="inlineStr">
        <is>
          <t>United Arab Emirates</t>
        </is>
      </c>
      <c r="C30" s="32" t="inlineStr">
        <is>
          <t>Al Zorah Marina 1 → Hamriyah Port Main Harbour</t>
        </is>
      </c>
      <c r="D30" s="33" t="n">
        <v>3.2</v>
      </c>
      <c r="E30" s="27" t="n"/>
      <c r="F30" s="34" t="n"/>
      <c r="G30" s="34" t="n"/>
      <c r="H30" s="20" t="n">
        <v>1</v>
      </c>
      <c r="I30" s="35">
        <f>60*D30/cruise_kt</f>
        <v/>
      </c>
      <c r="J30" s="35">
        <f>IF(B30="South Korea",D30/korea_charge_range_nm*korea_full_range_charge_min,0)</f>
        <v/>
      </c>
      <c r="K30" s="35">
        <f>IF(B30="South Korea",I30+korea_turn_min+korea_dwell_min+J30,I30+turn_min+dwell_min)</f>
        <v/>
      </c>
      <c r="L30" s="36">
        <f>IF(B30="South Korea",FLOOR(60*korea_service_hr/K30,1),MIN(15,FLOOR(60*service_hr/K30,1)))</f>
        <v/>
      </c>
      <c r="M30" s="36">
        <f>IF(ABS(MOD(ABS((365*mech_uptime*H30)),1)-0.5)&lt;1E-9,2*ROUND((365*mech_uptime*H30)/2,0),ROUND((365*mech_uptime*H30),0))</f>
        <v/>
      </c>
      <c r="N30" s="37">
        <f>mech_uptime</f>
        <v/>
      </c>
      <c r="O30" s="37">
        <f>IF(AND(B30="South Korea",scenario="MID"),korea_mid_revleg,revleg_sel)</f>
        <v/>
      </c>
      <c r="P30" s="36">
        <f>IF(ABS(MOD(ABS((L30*M30*O30)),1)-0.5)&lt;1E-9,2*ROUND((L30*M30*O30)/2,0),ROUND((L30*M30*O30),0))</f>
        <v/>
      </c>
      <c r="Q30" s="37">
        <f>IF(AND(B30="South Korea",scenario="MID"),korea_mid_load,load_sel)</f>
        <v/>
      </c>
      <c r="R30" s="38">
        <f>pax_cap*Q30</f>
        <v/>
      </c>
      <c r="S30" s="36">
        <f>R30*P30</f>
        <v/>
      </c>
      <c r="T30" s="39">
        <f>E30*discount</f>
        <v/>
      </c>
      <c r="U30" s="40">
        <f>T30*S30</f>
        <v/>
      </c>
      <c r="V30" s="40">
        <f>(battery/range_nm)*D30*P30*VLOOKUP(B30,country_opex,3,FALSE)</f>
        <v/>
      </c>
      <c r="W30" s="40">
        <f>VLOOKUP(B30,country_opex,2,FALSE)*crew_factor</f>
        <v/>
      </c>
      <c r="X30" s="40">
        <f>VLOOKUP(B30,country_opex,5,FALSE)</f>
        <v/>
      </c>
      <c r="Y30" s="40">
        <f>maint</f>
        <v/>
      </c>
      <c r="Z30" s="40">
        <f>VLOOKUP(B30,country_opex,7,FALSE)*ins_pct</f>
        <v/>
      </c>
      <c r="AA30" s="40">
        <f>charge_berth</f>
        <v/>
      </c>
      <c r="AB30" s="40">
        <f>V30+W30+X30+Y30+Z30+AA30</f>
        <v/>
      </c>
      <c r="AC30" s="40">
        <f>VLOOKUP(B30,country_opex,7,FALSE)/dep_years</f>
        <v/>
      </c>
      <c r="AD30" s="40">
        <f>U30-AB30</f>
        <v/>
      </c>
      <c r="AE30" s="37">
        <f>IF(U30=0,"",AD30/U30)</f>
        <v/>
      </c>
      <c r="AF30" s="38">
        <f>IF(AD30&lt;=0,"",VLOOKUP(B30,country_opex,7,FALSE)/AD30)</f>
        <v/>
      </c>
      <c r="AG30" s="35">
        <f>((D30*P30/diesel_nmpg)*diesel_co2pg-(battery/range_nm)*D30*P30*VLOOKUP(B30,country_opex,4,FALSE))/1000</f>
        <v/>
      </c>
      <c r="AH30" s="33" t="n"/>
      <c r="AI30" s="34" t="n"/>
      <c r="AJ30" s="34" t="n"/>
      <c r="AK30" s="41" t="n">
        <v>0.1</v>
      </c>
      <c r="AL30" s="36">
        <f>IF(AH30="","",AH30*AK30)</f>
        <v/>
      </c>
      <c r="AM30" s="36">
        <f>IF(OR(AH30="",S30=0),"",MIN(IF(AU30="",9.9E+99,AU30),FLOOR(AL30/S30,1)))</f>
        <v/>
      </c>
      <c r="AN30" s="40">
        <f>IF(AM30="","",AM30*IF(ABS(MOD(ABS((U30)),1)-0.5)&lt;1E-9,2*ROUND((U30)/2,0),ROUND((U30),0)))</f>
        <v/>
      </c>
      <c r="AO30" s="38">
        <f>IF(OR(AH30="",S30=0),"",MIN(IF(AU30="",9.9E+99,AU30),AL30/S30))</f>
        <v/>
      </c>
      <c r="AP30" s="40">
        <f>IF(AO30="","",AO30*IF(B30="South Korea",IF(ABS(MOD(ABS((U30)),1)-0.5)&lt;1E-9,2*ROUND((U30)/2,0),ROUND((U30),0)),U30))</f>
        <v/>
      </c>
      <c r="AQ30" s="42" t="n"/>
      <c r="AR30" s="34" t="inlineStr">
        <is>
          <t>Estimated</t>
        </is>
      </c>
      <c r="AS30" s="43" t="n"/>
      <c r="AT30" s="43" t="n"/>
      <c r="AU30" s="44" t="n"/>
      <c r="AV30" s="45">
        <f>IF(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&lt;=0,"",VLOOKUP(B30,country_opex,7,FALSE)/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)</f>
        <v/>
      </c>
      <c r="AW30" s="45">
        <f>IF(((T30*pax_cap*IF(B30="South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Korea",korea_mid_revleg,revleg_mid)),0))*VLOOKUP(B30,country_opex,3,FALSE))+W30+X30+Y30+Z30+AA30))&lt;=0,"",VLOOKUP(B30,country_opex,7,FALSE)/((T30*pax_cap*IF(B30="South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Korea",korea_mid_revleg,revleg_mid)),0))*VLOOKUP(B30,country_opex,3,FALSE))+W30+X30+Y30+Z30+AA30)))</f>
        <v/>
      </c>
      <c r="AX30" s="45">
        <f>IF(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&lt;=0,"",VLOOKUP(B30,country_opex,7,FALSE)/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)</f>
        <v/>
      </c>
      <c r="AY30" s="46" t="n"/>
      <c r="AZ30" s="46" t="n"/>
      <c r="BA30" s="34" t="inlineStr">
        <is>
          <t>rn-bcf9fd99ef5a</t>
        </is>
      </c>
    </row>
    <row r="31">
      <c r="A31" s="31" t="inlineStr">
        <is>
          <t>Gulf Authority Bahrain Motc</t>
        </is>
      </c>
      <c r="B31" s="31" t="inlineStr">
        <is>
          <t>United Arab Emirates</t>
        </is>
      </c>
      <c r="C31" s="32" t="inlineStr">
        <is>
          <t>Ajman Marina → Hamriyah Port Main Harbour</t>
        </is>
      </c>
      <c r="D31" s="33" t="n">
        <v>3.9</v>
      </c>
      <c r="E31" s="27" t="n"/>
      <c r="F31" s="34" t="n"/>
      <c r="G31" s="34" t="n"/>
      <c r="H31" s="20" t="n">
        <v>1</v>
      </c>
      <c r="I31" s="35">
        <f>60*D31/cruise_kt</f>
        <v/>
      </c>
      <c r="J31" s="35">
        <f>IF(B31="South Korea",D31/korea_charge_range_nm*korea_full_range_charge_min,0)</f>
        <v/>
      </c>
      <c r="K31" s="35">
        <f>IF(B31="South Korea",I31+korea_turn_min+korea_dwell_min+J31,I31+turn_min+dwell_min)</f>
        <v/>
      </c>
      <c r="L31" s="36">
        <f>IF(B31="South Korea",FLOOR(60*korea_service_hr/K31,1),MIN(15,FLOOR(60*service_hr/K31,1)))</f>
        <v/>
      </c>
      <c r="M31" s="36">
        <f>IF(ABS(MOD(ABS((365*mech_uptime*H31)),1)-0.5)&lt;1E-9,2*ROUND((365*mech_uptime*H31)/2,0),ROUND((365*mech_uptime*H31),0))</f>
        <v/>
      </c>
      <c r="N31" s="37">
        <f>mech_uptime</f>
        <v/>
      </c>
      <c r="O31" s="37">
        <f>IF(AND(B31="South Korea",scenario="MID"),korea_mid_revleg,revleg_sel)</f>
        <v/>
      </c>
      <c r="P31" s="36">
        <f>IF(ABS(MOD(ABS((L31*M31*O31)),1)-0.5)&lt;1E-9,2*ROUND((L31*M31*O31)/2,0),ROUND((L31*M31*O31),0))</f>
        <v/>
      </c>
      <c r="Q31" s="37">
        <f>IF(AND(B31="South Korea",scenario="MID"),korea_mid_load,load_sel)</f>
        <v/>
      </c>
      <c r="R31" s="38">
        <f>pax_cap*Q31</f>
        <v/>
      </c>
      <c r="S31" s="36">
        <f>R31*P31</f>
        <v/>
      </c>
      <c r="T31" s="39">
        <f>E31*discount</f>
        <v/>
      </c>
      <c r="U31" s="40">
        <f>T31*S31</f>
        <v/>
      </c>
      <c r="V31" s="40">
        <f>(battery/range_nm)*D31*P31*VLOOKUP(B31,country_opex,3,FALSE)</f>
        <v/>
      </c>
      <c r="W31" s="40">
        <f>VLOOKUP(B31,country_opex,2,FALSE)*crew_factor</f>
        <v/>
      </c>
      <c r="X31" s="40">
        <f>VLOOKUP(B31,country_opex,5,FALSE)</f>
        <v/>
      </c>
      <c r="Y31" s="40">
        <f>maint</f>
        <v/>
      </c>
      <c r="Z31" s="40">
        <f>VLOOKUP(B31,country_opex,7,FALSE)*ins_pct</f>
        <v/>
      </c>
      <c r="AA31" s="40">
        <f>charge_berth</f>
        <v/>
      </c>
      <c r="AB31" s="40">
        <f>V31+W31+X31+Y31+Z31+AA31</f>
        <v/>
      </c>
      <c r="AC31" s="40">
        <f>VLOOKUP(B31,country_opex,7,FALSE)/dep_years</f>
        <v/>
      </c>
      <c r="AD31" s="40">
        <f>U31-AB31</f>
        <v/>
      </c>
      <c r="AE31" s="37">
        <f>IF(U31=0,"",AD31/U31)</f>
        <v/>
      </c>
      <c r="AF31" s="38">
        <f>IF(AD31&lt;=0,"",VLOOKUP(B31,country_opex,7,FALSE)/AD31)</f>
        <v/>
      </c>
      <c r="AG31" s="35">
        <f>((D31*P31/diesel_nmpg)*diesel_co2pg-(battery/range_nm)*D31*P31*VLOOKUP(B31,country_opex,4,FALSE))/1000</f>
        <v/>
      </c>
      <c r="AH31" s="33" t="n"/>
      <c r="AI31" s="34" t="n"/>
      <c r="AJ31" s="34" t="n"/>
      <c r="AK31" s="41" t="n">
        <v>0.1</v>
      </c>
      <c r="AL31" s="36">
        <f>IF(AH31="","",AH31*AK31)</f>
        <v/>
      </c>
      <c r="AM31" s="36">
        <f>IF(OR(AH31="",S31=0),"",MIN(IF(AU31="",9.9E+99,AU31),FLOOR(AL31/S31,1)))</f>
        <v/>
      </c>
      <c r="AN31" s="40">
        <f>IF(AM31="","",AM31*IF(ABS(MOD(ABS((U31)),1)-0.5)&lt;1E-9,2*ROUND((U31)/2,0),ROUND((U31),0)))</f>
        <v/>
      </c>
      <c r="AO31" s="38">
        <f>IF(OR(AH31="",S31=0),"",MIN(IF(AU31="",9.9E+99,AU31),AL31/S31))</f>
        <v/>
      </c>
      <c r="AP31" s="40">
        <f>IF(AO31="","",AO31*IF(B31="South Korea",IF(ABS(MOD(ABS((U31)),1)-0.5)&lt;1E-9,2*ROUND((U31)/2,0),ROUND((U31),0)),U31))</f>
        <v/>
      </c>
      <c r="AQ31" s="42" t="n"/>
      <c r="AR31" s="34" t="inlineStr">
        <is>
          <t>Estimated</t>
        </is>
      </c>
      <c r="AS31" s="43" t="n"/>
      <c r="AT31" s="43" t="n"/>
      <c r="AU31" s="44" t="n"/>
      <c r="AV31" s="45">
        <f>IF(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&lt;=0,"",VLOOKUP(B31,country_opex,7,FALSE)/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)</f>
        <v/>
      </c>
      <c r="AW31" s="45">
        <f>IF(((T31*pax_cap*IF(B31="South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Korea",korea_mid_revleg,revleg_mid)),0))*VLOOKUP(B31,country_opex,3,FALSE))+W31+X31+Y31+Z31+AA31))&lt;=0,"",VLOOKUP(B31,country_opex,7,FALSE)/((T31*pax_cap*IF(B31="South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Korea",korea_mid_revleg,revleg_mid)),0))*VLOOKUP(B31,country_opex,3,FALSE))+W31+X31+Y31+Z31+AA31)))</f>
        <v/>
      </c>
      <c r="AX31" s="45">
        <f>IF(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&lt;=0,"",VLOOKUP(B31,country_opex,7,FALSE)/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)</f>
        <v/>
      </c>
      <c r="AY31" s="46" t="n"/>
      <c r="AZ31" s="46" t="n"/>
      <c r="BA31" s="34" t="inlineStr">
        <is>
          <t>rn-a68b658bd154</t>
        </is>
      </c>
    </row>
    <row r="32">
      <c r="A32" s="31" t="inlineStr">
        <is>
          <t>Gulf Authority Bahrain Motc</t>
        </is>
      </c>
      <c r="B32" s="31" t="inlineStr">
        <is>
          <t>United Arab Emirates</t>
        </is>
      </c>
      <c r="C32" s="32" t="inlineStr">
        <is>
          <t>Sha'am coastal staging point → ميناء صيادين غليلة</t>
        </is>
      </c>
      <c r="D32" s="33" t="n">
        <v>3.9</v>
      </c>
      <c r="E32" s="27" t="n"/>
      <c r="F32" s="34" t="n"/>
      <c r="G32" s="34" t="n"/>
      <c r="H32" s="20" t="n">
        <v>1</v>
      </c>
      <c r="I32" s="35">
        <f>60*D32/cruise_kt</f>
        <v/>
      </c>
      <c r="J32" s="35">
        <f>IF(B32="South Korea",D32/korea_charge_range_nm*korea_full_range_charge_min,0)</f>
        <v/>
      </c>
      <c r="K32" s="35">
        <f>IF(B32="South Korea",I32+korea_turn_min+korea_dwell_min+J32,I32+turn_min+dwell_min)</f>
        <v/>
      </c>
      <c r="L32" s="36">
        <f>IF(B32="South Korea",FLOOR(60*korea_service_hr/K32,1),MIN(15,FLOOR(60*service_hr/K32,1)))</f>
        <v/>
      </c>
      <c r="M32" s="36">
        <f>IF(ABS(MOD(ABS((365*mech_uptime*H32)),1)-0.5)&lt;1E-9,2*ROUND((365*mech_uptime*H32)/2,0),ROUND((365*mech_uptime*H32),0))</f>
        <v/>
      </c>
      <c r="N32" s="37">
        <f>mech_uptime</f>
        <v/>
      </c>
      <c r="O32" s="37">
        <f>IF(AND(B32="South Korea",scenario="MID"),korea_mid_revleg,revleg_sel)</f>
        <v/>
      </c>
      <c r="P32" s="36">
        <f>IF(ABS(MOD(ABS((L32*M32*O32)),1)-0.5)&lt;1E-9,2*ROUND((L32*M32*O32)/2,0),ROUND((L32*M32*O32),0))</f>
        <v/>
      </c>
      <c r="Q32" s="37">
        <f>IF(AND(B32="South Korea",scenario="MID"),korea_mid_load,load_sel)</f>
        <v/>
      </c>
      <c r="R32" s="38">
        <f>pax_cap*Q32</f>
        <v/>
      </c>
      <c r="S32" s="36">
        <f>R32*P32</f>
        <v/>
      </c>
      <c r="T32" s="39">
        <f>E32*discount</f>
        <v/>
      </c>
      <c r="U32" s="40">
        <f>T32*S32</f>
        <v/>
      </c>
      <c r="V32" s="40">
        <f>(battery/range_nm)*D32*P32*VLOOKUP(B32,country_opex,3,FALSE)</f>
        <v/>
      </c>
      <c r="W32" s="40">
        <f>VLOOKUP(B32,country_opex,2,FALSE)*crew_factor</f>
        <v/>
      </c>
      <c r="X32" s="40">
        <f>VLOOKUP(B32,country_opex,5,FALSE)</f>
        <v/>
      </c>
      <c r="Y32" s="40">
        <f>maint</f>
        <v/>
      </c>
      <c r="Z32" s="40">
        <f>VLOOKUP(B32,country_opex,7,FALSE)*ins_pct</f>
        <v/>
      </c>
      <c r="AA32" s="40">
        <f>charge_berth</f>
        <v/>
      </c>
      <c r="AB32" s="40">
        <f>V32+W32+X32+Y32+Z32+AA32</f>
        <v/>
      </c>
      <c r="AC32" s="40">
        <f>VLOOKUP(B32,country_opex,7,FALSE)/dep_years</f>
        <v/>
      </c>
      <c r="AD32" s="40">
        <f>U32-AB32</f>
        <v/>
      </c>
      <c r="AE32" s="37">
        <f>IF(U32=0,"",AD32/U32)</f>
        <v/>
      </c>
      <c r="AF32" s="38">
        <f>IF(AD32&lt;=0,"",VLOOKUP(B32,country_opex,7,FALSE)/AD32)</f>
        <v/>
      </c>
      <c r="AG32" s="35">
        <f>((D32*P32/diesel_nmpg)*diesel_co2pg-(battery/range_nm)*D32*P32*VLOOKUP(B32,country_opex,4,FALSE))/1000</f>
        <v/>
      </c>
      <c r="AH32" s="33" t="n"/>
      <c r="AI32" s="34" t="n"/>
      <c r="AJ32" s="34" t="n"/>
      <c r="AK32" s="41" t="n">
        <v>0.1</v>
      </c>
      <c r="AL32" s="36">
        <f>IF(AH32="","",AH32*AK32)</f>
        <v/>
      </c>
      <c r="AM32" s="36">
        <f>IF(OR(AH32="",S32=0),"",MIN(IF(AU32="",9.9E+99,AU32),FLOOR(AL32/S32,1)))</f>
        <v/>
      </c>
      <c r="AN32" s="40">
        <f>IF(AM32="","",AM32*IF(ABS(MOD(ABS((U32)),1)-0.5)&lt;1E-9,2*ROUND((U32)/2,0),ROUND((U32),0)))</f>
        <v/>
      </c>
      <c r="AO32" s="38">
        <f>IF(OR(AH32="",S32=0),"",MIN(IF(AU32="",9.9E+99,AU32),AL32/S32))</f>
        <v/>
      </c>
      <c r="AP32" s="40">
        <f>IF(AO32="","",AO32*IF(B32="South Korea",IF(ABS(MOD(ABS((U32)),1)-0.5)&lt;1E-9,2*ROUND((U32)/2,0),ROUND((U32),0)),U32))</f>
        <v/>
      </c>
      <c r="AQ32" s="42" t="n"/>
      <c r="AR32" s="34" t="inlineStr">
        <is>
          <t>Estimated</t>
        </is>
      </c>
      <c r="AS32" s="43" t="n"/>
      <c r="AT32" s="43" t="n"/>
      <c r="AU32" s="44" t="n"/>
      <c r="AV32" s="45">
        <f>IF(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&lt;=0,"",VLOOKUP(B32,country_opex,7,FALSE)/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)</f>
        <v/>
      </c>
      <c r="AW32" s="45">
        <f>IF(((T32*pax_cap*IF(B32="South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Korea",korea_mid_revleg,revleg_mid)),0))*VLOOKUP(B32,country_opex,3,FALSE))+W32+X32+Y32+Z32+AA32))&lt;=0,"",VLOOKUP(B32,country_opex,7,FALSE)/((T32*pax_cap*IF(B32="South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Korea",korea_mid_revleg,revleg_mid)),0))*VLOOKUP(B32,country_opex,3,FALSE))+W32+X32+Y32+Z32+AA32)))</f>
        <v/>
      </c>
      <c r="AX32" s="45">
        <f>IF(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&lt;=0,"",VLOOKUP(B32,country_opex,7,FALSE)/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)</f>
        <v/>
      </c>
      <c r="AY32" s="46" t="n"/>
      <c r="AZ32" s="46" t="n"/>
      <c r="BA32" s="34" t="inlineStr">
        <is>
          <t>rn-75773e5540dc</t>
        </is>
      </c>
    </row>
    <row r="33">
      <c r="A33" s="31" t="inlineStr">
        <is>
          <t>Gulf Authority Bahrain Motc</t>
        </is>
      </c>
      <c r="B33" s="31" t="inlineStr">
        <is>
          <t>United Arab Emirates</t>
        </is>
      </c>
      <c r="C33" s="32" t="inlineStr">
        <is>
          <t>ميناء صيادين خورخوير → Sha'am Fishing Boat Harbour</t>
        </is>
      </c>
      <c r="D33" s="33" t="n">
        <v>4.3</v>
      </c>
      <c r="E33" s="27" t="n"/>
      <c r="F33" s="34" t="n"/>
      <c r="G33" s="34" t="n"/>
      <c r="H33" s="20" t="n">
        <v>1</v>
      </c>
      <c r="I33" s="35">
        <f>60*D33/cruise_kt</f>
        <v/>
      </c>
      <c r="J33" s="35">
        <f>IF(B33="South Korea",D33/korea_charge_range_nm*korea_full_range_charge_min,0)</f>
        <v/>
      </c>
      <c r="K33" s="35">
        <f>IF(B33="South Korea",I33+korea_turn_min+korea_dwell_min+J33,I33+turn_min+dwell_min)</f>
        <v/>
      </c>
      <c r="L33" s="36">
        <f>IF(B33="South Korea",FLOOR(60*korea_service_hr/K33,1),MIN(15,FLOOR(60*service_hr/K33,1)))</f>
        <v/>
      </c>
      <c r="M33" s="36">
        <f>IF(ABS(MOD(ABS((365*mech_uptime*H33)),1)-0.5)&lt;1E-9,2*ROUND((365*mech_uptime*H33)/2,0),ROUND((365*mech_uptime*H33),0))</f>
        <v/>
      </c>
      <c r="N33" s="37">
        <f>mech_uptime</f>
        <v/>
      </c>
      <c r="O33" s="37">
        <f>IF(AND(B33="South Korea",scenario="MID"),korea_mid_revleg,revleg_sel)</f>
        <v/>
      </c>
      <c r="P33" s="36">
        <f>IF(ABS(MOD(ABS((L33*M33*O33)),1)-0.5)&lt;1E-9,2*ROUND((L33*M33*O33)/2,0),ROUND((L33*M33*O33),0))</f>
        <v/>
      </c>
      <c r="Q33" s="37">
        <f>IF(AND(B33="South Korea",scenario="MID"),korea_mid_load,load_sel)</f>
        <v/>
      </c>
      <c r="R33" s="38">
        <f>pax_cap*Q33</f>
        <v/>
      </c>
      <c r="S33" s="36">
        <f>R33*P33</f>
        <v/>
      </c>
      <c r="T33" s="39">
        <f>E33*discount</f>
        <v/>
      </c>
      <c r="U33" s="40">
        <f>T33*S33</f>
        <v/>
      </c>
      <c r="V33" s="40">
        <f>(battery/range_nm)*D33*P33*VLOOKUP(B33,country_opex,3,FALSE)</f>
        <v/>
      </c>
      <c r="W33" s="40">
        <f>VLOOKUP(B33,country_opex,2,FALSE)*crew_factor</f>
        <v/>
      </c>
      <c r="X33" s="40">
        <f>VLOOKUP(B33,country_opex,5,FALSE)</f>
        <v/>
      </c>
      <c r="Y33" s="40">
        <f>maint</f>
        <v/>
      </c>
      <c r="Z33" s="40">
        <f>VLOOKUP(B33,country_opex,7,FALSE)*ins_pct</f>
        <v/>
      </c>
      <c r="AA33" s="40">
        <f>charge_berth</f>
        <v/>
      </c>
      <c r="AB33" s="40">
        <f>V33+W33+X33+Y33+Z33+AA33</f>
        <v/>
      </c>
      <c r="AC33" s="40">
        <f>VLOOKUP(B33,country_opex,7,FALSE)/dep_years</f>
        <v/>
      </c>
      <c r="AD33" s="40">
        <f>U33-AB33</f>
        <v/>
      </c>
      <c r="AE33" s="37">
        <f>IF(U33=0,"",AD33/U33)</f>
        <v/>
      </c>
      <c r="AF33" s="38">
        <f>IF(AD33&lt;=0,"",VLOOKUP(B33,country_opex,7,FALSE)/AD33)</f>
        <v/>
      </c>
      <c r="AG33" s="35">
        <f>((D33*P33/diesel_nmpg)*diesel_co2pg-(battery/range_nm)*D33*P33*VLOOKUP(B33,country_opex,4,FALSE))/1000</f>
        <v/>
      </c>
      <c r="AH33" s="33" t="n"/>
      <c r="AI33" s="34" t="n"/>
      <c r="AJ33" s="34" t="n"/>
      <c r="AK33" s="41" t="n">
        <v>0.1</v>
      </c>
      <c r="AL33" s="36">
        <f>IF(AH33="","",AH33*AK33)</f>
        <v/>
      </c>
      <c r="AM33" s="36">
        <f>IF(OR(AH33="",S33=0),"",MIN(IF(AU33="",9.9E+99,AU33),FLOOR(AL33/S33,1)))</f>
        <v/>
      </c>
      <c r="AN33" s="40">
        <f>IF(AM33="","",AM33*IF(ABS(MOD(ABS((U33)),1)-0.5)&lt;1E-9,2*ROUND((U33)/2,0),ROUND((U33),0)))</f>
        <v/>
      </c>
      <c r="AO33" s="38">
        <f>IF(OR(AH33="",S33=0),"",MIN(IF(AU33="",9.9E+99,AU33),AL33/S33))</f>
        <v/>
      </c>
      <c r="AP33" s="40">
        <f>IF(AO33="","",AO33*IF(B33="South Korea",IF(ABS(MOD(ABS((U33)),1)-0.5)&lt;1E-9,2*ROUND((U33)/2,0),ROUND((U33),0)),U33))</f>
        <v/>
      </c>
      <c r="AQ33" s="42" t="n"/>
      <c r="AR33" s="34" t="inlineStr">
        <is>
          <t>Estimated</t>
        </is>
      </c>
      <c r="AS33" s="43" t="n"/>
      <c r="AT33" s="43" t="n"/>
      <c r="AU33" s="44" t="n"/>
      <c r="AV33" s="45">
        <f>IF(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&lt;=0,"",VLOOKUP(B33,country_opex,7,FALSE)/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)</f>
        <v/>
      </c>
      <c r="AW33" s="45">
        <f>IF(((T33*pax_cap*IF(B33="South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Korea",korea_mid_revleg,revleg_mid)),0))*VLOOKUP(B33,country_opex,3,FALSE))+W33+X33+Y33+Z33+AA33))&lt;=0,"",VLOOKUP(B33,country_opex,7,FALSE)/((T33*pax_cap*IF(B33="South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Korea",korea_mid_revleg,revleg_mid)),0))*VLOOKUP(B33,country_opex,3,FALSE))+W33+X33+Y33+Z33+AA33)))</f>
        <v/>
      </c>
      <c r="AX33" s="45">
        <f>IF(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&lt;=0,"",VLOOKUP(B33,country_opex,7,FALSE)/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)</f>
        <v/>
      </c>
      <c r="AY33" s="46" t="n"/>
      <c r="AZ33" s="46" t="n"/>
      <c r="BA33" s="34" t="inlineStr">
        <is>
          <t>rn-d4e4d1a279ed</t>
        </is>
      </c>
    </row>
    <row r="34">
      <c r="A34" s="31" t="inlineStr">
        <is>
          <t>Gulf Authority Bahrain Motc</t>
        </is>
      </c>
      <c r="B34" s="31" t="inlineStr">
        <is>
          <t>United Arab Emirates</t>
        </is>
      </c>
      <c r="C34" s="32" t="inlineStr">
        <is>
          <t>Gumda Fishing Harbour → Sha'am coastal staging point</t>
        </is>
      </c>
      <c r="D34" s="33" t="n">
        <v>5.3</v>
      </c>
      <c r="E34" s="27" t="n"/>
      <c r="F34" s="34" t="n"/>
      <c r="G34" s="34" t="n"/>
      <c r="H34" s="20" t="n">
        <v>1</v>
      </c>
      <c r="I34" s="35">
        <f>60*D34/cruise_kt</f>
        <v/>
      </c>
      <c r="J34" s="35">
        <f>IF(B34="South Korea",D34/korea_charge_range_nm*korea_full_range_charge_min,0)</f>
        <v/>
      </c>
      <c r="K34" s="35">
        <f>IF(B34="South Korea",I34+korea_turn_min+korea_dwell_min+J34,I34+turn_min+dwell_min)</f>
        <v/>
      </c>
      <c r="L34" s="36">
        <f>IF(B34="South Korea",FLOOR(60*korea_service_hr/K34,1),MIN(15,FLOOR(60*service_hr/K34,1)))</f>
        <v/>
      </c>
      <c r="M34" s="36">
        <f>IF(ABS(MOD(ABS((365*mech_uptime*H34)),1)-0.5)&lt;1E-9,2*ROUND((365*mech_uptime*H34)/2,0),ROUND((365*mech_uptime*H34),0))</f>
        <v/>
      </c>
      <c r="N34" s="37">
        <f>mech_uptime</f>
        <v/>
      </c>
      <c r="O34" s="37">
        <f>IF(AND(B34="South Korea",scenario="MID"),korea_mid_revleg,revleg_sel)</f>
        <v/>
      </c>
      <c r="P34" s="36">
        <f>IF(ABS(MOD(ABS((L34*M34*O34)),1)-0.5)&lt;1E-9,2*ROUND((L34*M34*O34)/2,0),ROUND((L34*M34*O34),0))</f>
        <v/>
      </c>
      <c r="Q34" s="37">
        <f>IF(AND(B34="South Korea",scenario="MID"),korea_mid_load,load_sel)</f>
        <v/>
      </c>
      <c r="R34" s="38">
        <f>pax_cap*Q34</f>
        <v/>
      </c>
      <c r="S34" s="36">
        <f>R34*P34</f>
        <v/>
      </c>
      <c r="T34" s="39">
        <f>E34*discount</f>
        <v/>
      </c>
      <c r="U34" s="40">
        <f>T34*S34</f>
        <v/>
      </c>
      <c r="V34" s="40">
        <f>(battery/range_nm)*D34*P34*VLOOKUP(B34,country_opex,3,FALSE)</f>
        <v/>
      </c>
      <c r="W34" s="40">
        <f>VLOOKUP(B34,country_opex,2,FALSE)*crew_factor</f>
        <v/>
      </c>
      <c r="X34" s="40">
        <f>VLOOKUP(B34,country_opex,5,FALSE)</f>
        <v/>
      </c>
      <c r="Y34" s="40">
        <f>maint</f>
        <v/>
      </c>
      <c r="Z34" s="40">
        <f>VLOOKUP(B34,country_opex,7,FALSE)*ins_pct</f>
        <v/>
      </c>
      <c r="AA34" s="40">
        <f>charge_berth</f>
        <v/>
      </c>
      <c r="AB34" s="40">
        <f>V34+W34+X34+Y34+Z34+AA34</f>
        <v/>
      </c>
      <c r="AC34" s="40">
        <f>VLOOKUP(B34,country_opex,7,FALSE)/dep_years</f>
        <v/>
      </c>
      <c r="AD34" s="40">
        <f>U34-AB34</f>
        <v/>
      </c>
      <c r="AE34" s="37">
        <f>IF(U34=0,"",AD34/U34)</f>
        <v/>
      </c>
      <c r="AF34" s="38">
        <f>IF(AD34&lt;=0,"",VLOOKUP(B34,country_opex,7,FALSE)/AD34)</f>
        <v/>
      </c>
      <c r="AG34" s="35">
        <f>((D34*P34/diesel_nmpg)*diesel_co2pg-(battery/range_nm)*D34*P34*VLOOKUP(B34,country_opex,4,FALSE))/1000</f>
        <v/>
      </c>
      <c r="AH34" s="33" t="n"/>
      <c r="AI34" s="34" t="n"/>
      <c r="AJ34" s="34" t="n"/>
      <c r="AK34" s="41" t="n">
        <v>0.1</v>
      </c>
      <c r="AL34" s="36">
        <f>IF(AH34="","",AH34*AK34)</f>
        <v/>
      </c>
      <c r="AM34" s="36">
        <f>IF(OR(AH34="",S34=0),"",MIN(IF(AU34="",9.9E+99,AU34),FLOOR(AL34/S34,1)))</f>
        <v/>
      </c>
      <c r="AN34" s="40">
        <f>IF(AM34="","",AM34*IF(ABS(MOD(ABS((U34)),1)-0.5)&lt;1E-9,2*ROUND((U34)/2,0),ROUND((U34),0)))</f>
        <v/>
      </c>
      <c r="AO34" s="38">
        <f>IF(OR(AH34="",S34=0),"",MIN(IF(AU34="",9.9E+99,AU34),AL34/S34))</f>
        <v/>
      </c>
      <c r="AP34" s="40">
        <f>IF(AO34="","",AO34*IF(B34="South Korea",IF(ABS(MOD(ABS((U34)),1)-0.5)&lt;1E-9,2*ROUND((U34)/2,0),ROUND((U34),0)),U34))</f>
        <v/>
      </c>
      <c r="AQ34" s="42" t="n"/>
      <c r="AR34" s="34" t="inlineStr">
        <is>
          <t>Estimated</t>
        </is>
      </c>
      <c r="AS34" s="43" t="n"/>
      <c r="AT34" s="43" t="n"/>
      <c r="AU34" s="44" t="n"/>
      <c r="AV34" s="45">
        <f>IF(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&lt;=0,"",VLOOKUP(B34,country_opex,7,FALSE)/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)</f>
        <v/>
      </c>
      <c r="AW34" s="45">
        <f>IF(((T34*pax_cap*IF(B34="South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Korea",korea_mid_revleg,revleg_mid)),0))*VLOOKUP(B34,country_opex,3,FALSE))+W34+X34+Y34+Z34+AA34))&lt;=0,"",VLOOKUP(B34,country_opex,7,FALSE)/((T34*pax_cap*IF(B34="South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Korea",korea_mid_revleg,revleg_mid)),0))*VLOOKUP(B34,country_opex,3,FALSE))+W34+X34+Y34+Z34+AA34)))</f>
        <v/>
      </c>
      <c r="AX34" s="45">
        <f>IF(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&lt;=0,"",VLOOKUP(B34,country_opex,7,FALSE)/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)</f>
        <v/>
      </c>
      <c r="AY34" s="46" t="n"/>
      <c r="AZ34" s="46" t="n"/>
      <c r="BA34" s="34" t="inlineStr">
        <is>
          <t>rn-dfb7c3fcf0e4</t>
        </is>
      </c>
    </row>
    <row r="35">
      <c r="A35" s="31" t="inlineStr">
        <is>
          <t>Gulf Authority Bahrain Motc</t>
        </is>
      </c>
      <c r="B35" s="31" t="inlineStr">
        <is>
          <t>United Arab Emirates</t>
        </is>
      </c>
      <c r="C35" s="32" t="inlineStr">
        <is>
          <t>Zighy Marina → Dibba Al-Hisn Marina - Sharjah</t>
        </is>
      </c>
      <c r="D35" s="33" t="n">
        <v>5.3</v>
      </c>
      <c r="E35" s="27" t="n"/>
      <c r="F35" s="34" t="n"/>
      <c r="G35" s="34" t="n"/>
      <c r="H35" s="20" t="n">
        <v>1</v>
      </c>
      <c r="I35" s="35">
        <f>60*D35/cruise_kt</f>
        <v/>
      </c>
      <c r="J35" s="35">
        <f>IF(B35="South Korea",D35/korea_charge_range_nm*korea_full_range_charge_min,0)</f>
        <v/>
      </c>
      <c r="K35" s="35">
        <f>IF(B35="South Korea",I35+korea_turn_min+korea_dwell_min+J35,I35+turn_min+dwell_min)</f>
        <v/>
      </c>
      <c r="L35" s="36">
        <f>IF(B35="South Korea",FLOOR(60*korea_service_hr/K35,1),MIN(15,FLOOR(60*service_hr/K35,1)))</f>
        <v/>
      </c>
      <c r="M35" s="36">
        <f>IF(ABS(MOD(ABS((365*mech_uptime*H35)),1)-0.5)&lt;1E-9,2*ROUND((365*mech_uptime*H35)/2,0),ROUND((365*mech_uptime*H35),0))</f>
        <v/>
      </c>
      <c r="N35" s="37">
        <f>mech_uptime</f>
        <v/>
      </c>
      <c r="O35" s="37">
        <f>IF(AND(B35="South Korea",scenario="MID"),korea_mid_revleg,revleg_sel)</f>
        <v/>
      </c>
      <c r="P35" s="36">
        <f>IF(ABS(MOD(ABS((L35*M35*O35)),1)-0.5)&lt;1E-9,2*ROUND((L35*M35*O35)/2,0),ROUND((L35*M35*O35),0))</f>
        <v/>
      </c>
      <c r="Q35" s="37">
        <f>IF(AND(B35="South Korea",scenario="MID"),korea_mid_load,load_sel)</f>
        <v/>
      </c>
      <c r="R35" s="38">
        <f>pax_cap*Q35</f>
        <v/>
      </c>
      <c r="S35" s="36">
        <f>R35*P35</f>
        <v/>
      </c>
      <c r="T35" s="39">
        <f>E35*discount</f>
        <v/>
      </c>
      <c r="U35" s="40">
        <f>T35*S35</f>
        <v/>
      </c>
      <c r="V35" s="40">
        <f>(battery/range_nm)*D35*P35*VLOOKUP(B35,country_opex,3,FALSE)</f>
        <v/>
      </c>
      <c r="W35" s="40">
        <f>VLOOKUP(B35,country_opex,2,FALSE)*crew_factor</f>
        <v/>
      </c>
      <c r="X35" s="40">
        <f>VLOOKUP(B35,country_opex,5,FALSE)</f>
        <v/>
      </c>
      <c r="Y35" s="40">
        <f>maint</f>
        <v/>
      </c>
      <c r="Z35" s="40">
        <f>VLOOKUP(B35,country_opex,7,FALSE)*ins_pct</f>
        <v/>
      </c>
      <c r="AA35" s="40">
        <f>charge_berth</f>
        <v/>
      </c>
      <c r="AB35" s="40">
        <f>V35+W35+X35+Y35+Z35+AA35</f>
        <v/>
      </c>
      <c r="AC35" s="40">
        <f>VLOOKUP(B35,country_opex,7,FALSE)/dep_years</f>
        <v/>
      </c>
      <c r="AD35" s="40">
        <f>U35-AB35</f>
        <v/>
      </c>
      <c r="AE35" s="37">
        <f>IF(U35=0,"",AD35/U35)</f>
        <v/>
      </c>
      <c r="AF35" s="38">
        <f>IF(AD35&lt;=0,"",VLOOKUP(B35,country_opex,7,FALSE)/AD35)</f>
        <v/>
      </c>
      <c r="AG35" s="35">
        <f>((D35*P35/diesel_nmpg)*diesel_co2pg-(battery/range_nm)*D35*P35*VLOOKUP(B35,country_opex,4,FALSE))/1000</f>
        <v/>
      </c>
      <c r="AH35" s="33" t="n"/>
      <c r="AI35" s="34" t="n"/>
      <c r="AJ35" s="34" t="n"/>
      <c r="AK35" s="41" t="n">
        <v>0.1</v>
      </c>
      <c r="AL35" s="36">
        <f>IF(AH35="","",AH35*AK35)</f>
        <v/>
      </c>
      <c r="AM35" s="36">
        <f>IF(OR(AH35="",S35=0),"",MIN(IF(AU35="",9.9E+99,AU35),FLOOR(AL35/S35,1)))</f>
        <v/>
      </c>
      <c r="AN35" s="40">
        <f>IF(AM35="","",AM35*IF(ABS(MOD(ABS((U35)),1)-0.5)&lt;1E-9,2*ROUND((U35)/2,0),ROUND((U35),0)))</f>
        <v/>
      </c>
      <c r="AO35" s="38">
        <f>IF(OR(AH35="",S35=0),"",MIN(IF(AU35="",9.9E+99,AU35),AL35/S35))</f>
        <v/>
      </c>
      <c r="AP35" s="40">
        <f>IF(AO35="","",AO35*IF(B35="South Korea",IF(ABS(MOD(ABS((U35)),1)-0.5)&lt;1E-9,2*ROUND((U35)/2,0),ROUND((U35),0)),U35))</f>
        <v/>
      </c>
      <c r="AQ35" s="42" t="n"/>
      <c r="AR35" s="34" t="inlineStr">
        <is>
          <t>Estimated</t>
        </is>
      </c>
      <c r="AS35" s="43" t="n"/>
      <c r="AT35" s="43" t="n"/>
      <c r="AU35" s="44" t="n"/>
      <c r="AV35" s="45">
        <f>IF(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&lt;=0,"",VLOOKUP(B35,country_opex,7,FALSE)/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)</f>
        <v/>
      </c>
      <c r="AW35" s="45">
        <f>IF(((T35*pax_cap*IF(B35="South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Korea",korea_mid_revleg,revleg_mid)),0))*VLOOKUP(B35,country_opex,3,FALSE))+W35+X35+Y35+Z35+AA35))&lt;=0,"",VLOOKUP(B35,country_opex,7,FALSE)/((T35*pax_cap*IF(B35="South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Korea",korea_mid_revleg,revleg_mid)),0))*VLOOKUP(B35,country_opex,3,FALSE))+W35+X35+Y35+Z35+AA35)))</f>
        <v/>
      </c>
      <c r="AX35" s="45">
        <f>IF(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&lt;=0,"",VLOOKUP(B35,country_opex,7,FALSE)/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)</f>
        <v/>
      </c>
      <c r="AY35" s="46" t="n"/>
      <c r="AZ35" s="46" t="n"/>
      <c r="BA35" s="34" t="inlineStr">
        <is>
          <t>rn-2494f5a9242d</t>
        </is>
      </c>
    </row>
    <row r="36">
      <c r="A36" s="31" t="inlineStr">
        <is>
          <t>Gulf Authority Bahrain Motc</t>
        </is>
      </c>
      <c r="B36" s="31" t="inlineStr">
        <is>
          <t>United Arab Emirates</t>
        </is>
      </c>
      <c r="C36" s="32" t="inlineStr">
        <is>
          <t>Gumda Fishing Harbour → Sha'am Fishing Boat Harbour</t>
        </is>
      </c>
      <c r="D36" s="33" t="n">
        <v>7.2</v>
      </c>
      <c r="E36" s="27" t="n"/>
      <c r="F36" s="34" t="n"/>
      <c r="G36" s="34" t="n"/>
      <c r="H36" s="20" t="n">
        <v>1</v>
      </c>
      <c r="I36" s="35">
        <f>60*D36/cruise_kt</f>
        <v/>
      </c>
      <c r="J36" s="35">
        <f>IF(B36="South Korea",D36/korea_charge_range_nm*korea_full_range_charge_min,0)</f>
        <v/>
      </c>
      <c r="K36" s="35">
        <f>IF(B36="South Korea",I36+korea_turn_min+korea_dwell_min+J36,I36+turn_min+dwell_min)</f>
        <v/>
      </c>
      <c r="L36" s="36">
        <f>IF(B36="South Korea",FLOOR(60*korea_service_hr/K36,1),MIN(15,FLOOR(60*service_hr/K36,1)))</f>
        <v/>
      </c>
      <c r="M36" s="36">
        <f>IF(ABS(MOD(ABS((365*mech_uptime*H36)),1)-0.5)&lt;1E-9,2*ROUND((365*mech_uptime*H36)/2,0),ROUND((365*mech_uptime*H36),0))</f>
        <v/>
      </c>
      <c r="N36" s="37">
        <f>mech_uptime</f>
        <v/>
      </c>
      <c r="O36" s="37">
        <f>IF(AND(B36="South Korea",scenario="MID"),korea_mid_revleg,revleg_sel)</f>
        <v/>
      </c>
      <c r="P36" s="36">
        <f>IF(ABS(MOD(ABS((L36*M36*O36)),1)-0.5)&lt;1E-9,2*ROUND((L36*M36*O36)/2,0),ROUND((L36*M36*O36),0))</f>
        <v/>
      </c>
      <c r="Q36" s="37">
        <f>IF(AND(B36="South Korea",scenario="MID"),korea_mid_load,load_sel)</f>
        <v/>
      </c>
      <c r="R36" s="38">
        <f>pax_cap*Q36</f>
        <v/>
      </c>
      <c r="S36" s="36">
        <f>R36*P36</f>
        <v/>
      </c>
      <c r="T36" s="39">
        <f>E36*discount</f>
        <v/>
      </c>
      <c r="U36" s="40">
        <f>T36*S36</f>
        <v/>
      </c>
      <c r="V36" s="40">
        <f>(battery/range_nm)*D36*P36*VLOOKUP(B36,country_opex,3,FALSE)</f>
        <v/>
      </c>
      <c r="W36" s="40">
        <f>VLOOKUP(B36,country_opex,2,FALSE)*crew_factor</f>
        <v/>
      </c>
      <c r="X36" s="40">
        <f>VLOOKUP(B36,country_opex,5,FALSE)</f>
        <v/>
      </c>
      <c r="Y36" s="40">
        <f>maint</f>
        <v/>
      </c>
      <c r="Z36" s="40">
        <f>VLOOKUP(B36,country_opex,7,FALSE)*ins_pct</f>
        <v/>
      </c>
      <c r="AA36" s="40">
        <f>charge_berth</f>
        <v/>
      </c>
      <c r="AB36" s="40">
        <f>V36+W36+X36+Y36+Z36+AA36</f>
        <v/>
      </c>
      <c r="AC36" s="40">
        <f>VLOOKUP(B36,country_opex,7,FALSE)/dep_years</f>
        <v/>
      </c>
      <c r="AD36" s="40">
        <f>U36-AB36</f>
        <v/>
      </c>
      <c r="AE36" s="37">
        <f>IF(U36=0,"",AD36/U36)</f>
        <v/>
      </c>
      <c r="AF36" s="38">
        <f>IF(AD36&lt;=0,"",VLOOKUP(B36,country_opex,7,FALSE)/AD36)</f>
        <v/>
      </c>
      <c r="AG36" s="35">
        <f>((D36*P36/diesel_nmpg)*diesel_co2pg-(battery/range_nm)*D36*P36*VLOOKUP(B36,country_opex,4,FALSE))/1000</f>
        <v/>
      </c>
      <c r="AH36" s="33" t="n"/>
      <c r="AI36" s="34" t="n"/>
      <c r="AJ36" s="34" t="n"/>
      <c r="AK36" s="41" t="n">
        <v>0.1</v>
      </c>
      <c r="AL36" s="36">
        <f>IF(AH36="","",AH36*AK36)</f>
        <v/>
      </c>
      <c r="AM36" s="36">
        <f>IF(OR(AH36="",S36=0),"",MIN(IF(AU36="",9.9E+99,AU36),FLOOR(AL36/S36,1)))</f>
        <v/>
      </c>
      <c r="AN36" s="40">
        <f>IF(AM36="","",AM36*IF(ABS(MOD(ABS((U36)),1)-0.5)&lt;1E-9,2*ROUND((U36)/2,0),ROUND((U36),0)))</f>
        <v/>
      </c>
      <c r="AO36" s="38">
        <f>IF(OR(AH36="",S36=0),"",MIN(IF(AU36="",9.9E+99,AU36),AL36/S36))</f>
        <v/>
      </c>
      <c r="AP36" s="40">
        <f>IF(AO36="","",AO36*IF(B36="South Korea",IF(ABS(MOD(ABS((U36)),1)-0.5)&lt;1E-9,2*ROUND((U36)/2,0),ROUND((U36),0)),U36))</f>
        <v/>
      </c>
      <c r="AQ36" s="42" t="n"/>
      <c r="AR36" s="34" t="inlineStr">
        <is>
          <t>Estimated</t>
        </is>
      </c>
      <c r="AS36" s="43" t="n"/>
      <c r="AT36" s="43" t="n"/>
      <c r="AU36" s="44" t="n"/>
      <c r="AV36" s="45">
        <f>IF(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&lt;=0,"",VLOOKUP(B36,country_opex,7,FALSE)/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)</f>
        <v/>
      </c>
      <c r="AW36" s="45">
        <f>IF(((T36*pax_cap*IF(B36="South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Korea",korea_mid_revleg,revleg_mid)),0))*VLOOKUP(B36,country_opex,3,FALSE))+W36+X36+Y36+Z36+AA36))&lt;=0,"",VLOOKUP(B36,country_opex,7,FALSE)/((T36*pax_cap*IF(B36="South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Korea",korea_mid_revleg,revleg_mid)),0))*VLOOKUP(B36,country_opex,3,FALSE))+W36+X36+Y36+Z36+AA36)))</f>
        <v/>
      </c>
      <c r="AX36" s="45">
        <f>IF(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&lt;=0,"",VLOOKUP(B36,country_opex,7,FALSE)/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)</f>
        <v/>
      </c>
      <c r="AY36" s="46" t="n"/>
      <c r="AZ36" s="46" t="n"/>
      <c r="BA36" s="34" t="inlineStr">
        <is>
          <t>rn-73cfebcabacd</t>
        </is>
      </c>
    </row>
    <row r="37">
      <c r="A37" s="31" t="inlineStr">
        <is>
          <t>Gulf Authority Bahrain Motc</t>
        </is>
      </c>
      <c r="B37" s="31" t="inlineStr">
        <is>
          <t>United Arab Emirates</t>
        </is>
      </c>
      <c r="C37" s="32" t="inlineStr">
        <is>
          <t>UAQ Marine Club → Hamriyah Port Main Harbour</t>
        </is>
      </c>
      <c r="D37" s="33" t="n">
        <v>10.5</v>
      </c>
      <c r="E37" s="27" t="n"/>
      <c r="F37" s="34" t="n"/>
      <c r="G37" s="34" t="n"/>
      <c r="H37" s="20" t="n">
        <v>1</v>
      </c>
      <c r="I37" s="35">
        <f>60*D37/cruise_kt</f>
        <v/>
      </c>
      <c r="J37" s="35">
        <f>IF(B37="South Korea",D37/korea_charge_range_nm*korea_full_range_charge_min,0)</f>
        <v/>
      </c>
      <c r="K37" s="35">
        <f>IF(B37="South Korea",I37+korea_turn_min+korea_dwell_min+J37,I37+turn_min+dwell_min)</f>
        <v/>
      </c>
      <c r="L37" s="36">
        <f>IF(B37="South Korea",FLOOR(60*korea_service_hr/K37,1),MIN(15,FLOOR(60*service_hr/K37,1)))</f>
        <v/>
      </c>
      <c r="M37" s="36">
        <f>IF(ABS(MOD(ABS((365*mech_uptime*H37)),1)-0.5)&lt;1E-9,2*ROUND((365*mech_uptime*H37)/2,0),ROUND((365*mech_uptime*H37),0))</f>
        <v/>
      </c>
      <c r="N37" s="37">
        <f>mech_uptime</f>
        <v/>
      </c>
      <c r="O37" s="37">
        <f>IF(AND(B37="South Korea",scenario="MID"),korea_mid_revleg,revleg_sel)</f>
        <v/>
      </c>
      <c r="P37" s="36">
        <f>IF(ABS(MOD(ABS((L37*M37*O37)),1)-0.5)&lt;1E-9,2*ROUND((L37*M37*O37)/2,0),ROUND((L37*M37*O37),0))</f>
        <v/>
      </c>
      <c r="Q37" s="37">
        <f>IF(AND(B37="South Korea",scenario="MID"),korea_mid_load,load_sel)</f>
        <v/>
      </c>
      <c r="R37" s="38">
        <f>pax_cap*Q37</f>
        <v/>
      </c>
      <c r="S37" s="36">
        <f>R37*P37</f>
        <v/>
      </c>
      <c r="T37" s="39">
        <f>E37*discount</f>
        <v/>
      </c>
      <c r="U37" s="40">
        <f>T37*S37</f>
        <v/>
      </c>
      <c r="V37" s="40">
        <f>(battery/range_nm)*D37*P37*VLOOKUP(B37,country_opex,3,FALSE)</f>
        <v/>
      </c>
      <c r="W37" s="40">
        <f>VLOOKUP(B37,country_opex,2,FALSE)*crew_factor</f>
        <v/>
      </c>
      <c r="X37" s="40">
        <f>VLOOKUP(B37,country_opex,5,FALSE)</f>
        <v/>
      </c>
      <c r="Y37" s="40">
        <f>maint</f>
        <v/>
      </c>
      <c r="Z37" s="40">
        <f>VLOOKUP(B37,country_opex,7,FALSE)*ins_pct</f>
        <v/>
      </c>
      <c r="AA37" s="40">
        <f>charge_berth</f>
        <v/>
      </c>
      <c r="AB37" s="40">
        <f>V37+W37+X37+Y37+Z37+AA37</f>
        <v/>
      </c>
      <c r="AC37" s="40">
        <f>VLOOKUP(B37,country_opex,7,FALSE)/dep_years</f>
        <v/>
      </c>
      <c r="AD37" s="40">
        <f>U37-AB37</f>
        <v/>
      </c>
      <c r="AE37" s="37">
        <f>IF(U37=0,"",AD37/U37)</f>
        <v/>
      </c>
      <c r="AF37" s="38">
        <f>IF(AD37&lt;=0,"",VLOOKUP(B37,country_opex,7,FALSE)/AD37)</f>
        <v/>
      </c>
      <c r="AG37" s="35">
        <f>((D37*P37/diesel_nmpg)*diesel_co2pg-(battery/range_nm)*D37*P37*VLOOKUP(B37,country_opex,4,FALSE))/1000</f>
        <v/>
      </c>
      <c r="AH37" s="33" t="n"/>
      <c r="AI37" s="34" t="n"/>
      <c r="AJ37" s="34" t="n"/>
      <c r="AK37" s="41" t="n">
        <v>0.1</v>
      </c>
      <c r="AL37" s="36">
        <f>IF(AH37="","",AH37*AK37)</f>
        <v/>
      </c>
      <c r="AM37" s="36">
        <f>IF(OR(AH37="",S37=0),"",MIN(IF(AU37="",9.9E+99,AU37),FLOOR(AL37/S37,1)))</f>
        <v/>
      </c>
      <c r="AN37" s="40">
        <f>IF(AM37="","",AM37*IF(ABS(MOD(ABS((U37)),1)-0.5)&lt;1E-9,2*ROUND((U37)/2,0),ROUND((U37),0)))</f>
        <v/>
      </c>
      <c r="AO37" s="38">
        <f>IF(OR(AH37="",S37=0),"",MIN(IF(AU37="",9.9E+99,AU37),AL37/S37))</f>
        <v/>
      </c>
      <c r="AP37" s="40">
        <f>IF(AO37="","",AO37*IF(B37="South Korea",IF(ABS(MOD(ABS((U37)),1)-0.5)&lt;1E-9,2*ROUND((U37)/2,0),ROUND((U37),0)),U37))</f>
        <v/>
      </c>
      <c r="AQ37" s="42" t="n"/>
      <c r="AR37" s="34" t="inlineStr">
        <is>
          <t>Estimated</t>
        </is>
      </c>
      <c r="AS37" s="43" t="n"/>
      <c r="AT37" s="43" t="n"/>
      <c r="AU37" s="44" t="n"/>
      <c r="AV37" s="45">
        <f>IF(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&lt;=0,"",VLOOKUP(B37,country_opex,7,FALSE)/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)</f>
        <v/>
      </c>
      <c r="AW37" s="45">
        <f>IF(((T37*pax_cap*IF(B37="South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Korea",korea_mid_revleg,revleg_mid)),0))*VLOOKUP(B37,country_opex,3,FALSE))+W37+X37+Y37+Z37+AA37))&lt;=0,"",VLOOKUP(B37,country_opex,7,FALSE)/((T37*pax_cap*IF(B37="South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Korea",korea_mid_revleg,revleg_mid)),0))*VLOOKUP(B37,country_opex,3,FALSE))+W37+X37+Y37+Z37+AA37)))</f>
        <v/>
      </c>
      <c r="AX37" s="45">
        <f>IF(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&lt;=0,"",VLOOKUP(B37,country_opex,7,FALSE)/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)</f>
        <v/>
      </c>
      <c r="AY37" s="46" t="n"/>
      <c r="AZ37" s="46" t="n"/>
      <c r="BA37" s="34" t="inlineStr">
        <is>
          <t>rn-2d00ee6cdb3e</t>
        </is>
      </c>
    </row>
    <row r="38">
      <c r="A38" s="31" t="inlineStr">
        <is>
          <t>Gulf Authority Bahrain Motc</t>
        </is>
      </c>
      <c r="B38" s="31" t="inlineStr">
        <is>
          <t>United Arab Emirates</t>
        </is>
      </c>
      <c r="C38" s="32" t="inlineStr">
        <is>
          <t>UAQ Marine Club → Rixos Bab Al Bahr beach jetty</t>
        </is>
      </c>
      <c r="D38" s="33" t="n">
        <v>11.8</v>
      </c>
      <c r="E38" s="27" t="n"/>
      <c r="F38" s="34" t="n"/>
      <c r="G38" s="34" t="n"/>
      <c r="H38" s="20" t="n">
        <v>1</v>
      </c>
      <c r="I38" s="35">
        <f>60*D38/cruise_kt</f>
        <v/>
      </c>
      <c r="J38" s="35">
        <f>IF(B38="South Korea",D38/korea_charge_range_nm*korea_full_range_charge_min,0)</f>
        <v/>
      </c>
      <c r="K38" s="35">
        <f>IF(B38="South Korea",I38+korea_turn_min+korea_dwell_min+J38,I38+turn_min+dwell_min)</f>
        <v/>
      </c>
      <c r="L38" s="36">
        <f>IF(B38="South Korea",FLOOR(60*korea_service_hr/K38,1),MIN(15,FLOOR(60*service_hr/K38,1)))</f>
        <v/>
      </c>
      <c r="M38" s="36">
        <f>IF(ABS(MOD(ABS((365*mech_uptime*H38)),1)-0.5)&lt;1E-9,2*ROUND((365*mech_uptime*H38)/2,0),ROUND((365*mech_uptime*H38),0))</f>
        <v/>
      </c>
      <c r="N38" s="37">
        <f>mech_uptime</f>
        <v/>
      </c>
      <c r="O38" s="37">
        <f>IF(AND(B38="South Korea",scenario="MID"),korea_mid_revleg,revleg_sel)</f>
        <v/>
      </c>
      <c r="P38" s="36">
        <f>IF(ABS(MOD(ABS((L38*M38*O38)),1)-0.5)&lt;1E-9,2*ROUND((L38*M38*O38)/2,0),ROUND((L38*M38*O38),0))</f>
        <v/>
      </c>
      <c r="Q38" s="37">
        <f>IF(AND(B38="South Korea",scenario="MID"),korea_mid_load,load_sel)</f>
        <v/>
      </c>
      <c r="R38" s="38">
        <f>pax_cap*Q38</f>
        <v/>
      </c>
      <c r="S38" s="36">
        <f>R38*P38</f>
        <v/>
      </c>
      <c r="T38" s="39">
        <f>E38*discount</f>
        <v/>
      </c>
      <c r="U38" s="40">
        <f>T38*S38</f>
        <v/>
      </c>
      <c r="V38" s="40">
        <f>(battery/range_nm)*D38*P38*VLOOKUP(B38,country_opex,3,FALSE)</f>
        <v/>
      </c>
      <c r="W38" s="40">
        <f>VLOOKUP(B38,country_opex,2,FALSE)*crew_factor</f>
        <v/>
      </c>
      <c r="X38" s="40">
        <f>VLOOKUP(B38,country_opex,5,FALSE)</f>
        <v/>
      </c>
      <c r="Y38" s="40">
        <f>maint</f>
        <v/>
      </c>
      <c r="Z38" s="40">
        <f>VLOOKUP(B38,country_opex,7,FALSE)*ins_pct</f>
        <v/>
      </c>
      <c r="AA38" s="40">
        <f>charge_berth</f>
        <v/>
      </c>
      <c r="AB38" s="40">
        <f>V38+W38+X38+Y38+Z38+AA38</f>
        <v/>
      </c>
      <c r="AC38" s="40">
        <f>VLOOKUP(B38,country_opex,7,FALSE)/dep_years</f>
        <v/>
      </c>
      <c r="AD38" s="40">
        <f>U38-AB38</f>
        <v/>
      </c>
      <c r="AE38" s="37">
        <f>IF(U38=0,"",AD38/U38)</f>
        <v/>
      </c>
      <c r="AF38" s="38">
        <f>IF(AD38&lt;=0,"",VLOOKUP(B38,country_opex,7,FALSE)/AD38)</f>
        <v/>
      </c>
      <c r="AG38" s="35">
        <f>((D38*P38/diesel_nmpg)*diesel_co2pg-(battery/range_nm)*D38*P38*VLOOKUP(B38,country_opex,4,FALSE))/1000</f>
        <v/>
      </c>
      <c r="AH38" s="33" t="n"/>
      <c r="AI38" s="34" t="n"/>
      <c r="AJ38" s="34" t="n"/>
      <c r="AK38" s="41" t="n">
        <v>0.1</v>
      </c>
      <c r="AL38" s="36">
        <f>IF(AH38="","",AH38*AK38)</f>
        <v/>
      </c>
      <c r="AM38" s="36">
        <f>IF(OR(AH38="",S38=0),"",MIN(IF(AU38="",9.9E+99,AU38),FLOOR(AL38/S38,1)))</f>
        <v/>
      </c>
      <c r="AN38" s="40">
        <f>IF(AM38="","",AM38*IF(ABS(MOD(ABS((U38)),1)-0.5)&lt;1E-9,2*ROUND((U38)/2,0),ROUND((U38),0)))</f>
        <v/>
      </c>
      <c r="AO38" s="38">
        <f>IF(OR(AH38="",S38=0),"",MIN(IF(AU38="",9.9E+99,AU38),AL38/S38))</f>
        <v/>
      </c>
      <c r="AP38" s="40">
        <f>IF(AO38="","",AO38*IF(B38="South Korea",IF(ABS(MOD(ABS((U38)),1)-0.5)&lt;1E-9,2*ROUND((U38)/2,0),ROUND((U38),0)),U38))</f>
        <v/>
      </c>
      <c r="AQ38" s="42" t="n"/>
      <c r="AR38" s="34" t="inlineStr">
        <is>
          <t>Estimated</t>
        </is>
      </c>
      <c r="AS38" s="43" t="n"/>
      <c r="AT38" s="43" t="n"/>
      <c r="AU38" s="44" t="n"/>
      <c r="AV38" s="45">
        <f>IF(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&lt;=0,"",VLOOKUP(B38,country_opex,7,FALSE)/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)</f>
        <v/>
      </c>
      <c r="AW38" s="45">
        <f>IF(((T38*pax_cap*IF(B38="South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Korea",korea_mid_revleg,revleg_mid)),0))*VLOOKUP(B38,country_opex,3,FALSE))+W38+X38+Y38+Z38+AA38))&lt;=0,"",VLOOKUP(B38,country_opex,7,FALSE)/((T38*pax_cap*IF(B38="South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Korea",korea_mid_revleg,revleg_mid)),0))*VLOOKUP(B38,country_opex,3,FALSE))+W38+X38+Y38+Z38+AA38)))</f>
        <v/>
      </c>
      <c r="AX38" s="45">
        <f>IF(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&lt;=0,"",VLOOKUP(B38,country_opex,7,FALSE)/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)</f>
        <v/>
      </c>
      <c r="AY38" s="46" t="n"/>
      <c r="AZ38" s="46" t="n"/>
      <c r="BA38" s="34" t="inlineStr">
        <is>
          <t>rn-8570d8c24098</t>
        </is>
      </c>
    </row>
    <row r="39">
      <c r="A39" s="31" t="inlineStr">
        <is>
          <t>Gulf Authority Bahrain Motc</t>
        </is>
      </c>
      <c r="B39" s="31" t="inlineStr">
        <is>
          <t>United Arab Emirates</t>
        </is>
      </c>
      <c r="C39" s="32" t="inlineStr">
        <is>
          <t>Ras Al Khaimah → ميناء صيادين غليلة</t>
        </is>
      </c>
      <c r="D39" s="33" t="n">
        <v>11.9</v>
      </c>
      <c r="E39" s="27" t="n"/>
      <c r="F39" s="34" t="n"/>
      <c r="G39" s="34" t="n"/>
      <c r="H39" s="20" t="n">
        <v>1</v>
      </c>
      <c r="I39" s="35">
        <f>60*D39/cruise_kt</f>
        <v/>
      </c>
      <c r="J39" s="35">
        <f>IF(B39="South Korea",D39/korea_charge_range_nm*korea_full_range_charge_min,0)</f>
        <v/>
      </c>
      <c r="K39" s="35">
        <f>IF(B39="South Korea",I39+korea_turn_min+korea_dwell_min+J39,I39+turn_min+dwell_min)</f>
        <v/>
      </c>
      <c r="L39" s="36">
        <f>IF(B39="South Korea",FLOOR(60*korea_service_hr/K39,1),MIN(15,FLOOR(60*service_hr/K39,1)))</f>
        <v/>
      </c>
      <c r="M39" s="36">
        <f>IF(ABS(MOD(ABS((365*mech_uptime*H39)),1)-0.5)&lt;1E-9,2*ROUND((365*mech_uptime*H39)/2,0),ROUND((365*mech_uptime*H39),0))</f>
        <v/>
      </c>
      <c r="N39" s="37">
        <f>mech_uptime</f>
        <v/>
      </c>
      <c r="O39" s="37">
        <f>IF(AND(B39="South Korea",scenario="MID"),korea_mid_revleg,revleg_sel)</f>
        <v/>
      </c>
      <c r="P39" s="36">
        <f>IF(ABS(MOD(ABS((L39*M39*O39)),1)-0.5)&lt;1E-9,2*ROUND((L39*M39*O39)/2,0),ROUND((L39*M39*O39),0))</f>
        <v/>
      </c>
      <c r="Q39" s="37">
        <f>IF(AND(B39="South Korea",scenario="MID"),korea_mid_load,load_sel)</f>
        <v/>
      </c>
      <c r="R39" s="38">
        <f>pax_cap*Q39</f>
        <v/>
      </c>
      <c r="S39" s="36">
        <f>R39*P39</f>
        <v/>
      </c>
      <c r="T39" s="39">
        <f>E39*discount</f>
        <v/>
      </c>
      <c r="U39" s="40">
        <f>T39*S39</f>
        <v/>
      </c>
      <c r="V39" s="40">
        <f>(battery/range_nm)*D39*P39*VLOOKUP(B39,country_opex,3,FALSE)</f>
        <v/>
      </c>
      <c r="W39" s="40">
        <f>VLOOKUP(B39,country_opex,2,FALSE)*crew_factor</f>
        <v/>
      </c>
      <c r="X39" s="40">
        <f>VLOOKUP(B39,country_opex,5,FALSE)</f>
        <v/>
      </c>
      <c r="Y39" s="40">
        <f>maint</f>
        <v/>
      </c>
      <c r="Z39" s="40">
        <f>VLOOKUP(B39,country_opex,7,FALSE)*ins_pct</f>
        <v/>
      </c>
      <c r="AA39" s="40">
        <f>charge_berth</f>
        <v/>
      </c>
      <c r="AB39" s="40">
        <f>V39+W39+X39+Y39+Z39+AA39</f>
        <v/>
      </c>
      <c r="AC39" s="40">
        <f>VLOOKUP(B39,country_opex,7,FALSE)/dep_years</f>
        <v/>
      </c>
      <c r="AD39" s="40">
        <f>U39-AB39</f>
        <v/>
      </c>
      <c r="AE39" s="37">
        <f>IF(U39=0,"",AD39/U39)</f>
        <v/>
      </c>
      <c r="AF39" s="38">
        <f>IF(AD39&lt;=0,"",VLOOKUP(B39,country_opex,7,FALSE)/AD39)</f>
        <v/>
      </c>
      <c r="AG39" s="35">
        <f>((D39*P39/diesel_nmpg)*diesel_co2pg-(battery/range_nm)*D39*P39*VLOOKUP(B39,country_opex,4,FALSE))/1000</f>
        <v/>
      </c>
      <c r="AH39" s="33" t="n"/>
      <c r="AI39" s="34" t="n"/>
      <c r="AJ39" s="34" t="n"/>
      <c r="AK39" s="41" t="n">
        <v>0.1</v>
      </c>
      <c r="AL39" s="36">
        <f>IF(AH39="","",AH39*AK39)</f>
        <v/>
      </c>
      <c r="AM39" s="36">
        <f>IF(OR(AH39="",S39=0),"",MIN(IF(AU39="",9.9E+99,AU39),FLOOR(AL39/S39,1)))</f>
        <v/>
      </c>
      <c r="AN39" s="40">
        <f>IF(AM39="","",AM39*IF(ABS(MOD(ABS((U39)),1)-0.5)&lt;1E-9,2*ROUND((U39)/2,0),ROUND((U39),0)))</f>
        <v/>
      </c>
      <c r="AO39" s="38">
        <f>IF(OR(AH39="",S39=0),"",MIN(IF(AU39="",9.9E+99,AU39),AL39/S39))</f>
        <v/>
      </c>
      <c r="AP39" s="40">
        <f>IF(AO39="","",AO39*IF(B39="South Korea",IF(ABS(MOD(ABS((U39)),1)-0.5)&lt;1E-9,2*ROUND((U39)/2,0),ROUND((U39),0)),U39))</f>
        <v/>
      </c>
      <c r="AQ39" s="42" t="n"/>
      <c r="AR39" s="34" t="inlineStr">
        <is>
          <t>Estimated</t>
        </is>
      </c>
      <c r="AS39" s="43" t="n"/>
      <c r="AT39" s="43" t="n"/>
      <c r="AU39" s="44" t="n"/>
      <c r="AV39" s="45">
        <f>IF(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&lt;=0,"",VLOOKUP(B39,country_opex,7,FALSE)/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)</f>
        <v/>
      </c>
      <c r="AW39" s="45">
        <f>IF(((T39*pax_cap*IF(B39="South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Korea",korea_mid_revleg,revleg_mid)),0))*VLOOKUP(B39,country_opex,3,FALSE))+W39+X39+Y39+Z39+AA39))&lt;=0,"",VLOOKUP(B39,country_opex,7,FALSE)/((T39*pax_cap*IF(B39="South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Korea",korea_mid_revleg,revleg_mid)),0))*VLOOKUP(B39,country_opex,3,FALSE))+W39+X39+Y39+Z39+AA39)))</f>
        <v/>
      </c>
      <c r="AX39" s="45">
        <f>IF(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&lt;=0,"",VLOOKUP(B39,country_opex,7,FALSE)/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)</f>
        <v/>
      </c>
      <c r="AY39" s="46" t="n"/>
      <c r="AZ39" s="46" t="n"/>
      <c r="BA39" s="34" t="inlineStr">
        <is>
          <t>rn-d61bc3c848d9</t>
        </is>
      </c>
    </row>
    <row r="40">
      <c r="A40" s="31" t="inlineStr">
        <is>
          <t>Gulf Authority Bahrain Motc</t>
        </is>
      </c>
      <c r="B40" s="31" t="inlineStr">
        <is>
          <t>United Arab Emirates</t>
        </is>
      </c>
      <c r="C40" s="32" t="inlineStr">
        <is>
          <t>Ras Al Khaimah → Al Hamra Marina &amp; Royal Yacht Club RAK</t>
        </is>
      </c>
      <c r="D40" s="33" t="n">
        <v>13.6</v>
      </c>
      <c r="E40" s="27" t="n"/>
      <c r="F40" s="34" t="n"/>
      <c r="G40" s="34" t="n"/>
      <c r="H40" s="20" t="n">
        <v>1</v>
      </c>
      <c r="I40" s="35">
        <f>60*D40/cruise_kt</f>
        <v/>
      </c>
      <c r="J40" s="35">
        <f>IF(B40="South Korea",D40/korea_charge_range_nm*korea_full_range_charge_min,0)</f>
        <v/>
      </c>
      <c r="K40" s="35">
        <f>IF(B40="South Korea",I40+korea_turn_min+korea_dwell_min+J40,I40+turn_min+dwell_min)</f>
        <v/>
      </c>
      <c r="L40" s="36">
        <f>IF(B40="South Korea",FLOOR(60*korea_service_hr/K40,1),MIN(15,FLOOR(60*service_hr/K40,1)))</f>
        <v/>
      </c>
      <c r="M40" s="36">
        <f>IF(ABS(MOD(ABS((365*mech_uptime*H40)),1)-0.5)&lt;1E-9,2*ROUND((365*mech_uptime*H40)/2,0),ROUND((365*mech_uptime*H40),0))</f>
        <v/>
      </c>
      <c r="N40" s="37">
        <f>mech_uptime</f>
        <v/>
      </c>
      <c r="O40" s="37">
        <f>IF(AND(B40="South Korea",scenario="MID"),korea_mid_revleg,revleg_sel)</f>
        <v/>
      </c>
      <c r="P40" s="36">
        <f>IF(ABS(MOD(ABS((L40*M40*O40)),1)-0.5)&lt;1E-9,2*ROUND((L40*M40*O40)/2,0),ROUND((L40*M40*O40),0))</f>
        <v/>
      </c>
      <c r="Q40" s="37">
        <f>IF(AND(B40="South Korea",scenario="MID"),korea_mid_load,load_sel)</f>
        <v/>
      </c>
      <c r="R40" s="38">
        <f>pax_cap*Q40</f>
        <v/>
      </c>
      <c r="S40" s="36">
        <f>R40*P40</f>
        <v/>
      </c>
      <c r="T40" s="39">
        <f>E40*discount</f>
        <v/>
      </c>
      <c r="U40" s="40">
        <f>T40*S40</f>
        <v/>
      </c>
      <c r="V40" s="40">
        <f>(battery/range_nm)*D40*P40*VLOOKUP(B40,country_opex,3,FALSE)</f>
        <v/>
      </c>
      <c r="W40" s="40">
        <f>VLOOKUP(B40,country_opex,2,FALSE)*crew_factor</f>
        <v/>
      </c>
      <c r="X40" s="40">
        <f>VLOOKUP(B40,country_opex,5,FALSE)</f>
        <v/>
      </c>
      <c r="Y40" s="40">
        <f>maint</f>
        <v/>
      </c>
      <c r="Z40" s="40">
        <f>VLOOKUP(B40,country_opex,7,FALSE)*ins_pct</f>
        <v/>
      </c>
      <c r="AA40" s="40">
        <f>charge_berth</f>
        <v/>
      </c>
      <c r="AB40" s="40">
        <f>V40+W40+X40+Y40+Z40+AA40</f>
        <v/>
      </c>
      <c r="AC40" s="40">
        <f>VLOOKUP(B40,country_opex,7,FALSE)/dep_years</f>
        <v/>
      </c>
      <c r="AD40" s="40">
        <f>U40-AB40</f>
        <v/>
      </c>
      <c r="AE40" s="37">
        <f>IF(U40=0,"",AD40/U40)</f>
        <v/>
      </c>
      <c r="AF40" s="38">
        <f>IF(AD40&lt;=0,"",VLOOKUP(B40,country_opex,7,FALSE)/AD40)</f>
        <v/>
      </c>
      <c r="AG40" s="35">
        <f>((D40*P40/diesel_nmpg)*diesel_co2pg-(battery/range_nm)*D40*P40*VLOOKUP(B40,country_opex,4,FALSE))/1000</f>
        <v/>
      </c>
      <c r="AH40" s="33" t="n"/>
      <c r="AI40" s="34" t="n"/>
      <c r="AJ40" s="34" t="n"/>
      <c r="AK40" s="41" t="n">
        <v>0.1</v>
      </c>
      <c r="AL40" s="36">
        <f>IF(AH40="","",AH40*AK40)</f>
        <v/>
      </c>
      <c r="AM40" s="36">
        <f>IF(OR(AH40="",S40=0),"",MIN(IF(AU40="",9.9E+99,AU40),FLOOR(AL40/S40,1)))</f>
        <v/>
      </c>
      <c r="AN40" s="40">
        <f>IF(AM40="","",AM40*IF(ABS(MOD(ABS((U40)),1)-0.5)&lt;1E-9,2*ROUND((U40)/2,0),ROUND((U40),0)))</f>
        <v/>
      </c>
      <c r="AO40" s="38">
        <f>IF(OR(AH40="",S40=0),"",MIN(IF(AU40="",9.9E+99,AU40),AL40/S40))</f>
        <v/>
      </c>
      <c r="AP40" s="40">
        <f>IF(AO40="","",AO40*IF(B40="South Korea",IF(ABS(MOD(ABS((U40)),1)-0.5)&lt;1E-9,2*ROUND((U40)/2,0),ROUND((U40),0)),U40))</f>
        <v/>
      </c>
      <c r="AQ40" s="42" t="n"/>
      <c r="AR40" s="34" t="inlineStr">
        <is>
          <t>Estimated</t>
        </is>
      </c>
      <c r="AS40" s="43" t="n"/>
      <c r="AT40" s="43" t="n"/>
      <c r="AU40" s="44" t="n"/>
      <c r="AV40" s="45">
        <f>IF(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&lt;=0,"",VLOOKUP(B40,country_opex,7,FALSE)/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)</f>
        <v/>
      </c>
      <c r="AW40" s="45">
        <f>IF(((T40*pax_cap*IF(B40="South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Korea",korea_mid_revleg,revleg_mid)),0))*VLOOKUP(B40,country_opex,3,FALSE))+W40+X40+Y40+Z40+AA40))&lt;=0,"",VLOOKUP(B40,country_opex,7,FALSE)/((T40*pax_cap*IF(B40="South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Korea",korea_mid_revleg,revleg_mid)),0))*VLOOKUP(B40,country_opex,3,FALSE))+W40+X40+Y40+Z40+AA40)))</f>
        <v/>
      </c>
      <c r="AX40" s="45">
        <f>IF(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&lt;=0,"",VLOOKUP(B40,country_opex,7,FALSE)/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)</f>
        <v/>
      </c>
      <c r="AY40" s="46" t="n"/>
      <c r="AZ40" s="46" t="n"/>
      <c r="BA40" s="34" t="inlineStr">
        <is>
          <t>rn-80cfe59d2d79</t>
        </is>
      </c>
    </row>
    <row r="41">
      <c r="A41" s="31" t="inlineStr">
        <is>
          <t>Gulf Authority Bahrain Motc</t>
        </is>
      </c>
      <c r="B41" s="31" t="inlineStr">
        <is>
          <t>United Arab Emirates</t>
        </is>
      </c>
      <c r="C41" s="32" t="inlineStr">
        <is>
          <t>Ras Al Khaimah → Al Marjan Island public arrival marina</t>
        </is>
      </c>
      <c r="D41" s="33" t="n">
        <v>16</v>
      </c>
      <c r="E41" s="27" t="n"/>
      <c r="F41" s="34" t="n"/>
      <c r="G41" s="34" t="n"/>
      <c r="H41" s="20" t="n">
        <v>1</v>
      </c>
      <c r="I41" s="35">
        <f>60*D41/cruise_kt</f>
        <v/>
      </c>
      <c r="J41" s="35">
        <f>IF(B41="South Korea",D41/korea_charge_range_nm*korea_full_range_charge_min,0)</f>
        <v/>
      </c>
      <c r="K41" s="35">
        <f>IF(B41="South Korea",I41+korea_turn_min+korea_dwell_min+J41,I41+turn_min+dwell_min)</f>
        <v/>
      </c>
      <c r="L41" s="36">
        <f>IF(B41="South Korea",FLOOR(60*korea_service_hr/K41,1),MIN(15,FLOOR(60*service_hr/K41,1)))</f>
        <v/>
      </c>
      <c r="M41" s="36">
        <f>IF(ABS(MOD(ABS((365*mech_uptime*H41)),1)-0.5)&lt;1E-9,2*ROUND((365*mech_uptime*H41)/2,0),ROUND((365*mech_uptime*H41),0))</f>
        <v/>
      </c>
      <c r="N41" s="37">
        <f>mech_uptime</f>
        <v/>
      </c>
      <c r="O41" s="37">
        <f>IF(AND(B41="South Korea",scenario="MID"),korea_mid_revleg,revleg_sel)</f>
        <v/>
      </c>
      <c r="P41" s="36">
        <f>IF(ABS(MOD(ABS((L41*M41*O41)),1)-0.5)&lt;1E-9,2*ROUND((L41*M41*O41)/2,0),ROUND((L41*M41*O41),0))</f>
        <v/>
      </c>
      <c r="Q41" s="37">
        <f>IF(AND(B41="South Korea",scenario="MID"),korea_mid_load,load_sel)</f>
        <v/>
      </c>
      <c r="R41" s="38">
        <f>pax_cap*Q41</f>
        <v/>
      </c>
      <c r="S41" s="36">
        <f>R41*P41</f>
        <v/>
      </c>
      <c r="T41" s="39">
        <f>E41*discount</f>
        <v/>
      </c>
      <c r="U41" s="40">
        <f>T41*S41</f>
        <v/>
      </c>
      <c r="V41" s="40">
        <f>(battery/range_nm)*D41*P41*VLOOKUP(B41,country_opex,3,FALSE)</f>
        <v/>
      </c>
      <c r="W41" s="40">
        <f>VLOOKUP(B41,country_opex,2,FALSE)*crew_factor</f>
        <v/>
      </c>
      <c r="X41" s="40">
        <f>VLOOKUP(B41,country_opex,5,FALSE)</f>
        <v/>
      </c>
      <c r="Y41" s="40">
        <f>maint</f>
        <v/>
      </c>
      <c r="Z41" s="40">
        <f>VLOOKUP(B41,country_opex,7,FALSE)*ins_pct</f>
        <v/>
      </c>
      <c r="AA41" s="40">
        <f>charge_berth</f>
        <v/>
      </c>
      <c r="AB41" s="40">
        <f>V41+W41+X41+Y41+Z41+AA41</f>
        <v/>
      </c>
      <c r="AC41" s="40">
        <f>VLOOKUP(B41,country_opex,7,FALSE)/dep_years</f>
        <v/>
      </c>
      <c r="AD41" s="40">
        <f>U41-AB41</f>
        <v/>
      </c>
      <c r="AE41" s="37">
        <f>IF(U41=0,"",AD41/U41)</f>
        <v/>
      </c>
      <c r="AF41" s="38">
        <f>IF(AD41&lt;=0,"",VLOOKUP(B41,country_opex,7,FALSE)/AD41)</f>
        <v/>
      </c>
      <c r="AG41" s="35">
        <f>((D41*P41/diesel_nmpg)*diesel_co2pg-(battery/range_nm)*D41*P41*VLOOKUP(B41,country_opex,4,FALSE))/1000</f>
        <v/>
      </c>
      <c r="AH41" s="33" t="n"/>
      <c r="AI41" s="34" t="n"/>
      <c r="AJ41" s="34" t="n"/>
      <c r="AK41" s="41" t="n">
        <v>0.1</v>
      </c>
      <c r="AL41" s="36">
        <f>IF(AH41="","",AH41*AK41)</f>
        <v/>
      </c>
      <c r="AM41" s="36">
        <f>IF(OR(AH41="",S41=0),"",MIN(IF(AU41="",9.9E+99,AU41),FLOOR(AL41/S41,1)))</f>
        <v/>
      </c>
      <c r="AN41" s="40">
        <f>IF(AM41="","",AM41*IF(ABS(MOD(ABS((U41)),1)-0.5)&lt;1E-9,2*ROUND((U41)/2,0),ROUND((U41),0)))</f>
        <v/>
      </c>
      <c r="AO41" s="38">
        <f>IF(OR(AH41="",S41=0),"",MIN(IF(AU41="",9.9E+99,AU41),AL41/S41))</f>
        <v/>
      </c>
      <c r="AP41" s="40">
        <f>IF(AO41="","",AO41*IF(B41="South Korea",IF(ABS(MOD(ABS((U41)),1)-0.5)&lt;1E-9,2*ROUND((U41)/2,0),ROUND((U41),0)),U41))</f>
        <v/>
      </c>
      <c r="AQ41" s="42" t="n"/>
      <c r="AR41" s="34" t="inlineStr">
        <is>
          <t>Estimated</t>
        </is>
      </c>
      <c r="AS41" s="43" t="n"/>
      <c r="AT41" s="43" t="n"/>
      <c r="AU41" s="44" t="n"/>
      <c r="AV41" s="45">
        <f>IF(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&lt;=0,"",VLOOKUP(B41,country_opex,7,FALSE)/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)</f>
        <v/>
      </c>
      <c r="AW41" s="45">
        <f>IF(((T41*pax_cap*IF(B41="South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Korea",korea_mid_revleg,revleg_mid)),0))*VLOOKUP(B41,country_opex,3,FALSE))+W41+X41+Y41+Z41+AA41))&lt;=0,"",VLOOKUP(B41,country_opex,7,FALSE)/((T41*pax_cap*IF(B41="South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Korea",korea_mid_revleg,revleg_mid)),0))*VLOOKUP(B41,country_opex,3,FALSE))+W41+X41+Y41+Z41+AA41)))</f>
        <v/>
      </c>
      <c r="AX41" s="45">
        <f>IF(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&lt;=0,"",VLOOKUP(B41,country_opex,7,FALSE)/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)</f>
        <v/>
      </c>
      <c r="AY41" s="46" t="n"/>
      <c r="AZ41" s="46" t="n"/>
      <c r="BA41" s="34" t="inlineStr">
        <is>
          <t>rn-482b047f5a66</t>
        </is>
      </c>
    </row>
    <row r="42">
      <c r="A42" s="31" t="inlineStr">
        <is>
          <t>Gulf Authority Bahrain Motc</t>
        </is>
      </c>
      <c r="B42" s="31" t="inlineStr">
        <is>
          <t>United Arab Emirates</t>
        </is>
      </c>
      <c r="C42" s="32" t="inlineStr">
        <is>
          <t>Ras Al Khaimah → UAQ Marine Club</t>
        </is>
      </c>
      <c r="D42" s="33" t="n">
        <v>26.6</v>
      </c>
      <c r="E42" s="27" t="n"/>
      <c r="F42" s="34" t="n"/>
      <c r="G42" s="34" t="n"/>
      <c r="H42" s="20" t="n">
        <v>1</v>
      </c>
      <c r="I42" s="35">
        <f>60*D42/cruise_kt</f>
        <v/>
      </c>
      <c r="J42" s="35">
        <f>IF(B42="South Korea",D42/korea_charge_range_nm*korea_full_range_charge_min,0)</f>
        <v/>
      </c>
      <c r="K42" s="35">
        <f>IF(B42="South Korea",I42+korea_turn_min+korea_dwell_min+J42,I42+turn_min+dwell_min)</f>
        <v/>
      </c>
      <c r="L42" s="36">
        <f>IF(B42="South Korea",FLOOR(60*korea_service_hr/K42,1),MIN(15,FLOOR(60*service_hr/K42,1)))</f>
        <v/>
      </c>
      <c r="M42" s="36">
        <f>IF(ABS(MOD(ABS((365*mech_uptime*H42)),1)-0.5)&lt;1E-9,2*ROUND((365*mech_uptime*H42)/2,0),ROUND((365*mech_uptime*H42),0))</f>
        <v/>
      </c>
      <c r="N42" s="37">
        <f>mech_uptime</f>
        <v/>
      </c>
      <c r="O42" s="37">
        <f>IF(AND(B42="South Korea",scenario="MID"),korea_mid_revleg,revleg_sel)</f>
        <v/>
      </c>
      <c r="P42" s="36">
        <f>IF(ABS(MOD(ABS((L42*M42*O42)),1)-0.5)&lt;1E-9,2*ROUND((L42*M42*O42)/2,0),ROUND((L42*M42*O42),0))</f>
        <v/>
      </c>
      <c r="Q42" s="37">
        <f>IF(AND(B42="South Korea",scenario="MID"),korea_mid_load,load_sel)</f>
        <v/>
      </c>
      <c r="R42" s="38">
        <f>pax_cap*Q42</f>
        <v/>
      </c>
      <c r="S42" s="36">
        <f>R42*P42</f>
        <v/>
      </c>
      <c r="T42" s="39">
        <f>E42*discount</f>
        <v/>
      </c>
      <c r="U42" s="40">
        <f>T42*S42</f>
        <v/>
      </c>
      <c r="V42" s="40">
        <f>(battery/range_nm)*D42*P42*VLOOKUP(B42,country_opex,3,FALSE)</f>
        <v/>
      </c>
      <c r="W42" s="40">
        <f>VLOOKUP(B42,country_opex,2,FALSE)*crew_factor</f>
        <v/>
      </c>
      <c r="X42" s="40">
        <f>VLOOKUP(B42,country_opex,5,FALSE)</f>
        <v/>
      </c>
      <c r="Y42" s="40">
        <f>maint</f>
        <v/>
      </c>
      <c r="Z42" s="40">
        <f>VLOOKUP(B42,country_opex,7,FALSE)*ins_pct</f>
        <v/>
      </c>
      <c r="AA42" s="40">
        <f>charge_berth</f>
        <v/>
      </c>
      <c r="AB42" s="40">
        <f>V42+W42+X42+Y42+Z42+AA42</f>
        <v/>
      </c>
      <c r="AC42" s="40">
        <f>VLOOKUP(B42,country_opex,7,FALSE)/dep_years</f>
        <v/>
      </c>
      <c r="AD42" s="40">
        <f>U42-AB42</f>
        <v/>
      </c>
      <c r="AE42" s="37">
        <f>IF(U42=0,"",AD42/U42)</f>
        <v/>
      </c>
      <c r="AF42" s="38">
        <f>IF(AD42&lt;=0,"",VLOOKUP(B42,country_opex,7,FALSE)/AD42)</f>
        <v/>
      </c>
      <c r="AG42" s="35">
        <f>((D42*P42/diesel_nmpg)*diesel_co2pg-(battery/range_nm)*D42*P42*VLOOKUP(B42,country_opex,4,FALSE))/1000</f>
        <v/>
      </c>
      <c r="AH42" s="33" t="n"/>
      <c r="AI42" s="34" t="n"/>
      <c r="AJ42" s="34" t="n"/>
      <c r="AK42" s="41" t="n">
        <v>0.1</v>
      </c>
      <c r="AL42" s="36">
        <f>IF(AH42="","",AH42*AK42)</f>
        <v/>
      </c>
      <c r="AM42" s="36">
        <f>IF(OR(AH42="",S42=0),"",MIN(IF(AU42="",9.9E+99,AU42),FLOOR(AL42/S42,1)))</f>
        <v/>
      </c>
      <c r="AN42" s="40">
        <f>IF(AM42="","",AM42*IF(ABS(MOD(ABS((U42)),1)-0.5)&lt;1E-9,2*ROUND((U42)/2,0),ROUND((U42),0)))</f>
        <v/>
      </c>
      <c r="AO42" s="38">
        <f>IF(OR(AH42="",S42=0),"",MIN(IF(AU42="",9.9E+99,AU42),AL42/S42))</f>
        <v/>
      </c>
      <c r="AP42" s="40">
        <f>IF(AO42="","",AO42*IF(B42="South Korea",IF(ABS(MOD(ABS((U42)),1)-0.5)&lt;1E-9,2*ROUND((U42)/2,0),ROUND((U42),0)),U42))</f>
        <v/>
      </c>
      <c r="AQ42" s="42" t="n"/>
      <c r="AR42" s="34" t="inlineStr">
        <is>
          <t>Estimated</t>
        </is>
      </c>
      <c r="AS42" s="43" t="n"/>
      <c r="AT42" s="43" t="n"/>
      <c r="AU42" s="44" t="n"/>
      <c r="AV42" s="45">
        <f>IF(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&lt;=0,"",VLOOKUP(B42,country_opex,7,FALSE)/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)</f>
        <v/>
      </c>
      <c r="AW42" s="45">
        <f>IF(((T42*pax_cap*IF(B42="South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Korea",korea_mid_revleg,revleg_mid)),0))*VLOOKUP(B42,country_opex,3,FALSE))+W42+X42+Y42+Z42+AA42))&lt;=0,"",VLOOKUP(B42,country_opex,7,FALSE)/((T42*pax_cap*IF(B42="South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Korea",korea_mid_revleg,revleg_mid)),0))*VLOOKUP(B42,country_opex,3,FALSE))+W42+X42+Y42+Z42+AA42)))</f>
        <v/>
      </c>
      <c r="AX42" s="45">
        <f>IF(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&lt;=0,"",VLOOKUP(B42,country_opex,7,FALSE)/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)</f>
        <v/>
      </c>
      <c r="AY42" s="46" t="n"/>
      <c r="AZ42" s="46" t="n"/>
      <c r="BA42" s="34" t="inlineStr">
        <is>
          <t>rn-7ef1b64eebe0</t>
        </is>
      </c>
    </row>
    <row r="43">
      <c r="A43" s="31" t="inlineStr">
        <is>
          <t>Gulf Authority Bahrain Motc</t>
        </is>
      </c>
      <c r="B43" s="31" t="inlineStr">
        <is>
          <t>United Arab Emirates</t>
        </is>
      </c>
      <c r="C43" s="32" t="inlineStr">
        <is>
          <t>Ras Al Khaimah → Ajman Marina</t>
        </is>
      </c>
      <c r="D43" s="33" t="n">
        <v>39</v>
      </c>
      <c r="E43" s="27" t="n"/>
      <c r="F43" s="34" t="n"/>
      <c r="G43" s="34" t="n"/>
      <c r="H43" s="20" t="n">
        <v>1</v>
      </c>
      <c r="I43" s="35">
        <f>60*D43/cruise_kt</f>
        <v/>
      </c>
      <c r="J43" s="35">
        <f>IF(B43="South Korea",D43/korea_charge_range_nm*korea_full_range_charge_min,0)</f>
        <v/>
      </c>
      <c r="K43" s="35">
        <f>IF(B43="South Korea",I43+korea_turn_min+korea_dwell_min+J43,I43+turn_min+dwell_min)</f>
        <v/>
      </c>
      <c r="L43" s="36">
        <f>IF(B43="South Korea",FLOOR(60*korea_service_hr/K43,1),MIN(15,FLOOR(60*service_hr/K43,1)))</f>
        <v/>
      </c>
      <c r="M43" s="36">
        <f>IF(ABS(MOD(ABS((365*mech_uptime*H43)),1)-0.5)&lt;1E-9,2*ROUND((365*mech_uptime*H43)/2,0),ROUND((365*mech_uptime*H43),0))</f>
        <v/>
      </c>
      <c r="N43" s="37">
        <f>mech_uptime</f>
        <v/>
      </c>
      <c r="O43" s="37">
        <f>IF(AND(B43="South Korea",scenario="MID"),korea_mid_revleg,revleg_sel)</f>
        <v/>
      </c>
      <c r="P43" s="36">
        <f>IF(ABS(MOD(ABS((L43*M43*O43)),1)-0.5)&lt;1E-9,2*ROUND((L43*M43*O43)/2,0),ROUND((L43*M43*O43),0))</f>
        <v/>
      </c>
      <c r="Q43" s="37">
        <f>IF(AND(B43="South Korea",scenario="MID"),korea_mid_load,load_sel)</f>
        <v/>
      </c>
      <c r="R43" s="38">
        <f>pax_cap*Q43</f>
        <v/>
      </c>
      <c r="S43" s="36">
        <f>R43*P43</f>
        <v/>
      </c>
      <c r="T43" s="39">
        <f>E43*discount</f>
        <v/>
      </c>
      <c r="U43" s="40">
        <f>T43*S43</f>
        <v/>
      </c>
      <c r="V43" s="40">
        <f>(battery/range_nm)*D43*P43*VLOOKUP(B43,country_opex,3,FALSE)</f>
        <v/>
      </c>
      <c r="W43" s="40">
        <f>VLOOKUP(B43,country_opex,2,FALSE)*crew_factor</f>
        <v/>
      </c>
      <c r="X43" s="40">
        <f>VLOOKUP(B43,country_opex,5,FALSE)</f>
        <v/>
      </c>
      <c r="Y43" s="40">
        <f>maint</f>
        <v/>
      </c>
      <c r="Z43" s="40">
        <f>VLOOKUP(B43,country_opex,7,FALSE)*ins_pct</f>
        <v/>
      </c>
      <c r="AA43" s="40">
        <f>charge_berth</f>
        <v/>
      </c>
      <c r="AB43" s="40">
        <f>V43+W43+X43+Y43+Z43+AA43</f>
        <v/>
      </c>
      <c r="AC43" s="40">
        <f>VLOOKUP(B43,country_opex,7,FALSE)/dep_years</f>
        <v/>
      </c>
      <c r="AD43" s="40">
        <f>U43-AB43</f>
        <v/>
      </c>
      <c r="AE43" s="37">
        <f>IF(U43=0,"",AD43/U43)</f>
        <v/>
      </c>
      <c r="AF43" s="38">
        <f>IF(AD43&lt;=0,"",VLOOKUP(B43,country_opex,7,FALSE)/AD43)</f>
        <v/>
      </c>
      <c r="AG43" s="35">
        <f>((D43*P43/diesel_nmpg)*diesel_co2pg-(battery/range_nm)*D43*P43*VLOOKUP(B43,country_opex,4,FALSE))/1000</f>
        <v/>
      </c>
      <c r="AH43" s="33" t="n"/>
      <c r="AI43" s="34" t="n"/>
      <c r="AJ43" s="34" t="n"/>
      <c r="AK43" s="41" t="n">
        <v>0.1</v>
      </c>
      <c r="AL43" s="36">
        <f>IF(AH43="","",AH43*AK43)</f>
        <v/>
      </c>
      <c r="AM43" s="36">
        <f>IF(OR(AH43="",S43=0),"",MIN(IF(AU43="",9.9E+99,AU43),FLOOR(AL43/S43,1)))</f>
        <v/>
      </c>
      <c r="AN43" s="40">
        <f>IF(AM43="","",AM43*IF(ABS(MOD(ABS((U43)),1)-0.5)&lt;1E-9,2*ROUND((U43)/2,0),ROUND((U43),0)))</f>
        <v/>
      </c>
      <c r="AO43" s="38">
        <f>IF(OR(AH43="",S43=0),"",MIN(IF(AU43="",9.9E+99,AU43),AL43/S43))</f>
        <v/>
      </c>
      <c r="AP43" s="40">
        <f>IF(AO43="","",AO43*IF(B43="South Korea",IF(ABS(MOD(ABS((U43)),1)-0.5)&lt;1E-9,2*ROUND((U43)/2,0),ROUND((U43),0)),U43))</f>
        <v/>
      </c>
      <c r="AQ43" s="42" t="n"/>
      <c r="AR43" s="34" t="inlineStr">
        <is>
          <t>Estimated</t>
        </is>
      </c>
      <c r="AS43" s="43" t="n"/>
      <c r="AT43" s="43" t="n"/>
      <c r="AU43" s="44" t="n"/>
      <c r="AV43" s="45">
        <f>IF(((T43*pax_cap*load_thin*IF(ABS(MOD(ABS((L43*M43*revleg_thin)),1)-0.5)&lt;1E-9,2*ROUND((L43*M43*revleg_thin)/2,0),ROUND((L43*M43*revleg_thin),0)))-(((battery/range_nm)*D43*IF(ABS(MOD(ABS((L43*M43*revleg_thin)),1)-0.5)&lt;1E-9,2*ROUND((L43*M43*revleg_thin)/2,0),ROUND((L43*M43*revleg_thin),0))*VLOOKUP(B43,country_opex,3,FALSE))+W43+X43+Y43+Z43+AA43))&lt;=0,"",VLOOKUP(B43,country_opex,7,FALSE)/((T43*pax_cap*load_thin*IF(ABS(MOD(ABS((L43*M43*revleg_thin)),1)-0.5)&lt;1E-9,2*ROUND((L43*M43*revleg_thin)/2,0),ROUND((L43*M43*revleg_thin),0)))-(((battery/range_nm)*D43*IF(ABS(MOD(ABS((L43*M43*revleg_thin)),1)-0.5)&lt;1E-9,2*ROUND((L43*M43*revleg_thin)/2,0),ROUND((L43*M43*revleg_thin),0))*VLOOKUP(B43,country_opex,3,FALSE))+W43+X43+Y43+Z43+AA43)))</f>
        <v/>
      </c>
      <c r="AW43" s="45">
        <f>IF(((T43*pax_cap*IF(B43="South Korea",korea_mid_load,load_mid)*IF(ABS(MOD(ABS((L43*M43*IF(B43="South Korea",korea_mid_revleg,revleg_mid))),1)-0.5)&lt;1E-9,2*ROUND((L43*M43*IF(B43="South Korea",korea_mid_revleg,revleg_mid))/2,0),ROUND((L43*M43*IF(B43="South Korea",korea_mid_revleg,revleg_mid)),0)))-(((battery/range_nm)*D43*IF(ABS(MOD(ABS((L43*M43*IF(B43="South Korea",korea_mid_revleg,revleg_mid))),1)-0.5)&lt;1E-9,2*ROUND((L43*M43*IF(B43="South Korea",korea_mid_revleg,revleg_mid))/2,0),ROUND((L43*M43*IF(B43="South Korea",korea_mid_revleg,revleg_mid)),0))*VLOOKUP(B43,country_opex,3,FALSE))+W43+X43+Y43+Z43+AA43))&lt;=0,"",VLOOKUP(B43,country_opex,7,FALSE)/((T43*pax_cap*IF(B43="South Korea",korea_mid_load,load_mid)*IF(ABS(MOD(ABS((L43*M43*IF(B43="South Korea",korea_mid_revleg,revleg_mid))),1)-0.5)&lt;1E-9,2*ROUND((L43*M43*IF(B43="South Korea",korea_mid_revleg,revleg_mid))/2,0),ROUND((L43*M43*IF(B43="South Korea",korea_mid_revleg,revleg_mid)),0)))-(((battery/range_nm)*D43*IF(ABS(MOD(ABS((L43*M43*IF(B43="South Korea",korea_mid_revleg,revleg_mid))),1)-0.5)&lt;1E-9,2*ROUND((L43*M43*IF(B43="South Korea",korea_mid_revleg,revleg_mid))/2,0),ROUND((L43*M43*IF(B43="South Korea",korea_mid_revleg,revleg_mid)),0))*VLOOKUP(B43,country_opex,3,FALSE))+W43+X43+Y43+Z43+AA43)))</f>
        <v/>
      </c>
      <c r="AX43" s="45">
        <f>IF(((T43*pax_cap*load_full*IF(ABS(MOD(ABS((L43*M43*revleg_full)),1)-0.5)&lt;1E-9,2*ROUND((L43*M43*revleg_full)/2,0),ROUND((L43*M43*revleg_full),0)))-(((battery/range_nm)*D43*IF(ABS(MOD(ABS((L43*M43*revleg_full)),1)-0.5)&lt;1E-9,2*ROUND((L43*M43*revleg_full)/2,0),ROUND((L43*M43*revleg_full),0))*VLOOKUP(B43,country_opex,3,FALSE))+W43+X43+Y43+Z43+AA43))&lt;=0,"",VLOOKUP(B43,country_opex,7,FALSE)/((T43*pax_cap*load_full*IF(ABS(MOD(ABS((L43*M43*revleg_full)),1)-0.5)&lt;1E-9,2*ROUND((L43*M43*revleg_full)/2,0),ROUND((L43*M43*revleg_full),0)))-(((battery/range_nm)*D43*IF(ABS(MOD(ABS((L43*M43*revleg_full)),1)-0.5)&lt;1E-9,2*ROUND((L43*M43*revleg_full)/2,0),ROUND((L43*M43*revleg_full),0))*VLOOKUP(B43,country_opex,3,FALSE))+W43+X43+Y43+Z43+AA43)))</f>
        <v/>
      </c>
      <c r="AY43" s="46" t="n"/>
      <c r="AZ43" s="46" t="n"/>
      <c r="BA43" s="34" t="inlineStr">
        <is>
          <t>rn-dacbbff1792e</t>
        </is>
      </c>
    </row>
    <row r="44">
      <c r="A44" s="31" t="inlineStr">
        <is>
          <t>Gulf Authority Bahrain Motc</t>
        </is>
      </c>
      <c r="B44" s="31" t="inlineStr">
        <is>
          <t>United Arab Emirates</t>
        </is>
      </c>
      <c r="C44" s="32" t="inlineStr">
        <is>
          <t>Ras Al Khaimah → Sharjah</t>
        </is>
      </c>
      <c r="D44" s="33" t="n">
        <v>42</v>
      </c>
      <c r="E44" s="27" t="n"/>
      <c r="F44" s="34" t="n"/>
      <c r="G44" s="34" t="n"/>
      <c r="H44" s="20" t="n">
        <v>1</v>
      </c>
      <c r="I44" s="35">
        <f>60*D44/cruise_kt</f>
        <v/>
      </c>
      <c r="J44" s="35">
        <f>IF(B44="South Korea",D44/korea_charge_range_nm*korea_full_range_charge_min,0)</f>
        <v/>
      </c>
      <c r="K44" s="35">
        <f>IF(B44="South Korea",I44+korea_turn_min+korea_dwell_min+J44,I44+turn_min+dwell_min)</f>
        <v/>
      </c>
      <c r="L44" s="36">
        <f>IF(B44="South Korea",FLOOR(60*korea_service_hr/K44,1),MIN(15,FLOOR(60*service_hr/K44,1)))</f>
        <v/>
      </c>
      <c r="M44" s="36">
        <f>IF(ABS(MOD(ABS((365*mech_uptime*H44)),1)-0.5)&lt;1E-9,2*ROUND((365*mech_uptime*H44)/2,0),ROUND((365*mech_uptime*H44),0))</f>
        <v/>
      </c>
      <c r="N44" s="37">
        <f>mech_uptime</f>
        <v/>
      </c>
      <c r="O44" s="37">
        <f>IF(AND(B44="South Korea",scenario="MID"),korea_mid_revleg,revleg_sel)</f>
        <v/>
      </c>
      <c r="P44" s="36">
        <f>IF(ABS(MOD(ABS((L44*M44*O44)),1)-0.5)&lt;1E-9,2*ROUND((L44*M44*O44)/2,0),ROUND((L44*M44*O44),0))</f>
        <v/>
      </c>
      <c r="Q44" s="37">
        <f>IF(AND(B44="South Korea",scenario="MID"),korea_mid_load,load_sel)</f>
        <v/>
      </c>
      <c r="R44" s="38">
        <f>pax_cap*Q44</f>
        <v/>
      </c>
      <c r="S44" s="36">
        <f>R44*P44</f>
        <v/>
      </c>
      <c r="T44" s="39">
        <f>E44*discount</f>
        <v/>
      </c>
      <c r="U44" s="40">
        <f>T44*S44</f>
        <v/>
      </c>
      <c r="V44" s="40">
        <f>(battery/range_nm)*D44*P44*VLOOKUP(B44,country_opex,3,FALSE)</f>
        <v/>
      </c>
      <c r="W44" s="40">
        <f>VLOOKUP(B44,country_opex,2,FALSE)*crew_factor</f>
        <v/>
      </c>
      <c r="X44" s="40">
        <f>VLOOKUP(B44,country_opex,5,FALSE)</f>
        <v/>
      </c>
      <c r="Y44" s="40">
        <f>maint</f>
        <v/>
      </c>
      <c r="Z44" s="40">
        <f>VLOOKUP(B44,country_opex,7,FALSE)*ins_pct</f>
        <v/>
      </c>
      <c r="AA44" s="40">
        <f>charge_berth</f>
        <v/>
      </c>
      <c r="AB44" s="40">
        <f>V44+W44+X44+Y44+Z44+AA44</f>
        <v/>
      </c>
      <c r="AC44" s="40">
        <f>VLOOKUP(B44,country_opex,7,FALSE)/dep_years</f>
        <v/>
      </c>
      <c r="AD44" s="40">
        <f>U44-AB44</f>
        <v/>
      </c>
      <c r="AE44" s="37">
        <f>IF(U44=0,"",AD44/U44)</f>
        <v/>
      </c>
      <c r="AF44" s="38">
        <f>IF(AD44&lt;=0,"",VLOOKUP(B44,country_opex,7,FALSE)/AD44)</f>
        <v/>
      </c>
      <c r="AG44" s="35">
        <f>((D44*P44/diesel_nmpg)*diesel_co2pg-(battery/range_nm)*D44*P44*VLOOKUP(B44,country_opex,4,FALSE))/1000</f>
        <v/>
      </c>
      <c r="AH44" s="33" t="n"/>
      <c r="AI44" s="34" t="n"/>
      <c r="AJ44" s="34" t="n"/>
      <c r="AK44" s="41" t="n">
        <v>0.1</v>
      </c>
      <c r="AL44" s="36">
        <f>IF(AH44="","",AH44*AK44)</f>
        <v/>
      </c>
      <c r="AM44" s="36">
        <f>IF(OR(AH44="",S44=0),"",MIN(IF(AU44="",9.9E+99,AU44),FLOOR(AL44/S44,1)))</f>
        <v/>
      </c>
      <c r="AN44" s="40">
        <f>IF(AM44="","",AM44*IF(ABS(MOD(ABS((U44)),1)-0.5)&lt;1E-9,2*ROUND((U44)/2,0),ROUND((U44),0)))</f>
        <v/>
      </c>
      <c r="AO44" s="38">
        <f>IF(OR(AH44="",S44=0),"",MIN(IF(AU44="",9.9E+99,AU44),AL44/S44))</f>
        <v/>
      </c>
      <c r="AP44" s="40">
        <f>IF(AO44="","",AO44*IF(B44="South Korea",IF(ABS(MOD(ABS((U44)),1)-0.5)&lt;1E-9,2*ROUND((U44)/2,0),ROUND((U44),0)),U44))</f>
        <v/>
      </c>
      <c r="AQ44" s="42" t="n"/>
      <c r="AR44" s="34" t="inlineStr">
        <is>
          <t>Estimated</t>
        </is>
      </c>
      <c r="AS44" s="43" t="n"/>
      <c r="AT44" s="43" t="n"/>
      <c r="AU44" s="44" t="n"/>
      <c r="AV44" s="45">
        <f>IF(((T44*pax_cap*load_thin*IF(ABS(MOD(ABS((L44*M44*revleg_thin)),1)-0.5)&lt;1E-9,2*ROUND((L44*M44*revleg_thin)/2,0),ROUND((L44*M44*revleg_thin),0)))-(((battery/range_nm)*D44*IF(ABS(MOD(ABS((L44*M44*revleg_thin)),1)-0.5)&lt;1E-9,2*ROUND((L44*M44*revleg_thin)/2,0),ROUND((L44*M44*revleg_thin),0))*VLOOKUP(B44,country_opex,3,FALSE))+W44+X44+Y44+Z44+AA44))&lt;=0,"",VLOOKUP(B44,country_opex,7,FALSE)/((T44*pax_cap*load_thin*IF(ABS(MOD(ABS((L44*M44*revleg_thin)),1)-0.5)&lt;1E-9,2*ROUND((L44*M44*revleg_thin)/2,0),ROUND((L44*M44*revleg_thin),0)))-(((battery/range_nm)*D44*IF(ABS(MOD(ABS((L44*M44*revleg_thin)),1)-0.5)&lt;1E-9,2*ROUND((L44*M44*revleg_thin)/2,0),ROUND((L44*M44*revleg_thin),0))*VLOOKUP(B44,country_opex,3,FALSE))+W44+X44+Y44+Z44+AA44)))</f>
        <v/>
      </c>
      <c r="AW44" s="45">
        <f>IF(((T44*pax_cap*IF(B44="South Korea",korea_mid_load,load_mid)*IF(ABS(MOD(ABS((L44*M44*IF(B44="South Korea",korea_mid_revleg,revleg_mid))),1)-0.5)&lt;1E-9,2*ROUND((L44*M44*IF(B44="South Korea",korea_mid_revleg,revleg_mid))/2,0),ROUND((L44*M44*IF(B44="South Korea",korea_mid_revleg,revleg_mid)),0)))-(((battery/range_nm)*D44*IF(ABS(MOD(ABS((L44*M44*IF(B44="South Korea",korea_mid_revleg,revleg_mid))),1)-0.5)&lt;1E-9,2*ROUND((L44*M44*IF(B44="South Korea",korea_mid_revleg,revleg_mid))/2,0),ROUND((L44*M44*IF(B44="South Korea",korea_mid_revleg,revleg_mid)),0))*VLOOKUP(B44,country_opex,3,FALSE))+W44+X44+Y44+Z44+AA44))&lt;=0,"",VLOOKUP(B44,country_opex,7,FALSE)/((T44*pax_cap*IF(B44="South Korea",korea_mid_load,load_mid)*IF(ABS(MOD(ABS((L44*M44*IF(B44="South Korea",korea_mid_revleg,revleg_mid))),1)-0.5)&lt;1E-9,2*ROUND((L44*M44*IF(B44="South Korea",korea_mid_revleg,revleg_mid))/2,0),ROUND((L44*M44*IF(B44="South Korea",korea_mid_revleg,revleg_mid)),0)))-(((battery/range_nm)*D44*IF(ABS(MOD(ABS((L44*M44*IF(B44="South Korea",korea_mid_revleg,revleg_mid))),1)-0.5)&lt;1E-9,2*ROUND((L44*M44*IF(B44="South Korea",korea_mid_revleg,revleg_mid))/2,0),ROUND((L44*M44*IF(B44="South Korea",korea_mid_revleg,revleg_mid)),0))*VLOOKUP(B44,country_opex,3,FALSE))+W44+X44+Y44+Z44+AA44)))</f>
        <v/>
      </c>
      <c r="AX44" s="45">
        <f>IF(((T44*pax_cap*load_full*IF(ABS(MOD(ABS((L44*M44*revleg_full)),1)-0.5)&lt;1E-9,2*ROUND((L44*M44*revleg_full)/2,0),ROUND((L44*M44*revleg_full),0)))-(((battery/range_nm)*D44*IF(ABS(MOD(ABS((L44*M44*revleg_full)),1)-0.5)&lt;1E-9,2*ROUND((L44*M44*revleg_full)/2,0),ROUND((L44*M44*revleg_full),0))*VLOOKUP(B44,country_opex,3,FALSE))+W44+X44+Y44+Z44+AA44))&lt;=0,"",VLOOKUP(B44,country_opex,7,FALSE)/((T44*pax_cap*load_full*IF(ABS(MOD(ABS((L44*M44*revleg_full)),1)-0.5)&lt;1E-9,2*ROUND((L44*M44*revleg_full)/2,0),ROUND((L44*M44*revleg_full),0)))-(((battery/range_nm)*D44*IF(ABS(MOD(ABS((L44*M44*revleg_full)),1)-0.5)&lt;1E-9,2*ROUND((L44*M44*revleg_full)/2,0),ROUND((L44*M44*revleg_full),0))*VLOOKUP(B44,country_opex,3,FALSE))+W44+X44+Y44+Z44+AA44)))</f>
        <v/>
      </c>
      <c r="AY44" s="46" t="n"/>
      <c r="AZ44" s="46" t="n"/>
      <c r="BA44" s="34" t="inlineStr">
        <is>
          <t>rn-46bf5bf09b13</t>
        </is>
      </c>
    </row>
    <row r="45">
      <c r="A45" s="31" t="inlineStr">
        <is>
          <t>Gulf Authority Bahrain Motc</t>
        </is>
      </c>
      <c r="B45" s="31" t="inlineStr">
        <is>
          <t>United Arab Emirates</t>
        </is>
      </c>
      <c r="C45" s="32" t="inlineStr">
        <is>
          <t>Dubai Harbour Marina → Wynn Al Marjan Island arrival lagoon</t>
        </is>
      </c>
      <c r="D45" s="33" t="n">
        <v>49.8</v>
      </c>
      <c r="E45" s="27" t="n"/>
      <c r="F45" s="34" t="n"/>
      <c r="G45" s="34" t="n"/>
      <c r="H45" s="20" t="n">
        <v>1</v>
      </c>
      <c r="I45" s="35">
        <f>60*D45/cruise_kt</f>
        <v/>
      </c>
      <c r="J45" s="35">
        <f>IF(B45="South Korea",D45/korea_charge_range_nm*korea_full_range_charge_min,0)</f>
        <v/>
      </c>
      <c r="K45" s="35">
        <f>IF(B45="South Korea",I45+korea_turn_min+korea_dwell_min+J45,I45+turn_min+dwell_min)</f>
        <v/>
      </c>
      <c r="L45" s="36">
        <f>IF(B45="South Korea",FLOOR(60*korea_service_hr/K45,1),MIN(15,FLOOR(60*service_hr/K45,1)))</f>
        <v/>
      </c>
      <c r="M45" s="36">
        <f>IF(ABS(MOD(ABS((365*mech_uptime*H45)),1)-0.5)&lt;1E-9,2*ROUND((365*mech_uptime*H45)/2,0),ROUND((365*mech_uptime*H45),0))</f>
        <v/>
      </c>
      <c r="N45" s="37">
        <f>mech_uptime</f>
        <v/>
      </c>
      <c r="O45" s="37">
        <f>IF(AND(B45="South Korea",scenario="MID"),korea_mid_revleg,revleg_sel)</f>
        <v/>
      </c>
      <c r="P45" s="36">
        <f>IF(ABS(MOD(ABS((L45*M45*O45)),1)-0.5)&lt;1E-9,2*ROUND((L45*M45*O45)/2,0),ROUND((L45*M45*O45),0))</f>
        <v/>
      </c>
      <c r="Q45" s="37">
        <f>IF(AND(B45="South Korea",scenario="MID"),korea_mid_load,load_sel)</f>
        <v/>
      </c>
      <c r="R45" s="38">
        <f>pax_cap*Q45</f>
        <v/>
      </c>
      <c r="S45" s="36">
        <f>R45*P45</f>
        <v/>
      </c>
      <c r="T45" s="39">
        <f>E45*discount</f>
        <v/>
      </c>
      <c r="U45" s="40">
        <f>T45*S45</f>
        <v/>
      </c>
      <c r="V45" s="40">
        <f>(battery/range_nm)*D45*P45*VLOOKUP(B45,country_opex,3,FALSE)</f>
        <v/>
      </c>
      <c r="W45" s="40">
        <f>VLOOKUP(B45,country_opex,2,FALSE)*crew_factor</f>
        <v/>
      </c>
      <c r="X45" s="40">
        <f>VLOOKUP(B45,country_opex,5,FALSE)</f>
        <v/>
      </c>
      <c r="Y45" s="40">
        <f>maint</f>
        <v/>
      </c>
      <c r="Z45" s="40">
        <f>VLOOKUP(B45,country_opex,7,FALSE)*ins_pct</f>
        <v/>
      </c>
      <c r="AA45" s="40">
        <f>charge_berth</f>
        <v/>
      </c>
      <c r="AB45" s="40">
        <f>V45+W45+X45+Y45+Z45+AA45</f>
        <v/>
      </c>
      <c r="AC45" s="40">
        <f>VLOOKUP(B45,country_opex,7,FALSE)/dep_years</f>
        <v/>
      </c>
      <c r="AD45" s="40">
        <f>U45-AB45</f>
        <v/>
      </c>
      <c r="AE45" s="37">
        <f>IF(U45=0,"",AD45/U45)</f>
        <v/>
      </c>
      <c r="AF45" s="38">
        <f>IF(AD45&lt;=0,"",VLOOKUP(B45,country_opex,7,FALSE)/AD45)</f>
        <v/>
      </c>
      <c r="AG45" s="35">
        <f>((D45*P45/diesel_nmpg)*diesel_co2pg-(battery/range_nm)*D45*P45*VLOOKUP(B45,country_opex,4,FALSE))/1000</f>
        <v/>
      </c>
      <c r="AH45" s="33" t="n"/>
      <c r="AI45" s="34" t="n"/>
      <c r="AJ45" s="34" t="n"/>
      <c r="AK45" s="41" t="n">
        <v>0.1</v>
      </c>
      <c r="AL45" s="36">
        <f>IF(AH45="","",AH45*AK45)</f>
        <v/>
      </c>
      <c r="AM45" s="36">
        <f>IF(OR(AH45="",S45=0),"",MIN(IF(AU45="",9.9E+99,AU45),FLOOR(AL45/S45,1)))</f>
        <v/>
      </c>
      <c r="AN45" s="40">
        <f>IF(AM45="","",AM45*IF(ABS(MOD(ABS((U45)),1)-0.5)&lt;1E-9,2*ROUND((U45)/2,0),ROUND((U45),0)))</f>
        <v/>
      </c>
      <c r="AO45" s="38">
        <f>IF(OR(AH45="",S45=0),"",MIN(IF(AU45="",9.9E+99,AU45),AL45/S45))</f>
        <v/>
      </c>
      <c r="AP45" s="40">
        <f>IF(AO45="","",AO45*IF(B45="South Korea",IF(ABS(MOD(ABS((U45)),1)-0.5)&lt;1E-9,2*ROUND((U45)/2,0),ROUND((U45),0)),U45))</f>
        <v/>
      </c>
      <c r="AQ45" s="42" t="n"/>
      <c r="AR45" s="34" t="inlineStr">
        <is>
          <t>Estimated</t>
        </is>
      </c>
      <c r="AS45" s="43" t="n"/>
      <c r="AT45" s="43" t="n"/>
      <c r="AU45" s="44" t="n"/>
      <c r="AV45" s="45">
        <f>IF(((T45*pax_cap*load_thin*IF(ABS(MOD(ABS((L45*M45*revleg_thin)),1)-0.5)&lt;1E-9,2*ROUND((L45*M45*revleg_thin)/2,0),ROUND((L45*M45*revleg_thin),0)))-(((battery/range_nm)*D45*IF(ABS(MOD(ABS((L45*M45*revleg_thin)),1)-0.5)&lt;1E-9,2*ROUND((L45*M45*revleg_thin)/2,0),ROUND((L45*M45*revleg_thin),0))*VLOOKUP(B45,country_opex,3,FALSE))+W45+X45+Y45+Z45+AA45))&lt;=0,"",VLOOKUP(B45,country_opex,7,FALSE)/((T45*pax_cap*load_thin*IF(ABS(MOD(ABS((L45*M45*revleg_thin)),1)-0.5)&lt;1E-9,2*ROUND((L45*M45*revleg_thin)/2,0),ROUND((L45*M45*revleg_thin),0)))-(((battery/range_nm)*D45*IF(ABS(MOD(ABS((L45*M45*revleg_thin)),1)-0.5)&lt;1E-9,2*ROUND((L45*M45*revleg_thin)/2,0),ROUND((L45*M45*revleg_thin),0))*VLOOKUP(B45,country_opex,3,FALSE))+W45+X45+Y45+Z45+AA45)))</f>
        <v/>
      </c>
      <c r="AW45" s="45">
        <f>IF(((T45*pax_cap*IF(B45="South Korea",korea_mid_load,load_mid)*IF(ABS(MOD(ABS((L45*M45*IF(B45="South Korea",korea_mid_revleg,revleg_mid))),1)-0.5)&lt;1E-9,2*ROUND((L45*M45*IF(B45="South Korea",korea_mid_revleg,revleg_mid))/2,0),ROUND((L45*M45*IF(B45="South Korea",korea_mid_revleg,revleg_mid)),0)))-(((battery/range_nm)*D45*IF(ABS(MOD(ABS((L45*M45*IF(B45="South Korea",korea_mid_revleg,revleg_mid))),1)-0.5)&lt;1E-9,2*ROUND((L45*M45*IF(B45="South Korea",korea_mid_revleg,revleg_mid))/2,0),ROUND((L45*M45*IF(B45="South Korea",korea_mid_revleg,revleg_mid)),0))*VLOOKUP(B45,country_opex,3,FALSE))+W45+X45+Y45+Z45+AA45))&lt;=0,"",VLOOKUP(B45,country_opex,7,FALSE)/((T45*pax_cap*IF(B45="South Korea",korea_mid_load,load_mid)*IF(ABS(MOD(ABS((L45*M45*IF(B45="South Korea",korea_mid_revleg,revleg_mid))),1)-0.5)&lt;1E-9,2*ROUND((L45*M45*IF(B45="South Korea",korea_mid_revleg,revleg_mid))/2,0),ROUND((L45*M45*IF(B45="South Korea",korea_mid_revleg,revleg_mid)),0)))-(((battery/range_nm)*D45*IF(ABS(MOD(ABS((L45*M45*IF(B45="South Korea",korea_mid_revleg,revleg_mid))),1)-0.5)&lt;1E-9,2*ROUND((L45*M45*IF(B45="South Korea",korea_mid_revleg,revleg_mid))/2,0),ROUND((L45*M45*IF(B45="South Korea",korea_mid_revleg,revleg_mid)),0))*VLOOKUP(B45,country_opex,3,FALSE))+W45+X45+Y45+Z45+AA45)))</f>
        <v/>
      </c>
      <c r="AX45" s="45">
        <f>IF(((T45*pax_cap*load_full*IF(ABS(MOD(ABS((L45*M45*revleg_full)),1)-0.5)&lt;1E-9,2*ROUND((L45*M45*revleg_full)/2,0),ROUND((L45*M45*revleg_full),0)))-(((battery/range_nm)*D45*IF(ABS(MOD(ABS((L45*M45*revleg_full)),1)-0.5)&lt;1E-9,2*ROUND((L45*M45*revleg_full)/2,0),ROUND((L45*M45*revleg_full),0))*VLOOKUP(B45,country_opex,3,FALSE))+W45+X45+Y45+Z45+AA45))&lt;=0,"",VLOOKUP(B45,country_opex,7,FALSE)/((T45*pax_cap*load_full*IF(ABS(MOD(ABS((L45*M45*revleg_full)),1)-0.5)&lt;1E-9,2*ROUND((L45*M45*revleg_full)/2,0),ROUND((L45*M45*revleg_full),0)))-(((battery/range_nm)*D45*IF(ABS(MOD(ABS((L45*M45*revleg_full)),1)-0.5)&lt;1E-9,2*ROUND((L45*M45*revleg_full)/2,0),ROUND((L45*M45*revleg_full),0))*VLOOKUP(B45,country_opex,3,FALSE))+W45+X45+Y45+Z45+AA45)))</f>
        <v/>
      </c>
      <c r="AY45" s="46" t="n"/>
      <c r="AZ45" s="46" t="n"/>
      <c r="BA45" s="34" t="inlineStr">
        <is>
          <t>gcn-9e515da38a-bolt</t>
        </is>
      </c>
    </row>
    <row r="46">
      <c r="A46" s="31" t="inlineStr">
        <is>
          <t>Gulf Authority Bahrain Motc</t>
        </is>
      </c>
      <c r="B46" s="31" t="inlineStr">
        <is>
          <t>United Arab Emirates</t>
        </is>
      </c>
      <c r="C46" s="32" t="inlineStr">
        <is>
          <t>Ras Al Khaimah → Dubai Islands Marina</t>
        </is>
      </c>
      <c r="D46" s="33" t="n">
        <v>50</v>
      </c>
      <c r="E46" s="27" t="n"/>
      <c r="F46" s="34" t="n"/>
      <c r="G46" s="34" t="n"/>
      <c r="H46" s="20" t="n">
        <v>1</v>
      </c>
      <c r="I46" s="35">
        <f>60*D46/cruise_kt</f>
        <v/>
      </c>
      <c r="J46" s="35">
        <f>IF(B46="South Korea",D46/korea_charge_range_nm*korea_full_range_charge_min,0)</f>
        <v/>
      </c>
      <c r="K46" s="35">
        <f>IF(B46="South Korea",I46+korea_turn_min+korea_dwell_min+J46,I46+turn_min+dwell_min)</f>
        <v/>
      </c>
      <c r="L46" s="36">
        <f>IF(B46="South Korea",FLOOR(60*korea_service_hr/K46,1),MIN(15,FLOOR(60*service_hr/K46,1)))</f>
        <v/>
      </c>
      <c r="M46" s="36">
        <f>IF(ABS(MOD(ABS((365*mech_uptime*H46)),1)-0.5)&lt;1E-9,2*ROUND((365*mech_uptime*H46)/2,0),ROUND((365*mech_uptime*H46),0))</f>
        <v/>
      </c>
      <c r="N46" s="37">
        <f>mech_uptime</f>
        <v/>
      </c>
      <c r="O46" s="37">
        <f>IF(AND(B46="South Korea",scenario="MID"),korea_mid_revleg,revleg_sel)</f>
        <v/>
      </c>
      <c r="P46" s="36">
        <f>IF(ABS(MOD(ABS((L46*M46*O46)),1)-0.5)&lt;1E-9,2*ROUND((L46*M46*O46)/2,0),ROUND((L46*M46*O46),0))</f>
        <v/>
      </c>
      <c r="Q46" s="37">
        <f>IF(AND(B46="South Korea",scenario="MID"),korea_mid_load,load_sel)</f>
        <v/>
      </c>
      <c r="R46" s="38">
        <f>pax_cap*Q46</f>
        <v/>
      </c>
      <c r="S46" s="36">
        <f>R46*P46</f>
        <v/>
      </c>
      <c r="T46" s="39">
        <f>E46*discount</f>
        <v/>
      </c>
      <c r="U46" s="40">
        <f>T46*S46</f>
        <v/>
      </c>
      <c r="V46" s="40">
        <f>(battery/range_nm)*D46*P46*VLOOKUP(B46,country_opex,3,FALSE)</f>
        <v/>
      </c>
      <c r="W46" s="40">
        <f>VLOOKUP(B46,country_opex,2,FALSE)*crew_factor</f>
        <v/>
      </c>
      <c r="X46" s="40">
        <f>VLOOKUP(B46,country_opex,5,FALSE)</f>
        <v/>
      </c>
      <c r="Y46" s="40">
        <f>maint</f>
        <v/>
      </c>
      <c r="Z46" s="40">
        <f>VLOOKUP(B46,country_opex,7,FALSE)*ins_pct</f>
        <v/>
      </c>
      <c r="AA46" s="40">
        <f>charge_berth</f>
        <v/>
      </c>
      <c r="AB46" s="40">
        <f>V46+W46+X46+Y46+Z46+AA46</f>
        <v/>
      </c>
      <c r="AC46" s="40">
        <f>VLOOKUP(B46,country_opex,7,FALSE)/dep_years</f>
        <v/>
      </c>
      <c r="AD46" s="40">
        <f>U46-AB46</f>
        <v/>
      </c>
      <c r="AE46" s="37">
        <f>IF(U46=0,"",AD46/U46)</f>
        <v/>
      </c>
      <c r="AF46" s="38">
        <f>IF(AD46&lt;=0,"",VLOOKUP(B46,country_opex,7,FALSE)/AD46)</f>
        <v/>
      </c>
      <c r="AG46" s="35">
        <f>((D46*P46/diesel_nmpg)*diesel_co2pg-(battery/range_nm)*D46*P46*VLOOKUP(B46,country_opex,4,FALSE))/1000</f>
        <v/>
      </c>
      <c r="AH46" s="33" t="n"/>
      <c r="AI46" s="34" t="n"/>
      <c r="AJ46" s="34" t="n"/>
      <c r="AK46" s="41" t="n">
        <v>0.1</v>
      </c>
      <c r="AL46" s="36">
        <f>IF(AH46="","",AH46*AK46)</f>
        <v/>
      </c>
      <c r="AM46" s="36">
        <f>IF(OR(AH46="",S46=0),"",MIN(IF(AU46="",9.9E+99,AU46),FLOOR(AL46/S46,1)))</f>
        <v/>
      </c>
      <c r="AN46" s="40">
        <f>IF(AM46="","",AM46*IF(ABS(MOD(ABS((U46)),1)-0.5)&lt;1E-9,2*ROUND((U46)/2,0),ROUND((U46),0)))</f>
        <v/>
      </c>
      <c r="AO46" s="38">
        <f>IF(OR(AH46="",S46=0),"",MIN(IF(AU46="",9.9E+99,AU46),AL46/S46))</f>
        <v/>
      </c>
      <c r="AP46" s="40">
        <f>IF(AO46="","",AO46*IF(B46="South Korea",IF(ABS(MOD(ABS((U46)),1)-0.5)&lt;1E-9,2*ROUND((U46)/2,0),ROUND((U46),0)),U46))</f>
        <v/>
      </c>
      <c r="AQ46" s="42" t="n"/>
      <c r="AR46" s="34" t="inlineStr">
        <is>
          <t>Estimated</t>
        </is>
      </c>
      <c r="AS46" s="43" t="n"/>
      <c r="AT46" s="43" t="n"/>
      <c r="AU46" s="44" t="n"/>
      <c r="AV46" s="45">
        <f>IF(((T46*pax_cap*load_thin*IF(ABS(MOD(ABS((L46*M46*revleg_thin)),1)-0.5)&lt;1E-9,2*ROUND((L46*M46*revleg_thin)/2,0),ROUND((L46*M46*revleg_thin),0)))-(((battery/range_nm)*D46*IF(ABS(MOD(ABS((L46*M46*revleg_thin)),1)-0.5)&lt;1E-9,2*ROUND((L46*M46*revleg_thin)/2,0),ROUND((L46*M46*revleg_thin),0))*VLOOKUP(B46,country_opex,3,FALSE))+W46+X46+Y46+Z46+AA46))&lt;=0,"",VLOOKUP(B46,country_opex,7,FALSE)/((T46*pax_cap*load_thin*IF(ABS(MOD(ABS((L46*M46*revleg_thin)),1)-0.5)&lt;1E-9,2*ROUND((L46*M46*revleg_thin)/2,0),ROUND((L46*M46*revleg_thin),0)))-(((battery/range_nm)*D46*IF(ABS(MOD(ABS((L46*M46*revleg_thin)),1)-0.5)&lt;1E-9,2*ROUND((L46*M46*revleg_thin)/2,0),ROUND((L46*M46*revleg_thin),0))*VLOOKUP(B46,country_opex,3,FALSE))+W46+X46+Y46+Z46+AA46)))</f>
        <v/>
      </c>
      <c r="AW46" s="45">
        <f>IF(((T46*pax_cap*IF(B46="South Korea",korea_mid_load,load_mid)*IF(ABS(MOD(ABS((L46*M46*IF(B46="South Korea",korea_mid_revleg,revleg_mid))),1)-0.5)&lt;1E-9,2*ROUND((L46*M46*IF(B46="South Korea",korea_mid_revleg,revleg_mid))/2,0),ROUND((L46*M46*IF(B46="South Korea",korea_mid_revleg,revleg_mid)),0)))-(((battery/range_nm)*D46*IF(ABS(MOD(ABS((L46*M46*IF(B46="South Korea",korea_mid_revleg,revleg_mid))),1)-0.5)&lt;1E-9,2*ROUND((L46*M46*IF(B46="South Korea",korea_mid_revleg,revleg_mid))/2,0),ROUND((L46*M46*IF(B46="South Korea",korea_mid_revleg,revleg_mid)),0))*VLOOKUP(B46,country_opex,3,FALSE))+W46+X46+Y46+Z46+AA46))&lt;=0,"",VLOOKUP(B46,country_opex,7,FALSE)/((T46*pax_cap*IF(B46="South Korea",korea_mid_load,load_mid)*IF(ABS(MOD(ABS((L46*M46*IF(B46="South Korea",korea_mid_revleg,revleg_mid))),1)-0.5)&lt;1E-9,2*ROUND((L46*M46*IF(B46="South Korea",korea_mid_revleg,revleg_mid))/2,0),ROUND((L46*M46*IF(B46="South Korea",korea_mid_revleg,revleg_mid)),0)))-(((battery/range_nm)*D46*IF(ABS(MOD(ABS((L46*M46*IF(B46="South Korea",korea_mid_revleg,revleg_mid))),1)-0.5)&lt;1E-9,2*ROUND((L46*M46*IF(B46="South Korea",korea_mid_revleg,revleg_mid))/2,0),ROUND((L46*M46*IF(B46="South Korea",korea_mid_revleg,revleg_mid)),0))*VLOOKUP(B46,country_opex,3,FALSE))+W46+X46+Y46+Z46+AA46)))</f>
        <v/>
      </c>
      <c r="AX46" s="45">
        <f>IF(((T46*pax_cap*load_full*IF(ABS(MOD(ABS((L46*M46*revleg_full)),1)-0.5)&lt;1E-9,2*ROUND((L46*M46*revleg_full)/2,0),ROUND((L46*M46*revleg_full),0)))-(((battery/range_nm)*D46*IF(ABS(MOD(ABS((L46*M46*revleg_full)),1)-0.5)&lt;1E-9,2*ROUND((L46*M46*revleg_full)/2,0),ROUND((L46*M46*revleg_full),0))*VLOOKUP(B46,country_opex,3,FALSE))+W46+X46+Y46+Z46+AA46))&lt;=0,"",VLOOKUP(B46,country_opex,7,FALSE)/((T46*pax_cap*load_full*IF(ABS(MOD(ABS((L46*M46*revleg_full)),1)-0.5)&lt;1E-9,2*ROUND((L46*M46*revleg_full)/2,0),ROUND((L46*M46*revleg_full),0)))-(((battery/range_nm)*D46*IF(ABS(MOD(ABS((L46*M46*revleg_full)),1)-0.5)&lt;1E-9,2*ROUND((L46*M46*revleg_full)/2,0),ROUND((L46*M46*revleg_full),0))*VLOOKUP(B46,country_opex,3,FALSE))+W46+X46+Y46+Z46+AA46)))</f>
        <v/>
      </c>
      <c r="AY46" s="46" t="n"/>
      <c r="AZ46" s="46" t="n"/>
      <c r="BA46" s="34" t="inlineStr">
        <is>
          <t>rn-8bc1e153cdc4</t>
        </is>
      </c>
    </row>
    <row r="47">
      <c r="A47" s="31" t="inlineStr">
        <is>
          <t>Gulf Authority Bahrain Motc</t>
        </is>
      </c>
      <c r="B47" s="31" t="inlineStr">
        <is>
          <t>United Arab Emirates</t>
        </is>
      </c>
      <c r="C47" s="32" t="inlineStr">
        <is>
          <t>Ras Al Khaimah → Fujairah</t>
        </is>
      </c>
      <c r="D47" s="33" t="n">
        <v>54.7</v>
      </c>
      <c r="E47" s="27" t="n"/>
      <c r="F47" s="34" t="n"/>
      <c r="G47" s="34" t="n"/>
      <c r="H47" s="20" t="n">
        <v>1</v>
      </c>
      <c r="I47" s="35">
        <f>60*D47/cruise_kt</f>
        <v/>
      </c>
      <c r="J47" s="35">
        <f>IF(B47="South Korea",D47/korea_charge_range_nm*korea_full_range_charge_min,0)</f>
        <v/>
      </c>
      <c r="K47" s="35">
        <f>IF(B47="South Korea",I47+korea_turn_min+korea_dwell_min+J47,I47+turn_min+dwell_min)</f>
        <v/>
      </c>
      <c r="L47" s="36">
        <f>IF(B47="South Korea",FLOOR(60*korea_service_hr/K47,1),MIN(15,FLOOR(60*service_hr/K47,1)))</f>
        <v/>
      </c>
      <c r="M47" s="36">
        <f>IF(ABS(MOD(ABS((365*mech_uptime*H47)),1)-0.5)&lt;1E-9,2*ROUND((365*mech_uptime*H47)/2,0),ROUND((365*mech_uptime*H47),0))</f>
        <v/>
      </c>
      <c r="N47" s="37">
        <f>mech_uptime</f>
        <v/>
      </c>
      <c r="O47" s="37">
        <f>IF(AND(B47="South Korea",scenario="MID"),korea_mid_revleg,revleg_sel)</f>
        <v/>
      </c>
      <c r="P47" s="36">
        <f>IF(ABS(MOD(ABS((L47*M47*O47)),1)-0.5)&lt;1E-9,2*ROUND((L47*M47*O47)/2,0),ROUND((L47*M47*O47),0))</f>
        <v/>
      </c>
      <c r="Q47" s="37">
        <f>IF(AND(B47="South Korea",scenario="MID"),korea_mid_load,load_sel)</f>
        <v/>
      </c>
      <c r="R47" s="38">
        <f>pax_cap*Q47</f>
        <v/>
      </c>
      <c r="S47" s="36">
        <f>R47*P47</f>
        <v/>
      </c>
      <c r="T47" s="39">
        <f>E47*discount</f>
        <v/>
      </c>
      <c r="U47" s="40">
        <f>T47*S47</f>
        <v/>
      </c>
      <c r="V47" s="40">
        <f>(battery/range_nm)*D47*P47*VLOOKUP(B47,country_opex,3,FALSE)</f>
        <v/>
      </c>
      <c r="W47" s="40">
        <f>VLOOKUP(B47,country_opex,2,FALSE)*crew_factor</f>
        <v/>
      </c>
      <c r="X47" s="40">
        <f>VLOOKUP(B47,country_opex,5,FALSE)</f>
        <v/>
      </c>
      <c r="Y47" s="40">
        <f>maint</f>
        <v/>
      </c>
      <c r="Z47" s="40">
        <f>VLOOKUP(B47,country_opex,7,FALSE)*ins_pct</f>
        <v/>
      </c>
      <c r="AA47" s="40">
        <f>charge_berth</f>
        <v/>
      </c>
      <c r="AB47" s="40">
        <f>V47+W47+X47+Y47+Z47+AA47</f>
        <v/>
      </c>
      <c r="AC47" s="40">
        <f>VLOOKUP(B47,country_opex,7,FALSE)/dep_years</f>
        <v/>
      </c>
      <c r="AD47" s="40">
        <f>U47-AB47</f>
        <v/>
      </c>
      <c r="AE47" s="37">
        <f>IF(U47=0,"",AD47/U47)</f>
        <v/>
      </c>
      <c r="AF47" s="38">
        <f>IF(AD47&lt;=0,"",VLOOKUP(B47,country_opex,7,FALSE)/AD47)</f>
        <v/>
      </c>
      <c r="AG47" s="35">
        <f>((D47*P47/diesel_nmpg)*diesel_co2pg-(battery/range_nm)*D47*P47*VLOOKUP(B47,country_opex,4,FALSE))/1000</f>
        <v/>
      </c>
      <c r="AH47" s="33" t="n"/>
      <c r="AI47" s="34" t="n"/>
      <c r="AJ47" s="34" t="n"/>
      <c r="AK47" s="41" t="n">
        <v>0.1</v>
      </c>
      <c r="AL47" s="36">
        <f>IF(AH47="","",AH47*AK47)</f>
        <v/>
      </c>
      <c r="AM47" s="36">
        <f>IF(OR(AH47="",S47=0),"",MIN(IF(AU47="",9.9E+99,AU47),FLOOR(AL47/S47,1)))</f>
        <v/>
      </c>
      <c r="AN47" s="40">
        <f>IF(AM47="","",AM47*IF(ABS(MOD(ABS((U47)),1)-0.5)&lt;1E-9,2*ROUND((U47)/2,0),ROUND((U47),0)))</f>
        <v/>
      </c>
      <c r="AO47" s="38">
        <f>IF(OR(AH47="",S47=0),"",MIN(IF(AU47="",9.9E+99,AU47),AL47/S47))</f>
        <v/>
      </c>
      <c r="AP47" s="40">
        <f>IF(AO47="","",AO47*IF(B47="South Korea",IF(ABS(MOD(ABS((U47)),1)-0.5)&lt;1E-9,2*ROUND((U47)/2,0),ROUND((U47),0)),U47))</f>
        <v/>
      </c>
      <c r="AQ47" s="42" t="n"/>
      <c r="AR47" s="34" t="inlineStr">
        <is>
          <t>Estimated</t>
        </is>
      </c>
      <c r="AS47" s="43" t="n"/>
      <c r="AT47" s="43" t="n"/>
      <c r="AU47" s="44" t="n"/>
      <c r="AV47" s="45">
        <f>IF(((T47*pax_cap*load_thin*IF(ABS(MOD(ABS((L47*M47*revleg_thin)),1)-0.5)&lt;1E-9,2*ROUND((L47*M47*revleg_thin)/2,0),ROUND((L47*M47*revleg_thin),0)))-(((battery/range_nm)*D47*IF(ABS(MOD(ABS((L47*M47*revleg_thin)),1)-0.5)&lt;1E-9,2*ROUND((L47*M47*revleg_thin)/2,0),ROUND((L47*M47*revleg_thin),0))*VLOOKUP(B47,country_opex,3,FALSE))+W47+X47+Y47+Z47+AA47))&lt;=0,"",VLOOKUP(B47,country_opex,7,FALSE)/((T47*pax_cap*load_thin*IF(ABS(MOD(ABS((L47*M47*revleg_thin)),1)-0.5)&lt;1E-9,2*ROUND((L47*M47*revleg_thin)/2,0),ROUND((L47*M47*revleg_thin),0)))-(((battery/range_nm)*D47*IF(ABS(MOD(ABS((L47*M47*revleg_thin)),1)-0.5)&lt;1E-9,2*ROUND((L47*M47*revleg_thin)/2,0),ROUND((L47*M47*revleg_thin),0))*VLOOKUP(B47,country_opex,3,FALSE))+W47+X47+Y47+Z47+AA47)))</f>
        <v/>
      </c>
      <c r="AW47" s="45">
        <f>IF(((T47*pax_cap*IF(B47="South Korea",korea_mid_load,load_mid)*IF(ABS(MOD(ABS((L47*M47*IF(B47="South Korea",korea_mid_revleg,revleg_mid))),1)-0.5)&lt;1E-9,2*ROUND((L47*M47*IF(B47="South Korea",korea_mid_revleg,revleg_mid))/2,0),ROUND((L47*M47*IF(B47="South Korea",korea_mid_revleg,revleg_mid)),0)))-(((battery/range_nm)*D47*IF(ABS(MOD(ABS((L47*M47*IF(B47="South Korea",korea_mid_revleg,revleg_mid))),1)-0.5)&lt;1E-9,2*ROUND((L47*M47*IF(B47="South Korea",korea_mid_revleg,revleg_mid))/2,0),ROUND((L47*M47*IF(B47="South Korea",korea_mid_revleg,revleg_mid)),0))*VLOOKUP(B47,country_opex,3,FALSE))+W47+X47+Y47+Z47+AA47))&lt;=0,"",VLOOKUP(B47,country_opex,7,FALSE)/((T47*pax_cap*IF(B47="South Korea",korea_mid_load,load_mid)*IF(ABS(MOD(ABS((L47*M47*IF(B47="South Korea",korea_mid_revleg,revleg_mid))),1)-0.5)&lt;1E-9,2*ROUND((L47*M47*IF(B47="South Korea",korea_mid_revleg,revleg_mid))/2,0),ROUND((L47*M47*IF(B47="South Korea",korea_mid_revleg,revleg_mid)),0)))-(((battery/range_nm)*D47*IF(ABS(MOD(ABS((L47*M47*IF(B47="South Korea",korea_mid_revleg,revleg_mid))),1)-0.5)&lt;1E-9,2*ROUND((L47*M47*IF(B47="South Korea",korea_mid_revleg,revleg_mid))/2,0),ROUND((L47*M47*IF(B47="South Korea",korea_mid_revleg,revleg_mid)),0))*VLOOKUP(B47,country_opex,3,FALSE))+W47+X47+Y47+Z47+AA47)))</f>
        <v/>
      </c>
      <c r="AX47" s="45">
        <f>IF(((T47*pax_cap*load_full*IF(ABS(MOD(ABS((L47*M47*revleg_full)),1)-0.5)&lt;1E-9,2*ROUND((L47*M47*revleg_full)/2,0),ROUND((L47*M47*revleg_full),0)))-(((battery/range_nm)*D47*IF(ABS(MOD(ABS((L47*M47*revleg_full)),1)-0.5)&lt;1E-9,2*ROUND((L47*M47*revleg_full)/2,0),ROUND((L47*M47*revleg_full),0))*VLOOKUP(B47,country_opex,3,FALSE))+W47+X47+Y47+Z47+AA47))&lt;=0,"",VLOOKUP(B47,country_opex,7,FALSE)/((T47*pax_cap*load_full*IF(ABS(MOD(ABS((L47*M47*revleg_full)),1)-0.5)&lt;1E-9,2*ROUND((L47*M47*revleg_full)/2,0),ROUND((L47*M47*revleg_full),0)))-(((battery/range_nm)*D47*IF(ABS(MOD(ABS((L47*M47*revleg_full)),1)-0.5)&lt;1E-9,2*ROUND((L47*M47*revleg_full)/2,0),ROUND((L47*M47*revleg_full),0))*VLOOKUP(B47,country_opex,3,FALSE))+W47+X47+Y47+Z47+AA47)))</f>
        <v/>
      </c>
      <c r="AY47" s="46" t="n"/>
      <c r="AZ47" s="46" t="n"/>
      <c r="BA47" s="34" t="inlineStr">
        <is>
          <t>rn-5bac21e43fcb</t>
        </is>
      </c>
    </row>
    <row r="48">
      <c r="A48" s="47" t="inlineStr">
        <is>
          <t>TOTAL / median</t>
        </is>
      </c>
      <c r="U48" s="48">
        <f>SUM(U4:U47)</f>
        <v/>
      </c>
      <c r="AD48" s="48">
        <f>SUM(AD4:AD47)</f>
        <v/>
      </c>
      <c r="AE48" s="49">
        <f>IF(U48=0,"",AD48/U48)</f>
        <v/>
      </c>
      <c r="AM48" s="50">
        <f>SUM(AM4:AM47)</f>
        <v/>
      </c>
      <c r="AN48" s="48">
        <f>SUM(AN4:AN47)</f>
        <v/>
      </c>
    </row>
    <row r="50">
      <c r="A50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51">
      <c r="A51" s="25" t="inlineStr">
        <is>
          <t>Market</t>
        </is>
      </c>
      <c r="B51" s="25" t="inlineStr">
        <is>
          <t>Fleet basis</t>
        </is>
      </c>
      <c r="C51" s="25" t="inlineStr">
        <is>
          <t>Raw vessels (sum)</t>
        </is>
      </c>
      <c r="D51" s="25" t="inlineStr">
        <is>
          <t>Fleet (rounded once)</t>
        </is>
      </c>
      <c r="E51" s="25" t="inlineStr">
        <is>
          <t>Market rev/yr (raw sum)</t>
        </is>
      </c>
    </row>
    <row r="52">
      <c r="A52" s="26" t="inlineStr">
        <is>
          <t>Gulf Authority Bahrain Motc</t>
        </is>
      </c>
      <c r="B52" s="14" t="inlineStr">
        <is>
          <t>network_sum / ceil</t>
        </is>
      </c>
      <c r="C52" s="24">
        <f>SUMIFS(AO4:AO47,A4:A47,"Gulf Authority Bahrain Motc",AQ4:AQ47,"=",AR4:AR47,"Grounded")</f>
        <v/>
      </c>
      <c r="D52" s="51">
        <f>IF(C52=0,0,CEILING(C52,1))</f>
        <v/>
      </c>
      <c r="E52" s="52">
        <f>SUMIFS(AP4:AP47,A4:A47,"Gulf Authority Bahrain Motc",AQ4:AQ47,"=",AR4:AR47,"Grounded")</f>
        <v/>
      </c>
    </row>
    <row r="53">
      <c r="A53" s="47" t="inlineStr">
        <is>
          <t>GROUNDED FLOOR (PUBLISHED)</t>
        </is>
      </c>
      <c r="D53" s="50">
        <f>SUM(D52:D52)</f>
        <v/>
      </c>
      <c r="E53" s="48">
        <f>SUM(E52:E52)</f>
        <v/>
      </c>
    </row>
    <row r="54">
      <c r="A54" s="21" t="inlineStr">
        <is>
          <t>ESTIMATED DEMAND (country-median cascade; held OUT of grounded floor)</t>
        </is>
      </c>
      <c r="D54" s="53">
        <f>SUMIF(AR4:AR47,"Estimated",AM4:AM47)</f>
        <v/>
      </c>
      <c r="E54" s="54">
        <f>SUMIF(AR4:AR47,"Estimated",AN4:AN47)</f>
        <v/>
      </c>
    </row>
    <row r="55">
      <c r="A55" s="55" t="inlineStr">
        <is>
          <t>Held for Quanta-LR (&gt;70nm, roadmap H2 2026+):</t>
        </is>
      </c>
      <c r="C55" s="56" t="inlineStr">
        <is>
          <t>Abu Dhabi → Manama (264.1nm)</t>
        </is>
      </c>
    </row>
    <row r="56">
      <c r="C56" s="56" t="inlineStr">
        <is>
          <t>Manama → Doha (98.8nm)</t>
        </is>
      </c>
    </row>
    <row r="57">
      <c r="C57" s="56" t="inlineStr">
        <is>
          <t>Manama → Dubai (290.6nm)</t>
        </is>
      </c>
    </row>
    <row r="58">
      <c r="C58" s="56" t="inlineStr">
        <is>
          <t>Ras Al Khaimah → Abu Dhabi (112.0nm)</t>
        </is>
      </c>
    </row>
    <row r="59">
      <c r="C59" s="56" t="inlineStr">
        <is>
          <t>Ras Al Khaimah → Doha (240.7nm)</t>
        </is>
      </c>
    </row>
    <row r="60">
      <c r="C60" s="56" t="inlineStr">
        <is>
          <t>Ras Al Khaimah → Manama (289.7nm)</t>
        </is>
      </c>
    </row>
    <row r="61">
      <c r="C61" s="56" t="inlineStr">
        <is>
          <t>Ras Al Khaimah → Muscat (263.5nm)</t>
        </is>
      </c>
    </row>
  </sheetData>
  <mergeCells count="2">
    <mergeCell ref="A50:L50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0.15</v>
      </c>
      <c r="C6" s="41" t="n">
        <v>0.25</v>
      </c>
      <c r="D6" s="41" t="n">
        <v>0.4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7">
        <f>som_floor_rev/(ROUND(SUMPRODUCT(--('Corridor economics'!$AR$4:$AR$47="Grounded"),'Corridor economics'!$AH$4:$AH$47,'Corridor economics'!$E$4:$E$47),0))</f>
        <v/>
      </c>
      <c r="E11" s="15" t="inlineStr">
        <is>
          <t>New-entrant ~10%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economics'!$AR$4:$AR$47="Grounded"),'Corridor economics'!$AH$4:$AH$47,'Corridor economics'!$E$4:$E$47),0)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(~10%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(~10%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8" t="inlineStr">
        <is>
          <t>Note</t>
        </is>
      </c>
      <c r="B26" s="59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2026-07-20T06:56:57Z</dcterms:created>
  <dcterms:modified xsi:type="dcterms:W3CDTF">2026-07-20T06:56:57Z</dcterms:modified>
</cp:coreProperties>
</file>