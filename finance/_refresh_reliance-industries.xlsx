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ins_pct">'Assumptions'!$B$21</definedName>
    <definedName name="charge_berth">'Assumptions'!$B$22</definedName>
    <definedName name="mech_uptime">'Assumptions'!$B$23</definedName>
    <definedName name="capture">'Assumptions'!$B$24</definedName>
    <definedName name="capture_captive">'Assumptions'!$B$25</definedName>
    <definedName name="discount">'Assumptions'!$B$26</definedName>
    <definedName name="diesel_co2pg">'Assumptions'!$B$27</definedName>
    <definedName name="load_thin">'Assumptions'!$B$31</definedName>
    <definedName name="revleg_thin">'Assumptions'!$C$31</definedName>
    <definedName name="load_mid">'Assumptions'!$B$32</definedName>
    <definedName name="revleg_mid">'Assumptions'!$C$32</definedName>
    <definedName name="load_full">'Assumptions'!$B$33</definedName>
    <definedName name="revleg_full">'Assumptions'!$C$33</definedName>
    <definedName name="band_tbl">'Assumptions'!$A$31:$C$33</definedName>
    <definedName name="scenario">'Assumptions'!$B$35</definedName>
    <definedName name="load_sel">'Assumptions'!$B$36</definedName>
    <definedName name="revleg_sel">'Assumptions'!$B$37</definedName>
    <definedName name="country_opex">'Country opex'!$A$4:$G$3</definedName>
    <definedName name="som_floor_fleet">'Corridor economics'!$D$8</definedName>
    <definedName name="som_floor_rev">'Corridor economics'!$E$8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pivotButton="0" quotePrefix="0" xfId="0"/>
    <xf numFmtId="165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Reliance-Industries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   (energy + captain + marina/overhead + maintenance)</t>
        </is>
      </c>
    </row>
    <row r="15">
      <c r="B15" s="4" t="inlineStr">
        <is>
          <t>PAYBACK = vessel CAPEX ÷ EBITDA</t>
        </is>
      </c>
    </row>
    <row r="16">
      <c r="B16" s="2" t="inlineStr"/>
    </row>
    <row r="17">
      <c r="B17" s="3" t="inlineStr">
        <is>
          <t>From demand pool to fleet &amp; market size</t>
        </is>
      </c>
    </row>
    <row r="18">
      <c r="B1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19">
      <c r="B19" s="2" t="inlineStr">
        <is>
          <t>Vessels supported = FLOOR(Navier rides/yr ÷ pax/yr per boat);  Market rev = vessels × rev/boat. The 'Market sizing' tab rolls these up into the SOM → SAM → TAM ladder.</t>
        </is>
      </c>
    </row>
    <row r="20">
      <c r="B20" s="2" t="inlineStr"/>
    </row>
    <row r="21">
      <c r="B21" s="3" t="inlineStr">
        <is>
          <t>The scenario toggle (what we flex)</t>
        </is>
      </c>
    </row>
    <row r="22">
      <c r="B22" s="2" t="inlineStr">
        <is>
          <t>'Corridor economics' has a SCENARIO cell = THIN / MID / FULL. It flexes two levers: load factor (how full the boat is) and revenue-leg factor (how many legs earn full fare). MID is the headline. Change that one cell and the whole model recomputes. The right-hand Payback THIN/MID/FULL columns always show all three at once.</t>
        </is>
      </c>
    </row>
    <row r="23">
      <c r="B23" s="2" t="inlineStr"/>
    </row>
    <row r="24">
      <c r="B24" s="3" t="inlineStr">
        <is>
          <t>Colour &amp; provenance legend</t>
        </is>
      </c>
    </row>
    <row r="25">
      <c r="B25" s="6" t="inlineStr">
        <is>
          <t xml:space="preserve">   Yellow = INPUTS you can change (fare, distance, demand, weather).</t>
        </is>
      </c>
    </row>
    <row r="26">
      <c r="B26" s="7" t="inlineStr">
        <is>
          <t xml:space="preserve">   Green  = COMPUTED by formula.</t>
        </is>
      </c>
    </row>
    <row r="27">
      <c r="B2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Insurance (% of capex/yr)</t>
        </is>
      </c>
      <c r="B21" s="17" t="n">
        <v>0.025</v>
      </c>
      <c r="C21" s="13" t="inlineStr">
        <is>
          <t>frac</t>
        </is>
      </c>
      <c r="D21" s="13" t="inlineStr">
        <is>
          <t>T3</t>
        </is>
      </c>
      <c r="E21" s="13" t="inlineStr">
        <is>
          <t>med</t>
        </is>
      </c>
      <c r="F21" s="14" t="inlineStr">
        <is>
          <t>H&amp;M + P&amp;I for a commercial passenger vessel ~2.5%/yr of capex; scales with regional capex overrides (Jaideep 2026-06-19).</t>
        </is>
      </c>
    </row>
    <row r="22">
      <c r="A22" s="11" t="inlineStr">
        <is>
          <t>Charging &amp; berth (additional to marina+energy)</t>
        </is>
      </c>
      <c r="B22" s="15" t="n">
        <v>18000</v>
      </c>
      <c r="C22" s="13" t="inlineStr">
        <is>
          <t>USD/yr</t>
        </is>
      </c>
      <c r="D22" s="13" t="inlineStr">
        <is>
          <t>T3</t>
        </is>
      </c>
      <c r="E22" s="13" t="inlineStr">
        <is>
          <t>med</t>
        </is>
      </c>
      <c r="F22" s="14" t="inlineStr">
        <is>
          <t>Dedicated fast-charge berth + demand charges, ADDITIONAL to marina overhead and energy (Jaideep 2026-06-19). L3-overridable.</t>
        </is>
      </c>
    </row>
    <row r="23">
      <c r="A23" s="11" t="inlineStr">
        <is>
          <t>Mechanical uptime</t>
        </is>
      </c>
      <c r="B23" s="17" t="n">
        <v>0.75</v>
      </c>
      <c r="C23" s="13" t="inlineStr">
        <is>
          <t>frac</t>
        </is>
      </c>
      <c r="D23" s="13" t="inlineStr">
        <is>
          <t>T4</t>
        </is>
      </c>
      <c r="E23" s="13" t="inlineStr">
        <is>
          <t>med</t>
        </is>
      </c>
      <c r="F23" s="14" t="inlineStr">
        <is>
          <t>Blade luxury aviation ~75-80% reliability uptime</t>
        </is>
      </c>
    </row>
    <row r="24">
      <c r="A24" s="11" t="inlineStr">
        <is>
          <t>Navier capture rate</t>
        </is>
      </c>
      <c r="B24" s="17" t="n">
        <v>0.1</v>
      </c>
      <c r="C24" s="13" t="inlineStr">
        <is>
          <t>frac</t>
        </is>
      </c>
      <c r="D24" s="13" t="inlineStr"/>
      <c r="E24" s="13" t="inlineStr">
        <is>
          <t>med</t>
        </is>
      </c>
      <c r="F24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5">
      <c r="A25" s="11" t="inlineStr">
        <is>
          <t>Captive capture rate (A′ corridors)</t>
        </is>
      </c>
      <c r="B25" s="17" t="n">
        <v>0.9</v>
      </c>
      <c r="C25" s="13" t="inlineStr">
        <is>
          <t>frac</t>
        </is>
      </c>
      <c r="D25" s="13" t="inlineStr"/>
      <c r="E25" s="13" t="inlineStr">
        <is>
          <t>med</t>
        </is>
      </c>
      <c r="F25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6">
      <c r="A26" s="11" t="inlineStr">
        <is>
          <t>Discount factor (vs comparable fare)</t>
        </is>
      </c>
      <c r="B26" s="16" t="n">
        <v>1</v>
      </c>
      <c r="C26" s="13" t="inlineStr">
        <is>
          <t>frac</t>
        </is>
      </c>
      <c r="D26" s="13" t="inlineStr">
        <is>
          <t>T1</t>
        </is>
      </c>
      <c r="E26" s="13" t="inlineStr">
        <is>
          <t>high</t>
        </is>
      </c>
      <c r="F26" s="14" t="inlineStr">
        <is>
          <t>Market parity — better product, not cheaper (locked).</t>
        </is>
      </c>
    </row>
    <row r="27">
      <c r="A27" s="11" t="inlineStr">
        <is>
          <t>Diesel CO₂ per gallon</t>
        </is>
      </c>
      <c r="B27" s="16" t="n">
        <v>10.21</v>
      </c>
      <c r="C27" s="13" t="inlineStr">
        <is>
          <t>kg/gal</t>
        </is>
      </c>
      <c r="D27" s="13" t="inlineStr">
        <is>
          <t>T1</t>
        </is>
      </c>
      <c r="E27" s="13" t="inlineStr">
        <is>
          <t>high</t>
        </is>
      </c>
      <c r="F27" s="14" t="inlineStr">
        <is>
          <t>US EPA: 10.21 kg CO2 per gallon marine/diesel</t>
        </is>
      </c>
    </row>
    <row r="29">
      <c r="A29" s="9" t="inlineStr">
        <is>
          <t>Utilization scenarios  (the two levers we flex)</t>
        </is>
      </c>
    </row>
    <row r="30">
      <c r="A30" s="10" t="inlineStr">
        <is>
          <t>Scenario</t>
        </is>
      </c>
      <c r="B30" s="10" t="inlineStr">
        <is>
          <t>Load factor</t>
        </is>
      </c>
      <c r="C30" s="10" t="inlineStr">
        <is>
          <t>Rev-leg factor</t>
        </is>
      </c>
      <c r="D30" s="10" t="inlineStr"/>
      <c r="E30" s="10" t="inlineStr"/>
      <c r="F30" s="10" t="inlineStr">
        <is>
          <t>Note</t>
        </is>
      </c>
    </row>
    <row r="31">
      <c r="A31" s="18" t="inlineStr">
        <is>
          <t>THIN</t>
        </is>
      </c>
      <c r="B31" s="19" t="n">
        <v>0.45</v>
      </c>
      <c r="C31" s="19" t="n">
        <v>0.55</v>
      </c>
      <c r="F31" s="14" t="inlineStr">
        <is>
          <t>thin/one-way/seasonal corridor — conservative floor</t>
        </is>
      </c>
    </row>
    <row r="32">
      <c r="A32" s="18" t="inlineStr">
        <is>
          <t>MID</t>
        </is>
      </c>
      <c r="B32" s="19" t="n">
        <v>0.55</v>
      </c>
      <c r="C32" s="19" t="n">
        <v>0.65</v>
      </c>
      <c r="F32" s="14" t="inlineStr">
        <is>
          <t>HEADLINE — realistic busy two-way corridor</t>
        </is>
      </c>
    </row>
    <row r="33">
      <c r="A33" s="18" t="inlineStr">
        <is>
          <t>FULL</t>
        </is>
      </c>
      <c r="B33" s="19" t="n">
        <v>0.7</v>
      </c>
      <c r="C33" s="19" t="n">
        <v>0.75</v>
      </c>
      <c r="F33" s="14" t="inlineStr">
        <is>
          <t>mature/dense corridor — optimistic ceiling</t>
        </is>
      </c>
    </row>
    <row r="35">
      <c r="A35" s="20" t="inlineStr">
        <is>
          <t>SCENARIO (toggle me)</t>
        </is>
      </c>
      <c r="B35" s="21" t="inlineStr">
        <is>
          <t>MID</t>
        </is>
      </c>
      <c r="C35" s="22" t="inlineStr">
        <is>
          <t>← set THIN / MID / FULL</t>
        </is>
      </c>
    </row>
    <row r="36">
      <c r="A36" s="11" t="inlineStr">
        <is>
          <t>Selected load factor</t>
        </is>
      </c>
      <c r="B36" s="23">
        <f>VLOOKUP(scenario,'Assumptions'!$A$31:$C$33,2,FALSE)</f>
        <v/>
      </c>
    </row>
    <row r="37">
      <c r="A37" s="11" t="inlineStr">
        <is>
          <t>Selected rev-leg factor</t>
        </is>
      </c>
      <c r="B37" s="23">
        <f>VLOOKUP(scenario,'Assumptions'!$A$31:$C$33,3,FALSE)</f>
        <v/>
      </c>
    </row>
  </sheetData>
  <mergeCells count="4">
    <mergeCell ref="A3:F3"/>
    <mergeCell ref="A14:F14"/>
    <mergeCell ref="A1:F1"/>
    <mergeCell ref="A29:F29"/>
  </mergeCells>
  <dataValidations count="1">
    <dataValidation sqref="B35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L3 localized layer (VLOOKUP target for the engine)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Marina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(captain | energy | marina)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0" customWidth="1" min="23" max="23"/>
    <col width="9" customWidth="1" min="24" max="24"/>
    <col width="10" customWidth="1" min="25" max="25"/>
    <col width="11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6" customWidth="1" min="43" max="43"/>
    <col width="16" customWidth="1" min="44" max="44"/>
    <col width="9" customWidth="1" min="45" max="45"/>
    <col width="9" customWidth="1" min="46" max="46"/>
    <col width="9" customWidth="1" min="47" max="47"/>
    <col width="9" customWidth="1" min="48" max="48"/>
    <col width="50" customWidth="1" min="49" max="49"/>
    <col width="50" customWidth="1" min="50" max="50"/>
  </cols>
  <sheetData>
    <row r="1">
      <c r="A1" s="8" t="inlineStr">
        <is>
          <t>Navier × Reliance-Industries — Corridor economics (one boat, one year; MID = headline)</t>
        </is>
      </c>
      <c r="N1" s="25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Marina/yr</t>
        </is>
      </c>
      <c r="X3" s="24" t="inlineStr">
        <is>
          <t>Maint/yr</t>
        </is>
      </c>
      <c r="Y3" s="24" t="inlineStr">
        <is>
          <t>Insurance/yr</t>
        </is>
      </c>
      <c r="Z3" s="24" t="inlineStr">
        <is>
          <t>Charge+berth/yr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Forward SAM (2030-dated; held OUT of grounded floor)</t>
        </is>
      </c>
      <c r="AR3" s="24" t="inlineStr">
        <is>
          <t>Upside tier (LB-99; held OUT of grounded floor)</t>
        </is>
      </c>
      <c r="AS3" s="24" t="inlineStr">
        <is>
          <t>Fleet ceiling (captive villas/25)</t>
        </is>
      </c>
      <c r="AT3" s="24" t="inlineStr">
        <is>
          <t>Payback THIN</t>
        </is>
      </c>
      <c r="AU3" s="24" t="inlineStr">
        <is>
          <t>Payback MID</t>
        </is>
      </c>
      <c r="AV3" s="24" t="inlineStr">
        <is>
          <t>Payback FULL</t>
        </is>
      </c>
      <c r="AW3" s="24" t="inlineStr">
        <is>
          <t>Fare source (provenance)</t>
        </is>
      </c>
      <c r="AX3" s="24" t="inlineStr">
        <is>
          <t>Demand source (provenance)</t>
        </is>
      </c>
    </row>
    <row r="4">
      <c r="A4" s="26" t="inlineStr">
        <is>
          <t>TOTAL / median</t>
        </is>
      </c>
      <c r="T4" s="27">
        <f>SUM(T4:T3)</f>
        <v/>
      </c>
      <c r="AC4" s="27">
        <f>SUM(AC4:AC3)</f>
        <v/>
      </c>
      <c r="AD4" s="28">
        <f>IF(T4=0,"",AC4/T4)</f>
        <v/>
      </c>
      <c r="AL4" s="29">
        <f>SUM(AL4:AL3)</f>
        <v/>
      </c>
      <c r="AM4" s="27">
        <f>SUM(AM4:AM3)</f>
        <v/>
      </c>
    </row>
    <row r="6">
      <c r="A6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7">
      <c r="A7" s="24" t="inlineStr">
        <is>
          <t>Market</t>
        </is>
      </c>
      <c r="B7" s="24" t="inlineStr">
        <is>
          <t>Fleet basis</t>
        </is>
      </c>
      <c r="C7" s="24" t="inlineStr">
        <is>
          <t>Raw vessels (sum)</t>
        </is>
      </c>
      <c r="D7" s="24" t="inlineStr">
        <is>
          <t>Fleet (rounded once)</t>
        </is>
      </c>
      <c r="E7" s="24" t="inlineStr">
        <is>
          <t>Market rev/yr (raw sum)</t>
        </is>
      </c>
    </row>
    <row r="8">
      <c r="A8" s="26" t="inlineStr">
        <is>
          <t>GROUNDED FLOOR (PUBLISHED)</t>
        </is>
      </c>
      <c r="D8" s="29">
        <f>SUM(D8:D7)</f>
        <v/>
      </c>
      <c r="E8" s="27">
        <f>SUM(E8:E7)</f>
        <v/>
      </c>
    </row>
  </sheetData>
  <mergeCells count="2">
    <mergeCell ref="A6:L6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30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30" t="inlineStr">
        <is>
          <t>Mature capture rate (c)</t>
        </is>
      </c>
      <c r="B6" s="31" t="n">
        <v>0.15</v>
      </c>
      <c r="C6" s="31" t="n">
        <v>0.25</v>
      </c>
      <c r="D6" s="31" t="n">
        <v>0.4</v>
      </c>
      <c r="E6" s="14" t="inlineStr">
        <is>
          <t>Navier's corridor share once it is the established premium default (vs 10% floor).</t>
        </is>
      </c>
    </row>
    <row r="7">
      <c r="A7" s="30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30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30" t="inlineStr">
        <is>
          <t>Platform take rate</t>
        </is>
      </c>
      <c r="C9" s="31" t="n">
        <v>0.18</v>
      </c>
      <c r="E9" s="14" t="inlineStr">
        <is>
          <t>Super-app blended commission on journey GMV (derived line only).</t>
        </is>
      </c>
    </row>
    <row r="11">
      <c r="A11" s="30" t="inlineStr">
        <is>
          <t>SOM capture rate (floor)</t>
        </is>
      </c>
      <c r="C11" s="31" t="n">
        <v>0.1</v>
      </c>
      <c r="E11" s="14" t="inlineStr">
        <is>
          <t>New-entrant ~10%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30" t="inlineStr">
        <is>
          <t>SOM floor — Navier transport rev/yr (PUBLISHED)</t>
        </is>
      </c>
      <c r="C15" s="32">
        <f>som_floor_rev</f>
        <v/>
      </c>
      <c r="E15" s="14" t="inlineStr">
        <is>
          <t>Live sum of grounded corridor market-rev (10% capture, today's demand, sourced corridors).</t>
        </is>
      </c>
    </row>
    <row r="16">
      <c r="A16" s="30" t="inlineStr">
        <is>
          <t>M_today — full transport spend on sourced corridors</t>
        </is>
      </c>
      <c r="C16" s="32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30" t="inlineStr">
        <is>
          <t>SOM full network (~10% capture, today, +greenfield)</t>
        </is>
      </c>
      <c r="B18" s="32">
        <f>$C$16*$C$11*$B$8</f>
        <v/>
      </c>
      <c r="C18" s="32">
        <f>$C$16*$C$11*$C$8</f>
        <v/>
      </c>
      <c r="D18" s="32">
        <f>$C$16*$C$11*$D$8</f>
        <v/>
      </c>
      <c r="E18" s="14" t="inlineStr">
        <is>
          <t>Floor posture (~10% captive capture, today's demand) extended across the whole mapped network.</t>
        </is>
      </c>
    </row>
    <row r="19">
      <c r="A19" s="30" t="inlineStr">
        <is>
          <t>SAM — sourced corridors only (depth, no greenfield)</t>
        </is>
      </c>
      <c r="B19" s="32">
        <f>$C$16*$B$5*$B$6</f>
        <v/>
      </c>
      <c r="C19" s="32">
        <f>$C$16*$C$5*$C$6</f>
        <v/>
      </c>
      <c r="D19" s="32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30" t="inlineStr">
        <is>
          <t>SAM — Navier transport rev @ full network (HEADLINE)</t>
        </is>
      </c>
      <c r="B20" s="32">
        <f>$C$16*$B$5*$B$6*$B$8</f>
        <v/>
      </c>
      <c r="C20" s="32">
        <f>$C$16*$C$5*$C$6*$C$8</f>
        <v/>
      </c>
      <c r="D20" s="32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30" t="inlineStr">
        <is>
          <t>Marine mobility TAM — induced marine-transfer market (LB-110)</t>
        </is>
      </c>
      <c r="B21" s="32">
        <f>$C$16*$B$5*$B$8</f>
        <v/>
      </c>
      <c r="C21" s="32">
        <f>$C$16*$C$5*$C$8</f>
        <v/>
      </c>
      <c r="D21" s="32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30" t="inlineStr">
        <is>
          <t>Journey GMV — induced crossing × multiple (was TAM journey GMV)</t>
        </is>
      </c>
      <c r="B22" s="32">
        <f>$C$16*$B$5*$B$7*$B$8</f>
        <v/>
      </c>
      <c r="C22" s="32">
        <f>$C$16*$C$5*$C$7*$C$8</f>
        <v/>
      </c>
      <c r="D22" s="32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30" t="inlineStr">
        <is>
          <t>Journey GMV routed through Navier network</t>
        </is>
      </c>
      <c r="B23" s="32">
        <f>$C$16*$B$5*$B$6*$B$7*$B$8</f>
        <v/>
      </c>
      <c r="C23" s="32">
        <f>$C$16*$C$5*$C$6*$C$7*$C$8</f>
        <v/>
      </c>
      <c r="D23" s="32">
        <f>$C$16*$D$5*$D$6*$D$7*$D$8</f>
        <v/>
      </c>
      <c r="E23" s="14" t="inlineStr">
        <is>
          <t>Journey GMV on Navier-carried trips only.</t>
        </is>
      </c>
    </row>
    <row r="24">
      <c r="A24" s="30" t="inlineStr">
        <is>
          <t>Partner platform revenue on Navier (LB-113 — on-Navier subset, not 18% of full Journey GMV)</t>
        </is>
      </c>
      <c r="B24" s="32">
        <f>$C$16*$B$5*$B$6*$B$7*$B$8*$C$9</f>
        <v/>
      </c>
      <c r="C24" s="32">
        <f>$C$16*$C$5*$C$6*$C$7*$C$8*$C$9</f>
        <v/>
      </c>
      <c r="D24" s="32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33" t="inlineStr">
        <is>
          <t>Note</t>
        </is>
      </c>
      <c r="B26" s="34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2026-06-22T00:41:52Z</dcterms:created>
  <dcterms:modified xsi:type="dcterms:W3CDTF">2026-06-22T00:41:52Z</dcterms:modified>
</cp:coreProperties>
</file>