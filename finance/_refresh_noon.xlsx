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Noon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Noon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Noon</t>
        </is>
      </c>
      <c r="B4" s="29" t="inlineStr">
        <is>
          <t>United Arab Emirates</t>
        </is>
      </c>
      <c r="C4" s="30" t="inlineStr">
        <is>
          <t>Vida Beach Resort Umm Al Quwain → Sharjah Waterfront City marina</t>
        </is>
      </c>
      <c r="D4" s="31" t="n">
        <v>9.6</v>
      </c>
      <c r="E4" s="26" t="n">
        <v>48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uae-careem demand ladder + PR #58 Noon route seal (Careem-style super_app)</t>
        </is>
      </c>
      <c r="AX4" s="44" t="inlineStr">
        <is>
          <t>uae-careem demand ladder + PR #58 Noon route seal (Careem-style super_app)</t>
        </is>
      </c>
    </row>
    <row r="5">
      <c r="A5" s="29" t="inlineStr">
        <is>
          <t>Uae Noon</t>
        </is>
      </c>
      <c r="B5" s="29" t="inlineStr">
        <is>
          <t>United Arab Emirates</t>
        </is>
      </c>
      <c r="C5" s="30" t="inlineStr">
        <is>
          <t>Fujairah → Khorfakkan Corniche / Port</t>
        </is>
      </c>
      <c r="D5" s="31" t="n">
        <v>11.4</v>
      </c>
      <c r="E5" s="26" t="n">
        <v>48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uae-careem demand ladder + PR #58 Noon route seal (Careem-style super_app)</t>
        </is>
      </c>
      <c r="AX5" s="44" t="inlineStr">
        <is>
          <t>uae-careem demand ladder + PR #58 Noon route seal (Careem-style super_app)</t>
        </is>
      </c>
    </row>
    <row r="6">
      <c r="A6" s="29" t="inlineStr">
        <is>
          <t>Uae Noon</t>
        </is>
      </c>
      <c r="B6" s="29" t="inlineStr">
        <is>
          <t>United Arab Emirates</t>
        </is>
      </c>
      <c r="C6" s="30" t="inlineStr">
        <is>
          <t>Dubai Harbour Marina → Nikki Beach Resort Pearl Jumeirah Jetty</t>
        </is>
      </c>
      <c r="D6" s="31" t="n">
        <v>11.9</v>
      </c>
      <c r="E6" s="26" t="n">
        <v>48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35000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uae-careem demand ladder + PR #58 Noon route seal (Careem-style super_app)</t>
        </is>
      </c>
      <c r="AX6" s="44" t="inlineStr">
        <is>
          <t>uae-careem demand ladder + PR #58 Noon route seal (Careem-style super_app)</t>
        </is>
      </c>
    </row>
    <row r="7">
      <c r="A7" s="29" t="inlineStr">
        <is>
          <t>Uae Noon</t>
        </is>
      </c>
      <c r="B7" s="29" t="inlineStr">
        <is>
          <t>United Arab Emirates</t>
        </is>
      </c>
      <c r="C7" s="30" t="inlineStr">
        <is>
          <t>Ras Al Khaimah → ميناء صيادين غليلة</t>
        </is>
      </c>
      <c r="D7" s="31" t="n">
        <v>11.9</v>
      </c>
      <c r="E7" s="26" t="n">
        <v>48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uae-careem demand ladder + PR #58 Noon route seal (Careem-style super_app)</t>
        </is>
      </c>
      <c r="AX7" s="44" t="inlineStr">
        <is>
          <t>uae-careem demand ladder + PR #58 Noon route seal (Careem-style super_app)</t>
        </is>
      </c>
    </row>
    <row r="8">
      <c r="A8" s="29" t="inlineStr">
        <is>
          <t>Uae Noon</t>
        </is>
      </c>
      <c r="B8" s="29" t="inlineStr">
        <is>
          <t>United Arab Emirates</t>
        </is>
      </c>
      <c r="C8" s="30" t="inlineStr">
        <is>
          <t>Yas Marina → Four Seasons Al Maryah Jetty</t>
        </is>
      </c>
      <c r="D8" s="31" t="n">
        <v>12.4</v>
      </c>
      <c r="E8" s="26" t="n">
        <v>48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uae-careem demand ladder + PR #58 Noon route seal (Careem-style super_app)</t>
        </is>
      </c>
      <c r="AX8" s="44" t="inlineStr">
        <is>
          <t>uae-careem demand ladder + PR #58 Noon route seal (Careem-style super_app)</t>
        </is>
      </c>
    </row>
    <row r="9">
      <c r="A9" s="29" t="inlineStr">
        <is>
          <t>Uae Noon</t>
        </is>
      </c>
      <c r="B9" s="29" t="inlineStr">
        <is>
          <t>United Arab Emirates</t>
        </is>
      </c>
      <c r="C9" s="30" t="inlineStr">
        <is>
          <t>Dubai Harbour Marina → Al Khan Lagoon mouth</t>
        </is>
      </c>
      <c r="D9" s="31" t="n">
        <v>19.4</v>
      </c>
      <c r="E9" s="26" t="n">
        <v>48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35000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uae-careem demand ladder + PR #58 Noon route seal (Careem-style super_app)</t>
        </is>
      </c>
      <c r="AX9" s="44" t="inlineStr">
        <is>
          <t>uae-careem demand ladder + PR #58 Noon route seal (Careem-style super_app)</t>
        </is>
      </c>
    </row>
    <row r="10">
      <c r="A10" s="29" t="inlineStr">
        <is>
          <t>Uae Noon</t>
        </is>
      </c>
      <c r="B10" s="29" t="inlineStr">
        <is>
          <t>United Arab Emirates</t>
        </is>
      </c>
      <c r="C10" s="30" t="inlineStr">
        <is>
          <t>Dubai Harbour Marina → Wynn Al Marjan Island arrival lagoon</t>
        </is>
      </c>
      <c r="D10" s="31" t="n">
        <v>49.8</v>
      </c>
      <c r="E10" s="26" t="n">
        <v>48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uae-careem demand ladder + PR #58 Noon route seal (Careem-style super_app)</t>
        </is>
      </c>
      <c r="AX10" s="44" t="inlineStr">
        <is>
          <t>uae-careem demand ladder + PR #58 Noon route seal (Careem-style super_app)</t>
        </is>
      </c>
    </row>
    <row r="11">
      <c r="A11" s="29" t="inlineStr">
        <is>
          <t>Uae Noon</t>
        </is>
      </c>
      <c r="B11" s="29" t="inlineStr">
        <is>
          <t>United Arab Emirates</t>
        </is>
      </c>
      <c r="C11" s="30" t="inlineStr">
        <is>
          <t>Ushuaïa Dubai Harbour Experience → Marina Mall / Breakwater Marina</t>
        </is>
      </c>
      <c r="D11" s="31" t="n">
        <v>57.4</v>
      </c>
      <c r="E11" s="26" t="n">
        <v>48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35000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uae-careem demand ladder + PR #58 Noon route seal (Careem-style super_app)</t>
        </is>
      </c>
      <c r="AX11" s="44" t="inlineStr">
        <is>
          <t>uae-careem demand ladder + PR #58 Noon route seal (Careem-style super_app)</t>
        </is>
      </c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Uae Noon</t>
        </is>
      </c>
      <c r="B16" s="13" t="inlineStr">
        <is>
          <t>network_sum / ceil</t>
        </is>
      </c>
      <c r="C16" s="23">
        <f>SUMIFS(AN4:AN11,A4:A11,"Uae Noon",AP4:AP11,"=",AQ4:AQ11,"=",AR4:AR11,"=")</f>
        <v/>
      </c>
      <c r="D16" s="49">
        <f>IF(C16=0,0,CEILING(C16,1))</f>
        <v/>
      </c>
      <c r="E16" s="50">
        <f>SUMIFS(AO4:AO11,A4:A11,"Uae Noon",AP4:AP11,"=",AQ4:AQ11,"=",AR4:AR11,"=")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9">
      <c r="A19" s="51" t="inlineStr">
        <is>
          <t>Held for Quanta-LR (&gt;70nm, roadmap H2 2026+):</t>
        </is>
      </c>
      <c r="C19" s="52" t="inlineStr">
        <is>
          <t>Abu Dhabi → Muscat (360.9nm)</t>
        </is>
      </c>
    </row>
    <row r="20">
      <c r="C20" s="52" t="inlineStr">
        <is>
          <t>Abu Dhabi → Manama (264.1nm)</t>
        </is>
      </c>
    </row>
    <row r="21">
      <c r="C21" s="52" t="inlineStr">
        <is>
          <t>Abu Dhabi → Doha (179.1nm)</t>
        </is>
      </c>
    </row>
    <row r="22">
      <c r="C22" s="52" t="inlineStr">
        <is>
          <t>Fujairah → Muscat (149.1nm)</t>
        </is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2026-06-22T00:41:23Z</dcterms:created>
  <dcterms:modified xsi:type="dcterms:W3CDTF">2026-06-22T00:41:23Z</dcterms:modified>
</cp:coreProperties>
</file>