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economics'!$D$57</definedName>
    <definedName name="som_floor_rev">'Corridor economics'!$E$57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Noon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United Arab Emirates</t>
        </is>
      </c>
      <c r="B4" s="26" t="n">
        <v>40000</v>
      </c>
      <c r="C4" s="27" t="n">
        <v>0.08500000000000001</v>
      </c>
      <c r="D4" s="19" t="n">
        <v>0.4</v>
      </c>
      <c r="E4" s="26" t="n">
        <v>22000</v>
      </c>
      <c r="F4" s="19" t="n">
        <v>0.74</v>
      </c>
      <c r="G4" s="26" t="n">
        <v>600000</v>
      </c>
      <c r="H4" s="14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Noon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Uae Noon</t>
        </is>
      </c>
      <c r="B4" s="29" t="inlineStr">
        <is>
          <t>United Arab Emirates</t>
        </is>
      </c>
      <c r="C4" s="30" t="inlineStr">
        <is>
          <t>One&amp;Only The Palm Jetty → Jumeirah Zabeel Saray Jetty</t>
        </is>
      </c>
      <c r="D4" s="31" t="n">
        <v>0.5</v>
      </c>
      <c r="E4" s="26" t="n"/>
      <c r="F4" s="32" t="n"/>
      <c r="G4" s="32" t="n"/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/>
      <c r="AH4" s="32" t="n"/>
      <c r="AI4" s="32" t="n"/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Estimated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n"/>
      <c r="AY4" s="44" t="n"/>
    </row>
    <row r="5">
      <c r="A5" s="29" t="inlineStr">
        <is>
          <t>Uae Noon</t>
        </is>
      </c>
      <c r="B5" s="29" t="inlineStr">
        <is>
          <t>United Arab Emirates</t>
        </is>
      </c>
      <c r="C5" s="30" t="inlineStr">
        <is>
          <t>Dubai Harbour Marina → Bluewaters Marina</t>
        </is>
      </c>
      <c r="D5" s="31" t="n">
        <v>1.1</v>
      </c>
      <c r="E5" s="26" t="n"/>
      <c r="F5" s="32" t="n"/>
      <c r="G5" s="32" t="n"/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/>
      <c r="AH5" s="32" t="n"/>
      <c r="AI5" s="32" t="n"/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Estimated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n"/>
      <c r="AY5" s="44" t="n"/>
    </row>
    <row r="6">
      <c r="A6" s="29" t="inlineStr">
        <is>
          <t>Uae Noon</t>
        </is>
      </c>
      <c r="B6" s="29" t="inlineStr">
        <is>
          <t>United Arab Emirates</t>
        </is>
      </c>
      <c r="C6" s="30" t="inlineStr">
        <is>
          <t>Kempinski Hotel &amp; Residences Palm Jumeirah Jetty → Atlantis The Palm Jetty</t>
        </is>
      </c>
      <c r="D6" s="31" t="n">
        <v>1.2</v>
      </c>
      <c r="E6" s="26" t="n"/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/>
      <c r="AH6" s="32" t="n"/>
      <c r="AI6" s="32" t="n"/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Estimated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n"/>
      <c r="AY6" s="44" t="n"/>
    </row>
    <row r="7">
      <c r="A7" s="29" t="inlineStr">
        <is>
          <t>Uae Noon</t>
        </is>
      </c>
      <c r="B7" s="29" t="inlineStr">
        <is>
          <t>United Arab Emirates</t>
        </is>
      </c>
      <c r="C7" s="30" t="inlineStr">
        <is>
          <t>La Mer / J1 Beach Jetty → Nikki Beach Resort Pearl Jumeirah Jetty</t>
        </is>
      </c>
      <c r="D7" s="31" t="n">
        <v>1.2</v>
      </c>
      <c r="E7" s="26" t="n"/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/>
      <c r="AH7" s="32" t="n"/>
      <c r="AI7" s="32" t="n"/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Estimated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n"/>
      <c r="AY7" s="44" t="n"/>
    </row>
    <row r="8">
      <c r="A8" s="29" t="inlineStr">
        <is>
          <t>Uae Noon</t>
        </is>
      </c>
      <c r="B8" s="29" t="inlineStr">
        <is>
          <t>United Arab Emirates</t>
        </is>
      </c>
      <c r="C8" s="30" t="inlineStr">
        <is>
          <t>Palm Jumeirah Marina West → Atlantis The Palm Jetty</t>
        </is>
      </c>
      <c r="D8" s="31" t="n">
        <v>1.3</v>
      </c>
      <c r="E8" s="26" t="n"/>
      <c r="F8" s="32" t="n"/>
      <c r="G8" s="32" t="n"/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/>
      <c r="AH8" s="32" t="n"/>
      <c r="AI8" s="32" t="n"/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Estimated</t>
        </is>
      </c>
      <c r="AR8" s="41" t="n"/>
      <c r="AS8" s="41" t="n"/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n"/>
      <c r="AY8" s="44" t="n"/>
    </row>
    <row r="9">
      <c r="A9" s="29" t="inlineStr">
        <is>
          <t>Uae Noon</t>
        </is>
      </c>
      <c r="B9" s="29" t="inlineStr">
        <is>
          <t>United Arab Emirates</t>
        </is>
      </c>
      <c r="C9" s="30" t="inlineStr">
        <is>
          <t>Dubai Creek Marina → Al Seef Marine Transport Station</t>
        </is>
      </c>
      <c r="D9" s="31" t="n">
        <v>1.5</v>
      </c>
      <c r="E9" s="26" t="n"/>
      <c r="F9" s="32" t="n"/>
      <c r="G9" s="32" t="n"/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/>
      <c r="AH9" s="32" t="n"/>
      <c r="AI9" s="32" t="n"/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Estimated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n"/>
      <c r="AY9" s="44" t="n"/>
    </row>
    <row r="10">
      <c r="A10" s="29" t="inlineStr">
        <is>
          <t>Uae Noon</t>
        </is>
      </c>
      <c r="B10" s="29" t="inlineStr">
        <is>
          <t>United Arab Emirates</t>
        </is>
      </c>
      <c r="C10" s="30" t="inlineStr">
        <is>
          <t>Yacht Marina → The Westin Dubai Mina Seyahi Beach Resort &amp; Marina</t>
        </is>
      </c>
      <c r="D10" s="31" t="n">
        <v>1.5</v>
      </c>
      <c r="E10" s="26" t="n"/>
      <c r="F10" s="32" t="n"/>
      <c r="G10" s="32" t="n"/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/>
      <c r="AH10" s="32" t="n"/>
      <c r="AI10" s="32" t="n"/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Estimated</t>
        </is>
      </c>
      <c r="AR10" s="41" t="n"/>
      <c r="AS10" s="41" t="n"/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n"/>
      <c r="AY10" s="44" t="n"/>
    </row>
    <row r="11">
      <c r="A11" s="29" t="inlineStr">
        <is>
          <t>Uae Noon</t>
        </is>
      </c>
      <c r="B11" s="29" t="inlineStr">
        <is>
          <t>United Arab Emirates</t>
        </is>
      </c>
      <c r="C11" s="30" t="inlineStr">
        <is>
          <t>Marina Mall / Breakwater Marina → Lulu Island Jetty</t>
        </is>
      </c>
      <c r="D11" s="31" t="n">
        <v>1.7</v>
      </c>
      <c r="E11" s="26" t="n"/>
      <c r="F11" s="32" t="n"/>
      <c r="G11" s="32" t="n"/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/>
      <c r="AH11" s="32" t="n"/>
      <c r="AI11" s="32" t="n"/>
      <c r="AJ11" s="39" t="n">
        <v>0.1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Estimated</t>
        </is>
      </c>
      <c r="AR11" s="41" t="n"/>
      <c r="AS11" s="41" t="n"/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n"/>
      <c r="AY11" s="44" t="n"/>
    </row>
    <row r="12">
      <c r="A12" s="29" t="inlineStr">
        <is>
          <t>Uae Noon</t>
        </is>
      </c>
      <c r="B12" s="29" t="inlineStr">
        <is>
          <t>United Arab Emirates</t>
        </is>
      </c>
      <c r="C12" s="30" t="inlineStr">
        <is>
          <t>Dubai Harbour Marina → Palm Jumeirah Marina West</t>
        </is>
      </c>
      <c r="D12" s="31" t="n">
        <v>2.1</v>
      </c>
      <c r="E12" s="26" t="n"/>
      <c r="F12" s="32" t="n"/>
      <c r="G12" s="32" t="n"/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/>
      <c r="AH12" s="32" t="n"/>
      <c r="AI12" s="32" t="n"/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Estimated</t>
        </is>
      </c>
      <c r="AR12" s="41" t="n"/>
      <c r="AS12" s="41" t="n"/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n"/>
      <c r="AY12" s="44" t="n"/>
    </row>
    <row r="13">
      <c r="A13" s="29" t="inlineStr">
        <is>
          <t>Uae Noon</t>
        </is>
      </c>
      <c r="B13" s="29" t="inlineStr">
        <is>
          <t>United Arab Emirates</t>
        </is>
      </c>
      <c r="C13" s="30" t="inlineStr">
        <is>
          <t>Al Bateen Marina → Emirates Palace Marina</t>
        </is>
      </c>
      <c r="D13" s="31" t="n">
        <v>2.2</v>
      </c>
      <c r="E13" s="26" t="n"/>
      <c r="F13" s="32" t="n"/>
      <c r="G13" s="32" t="n"/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/>
      <c r="AH13" s="32" t="n"/>
      <c r="AI13" s="32" t="n"/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Estimated</t>
        </is>
      </c>
      <c r="AR13" s="41" t="n"/>
      <c r="AS13" s="41" t="n"/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n"/>
      <c r="AY13" s="44" t="n"/>
    </row>
    <row r="14">
      <c r="A14" s="29" t="inlineStr">
        <is>
          <t>Uae Noon</t>
        </is>
      </c>
      <c r="B14" s="29" t="inlineStr">
        <is>
          <t>United Arab Emirates</t>
        </is>
      </c>
      <c r="C14" s="30" t="inlineStr">
        <is>
          <t>Côte d'Azur Resort Marina (Heart of Europe) → Anantara World Islands Resort Jetty (planned)</t>
        </is>
      </c>
      <c r="D14" s="31" t="n">
        <v>2.4</v>
      </c>
      <c r="E14" s="26" t="n"/>
      <c r="F14" s="32" t="n"/>
      <c r="G14" s="32" t="n"/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/>
      <c r="AH14" s="32" t="n"/>
      <c r="AI14" s="32" t="n"/>
      <c r="AJ14" s="39" t="n">
        <v>0.1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Estimated</t>
        </is>
      </c>
      <c r="AR14" s="41" t="n"/>
      <c r="AS14" s="41" t="n"/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n"/>
      <c r="AY14" s="44" t="n"/>
    </row>
    <row r="15">
      <c r="A15" s="29" t="inlineStr">
        <is>
          <t>Uae Noon</t>
        </is>
      </c>
      <c r="B15" s="29" t="inlineStr">
        <is>
          <t>United Arab Emirates</t>
        </is>
      </c>
      <c r="C15" s="30" t="inlineStr">
        <is>
          <t>Bulgari Yacht Club &amp; Marina → La Mer / J1 Beach Jetty</t>
        </is>
      </c>
      <c r="D15" s="31" t="n">
        <v>2.6</v>
      </c>
      <c r="E15" s="26" t="n"/>
      <c r="F15" s="32" t="n"/>
      <c r="G15" s="32" t="n"/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/>
      <c r="AH15" s="32" t="n"/>
      <c r="AI15" s="32" t="n"/>
      <c r="AJ15" s="39" t="n">
        <v>0.1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Estimated</t>
        </is>
      </c>
      <c r="AR15" s="41" t="n"/>
      <c r="AS15" s="41" t="n"/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n"/>
      <c r="AY15" s="44" t="n"/>
    </row>
    <row r="16">
      <c r="A16" s="29" t="inlineStr">
        <is>
          <t>Uae Noon</t>
        </is>
      </c>
      <c r="B16" s="29" t="inlineStr">
        <is>
          <t>United Arab Emirates</t>
        </is>
      </c>
      <c r="C16" s="30" t="inlineStr">
        <is>
          <t>Marina Mall / Breakwater Marina → Al Bateen Marina</t>
        </is>
      </c>
      <c r="D16" s="31" t="n">
        <v>2.6</v>
      </c>
      <c r="E16" s="26" t="n"/>
      <c r="F16" s="32" t="n"/>
      <c r="G16" s="32" t="n"/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/>
      <c r="AH16" s="32" t="n"/>
      <c r="AI16" s="32" t="n"/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Estimated</t>
        </is>
      </c>
      <c r="AR16" s="41" t="n"/>
      <c r="AS16" s="41" t="n"/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n"/>
      <c r="AY16" s="44" t="n"/>
    </row>
    <row r="17">
      <c r="A17" s="29" t="inlineStr">
        <is>
          <t>Uae Noon</t>
        </is>
      </c>
      <c r="B17" s="29" t="inlineStr">
        <is>
          <t>United Arab Emirates</t>
        </is>
      </c>
      <c r="C17" s="30" t="inlineStr">
        <is>
          <t>Dubai Harbour Marina → Anantara The Palm Dubai Jetty</t>
        </is>
      </c>
      <c r="D17" s="31" t="n">
        <v>3.4</v>
      </c>
      <c r="E17" s="26" t="n"/>
      <c r="F17" s="32" t="n"/>
      <c r="G17" s="32" t="n"/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n"/>
      <c r="AI17" s="32" t="n"/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Estimated</t>
        </is>
      </c>
      <c r="AR17" s="41" t="n"/>
      <c r="AS17" s="41" t="n"/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n"/>
      <c r="AY17" s="44" t="n"/>
    </row>
    <row r="18">
      <c r="A18" s="29" t="inlineStr">
        <is>
          <t>Uae Noon</t>
        </is>
      </c>
      <c r="B18" s="29" t="inlineStr">
        <is>
          <t>United Arab Emirates</t>
        </is>
      </c>
      <c r="C18" s="30" t="inlineStr">
        <is>
          <t>Al Bateen Marina → Hudayriat Marina</t>
        </is>
      </c>
      <c r="D18" s="31" t="n">
        <v>3.6</v>
      </c>
      <c r="E18" s="26" t="n"/>
      <c r="F18" s="32" t="n"/>
      <c r="G18" s="32" t="n"/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/>
      <c r="AH18" s="32" t="n"/>
      <c r="AI18" s="32" t="n"/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Estimated</t>
        </is>
      </c>
      <c r="AR18" s="41" t="n"/>
      <c r="AS18" s="41" t="n"/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n"/>
      <c r="AY18" s="44" t="n"/>
    </row>
    <row r="19">
      <c r="A19" s="29" t="inlineStr">
        <is>
          <t>Uae Noon</t>
        </is>
      </c>
      <c r="B19" s="29" t="inlineStr">
        <is>
          <t>United Arab Emirates</t>
        </is>
      </c>
      <c r="C19" s="30" t="inlineStr">
        <is>
          <t>Côte d'Azur Resort Marina (Heart of Europe) → Bulgari Yacht Club &amp; Marina</t>
        </is>
      </c>
      <c r="D19" s="31" t="n">
        <v>4.2</v>
      </c>
      <c r="E19" s="26" t="n"/>
      <c r="F19" s="32" t="n"/>
      <c r="G19" s="32" t="n"/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/>
      <c r="AH19" s="32" t="n"/>
      <c r="AI19" s="32" t="n"/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Estimated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n"/>
      <c r="AY19" s="44" t="n"/>
    </row>
    <row r="20">
      <c r="A20" s="29" t="inlineStr">
        <is>
          <t>Uae Noon</t>
        </is>
      </c>
      <c r="B20" s="29" t="inlineStr">
        <is>
          <t>United Arab Emirates</t>
        </is>
      </c>
      <c r="C20" s="30" t="inlineStr">
        <is>
          <t>Saadiyat Beach Club Jetty → Zaya Nurai Island Jetty</t>
        </is>
      </c>
      <c r="D20" s="31" t="n">
        <v>4.4</v>
      </c>
      <c r="E20" s="26" t="n"/>
      <c r="F20" s="32" t="n"/>
      <c r="G20" s="32" t="n"/>
      <c r="H20" s="19" t="n">
        <v>1</v>
      </c>
      <c r="I20" s="33">
        <f>60*D20/cruise_kt</f>
        <v/>
      </c>
      <c r="J20" s="33">
        <f>I20+turn_min+dwell_min</f>
        <v/>
      </c>
      <c r="K20" s="34">
        <f>MIN(15,FLOOR(60*service_hr/J20,1))</f>
        <v/>
      </c>
      <c r="L20" s="34">
        <f>ROUND(365*mech_uptime*H20,0)</f>
        <v/>
      </c>
      <c r="M20" s="35">
        <f>mech_uptime</f>
        <v/>
      </c>
      <c r="N20" s="35">
        <f>revleg_sel</f>
        <v/>
      </c>
      <c r="O20" s="34">
        <f>ROUND(K20*L20*revleg_sel,0)</f>
        <v/>
      </c>
      <c r="P20" s="36">
        <f>load_sel</f>
        <v/>
      </c>
      <c r="Q20" s="36">
        <f>pax_cap*P20</f>
        <v/>
      </c>
      <c r="R20" s="34">
        <f>Q20*O20</f>
        <v/>
      </c>
      <c r="S20" s="37">
        <f>E20*discount</f>
        <v/>
      </c>
      <c r="T20" s="38">
        <f>S20*R20</f>
        <v/>
      </c>
      <c r="U20" s="38">
        <f>(battery/range_nm)*D20*O20*VLOOKUP(B20,country_opex,3,FALSE)</f>
        <v/>
      </c>
      <c r="V20" s="38">
        <f>VLOOKUP(B20,country_opex,2,FALSE)*crew_factor</f>
        <v/>
      </c>
      <c r="W20" s="38">
        <f>VLOOKUP(B20,country_opex,5,FALSE)</f>
        <v/>
      </c>
      <c r="X20" s="38">
        <f>maint</f>
        <v/>
      </c>
      <c r="Y20" s="38">
        <f>VLOOKUP(B20,country_opex,7,FALSE)*ins_pct</f>
        <v/>
      </c>
      <c r="Z20" s="38">
        <f>charge_berth</f>
        <v/>
      </c>
      <c r="AA20" s="38">
        <f>U20+V20+W20+X20+Y20+Z20</f>
        <v/>
      </c>
      <c r="AB20" s="38">
        <f>VLOOKUP(B20,country_opex,7,FALSE)/dep_years</f>
        <v/>
      </c>
      <c r="AC20" s="38">
        <f>T20-AA20</f>
        <v/>
      </c>
      <c r="AD20" s="35">
        <f>IF(T20=0,"",AC20/T20)</f>
        <v/>
      </c>
      <c r="AE20" s="36">
        <f>IF(AC20&lt;=0,"",VLOOKUP(B20,country_opex,7,FALSE)/AC20)</f>
        <v/>
      </c>
      <c r="AF20" s="33">
        <f>((D20*O20/diesel_nmpg)*diesel_co2pg-(battery/range_nm)*D20*O20*VLOOKUP(B20,country_opex,4,FALSE))/1000</f>
        <v/>
      </c>
      <c r="AG20" s="31" t="n"/>
      <c r="AH20" s="32" t="n"/>
      <c r="AI20" s="32" t="n"/>
      <c r="AJ20" s="39" t="n">
        <v>0.1</v>
      </c>
      <c r="AK20" s="34">
        <f>IF(AG20="","",AG20*AJ20)</f>
        <v/>
      </c>
      <c r="AL20" s="34">
        <f>IF(OR(AG20="",R20=0),"",MIN(IF(AT20="",9.9E+99,AT20),FLOOR(AK20/R20,1)))</f>
        <v/>
      </c>
      <c r="AM20" s="38">
        <f>IF(AL20="","",AL20*T20)</f>
        <v/>
      </c>
      <c r="AN20" s="36">
        <f>IF(OR(AG20="",R20=0),"",MIN(IF(AT20="",9.9E+99,AT20),AK20/R20))</f>
        <v/>
      </c>
      <c r="AO20" s="38">
        <f>IF(AN20="","",AN20*T20)</f>
        <v/>
      </c>
      <c r="AP20" s="40" t="n"/>
      <c r="AQ20" s="32" t="inlineStr">
        <is>
          <t>Estimated</t>
        </is>
      </c>
      <c r="AR20" s="41" t="n"/>
      <c r="AS20" s="41" t="n"/>
      <c r="AT20" s="42" t="n"/>
      <c r="AU20" s="43">
        <f>IF(((S20*pax_cap*load_thin*ROUND(K20*L20*revleg_thin,0))-(((battery/range_nm)*D20*ROUND(K20*L20*revleg_thin,0)*VLOOKUP(B20,country_opex,3,FALSE))+V20+W20+X20+Y20+Z20))&lt;=0,"",VLOOKUP(B20,country_opex,7,FALSE)/((S20*pax_cap*load_thin*ROUND(K20*L20*revleg_thin,0))-(((battery/range_nm)*D20*ROUND(K20*L20*revleg_thin,0)*VLOOKUP(B20,country_opex,3,FALSE))+V20+W20+X20+Y20+Z20)))</f>
        <v/>
      </c>
      <c r="AV20" s="43">
        <f>IF(((S20*pax_cap*load_mid*ROUND(K20*L20*revleg_mid,0))-(((battery/range_nm)*D20*ROUND(K20*L20*revleg_mid,0)*VLOOKUP(B20,country_opex,3,FALSE))+V20+W20+X20+Y20+Z20))&lt;=0,"",VLOOKUP(B20,country_opex,7,FALSE)/((S20*pax_cap*load_mid*ROUND(K20*L20*revleg_mid,0))-(((battery/range_nm)*D20*ROUND(K20*L20*revleg_mid,0)*VLOOKUP(B20,country_opex,3,FALSE))+V20+W20+X20+Y20+Z20)))</f>
        <v/>
      </c>
      <c r="AW20" s="43">
        <f>IF(((S20*pax_cap*load_full*ROUND(K20*L20*revleg_full,0))-(((battery/range_nm)*D20*ROUND(K20*L20*revleg_full,0)*VLOOKUP(B20,country_opex,3,FALSE))+V20+W20+X20+Y20+Z20))&lt;=0,"",VLOOKUP(B20,country_opex,7,FALSE)/((S20*pax_cap*load_full*ROUND(K20*L20*revleg_full,0))-(((battery/range_nm)*D20*ROUND(K20*L20*revleg_full,0)*VLOOKUP(B20,country_opex,3,FALSE))+V20+W20+X20+Y20+Z20)))</f>
        <v/>
      </c>
      <c r="AX20" s="44" t="n"/>
      <c r="AY20" s="44" t="n"/>
    </row>
    <row r="21">
      <c r="A21" s="29" t="inlineStr">
        <is>
          <t>Uae Noon</t>
        </is>
      </c>
      <c r="B21" s="29" t="inlineStr">
        <is>
          <t>United Arab Emirates</t>
        </is>
      </c>
      <c r="C21" s="30" t="inlineStr">
        <is>
          <t>Dubai Harbour Marina → Atlantis The Royal Jetty</t>
        </is>
      </c>
      <c r="D21" s="31" t="n">
        <v>4.9</v>
      </c>
      <c r="E21" s="26" t="n"/>
      <c r="F21" s="32" t="n"/>
      <c r="G21" s="32" t="n"/>
      <c r="H21" s="19" t="n">
        <v>1</v>
      </c>
      <c r="I21" s="33">
        <f>60*D21/cruise_kt</f>
        <v/>
      </c>
      <c r="J21" s="33">
        <f>I21+turn_min+dwell_min</f>
        <v/>
      </c>
      <c r="K21" s="34">
        <f>MIN(15,FLOOR(60*service_hr/J21,1))</f>
        <v/>
      </c>
      <c r="L21" s="34">
        <f>ROUND(365*mech_uptime*H21,0)</f>
        <v/>
      </c>
      <c r="M21" s="35">
        <f>mech_uptime</f>
        <v/>
      </c>
      <c r="N21" s="35">
        <f>revleg_sel</f>
        <v/>
      </c>
      <c r="O21" s="34">
        <f>ROUND(K21*L21*revleg_sel,0)</f>
        <v/>
      </c>
      <c r="P21" s="36">
        <f>load_sel</f>
        <v/>
      </c>
      <c r="Q21" s="36">
        <f>pax_cap*P21</f>
        <v/>
      </c>
      <c r="R21" s="34">
        <f>Q21*O21</f>
        <v/>
      </c>
      <c r="S21" s="37">
        <f>E21*discount</f>
        <v/>
      </c>
      <c r="T21" s="38">
        <f>S21*R21</f>
        <v/>
      </c>
      <c r="U21" s="38">
        <f>(battery/range_nm)*D21*O21*VLOOKUP(B21,country_opex,3,FALSE)</f>
        <v/>
      </c>
      <c r="V21" s="38">
        <f>VLOOKUP(B21,country_opex,2,FALSE)*crew_factor</f>
        <v/>
      </c>
      <c r="W21" s="38">
        <f>VLOOKUP(B21,country_opex,5,FALSE)</f>
        <v/>
      </c>
      <c r="X21" s="38">
        <f>maint</f>
        <v/>
      </c>
      <c r="Y21" s="38">
        <f>VLOOKUP(B21,country_opex,7,FALSE)*ins_pct</f>
        <v/>
      </c>
      <c r="Z21" s="38">
        <f>charge_berth</f>
        <v/>
      </c>
      <c r="AA21" s="38">
        <f>U21+V21+W21+X21+Y21+Z21</f>
        <v/>
      </c>
      <c r="AB21" s="38">
        <f>VLOOKUP(B21,country_opex,7,FALSE)/dep_years</f>
        <v/>
      </c>
      <c r="AC21" s="38">
        <f>T21-AA21</f>
        <v/>
      </c>
      <c r="AD21" s="35">
        <f>IF(T21=0,"",AC21/T21)</f>
        <v/>
      </c>
      <c r="AE21" s="36">
        <f>IF(AC21&lt;=0,"",VLOOKUP(B21,country_opex,7,FALSE)/AC21)</f>
        <v/>
      </c>
      <c r="AF21" s="33">
        <f>((D21*O21/diesel_nmpg)*diesel_co2pg-(battery/range_nm)*D21*O21*VLOOKUP(B21,country_opex,4,FALSE))/1000</f>
        <v/>
      </c>
      <c r="AG21" s="31" t="n"/>
      <c r="AH21" s="32" t="n"/>
      <c r="AI21" s="32" t="n"/>
      <c r="AJ21" s="39" t="n">
        <v>0.1</v>
      </c>
      <c r="AK21" s="34">
        <f>IF(AG21="","",AG21*AJ21)</f>
        <v/>
      </c>
      <c r="AL21" s="34">
        <f>IF(OR(AG21="",R21=0),"",MIN(IF(AT21="",9.9E+99,AT21),FLOOR(AK21/R21,1)))</f>
        <v/>
      </c>
      <c r="AM21" s="38">
        <f>IF(AL21="","",AL21*T21)</f>
        <v/>
      </c>
      <c r="AN21" s="36">
        <f>IF(OR(AG21="",R21=0),"",MIN(IF(AT21="",9.9E+99,AT21),AK21/R21))</f>
        <v/>
      </c>
      <c r="AO21" s="38">
        <f>IF(AN21="","",AN21*T21)</f>
        <v/>
      </c>
      <c r="AP21" s="40" t="n"/>
      <c r="AQ21" s="32" t="inlineStr">
        <is>
          <t>Estimated</t>
        </is>
      </c>
      <c r="AR21" s="41" t="n"/>
      <c r="AS21" s="41" t="n"/>
      <c r="AT21" s="42" t="n"/>
      <c r="AU21" s="43">
        <f>IF(((S21*pax_cap*load_thin*ROUND(K21*L21*revleg_thin,0))-(((battery/range_nm)*D21*ROUND(K21*L21*revleg_thin,0)*VLOOKUP(B21,country_opex,3,FALSE))+V21+W21+X21+Y21+Z21))&lt;=0,"",VLOOKUP(B21,country_opex,7,FALSE)/((S21*pax_cap*load_thin*ROUND(K21*L21*revleg_thin,0))-(((battery/range_nm)*D21*ROUND(K21*L21*revleg_thin,0)*VLOOKUP(B21,country_opex,3,FALSE))+V21+W21+X21+Y21+Z21)))</f>
        <v/>
      </c>
      <c r="AV21" s="43">
        <f>IF(((S21*pax_cap*load_mid*ROUND(K21*L21*revleg_mid,0))-(((battery/range_nm)*D21*ROUND(K21*L21*revleg_mid,0)*VLOOKUP(B21,country_opex,3,FALSE))+V21+W21+X21+Y21+Z21))&lt;=0,"",VLOOKUP(B21,country_opex,7,FALSE)/((S21*pax_cap*load_mid*ROUND(K21*L21*revleg_mid,0))-(((battery/range_nm)*D21*ROUND(K21*L21*revleg_mid,0)*VLOOKUP(B21,country_opex,3,FALSE))+V21+W21+X21+Y21+Z21)))</f>
        <v/>
      </c>
      <c r="AW21" s="43">
        <f>IF(((S21*pax_cap*load_full*ROUND(K21*L21*revleg_full,0))-(((battery/range_nm)*D21*ROUND(K21*L21*revleg_full,0)*VLOOKUP(B21,country_opex,3,FALSE))+V21+W21+X21+Y21+Z21))&lt;=0,"",VLOOKUP(B21,country_opex,7,FALSE)/((S21*pax_cap*load_full*ROUND(K21*L21*revleg_full,0))-(((battery/range_nm)*D21*ROUND(K21*L21*revleg_full,0)*VLOOKUP(B21,country_opex,3,FALSE))+V21+W21+X21+Y21+Z21)))</f>
        <v/>
      </c>
      <c r="AX21" s="44" t="n"/>
      <c r="AY21" s="44" t="n"/>
    </row>
    <row r="22">
      <c r="A22" s="29" t="inlineStr">
        <is>
          <t>Uae Noon</t>
        </is>
      </c>
      <c r="B22" s="29" t="inlineStr">
        <is>
          <t>United Arab Emirates</t>
        </is>
      </c>
      <c r="C22" s="30" t="inlineStr">
        <is>
          <t>Jebel Dhanna / Ruwais Ferry Terminal → Sir Bani Yas Cruise Port</t>
        </is>
      </c>
      <c r="D22" s="31" t="n">
        <v>5.3</v>
      </c>
      <c r="E22" s="26" t="n"/>
      <c r="F22" s="32" t="n"/>
      <c r="G22" s="32" t="n"/>
      <c r="H22" s="19" t="n">
        <v>1</v>
      </c>
      <c r="I22" s="33">
        <f>60*D22/cruise_kt</f>
        <v/>
      </c>
      <c r="J22" s="33">
        <f>I22+turn_min+dwell_min</f>
        <v/>
      </c>
      <c r="K22" s="34">
        <f>MIN(15,FLOOR(60*service_hr/J22,1))</f>
        <v/>
      </c>
      <c r="L22" s="34">
        <f>ROUND(365*mech_uptime*H22,0)</f>
        <v/>
      </c>
      <c r="M22" s="35">
        <f>mech_uptime</f>
        <v/>
      </c>
      <c r="N22" s="35">
        <f>revleg_sel</f>
        <v/>
      </c>
      <c r="O22" s="34">
        <f>ROUND(K22*L22*revleg_sel,0)</f>
        <v/>
      </c>
      <c r="P22" s="36">
        <f>load_sel</f>
        <v/>
      </c>
      <c r="Q22" s="36">
        <f>pax_cap*P22</f>
        <v/>
      </c>
      <c r="R22" s="34">
        <f>Q22*O22</f>
        <v/>
      </c>
      <c r="S22" s="37">
        <f>E22*discount</f>
        <v/>
      </c>
      <c r="T22" s="38">
        <f>S22*R22</f>
        <v/>
      </c>
      <c r="U22" s="38">
        <f>(battery/range_nm)*D22*O22*VLOOKUP(B22,country_opex,3,FALSE)</f>
        <v/>
      </c>
      <c r="V22" s="38">
        <f>VLOOKUP(B22,country_opex,2,FALSE)*crew_factor</f>
        <v/>
      </c>
      <c r="W22" s="38">
        <f>VLOOKUP(B22,country_opex,5,FALSE)</f>
        <v/>
      </c>
      <c r="X22" s="38">
        <f>maint</f>
        <v/>
      </c>
      <c r="Y22" s="38">
        <f>VLOOKUP(B22,country_opex,7,FALSE)*ins_pct</f>
        <v/>
      </c>
      <c r="Z22" s="38">
        <f>charge_berth</f>
        <v/>
      </c>
      <c r="AA22" s="38">
        <f>U22+V22+W22+X22+Y22+Z22</f>
        <v/>
      </c>
      <c r="AB22" s="38">
        <f>VLOOKUP(B22,country_opex,7,FALSE)/dep_years</f>
        <v/>
      </c>
      <c r="AC22" s="38">
        <f>T22-AA22</f>
        <v/>
      </c>
      <c r="AD22" s="35">
        <f>IF(T22=0,"",AC22/T22)</f>
        <v/>
      </c>
      <c r="AE22" s="36">
        <f>IF(AC22&lt;=0,"",VLOOKUP(B22,country_opex,7,FALSE)/AC22)</f>
        <v/>
      </c>
      <c r="AF22" s="33">
        <f>((D22*O22/diesel_nmpg)*diesel_co2pg-(battery/range_nm)*D22*O22*VLOOKUP(B22,country_opex,4,FALSE))/1000</f>
        <v/>
      </c>
      <c r="AG22" s="31" t="n"/>
      <c r="AH22" s="32" t="n"/>
      <c r="AI22" s="32" t="n"/>
      <c r="AJ22" s="39" t="n">
        <v>0.1</v>
      </c>
      <c r="AK22" s="34">
        <f>IF(AG22="","",AG22*AJ22)</f>
        <v/>
      </c>
      <c r="AL22" s="34">
        <f>IF(OR(AG22="",R22=0),"",MIN(IF(AT22="",9.9E+99,AT22),FLOOR(AK22/R22,1)))</f>
        <v/>
      </c>
      <c r="AM22" s="38">
        <f>IF(AL22="","",AL22*T22)</f>
        <v/>
      </c>
      <c r="AN22" s="36">
        <f>IF(OR(AG22="",R22=0),"",MIN(IF(AT22="",9.9E+99,AT22),AK22/R22))</f>
        <v/>
      </c>
      <c r="AO22" s="38">
        <f>IF(AN22="","",AN22*T22)</f>
        <v/>
      </c>
      <c r="AP22" s="40" t="n"/>
      <c r="AQ22" s="32" t="inlineStr">
        <is>
          <t>Estimated</t>
        </is>
      </c>
      <c r="AR22" s="41" t="n"/>
      <c r="AS22" s="41" t="n"/>
      <c r="AT22" s="42" t="n"/>
      <c r="AU22" s="43">
        <f>IF(((S22*pax_cap*load_thin*ROUND(K22*L22*revleg_thin,0))-(((battery/range_nm)*D22*ROUND(K22*L22*revleg_thin,0)*VLOOKUP(B22,country_opex,3,FALSE))+V22+W22+X22+Y22+Z22))&lt;=0,"",VLOOKUP(B22,country_opex,7,FALSE)/((S22*pax_cap*load_thin*ROUND(K22*L22*revleg_thin,0))-(((battery/range_nm)*D22*ROUND(K22*L22*revleg_thin,0)*VLOOKUP(B22,country_opex,3,FALSE))+V22+W22+X22+Y22+Z22)))</f>
        <v/>
      </c>
      <c r="AV22" s="43">
        <f>IF(((S22*pax_cap*load_mid*ROUND(K22*L22*revleg_mid,0))-(((battery/range_nm)*D22*ROUND(K22*L22*revleg_mid,0)*VLOOKUP(B22,country_opex,3,FALSE))+V22+W22+X22+Y22+Z22))&lt;=0,"",VLOOKUP(B22,country_opex,7,FALSE)/((S22*pax_cap*load_mid*ROUND(K22*L22*revleg_mid,0))-(((battery/range_nm)*D22*ROUND(K22*L22*revleg_mid,0)*VLOOKUP(B22,country_opex,3,FALSE))+V22+W22+X22+Y22+Z22)))</f>
        <v/>
      </c>
      <c r="AW22" s="43">
        <f>IF(((S22*pax_cap*load_full*ROUND(K22*L22*revleg_full,0))-(((battery/range_nm)*D22*ROUND(K22*L22*revleg_full,0)*VLOOKUP(B22,country_opex,3,FALSE))+V22+W22+X22+Y22+Z22))&lt;=0,"",VLOOKUP(B22,country_opex,7,FALSE)/((S22*pax_cap*load_full*ROUND(K22*L22*revleg_full,0))-(((battery/range_nm)*D22*ROUND(K22*L22*revleg_full,0)*VLOOKUP(B22,country_opex,3,FALSE))+V22+W22+X22+Y22+Z22)))</f>
        <v/>
      </c>
      <c r="AX22" s="44" t="n"/>
      <c r="AY22" s="44" t="n"/>
    </row>
    <row r="23">
      <c r="A23" s="29" t="inlineStr">
        <is>
          <t>Uae Noon</t>
        </is>
      </c>
      <c r="B23" s="29" t="inlineStr">
        <is>
          <t>United Arab Emirates</t>
        </is>
      </c>
      <c r="C23" s="30" t="inlineStr">
        <is>
          <t>Dubai Harbour Marina → Burj Al Arab Private Jetty</t>
        </is>
      </c>
      <c r="D23" s="31" t="n">
        <v>6.9</v>
      </c>
      <c r="E23" s="26" t="n"/>
      <c r="F23" s="32" t="n"/>
      <c r="G23" s="32" t="n"/>
      <c r="H23" s="19" t="n">
        <v>1</v>
      </c>
      <c r="I23" s="33">
        <f>60*D23/cruise_kt</f>
        <v/>
      </c>
      <c r="J23" s="33">
        <f>I23+turn_min+dwell_min</f>
        <v/>
      </c>
      <c r="K23" s="34">
        <f>MIN(15,FLOOR(60*service_hr/J23,1))</f>
        <v/>
      </c>
      <c r="L23" s="34">
        <f>ROUND(365*mech_uptime*H23,0)</f>
        <v/>
      </c>
      <c r="M23" s="35">
        <f>mech_uptime</f>
        <v/>
      </c>
      <c r="N23" s="35">
        <f>revleg_sel</f>
        <v/>
      </c>
      <c r="O23" s="34">
        <f>ROUND(K23*L23*revleg_sel,0)</f>
        <v/>
      </c>
      <c r="P23" s="36">
        <f>load_sel</f>
        <v/>
      </c>
      <c r="Q23" s="36">
        <f>pax_cap*P23</f>
        <v/>
      </c>
      <c r="R23" s="34">
        <f>Q23*O23</f>
        <v/>
      </c>
      <c r="S23" s="37">
        <f>E23*discount</f>
        <v/>
      </c>
      <c r="T23" s="38">
        <f>S23*R23</f>
        <v/>
      </c>
      <c r="U23" s="38">
        <f>(battery/range_nm)*D23*O23*VLOOKUP(B23,country_opex,3,FALSE)</f>
        <v/>
      </c>
      <c r="V23" s="38">
        <f>VLOOKUP(B23,country_opex,2,FALSE)*crew_factor</f>
        <v/>
      </c>
      <c r="W23" s="38">
        <f>VLOOKUP(B23,country_opex,5,FALSE)</f>
        <v/>
      </c>
      <c r="X23" s="38">
        <f>maint</f>
        <v/>
      </c>
      <c r="Y23" s="38">
        <f>VLOOKUP(B23,country_opex,7,FALSE)*ins_pct</f>
        <v/>
      </c>
      <c r="Z23" s="38">
        <f>charge_berth</f>
        <v/>
      </c>
      <c r="AA23" s="38">
        <f>U23+V23+W23+X23+Y23+Z23</f>
        <v/>
      </c>
      <c r="AB23" s="38">
        <f>VLOOKUP(B23,country_opex,7,FALSE)/dep_years</f>
        <v/>
      </c>
      <c r="AC23" s="38">
        <f>T23-AA23</f>
        <v/>
      </c>
      <c r="AD23" s="35">
        <f>IF(T23=0,"",AC23/T23)</f>
        <v/>
      </c>
      <c r="AE23" s="36">
        <f>IF(AC23&lt;=0,"",VLOOKUP(B23,country_opex,7,FALSE)/AC23)</f>
        <v/>
      </c>
      <c r="AF23" s="33">
        <f>((D23*O23/diesel_nmpg)*diesel_co2pg-(battery/range_nm)*D23*O23*VLOOKUP(B23,country_opex,4,FALSE))/1000</f>
        <v/>
      </c>
      <c r="AG23" s="31" t="n"/>
      <c r="AH23" s="32" t="n"/>
      <c r="AI23" s="32" t="n"/>
      <c r="AJ23" s="39" t="n">
        <v>0.1</v>
      </c>
      <c r="AK23" s="34">
        <f>IF(AG23="","",AG23*AJ23)</f>
        <v/>
      </c>
      <c r="AL23" s="34">
        <f>IF(OR(AG23="",R23=0),"",MIN(IF(AT23="",9.9E+99,AT23),FLOOR(AK23/R23,1)))</f>
        <v/>
      </c>
      <c r="AM23" s="38">
        <f>IF(AL23="","",AL23*T23)</f>
        <v/>
      </c>
      <c r="AN23" s="36">
        <f>IF(OR(AG23="",R23=0),"",MIN(IF(AT23="",9.9E+99,AT23),AK23/R23))</f>
        <v/>
      </c>
      <c r="AO23" s="38">
        <f>IF(AN23="","",AN23*T23)</f>
        <v/>
      </c>
      <c r="AP23" s="40" t="n"/>
      <c r="AQ23" s="32" t="inlineStr">
        <is>
          <t>Estimated</t>
        </is>
      </c>
      <c r="AR23" s="41" t="n"/>
      <c r="AS23" s="41" t="n"/>
      <c r="AT23" s="42" t="n"/>
      <c r="AU23" s="43">
        <f>IF(((S23*pax_cap*load_thin*ROUND(K23*L23*revleg_thin,0))-(((battery/range_nm)*D23*ROUND(K23*L23*revleg_thin,0)*VLOOKUP(B23,country_opex,3,FALSE))+V23+W23+X23+Y23+Z23))&lt;=0,"",VLOOKUP(B23,country_opex,7,FALSE)/((S23*pax_cap*load_thin*ROUND(K23*L23*revleg_thin,0))-(((battery/range_nm)*D23*ROUND(K23*L23*revleg_thin,0)*VLOOKUP(B23,country_opex,3,FALSE))+V23+W23+X23+Y23+Z23)))</f>
        <v/>
      </c>
      <c r="AV23" s="43">
        <f>IF(((S23*pax_cap*load_mid*ROUND(K23*L23*revleg_mid,0))-(((battery/range_nm)*D23*ROUND(K23*L23*revleg_mid,0)*VLOOKUP(B23,country_opex,3,FALSE))+V23+W23+X23+Y23+Z23))&lt;=0,"",VLOOKUP(B23,country_opex,7,FALSE)/((S23*pax_cap*load_mid*ROUND(K23*L23*revleg_mid,0))-(((battery/range_nm)*D23*ROUND(K23*L23*revleg_mid,0)*VLOOKUP(B23,country_opex,3,FALSE))+V23+W23+X23+Y23+Z23)))</f>
        <v/>
      </c>
      <c r="AW23" s="43">
        <f>IF(((S23*pax_cap*load_full*ROUND(K23*L23*revleg_full,0))-(((battery/range_nm)*D23*ROUND(K23*L23*revleg_full,0)*VLOOKUP(B23,country_opex,3,FALSE))+V23+W23+X23+Y23+Z23))&lt;=0,"",VLOOKUP(B23,country_opex,7,FALSE)/((S23*pax_cap*load_full*ROUND(K23*L23*revleg_full,0))-(((battery/range_nm)*D23*ROUND(K23*L23*revleg_full,0)*VLOOKUP(B23,country_opex,3,FALSE))+V23+W23+X23+Y23+Z23)))</f>
        <v/>
      </c>
      <c r="AX23" s="44" t="n"/>
      <c r="AY23" s="44" t="n"/>
    </row>
    <row r="24">
      <c r="A24" s="29" t="inlineStr">
        <is>
          <t>Uae Noon</t>
        </is>
      </c>
      <c r="B24" s="29" t="inlineStr">
        <is>
          <t>United Arab Emirates</t>
        </is>
      </c>
      <c r="C24" s="30" t="inlineStr">
        <is>
          <t>Marina Mall / Breakwater Marina → Reem Island Marina (Najmat / Marina Square)</t>
        </is>
      </c>
      <c r="D24" s="31" t="n">
        <v>7.1</v>
      </c>
      <c r="E24" s="26" t="n"/>
      <c r="F24" s="32" t="n"/>
      <c r="G24" s="32" t="n"/>
      <c r="H24" s="19" t="n">
        <v>1</v>
      </c>
      <c r="I24" s="33">
        <f>60*D24/cruise_kt</f>
        <v/>
      </c>
      <c r="J24" s="33">
        <f>I24+turn_min+dwell_min</f>
        <v/>
      </c>
      <c r="K24" s="34">
        <f>MIN(15,FLOOR(60*service_hr/J24,1))</f>
        <v/>
      </c>
      <c r="L24" s="34">
        <f>ROUND(365*mech_uptime*H24,0)</f>
        <v/>
      </c>
      <c r="M24" s="35">
        <f>mech_uptime</f>
        <v/>
      </c>
      <c r="N24" s="35">
        <f>revleg_sel</f>
        <v/>
      </c>
      <c r="O24" s="34">
        <f>ROUND(K24*L24*revleg_sel,0)</f>
        <v/>
      </c>
      <c r="P24" s="36">
        <f>load_sel</f>
        <v/>
      </c>
      <c r="Q24" s="36">
        <f>pax_cap*P24</f>
        <v/>
      </c>
      <c r="R24" s="34">
        <f>Q24*O24</f>
        <v/>
      </c>
      <c r="S24" s="37">
        <f>E24*discount</f>
        <v/>
      </c>
      <c r="T24" s="38">
        <f>S24*R24</f>
        <v/>
      </c>
      <c r="U24" s="38">
        <f>(battery/range_nm)*D24*O24*VLOOKUP(B24,country_opex,3,FALSE)</f>
        <v/>
      </c>
      <c r="V24" s="38">
        <f>VLOOKUP(B24,country_opex,2,FALSE)*crew_factor</f>
        <v/>
      </c>
      <c r="W24" s="38">
        <f>VLOOKUP(B24,country_opex,5,FALSE)</f>
        <v/>
      </c>
      <c r="X24" s="38">
        <f>maint</f>
        <v/>
      </c>
      <c r="Y24" s="38">
        <f>VLOOKUP(B24,country_opex,7,FALSE)*ins_pct</f>
        <v/>
      </c>
      <c r="Z24" s="38">
        <f>charge_berth</f>
        <v/>
      </c>
      <c r="AA24" s="38">
        <f>U24+V24+W24+X24+Y24+Z24</f>
        <v/>
      </c>
      <c r="AB24" s="38">
        <f>VLOOKUP(B24,country_opex,7,FALSE)/dep_years</f>
        <v/>
      </c>
      <c r="AC24" s="38">
        <f>T24-AA24</f>
        <v/>
      </c>
      <c r="AD24" s="35">
        <f>IF(T24=0,"",AC24/T24)</f>
        <v/>
      </c>
      <c r="AE24" s="36">
        <f>IF(AC24&lt;=0,"",VLOOKUP(B24,country_opex,7,FALSE)/AC24)</f>
        <v/>
      </c>
      <c r="AF24" s="33">
        <f>((D24*O24/diesel_nmpg)*diesel_co2pg-(battery/range_nm)*D24*O24*VLOOKUP(B24,country_opex,4,FALSE))/1000</f>
        <v/>
      </c>
      <c r="AG24" s="31" t="n"/>
      <c r="AH24" s="32" t="n"/>
      <c r="AI24" s="32" t="n"/>
      <c r="AJ24" s="39" t="n">
        <v>0.1</v>
      </c>
      <c r="AK24" s="34">
        <f>IF(AG24="","",AG24*AJ24)</f>
        <v/>
      </c>
      <c r="AL24" s="34">
        <f>IF(OR(AG24="",R24=0),"",MIN(IF(AT24="",9.9E+99,AT24),FLOOR(AK24/R24,1)))</f>
        <v/>
      </c>
      <c r="AM24" s="38">
        <f>IF(AL24="","",AL24*T24)</f>
        <v/>
      </c>
      <c r="AN24" s="36">
        <f>IF(OR(AG24="",R24=0),"",MIN(IF(AT24="",9.9E+99,AT24),AK24/R24))</f>
        <v/>
      </c>
      <c r="AO24" s="38">
        <f>IF(AN24="","",AN24*T24)</f>
        <v/>
      </c>
      <c r="AP24" s="40" t="n"/>
      <c r="AQ24" s="32" t="inlineStr">
        <is>
          <t>Estimated</t>
        </is>
      </c>
      <c r="AR24" s="41" t="n"/>
      <c r="AS24" s="41" t="n"/>
      <c r="AT24" s="42" t="n"/>
      <c r="AU24" s="43">
        <f>IF(((S24*pax_cap*load_thin*ROUND(K24*L24*revleg_thin,0))-(((battery/range_nm)*D24*ROUND(K24*L24*revleg_thin,0)*VLOOKUP(B24,country_opex,3,FALSE))+V24+W24+X24+Y24+Z24))&lt;=0,"",VLOOKUP(B24,country_opex,7,FALSE)/((S24*pax_cap*load_thin*ROUND(K24*L24*revleg_thin,0))-(((battery/range_nm)*D24*ROUND(K24*L24*revleg_thin,0)*VLOOKUP(B24,country_opex,3,FALSE))+V24+W24+X24+Y24+Z24)))</f>
        <v/>
      </c>
      <c r="AV24" s="43">
        <f>IF(((S24*pax_cap*load_mid*ROUND(K24*L24*revleg_mid,0))-(((battery/range_nm)*D24*ROUND(K24*L24*revleg_mid,0)*VLOOKUP(B24,country_opex,3,FALSE))+V24+W24+X24+Y24+Z24))&lt;=0,"",VLOOKUP(B24,country_opex,7,FALSE)/((S24*pax_cap*load_mid*ROUND(K24*L24*revleg_mid,0))-(((battery/range_nm)*D24*ROUND(K24*L24*revleg_mid,0)*VLOOKUP(B24,country_opex,3,FALSE))+V24+W24+X24+Y24+Z24)))</f>
        <v/>
      </c>
      <c r="AW24" s="43">
        <f>IF(((S24*pax_cap*load_full*ROUND(K24*L24*revleg_full,0))-(((battery/range_nm)*D24*ROUND(K24*L24*revleg_full,0)*VLOOKUP(B24,country_opex,3,FALSE))+V24+W24+X24+Y24+Z24))&lt;=0,"",VLOOKUP(B24,country_opex,7,FALSE)/((S24*pax_cap*load_full*ROUND(K24*L24*revleg_full,0))-(((battery/range_nm)*D24*ROUND(K24*L24*revleg_full,0)*VLOOKUP(B24,country_opex,3,FALSE))+V24+W24+X24+Y24+Z24)))</f>
        <v/>
      </c>
      <c r="AX24" s="44" t="n"/>
      <c r="AY24" s="44" t="n"/>
    </row>
    <row r="25">
      <c r="A25" s="29" t="inlineStr">
        <is>
          <t>Uae Noon</t>
        </is>
      </c>
      <c r="B25" s="29" t="inlineStr">
        <is>
          <t>United Arab Emirates</t>
        </is>
      </c>
      <c r="C25" s="30" t="inlineStr">
        <is>
          <t>Dubai Harbour Marina → Anantara World Islands Resort Jetty (planned)</t>
        </is>
      </c>
      <c r="D25" s="31" t="n">
        <v>7.9</v>
      </c>
      <c r="E25" s="26" t="n"/>
      <c r="F25" s="32" t="n"/>
      <c r="G25" s="32" t="n"/>
      <c r="H25" s="19" t="n">
        <v>1</v>
      </c>
      <c r="I25" s="33">
        <f>60*D25/cruise_kt</f>
        <v/>
      </c>
      <c r="J25" s="33">
        <f>I25+turn_min+dwell_min</f>
        <v/>
      </c>
      <c r="K25" s="34">
        <f>MIN(15,FLOOR(60*service_hr/J25,1))</f>
        <v/>
      </c>
      <c r="L25" s="34">
        <f>ROUND(365*mech_uptime*H25,0)</f>
        <v/>
      </c>
      <c r="M25" s="35">
        <f>mech_uptime</f>
        <v/>
      </c>
      <c r="N25" s="35">
        <f>revleg_sel</f>
        <v/>
      </c>
      <c r="O25" s="34">
        <f>ROUND(K25*L25*revleg_sel,0)</f>
        <v/>
      </c>
      <c r="P25" s="36">
        <f>load_sel</f>
        <v/>
      </c>
      <c r="Q25" s="36">
        <f>pax_cap*P25</f>
        <v/>
      </c>
      <c r="R25" s="34">
        <f>Q25*O25</f>
        <v/>
      </c>
      <c r="S25" s="37">
        <f>E25*discount</f>
        <v/>
      </c>
      <c r="T25" s="38">
        <f>S25*R25</f>
        <v/>
      </c>
      <c r="U25" s="38">
        <f>(battery/range_nm)*D25*O25*VLOOKUP(B25,country_opex,3,FALSE)</f>
        <v/>
      </c>
      <c r="V25" s="38">
        <f>VLOOKUP(B25,country_opex,2,FALSE)*crew_factor</f>
        <v/>
      </c>
      <c r="W25" s="38">
        <f>VLOOKUP(B25,country_opex,5,FALSE)</f>
        <v/>
      </c>
      <c r="X25" s="38">
        <f>maint</f>
        <v/>
      </c>
      <c r="Y25" s="38">
        <f>VLOOKUP(B25,country_opex,7,FALSE)*ins_pct</f>
        <v/>
      </c>
      <c r="Z25" s="38">
        <f>charge_berth</f>
        <v/>
      </c>
      <c r="AA25" s="38">
        <f>U25+V25+W25+X25+Y25+Z25</f>
        <v/>
      </c>
      <c r="AB25" s="38">
        <f>VLOOKUP(B25,country_opex,7,FALSE)/dep_years</f>
        <v/>
      </c>
      <c r="AC25" s="38">
        <f>T25-AA25</f>
        <v/>
      </c>
      <c r="AD25" s="35">
        <f>IF(T25=0,"",AC25/T25)</f>
        <v/>
      </c>
      <c r="AE25" s="36">
        <f>IF(AC25&lt;=0,"",VLOOKUP(B25,country_opex,7,FALSE)/AC25)</f>
        <v/>
      </c>
      <c r="AF25" s="33">
        <f>((D25*O25/diesel_nmpg)*diesel_co2pg-(battery/range_nm)*D25*O25*VLOOKUP(B25,country_opex,4,FALSE))/1000</f>
        <v/>
      </c>
      <c r="AG25" s="31" t="n"/>
      <c r="AH25" s="32" t="n"/>
      <c r="AI25" s="32" t="n"/>
      <c r="AJ25" s="39" t="n">
        <v>0.1</v>
      </c>
      <c r="AK25" s="34">
        <f>IF(AG25="","",AG25*AJ25)</f>
        <v/>
      </c>
      <c r="AL25" s="34">
        <f>IF(OR(AG25="",R25=0),"",MIN(IF(AT25="",9.9E+99,AT25),FLOOR(AK25/R25,1)))</f>
        <v/>
      </c>
      <c r="AM25" s="38">
        <f>IF(AL25="","",AL25*T25)</f>
        <v/>
      </c>
      <c r="AN25" s="36">
        <f>IF(OR(AG25="",R25=0),"",MIN(IF(AT25="",9.9E+99,AT25),AK25/R25))</f>
        <v/>
      </c>
      <c r="AO25" s="38">
        <f>IF(AN25="","",AN25*T25)</f>
        <v/>
      </c>
      <c r="AP25" s="40" t="n"/>
      <c r="AQ25" s="32" t="inlineStr">
        <is>
          <t>Estimated</t>
        </is>
      </c>
      <c r="AR25" s="41" t="n"/>
      <c r="AS25" s="41" t="n"/>
      <c r="AT25" s="42" t="n"/>
      <c r="AU25" s="43">
        <f>IF(((S25*pax_cap*load_thin*ROUND(K25*L25*revleg_thin,0))-(((battery/range_nm)*D25*ROUND(K25*L25*revleg_thin,0)*VLOOKUP(B25,country_opex,3,FALSE))+V25+W25+X25+Y25+Z25))&lt;=0,"",VLOOKUP(B25,country_opex,7,FALSE)/((S25*pax_cap*load_thin*ROUND(K25*L25*revleg_thin,0))-(((battery/range_nm)*D25*ROUND(K25*L25*revleg_thin,0)*VLOOKUP(B25,country_opex,3,FALSE))+V25+W25+X25+Y25+Z25)))</f>
        <v/>
      </c>
      <c r="AV25" s="43">
        <f>IF(((S25*pax_cap*load_mid*ROUND(K25*L25*revleg_mid,0))-(((battery/range_nm)*D25*ROUND(K25*L25*revleg_mid,0)*VLOOKUP(B25,country_opex,3,FALSE))+V25+W25+X25+Y25+Z25))&lt;=0,"",VLOOKUP(B25,country_opex,7,FALSE)/((S25*pax_cap*load_mid*ROUND(K25*L25*revleg_mid,0))-(((battery/range_nm)*D25*ROUND(K25*L25*revleg_mid,0)*VLOOKUP(B25,country_opex,3,FALSE))+V25+W25+X25+Y25+Z25)))</f>
        <v/>
      </c>
      <c r="AW25" s="43">
        <f>IF(((S25*pax_cap*load_full*ROUND(K25*L25*revleg_full,0))-(((battery/range_nm)*D25*ROUND(K25*L25*revleg_full,0)*VLOOKUP(B25,country_opex,3,FALSE))+V25+W25+X25+Y25+Z25))&lt;=0,"",VLOOKUP(B25,country_opex,7,FALSE)/((S25*pax_cap*load_full*ROUND(K25*L25*revleg_full,0))-(((battery/range_nm)*D25*ROUND(K25*L25*revleg_full,0)*VLOOKUP(B25,country_opex,3,FALSE))+V25+W25+X25+Y25+Z25)))</f>
        <v/>
      </c>
      <c r="AX25" s="44" t="n"/>
      <c r="AY25" s="44" t="n"/>
    </row>
    <row r="26">
      <c r="A26" s="29" t="inlineStr">
        <is>
          <t>Uae Noon</t>
        </is>
      </c>
      <c r="B26" s="29" t="inlineStr">
        <is>
          <t>United Arab Emirates</t>
        </is>
      </c>
      <c r="C26" s="30" t="inlineStr">
        <is>
          <t>Saadiyat Beach Club Jetty → Marina Mall / Breakwater Marina</t>
        </is>
      </c>
      <c r="D26" s="31" t="n">
        <v>8.9</v>
      </c>
      <c r="E26" s="26" t="n"/>
      <c r="F26" s="32" t="n"/>
      <c r="G26" s="32" t="n"/>
      <c r="H26" s="19" t="n">
        <v>1</v>
      </c>
      <c r="I26" s="33">
        <f>60*D26/cruise_kt</f>
        <v/>
      </c>
      <c r="J26" s="33">
        <f>I26+turn_min+dwell_min</f>
        <v/>
      </c>
      <c r="K26" s="34">
        <f>MIN(15,FLOOR(60*service_hr/J26,1))</f>
        <v/>
      </c>
      <c r="L26" s="34">
        <f>ROUND(365*mech_uptime*H26,0)</f>
        <v/>
      </c>
      <c r="M26" s="35">
        <f>mech_uptime</f>
        <v/>
      </c>
      <c r="N26" s="35">
        <f>revleg_sel</f>
        <v/>
      </c>
      <c r="O26" s="34">
        <f>ROUND(K26*L26*revleg_sel,0)</f>
        <v/>
      </c>
      <c r="P26" s="36">
        <f>load_sel</f>
        <v/>
      </c>
      <c r="Q26" s="36">
        <f>pax_cap*P26</f>
        <v/>
      </c>
      <c r="R26" s="34">
        <f>Q26*O26</f>
        <v/>
      </c>
      <c r="S26" s="37">
        <f>E26*discount</f>
        <v/>
      </c>
      <c r="T26" s="38">
        <f>S26*R26</f>
        <v/>
      </c>
      <c r="U26" s="38">
        <f>(battery/range_nm)*D26*O26*VLOOKUP(B26,country_opex,3,FALSE)</f>
        <v/>
      </c>
      <c r="V26" s="38">
        <f>VLOOKUP(B26,country_opex,2,FALSE)*crew_factor</f>
        <v/>
      </c>
      <c r="W26" s="38">
        <f>VLOOKUP(B26,country_opex,5,FALSE)</f>
        <v/>
      </c>
      <c r="X26" s="38">
        <f>maint</f>
        <v/>
      </c>
      <c r="Y26" s="38">
        <f>VLOOKUP(B26,country_opex,7,FALSE)*ins_pct</f>
        <v/>
      </c>
      <c r="Z26" s="38">
        <f>charge_berth</f>
        <v/>
      </c>
      <c r="AA26" s="38">
        <f>U26+V26+W26+X26+Y26+Z26</f>
        <v/>
      </c>
      <c r="AB26" s="38">
        <f>VLOOKUP(B26,country_opex,7,FALSE)/dep_years</f>
        <v/>
      </c>
      <c r="AC26" s="38">
        <f>T26-AA26</f>
        <v/>
      </c>
      <c r="AD26" s="35">
        <f>IF(T26=0,"",AC26/T26)</f>
        <v/>
      </c>
      <c r="AE26" s="36">
        <f>IF(AC26&lt;=0,"",VLOOKUP(B26,country_opex,7,FALSE)/AC26)</f>
        <v/>
      </c>
      <c r="AF26" s="33">
        <f>((D26*O26/diesel_nmpg)*diesel_co2pg-(battery/range_nm)*D26*O26*VLOOKUP(B26,country_opex,4,FALSE))/1000</f>
        <v/>
      </c>
      <c r="AG26" s="31" t="n"/>
      <c r="AH26" s="32" t="n"/>
      <c r="AI26" s="32" t="n"/>
      <c r="AJ26" s="39" t="n">
        <v>0.1</v>
      </c>
      <c r="AK26" s="34">
        <f>IF(AG26="","",AG26*AJ26)</f>
        <v/>
      </c>
      <c r="AL26" s="34">
        <f>IF(OR(AG26="",R26=0),"",MIN(IF(AT26="",9.9E+99,AT26),FLOOR(AK26/R26,1)))</f>
        <v/>
      </c>
      <c r="AM26" s="38">
        <f>IF(AL26="","",AL26*T26)</f>
        <v/>
      </c>
      <c r="AN26" s="36">
        <f>IF(OR(AG26="",R26=0),"",MIN(IF(AT26="",9.9E+99,AT26),AK26/R26))</f>
        <v/>
      </c>
      <c r="AO26" s="38">
        <f>IF(AN26="","",AN26*T26)</f>
        <v/>
      </c>
      <c r="AP26" s="40" t="n"/>
      <c r="AQ26" s="32" t="inlineStr">
        <is>
          <t>Estimated</t>
        </is>
      </c>
      <c r="AR26" s="41" t="n"/>
      <c r="AS26" s="41" t="n"/>
      <c r="AT26" s="42" t="n"/>
      <c r="AU26" s="43">
        <f>IF(((S26*pax_cap*load_thin*ROUND(K26*L26*revleg_thin,0))-(((battery/range_nm)*D26*ROUND(K26*L26*revleg_thin,0)*VLOOKUP(B26,country_opex,3,FALSE))+V26+W26+X26+Y26+Z26))&lt;=0,"",VLOOKUP(B26,country_opex,7,FALSE)/((S26*pax_cap*load_thin*ROUND(K26*L26*revleg_thin,0))-(((battery/range_nm)*D26*ROUND(K26*L26*revleg_thin,0)*VLOOKUP(B26,country_opex,3,FALSE))+V26+W26+X26+Y26+Z26)))</f>
        <v/>
      </c>
      <c r="AV26" s="43">
        <f>IF(((S26*pax_cap*load_mid*ROUND(K26*L26*revleg_mid,0))-(((battery/range_nm)*D26*ROUND(K26*L26*revleg_mid,0)*VLOOKUP(B26,country_opex,3,FALSE))+V26+W26+X26+Y26+Z26))&lt;=0,"",VLOOKUP(B26,country_opex,7,FALSE)/((S26*pax_cap*load_mid*ROUND(K26*L26*revleg_mid,0))-(((battery/range_nm)*D26*ROUND(K26*L26*revleg_mid,0)*VLOOKUP(B26,country_opex,3,FALSE))+V26+W26+X26+Y26+Z26)))</f>
        <v/>
      </c>
      <c r="AW26" s="43">
        <f>IF(((S26*pax_cap*load_full*ROUND(K26*L26*revleg_full,0))-(((battery/range_nm)*D26*ROUND(K26*L26*revleg_full,0)*VLOOKUP(B26,country_opex,3,FALSE))+V26+W26+X26+Y26+Z26))&lt;=0,"",VLOOKUP(B26,country_opex,7,FALSE)/((S26*pax_cap*load_full*ROUND(K26*L26*revleg_full,0))-(((battery/range_nm)*D26*ROUND(K26*L26*revleg_full,0)*VLOOKUP(B26,country_opex,3,FALSE))+V26+W26+X26+Y26+Z26)))</f>
        <v/>
      </c>
      <c r="AX26" s="44" t="n"/>
      <c r="AY26" s="44" t="n"/>
    </row>
    <row r="27">
      <c r="A27" s="29" t="inlineStr">
        <is>
          <t>Uae Noon</t>
        </is>
      </c>
      <c r="B27" s="29" t="inlineStr">
        <is>
          <t>United Arab Emirates</t>
        </is>
      </c>
      <c r="C27" s="30" t="inlineStr">
        <is>
          <t>Dubai Harbour Marina → Côte d'Azur Resort Marina (Heart of Europe)</t>
        </is>
      </c>
      <c r="D27" s="31" t="n">
        <v>9.199999999999999</v>
      </c>
      <c r="E27" s="26" t="n"/>
      <c r="F27" s="32" t="n"/>
      <c r="G27" s="32" t="n"/>
      <c r="H27" s="19" t="n">
        <v>1</v>
      </c>
      <c r="I27" s="33">
        <f>60*D27/cruise_kt</f>
        <v/>
      </c>
      <c r="J27" s="33">
        <f>I27+turn_min+dwell_min</f>
        <v/>
      </c>
      <c r="K27" s="34">
        <f>MIN(15,FLOOR(60*service_hr/J27,1))</f>
        <v/>
      </c>
      <c r="L27" s="34">
        <f>ROUND(365*mech_uptime*H27,0)</f>
        <v/>
      </c>
      <c r="M27" s="35">
        <f>mech_uptime</f>
        <v/>
      </c>
      <c r="N27" s="35">
        <f>revleg_sel</f>
        <v/>
      </c>
      <c r="O27" s="34">
        <f>ROUND(K27*L27*revleg_sel,0)</f>
        <v/>
      </c>
      <c r="P27" s="36">
        <f>load_sel</f>
        <v/>
      </c>
      <c r="Q27" s="36">
        <f>pax_cap*P27</f>
        <v/>
      </c>
      <c r="R27" s="34">
        <f>Q27*O27</f>
        <v/>
      </c>
      <c r="S27" s="37">
        <f>E27*discount</f>
        <v/>
      </c>
      <c r="T27" s="38">
        <f>S27*R27</f>
        <v/>
      </c>
      <c r="U27" s="38">
        <f>(battery/range_nm)*D27*O27*VLOOKUP(B27,country_opex,3,FALSE)</f>
        <v/>
      </c>
      <c r="V27" s="38">
        <f>VLOOKUP(B27,country_opex,2,FALSE)*crew_factor</f>
        <v/>
      </c>
      <c r="W27" s="38">
        <f>VLOOKUP(B27,country_opex,5,FALSE)</f>
        <v/>
      </c>
      <c r="X27" s="38">
        <f>maint</f>
        <v/>
      </c>
      <c r="Y27" s="38">
        <f>VLOOKUP(B27,country_opex,7,FALSE)*ins_pct</f>
        <v/>
      </c>
      <c r="Z27" s="38">
        <f>charge_berth</f>
        <v/>
      </c>
      <c r="AA27" s="38">
        <f>U27+V27+W27+X27+Y27+Z27</f>
        <v/>
      </c>
      <c r="AB27" s="38">
        <f>VLOOKUP(B27,country_opex,7,FALSE)/dep_years</f>
        <v/>
      </c>
      <c r="AC27" s="38">
        <f>T27-AA27</f>
        <v/>
      </c>
      <c r="AD27" s="35">
        <f>IF(T27=0,"",AC27/T27)</f>
        <v/>
      </c>
      <c r="AE27" s="36">
        <f>IF(AC27&lt;=0,"",VLOOKUP(B27,country_opex,7,FALSE)/AC27)</f>
        <v/>
      </c>
      <c r="AF27" s="33">
        <f>((D27*O27/diesel_nmpg)*diesel_co2pg-(battery/range_nm)*D27*O27*VLOOKUP(B27,country_opex,4,FALSE))/1000</f>
        <v/>
      </c>
      <c r="AG27" s="31" t="n"/>
      <c r="AH27" s="32" t="n"/>
      <c r="AI27" s="32" t="n"/>
      <c r="AJ27" s="39" t="n">
        <v>0.1</v>
      </c>
      <c r="AK27" s="34">
        <f>IF(AG27="","",AG27*AJ27)</f>
        <v/>
      </c>
      <c r="AL27" s="34">
        <f>IF(OR(AG27="",R27=0),"",MIN(IF(AT27="",9.9E+99,AT27),FLOOR(AK27/R27,1)))</f>
        <v/>
      </c>
      <c r="AM27" s="38">
        <f>IF(AL27="","",AL27*T27)</f>
        <v/>
      </c>
      <c r="AN27" s="36">
        <f>IF(OR(AG27="",R27=0),"",MIN(IF(AT27="",9.9E+99,AT27),AK27/R27))</f>
        <v/>
      </c>
      <c r="AO27" s="38">
        <f>IF(AN27="","",AN27*T27)</f>
        <v/>
      </c>
      <c r="AP27" s="40" t="n"/>
      <c r="AQ27" s="32" t="inlineStr">
        <is>
          <t>Estimated</t>
        </is>
      </c>
      <c r="AR27" s="41" t="n"/>
      <c r="AS27" s="41" t="n"/>
      <c r="AT27" s="42" t="n"/>
      <c r="AU27" s="43">
        <f>IF(((S27*pax_cap*load_thin*ROUND(K27*L27*revleg_thin,0))-(((battery/range_nm)*D27*ROUND(K27*L27*revleg_thin,0)*VLOOKUP(B27,country_opex,3,FALSE))+V27+W27+X27+Y27+Z27))&lt;=0,"",VLOOKUP(B27,country_opex,7,FALSE)/((S27*pax_cap*load_thin*ROUND(K27*L27*revleg_thin,0))-(((battery/range_nm)*D27*ROUND(K27*L27*revleg_thin,0)*VLOOKUP(B27,country_opex,3,FALSE))+V27+W27+X27+Y27+Z27)))</f>
        <v/>
      </c>
      <c r="AV27" s="43">
        <f>IF(((S27*pax_cap*load_mid*ROUND(K27*L27*revleg_mid,0))-(((battery/range_nm)*D27*ROUND(K27*L27*revleg_mid,0)*VLOOKUP(B27,country_opex,3,FALSE))+V27+W27+X27+Y27+Z27))&lt;=0,"",VLOOKUP(B27,country_opex,7,FALSE)/((S27*pax_cap*load_mid*ROUND(K27*L27*revleg_mid,0))-(((battery/range_nm)*D27*ROUND(K27*L27*revleg_mid,0)*VLOOKUP(B27,country_opex,3,FALSE))+V27+W27+X27+Y27+Z27)))</f>
        <v/>
      </c>
      <c r="AW27" s="43">
        <f>IF(((S27*pax_cap*load_full*ROUND(K27*L27*revleg_full,0))-(((battery/range_nm)*D27*ROUND(K27*L27*revleg_full,0)*VLOOKUP(B27,country_opex,3,FALSE))+V27+W27+X27+Y27+Z27))&lt;=0,"",VLOOKUP(B27,country_opex,7,FALSE)/((S27*pax_cap*load_full*ROUND(K27*L27*revleg_full,0))-(((battery/range_nm)*D27*ROUND(K27*L27*revleg_full,0)*VLOOKUP(B27,country_opex,3,FALSE))+V27+W27+X27+Y27+Z27)))</f>
        <v/>
      </c>
      <c r="AX27" s="44" t="n"/>
      <c r="AY27" s="44" t="n"/>
    </row>
    <row r="28">
      <c r="A28" s="29" t="inlineStr">
        <is>
          <t>Uae Noon</t>
        </is>
      </c>
      <c r="B28" s="29" t="inlineStr">
        <is>
          <t>United Arab Emirates</t>
        </is>
      </c>
      <c r="C28" s="30" t="inlineStr">
        <is>
          <t>Vida Beach Resort Umm Al Quwain → Sharjah Waterfront City marina</t>
        </is>
      </c>
      <c r="D28" s="31" t="n">
        <v>9.6</v>
      </c>
      <c r="E28" s="26" t="n">
        <v>48</v>
      </c>
      <c r="F28" s="32" t="inlineStr">
        <is>
          <t>T3</t>
        </is>
      </c>
      <c r="G28" s="32" t="inlineStr">
        <is>
          <t>med-low</t>
        </is>
      </c>
      <c r="H28" s="19" t="n">
        <v>1</v>
      </c>
      <c r="I28" s="33">
        <f>60*D28/cruise_kt</f>
        <v/>
      </c>
      <c r="J28" s="33">
        <f>I28+turn_min+dwell_min</f>
        <v/>
      </c>
      <c r="K28" s="34">
        <f>MIN(15,FLOOR(60*service_hr/J28,1))</f>
        <v/>
      </c>
      <c r="L28" s="34">
        <f>ROUND(365*mech_uptime*H28,0)</f>
        <v/>
      </c>
      <c r="M28" s="35">
        <f>mech_uptime</f>
        <v/>
      </c>
      <c r="N28" s="35">
        <f>revleg_sel</f>
        <v/>
      </c>
      <c r="O28" s="34">
        <f>ROUND(K28*L28*revleg_sel,0)</f>
        <v/>
      </c>
      <c r="P28" s="36">
        <f>load_sel</f>
        <v/>
      </c>
      <c r="Q28" s="36">
        <f>pax_cap*P28</f>
        <v/>
      </c>
      <c r="R28" s="34">
        <f>Q28*O28</f>
        <v/>
      </c>
      <c r="S28" s="37">
        <f>E28*discount</f>
        <v/>
      </c>
      <c r="T28" s="38">
        <f>S28*R28</f>
        <v/>
      </c>
      <c r="U28" s="38">
        <f>(battery/range_nm)*D28*O28*VLOOKUP(B28,country_opex,3,FALSE)</f>
        <v/>
      </c>
      <c r="V28" s="38">
        <f>VLOOKUP(B28,country_opex,2,FALSE)*crew_factor</f>
        <v/>
      </c>
      <c r="W28" s="38">
        <f>VLOOKUP(B28,country_opex,5,FALSE)</f>
        <v/>
      </c>
      <c r="X28" s="38">
        <f>maint</f>
        <v/>
      </c>
      <c r="Y28" s="38">
        <f>VLOOKUP(B28,country_opex,7,FALSE)*ins_pct</f>
        <v/>
      </c>
      <c r="Z28" s="38">
        <f>charge_berth</f>
        <v/>
      </c>
      <c r="AA28" s="38">
        <f>U28+V28+W28+X28+Y28+Z28</f>
        <v/>
      </c>
      <c r="AB28" s="38">
        <f>VLOOKUP(B28,country_opex,7,FALSE)/dep_years</f>
        <v/>
      </c>
      <c r="AC28" s="38">
        <f>T28-AA28</f>
        <v/>
      </c>
      <c r="AD28" s="35">
        <f>IF(T28=0,"",AC28/T28)</f>
        <v/>
      </c>
      <c r="AE28" s="36">
        <f>IF(AC28&lt;=0,"",VLOOKUP(B28,country_opex,7,FALSE)/AC28)</f>
        <v/>
      </c>
      <c r="AF28" s="33">
        <f>((D28*O28/diesel_nmpg)*diesel_co2pg-(battery/range_nm)*D28*O28*VLOOKUP(B28,country_opex,4,FALSE))/1000</f>
        <v/>
      </c>
      <c r="AG28" s="31" t="n">
        <v>35000</v>
      </c>
      <c r="AH28" s="32" t="inlineStr">
        <is>
          <t>T3</t>
        </is>
      </c>
      <c r="AI28" s="32" t="inlineStr">
        <is>
          <t>med-low</t>
        </is>
      </c>
      <c r="AJ28" s="39" t="n">
        <v>0.1</v>
      </c>
      <c r="AK28" s="34">
        <f>IF(AG28="","",AG28*AJ28)</f>
        <v/>
      </c>
      <c r="AL28" s="34">
        <f>IF(OR(AG28="",R28=0),"",MIN(IF(AT28="",9.9E+99,AT28),FLOOR(AK28/R28,1)))</f>
        <v/>
      </c>
      <c r="AM28" s="38">
        <f>IF(AL28="","",AL28*T28)</f>
        <v/>
      </c>
      <c r="AN28" s="36">
        <f>IF(OR(AG28="",R28=0),"",MIN(IF(AT28="",9.9E+99,AT28),AK28/R28))</f>
        <v/>
      </c>
      <c r="AO28" s="38">
        <f>IF(AN28="","",AN28*T28)</f>
        <v/>
      </c>
      <c r="AP28" s="40" t="n"/>
      <c r="AQ28" s="32" t="inlineStr">
        <is>
          <t>Grounded</t>
        </is>
      </c>
      <c r="AR28" s="41" t="n"/>
      <c r="AS28" s="41" t="n"/>
      <c r="AT28" s="42" t="n"/>
      <c r="AU28" s="43">
        <f>IF(((S28*pax_cap*load_thin*ROUND(K28*L28*revleg_thin,0))-(((battery/range_nm)*D28*ROUND(K28*L28*revleg_thin,0)*VLOOKUP(B28,country_opex,3,FALSE))+V28+W28+X28+Y28+Z28))&lt;=0,"",VLOOKUP(B28,country_opex,7,FALSE)/((S28*pax_cap*load_thin*ROUND(K28*L28*revleg_thin,0))-(((battery/range_nm)*D28*ROUND(K28*L28*revleg_thin,0)*VLOOKUP(B28,country_opex,3,FALSE))+V28+W28+X28+Y28+Z28)))</f>
        <v/>
      </c>
      <c r="AV28" s="43">
        <f>IF(((S28*pax_cap*load_mid*ROUND(K28*L28*revleg_mid,0))-(((battery/range_nm)*D28*ROUND(K28*L28*revleg_mid,0)*VLOOKUP(B28,country_opex,3,FALSE))+V28+W28+X28+Y28+Z28))&lt;=0,"",VLOOKUP(B28,country_opex,7,FALSE)/((S28*pax_cap*load_mid*ROUND(K28*L28*revleg_mid,0))-(((battery/range_nm)*D28*ROUND(K28*L28*revleg_mid,0)*VLOOKUP(B28,country_opex,3,FALSE))+V28+W28+X28+Y28+Z28)))</f>
        <v/>
      </c>
      <c r="AW28" s="43">
        <f>IF(((S28*pax_cap*load_full*ROUND(K28*L28*revleg_full,0))-(((battery/range_nm)*D28*ROUND(K28*L28*revleg_full,0)*VLOOKUP(B28,country_opex,3,FALSE))+V28+W28+X28+Y28+Z28))&lt;=0,"",VLOOKUP(B28,country_opex,7,FALSE)/((S28*pax_cap*load_full*ROUND(K28*L28*revleg_full,0))-(((battery/range_nm)*D28*ROUND(K28*L28*revleg_full,0)*VLOOKUP(B28,country_opex,3,FALSE))+V28+W28+X28+Y28+Z28)))</f>
        <v/>
      </c>
      <c r="AX28" s="44" t="inlineStr">
        <is>
          <t>uae-careem demand ladder + PR #58 Noon route seal (Careem-style super_app)</t>
        </is>
      </c>
      <c r="AY28" s="44" t="inlineStr">
        <is>
          <t>uae-careem demand ladder + PR #58 Noon route seal (Careem-style super_app)</t>
        </is>
      </c>
    </row>
    <row r="29">
      <c r="A29" s="29" t="inlineStr">
        <is>
          <t>Uae Noon</t>
        </is>
      </c>
      <c r="B29" s="29" t="inlineStr">
        <is>
          <t>United Arab Emirates</t>
        </is>
      </c>
      <c r="C29" s="30" t="inlineStr">
        <is>
          <t>Bluewaters Marina → Heart of Europe — Main Marina (The World)</t>
        </is>
      </c>
      <c r="D29" s="31" t="n">
        <v>9.880000000000001</v>
      </c>
      <c r="E29" s="26" t="n"/>
      <c r="F29" s="32" t="n"/>
      <c r="G29" s="32" t="n"/>
      <c r="H29" s="19" t="n">
        <v>1</v>
      </c>
      <c r="I29" s="33">
        <f>60*D29/cruise_kt</f>
        <v/>
      </c>
      <c r="J29" s="33">
        <f>I29+turn_min+dwell_min</f>
        <v/>
      </c>
      <c r="K29" s="34">
        <f>MIN(15,FLOOR(60*service_hr/J29,1))</f>
        <v/>
      </c>
      <c r="L29" s="34">
        <f>ROUND(365*mech_uptime*H29,0)</f>
        <v/>
      </c>
      <c r="M29" s="35">
        <f>mech_uptime</f>
        <v/>
      </c>
      <c r="N29" s="35">
        <f>revleg_sel</f>
        <v/>
      </c>
      <c r="O29" s="34">
        <f>ROUND(K29*L29*revleg_sel,0)</f>
        <v/>
      </c>
      <c r="P29" s="36">
        <f>load_sel</f>
        <v/>
      </c>
      <c r="Q29" s="36">
        <f>pax_cap*P29</f>
        <v/>
      </c>
      <c r="R29" s="34">
        <f>Q29*O29</f>
        <v/>
      </c>
      <c r="S29" s="37">
        <f>E29*discount</f>
        <v/>
      </c>
      <c r="T29" s="38">
        <f>S29*R29</f>
        <v/>
      </c>
      <c r="U29" s="38">
        <f>(battery/range_nm)*D29*O29*VLOOKUP(B29,country_opex,3,FALSE)</f>
        <v/>
      </c>
      <c r="V29" s="38">
        <f>VLOOKUP(B29,country_opex,2,FALSE)*crew_factor</f>
        <v/>
      </c>
      <c r="W29" s="38">
        <f>VLOOKUP(B29,country_opex,5,FALSE)</f>
        <v/>
      </c>
      <c r="X29" s="38">
        <f>maint</f>
        <v/>
      </c>
      <c r="Y29" s="38">
        <f>VLOOKUP(B29,country_opex,7,FALSE)*ins_pct</f>
        <v/>
      </c>
      <c r="Z29" s="38">
        <f>charge_berth</f>
        <v/>
      </c>
      <c r="AA29" s="38">
        <f>U29+V29+W29+X29+Y29+Z29</f>
        <v/>
      </c>
      <c r="AB29" s="38">
        <f>VLOOKUP(B29,country_opex,7,FALSE)/dep_years</f>
        <v/>
      </c>
      <c r="AC29" s="38">
        <f>T29-AA29</f>
        <v/>
      </c>
      <c r="AD29" s="35">
        <f>IF(T29=0,"",AC29/T29)</f>
        <v/>
      </c>
      <c r="AE29" s="36">
        <f>IF(AC29&lt;=0,"",VLOOKUP(B29,country_opex,7,FALSE)/AC29)</f>
        <v/>
      </c>
      <c r="AF29" s="33">
        <f>((D29*O29/diesel_nmpg)*diesel_co2pg-(battery/range_nm)*D29*O29*VLOOKUP(B29,country_opex,4,FALSE))/1000</f>
        <v/>
      </c>
      <c r="AG29" s="31" t="n"/>
      <c r="AH29" s="32" t="n"/>
      <c r="AI29" s="32" t="n"/>
      <c r="AJ29" s="39" t="n">
        <v>0.1</v>
      </c>
      <c r="AK29" s="34">
        <f>IF(AG29="","",AG29*AJ29)</f>
        <v/>
      </c>
      <c r="AL29" s="34">
        <f>IF(OR(AG29="",R29=0),"",MIN(IF(AT29="",9.9E+99,AT29),FLOOR(AK29/R29,1)))</f>
        <v/>
      </c>
      <c r="AM29" s="38">
        <f>IF(AL29="","",AL29*T29)</f>
        <v/>
      </c>
      <c r="AN29" s="36">
        <f>IF(OR(AG29="",R29=0),"",MIN(IF(AT29="",9.9E+99,AT29),AK29/R29))</f>
        <v/>
      </c>
      <c r="AO29" s="38">
        <f>IF(AN29="","",AN29*T29)</f>
        <v/>
      </c>
      <c r="AP29" s="40" t="n"/>
      <c r="AQ29" s="32" t="inlineStr">
        <is>
          <t>Estimated</t>
        </is>
      </c>
      <c r="AR29" s="41" t="n"/>
      <c r="AS29" s="41" t="n"/>
      <c r="AT29" s="42" t="n"/>
      <c r="AU29" s="43">
        <f>IF(((S29*pax_cap*load_thin*ROUND(K29*L29*revleg_thin,0))-(((battery/range_nm)*D29*ROUND(K29*L29*revleg_thin,0)*VLOOKUP(B29,country_opex,3,FALSE))+V29+W29+X29+Y29+Z29))&lt;=0,"",VLOOKUP(B29,country_opex,7,FALSE)/((S29*pax_cap*load_thin*ROUND(K29*L29*revleg_thin,0))-(((battery/range_nm)*D29*ROUND(K29*L29*revleg_thin,0)*VLOOKUP(B29,country_opex,3,FALSE))+V29+W29+X29+Y29+Z29)))</f>
        <v/>
      </c>
      <c r="AV29" s="43">
        <f>IF(((S29*pax_cap*load_mid*ROUND(K29*L29*revleg_mid,0))-(((battery/range_nm)*D29*ROUND(K29*L29*revleg_mid,0)*VLOOKUP(B29,country_opex,3,FALSE))+V29+W29+X29+Y29+Z29))&lt;=0,"",VLOOKUP(B29,country_opex,7,FALSE)/((S29*pax_cap*load_mid*ROUND(K29*L29*revleg_mid,0))-(((battery/range_nm)*D29*ROUND(K29*L29*revleg_mid,0)*VLOOKUP(B29,country_opex,3,FALSE))+V29+W29+X29+Y29+Z29)))</f>
        <v/>
      </c>
      <c r="AW29" s="43">
        <f>IF(((S29*pax_cap*load_full*ROUND(K29*L29*revleg_full,0))-(((battery/range_nm)*D29*ROUND(K29*L29*revleg_full,0)*VLOOKUP(B29,country_opex,3,FALSE))+V29+W29+X29+Y29+Z29))&lt;=0,"",VLOOKUP(B29,country_opex,7,FALSE)/((S29*pax_cap*load_full*ROUND(K29*L29*revleg_full,0))-(((battery/range_nm)*D29*ROUND(K29*L29*revleg_full,0)*VLOOKUP(B29,country_opex,3,FALSE))+V29+W29+X29+Y29+Z29)))</f>
        <v/>
      </c>
      <c r="AX29" s="44" t="n"/>
      <c r="AY29" s="44" t="n"/>
    </row>
    <row r="30">
      <c r="A30" s="29" t="inlineStr">
        <is>
          <t>Uae Noon</t>
        </is>
      </c>
      <c r="B30" s="29" t="inlineStr">
        <is>
          <t>United Arab Emirates</t>
        </is>
      </c>
      <c r="C30" s="30" t="inlineStr">
        <is>
          <t>Dubai Harbour Marina → Bulgari Yacht Club &amp; Marina</t>
        </is>
      </c>
      <c r="D30" s="31" t="n">
        <v>10.2</v>
      </c>
      <c r="E30" s="26" t="n"/>
      <c r="F30" s="32" t="n"/>
      <c r="G30" s="32" t="n"/>
      <c r="H30" s="19" t="n">
        <v>1</v>
      </c>
      <c r="I30" s="33">
        <f>60*D30/cruise_kt</f>
        <v/>
      </c>
      <c r="J30" s="33">
        <f>I30+turn_min+dwell_min</f>
        <v/>
      </c>
      <c r="K30" s="34">
        <f>MIN(15,FLOOR(60*service_hr/J30,1))</f>
        <v/>
      </c>
      <c r="L30" s="34">
        <f>ROUND(365*mech_uptime*H30,0)</f>
        <v/>
      </c>
      <c r="M30" s="35">
        <f>mech_uptime</f>
        <v/>
      </c>
      <c r="N30" s="35">
        <f>revleg_sel</f>
        <v/>
      </c>
      <c r="O30" s="34">
        <f>ROUND(K30*L30*revleg_sel,0)</f>
        <v/>
      </c>
      <c r="P30" s="36">
        <f>load_sel</f>
        <v/>
      </c>
      <c r="Q30" s="36">
        <f>pax_cap*P30</f>
        <v/>
      </c>
      <c r="R30" s="34">
        <f>Q30*O30</f>
        <v/>
      </c>
      <c r="S30" s="37">
        <f>E30*discount</f>
        <v/>
      </c>
      <c r="T30" s="38">
        <f>S30*R30</f>
        <v/>
      </c>
      <c r="U30" s="38">
        <f>(battery/range_nm)*D30*O30*VLOOKUP(B30,country_opex,3,FALSE)</f>
        <v/>
      </c>
      <c r="V30" s="38">
        <f>VLOOKUP(B30,country_opex,2,FALSE)*crew_factor</f>
        <v/>
      </c>
      <c r="W30" s="38">
        <f>VLOOKUP(B30,country_opex,5,FALSE)</f>
        <v/>
      </c>
      <c r="X30" s="38">
        <f>maint</f>
        <v/>
      </c>
      <c r="Y30" s="38">
        <f>VLOOKUP(B30,country_opex,7,FALSE)*ins_pct</f>
        <v/>
      </c>
      <c r="Z30" s="38">
        <f>charge_berth</f>
        <v/>
      </c>
      <c r="AA30" s="38">
        <f>U30+V30+W30+X30+Y30+Z30</f>
        <v/>
      </c>
      <c r="AB30" s="38">
        <f>VLOOKUP(B30,country_opex,7,FALSE)/dep_years</f>
        <v/>
      </c>
      <c r="AC30" s="38">
        <f>T30-AA30</f>
        <v/>
      </c>
      <c r="AD30" s="35">
        <f>IF(T30=0,"",AC30/T30)</f>
        <v/>
      </c>
      <c r="AE30" s="36">
        <f>IF(AC30&lt;=0,"",VLOOKUP(B30,country_opex,7,FALSE)/AC30)</f>
        <v/>
      </c>
      <c r="AF30" s="33">
        <f>((D30*O30/diesel_nmpg)*diesel_co2pg-(battery/range_nm)*D30*O30*VLOOKUP(B30,country_opex,4,FALSE))/1000</f>
        <v/>
      </c>
      <c r="AG30" s="31" t="n"/>
      <c r="AH30" s="32" t="n"/>
      <c r="AI30" s="32" t="n"/>
      <c r="AJ30" s="39" t="n">
        <v>0.1</v>
      </c>
      <c r="AK30" s="34">
        <f>IF(AG30="","",AG30*AJ30)</f>
        <v/>
      </c>
      <c r="AL30" s="34">
        <f>IF(OR(AG30="",R30=0),"",MIN(IF(AT30="",9.9E+99,AT30),FLOOR(AK30/R30,1)))</f>
        <v/>
      </c>
      <c r="AM30" s="38">
        <f>IF(AL30="","",AL30*T30)</f>
        <v/>
      </c>
      <c r="AN30" s="36">
        <f>IF(OR(AG30="",R30=0),"",MIN(IF(AT30="",9.9E+99,AT30),AK30/R30))</f>
        <v/>
      </c>
      <c r="AO30" s="38">
        <f>IF(AN30="","",AN30*T30)</f>
        <v/>
      </c>
      <c r="AP30" s="40" t="n"/>
      <c r="AQ30" s="32" t="inlineStr">
        <is>
          <t>Estimated</t>
        </is>
      </c>
      <c r="AR30" s="41" t="n"/>
      <c r="AS30" s="41" t="n"/>
      <c r="AT30" s="42" t="n"/>
      <c r="AU30" s="43">
        <f>IF(((S30*pax_cap*load_thin*ROUND(K30*L30*revleg_thin,0))-(((battery/range_nm)*D30*ROUND(K30*L30*revleg_thin,0)*VLOOKUP(B30,country_opex,3,FALSE))+V30+W30+X30+Y30+Z30))&lt;=0,"",VLOOKUP(B30,country_opex,7,FALSE)/((S30*pax_cap*load_thin*ROUND(K30*L30*revleg_thin,0))-(((battery/range_nm)*D30*ROUND(K30*L30*revleg_thin,0)*VLOOKUP(B30,country_opex,3,FALSE))+V30+W30+X30+Y30+Z30)))</f>
        <v/>
      </c>
      <c r="AV30" s="43">
        <f>IF(((S30*pax_cap*load_mid*ROUND(K30*L30*revleg_mid,0))-(((battery/range_nm)*D30*ROUND(K30*L30*revleg_mid,0)*VLOOKUP(B30,country_opex,3,FALSE))+V30+W30+X30+Y30+Z30))&lt;=0,"",VLOOKUP(B30,country_opex,7,FALSE)/((S30*pax_cap*load_mid*ROUND(K30*L30*revleg_mid,0))-(((battery/range_nm)*D30*ROUND(K30*L30*revleg_mid,0)*VLOOKUP(B30,country_opex,3,FALSE))+V30+W30+X30+Y30+Z30)))</f>
        <v/>
      </c>
      <c r="AW30" s="43">
        <f>IF(((S30*pax_cap*load_full*ROUND(K30*L30*revleg_full,0))-(((battery/range_nm)*D30*ROUND(K30*L30*revleg_full,0)*VLOOKUP(B30,country_opex,3,FALSE))+V30+W30+X30+Y30+Z30))&lt;=0,"",VLOOKUP(B30,country_opex,7,FALSE)/((S30*pax_cap*load_full*ROUND(K30*L30*revleg_full,0))-(((battery/range_nm)*D30*ROUND(K30*L30*revleg_full,0)*VLOOKUP(B30,country_opex,3,FALSE))+V30+W30+X30+Y30+Z30)))</f>
        <v/>
      </c>
      <c r="AX30" s="44" t="n"/>
      <c r="AY30" s="44" t="n"/>
    </row>
    <row r="31">
      <c r="A31" s="29" t="inlineStr">
        <is>
          <t>Uae Noon</t>
        </is>
      </c>
      <c r="B31" s="29" t="inlineStr">
        <is>
          <t>United Arab Emirates</t>
        </is>
      </c>
      <c r="C31" s="30" t="inlineStr">
        <is>
          <t>Emirates Palace Marina → Saadiyat Beach Club Jetty</t>
        </is>
      </c>
      <c r="D31" s="31" t="n">
        <v>10.4</v>
      </c>
      <c r="E31" s="26" t="n"/>
      <c r="F31" s="32" t="n"/>
      <c r="G31" s="32" t="n"/>
      <c r="H31" s="19" t="n">
        <v>1</v>
      </c>
      <c r="I31" s="33">
        <f>60*D31/cruise_kt</f>
        <v/>
      </c>
      <c r="J31" s="33">
        <f>I31+turn_min+dwell_min</f>
        <v/>
      </c>
      <c r="K31" s="34">
        <f>MIN(15,FLOOR(60*service_hr/J31,1))</f>
        <v/>
      </c>
      <c r="L31" s="34">
        <f>ROUND(365*mech_uptime*H31,0)</f>
        <v/>
      </c>
      <c r="M31" s="35">
        <f>mech_uptime</f>
        <v/>
      </c>
      <c r="N31" s="35">
        <f>revleg_sel</f>
        <v/>
      </c>
      <c r="O31" s="34">
        <f>ROUND(K31*L31*revleg_sel,0)</f>
        <v/>
      </c>
      <c r="P31" s="36">
        <f>load_sel</f>
        <v/>
      </c>
      <c r="Q31" s="36">
        <f>pax_cap*P31</f>
        <v/>
      </c>
      <c r="R31" s="34">
        <f>Q31*O31</f>
        <v/>
      </c>
      <c r="S31" s="37">
        <f>E31*discount</f>
        <v/>
      </c>
      <c r="T31" s="38">
        <f>S31*R31</f>
        <v/>
      </c>
      <c r="U31" s="38">
        <f>(battery/range_nm)*D31*O31*VLOOKUP(B31,country_opex,3,FALSE)</f>
        <v/>
      </c>
      <c r="V31" s="38">
        <f>VLOOKUP(B31,country_opex,2,FALSE)*crew_factor</f>
        <v/>
      </c>
      <c r="W31" s="38">
        <f>VLOOKUP(B31,country_opex,5,FALSE)</f>
        <v/>
      </c>
      <c r="X31" s="38">
        <f>maint</f>
        <v/>
      </c>
      <c r="Y31" s="38">
        <f>VLOOKUP(B31,country_opex,7,FALSE)*ins_pct</f>
        <v/>
      </c>
      <c r="Z31" s="38">
        <f>charge_berth</f>
        <v/>
      </c>
      <c r="AA31" s="38">
        <f>U31+V31+W31+X31+Y31+Z31</f>
        <v/>
      </c>
      <c r="AB31" s="38">
        <f>VLOOKUP(B31,country_opex,7,FALSE)/dep_years</f>
        <v/>
      </c>
      <c r="AC31" s="38">
        <f>T31-AA31</f>
        <v/>
      </c>
      <c r="AD31" s="35">
        <f>IF(T31=0,"",AC31/T31)</f>
        <v/>
      </c>
      <c r="AE31" s="36">
        <f>IF(AC31&lt;=0,"",VLOOKUP(B31,country_opex,7,FALSE)/AC31)</f>
        <v/>
      </c>
      <c r="AF31" s="33">
        <f>((D31*O31/diesel_nmpg)*diesel_co2pg-(battery/range_nm)*D31*O31*VLOOKUP(B31,country_opex,4,FALSE))/1000</f>
        <v/>
      </c>
      <c r="AG31" s="31" t="n"/>
      <c r="AH31" s="32" t="n"/>
      <c r="AI31" s="32" t="n"/>
      <c r="AJ31" s="39" t="n">
        <v>0.1</v>
      </c>
      <c r="AK31" s="34">
        <f>IF(AG31="","",AG31*AJ31)</f>
        <v/>
      </c>
      <c r="AL31" s="34">
        <f>IF(OR(AG31="",R31=0),"",MIN(IF(AT31="",9.9E+99,AT31),FLOOR(AK31/R31,1)))</f>
        <v/>
      </c>
      <c r="AM31" s="38">
        <f>IF(AL31="","",AL31*T31)</f>
        <v/>
      </c>
      <c r="AN31" s="36">
        <f>IF(OR(AG31="",R31=0),"",MIN(IF(AT31="",9.9E+99,AT31),AK31/R31))</f>
        <v/>
      </c>
      <c r="AO31" s="38">
        <f>IF(AN31="","",AN31*T31)</f>
        <v/>
      </c>
      <c r="AP31" s="40" t="n"/>
      <c r="AQ31" s="32" t="inlineStr">
        <is>
          <t>Estimated</t>
        </is>
      </c>
      <c r="AR31" s="41" t="n"/>
      <c r="AS31" s="41" t="n"/>
      <c r="AT31" s="42" t="n"/>
      <c r="AU31" s="43">
        <f>IF(((S31*pax_cap*load_thin*ROUND(K31*L31*revleg_thin,0))-(((battery/range_nm)*D31*ROUND(K31*L31*revleg_thin,0)*VLOOKUP(B31,country_opex,3,FALSE))+V31+W31+X31+Y31+Z31))&lt;=0,"",VLOOKUP(B31,country_opex,7,FALSE)/((S31*pax_cap*load_thin*ROUND(K31*L31*revleg_thin,0))-(((battery/range_nm)*D31*ROUND(K31*L31*revleg_thin,0)*VLOOKUP(B31,country_opex,3,FALSE))+V31+W31+X31+Y31+Z31)))</f>
        <v/>
      </c>
      <c r="AV31" s="43">
        <f>IF(((S31*pax_cap*load_mid*ROUND(K31*L31*revleg_mid,0))-(((battery/range_nm)*D31*ROUND(K31*L31*revleg_mid,0)*VLOOKUP(B31,country_opex,3,FALSE))+V31+W31+X31+Y31+Z31))&lt;=0,"",VLOOKUP(B31,country_opex,7,FALSE)/((S31*pax_cap*load_mid*ROUND(K31*L31*revleg_mid,0))-(((battery/range_nm)*D31*ROUND(K31*L31*revleg_mid,0)*VLOOKUP(B31,country_opex,3,FALSE))+V31+W31+X31+Y31+Z31)))</f>
        <v/>
      </c>
      <c r="AW31" s="43">
        <f>IF(((S31*pax_cap*load_full*ROUND(K31*L31*revleg_full,0))-(((battery/range_nm)*D31*ROUND(K31*L31*revleg_full,0)*VLOOKUP(B31,country_opex,3,FALSE))+V31+W31+X31+Y31+Z31))&lt;=0,"",VLOOKUP(B31,country_opex,7,FALSE)/((S31*pax_cap*load_full*ROUND(K31*L31*revleg_full,0))-(((battery/range_nm)*D31*ROUND(K31*L31*revleg_full,0)*VLOOKUP(B31,country_opex,3,FALSE))+V31+W31+X31+Y31+Z31)))</f>
        <v/>
      </c>
      <c r="AX31" s="44" t="n"/>
      <c r="AY31" s="44" t="n"/>
    </row>
    <row r="32">
      <c r="A32" s="29" t="inlineStr">
        <is>
          <t>Uae Noon</t>
        </is>
      </c>
      <c r="B32" s="29" t="inlineStr">
        <is>
          <t>United Arab Emirates</t>
        </is>
      </c>
      <c r="C32" s="30" t="inlineStr">
        <is>
          <t>Fujairah → Khorfakkan Corniche / Port</t>
        </is>
      </c>
      <c r="D32" s="31" t="n">
        <v>11.4</v>
      </c>
      <c r="E32" s="26" t="n">
        <v>48</v>
      </c>
      <c r="F32" s="32" t="inlineStr">
        <is>
          <t>T3</t>
        </is>
      </c>
      <c r="G32" s="32" t="inlineStr">
        <is>
          <t>med-low</t>
        </is>
      </c>
      <c r="H32" s="19" t="n">
        <v>1</v>
      </c>
      <c r="I32" s="33">
        <f>60*D32/cruise_kt</f>
        <v/>
      </c>
      <c r="J32" s="33">
        <f>I32+turn_min+dwell_min</f>
        <v/>
      </c>
      <c r="K32" s="34">
        <f>MIN(15,FLOOR(60*service_hr/J32,1))</f>
        <v/>
      </c>
      <c r="L32" s="34">
        <f>ROUND(365*mech_uptime*H32,0)</f>
        <v/>
      </c>
      <c r="M32" s="35">
        <f>mech_uptime</f>
        <v/>
      </c>
      <c r="N32" s="35">
        <f>revleg_sel</f>
        <v/>
      </c>
      <c r="O32" s="34">
        <f>ROUND(K32*L32*revleg_sel,0)</f>
        <v/>
      </c>
      <c r="P32" s="36">
        <f>load_sel</f>
        <v/>
      </c>
      <c r="Q32" s="36">
        <f>pax_cap*P32</f>
        <v/>
      </c>
      <c r="R32" s="34">
        <f>Q32*O32</f>
        <v/>
      </c>
      <c r="S32" s="37">
        <f>E32*discount</f>
        <v/>
      </c>
      <c r="T32" s="38">
        <f>S32*R32</f>
        <v/>
      </c>
      <c r="U32" s="38">
        <f>(battery/range_nm)*D32*O32*VLOOKUP(B32,country_opex,3,FALSE)</f>
        <v/>
      </c>
      <c r="V32" s="38">
        <f>VLOOKUP(B32,country_opex,2,FALSE)*crew_factor</f>
        <v/>
      </c>
      <c r="W32" s="38">
        <f>VLOOKUP(B32,country_opex,5,FALSE)</f>
        <v/>
      </c>
      <c r="X32" s="38">
        <f>maint</f>
        <v/>
      </c>
      <c r="Y32" s="38">
        <f>VLOOKUP(B32,country_opex,7,FALSE)*ins_pct</f>
        <v/>
      </c>
      <c r="Z32" s="38">
        <f>charge_berth</f>
        <v/>
      </c>
      <c r="AA32" s="38">
        <f>U32+V32+W32+X32+Y32+Z32</f>
        <v/>
      </c>
      <c r="AB32" s="38">
        <f>VLOOKUP(B32,country_opex,7,FALSE)/dep_years</f>
        <v/>
      </c>
      <c r="AC32" s="38">
        <f>T32-AA32</f>
        <v/>
      </c>
      <c r="AD32" s="35">
        <f>IF(T32=0,"",AC32/T32)</f>
        <v/>
      </c>
      <c r="AE32" s="36">
        <f>IF(AC32&lt;=0,"",VLOOKUP(B32,country_opex,7,FALSE)/AC32)</f>
        <v/>
      </c>
      <c r="AF32" s="33">
        <f>((D32*O32/diesel_nmpg)*diesel_co2pg-(battery/range_nm)*D32*O32*VLOOKUP(B32,country_opex,4,FALSE))/1000</f>
        <v/>
      </c>
      <c r="AG32" s="31" t="n">
        <v>35000</v>
      </c>
      <c r="AH32" s="32" t="inlineStr">
        <is>
          <t>T3</t>
        </is>
      </c>
      <c r="AI32" s="32" t="inlineStr">
        <is>
          <t>med-low</t>
        </is>
      </c>
      <c r="AJ32" s="39" t="n">
        <v>0.1</v>
      </c>
      <c r="AK32" s="34">
        <f>IF(AG32="","",AG32*AJ32)</f>
        <v/>
      </c>
      <c r="AL32" s="34">
        <f>IF(OR(AG32="",R32=0),"",MIN(IF(AT32="",9.9E+99,AT32),FLOOR(AK32/R32,1)))</f>
        <v/>
      </c>
      <c r="AM32" s="38">
        <f>IF(AL32="","",AL32*T32)</f>
        <v/>
      </c>
      <c r="AN32" s="36">
        <f>IF(OR(AG32="",R32=0),"",MIN(IF(AT32="",9.9E+99,AT32),AK32/R32))</f>
        <v/>
      </c>
      <c r="AO32" s="38">
        <f>IF(AN32="","",AN32*T32)</f>
        <v/>
      </c>
      <c r="AP32" s="40" t="n"/>
      <c r="AQ32" s="32" t="inlineStr">
        <is>
          <t>Grounded</t>
        </is>
      </c>
      <c r="AR32" s="41" t="n"/>
      <c r="AS32" s="41" t="n"/>
      <c r="AT32" s="42" t="n"/>
      <c r="AU32" s="43">
        <f>IF(((S32*pax_cap*load_thin*ROUND(K32*L32*revleg_thin,0))-(((battery/range_nm)*D32*ROUND(K32*L32*revleg_thin,0)*VLOOKUP(B32,country_opex,3,FALSE))+V32+W32+X32+Y32+Z32))&lt;=0,"",VLOOKUP(B32,country_opex,7,FALSE)/((S32*pax_cap*load_thin*ROUND(K32*L32*revleg_thin,0))-(((battery/range_nm)*D32*ROUND(K32*L32*revleg_thin,0)*VLOOKUP(B32,country_opex,3,FALSE))+V32+W32+X32+Y32+Z32)))</f>
        <v/>
      </c>
      <c r="AV32" s="43">
        <f>IF(((S32*pax_cap*load_mid*ROUND(K32*L32*revleg_mid,0))-(((battery/range_nm)*D32*ROUND(K32*L32*revleg_mid,0)*VLOOKUP(B32,country_opex,3,FALSE))+V32+W32+X32+Y32+Z32))&lt;=0,"",VLOOKUP(B32,country_opex,7,FALSE)/((S32*pax_cap*load_mid*ROUND(K32*L32*revleg_mid,0))-(((battery/range_nm)*D32*ROUND(K32*L32*revleg_mid,0)*VLOOKUP(B32,country_opex,3,FALSE))+V32+W32+X32+Y32+Z32)))</f>
        <v/>
      </c>
      <c r="AW32" s="43">
        <f>IF(((S32*pax_cap*load_full*ROUND(K32*L32*revleg_full,0))-(((battery/range_nm)*D32*ROUND(K32*L32*revleg_full,0)*VLOOKUP(B32,country_opex,3,FALSE))+V32+W32+X32+Y32+Z32))&lt;=0,"",VLOOKUP(B32,country_opex,7,FALSE)/((S32*pax_cap*load_full*ROUND(K32*L32*revleg_full,0))-(((battery/range_nm)*D32*ROUND(K32*L32*revleg_full,0)*VLOOKUP(B32,country_opex,3,FALSE))+V32+W32+X32+Y32+Z32)))</f>
        <v/>
      </c>
      <c r="AX32" s="44" t="inlineStr">
        <is>
          <t>uae-careem demand ladder + PR #58 Noon route seal (Careem-style super_app)</t>
        </is>
      </c>
      <c r="AY32" s="44" t="inlineStr">
        <is>
          <t>uae-careem demand ladder + PR #58 Noon route seal (Careem-style super_app)</t>
        </is>
      </c>
    </row>
    <row r="33">
      <c r="A33" s="29" t="inlineStr">
        <is>
          <t>Uae Noon</t>
        </is>
      </c>
      <c r="B33" s="29" t="inlineStr">
        <is>
          <t>United Arab Emirates</t>
        </is>
      </c>
      <c r="C33" s="30" t="inlineStr">
        <is>
          <t>Dubai Harbour Marina → Nikki Beach Resort Pearl Jumeirah Jetty</t>
        </is>
      </c>
      <c r="D33" s="31" t="n">
        <v>11.9</v>
      </c>
      <c r="E33" s="26" t="n">
        <v>48</v>
      </c>
      <c r="F33" s="32" t="inlineStr">
        <is>
          <t>T3</t>
        </is>
      </c>
      <c r="G33" s="32" t="inlineStr">
        <is>
          <t>med-low</t>
        </is>
      </c>
      <c r="H33" s="19" t="n">
        <v>1</v>
      </c>
      <c r="I33" s="33">
        <f>60*D33/cruise_kt</f>
        <v/>
      </c>
      <c r="J33" s="33">
        <f>I33+turn_min+dwell_min</f>
        <v/>
      </c>
      <c r="K33" s="34">
        <f>MIN(15,FLOOR(60*service_hr/J33,1))</f>
        <v/>
      </c>
      <c r="L33" s="34">
        <f>ROUND(365*mech_uptime*H33,0)</f>
        <v/>
      </c>
      <c r="M33" s="35">
        <f>mech_uptime</f>
        <v/>
      </c>
      <c r="N33" s="35">
        <f>revleg_sel</f>
        <v/>
      </c>
      <c r="O33" s="34">
        <f>ROUND(K33*L33*revleg_sel,0)</f>
        <v/>
      </c>
      <c r="P33" s="36">
        <f>load_sel</f>
        <v/>
      </c>
      <c r="Q33" s="36">
        <f>pax_cap*P33</f>
        <v/>
      </c>
      <c r="R33" s="34">
        <f>Q33*O33</f>
        <v/>
      </c>
      <c r="S33" s="37">
        <f>E33*discount</f>
        <v/>
      </c>
      <c r="T33" s="38">
        <f>S33*R33</f>
        <v/>
      </c>
      <c r="U33" s="38">
        <f>(battery/range_nm)*D33*O33*VLOOKUP(B33,country_opex,3,FALSE)</f>
        <v/>
      </c>
      <c r="V33" s="38">
        <f>VLOOKUP(B33,country_opex,2,FALSE)*crew_factor</f>
        <v/>
      </c>
      <c r="W33" s="38">
        <f>VLOOKUP(B33,country_opex,5,FALSE)</f>
        <v/>
      </c>
      <c r="X33" s="38">
        <f>maint</f>
        <v/>
      </c>
      <c r="Y33" s="38">
        <f>VLOOKUP(B33,country_opex,7,FALSE)*ins_pct</f>
        <v/>
      </c>
      <c r="Z33" s="38">
        <f>charge_berth</f>
        <v/>
      </c>
      <c r="AA33" s="38">
        <f>U33+V33+W33+X33+Y33+Z33</f>
        <v/>
      </c>
      <c r="AB33" s="38">
        <f>VLOOKUP(B33,country_opex,7,FALSE)/dep_years</f>
        <v/>
      </c>
      <c r="AC33" s="38">
        <f>T33-AA33</f>
        <v/>
      </c>
      <c r="AD33" s="35">
        <f>IF(T33=0,"",AC33/T33)</f>
        <v/>
      </c>
      <c r="AE33" s="36">
        <f>IF(AC33&lt;=0,"",VLOOKUP(B33,country_opex,7,FALSE)/AC33)</f>
        <v/>
      </c>
      <c r="AF33" s="33">
        <f>((D33*O33/diesel_nmpg)*diesel_co2pg-(battery/range_nm)*D33*O33*VLOOKUP(B33,country_opex,4,FALSE))/1000</f>
        <v/>
      </c>
      <c r="AG33" s="31" t="n">
        <v>35000</v>
      </c>
      <c r="AH33" s="32" t="inlineStr">
        <is>
          <t>T3</t>
        </is>
      </c>
      <c r="AI33" s="32" t="inlineStr">
        <is>
          <t>med-low</t>
        </is>
      </c>
      <c r="AJ33" s="39" t="n">
        <v>0.1</v>
      </c>
      <c r="AK33" s="34">
        <f>IF(AG33="","",AG33*AJ33)</f>
        <v/>
      </c>
      <c r="AL33" s="34">
        <f>IF(OR(AG33="",R33=0),"",MIN(IF(AT33="",9.9E+99,AT33),FLOOR(AK33/R33,1)))</f>
        <v/>
      </c>
      <c r="AM33" s="38">
        <f>IF(AL33="","",AL33*T33)</f>
        <v/>
      </c>
      <c r="AN33" s="36">
        <f>IF(OR(AG33="",R33=0),"",MIN(IF(AT33="",9.9E+99,AT33),AK33/R33))</f>
        <v/>
      </c>
      <c r="AO33" s="38">
        <f>IF(AN33="","",AN33*T33)</f>
        <v/>
      </c>
      <c r="AP33" s="40" t="n"/>
      <c r="AQ33" s="32" t="inlineStr">
        <is>
          <t>Grounded</t>
        </is>
      </c>
      <c r="AR33" s="41" t="n"/>
      <c r="AS33" s="41" t="n"/>
      <c r="AT33" s="42" t="n"/>
      <c r="AU33" s="43">
        <f>IF(((S33*pax_cap*load_thin*ROUND(K33*L33*revleg_thin,0))-(((battery/range_nm)*D33*ROUND(K33*L33*revleg_thin,0)*VLOOKUP(B33,country_opex,3,FALSE))+V33+W33+X33+Y33+Z33))&lt;=0,"",VLOOKUP(B33,country_opex,7,FALSE)/((S33*pax_cap*load_thin*ROUND(K33*L33*revleg_thin,0))-(((battery/range_nm)*D33*ROUND(K33*L33*revleg_thin,0)*VLOOKUP(B33,country_opex,3,FALSE))+V33+W33+X33+Y33+Z33)))</f>
        <v/>
      </c>
      <c r="AV33" s="43">
        <f>IF(((S33*pax_cap*load_mid*ROUND(K33*L33*revleg_mid,0))-(((battery/range_nm)*D33*ROUND(K33*L33*revleg_mid,0)*VLOOKUP(B33,country_opex,3,FALSE))+V33+W33+X33+Y33+Z33))&lt;=0,"",VLOOKUP(B33,country_opex,7,FALSE)/((S33*pax_cap*load_mid*ROUND(K33*L33*revleg_mid,0))-(((battery/range_nm)*D33*ROUND(K33*L33*revleg_mid,0)*VLOOKUP(B33,country_opex,3,FALSE))+V33+W33+X33+Y33+Z33)))</f>
        <v/>
      </c>
      <c r="AW33" s="43">
        <f>IF(((S33*pax_cap*load_full*ROUND(K33*L33*revleg_full,0))-(((battery/range_nm)*D33*ROUND(K33*L33*revleg_full,0)*VLOOKUP(B33,country_opex,3,FALSE))+V33+W33+X33+Y33+Z33))&lt;=0,"",VLOOKUP(B33,country_opex,7,FALSE)/((S33*pax_cap*load_full*ROUND(K33*L33*revleg_full,0))-(((battery/range_nm)*D33*ROUND(K33*L33*revleg_full,0)*VLOOKUP(B33,country_opex,3,FALSE))+V33+W33+X33+Y33+Z33)))</f>
        <v/>
      </c>
      <c r="AX33" s="44" t="inlineStr">
        <is>
          <t>uae-careem demand ladder + PR #58 Noon route seal (Careem-style super_app)</t>
        </is>
      </c>
      <c r="AY33" s="44" t="inlineStr">
        <is>
          <t>uae-careem demand ladder + PR #58 Noon route seal (Careem-style super_app)</t>
        </is>
      </c>
    </row>
    <row r="34">
      <c r="A34" s="29" t="inlineStr">
        <is>
          <t>Uae Noon</t>
        </is>
      </c>
      <c r="B34" s="29" t="inlineStr">
        <is>
          <t>United Arab Emirates</t>
        </is>
      </c>
      <c r="C34" s="30" t="inlineStr">
        <is>
          <t>Ras Al Khaimah → ميناء صيادين غليلة</t>
        </is>
      </c>
      <c r="D34" s="31" t="n">
        <v>11.9</v>
      </c>
      <c r="E34" s="26" t="n">
        <v>48</v>
      </c>
      <c r="F34" s="32" t="inlineStr">
        <is>
          <t>T3</t>
        </is>
      </c>
      <c r="G34" s="32" t="inlineStr">
        <is>
          <t>med-low</t>
        </is>
      </c>
      <c r="H34" s="19" t="n">
        <v>1</v>
      </c>
      <c r="I34" s="33">
        <f>60*D34/cruise_kt</f>
        <v/>
      </c>
      <c r="J34" s="33">
        <f>I34+turn_min+dwell_min</f>
        <v/>
      </c>
      <c r="K34" s="34">
        <f>MIN(15,FLOOR(60*service_hr/J34,1))</f>
        <v/>
      </c>
      <c r="L34" s="34">
        <f>ROUND(365*mech_uptime*H34,0)</f>
        <v/>
      </c>
      <c r="M34" s="35">
        <f>mech_uptime</f>
        <v/>
      </c>
      <c r="N34" s="35">
        <f>revleg_sel</f>
        <v/>
      </c>
      <c r="O34" s="34">
        <f>ROUND(K34*L34*revleg_sel,0)</f>
        <v/>
      </c>
      <c r="P34" s="36">
        <f>load_sel</f>
        <v/>
      </c>
      <c r="Q34" s="36">
        <f>pax_cap*P34</f>
        <v/>
      </c>
      <c r="R34" s="34">
        <f>Q34*O34</f>
        <v/>
      </c>
      <c r="S34" s="37">
        <f>E34*discount</f>
        <v/>
      </c>
      <c r="T34" s="38">
        <f>S34*R34</f>
        <v/>
      </c>
      <c r="U34" s="38">
        <f>(battery/range_nm)*D34*O34*VLOOKUP(B34,country_opex,3,FALSE)</f>
        <v/>
      </c>
      <c r="V34" s="38">
        <f>VLOOKUP(B34,country_opex,2,FALSE)*crew_factor</f>
        <v/>
      </c>
      <c r="W34" s="38">
        <f>VLOOKUP(B34,country_opex,5,FALSE)</f>
        <v/>
      </c>
      <c r="X34" s="38">
        <f>maint</f>
        <v/>
      </c>
      <c r="Y34" s="38">
        <f>VLOOKUP(B34,country_opex,7,FALSE)*ins_pct</f>
        <v/>
      </c>
      <c r="Z34" s="38">
        <f>charge_berth</f>
        <v/>
      </c>
      <c r="AA34" s="38">
        <f>U34+V34+W34+X34+Y34+Z34</f>
        <v/>
      </c>
      <c r="AB34" s="38">
        <f>VLOOKUP(B34,country_opex,7,FALSE)/dep_years</f>
        <v/>
      </c>
      <c r="AC34" s="38">
        <f>T34-AA34</f>
        <v/>
      </c>
      <c r="AD34" s="35">
        <f>IF(T34=0,"",AC34/T34)</f>
        <v/>
      </c>
      <c r="AE34" s="36">
        <f>IF(AC34&lt;=0,"",VLOOKUP(B34,country_opex,7,FALSE)/AC34)</f>
        <v/>
      </c>
      <c r="AF34" s="33">
        <f>((D34*O34/diesel_nmpg)*diesel_co2pg-(battery/range_nm)*D34*O34*VLOOKUP(B34,country_opex,4,FALSE))/1000</f>
        <v/>
      </c>
      <c r="AG34" s="31" t="n">
        <v>35000</v>
      </c>
      <c r="AH34" s="32" t="inlineStr">
        <is>
          <t>T3</t>
        </is>
      </c>
      <c r="AI34" s="32" t="inlineStr">
        <is>
          <t>med-low</t>
        </is>
      </c>
      <c r="AJ34" s="39" t="n">
        <v>0.1</v>
      </c>
      <c r="AK34" s="34">
        <f>IF(AG34="","",AG34*AJ34)</f>
        <v/>
      </c>
      <c r="AL34" s="34">
        <f>IF(OR(AG34="",R34=0),"",MIN(IF(AT34="",9.9E+99,AT34),FLOOR(AK34/R34,1)))</f>
        <v/>
      </c>
      <c r="AM34" s="38">
        <f>IF(AL34="","",AL34*T34)</f>
        <v/>
      </c>
      <c r="AN34" s="36">
        <f>IF(OR(AG34="",R34=0),"",MIN(IF(AT34="",9.9E+99,AT34),AK34/R34))</f>
        <v/>
      </c>
      <c r="AO34" s="38">
        <f>IF(AN34="","",AN34*T34)</f>
        <v/>
      </c>
      <c r="AP34" s="40" t="n"/>
      <c r="AQ34" s="32" t="inlineStr">
        <is>
          <t>Grounded</t>
        </is>
      </c>
      <c r="AR34" s="41" t="n"/>
      <c r="AS34" s="41" t="n"/>
      <c r="AT34" s="42" t="n"/>
      <c r="AU34" s="43">
        <f>IF(((S34*pax_cap*load_thin*ROUND(K34*L34*revleg_thin,0))-(((battery/range_nm)*D34*ROUND(K34*L34*revleg_thin,0)*VLOOKUP(B34,country_opex,3,FALSE))+V34+W34+X34+Y34+Z34))&lt;=0,"",VLOOKUP(B34,country_opex,7,FALSE)/((S34*pax_cap*load_thin*ROUND(K34*L34*revleg_thin,0))-(((battery/range_nm)*D34*ROUND(K34*L34*revleg_thin,0)*VLOOKUP(B34,country_opex,3,FALSE))+V34+W34+X34+Y34+Z34)))</f>
        <v/>
      </c>
      <c r="AV34" s="43">
        <f>IF(((S34*pax_cap*load_mid*ROUND(K34*L34*revleg_mid,0))-(((battery/range_nm)*D34*ROUND(K34*L34*revleg_mid,0)*VLOOKUP(B34,country_opex,3,FALSE))+V34+W34+X34+Y34+Z34))&lt;=0,"",VLOOKUP(B34,country_opex,7,FALSE)/((S34*pax_cap*load_mid*ROUND(K34*L34*revleg_mid,0))-(((battery/range_nm)*D34*ROUND(K34*L34*revleg_mid,0)*VLOOKUP(B34,country_opex,3,FALSE))+V34+W34+X34+Y34+Z34)))</f>
        <v/>
      </c>
      <c r="AW34" s="43">
        <f>IF(((S34*pax_cap*load_full*ROUND(K34*L34*revleg_full,0))-(((battery/range_nm)*D34*ROUND(K34*L34*revleg_full,0)*VLOOKUP(B34,country_opex,3,FALSE))+V34+W34+X34+Y34+Z34))&lt;=0,"",VLOOKUP(B34,country_opex,7,FALSE)/((S34*pax_cap*load_full*ROUND(K34*L34*revleg_full,0))-(((battery/range_nm)*D34*ROUND(K34*L34*revleg_full,0)*VLOOKUP(B34,country_opex,3,FALSE))+V34+W34+X34+Y34+Z34)))</f>
        <v/>
      </c>
      <c r="AX34" s="44" t="inlineStr">
        <is>
          <t>uae-careem demand ladder + PR #58 Noon route seal (Careem-style super_app)</t>
        </is>
      </c>
      <c r="AY34" s="44" t="inlineStr">
        <is>
          <t>uae-careem demand ladder + PR #58 Noon route seal (Careem-style super_app)</t>
        </is>
      </c>
    </row>
    <row r="35">
      <c r="A35" s="29" t="inlineStr">
        <is>
          <t>Uae Noon</t>
        </is>
      </c>
      <c r="B35" s="29" t="inlineStr">
        <is>
          <t>United Arab Emirates</t>
        </is>
      </c>
      <c r="C35" s="30" t="inlineStr">
        <is>
          <t>Dubai Marina → Downtown / Dubai Creek</t>
        </is>
      </c>
      <c r="D35" s="31" t="n">
        <v>12</v>
      </c>
      <c r="E35" s="26" t="n"/>
      <c r="F35" s="32" t="n"/>
      <c r="G35" s="32" t="n"/>
      <c r="H35" s="19" t="n">
        <v>1</v>
      </c>
      <c r="I35" s="33">
        <f>60*D35/cruise_kt</f>
        <v/>
      </c>
      <c r="J35" s="33">
        <f>I35+turn_min+dwell_min</f>
        <v/>
      </c>
      <c r="K35" s="34">
        <f>MIN(15,FLOOR(60*service_hr/J35,1))</f>
        <v/>
      </c>
      <c r="L35" s="34">
        <f>ROUND(365*mech_uptime*H35,0)</f>
        <v/>
      </c>
      <c r="M35" s="35">
        <f>mech_uptime</f>
        <v/>
      </c>
      <c r="N35" s="35">
        <f>revleg_sel</f>
        <v/>
      </c>
      <c r="O35" s="34">
        <f>ROUND(K35*L35*revleg_sel,0)</f>
        <v/>
      </c>
      <c r="P35" s="36">
        <f>load_sel</f>
        <v/>
      </c>
      <c r="Q35" s="36">
        <f>pax_cap*P35</f>
        <v/>
      </c>
      <c r="R35" s="34">
        <f>Q35*O35</f>
        <v/>
      </c>
      <c r="S35" s="37">
        <f>E35*discount</f>
        <v/>
      </c>
      <c r="T35" s="38">
        <f>S35*R35</f>
        <v/>
      </c>
      <c r="U35" s="38">
        <f>(battery/range_nm)*D35*O35*VLOOKUP(B35,country_opex,3,FALSE)</f>
        <v/>
      </c>
      <c r="V35" s="38">
        <f>VLOOKUP(B35,country_opex,2,FALSE)*crew_factor</f>
        <v/>
      </c>
      <c r="W35" s="38">
        <f>VLOOKUP(B35,country_opex,5,FALSE)</f>
        <v/>
      </c>
      <c r="X35" s="38">
        <f>maint</f>
        <v/>
      </c>
      <c r="Y35" s="38">
        <f>VLOOKUP(B35,country_opex,7,FALSE)*ins_pct</f>
        <v/>
      </c>
      <c r="Z35" s="38">
        <f>charge_berth</f>
        <v/>
      </c>
      <c r="AA35" s="38">
        <f>U35+V35+W35+X35+Y35+Z35</f>
        <v/>
      </c>
      <c r="AB35" s="38">
        <f>VLOOKUP(B35,country_opex,7,FALSE)/dep_years</f>
        <v/>
      </c>
      <c r="AC35" s="38">
        <f>T35-AA35</f>
        <v/>
      </c>
      <c r="AD35" s="35">
        <f>IF(T35=0,"",AC35/T35)</f>
        <v/>
      </c>
      <c r="AE35" s="36">
        <f>IF(AC35&lt;=0,"",VLOOKUP(B35,country_opex,7,FALSE)/AC35)</f>
        <v/>
      </c>
      <c r="AF35" s="33">
        <f>((D35*O35/diesel_nmpg)*diesel_co2pg-(battery/range_nm)*D35*O35*VLOOKUP(B35,country_opex,4,FALSE))/1000</f>
        <v/>
      </c>
      <c r="AG35" s="31" t="n"/>
      <c r="AH35" s="32" t="n"/>
      <c r="AI35" s="32" t="n"/>
      <c r="AJ35" s="39" t="n">
        <v>0.1</v>
      </c>
      <c r="AK35" s="34">
        <f>IF(AG35="","",AG35*AJ35)</f>
        <v/>
      </c>
      <c r="AL35" s="34">
        <f>IF(OR(AG35="",R35=0),"",MIN(IF(AT35="",9.9E+99,AT35),FLOOR(AK35/R35,1)))</f>
        <v/>
      </c>
      <c r="AM35" s="38">
        <f>IF(AL35="","",AL35*T35)</f>
        <v/>
      </c>
      <c r="AN35" s="36">
        <f>IF(OR(AG35="",R35=0),"",MIN(IF(AT35="",9.9E+99,AT35),AK35/R35))</f>
        <v/>
      </c>
      <c r="AO35" s="38">
        <f>IF(AN35="","",AN35*T35)</f>
        <v/>
      </c>
      <c r="AP35" s="40" t="n"/>
      <c r="AQ35" s="32" t="inlineStr">
        <is>
          <t>Estimated</t>
        </is>
      </c>
      <c r="AR35" s="41" t="n"/>
      <c r="AS35" s="41" t="n"/>
      <c r="AT35" s="42" t="n"/>
      <c r="AU35" s="43">
        <f>IF(((S35*pax_cap*load_thin*ROUND(K35*L35*revleg_thin,0))-(((battery/range_nm)*D35*ROUND(K35*L35*revleg_thin,0)*VLOOKUP(B35,country_opex,3,FALSE))+V35+W35+X35+Y35+Z35))&lt;=0,"",VLOOKUP(B35,country_opex,7,FALSE)/((S35*pax_cap*load_thin*ROUND(K35*L35*revleg_thin,0))-(((battery/range_nm)*D35*ROUND(K35*L35*revleg_thin,0)*VLOOKUP(B35,country_opex,3,FALSE))+V35+W35+X35+Y35+Z35)))</f>
        <v/>
      </c>
      <c r="AV35" s="43">
        <f>IF(((S35*pax_cap*load_mid*ROUND(K35*L35*revleg_mid,0))-(((battery/range_nm)*D35*ROUND(K35*L35*revleg_mid,0)*VLOOKUP(B35,country_opex,3,FALSE))+V35+W35+X35+Y35+Z35))&lt;=0,"",VLOOKUP(B35,country_opex,7,FALSE)/((S35*pax_cap*load_mid*ROUND(K35*L35*revleg_mid,0))-(((battery/range_nm)*D35*ROUND(K35*L35*revleg_mid,0)*VLOOKUP(B35,country_opex,3,FALSE))+V35+W35+X35+Y35+Z35)))</f>
        <v/>
      </c>
      <c r="AW35" s="43">
        <f>IF(((S35*pax_cap*load_full*ROUND(K35*L35*revleg_full,0))-(((battery/range_nm)*D35*ROUND(K35*L35*revleg_full,0)*VLOOKUP(B35,country_opex,3,FALSE))+V35+W35+X35+Y35+Z35))&lt;=0,"",VLOOKUP(B35,country_opex,7,FALSE)/((S35*pax_cap*load_full*ROUND(K35*L35*revleg_full,0))-(((battery/range_nm)*D35*ROUND(K35*L35*revleg_full,0)*VLOOKUP(B35,country_opex,3,FALSE))+V35+W35+X35+Y35+Z35)))</f>
        <v/>
      </c>
      <c r="AX35" s="44" t="n"/>
      <c r="AY35" s="44" t="n"/>
    </row>
    <row r="36">
      <c r="A36" s="29" t="inlineStr">
        <is>
          <t>Uae Noon</t>
        </is>
      </c>
      <c r="B36" s="29" t="inlineStr">
        <is>
          <t>United Arab Emirates</t>
        </is>
      </c>
      <c r="C36" s="30" t="inlineStr">
        <is>
          <t>Dubai Marina → Downtown Creek</t>
        </is>
      </c>
      <c r="D36" s="31" t="n">
        <v>12</v>
      </c>
      <c r="E36" s="26" t="n"/>
      <c r="F36" s="32" t="n"/>
      <c r="G36" s="32" t="n"/>
      <c r="H36" s="19" t="n">
        <v>1</v>
      </c>
      <c r="I36" s="33">
        <f>60*D36/cruise_kt</f>
        <v/>
      </c>
      <c r="J36" s="33">
        <f>I36+turn_min+dwell_min</f>
        <v/>
      </c>
      <c r="K36" s="34">
        <f>MIN(15,FLOOR(60*service_hr/J36,1))</f>
        <v/>
      </c>
      <c r="L36" s="34">
        <f>ROUND(365*mech_uptime*H36,0)</f>
        <v/>
      </c>
      <c r="M36" s="35">
        <f>mech_uptime</f>
        <v/>
      </c>
      <c r="N36" s="35">
        <f>revleg_sel</f>
        <v/>
      </c>
      <c r="O36" s="34">
        <f>ROUND(K36*L36*revleg_sel,0)</f>
        <v/>
      </c>
      <c r="P36" s="36">
        <f>load_sel</f>
        <v/>
      </c>
      <c r="Q36" s="36">
        <f>pax_cap*P36</f>
        <v/>
      </c>
      <c r="R36" s="34">
        <f>Q36*O36</f>
        <v/>
      </c>
      <c r="S36" s="37">
        <f>E36*discount</f>
        <v/>
      </c>
      <c r="T36" s="38">
        <f>S36*R36</f>
        <v/>
      </c>
      <c r="U36" s="38">
        <f>(battery/range_nm)*D36*O36*VLOOKUP(B36,country_opex,3,FALSE)</f>
        <v/>
      </c>
      <c r="V36" s="38">
        <f>VLOOKUP(B36,country_opex,2,FALSE)*crew_factor</f>
        <v/>
      </c>
      <c r="W36" s="38">
        <f>VLOOKUP(B36,country_opex,5,FALSE)</f>
        <v/>
      </c>
      <c r="X36" s="38">
        <f>maint</f>
        <v/>
      </c>
      <c r="Y36" s="38">
        <f>VLOOKUP(B36,country_opex,7,FALSE)*ins_pct</f>
        <v/>
      </c>
      <c r="Z36" s="38">
        <f>charge_berth</f>
        <v/>
      </c>
      <c r="AA36" s="38">
        <f>U36+V36+W36+X36+Y36+Z36</f>
        <v/>
      </c>
      <c r="AB36" s="38">
        <f>VLOOKUP(B36,country_opex,7,FALSE)/dep_years</f>
        <v/>
      </c>
      <c r="AC36" s="38">
        <f>T36-AA36</f>
        <v/>
      </c>
      <c r="AD36" s="35">
        <f>IF(T36=0,"",AC36/T36)</f>
        <v/>
      </c>
      <c r="AE36" s="36">
        <f>IF(AC36&lt;=0,"",VLOOKUP(B36,country_opex,7,FALSE)/AC36)</f>
        <v/>
      </c>
      <c r="AF36" s="33">
        <f>((D36*O36/diesel_nmpg)*diesel_co2pg-(battery/range_nm)*D36*O36*VLOOKUP(B36,country_opex,4,FALSE))/1000</f>
        <v/>
      </c>
      <c r="AG36" s="31" t="n"/>
      <c r="AH36" s="32" t="n"/>
      <c r="AI36" s="32" t="n"/>
      <c r="AJ36" s="39" t="n">
        <v>0.1</v>
      </c>
      <c r="AK36" s="34">
        <f>IF(AG36="","",AG36*AJ36)</f>
        <v/>
      </c>
      <c r="AL36" s="34">
        <f>IF(OR(AG36="",R36=0),"",MIN(IF(AT36="",9.9E+99,AT36),FLOOR(AK36/R36,1)))</f>
        <v/>
      </c>
      <c r="AM36" s="38">
        <f>IF(AL36="","",AL36*T36)</f>
        <v/>
      </c>
      <c r="AN36" s="36">
        <f>IF(OR(AG36="",R36=0),"",MIN(IF(AT36="",9.9E+99,AT36),AK36/R36))</f>
        <v/>
      </c>
      <c r="AO36" s="38">
        <f>IF(AN36="","",AN36*T36)</f>
        <v/>
      </c>
      <c r="AP36" s="40" t="n"/>
      <c r="AQ36" s="32" t="inlineStr">
        <is>
          <t>Estimated</t>
        </is>
      </c>
      <c r="AR36" s="41" t="n"/>
      <c r="AS36" s="41" t="n"/>
      <c r="AT36" s="42" t="n"/>
      <c r="AU36" s="43">
        <f>IF(((S36*pax_cap*load_thin*ROUND(K36*L36*revleg_thin,0))-(((battery/range_nm)*D36*ROUND(K36*L36*revleg_thin,0)*VLOOKUP(B36,country_opex,3,FALSE))+V36+W36+X36+Y36+Z36))&lt;=0,"",VLOOKUP(B36,country_opex,7,FALSE)/((S36*pax_cap*load_thin*ROUND(K36*L36*revleg_thin,0))-(((battery/range_nm)*D36*ROUND(K36*L36*revleg_thin,0)*VLOOKUP(B36,country_opex,3,FALSE))+V36+W36+X36+Y36+Z36)))</f>
        <v/>
      </c>
      <c r="AV36" s="43">
        <f>IF(((S36*pax_cap*load_mid*ROUND(K36*L36*revleg_mid,0))-(((battery/range_nm)*D36*ROUND(K36*L36*revleg_mid,0)*VLOOKUP(B36,country_opex,3,FALSE))+V36+W36+X36+Y36+Z36))&lt;=0,"",VLOOKUP(B36,country_opex,7,FALSE)/((S36*pax_cap*load_mid*ROUND(K36*L36*revleg_mid,0))-(((battery/range_nm)*D36*ROUND(K36*L36*revleg_mid,0)*VLOOKUP(B36,country_opex,3,FALSE))+V36+W36+X36+Y36+Z36)))</f>
        <v/>
      </c>
      <c r="AW36" s="43">
        <f>IF(((S36*pax_cap*load_full*ROUND(K36*L36*revleg_full,0))-(((battery/range_nm)*D36*ROUND(K36*L36*revleg_full,0)*VLOOKUP(B36,country_opex,3,FALSE))+V36+W36+X36+Y36+Z36))&lt;=0,"",VLOOKUP(B36,country_opex,7,FALSE)/((S36*pax_cap*load_full*ROUND(K36*L36*revleg_full,0))-(((battery/range_nm)*D36*ROUND(K36*L36*revleg_full,0)*VLOOKUP(B36,country_opex,3,FALSE))+V36+W36+X36+Y36+Z36)))</f>
        <v/>
      </c>
      <c r="AX36" s="44" t="n"/>
      <c r="AY36" s="44" t="n"/>
    </row>
    <row r="37">
      <c r="A37" s="29" t="inlineStr">
        <is>
          <t>Uae Noon</t>
        </is>
      </c>
      <c r="B37" s="29" t="inlineStr">
        <is>
          <t>United Arab Emirates</t>
        </is>
      </c>
      <c r="C37" s="30" t="inlineStr">
        <is>
          <t>Yas Marina → Four Seasons Al Maryah Jetty</t>
        </is>
      </c>
      <c r="D37" s="31" t="n">
        <v>12.4</v>
      </c>
      <c r="E37" s="26" t="n">
        <v>48</v>
      </c>
      <c r="F37" s="32" t="inlineStr">
        <is>
          <t>T3</t>
        </is>
      </c>
      <c r="G37" s="32" t="inlineStr">
        <is>
          <t>med-low</t>
        </is>
      </c>
      <c r="H37" s="19" t="n">
        <v>1</v>
      </c>
      <c r="I37" s="33">
        <f>60*D37/cruise_kt</f>
        <v/>
      </c>
      <c r="J37" s="33">
        <f>I37+turn_min+dwell_min</f>
        <v/>
      </c>
      <c r="K37" s="34">
        <f>MIN(15,FLOOR(60*service_hr/J37,1))</f>
        <v/>
      </c>
      <c r="L37" s="34">
        <f>ROUND(365*mech_uptime*H37,0)</f>
        <v/>
      </c>
      <c r="M37" s="35">
        <f>mech_uptime</f>
        <v/>
      </c>
      <c r="N37" s="35">
        <f>revleg_sel</f>
        <v/>
      </c>
      <c r="O37" s="34">
        <f>ROUND(K37*L37*revleg_sel,0)</f>
        <v/>
      </c>
      <c r="P37" s="36">
        <f>load_sel</f>
        <v/>
      </c>
      <c r="Q37" s="36">
        <f>pax_cap*P37</f>
        <v/>
      </c>
      <c r="R37" s="34">
        <f>Q37*O37</f>
        <v/>
      </c>
      <c r="S37" s="37">
        <f>E37*discount</f>
        <v/>
      </c>
      <c r="T37" s="38">
        <f>S37*R37</f>
        <v/>
      </c>
      <c r="U37" s="38">
        <f>(battery/range_nm)*D37*O37*VLOOKUP(B37,country_opex,3,FALSE)</f>
        <v/>
      </c>
      <c r="V37" s="38">
        <f>VLOOKUP(B37,country_opex,2,FALSE)*crew_factor</f>
        <v/>
      </c>
      <c r="W37" s="38">
        <f>VLOOKUP(B37,country_opex,5,FALSE)</f>
        <v/>
      </c>
      <c r="X37" s="38">
        <f>maint</f>
        <v/>
      </c>
      <c r="Y37" s="38">
        <f>VLOOKUP(B37,country_opex,7,FALSE)*ins_pct</f>
        <v/>
      </c>
      <c r="Z37" s="38">
        <f>charge_berth</f>
        <v/>
      </c>
      <c r="AA37" s="38">
        <f>U37+V37+W37+X37+Y37+Z37</f>
        <v/>
      </c>
      <c r="AB37" s="38">
        <f>VLOOKUP(B37,country_opex,7,FALSE)/dep_years</f>
        <v/>
      </c>
      <c r="AC37" s="38">
        <f>T37-AA37</f>
        <v/>
      </c>
      <c r="AD37" s="35">
        <f>IF(T37=0,"",AC37/T37)</f>
        <v/>
      </c>
      <c r="AE37" s="36">
        <f>IF(AC37&lt;=0,"",VLOOKUP(B37,country_opex,7,FALSE)/AC37)</f>
        <v/>
      </c>
      <c r="AF37" s="33">
        <f>((D37*O37/diesel_nmpg)*diesel_co2pg-(battery/range_nm)*D37*O37*VLOOKUP(B37,country_opex,4,FALSE))/1000</f>
        <v/>
      </c>
      <c r="AG37" s="31" t="n">
        <v>35000</v>
      </c>
      <c r="AH37" s="32" t="inlineStr">
        <is>
          <t>T3</t>
        </is>
      </c>
      <c r="AI37" s="32" t="inlineStr">
        <is>
          <t>med-low</t>
        </is>
      </c>
      <c r="AJ37" s="39" t="n">
        <v>0.1</v>
      </c>
      <c r="AK37" s="34">
        <f>IF(AG37="","",AG37*AJ37)</f>
        <v/>
      </c>
      <c r="AL37" s="34">
        <f>IF(OR(AG37="",R37=0),"",MIN(IF(AT37="",9.9E+99,AT37),FLOOR(AK37/R37,1)))</f>
        <v/>
      </c>
      <c r="AM37" s="38">
        <f>IF(AL37="","",AL37*T37)</f>
        <v/>
      </c>
      <c r="AN37" s="36">
        <f>IF(OR(AG37="",R37=0),"",MIN(IF(AT37="",9.9E+99,AT37),AK37/R37))</f>
        <v/>
      </c>
      <c r="AO37" s="38">
        <f>IF(AN37="","",AN37*T37)</f>
        <v/>
      </c>
      <c r="AP37" s="40" t="n"/>
      <c r="AQ37" s="32" t="inlineStr">
        <is>
          <t>Grounded</t>
        </is>
      </c>
      <c r="AR37" s="41" t="n"/>
      <c r="AS37" s="41" t="n"/>
      <c r="AT37" s="42" t="n"/>
      <c r="AU37" s="43">
        <f>IF(((S37*pax_cap*load_thin*ROUND(K37*L37*revleg_thin,0))-(((battery/range_nm)*D37*ROUND(K37*L37*revleg_thin,0)*VLOOKUP(B37,country_opex,3,FALSE))+V37+W37+X37+Y37+Z37))&lt;=0,"",VLOOKUP(B37,country_opex,7,FALSE)/((S37*pax_cap*load_thin*ROUND(K37*L37*revleg_thin,0))-(((battery/range_nm)*D37*ROUND(K37*L37*revleg_thin,0)*VLOOKUP(B37,country_opex,3,FALSE))+V37+W37+X37+Y37+Z37)))</f>
        <v/>
      </c>
      <c r="AV37" s="43">
        <f>IF(((S37*pax_cap*load_mid*ROUND(K37*L37*revleg_mid,0))-(((battery/range_nm)*D37*ROUND(K37*L37*revleg_mid,0)*VLOOKUP(B37,country_opex,3,FALSE))+V37+W37+X37+Y37+Z37))&lt;=0,"",VLOOKUP(B37,country_opex,7,FALSE)/((S37*pax_cap*load_mid*ROUND(K37*L37*revleg_mid,0))-(((battery/range_nm)*D37*ROUND(K37*L37*revleg_mid,0)*VLOOKUP(B37,country_opex,3,FALSE))+V37+W37+X37+Y37+Z37)))</f>
        <v/>
      </c>
      <c r="AW37" s="43">
        <f>IF(((S37*pax_cap*load_full*ROUND(K37*L37*revleg_full,0))-(((battery/range_nm)*D37*ROUND(K37*L37*revleg_full,0)*VLOOKUP(B37,country_opex,3,FALSE))+V37+W37+X37+Y37+Z37))&lt;=0,"",VLOOKUP(B37,country_opex,7,FALSE)/((S37*pax_cap*load_full*ROUND(K37*L37*revleg_full,0))-(((battery/range_nm)*D37*ROUND(K37*L37*revleg_full,0)*VLOOKUP(B37,country_opex,3,FALSE))+V37+W37+X37+Y37+Z37)))</f>
        <v/>
      </c>
      <c r="AX37" s="44" t="inlineStr">
        <is>
          <t>uae-careem demand ladder + PR #58 Noon route seal (Careem-style super_app)</t>
        </is>
      </c>
      <c r="AY37" s="44" t="inlineStr">
        <is>
          <t>uae-careem demand ladder + PR #58 Noon route seal (Careem-style super_app)</t>
        </is>
      </c>
    </row>
    <row r="38">
      <c r="A38" s="29" t="inlineStr">
        <is>
          <t>Uae Noon</t>
        </is>
      </c>
      <c r="B38" s="29" t="inlineStr">
        <is>
          <t>United Arab Emirates</t>
        </is>
      </c>
      <c r="C38" s="30" t="inlineStr">
        <is>
          <t>Yas Marina → Zaya Nurai Island Jetty</t>
        </is>
      </c>
      <c r="D38" s="31" t="n">
        <v>12.6</v>
      </c>
      <c r="E38" s="26" t="n"/>
      <c r="F38" s="32" t="n"/>
      <c r="G38" s="32" t="n"/>
      <c r="H38" s="19" t="n">
        <v>1</v>
      </c>
      <c r="I38" s="33">
        <f>60*D38/cruise_kt</f>
        <v/>
      </c>
      <c r="J38" s="33">
        <f>I38+turn_min+dwell_min</f>
        <v/>
      </c>
      <c r="K38" s="34">
        <f>MIN(15,FLOOR(60*service_hr/J38,1))</f>
        <v/>
      </c>
      <c r="L38" s="34">
        <f>ROUND(365*mech_uptime*H38,0)</f>
        <v/>
      </c>
      <c r="M38" s="35">
        <f>mech_uptime</f>
        <v/>
      </c>
      <c r="N38" s="35">
        <f>revleg_sel</f>
        <v/>
      </c>
      <c r="O38" s="34">
        <f>ROUND(K38*L38*revleg_sel,0)</f>
        <v/>
      </c>
      <c r="P38" s="36">
        <f>load_sel</f>
        <v/>
      </c>
      <c r="Q38" s="36">
        <f>pax_cap*P38</f>
        <v/>
      </c>
      <c r="R38" s="34">
        <f>Q38*O38</f>
        <v/>
      </c>
      <c r="S38" s="37">
        <f>E38*discount</f>
        <v/>
      </c>
      <c r="T38" s="38">
        <f>S38*R38</f>
        <v/>
      </c>
      <c r="U38" s="38">
        <f>(battery/range_nm)*D38*O38*VLOOKUP(B38,country_opex,3,FALSE)</f>
        <v/>
      </c>
      <c r="V38" s="38">
        <f>VLOOKUP(B38,country_opex,2,FALSE)*crew_factor</f>
        <v/>
      </c>
      <c r="W38" s="38">
        <f>VLOOKUP(B38,country_opex,5,FALSE)</f>
        <v/>
      </c>
      <c r="X38" s="38">
        <f>maint</f>
        <v/>
      </c>
      <c r="Y38" s="38">
        <f>VLOOKUP(B38,country_opex,7,FALSE)*ins_pct</f>
        <v/>
      </c>
      <c r="Z38" s="38">
        <f>charge_berth</f>
        <v/>
      </c>
      <c r="AA38" s="38">
        <f>U38+V38+W38+X38+Y38+Z38</f>
        <v/>
      </c>
      <c r="AB38" s="38">
        <f>VLOOKUP(B38,country_opex,7,FALSE)/dep_years</f>
        <v/>
      </c>
      <c r="AC38" s="38">
        <f>T38-AA38</f>
        <v/>
      </c>
      <c r="AD38" s="35">
        <f>IF(T38=0,"",AC38/T38)</f>
        <v/>
      </c>
      <c r="AE38" s="36">
        <f>IF(AC38&lt;=0,"",VLOOKUP(B38,country_opex,7,FALSE)/AC38)</f>
        <v/>
      </c>
      <c r="AF38" s="33">
        <f>((D38*O38/diesel_nmpg)*diesel_co2pg-(battery/range_nm)*D38*O38*VLOOKUP(B38,country_opex,4,FALSE))/1000</f>
        <v/>
      </c>
      <c r="AG38" s="31" t="n"/>
      <c r="AH38" s="32" t="n"/>
      <c r="AI38" s="32" t="n"/>
      <c r="AJ38" s="39" t="n">
        <v>0.1</v>
      </c>
      <c r="AK38" s="34">
        <f>IF(AG38="","",AG38*AJ38)</f>
        <v/>
      </c>
      <c r="AL38" s="34">
        <f>IF(OR(AG38="",R38=0),"",MIN(IF(AT38="",9.9E+99,AT38),FLOOR(AK38/R38,1)))</f>
        <v/>
      </c>
      <c r="AM38" s="38">
        <f>IF(AL38="","",AL38*T38)</f>
        <v/>
      </c>
      <c r="AN38" s="36">
        <f>IF(OR(AG38="",R38=0),"",MIN(IF(AT38="",9.9E+99,AT38),AK38/R38))</f>
        <v/>
      </c>
      <c r="AO38" s="38">
        <f>IF(AN38="","",AN38*T38)</f>
        <v/>
      </c>
      <c r="AP38" s="40" t="n"/>
      <c r="AQ38" s="32" t="inlineStr">
        <is>
          <t>Estimated</t>
        </is>
      </c>
      <c r="AR38" s="41" t="n"/>
      <c r="AS38" s="41" t="n"/>
      <c r="AT38" s="42" t="n"/>
      <c r="AU38" s="43">
        <f>IF(((S38*pax_cap*load_thin*ROUND(K38*L38*revleg_thin,0))-(((battery/range_nm)*D38*ROUND(K38*L38*revleg_thin,0)*VLOOKUP(B38,country_opex,3,FALSE))+V38+W38+X38+Y38+Z38))&lt;=0,"",VLOOKUP(B38,country_opex,7,FALSE)/((S38*pax_cap*load_thin*ROUND(K38*L38*revleg_thin,0))-(((battery/range_nm)*D38*ROUND(K38*L38*revleg_thin,0)*VLOOKUP(B38,country_opex,3,FALSE))+V38+W38+X38+Y38+Z38)))</f>
        <v/>
      </c>
      <c r="AV38" s="43">
        <f>IF(((S38*pax_cap*load_mid*ROUND(K38*L38*revleg_mid,0))-(((battery/range_nm)*D38*ROUND(K38*L38*revleg_mid,0)*VLOOKUP(B38,country_opex,3,FALSE))+V38+W38+X38+Y38+Z38))&lt;=0,"",VLOOKUP(B38,country_opex,7,FALSE)/((S38*pax_cap*load_mid*ROUND(K38*L38*revleg_mid,0))-(((battery/range_nm)*D38*ROUND(K38*L38*revleg_mid,0)*VLOOKUP(B38,country_opex,3,FALSE))+V38+W38+X38+Y38+Z38)))</f>
        <v/>
      </c>
      <c r="AW38" s="43">
        <f>IF(((S38*pax_cap*load_full*ROUND(K38*L38*revleg_full,0))-(((battery/range_nm)*D38*ROUND(K38*L38*revleg_full,0)*VLOOKUP(B38,country_opex,3,FALSE))+V38+W38+X38+Y38+Z38))&lt;=0,"",VLOOKUP(B38,country_opex,7,FALSE)/((S38*pax_cap*load_full*ROUND(K38*L38*revleg_full,0))-(((battery/range_nm)*D38*ROUND(K38*L38*revleg_full,0)*VLOOKUP(B38,country_opex,3,FALSE))+V38+W38+X38+Y38+Z38)))</f>
        <v/>
      </c>
      <c r="AX38" s="44" t="n"/>
      <c r="AY38" s="44" t="n"/>
    </row>
    <row r="39">
      <c r="A39" s="29" t="inlineStr">
        <is>
          <t>Uae Noon</t>
        </is>
      </c>
      <c r="B39" s="29" t="inlineStr">
        <is>
          <t>United Arab Emirates</t>
        </is>
      </c>
      <c r="C39" s="30" t="inlineStr">
        <is>
          <t>Yas Marina → Saadiyat Beach Club Jetty</t>
        </is>
      </c>
      <c r="D39" s="31" t="n">
        <v>13</v>
      </c>
      <c r="E39" s="26" t="n"/>
      <c r="F39" s="32" t="n"/>
      <c r="G39" s="32" t="n"/>
      <c r="H39" s="19" t="n">
        <v>1</v>
      </c>
      <c r="I39" s="33">
        <f>60*D39/cruise_kt</f>
        <v/>
      </c>
      <c r="J39" s="33">
        <f>I39+turn_min+dwell_min</f>
        <v/>
      </c>
      <c r="K39" s="34">
        <f>MIN(15,FLOOR(60*service_hr/J39,1))</f>
        <v/>
      </c>
      <c r="L39" s="34">
        <f>ROUND(365*mech_uptime*H39,0)</f>
        <v/>
      </c>
      <c r="M39" s="35">
        <f>mech_uptime</f>
        <v/>
      </c>
      <c r="N39" s="35">
        <f>revleg_sel</f>
        <v/>
      </c>
      <c r="O39" s="34">
        <f>ROUND(K39*L39*revleg_sel,0)</f>
        <v/>
      </c>
      <c r="P39" s="36">
        <f>load_sel</f>
        <v/>
      </c>
      <c r="Q39" s="36">
        <f>pax_cap*P39</f>
        <v/>
      </c>
      <c r="R39" s="34">
        <f>Q39*O39</f>
        <v/>
      </c>
      <c r="S39" s="37">
        <f>E39*discount</f>
        <v/>
      </c>
      <c r="T39" s="38">
        <f>S39*R39</f>
        <v/>
      </c>
      <c r="U39" s="38">
        <f>(battery/range_nm)*D39*O39*VLOOKUP(B39,country_opex,3,FALSE)</f>
        <v/>
      </c>
      <c r="V39" s="38">
        <f>VLOOKUP(B39,country_opex,2,FALSE)*crew_factor</f>
        <v/>
      </c>
      <c r="W39" s="38">
        <f>VLOOKUP(B39,country_opex,5,FALSE)</f>
        <v/>
      </c>
      <c r="X39" s="38">
        <f>maint</f>
        <v/>
      </c>
      <c r="Y39" s="38">
        <f>VLOOKUP(B39,country_opex,7,FALSE)*ins_pct</f>
        <v/>
      </c>
      <c r="Z39" s="38">
        <f>charge_berth</f>
        <v/>
      </c>
      <c r="AA39" s="38">
        <f>U39+V39+W39+X39+Y39+Z39</f>
        <v/>
      </c>
      <c r="AB39" s="38">
        <f>VLOOKUP(B39,country_opex,7,FALSE)/dep_years</f>
        <v/>
      </c>
      <c r="AC39" s="38">
        <f>T39-AA39</f>
        <v/>
      </c>
      <c r="AD39" s="35">
        <f>IF(T39=0,"",AC39/T39)</f>
        <v/>
      </c>
      <c r="AE39" s="36">
        <f>IF(AC39&lt;=0,"",VLOOKUP(B39,country_opex,7,FALSE)/AC39)</f>
        <v/>
      </c>
      <c r="AF39" s="33">
        <f>((D39*O39/diesel_nmpg)*diesel_co2pg-(battery/range_nm)*D39*O39*VLOOKUP(B39,country_opex,4,FALSE))/1000</f>
        <v/>
      </c>
      <c r="AG39" s="31" t="n"/>
      <c r="AH39" s="32" t="n"/>
      <c r="AI39" s="32" t="n"/>
      <c r="AJ39" s="39" t="n">
        <v>0.1</v>
      </c>
      <c r="AK39" s="34">
        <f>IF(AG39="","",AG39*AJ39)</f>
        <v/>
      </c>
      <c r="AL39" s="34">
        <f>IF(OR(AG39="",R39=0),"",MIN(IF(AT39="",9.9E+99,AT39),FLOOR(AK39/R39,1)))</f>
        <v/>
      </c>
      <c r="AM39" s="38">
        <f>IF(AL39="","",AL39*T39)</f>
        <v/>
      </c>
      <c r="AN39" s="36">
        <f>IF(OR(AG39="",R39=0),"",MIN(IF(AT39="",9.9E+99,AT39),AK39/R39))</f>
        <v/>
      </c>
      <c r="AO39" s="38">
        <f>IF(AN39="","",AN39*T39)</f>
        <v/>
      </c>
      <c r="AP39" s="40" t="n"/>
      <c r="AQ39" s="32" t="inlineStr">
        <is>
          <t>Estimated</t>
        </is>
      </c>
      <c r="AR39" s="41" t="n"/>
      <c r="AS39" s="41" t="n"/>
      <c r="AT39" s="42" t="n"/>
      <c r="AU39" s="43">
        <f>IF(((S39*pax_cap*load_thin*ROUND(K39*L39*revleg_thin,0))-(((battery/range_nm)*D39*ROUND(K39*L39*revleg_thin,0)*VLOOKUP(B39,country_opex,3,FALSE))+V39+W39+X39+Y39+Z39))&lt;=0,"",VLOOKUP(B39,country_opex,7,FALSE)/((S39*pax_cap*load_thin*ROUND(K39*L39*revleg_thin,0))-(((battery/range_nm)*D39*ROUND(K39*L39*revleg_thin,0)*VLOOKUP(B39,country_opex,3,FALSE))+V39+W39+X39+Y39+Z39)))</f>
        <v/>
      </c>
      <c r="AV39" s="43">
        <f>IF(((S39*pax_cap*load_mid*ROUND(K39*L39*revleg_mid,0))-(((battery/range_nm)*D39*ROUND(K39*L39*revleg_mid,0)*VLOOKUP(B39,country_opex,3,FALSE))+V39+W39+X39+Y39+Z39))&lt;=0,"",VLOOKUP(B39,country_opex,7,FALSE)/((S39*pax_cap*load_mid*ROUND(K39*L39*revleg_mid,0))-(((battery/range_nm)*D39*ROUND(K39*L39*revleg_mid,0)*VLOOKUP(B39,country_opex,3,FALSE))+V39+W39+X39+Y39+Z39)))</f>
        <v/>
      </c>
      <c r="AW39" s="43">
        <f>IF(((S39*pax_cap*load_full*ROUND(K39*L39*revleg_full,0))-(((battery/range_nm)*D39*ROUND(K39*L39*revleg_full,0)*VLOOKUP(B39,country_opex,3,FALSE))+V39+W39+X39+Y39+Z39))&lt;=0,"",VLOOKUP(B39,country_opex,7,FALSE)/((S39*pax_cap*load_full*ROUND(K39*L39*revleg_full,0))-(((battery/range_nm)*D39*ROUND(K39*L39*revleg_full,0)*VLOOKUP(B39,country_opex,3,FALSE))+V39+W39+X39+Y39+Z39)))</f>
        <v/>
      </c>
      <c r="AX39" s="44" t="n"/>
      <c r="AY39" s="44" t="n"/>
    </row>
    <row r="40">
      <c r="A40" s="29" t="inlineStr">
        <is>
          <t>Uae Noon</t>
        </is>
      </c>
      <c r="B40" s="29" t="inlineStr">
        <is>
          <t>United Arab Emirates</t>
        </is>
      </c>
      <c r="C40" s="30" t="inlineStr">
        <is>
          <t>Dubai Harbour Marina → Al Khan Lagoon mouth</t>
        </is>
      </c>
      <c r="D40" s="31" t="n">
        <v>19.4</v>
      </c>
      <c r="E40" s="26" t="n">
        <v>48</v>
      </c>
      <c r="F40" s="32" t="inlineStr">
        <is>
          <t>T3</t>
        </is>
      </c>
      <c r="G40" s="32" t="inlineStr">
        <is>
          <t>med-low</t>
        </is>
      </c>
      <c r="H40" s="19" t="n">
        <v>1</v>
      </c>
      <c r="I40" s="33">
        <f>60*D40/cruise_kt</f>
        <v/>
      </c>
      <c r="J40" s="33">
        <f>I40+turn_min+dwell_min</f>
        <v/>
      </c>
      <c r="K40" s="34">
        <f>MIN(15,FLOOR(60*service_hr/J40,1))</f>
        <v/>
      </c>
      <c r="L40" s="34">
        <f>ROUND(365*mech_uptime*H40,0)</f>
        <v/>
      </c>
      <c r="M40" s="35">
        <f>mech_uptime</f>
        <v/>
      </c>
      <c r="N40" s="35">
        <f>revleg_sel</f>
        <v/>
      </c>
      <c r="O40" s="34">
        <f>ROUND(K40*L40*revleg_sel,0)</f>
        <v/>
      </c>
      <c r="P40" s="36">
        <f>load_sel</f>
        <v/>
      </c>
      <c r="Q40" s="36">
        <f>pax_cap*P40</f>
        <v/>
      </c>
      <c r="R40" s="34">
        <f>Q40*O40</f>
        <v/>
      </c>
      <c r="S40" s="37">
        <f>E40*discount</f>
        <v/>
      </c>
      <c r="T40" s="38">
        <f>S40*R40</f>
        <v/>
      </c>
      <c r="U40" s="38">
        <f>(battery/range_nm)*D40*O40*VLOOKUP(B40,country_opex,3,FALSE)</f>
        <v/>
      </c>
      <c r="V40" s="38">
        <f>VLOOKUP(B40,country_opex,2,FALSE)*crew_factor</f>
        <v/>
      </c>
      <c r="W40" s="38">
        <f>VLOOKUP(B40,country_opex,5,FALSE)</f>
        <v/>
      </c>
      <c r="X40" s="38">
        <f>maint</f>
        <v/>
      </c>
      <c r="Y40" s="38">
        <f>VLOOKUP(B40,country_opex,7,FALSE)*ins_pct</f>
        <v/>
      </c>
      <c r="Z40" s="38">
        <f>charge_berth</f>
        <v/>
      </c>
      <c r="AA40" s="38">
        <f>U40+V40+W40+X40+Y40+Z40</f>
        <v/>
      </c>
      <c r="AB40" s="38">
        <f>VLOOKUP(B40,country_opex,7,FALSE)/dep_years</f>
        <v/>
      </c>
      <c r="AC40" s="38">
        <f>T40-AA40</f>
        <v/>
      </c>
      <c r="AD40" s="35">
        <f>IF(T40=0,"",AC40/T40)</f>
        <v/>
      </c>
      <c r="AE40" s="36">
        <f>IF(AC40&lt;=0,"",VLOOKUP(B40,country_opex,7,FALSE)/AC40)</f>
        <v/>
      </c>
      <c r="AF40" s="33">
        <f>((D40*O40/diesel_nmpg)*diesel_co2pg-(battery/range_nm)*D40*O40*VLOOKUP(B40,country_opex,4,FALSE))/1000</f>
        <v/>
      </c>
      <c r="AG40" s="31" t="n">
        <v>35000</v>
      </c>
      <c r="AH40" s="32" t="inlineStr">
        <is>
          <t>T3</t>
        </is>
      </c>
      <c r="AI40" s="32" t="inlineStr">
        <is>
          <t>med-low</t>
        </is>
      </c>
      <c r="AJ40" s="39" t="n">
        <v>0.1</v>
      </c>
      <c r="AK40" s="34">
        <f>IF(AG40="","",AG40*AJ40)</f>
        <v/>
      </c>
      <c r="AL40" s="34">
        <f>IF(OR(AG40="",R40=0),"",MIN(IF(AT40="",9.9E+99,AT40),FLOOR(AK40/R40,1)))</f>
        <v/>
      </c>
      <c r="AM40" s="38">
        <f>IF(AL40="","",AL40*T40)</f>
        <v/>
      </c>
      <c r="AN40" s="36">
        <f>IF(OR(AG40="",R40=0),"",MIN(IF(AT40="",9.9E+99,AT40),AK40/R40))</f>
        <v/>
      </c>
      <c r="AO40" s="38">
        <f>IF(AN40="","",AN40*T40)</f>
        <v/>
      </c>
      <c r="AP40" s="40" t="n"/>
      <c r="AQ40" s="32" t="inlineStr">
        <is>
          <t>Grounded</t>
        </is>
      </c>
      <c r="AR40" s="41" t="n"/>
      <c r="AS40" s="41" t="n"/>
      <c r="AT40" s="42" t="n"/>
      <c r="AU40" s="43">
        <f>IF(((S40*pax_cap*load_thin*ROUND(K40*L40*revleg_thin,0))-(((battery/range_nm)*D40*ROUND(K40*L40*revleg_thin,0)*VLOOKUP(B40,country_opex,3,FALSE))+V40+W40+X40+Y40+Z40))&lt;=0,"",VLOOKUP(B40,country_opex,7,FALSE)/((S40*pax_cap*load_thin*ROUND(K40*L40*revleg_thin,0))-(((battery/range_nm)*D40*ROUND(K40*L40*revleg_thin,0)*VLOOKUP(B40,country_opex,3,FALSE))+V40+W40+X40+Y40+Z40)))</f>
        <v/>
      </c>
      <c r="AV40" s="43">
        <f>IF(((S40*pax_cap*load_mid*ROUND(K40*L40*revleg_mid,0))-(((battery/range_nm)*D40*ROUND(K40*L40*revleg_mid,0)*VLOOKUP(B40,country_opex,3,FALSE))+V40+W40+X40+Y40+Z40))&lt;=0,"",VLOOKUP(B40,country_opex,7,FALSE)/((S40*pax_cap*load_mid*ROUND(K40*L40*revleg_mid,0))-(((battery/range_nm)*D40*ROUND(K40*L40*revleg_mid,0)*VLOOKUP(B40,country_opex,3,FALSE))+V40+W40+X40+Y40+Z40)))</f>
        <v/>
      </c>
      <c r="AW40" s="43">
        <f>IF(((S40*pax_cap*load_full*ROUND(K40*L40*revleg_full,0))-(((battery/range_nm)*D40*ROUND(K40*L40*revleg_full,0)*VLOOKUP(B40,country_opex,3,FALSE))+V40+W40+X40+Y40+Z40))&lt;=0,"",VLOOKUP(B40,country_opex,7,FALSE)/((S40*pax_cap*load_full*ROUND(K40*L40*revleg_full,0))-(((battery/range_nm)*D40*ROUND(K40*L40*revleg_full,0)*VLOOKUP(B40,country_opex,3,FALSE))+V40+W40+X40+Y40+Z40)))</f>
        <v/>
      </c>
      <c r="AX40" s="44" t="inlineStr">
        <is>
          <t>uae-careem demand ladder + PR #58 Noon route seal (Careem-style super_app)</t>
        </is>
      </c>
      <c r="AY40" s="44" t="inlineStr">
        <is>
          <t>uae-careem demand ladder + PR #58 Noon route seal (Careem-style super_app)</t>
        </is>
      </c>
    </row>
    <row r="41">
      <c r="A41" s="29" t="inlineStr">
        <is>
          <t>Uae Noon</t>
        </is>
      </c>
      <c r="B41" s="29" t="inlineStr">
        <is>
          <t>United Arab Emirates</t>
        </is>
      </c>
      <c r="C41" s="30" t="inlineStr">
        <is>
          <t>Dibba Marina (Fujairah) → Khorfakkan Corniche / Port (Sharjah enclave)</t>
        </is>
      </c>
      <c r="D41" s="31" t="n">
        <v>20.4</v>
      </c>
      <c r="E41" s="26" t="n"/>
      <c r="F41" s="32" t="n"/>
      <c r="G41" s="32" t="n"/>
      <c r="H41" s="19" t="n">
        <v>1</v>
      </c>
      <c r="I41" s="33">
        <f>60*D41/cruise_kt</f>
        <v/>
      </c>
      <c r="J41" s="33">
        <f>I41+turn_min+dwell_min</f>
        <v/>
      </c>
      <c r="K41" s="34">
        <f>MIN(15,FLOOR(60*service_hr/J41,1))</f>
        <v/>
      </c>
      <c r="L41" s="34">
        <f>ROUND(365*mech_uptime*H41,0)</f>
        <v/>
      </c>
      <c r="M41" s="35">
        <f>mech_uptime</f>
        <v/>
      </c>
      <c r="N41" s="35">
        <f>revleg_sel</f>
        <v/>
      </c>
      <c r="O41" s="34">
        <f>ROUND(K41*L41*revleg_sel,0)</f>
        <v/>
      </c>
      <c r="P41" s="36">
        <f>load_sel</f>
        <v/>
      </c>
      <c r="Q41" s="36">
        <f>pax_cap*P41</f>
        <v/>
      </c>
      <c r="R41" s="34">
        <f>Q41*O41</f>
        <v/>
      </c>
      <c r="S41" s="37">
        <f>E41*discount</f>
        <v/>
      </c>
      <c r="T41" s="38">
        <f>S41*R41</f>
        <v/>
      </c>
      <c r="U41" s="38">
        <f>(battery/range_nm)*D41*O41*VLOOKUP(B41,country_opex,3,FALSE)</f>
        <v/>
      </c>
      <c r="V41" s="38">
        <f>VLOOKUP(B41,country_opex,2,FALSE)*crew_factor</f>
        <v/>
      </c>
      <c r="W41" s="38">
        <f>VLOOKUP(B41,country_opex,5,FALSE)</f>
        <v/>
      </c>
      <c r="X41" s="38">
        <f>maint</f>
        <v/>
      </c>
      <c r="Y41" s="38">
        <f>VLOOKUP(B41,country_opex,7,FALSE)*ins_pct</f>
        <v/>
      </c>
      <c r="Z41" s="38">
        <f>charge_berth</f>
        <v/>
      </c>
      <c r="AA41" s="38">
        <f>U41+V41+W41+X41+Y41+Z41</f>
        <v/>
      </c>
      <c r="AB41" s="38">
        <f>VLOOKUP(B41,country_opex,7,FALSE)/dep_years</f>
        <v/>
      </c>
      <c r="AC41" s="38">
        <f>T41-AA41</f>
        <v/>
      </c>
      <c r="AD41" s="35">
        <f>IF(T41=0,"",AC41/T41)</f>
        <v/>
      </c>
      <c r="AE41" s="36">
        <f>IF(AC41&lt;=0,"",VLOOKUP(B41,country_opex,7,FALSE)/AC41)</f>
        <v/>
      </c>
      <c r="AF41" s="33">
        <f>((D41*O41/diesel_nmpg)*diesel_co2pg-(battery/range_nm)*D41*O41*VLOOKUP(B41,country_opex,4,FALSE))/1000</f>
        <v/>
      </c>
      <c r="AG41" s="31" t="n"/>
      <c r="AH41" s="32" t="n"/>
      <c r="AI41" s="32" t="n"/>
      <c r="AJ41" s="39" t="n">
        <v>0.1</v>
      </c>
      <c r="AK41" s="34">
        <f>IF(AG41="","",AG41*AJ41)</f>
        <v/>
      </c>
      <c r="AL41" s="34">
        <f>IF(OR(AG41="",R41=0),"",MIN(IF(AT41="",9.9E+99,AT41),FLOOR(AK41/R41,1)))</f>
        <v/>
      </c>
      <c r="AM41" s="38">
        <f>IF(AL41="","",AL41*T41)</f>
        <v/>
      </c>
      <c r="AN41" s="36">
        <f>IF(OR(AG41="",R41=0),"",MIN(IF(AT41="",9.9E+99,AT41),AK41/R41))</f>
        <v/>
      </c>
      <c r="AO41" s="38">
        <f>IF(AN41="","",AN41*T41)</f>
        <v/>
      </c>
      <c r="AP41" s="40" t="n"/>
      <c r="AQ41" s="32" t="inlineStr">
        <is>
          <t>Estimated</t>
        </is>
      </c>
      <c r="AR41" s="41" t="n"/>
      <c r="AS41" s="41" t="n"/>
      <c r="AT41" s="42" t="n"/>
      <c r="AU41" s="43">
        <f>IF(((S41*pax_cap*load_thin*ROUND(K41*L41*revleg_thin,0))-(((battery/range_nm)*D41*ROUND(K41*L41*revleg_thin,0)*VLOOKUP(B41,country_opex,3,FALSE))+V41+W41+X41+Y41+Z41))&lt;=0,"",VLOOKUP(B41,country_opex,7,FALSE)/((S41*pax_cap*load_thin*ROUND(K41*L41*revleg_thin,0))-(((battery/range_nm)*D41*ROUND(K41*L41*revleg_thin,0)*VLOOKUP(B41,country_opex,3,FALSE))+V41+W41+X41+Y41+Z41)))</f>
        <v/>
      </c>
      <c r="AV41" s="43">
        <f>IF(((S41*pax_cap*load_mid*ROUND(K41*L41*revleg_mid,0))-(((battery/range_nm)*D41*ROUND(K41*L41*revleg_mid,0)*VLOOKUP(B41,country_opex,3,FALSE))+V41+W41+X41+Y41+Z41))&lt;=0,"",VLOOKUP(B41,country_opex,7,FALSE)/((S41*pax_cap*load_mid*ROUND(K41*L41*revleg_mid,0))-(((battery/range_nm)*D41*ROUND(K41*L41*revleg_mid,0)*VLOOKUP(B41,country_opex,3,FALSE))+V41+W41+X41+Y41+Z41)))</f>
        <v/>
      </c>
      <c r="AW41" s="43">
        <f>IF(((S41*pax_cap*load_full*ROUND(K41*L41*revleg_full,0))-(((battery/range_nm)*D41*ROUND(K41*L41*revleg_full,0)*VLOOKUP(B41,country_opex,3,FALSE))+V41+W41+X41+Y41+Z41))&lt;=0,"",VLOOKUP(B41,country_opex,7,FALSE)/((S41*pax_cap*load_full*ROUND(K41*L41*revleg_full,0))-(((battery/range_nm)*D41*ROUND(K41*L41*revleg_full,0)*VLOOKUP(B41,country_opex,3,FALSE))+V41+W41+X41+Y41+Z41)))</f>
        <v/>
      </c>
      <c r="AX41" s="44" t="n"/>
      <c r="AY41" s="44" t="n"/>
    </row>
    <row r="42">
      <c r="A42" s="29" t="inlineStr">
        <is>
          <t>Uae Noon</t>
        </is>
      </c>
      <c r="B42" s="29" t="inlineStr">
        <is>
          <t>United Arab Emirates</t>
        </is>
      </c>
      <c r="C42" s="30" t="inlineStr">
        <is>
          <t>Dubai Harbour Marina → Al Khan Lagoon mouth</t>
        </is>
      </c>
      <c r="D42" s="31" t="n">
        <v>25.1</v>
      </c>
      <c r="E42" s="26" t="n"/>
      <c r="F42" s="32" t="n"/>
      <c r="G42" s="32" t="n"/>
      <c r="H42" s="19" t="n">
        <v>1</v>
      </c>
      <c r="I42" s="33">
        <f>60*D42/cruise_kt</f>
        <v/>
      </c>
      <c r="J42" s="33">
        <f>I42+turn_min+dwell_min</f>
        <v/>
      </c>
      <c r="K42" s="34">
        <f>MIN(15,FLOOR(60*service_hr/J42,1))</f>
        <v/>
      </c>
      <c r="L42" s="34">
        <f>ROUND(365*mech_uptime*H42,0)</f>
        <v/>
      </c>
      <c r="M42" s="35">
        <f>mech_uptime</f>
        <v/>
      </c>
      <c r="N42" s="35">
        <f>revleg_sel</f>
        <v/>
      </c>
      <c r="O42" s="34">
        <f>ROUND(K42*L42*revleg_sel,0)</f>
        <v/>
      </c>
      <c r="P42" s="36">
        <f>load_sel</f>
        <v/>
      </c>
      <c r="Q42" s="36">
        <f>pax_cap*P42</f>
        <v/>
      </c>
      <c r="R42" s="34">
        <f>Q42*O42</f>
        <v/>
      </c>
      <c r="S42" s="37">
        <f>E42*discount</f>
        <v/>
      </c>
      <c r="T42" s="38">
        <f>S42*R42</f>
        <v/>
      </c>
      <c r="U42" s="38">
        <f>(battery/range_nm)*D42*O42*VLOOKUP(B42,country_opex,3,FALSE)</f>
        <v/>
      </c>
      <c r="V42" s="38">
        <f>VLOOKUP(B42,country_opex,2,FALSE)*crew_factor</f>
        <v/>
      </c>
      <c r="W42" s="38">
        <f>VLOOKUP(B42,country_opex,5,FALSE)</f>
        <v/>
      </c>
      <c r="X42" s="38">
        <f>maint</f>
        <v/>
      </c>
      <c r="Y42" s="38">
        <f>VLOOKUP(B42,country_opex,7,FALSE)*ins_pct</f>
        <v/>
      </c>
      <c r="Z42" s="38">
        <f>charge_berth</f>
        <v/>
      </c>
      <c r="AA42" s="38">
        <f>U42+V42+W42+X42+Y42+Z42</f>
        <v/>
      </c>
      <c r="AB42" s="38">
        <f>VLOOKUP(B42,country_opex,7,FALSE)/dep_years</f>
        <v/>
      </c>
      <c r="AC42" s="38">
        <f>T42-AA42</f>
        <v/>
      </c>
      <c r="AD42" s="35">
        <f>IF(T42=0,"",AC42/T42)</f>
        <v/>
      </c>
      <c r="AE42" s="36">
        <f>IF(AC42&lt;=0,"",VLOOKUP(B42,country_opex,7,FALSE)/AC42)</f>
        <v/>
      </c>
      <c r="AF42" s="33">
        <f>((D42*O42/diesel_nmpg)*diesel_co2pg-(battery/range_nm)*D42*O42*VLOOKUP(B42,country_opex,4,FALSE))/1000</f>
        <v/>
      </c>
      <c r="AG42" s="31" t="n"/>
      <c r="AH42" s="32" t="n"/>
      <c r="AI42" s="32" t="n"/>
      <c r="AJ42" s="39" t="n">
        <v>0.1</v>
      </c>
      <c r="AK42" s="34">
        <f>IF(AG42="","",AG42*AJ42)</f>
        <v/>
      </c>
      <c r="AL42" s="34">
        <f>IF(OR(AG42="",R42=0),"",MIN(IF(AT42="",9.9E+99,AT42),FLOOR(AK42/R42,1)))</f>
        <v/>
      </c>
      <c r="AM42" s="38">
        <f>IF(AL42="","",AL42*T42)</f>
        <v/>
      </c>
      <c r="AN42" s="36">
        <f>IF(OR(AG42="",R42=0),"",MIN(IF(AT42="",9.9E+99,AT42),AK42/R42))</f>
        <v/>
      </c>
      <c r="AO42" s="38">
        <f>IF(AN42="","",AN42*T42)</f>
        <v/>
      </c>
      <c r="AP42" s="40" t="n"/>
      <c r="AQ42" s="32" t="inlineStr">
        <is>
          <t>Grounded</t>
        </is>
      </c>
      <c r="AR42" s="41" t="n"/>
      <c r="AS42" s="41" t="n"/>
      <c r="AT42" s="42" t="n"/>
      <c r="AU42" s="43">
        <f>IF(((S42*pax_cap*load_thin*ROUND(K42*L42*revleg_thin,0))-(((battery/range_nm)*D42*ROUND(K42*L42*revleg_thin,0)*VLOOKUP(B42,country_opex,3,FALSE))+V42+W42+X42+Y42+Z42))&lt;=0,"",VLOOKUP(B42,country_opex,7,FALSE)/((S42*pax_cap*load_thin*ROUND(K42*L42*revleg_thin,0))-(((battery/range_nm)*D42*ROUND(K42*L42*revleg_thin,0)*VLOOKUP(B42,country_opex,3,FALSE))+V42+W42+X42+Y42+Z42)))</f>
        <v/>
      </c>
      <c r="AV42" s="43">
        <f>IF(((S42*pax_cap*load_mid*ROUND(K42*L42*revleg_mid,0))-(((battery/range_nm)*D42*ROUND(K42*L42*revleg_mid,0)*VLOOKUP(B42,country_opex,3,FALSE))+V42+W42+X42+Y42+Z42))&lt;=0,"",VLOOKUP(B42,country_opex,7,FALSE)/((S42*pax_cap*load_mid*ROUND(K42*L42*revleg_mid,0))-(((battery/range_nm)*D42*ROUND(K42*L42*revleg_mid,0)*VLOOKUP(B42,country_opex,3,FALSE))+V42+W42+X42+Y42+Z42)))</f>
        <v/>
      </c>
      <c r="AW42" s="43">
        <f>IF(((S42*pax_cap*load_full*ROUND(K42*L42*revleg_full,0))-(((battery/range_nm)*D42*ROUND(K42*L42*revleg_full,0)*VLOOKUP(B42,country_opex,3,FALSE))+V42+W42+X42+Y42+Z42))&lt;=0,"",VLOOKUP(B42,country_opex,7,FALSE)/((S42*pax_cap*load_full*ROUND(K42*L42*revleg_full,0))-(((battery/range_nm)*D42*ROUND(K42*L42*revleg_full,0)*VLOOKUP(B42,country_opex,3,FALSE))+V42+W42+X42+Y42+Z42)))</f>
        <v/>
      </c>
      <c r="AX42" s="44" t="n"/>
      <c r="AY42" s="44" t="n"/>
    </row>
    <row r="43">
      <c r="A43" s="29" t="inlineStr">
        <is>
          <t>Uae Noon</t>
        </is>
      </c>
      <c r="B43" s="29" t="inlineStr">
        <is>
          <t>United Arab Emirates</t>
        </is>
      </c>
      <c r="C43" s="30" t="inlineStr">
        <is>
          <t>Dubai Harbour Marina → Wynn Al Marjan Island arrival lagoon</t>
        </is>
      </c>
      <c r="D43" s="31" t="n">
        <v>49.8</v>
      </c>
      <c r="E43" s="26" t="n">
        <v>48</v>
      </c>
      <c r="F43" s="32" t="inlineStr">
        <is>
          <t>T3</t>
        </is>
      </c>
      <c r="G43" s="32" t="inlineStr">
        <is>
          <t>med-low</t>
        </is>
      </c>
      <c r="H43" s="19" t="n">
        <v>1</v>
      </c>
      <c r="I43" s="33">
        <f>60*D43/cruise_kt</f>
        <v/>
      </c>
      <c r="J43" s="33">
        <f>I43+turn_min+dwell_min</f>
        <v/>
      </c>
      <c r="K43" s="34">
        <f>MIN(15,FLOOR(60*service_hr/J43,1))</f>
        <v/>
      </c>
      <c r="L43" s="34">
        <f>ROUND(365*mech_uptime*H43,0)</f>
        <v/>
      </c>
      <c r="M43" s="35">
        <f>mech_uptime</f>
        <v/>
      </c>
      <c r="N43" s="35">
        <f>revleg_sel</f>
        <v/>
      </c>
      <c r="O43" s="34">
        <f>ROUND(K43*L43*revleg_sel,0)</f>
        <v/>
      </c>
      <c r="P43" s="36">
        <f>load_sel</f>
        <v/>
      </c>
      <c r="Q43" s="36">
        <f>pax_cap*P43</f>
        <v/>
      </c>
      <c r="R43" s="34">
        <f>Q43*O43</f>
        <v/>
      </c>
      <c r="S43" s="37">
        <f>E43*discount</f>
        <v/>
      </c>
      <c r="T43" s="38">
        <f>S43*R43</f>
        <v/>
      </c>
      <c r="U43" s="38">
        <f>(battery/range_nm)*D43*O43*VLOOKUP(B43,country_opex,3,FALSE)</f>
        <v/>
      </c>
      <c r="V43" s="38">
        <f>VLOOKUP(B43,country_opex,2,FALSE)*crew_factor</f>
        <v/>
      </c>
      <c r="W43" s="38">
        <f>VLOOKUP(B43,country_opex,5,FALSE)</f>
        <v/>
      </c>
      <c r="X43" s="38">
        <f>maint</f>
        <v/>
      </c>
      <c r="Y43" s="38">
        <f>VLOOKUP(B43,country_opex,7,FALSE)*ins_pct</f>
        <v/>
      </c>
      <c r="Z43" s="38">
        <f>charge_berth</f>
        <v/>
      </c>
      <c r="AA43" s="38">
        <f>U43+V43+W43+X43+Y43+Z43</f>
        <v/>
      </c>
      <c r="AB43" s="38">
        <f>VLOOKUP(B43,country_opex,7,FALSE)/dep_years</f>
        <v/>
      </c>
      <c r="AC43" s="38">
        <f>T43-AA43</f>
        <v/>
      </c>
      <c r="AD43" s="35">
        <f>IF(T43=0,"",AC43/T43)</f>
        <v/>
      </c>
      <c r="AE43" s="36">
        <f>IF(AC43&lt;=0,"",VLOOKUP(B43,country_opex,7,FALSE)/AC43)</f>
        <v/>
      </c>
      <c r="AF43" s="33">
        <f>((D43*O43/diesel_nmpg)*diesel_co2pg-(battery/range_nm)*D43*O43*VLOOKUP(B43,country_opex,4,FALSE))/1000</f>
        <v/>
      </c>
      <c r="AG43" s="31" t="n">
        <v>35000</v>
      </c>
      <c r="AH43" s="32" t="inlineStr">
        <is>
          <t>T3</t>
        </is>
      </c>
      <c r="AI43" s="32" t="inlineStr">
        <is>
          <t>med-low</t>
        </is>
      </c>
      <c r="AJ43" s="39" t="n">
        <v>0.1</v>
      </c>
      <c r="AK43" s="34">
        <f>IF(AG43="","",AG43*AJ43)</f>
        <v/>
      </c>
      <c r="AL43" s="34">
        <f>IF(OR(AG43="",R43=0),"",MIN(IF(AT43="",9.9E+99,AT43),FLOOR(AK43/R43,1)))</f>
        <v/>
      </c>
      <c r="AM43" s="38">
        <f>IF(AL43="","",AL43*T43)</f>
        <v/>
      </c>
      <c r="AN43" s="36">
        <f>IF(OR(AG43="",R43=0),"",MIN(IF(AT43="",9.9E+99,AT43),AK43/R43))</f>
        <v/>
      </c>
      <c r="AO43" s="38">
        <f>IF(AN43="","",AN43*T43)</f>
        <v/>
      </c>
      <c r="AP43" s="40" t="n"/>
      <c r="AQ43" s="32" t="inlineStr">
        <is>
          <t>Grounded</t>
        </is>
      </c>
      <c r="AR43" s="41" t="n"/>
      <c r="AS43" s="41" t="n"/>
      <c r="AT43" s="42" t="n"/>
      <c r="AU43" s="43">
        <f>IF(((S43*pax_cap*load_thin*ROUND(K43*L43*revleg_thin,0))-(((battery/range_nm)*D43*ROUND(K43*L43*revleg_thin,0)*VLOOKUP(B43,country_opex,3,FALSE))+V43+W43+X43+Y43+Z43))&lt;=0,"",VLOOKUP(B43,country_opex,7,FALSE)/((S43*pax_cap*load_thin*ROUND(K43*L43*revleg_thin,0))-(((battery/range_nm)*D43*ROUND(K43*L43*revleg_thin,0)*VLOOKUP(B43,country_opex,3,FALSE))+V43+W43+X43+Y43+Z43)))</f>
        <v/>
      </c>
      <c r="AV43" s="43">
        <f>IF(((S43*pax_cap*load_mid*ROUND(K43*L43*revleg_mid,0))-(((battery/range_nm)*D43*ROUND(K43*L43*revleg_mid,0)*VLOOKUP(B43,country_opex,3,FALSE))+V43+W43+X43+Y43+Z43))&lt;=0,"",VLOOKUP(B43,country_opex,7,FALSE)/((S43*pax_cap*load_mid*ROUND(K43*L43*revleg_mid,0))-(((battery/range_nm)*D43*ROUND(K43*L43*revleg_mid,0)*VLOOKUP(B43,country_opex,3,FALSE))+V43+W43+X43+Y43+Z43)))</f>
        <v/>
      </c>
      <c r="AW43" s="43">
        <f>IF(((S43*pax_cap*load_full*ROUND(K43*L43*revleg_full,0))-(((battery/range_nm)*D43*ROUND(K43*L43*revleg_full,0)*VLOOKUP(B43,country_opex,3,FALSE))+V43+W43+X43+Y43+Z43))&lt;=0,"",VLOOKUP(B43,country_opex,7,FALSE)/((S43*pax_cap*load_full*ROUND(K43*L43*revleg_full,0))-(((battery/range_nm)*D43*ROUND(K43*L43*revleg_full,0)*VLOOKUP(B43,country_opex,3,FALSE))+V43+W43+X43+Y43+Z43)))</f>
        <v/>
      </c>
      <c r="AX43" s="44" t="inlineStr">
        <is>
          <t>uae-careem demand ladder + PR #58 Noon route seal (Careem-style super_app)</t>
        </is>
      </c>
      <c r="AY43" s="44" t="inlineStr">
        <is>
          <t>uae-careem demand ladder + PR #58 Noon route seal (Careem-style super_app)</t>
        </is>
      </c>
    </row>
    <row r="44">
      <c r="A44" s="29" t="inlineStr">
        <is>
          <t>Uae Noon</t>
        </is>
      </c>
      <c r="B44" s="29" t="inlineStr">
        <is>
          <t>United Arab Emirates</t>
        </is>
      </c>
      <c r="C44" s="30" t="inlineStr">
        <is>
          <t>Dubai → Abu Dhabi (Corniche)</t>
        </is>
      </c>
      <c r="D44" s="31" t="n">
        <v>55.8</v>
      </c>
      <c r="E44" s="26" t="n"/>
      <c r="F44" s="32" t="n"/>
      <c r="G44" s="32" t="n"/>
      <c r="H44" s="19" t="n">
        <v>1</v>
      </c>
      <c r="I44" s="33">
        <f>60*D44/cruise_kt</f>
        <v/>
      </c>
      <c r="J44" s="33">
        <f>I44+turn_min+dwell_min</f>
        <v/>
      </c>
      <c r="K44" s="34">
        <f>MIN(15,FLOOR(60*service_hr/J44,1))</f>
        <v/>
      </c>
      <c r="L44" s="34">
        <f>ROUND(365*mech_uptime*H44,0)</f>
        <v/>
      </c>
      <c r="M44" s="35">
        <f>mech_uptime</f>
        <v/>
      </c>
      <c r="N44" s="35">
        <f>revleg_sel</f>
        <v/>
      </c>
      <c r="O44" s="34">
        <f>ROUND(K44*L44*revleg_sel,0)</f>
        <v/>
      </c>
      <c r="P44" s="36">
        <f>load_sel</f>
        <v/>
      </c>
      <c r="Q44" s="36">
        <f>pax_cap*P44</f>
        <v/>
      </c>
      <c r="R44" s="34">
        <f>Q44*O44</f>
        <v/>
      </c>
      <c r="S44" s="37">
        <f>E44*discount</f>
        <v/>
      </c>
      <c r="T44" s="38">
        <f>S44*R44</f>
        <v/>
      </c>
      <c r="U44" s="38">
        <f>(battery/range_nm)*D44*O44*VLOOKUP(B44,country_opex,3,FALSE)</f>
        <v/>
      </c>
      <c r="V44" s="38">
        <f>VLOOKUP(B44,country_opex,2,FALSE)*crew_factor</f>
        <v/>
      </c>
      <c r="W44" s="38">
        <f>VLOOKUP(B44,country_opex,5,FALSE)</f>
        <v/>
      </c>
      <c r="X44" s="38">
        <f>maint</f>
        <v/>
      </c>
      <c r="Y44" s="38">
        <f>VLOOKUP(B44,country_opex,7,FALSE)*ins_pct</f>
        <v/>
      </c>
      <c r="Z44" s="38">
        <f>charge_berth</f>
        <v/>
      </c>
      <c r="AA44" s="38">
        <f>U44+V44+W44+X44+Y44+Z44</f>
        <v/>
      </c>
      <c r="AB44" s="38">
        <f>VLOOKUP(B44,country_opex,7,FALSE)/dep_years</f>
        <v/>
      </c>
      <c r="AC44" s="38">
        <f>T44-AA44</f>
        <v/>
      </c>
      <c r="AD44" s="35">
        <f>IF(T44=0,"",AC44/T44)</f>
        <v/>
      </c>
      <c r="AE44" s="36">
        <f>IF(AC44&lt;=0,"",VLOOKUP(B44,country_opex,7,FALSE)/AC44)</f>
        <v/>
      </c>
      <c r="AF44" s="33">
        <f>((D44*O44/diesel_nmpg)*diesel_co2pg-(battery/range_nm)*D44*O44*VLOOKUP(B44,country_opex,4,FALSE))/1000</f>
        <v/>
      </c>
      <c r="AG44" s="31" t="n"/>
      <c r="AH44" s="32" t="n"/>
      <c r="AI44" s="32" t="n"/>
      <c r="AJ44" s="39" t="n">
        <v>0.1</v>
      </c>
      <c r="AK44" s="34">
        <f>IF(AG44="","",AG44*AJ44)</f>
        <v/>
      </c>
      <c r="AL44" s="34">
        <f>IF(OR(AG44="",R44=0),"",MIN(IF(AT44="",9.9E+99,AT44),FLOOR(AK44/R44,1)))</f>
        <v/>
      </c>
      <c r="AM44" s="38">
        <f>IF(AL44="","",AL44*T44)</f>
        <v/>
      </c>
      <c r="AN44" s="36">
        <f>IF(OR(AG44="",R44=0),"",MIN(IF(AT44="",9.9E+99,AT44),AK44/R44))</f>
        <v/>
      </c>
      <c r="AO44" s="38">
        <f>IF(AN44="","",AN44*T44)</f>
        <v/>
      </c>
      <c r="AP44" s="40" t="n"/>
      <c r="AQ44" s="32" t="inlineStr">
        <is>
          <t>Estimated</t>
        </is>
      </c>
      <c r="AR44" s="41" t="n"/>
      <c r="AS44" s="41" t="n"/>
      <c r="AT44" s="42" t="n"/>
      <c r="AU44" s="43">
        <f>IF(((S44*pax_cap*load_thin*ROUND(K44*L44*revleg_thin,0))-(((battery/range_nm)*D44*ROUND(K44*L44*revleg_thin,0)*VLOOKUP(B44,country_opex,3,FALSE))+V44+W44+X44+Y44+Z44))&lt;=0,"",VLOOKUP(B44,country_opex,7,FALSE)/((S44*pax_cap*load_thin*ROUND(K44*L44*revleg_thin,0))-(((battery/range_nm)*D44*ROUND(K44*L44*revleg_thin,0)*VLOOKUP(B44,country_opex,3,FALSE))+V44+W44+X44+Y44+Z44)))</f>
        <v/>
      </c>
      <c r="AV44" s="43">
        <f>IF(((S44*pax_cap*load_mid*ROUND(K44*L44*revleg_mid,0))-(((battery/range_nm)*D44*ROUND(K44*L44*revleg_mid,0)*VLOOKUP(B44,country_opex,3,FALSE))+V44+W44+X44+Y44+Z44))&lt;=0,"",VLOOKUP(B44,country_opex,7,FALSE)/((S44*pax_cap*load_mid*ROUND(K44*L44*revleg_mid,0))-(((battery/range_nm)*D44*ROUND(K44*L44*revleg_mid,0)*VLOOKUP(B44,country_opex,3,FALSE))+V44+W44+X44+Y44+Z44)))</f>
        <v/>
      </c>
      <c r="AW44" s="43">
        <f>IF(((S44*pax_cap*load_full*ROUND(K44*L44*revleg_full,0))-(((battery/range_nm)*D44*ROUND(K44*L44*revleg_full,0)*VLOOKUP(B44,country_opex,3,FALSE))+V44+W44+X44+Y44+Z44))&lt;=0,"",VLOOKUP(B44,country_opex,7,FALSE)/((S44*pax_cap*load_full*ROUND(K44*L44*revleg_full,0))-(((battery/range_nm)*D44*ROUND(K44*L44*revleg_full,0)*VLOOKUP(B44,country_opex,3,FALSE))+V44+W44+X44+Y44+Z44)))</f>
        <v/>
      </c>
      <c r="AX44" s="44" t="n"/>
      <c r="AY44" s="44" t="n"/>
    </row>
    <row r="45">
      <c r="A45" s="29" t="inlineStr">
        <is>
          <t>Uae Noon</t>
        </is>
      </c>
      <c r="B45" s="29" t="inlineStr">
        <is>
          <t>United Arab Emirates</t>
        </is>
      </c>
      <c r="C45" s="30" t="inlineStr">
        <is>
          <t>Dubai → Abu Dhabi (Corniche)</t>
        </is>
      </c>
      <c r="D45" s="31" t="n">
        <v>55.8</v>
      </c>
      <c r="E45" s="26" t="n"/>
      <c r="F45" s="32" t="n"/>
      <c r="G45" s="32" t="n"/>
      <c r="H45" s="19" t="n">
        <v>1</v>
      </c>
      <c r="I45" s="33">
        <f>60*D45/cruise_kt</f>
        <v/>
      </c>
      <c r="J45" s="33">
        <f>I45+turn_min+dwell_min</f>
        <v/>
      </c>
      <c r="K45" s="34">
        <f>MIN(15,FLOOR(60*service_hr/J45,1))</f>
        <v/>
      </c>
      <c r="L45" s="34">
        <f>ROUND(365*mech_uptime*H45,0)</f>
        <v/>
      </c>
      <c r="M45" s="35">
        <f>mech_uptime</f>
        <v/>
      </c>
      <c r="N45" s="35">
        <f>revleg_sel</f>
        <v/>
      </c>
      <c r="O45" s="34">
        <f>ROUND(K45*L45*revleg_sel,0)</f>
        <v/>
      </c>
      <c r="P45" s="36">
        <f>load_sel</f>
        <v/>
      </c>
      <c r="Q45" s="36">
        <f>pax_cap*P45</f>
        <v/>
      </c>
      <c r="R45" s="34">
        <f>Q45*O45</f>
        <v/>
      </c>
      <c r="S45" s="37">
        <f>E45*discount</f>
        <v/>
      </c>
      <c r="T45" s="38">
        <f>S45*R45</f>
        <v/>
      </c>
      <c r="U45" s="38">
        <f>(battery/range_nm)*D45*O45*VLOOKUP(B45,country_opex,3,FALSE)</f>
        <v/>
      </c>
      <c r="V45" s="38">
        <f>VLOOKUP(B45,country_opex,2,FALSE)*crew_factor</f>
        <v/>
      </c>
      <c r="W45" s="38">
        <f>VLOOKUP(B45,country_opex,5,FALSE)</f>
        <v/>
      </c>
      <c r="X45" s="38">
        <f>maint</f>
        <v/>
      </c>
      <c r="Y45" s="38">
        <f>VLOOKUP(B45,country_opex,7,FALSE)*ins_pct</f>
        <v/>
      </c>
      <c r="Z45" s="38">
        <f>charge_berth</f>
        <v/>
      </c>
      <c r="AA45" s="38">
        <f>U45+V45+W45+X45+Y45+Z45</f>
        <v/>
      </c>
      <c r="AB45" s="38">
        <f>VLOOKUP(B45,country_opex,7,FALSE)/dep_years</f>
        <v/>
      </c>
      <c r="AC45" s="38">
        <f>T45-AA45</f>
        <v/>
      </c>
      <c r="AD45" s="35">
        <f>IF(T45=0,"",AC45/T45)</f>
        <v/>
      </c>
      <c r="AE45" s="36">
        <f>IF(AC45&lt;=0,"",VLOOKUP(B45,country_opex,7,FALSE)/AC45)</f>
        <v/>
      </c>
      <c r="AF45" s="33">
        <f>((D45*O45/diesel_nmpg)*diesel_co2pg-(battery/range_nm)*D45*O45*VLOOKUP(B45,country_opex,4,FALSE))/1000</f>
        <v/>
      </c>
      <c r="AG45" s="31" t="n"/>
      <c r="AH45" s="32" t="n"/>
      <c r="AI45" s="32" t="n"/>
      <c r="AJ45" s="39" t="n">
        <v>0.1</v>
      </c>
      <c r="AK45" s="34">
        <f>IF(AG45="","",AG45*AJ45)</f>
        <v/>
      </c>
      <c r="AL45" s="34">
        <f>IF(OR(AG45="",R45=0),"",MIN(IF(AT45="",9.9E+99,AT45),FLOOR(AK45/R45,1)))</f>
        <v/>
      </c>
      <c r="AM45" s="38">
        <f>IF(AL45="","",AL45*T45)</f>
        <v/>
      </c>
      <c r="AN45" s="36">
        <f>IF(OR(AG45="",R45=0),"",MIN(IF(AT45="",9.9E+99,AT45),AK45/R45))</f>
        <v/>
      </c>
      <c r="AO45" s="38">
        <f>IF(AN45="","",AN45*T45)</f>
        <v/>
      </c>
      <c r="AP45" s="40" t="n"/>
      <c r="AQ45" s="32" t="inlineStr">
        <is>
          <t>Estimated</t>
        </is>
      </c>
      <c r="AR45" s="41" t="n"/>
      <c r="AS45" s="41" t="n"/>
      <c r="AT45" s="42" t="n"/>
      <c r="AU45" s="43">
        <f>IF(((S45*pax_cap*load_thin*ROUND(K45*L45*revleg_thin,0))-(((battery/range_nm)*D45*ROUND(K45*L45*revleg_thin,0)*VLOOKUP(B45,country_opex,3,FALSE))+V45+W45+X45+Y45+Z45))&lt;=0,"",VLOOKUP(B45,country_opex,7,FALSE)/((S45*pax_cap*load_thin*ROUND(K45*L45*revleg_thin,0))-(((battery/range_nm)*D45*ROUND(K45*L45*revleg_thin,0)*VLOOKUP(B45,country_opex,3,FALSE))+V45+W45+X45+Y45+Z45)))</f>
        <v/>
      </c>
      <c r="AV45" s="43">
        <f>IF(((S45*pax_cap*load_mid*ROUND(K45*L45*revleg_mid,0))-(((battery/range_nm)*D45*ROUND(K45*L45*revleg_mid,0)*VLOOKUP(B45,country_opex,3,FALSE))+V45+W45+X45+Y45+Z45))&lt;=0,"",VLOOKUP(B45,country_opex,7,FALSE)/((S45*pax_cap*load_mid*ROUND(K45*L45*revleg_mid,0))-(((battery/range_nm)*D45*ROUND(K45*L45*revleg_mid,0)*VLOOKUP(B45,country_opex,3,FALSE))+V45+W45+X45+Y45+Z45)))</f>
        <v/>
      </c>
      <c r="AW45" s="43">
        <f>IF(((S45*pax_cap*load_full*ROUND(K45*L45*revleg_full,0))-(((battery/range_nm)*D45*ROUND(K45*L45*revleg_full,0)*VLOOKUP(B45,country_opex,3,FALSE))+V45+W45+X45+Y45+Z45))&lt;=0,"",VLOOKUP(B45,country_opex,7,FALSE)/((S45*pax_cap*load_full*ROUND(K45*L45*revleg_full,0))-(((battery/range_nm)*D45*ROUND(K45*L45*revleg_full,0)*VLOOKUP(B45,country_opex,3,FALSE))+V45+W45+X45+Y45+Z45)))</f>
        <v/>
      </c>
      <c r="AX45" s="44" t="n"/>
      <c r="AY45" s="44" t="n"/>
    </row>
    <row r="46">
      <c r="A46" s="29" t="inlineStr">
        <is>
          <t>Uae Noon</t>
        </is>
      </c>
      <c r="B46" s="29" t="inlineStr">
        <is>
          <t>United Arab Emirates</t>
        </is>
      </c>
      <c r="C46" s="30" t="inlineStr">
        <is>
          <t>Dubai Marina → Abu Dhabi Corniche</t>
        </is>
      </c>
      <c r="D46" s="31" t="n">
        <v>55.8</v>
      </c>
      <c r="E46" s="26" t="n"/>
      <c r="F46" s="32" t="n"/>
      <c r="G46" s="32" t="n"/>
      <c r="H46" s="19" t="n">
        <v>1</v>
      </c>
      <c r="I46" s="33">
        <f>60*D46/cruise_kt</f>
        <v/>
      </c>
      <c r="J46" s="33">
        <f>I46+turn_min+dwell_min</f>
        <v/>
      </c>
      <c r="K46" s="34">
        <f>MIN(15,FLOOR(60*service_hr/J46,1))</f>
        <v/>
      </c>
      <c r="L46" s="34">
        <f>ROUND(365*mech_uptime*H46,0)</f>
        <v/>
      </c>
      <c r="M46" s="35">
        <f>mech_uptime</f>
        <v/>
      </c>
      <c r="N46" s="35">
        <f>revleg_sel</f>
        <v/>
      </c>
      <c r="O46" s="34">
        <f>ROUND(K46*L46*revleg_sel,0)</f>
        <v/>
      </c>
      <c r="P46" s="36">
        <f>load_sel</f>
        <v/>
      </c>
      <c r="Q46" s="36">
        <f>pax_cap*P46</f>
        <v/>
      </c>
      <c r="R46" s="34">
        <f>Q46*O46</f>
        <v/>
      </c>
      <c r="S46" s="37">
        <f>E46*discount</f>
        <v/>
      </c>
      <c r="T46" s="38">
        <f>S46*R46</f>
        <v/>
      </c>
      <c r="U46" s="38">
        <f>(battery/range_nm)*D46*O46*VLOOKUP(B46,country_opex,3,FALSE)</f>
        <v/>
      </c>
      <c r="V46" s="38">
        <f>VLOOKUP(B46,country_opex,2,FALSE)*crew_factor</f>
        <v/>
      </c>
      <c r="W46" s="38">
        <f>VLOOKUP(B46,country_opex,5,FALSE)</f>
        <v/>
      </c>
      <c r="X46" s="38">
        <f>maint</f>
        <v/>
      </c>
      <c r="Y46" s="38">
        <f>VLOOKUP(B46,country_opex,7,FALSE)*ins_pct</f>
        <v/>
      </c>
      <c r="Z46" s="38">
        <f>charge_berth</f>
        <v/>
      </c>
      <c r="AA46" s="38">
        <f>U46+V46+W46+X46+Y46+Z46</f>
        <v/>
      </c>
      <c r="AB46" s="38">
        <f>VLOOKUP(B46,country_opex,7,FALSE)/dep_years</f>
        <v/>
      </c>
      <c r="AC46" s="38">
        <f>T46-AA46</f>
        <v/>
      </c>
      <c r="AD46" s="35">
        <f>IF(T46=0,"",AC46/T46)</f>
        <v/>
      </c>
      <c r="AE46" s="36">
        <f>IF(AC46&lt;=0,"",VLOOKUP(B46,country_opex,7,FALSE)/AC46)</f>
        <v/>
      </c>
      <c r="AF46" s="33">
        <f>((D46*O46/diesel_nmpg)*diesel_co2pg-(battery/range_nm)*D46*O46*VLOOKUP(B46,country_opex,4,FALSE))/1000</f>
        <v/>
      </c>
      <c r="AG46" s="31" t="n"/>
      <c r="AH46" s="32" t="n"/>
      <c r="AI46" s="32" t="n"/>
      <c r="AJ46" s="39" t="n">
        <v>0.1</v>
      </c>
      <c r="AK46" s="34">
        <f>IF(AG46="","",AG46*AJ46)</f>
        <v/>
      </c>
      <c r="AL46" s="34">
        <f>IF(OR(AG46="",R46=0),"",MIN(IF(AT46="",9.9E+99,AT46),FLOOR(AK46/R46,1)))</f>
        <v/>
      </c>
      <c r="AM46" s="38">
        <f>IF(AL46="","",AL46*T46)</f>
        <v/>
      </c>
      <c r="AN46" s="36">
        <f>IF(OR(AG46="",R46=0),"",MIN(IF(AT46="",9.9E+99,AT46),AK46/R46))</f>
        <v/>
      </c>
      <c r="AO46" s="38">
        <f>IF(AN46="","",AN46*T46)</f>
        <v/>
      </c>
      <c r="AP46" s="40" t="n"/>
      <c r="AQ46" s="32" t="inlineStr">
        <is>
          <t>Estimated</t>
        </is>
      </c>
      <c r="AR46" s="41" t="n"/>
      <c r="AS46" s="41" t="n"/>
      <c r="AT46" s="42" t="n"/>
      <c r="AU46" s="43">
        <f>IF(((S46*pax_cap*load_thin*ROUND(K46*L46*revleg_thin,0))-(((battery/range_nm)*D46*ROUND(K46*L46*revleg_thin,0)*VLOOKUP(B46,country_opex,3,FALSE))+V46+W46+X46+Y46+Z46))&lt;=0,"",VLOOKUP(B46,country_opex,7,FALSE)/((S46*pax_cap*load_thin*ROUND(K46*L46*revleg_thin,0))-(((battery/range_nm)*D46*ROUND(K46*L46*revleg_thin,0)*VLOOKUP(B46,country_opex,3,FALSE))+V46+W46+X46+Y46+Z46)))</f>
        <v/>
      </c>
      <c r="AV46" s="43">
        <f>IF(((S46*pax_cap*load_mid*ROUND(K46*L46*revleg_mid,0))-(((battery/range_nm)*D46*ROUND(K46*L46*revleg_mid,0)*VLOOKUP(B46,country_opex,3,FALSE))+V46+W46+X46+Y46+Z46))&lt;=0,"",VLOOKUP(B46,country_opex,7,FALSE)/((S46*pax_cap*load_mid*ROUND(K46*L46*revleg_mid,0))-(((battery/range_nm)*D46*ROUND(K46*L46*revleg_mid,0)*VLOOKUP(B46,country_opex,3,FALSE))+V46+W46+X46+Y46+Z46)))</f>
        <v/>
      </c>
      <c r="AW46" s="43">
        <f>IF(((S46*pax_cap*load_full*ROUND(K46*L46*revleg_full,0))-(((battery/range_nm)*D46*ROUND(K46*L46*revleg_full,0)*VLOOKUP(B46,country_opex,3,FALSE))+V46+W46+X46+Y46+Z46))&lt;=0,"",VLOOKUP(B46,country_opex,7,FALSE)/((S46*pax_cap*load_full*ROUND(K46*L46*revleg_full,0))-(((battery/range_nm)*D46*ROUND(K46*L46*revleg_full,0)*VLOOKUP(B46,country_opex,3,FALSE))+V46+W46+X46+Y46+Z46)))</f>
        <v/>
      </c>
      <c r="AX46" s="44" t="n"/>
      <c r="AY46" s="44" t="n"/>
    </row>
    <row r="47">
      <c r="A47" s="29" t="inlineStr">
        <is>
          <t>Uae Noon</t>
        </is>
      </c>
      <c r="B47" s="29" t="inlineStr">
        <is>
          <t>United Arab Emirates</t>
        </is>
      </c>
      <c r="C47" s="30" t="inlineStr">
        <is>
          <t>Dubai Marina → Abu Dhabi Corniche</t>
        </is>
      </c>
      <c r="D47" s="31" t="n">
        <v>55.8</v>
      </c>
      <c r="E47" s="26" t="n"/>
      <c r="F47" s="32" t="n"/>
      <c r="G47" s="32" t="n"/>
      <c r="H47" s="19" t="n">
        <v>1</v>
      </c>
      <c r="I47" s="33">
        <f>60*D47/cruise_kt</f>
        <v/>
      </c>
      <c r="J47" s="33">
        <f>I47+turn_min+dwell_min</f>
        <v/>
      </c>
      <c r="K47" s="34">
        <f>MIN(15,FLOOR(60*service_hr/J47,1))</f>
        <v/>
      </c>
      <c r="L47" s="34">
        <f>ROUND(365*mech_uptime*H47,0)</f>
        <v/>
      </c>
      <c r="M47" s="35">
        <f>mech_uptime</f>
        <v/>
      </c>
      <c r="N47" s="35">
        <f>revleg_sel</f>
        <v/>
      </c>
      <c r="O47" s="34">
        <f>ROUND(K47*L47*revleg_sel,0)</f>
        <v/>
      </c>
      <c r="P47" s="36">
        <f>load_sel</f>
        <v/>
      </c>
      <c r="Q47" s="36">
        <f>pax_cap*P47</f>
        <v/>
      </c>
      <c r="R47" s="34">
        <f>Q47*O47</f>
        <v/>
      </c>
      <c r="S47" s="37">
        <f>E47*discount</f>
        <v/>
      </c>
      <c r="T47" s="38">
        <f>S47*R47</f>
        <v/>
      </c>
      <c r="U47" s="38">
        <f>(battery/range_nm)*D47*O47*VLOOKUP(B47,country_opex,3,FALSE)</f>
        <v/>
      </c>
      <c r="V47" s="38">
        <f>VLOOKUP(B47,country_opex,2,FALSE)*crew_factor</f>
        <v/>
      </c>
      <c r="W47" s="38">
        <f>VLOOKUP(B47,country_opex,5,FALSE)</f>
        <v/>
      </c>
      <c r="X47" s="38">
        <f>maint</f>
        <v/>
      </c>
      <c r="Y47" s="38">
        <f>VLOOKUP(B47,country_opex,7,FALSE)*ins_pct</f>
        <v/>
      </c>
      <c r="Z47" s="38">
        <f>charge_berth</f>
        <v/>
      </c>
      <c r="AA47" s="38">
        <f>U47+V47+W47+X47+Y47+Z47</f>
        <v/>
      </c>
      <c r="AB47" s="38">
        <f>VLOOKUP(B47,country_opex,7,FALSE)/dep_years</f>
        <v/>
      </c>
      <c r="AC47" s="38">
        <f>T47-AA47</f>
        <v/>
      </c>
      <c r="AD47" s="35">
        <f>IF(T47=0,"",AC47/T47)</f>
        <v/>
      </c>
      <c r="AE47" s="36">
        <f>IF(AC47&lt;=0,"",VLOOKUP(B47,country_opex,7,FALSE)/AC47)</f>
        <v/>
      </c>
      <c r="AF47" s="33">
        <f>((D47*O47/diesel_nmpg)*diesel_co2pg-(battery/range_nm)*D47*O47*VLOOKUP(B47,country_opex,4,FALSE))/1000</f>
        <v/>
      </c>
      <c r="AG47" s="31" t="n"/>
      <c r="AH47" s="32" t="n"/>
      <c r="AI47" s="32" t="n"/>
      <c r="AJ47" s="39" t="n">
        <v>0.1</v>
      </c>
      <c r="AK47" s="34">
        <f>IF(AG47="","",AG47*AJ47)</f>
        <v/>
      </c>
      <c r="AL47" s="34">
        <f>IF(OR(AG47="",R47=0),"",MIN(IF(AT47="",9.9E+99,AT47),FLOOR(AK47/R47,1)))</f>
        <v/>
      </c>
      <c r="AM47" s="38">
        <f>IF(AL47="","",AL47*T47)</f>
        <v/>
      </c>
      <c r="AN47" s="36">
        <f>IF(OR(AG47="",R47=0),"",MIN(IF(AT47="",9.9E+99,AT47),AK47/R47))</f>
        <v/>
      </c>
      <c r="AO47" s="38">
        <f>IF(AN47="","",AN47*T47)</f>
        <v/>
      </c>
      <c r="AP47" s="40" t="n"/>
      <c r="AQ47" s="32" t="inlineStr">
        <is>
          <t>Estimated</t>
        </is>
      </c>
      <c r="AR47" s="41" t="n"/>
      <c r="AS47" s="41" t="n"/>
      <c r="AT47" s="42" t="n"/>
      <c r="AU47" s="43">
        <f>IF(((S47*pax_cap*load_thin*ROUND(K47*L47*revleg_thin,0))-(((battery/range_nm)*D47*ROUND(K47*L47*revleg_thin,0)*VLOOKUP(B47,country_opex,3,FALSE))+V47+W47+X47+Y47+Z47))&lt;=0,"",VLOOKUP(B47,country_opex,7,FALSE)/((S47*pax_cap*load_thin*ROUND(K47*L47*revleg_thin,0))-(((battery/range_nm)*D47*ROUND(K47*L47*revleg_thin,0)*VLOOKUP(B47,country_opex,3,FALSE))+V47+W47+X47+Y47+Z47)))</f>
        <v/>
      </c>
      <c r="AV47" s="43">
        <f>IF(((S47*pax_cap*load_mid*ROUND(K47*L47*revleg_mid,0))-(((battery/range_nm)*D47*ROUND(K47*L47*revleg_mid,0)*VLOOKUP(B47,country_opex,3,FALSE))+V47+W47+X47+Y47+Z47))&lt;=0,"",VLOOKUP(B47,country_opex,7,FALSE)/((S47*pax_cap*load_mid*ROUND(K47*L47*revleg_mid,0))-(((battery/range_nm)*D47*ROUND(K47*L47*revleg_mid,0)*VLOOKUP(B47,country_opex,3,FALSE))+V47+W47+X47+Y47+Z47)))</f>
        <v/>
      </c>
      <c r="AW47" s="43">
        <f>IF(((S47*pax_cap*load_full*ROUND(K47*L47*revleg_full,0))-(((battery/range_nm)*D47*ROUND(K47*L47*revleg_full,0)*VLOOKUP(B47,country_opex,3,FALSE))+V47+W47+X47+Y47+Z47))&lt;=0,"",VLOOKUP(B47,country_opex,7,FALSE)/((S47*pax_cap*load_full*ROUND(K47*L47*revleg_full,0))-(((battery/range_nm)*D47*ROUND(K47*L47*revleg_full,0)*VLOOKUP(B47,country_opex,3,FALSE))+V47+W47+X47+Y47+Z47)))</f>
        <v/>
      </c>
      <c r="AX47" s="44" t="n"/>
      <c r="AY47" s="44" t="n"/>
    </row>
    <row r="48">
      <c r="A48" s="29" t="inlineStr">
        <is>
          <t>Uae Noon</t>
        </is>
      </c>
      <c r="B48" s="29" t="inlineStr">
        <is>
          <t>United Arab Emirates</t>
        </is>
      </c>
      <c r="C48" s="30" t="inlineStr">
        <is>
          <t>Dubai Harbour Marina → Wynn Al Marjan Island arrival lagoon</t>
        </is>
      </c>
      <c r="D48" s="31" t="n">
        <v>56</v>
      </c>
      <c r="E48" s="26" t="n"/>
      <c r="F48" s="32" t="n"/>
      <c r="G48" s="32" t="n"/>
      <c r="H48" s="19" t="n">
        <v>1</v>
      </c>
      <c r="I48" s="33">
        <f>60*D48/cruise_kt</f>
        <v/>
      </c>
      <c r="J48" s="33">
        <f>I48+turn_min+dwell_min</f>
        <v/>
      </c>
      <c r="K48" s="34">
        <f>MIN(15,FLOOR(60*service_hr/J48,1))</f>
        <v/>
      </c>
      <c r="L48" s="34">
        <f>ROUND(365*mech_uptime*H48,0)</f>
        <v/>
      </c>
      <c r="M48" s="35">
        <f>mech_uptime</f>
        <v/>
      </c>
      <c r="N48" s="35">
        <f>revleg_sel</f>
        <v/>
      </c>
      <c r="O48" s="34">
        <f>ROUND(K48*L48*revleg_sel,0)</f>
        <v/>
      </c>
      <c r="P48" s="36">
        <f>load_sel</f>
        <v/>
      </c>
      <c r="Q48" s="36">
        <f>pax_cap*P48</f>
        <v/>
      </c>
      <c r="R48" s="34">
        <f>Q48*O48</f>
        <v/>
      </c>
      <c r="S48" s="37">
        <f>E48*discount</f>
        <v/>
      </c>
      <c r="T48" s="38">
        <f>S48*R48</f>
        <v/>
      </c>
      <c r="U48" s="38">
        <f>(battery/range_nm)*D48*O48*VLOOKUP(B48,country_opex,3,FALSE)</f>
        <v/>
      </c>
      <c r="V48" s="38">
        <f>VLOOKUP(B48,country_opex,2,FALSE)*crew_factor</f>
        <v/>
      </c>
      <c r="W48" s="38">
        <f>VLOOKUP(B48,country_opex,5,FALSE)</f>
        <v/>
      </c>
      <c r="X48" s="38">
        <f>maint</f>
        <v/>
      </c>
      <c r="Y48" s="38">
        <f>VLOOKUP(B48,country_opex,7,FALSE)*ins_pct</f>
        <v/>
      </c>
      <c r="Z48" s="38">
        <f>charge_berth</f>
        <v/>
      </c>
      <c r="AA48" s="38">
        <f>U48+V48+W48+X48+Y48+Z48</f>
        <v/>
      </c>
      <c r="AB48" s="38">
        <f>VLOOKUP(B48,country_opex,7,FALSE)/dep_years</f>
        <v/>
      </c>
      <c r="AC48" s="38">
        <f>T48-AA48</f>
        <v/>
      </c>
      <c r="AD48" s="35">
        <f>IF(T48=0,"",AC48/T48)</f>
        <v/>
      </c>
      <c r="AE48" s="36">
        <f>IF(AC48&lt;=0,"",VLOOKUP(B48,country_opex,7,FALSE)/AC48)</f>
        <v/>
      </c>
      <c r="AF48" s="33">
        <f>((D48*O48/diesel_nmpg)*diesel_co2pg-(battery/range_nm)*D48*O48*VLOOKUP(B48,country_opex,4,FALSE))/1000</f>
        <v/>
      </c>
      <c r="AG48" s="31" t="n"/>
      <c r="AH48" s="32" t="n"/>
      <c r="AI48" s="32" t="n"/>
      <c r="AJ48" s="39" t="n">
        <v>0.1</v>
      </c>
      <c r="AK48" s="34">
        <f>IF(AG48="","",AG48*AJ48)</f>
        <v/>
      </c>
      <c r="AL48" s="34">
        <f>IF(OR(AG48="",R48=0),"",MIN(IF(AT48="",9.9E+99,AT48),FLOOR(AK48/R48,1)))</f>
        <v/>
      </c>
      <c r="AM48" s="38">
        <f>IF(AL48="","",AL48*T48)</f>
        <v/>
      </c>
      <c r="AN48" s="36">
        <f>IF(OR(AG48="",R48=0),"",MIN(IF(AT48="",9.9E+99,AT48),AK48/R48))</f>
        <v/>
      </c>
      <c r="AO48" s="38">
        <f>IF(AN48="","",AN48*T48)</f>
        <v/>
      </c>
      <c r="AP48" s="40" t="n"/>
      <c r="AQ48" s="32" t="inlineStr">
        <is>
          <t>Grounded</t>
        </is>
      </c>
      <c r="AR48" s="41" t="n"/>
      <c r="AS48" s="41" t="n"/>
      <c r="AT48" s="42" t="n"/>
      <c r="AU48" s="43">
        <f>IF(((S48*pax_cap*load_thin*ROUND(K48*L48*revleg_thin,0))-(((battery/range_nm)*D48*ROUND(K48*L48*revleg_thin,0)*VLOOKUP(B48,country_opex,3,FALSE))+V48+W48+X48+Y48+Z48))&lt;=0,"",VLOOKUP(B48,country_opex,7,FALSE)/((S48*pax_cap*load_thin*ROUND(K48*L48*revleg_thin,0))-(((battery/range_nm)*D48*ROUND(K48*L48*revleg_thin,0)*VLOOKUP(B48,country_opex,3,FALSE))+V48+W48+X48+Y48+Z48)))</f>
        <v/>
      </c>
      <c r="AV48" s="43">
        <f>IF(((S48*pax_cap*load_mid*ROUND(K48*L48*revleg_mid,0))-(((battery/range_nm)*D48*ROUND(K48*L48*revleg_mid,0)*VLOOKUP(B48,country_opex,3,FALSE))+V48+W48+X48+Y48+Z48))&lt;=0,"",VLOOKUP(B48,country_opex,7,FALSE)/((S48*pax_cap*load_mid*ROUND(K48*L48*revleg_mid,0))-(((battery/range_nm)*D48*ROUND(K48*L48*revleg_mid,0)*VLOOKUP(B48,country_opex,3,FALSE))+V48+W48+X48+Y48+Z48)))</f>
        <v/>
      </c>
      <c r="AW48" s="43">
        <f>IF(((S48*pax_cap*load_full*ROUND(K48*L48*revleg_full,0))-(((battery/range_nm)*D48*ROUND(K48*L48*revleg_full,0)*VLOOKUP(B48,country_opex,3,FALSE))+V48+W48+X48+Y48+Z48))&lt;=0,"",VLOOKUP(B48,country_opex,7,FALSE)/((S48*pax_cap*load_full*ROUND(K48*L48*revleg_full,0))-(((battery/range_nm)*D48*ROUND(K48*L48*revleg_full,0)*VLOOKUP(B48,country_opex,3,FALSE))+V48+W48+X48+Y48+Z48)))</f>
        <v/>
      </c>
      <c r="AX48" s="44" t="n"/>
      <c r="AY48" s="44" t="n"/>
    </row>
    <row r="49">
      <c r="A49" s="29" t="inlineStr">
        <is>
          <t>Uae Noon</t>
        </is>
      </c>
      <c r="B49" s="29" t="inlineStr">
        <is>
          <t>United Arab Emirates</t>
        </is>
      </c>
      <c r="C49" s="30" t="inlineStr">
        <is>
          <t>Ushuaïa Dubai Harbour Experience → Marina Mall / Breakwater Marina</t>
        </is>
      </c>
      <c r="D49" s="31" t="n">
        <v>57.4</v>
      </c>
      <c r="E49" s="26" t="n">
        <v>48</v>
      </c>
      <c r="F49" s="32" t="inlineStr">
        <is>
          <t>T3</t>
        </is>
      </c>
      <c r="G49" s="32" t="inlineStr">
        <is>
          <t>med-low</t>
        </is>
      </c>
      <c r="H49" s="19" t="n">
        <v>1</v>
      </c>
      <c r="I49" s="33">
        <f>60*D49/cruise_kt</f>
        <v/>
      </c>
      <c r="J49" s="33">
        <f>I49+turn_min+dwell_min</f>
        <v/>
      </c>
      <c r="K49" s="34">
        <f>MIN(15,FLOOR(60*service_hr/J49,1))</f>
        <v/>
      </c>
      <c r="L49" s="34">
        <f>ROUND(365*mech_uptime*H49,0)</f>
        <v/>
      </c>
      <c r="M49" s="35">
        <f>mech_uptime</f>
        <v/>
      </c>
      <c r="N49" s="35">
        <f>revleg_sel</f>
        <v/>
      </c>
      <c r="O49" s="34">
        <f>ROUND(K49*L49*revleg_sel,0)</f>
        <v/>
      </c>
      <c r="P49" s="36">
        <f>load_sel</f>
        <v/>
      </c>
      <c r="Q49" s="36">
        <f>pax_cap*P49</f>
        <v/>
      </c>
      <c r="R49" s="34">
        <f>Q49*O49</f>
        <v/>
      </c>
      <c r="S49" s="37">
        <f>E49*discount</f>
        <v/>
      </c>
      <c r="T49" s="38">
        <f>S49*R49</f>
        <v/>
      </c>
      <c r="U49" s="38">
        <f>(battery/range_nm)*D49*O49*VLOOKUP(B49,country_opex,3,FALSE)</f>
        <v/>
      </c>
      <c r="V49" s="38">
        <f>VLOOKUP(B49,country_opex,2,FALSE)*crew_factor</f>
        <v/>
      </c>
      <c r="W49" s="38">
        <f>VLOOKUP(B49,country_opex,5,FALSE)</f>
        <v/>
      </c>
      <c r="X49" s="38">
        <f>maint</f>
        <v/>
      </c>
      <c r="Y49" s="38">
        <f>VLOOKUP(B49,country_opex,7,FALSE)*ins_pct</f>
        <v/>
      </c>
      <c r="Z49" s="38">
        <f>charge_berth</f>
        <v/>
      </c>
      <c r="AA49" s="38">
        <f>U49+V49+W49+X49+Y49+Z49</f>
        <v/>
      </c>
      <c r="AB49" s="38">
        <f>VLOOKUP(B49,country_opex,7,FALSE)/dep_years</f>
        <v/>
      </c>
      <c r="AC49" s="38">
        <f>T49-AA49</f>
        <v/>
      </c>
      <c r="AD49" s="35">
        <f>IF(T49=0,"",AC49/T49)</f>
        <v/>
      </c>
      <c r="AE49" s="36">
        <f>IF(AC49&lt;=0,"",VLOOKUP(B49,country_opex,7,FALSE)/AC49)</f>
        <v/>
      </c>
      <c r="AF49" s="33">
        <f>((D49*O49/diesel_nmpg)*diesel_co2pg-(battery/range_nm)*D49*O49*VLOOKUP(B49,country_opex,4,FALSE))/1000</f>
        <v/>
      </c>
      <c r="AG49" s="31" t="n">
        <v>35000</v>
      </c>
      <c r="AH49" s="32" t="inlineStr">
        <is>
          <t>T3</t>
        </is>
      </c>
      <c r="AI49" s="32" t="inlineStr">
        <is>
          <t>med-low</t>
        </is>
      </c>
      <c r="AJ49" s="39" t="n">
        <v>0.1</v>
      </c>
      <c r="AK49" s="34">
        <f>IF(AG49="","",AG49*AJ49)</f>
        <v/>
      </c>
      <c r="AL49" s="34">
        <f>IF(OR(AG49="",R49=0),"",MIN(IF(AT49="",9.9E+99,AT49),FLOOR(AK49/R49,1)))</f>
        <v/>
      </c>
      <c r="AM49" s="38">
        <f>IF(AL49="","",AL49*T49)</f>
        <v/>
      </c>
      <c r="AN49" s="36">
        <f>IF(OR(AG49="",R49=0),"",MIN(IF(AT49="",9.9E+99,AT49),AK49/R49))</f>
        <v/>
      </c>
      <c r="AO49" s="38">
        <f>IF(AN49="","",AN49*T49)</f>
        <v/>
      </c>
      <c r="AP49" s="40" t="n"/>
      <c r="AQ49" s="32" t="inlineStr">
        <is>
          <t>Grounded</t>
        </is>
      </c>
      <c r="AR49" s="41" t="n"/>
      <c r="AS49" s="41" t="n"/>
      <c r="AT49" s="42" t="n"/>
      <c r="AU49" s="43">
        <f>IF(((S49*pax_cap*load_thin*ROUND(K49*L49*revleg_thin,0))-(((battery/range_nm)*D49*ROUND(K49*L49*revleg_thin,0)*VLOOKUP(B49,country_opex,3,FALSE))+V49+W49+X49+Y49+Z49))&lt;=0,"",VLOOKUP(B49,country_opex,7,FALSE)/((S49*pax_cap*load_thin*ROUND(K49*L49*revleg_thin,0))-(((battery/range_nm)*D49*ROUND(K49*L49*revleg_thin,0)*VLOOKUP(B49,country_opex,3,FALSE))+V49+W49+X49+Y49+Z49)))</f>
        <v/>
      </c>
      <c r="AV49" s="43">
        <f>IF(((S49*pax_cap*load_mid*ROUND(K49*L49*revleg_mid,0))-(((battery/range_nm)*D49*ROUND(K49*L49*revleg_mid,0)*VLOOKUP(B49,country_opex,3,FALSE))+V49+W49+X49+Y49+Z49))&lt;=0,"",VLOOKUP(B49,country_opex,7,FALSE)/((S49*pax_cap*load_mid*ROUND(K49*L49*revleg_mid,0))-(((battery/range_nm)*D49*ROUND(K49*L49*revleg_mid,0)*VLOOKUP(B49,country_opex,3,FALSE))+V49+W49+X49+Y49+Z49)))</f>
        <v/>
      </c>
      <c r="AW49" s="43">
        <f>IF(((S49*pax_cap*load_full*ROUND(K49*L49*revleg_full,0))-(((battery/range_nm)*D49*ROUND(K49*L49*revleg_full,0)*VLOOKUP(B49,country_opex,3,FALSE))+V49+W49+X49+Y49+Z49))&lt;=0,"",VLOOKUP(B49,country_opex,7,FALSE)/((S49*pax_cap*load_full*ROUND(K49*L49*revleg_full,0))-(((battery/range_nm)*D49*ROUND(K49*L49*revleg_full,0)*VLOOKUP(B49,country_opex,3,FALSE))+V49+W49+X49+Y49+Z49)))</f>
        <v/>
      </c>
      <c r="AX49" s="44" t="inlineStr">
        <is>
          <t>uae-careem demand ladder + PR #58 Noon route seal (Careem-style super_app)</t>
        </is>
      </c>
      <c r="AY49" s="44" t="inlineStr">
        <is>
          <t>uae-careem demand ladder + PR #58 Noon route seal (Careem-style super_app)</t>
        </is>
      </c>
    </row>
    <row r="50">
      <c r="A50" s="29" t="inlineStr">
        <is>
          <t>Uae Noon</t>
        </is>
      </c>
      <c r="B50" s="29" t="inlineStr">
        <is>
          <t>United Arab Emirates</t>
        </is>
      </c>
      <c r="C50" s="30" t="inlineStr">
        <is>
          <t>Dubai Harbour Marina → Marina Mall / Breakwater Marina</t>
        </is>
      </c>
      <c r="D50" s="31" t="n">
        <v>59.8</v>
      </c>
      <c r="E50" s="26" t="n"/>
      <c r="F50" s="32" t="n"/>
      <c r="G50" s="32" t="n"/>
      <c r="H50" s="19" t="n">
        <v>1</v>
      </c>
      <c r="I50" s="33">
        <f>60*D50/cruise_kt</f>
        <v/>
      </c>
      <c r="J50" s="33">
        <f>I50+turn_min+dwell_min</f>
        <v/>
      </c>
      <c r="K50" s="34">
        <f>MIN(15,FLOOR(60*service_hr/J50,1))</f>
        <v/>
      </c>
      <c r="L50" s="34">
        <f>ROUND(365*mech_uptime*H50,0)</f>
        <v/>
      </c>
      <c r="M50" s="35">
        <f>mech_uptime</f>
        <v/>
      </c>
      <c r="N50" s="35">
        <f>revleg_sel</f>
        <v/>
      </c>
      <c r="O50" s="34">
        <f>ROUND(K50*L50*revleg_sel,0)</f>
        <v/>
      </c>
      <c r="P50" s="36">
        <f>load_sel</f>
        <v/>
      </c>
      <c r="Q50" s="36">
        <f>pax_cap*P50</f>
        <v/>
      </c>
      <c r="R50" s="34">
        <f>Q50*O50</f>
        <v/>
      </c>
      <c r="S50" s="37">
        <f>E50*discount</f>
        <v/>
      </c>
      <c r="T50" s="38">
        <f>S50*R50</f>
        <v/>
      </c>
      <c r="U50" s="38">
        <f>(battery/range_nm)*D50*O50*VLOOKUP(B50,country_opex,3,FALSE)</f>
        <v/>
      </c>
      <c r="V50" s="38">
        <f>VLOOKUP(B50,country_opex,2,FALSE)*crew_factor</f>
        <v/>
      </c>
      <c r="W50" s="38">
        <f>VLOOKUP(B50,country_opex,5,FALSE)</f>
        <v/>
      </c>
      <c r="X50" s="38">
        <f>maint</f>
        <v/>
      </c>
      <c r="Y50" s="38">
        <f>VLOOKUP(B50,country_opex,7,FALSE)*ins_pct</f>
        <v/>
      </c>
      <c r="Z50" s="38">
        <f>charge_berth</f>
        <v/>
      </c>
      <c r="AA50" s="38">
        <f>U50+V50+W50+X50+Y50+Z50</f>
        <v/>
      </c>
      <c r="AB50" s="38">
        <f>VLOOKUP(B50,country_opex,7,FALSE)/dep_years</f>
        <v/>
      </c>
      <c r="AC50" s="38">
        <f>T50-AA50</f>
        <v/>
      </c>
      <c r="AD50" s="35">
        <f>IF(T50=0,"",AC50/T50)</f>
        <v/>
      </c>
      <c r="AE50" s="36">
        <f>IF(AC50&lt;=0,"",VLOOKUP(B50,country_opex,7,FALSE)/AC50)</f>
        <v/>
      </c>
      <c r="AF50" s="33">
        <f>((D50*O50/diesel_nmpg)*diesel_co2pg-(battery/range_nm)*D50*O50*VLOOKUP(B50,country_opex,4,FALSE))/1000</f>
        <v/>
      </c>
      <c r="AG50" s="31" t="n"/>
      <c r="AH50" s="32" t="n"/>
      <c r="AI50" s="32" t="n"/>
      <c r="AJ50" s="39" t="n">
        <v>0.1</v>
      </c>
      <c r="AK50" s="34">
        <f>IF(AG50="","",AG50*AJ50)</f>
        <v/>
      </c>
      <c r="AL50" s="34">
        <f>IF(OR(AG50="",R50=0),"",MIN(IF(AT50="",9.9E+99,AT50),FLOOR(AK50/R50,1)))</f>
        <v/>
      </c>
      <c r="AM50" s="38">
        <f>IF(AL50="","",AL50*T50)</f>
        <v/>
      </c>
      <c r="AN50" s="36">
        <f>IF(OR(AG50="",R50=0),"",MIN(IF(AT50="",9.9E+99,AT50),AK50/R50))</f>
        <v/>
      </c>
      <c r="AO50" s="38">
        <f>IF(AN50="","",AN50*T50)</f>
        <v/>
      </c>
      <c r="AP50" s="40" t="n"/>
      <c r="AQ50" s="32" t="inlineStr">
        <is>
          <t>Estimated</t>
        </is>
      </c>
      <c r="AR50" s="41" t="n"/>
      <c r="AS50" s="41" t="n"/>
      <c r="AT50" s="42" t="n"/>
      <c r="AU50" s="43">
        <f>IF(((S50*pax_cap*load_thin*ROUND(K50*L50*revleg_thin,0))-(((battery/range_nm)*D50*ROUND(K50*L50*revleg_thin,0)*VLOOKUP(B50,country_opex,3,FALSE))+V50+W50+X50+Y50+Z50))&lt;=0,"",VLOOKUP(B50,country_opex,7,FALSE)/((S50*pax_cap*load_thin*ROUND(K50*L50*revleg_thin,0))-(((battery/range_nm)*D50*ROUND(K50*L50*revleg_thin,0)*VLOOKUP(B50,country_opex,3,FALSE))+V50+W50+X50+Y50+Z50)))</f>
        <v/>
      </c>
      <c r="AV50" s="43">
        <f>IF(((S50*pax_cap*load_mid*ROUND(K50*L50*revleg_mid,0))-(((battery/range_nm)*D50*ROUND(K50*L50*revleg_mid,0)*VLOOKUP(B50,country_opex,3,FALSE))+V50+W50+X50+Y50+Z50))&lt;=0,"",VLOOKUP(B50,country_opex,7,FALSE)/((S50*pax_cap*load_mid*ROUND(K50*L50*revleg_mid,0))-(((battery/range_nm)*D50*ROUND(K50*L50*revleg_mid,0)*VLOOKUP(B50,country_opex,3,FALSE))+V50+W50+X50+Y50+Z50)))</f>
        <v/>
      </c>
      <c r="AW50" s="43">
        <f>IF(((S50*pax_cap*load_full*ROUND(K50*L50*revleg_full,0))-(((battery/range_nm)*D50*ROUND(K50*L50*revleg_full,0)*VLOOKUP(B50,country_opex,3,FALSE))+V50+W50+X50+Y50+Z50))&lt;=0,"",VLOOKUP(B50,country_opex,7,FALSE)/((S50*pax_cap*load_full*ROUND(K50*L50*revleg_full,0))-(((battery/range_nm)*D50*ROUND(K50*L50*revleg_full,0)*VLOOKUP(B50,country_opex,3,FALSE))+V50+W50+X50+Y50+Z50)))</f>
        <v/>
      </c>
      <c r="AX50" s="44" t="n"/>
      <c r="AY50" s="44" t="n"/>
    </row>
    <row r="51">
      <c r="A51" s="29" t="inlineStr">
        <is>
          <t>Uae Noon</t>
        </is>
      </c>
      <c r="B51" s="29" t="inlineStr">
        <is>
          <t>United Arab Emirates</t>
        </is>
      </c>
      <c r="C51" s="30" t="inlineStr">
        <is>
          <t>Dubai Harbour Marina → Marina Mall / Breakwater Marina</t>
        </is>
      </c>
      <c r="D51" s="31" t="n">
        <v>59.8</v>
      </c>
      <c r="E51" s="26" t="n"/>
      <c r="F51" s="32" t="n"/>
      <c r="G51" s="32" t="n"/>
      <c r="H51" s="19" t="n">
        <v>1</v>
      </c>
      <c r="I51" s="33">
        <f>60*D51/cruise_kt</f>
        <v/>
      </c>
      <c r="J51" s="33">
        <f>I51+turn_min+dwell_min</f>
        <v/>
      </c>
      <c r="K51" s="34">
        <f>MIN(15,FLOOR(60*service_hr/J51,1))</f>
        <v/>
      </c>
      <c r="L51" s="34">
        <f>ROUND(365*mech_uptime*H51,0)</f>
        <v/>
      </c>
      <c r="M51" s="35">
        <f>mech_uptime</f>
        <v/>
      </c>
      <c r="N51" s="35">
        <f>revleg_sel</f>
        <v/>
      </c>
      <c r="O51" s="34">
        <f>ROUND(K51*L51*revleg_sel,0)</f>
        <v/>
      </c>
      <c r="P51" s="36">
        <f>load_sel</f>
        <v/>
      </c>
      <c r="Q51" s="36">
        <f>pax_cap*P51</f>
        <v/>
      </c>
      <c r="R51" s="34">
        <f>Q51*O51</f>
        <v/>
      </c>
      <c r="S51" s="37">
        <f>E51*discount</f>
        <v/>
      </c>
      <c r="T51" s="38">
        <f>S51*R51</f>
        <v/>
      </c>
      <c r="U51" s="38">
        <f>(battery/range_nm)*D51*O51*VLOOKUP(B51,country_opex,3,FALSE)</f>
        <v/>
      </c>
      <c r="V51" s="38">
        <f>VLOOKUP(B51,country_opex,2,FALSE)*crew_factor</f>
        <v/>
      </c>
      <c r="W51" s="38">
        <f>VLOOKUP(B51,country_opex,5,FALSE)</f>
        <v/>
      </c>
      <c r="X51" s="38">
        <f>maint</f>
        <v/>
      </c>
      <c r="Y51" s="38">
        <f>VLOOKUP(B51,country_opex,7,FALSE)*ins_pct</f>
        <v/>
      </c>
      <c r="Z51" s="38">
        <f>charge_berth</f>
        <v/>
      </c>
      <c r="AA51" s="38">
        <f>U51+V51+W51+X51+Y51+Z51</f>
        <v/>
      </c>
      <c r="AB51" s="38">
        <f>VLOOKUP(B51,country_opex,7,FALSE)/dep_years</f>
        <v/>
      </c>
      <c r="AC51" s="38">
        <f>T51-AA51</f>
        <v/>
      </c>
      <c r="AD51" s="35">
        <f>IF(T51=0,"",AC51/T51)</f>
        <v/>
      </c>
      <c r="AE51" s="36">
        <f>IF(AC51&lt;=0,"",VLOOKUP(B51,country_opex,7,FALSE)/AC51)</f>
        <v/>
      </c>
      <c r="AF51" s="33">
        <f>((D51*O51/diesel_nmpg)*diesel_co2pg-(battery/range_nm)*D51*O51*VLOOKUP(B51,country_opex,4,FALSE))/1000</f>
        <v/>
      </c>
      <c r="AG51" s="31" t="n"/>
      <c r="AH51" s="32" t="n"/>
      <c r="AI51" s="32" t="n"/>
      <c r="AJ51" s="39" t="n">
        <v>0.1</v>
      </c>
      <c r="AK51" s="34">
        <f>IF(AG51="","",AG51*AJ51)</f>
        <v/>
      </c>
      <c r="AL51" s="34">
        <f>IF(OR(AG51="",R51=0),"",MIN(IF(AT51="",9.9E+99,AT51),FLOOR(AK51/R51,1)))</f>
        <v/>
      </c>
      <c r="AM51" s="38">
        <f>IF(AL51="","",AL51*T51)</f>
        <v/>
      </c>
      <c r="AN51" s="36">
        <f>IF(OR(AG51="",R51=0),"",MIN(IF(AT51="",9.9E+99,AT51),AK51/R51))</f>
        <v/>
      </c>
      <c r="AO51" s="38">
        <f>IF(AN51="","",AN51*T51)</f>
        <v/>
      </c>
      <c r="AP51" s="40" t="n"/>
      <c r="AQ51" s="32" t="inlineStr">
        <is>
          <t>Estimated</t>
        </is>
      </c>
      <c r="AR51" s="41" t="n"/>
      <c r="AS51" s="41" t="n"/>
      <c r="AT51" s="42" t="n"/>
      <c r="AU51" s="43">
        <f>IF(((S51*pax_cap*load_thin*ROUND(K51*L51*revleg_thin,0))-(((battery/range_nm)*D51*ROUND(K51*L51*revleg_thin,0)*VLOOKUP(B51,country_opex,3,FALSE))+V51+W51+X51+Y51+Z51))&lt;=0,"",VLOOKUP(B51,country_opex,7,FALSE)/((S51*pax_cap*load_thin*ROUND(K51*L51*revleg_thin,0))-(((battery/range_nm)*D51*ROUND(K51*L51*revleg_thin,0)*VLOOKUP(B51,country_opex,3,FALSE))+V51+W51+X51+Y51+Z51)))</f>
        <v/>
      </c>
      <c r="AV51" s="43">
        <f>IF(((S51*pax_cap*load_mid*ROUND(K51*L51*revleg_mid,0))-(((battery/range_nm)*D51*ROUND(K51*L51*revleg_mid,0)*VLOOKUP(B51,country_opex,3,FALSE))+V51+W51+X51+Y51+Z51))&lt;=0,"",VLOOKUP(B51,country_opex,7,FALSE)/((S51*pax_cap*load_mid*ROUND(K51*L51*revleg_mid,0))-(((battery/range_nm)*D51*ROUND(K51*L51*revleg_mid,0)*VLOOKUP(B51,country_opex,3,FALSE))+V51+W51+X51+Y51+Z51)))</f>
        <v/>
      </c>
      <c r="AW51" s="43">
        <f>IF(((S51*pax_cap*load_full*ROUND(K51*L51*revleg_full,0))-(((battery/range_nm)*D51*ROUND(K51*L51*revleg_full,0)*VLOOKUP(B51,country_opex,3,FALSE))+V51+W51+X51+Y51+Z51))&lt;=0,"",VLOOKUP(B51,country_opex,7,FALSE)/((S51*pax_cap*load_full*ROUND(K51*L51*revleg_full,0))-(((battery/range_nm)*D51*ROUND(K51*L51*revleg_full,0)*VLOOKUP(B51,country_opex,3,FALSE))+V51+W51+X51+Y51+Z51)))</f>
        <v/>
      </c>
      <c r="AX51" s="44" t="n"/>
      <c r="AY51" s="44" t="n"/>
    </row>
    <row r="52">
      <c r="A52" s="45" t="inlineStr">
        <is>
          <t>TOTAL / median</t>
        </is>
      </c>
      <c r="T52" s="46">
        <f>SUM(T4:T51)</f>
        <v/>
      </c>
      <c r="AC52" s="46">
        <f>SUM(AC4:AC51)</f>
        <v/>
      </c>
      <c r="AD52" s="47">
        <f>IF(T52=0,"",AC52/T52)</f>
        <v/>
      </c>
      <c r="AL52" s="48">
        <f>SUM(AL4:AL51)</f>
        <v/>
      </c>
      <c r="AM52" s="46">
        <f>SUM(AM4:AM51)</f>
        <v/>
      </c>
    </row>
    <row r="54">
      <c r="A54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55">
      <c r="A55" s="24" t="inlineStr">
        <is>
          <t>Market</t>
        </is>
      </c>
      <c r="B55" s="24" t="inlineStr">
        <is>
          <t>Fleet basis</t>
        </is>
      </c>
      <c r="C55" s="24" t="inlineStr">
        <is>
          <t>Raw vessels (sum)</t>
        </is>
      </c>
      <c r="D55" s="24" t="inlineStr">
        <is>
          <t>Fleet (rounded once)</t>
        </is>
      </c>
      <c r="E55" s="24" t="inlineStr">
        <is>
          <t>Market rev/yr (raw sum)</t>
        </is>
      </c>
    </row>
    <row r="56">
      <c r="A56" s="25" t="inlineStr">
        <is>
          <t>Uae Noon</t>
        </is>
      </c>
      <c r="B56" s="13" t="inlineStr">
        <is>
          <t>network_sum / ceil</t>
        </is>
      </c>
      <c r="C56" s="23">
        <f>SUMIFS(AN4:AN51,A4:A51,"Uae Noon",AP4:AP51,"=",AQ4:AQ51,"Grounded")</f>
        <v/>
      </c>
      <c r="D56" s="49">
        <f>IF(C56=0,0,CEILING(C56,1))</f>
        <v/>
      </c>
      <c r="E56" s="50">
        <f>SUMIFS(AO4:AO51,A4:A51,"Uae Noon",AP4:AP51,"=",AQ4:AQ51,"Grounded")</f>
        <v/>
      </c>
    </row>
    <row r="57">
      <c r="A57" s="45" t="inlineStr">
        <is>
          <t>GROUNDED FLOOR (PUBLISHED)</t>
        </is>
      </c>
      <c r="D57" s="48">
        <f>SUM(D56:D56)</f>
        <v/>
      </c>
      <c r="E57" s="46">
        <f>SUM(E56:E56)</f>
        <v/>
      </c>
    </row>
    <row r="58">
      <c r="A58" s="20" t="inlineStr">
        <is>
          <t>ESTIMATED DEMAND (country-median cascade; held OUT of grounded floor)</t>
        </is>
      </c>
      <c r="D58" s="51">
        <f>SUMIF(AQ4:AQ51,"Estimated",AL4:AL51)</f>
        <v/>
      </c>
      <c r="E58" s="52">
        <f>SUMIF(AQ4:AQ51,"Estimated",AM4:AM51)</f>
        <v/>
      </c>
    </row>
    <row r="59">
      <c r="A59" s="53" t="inlineStr">
        <is>
          <t>Held for Quanta-LR (&gt;70nm, roadmap H2 2026+):</t>
        </is>
      </c>
      <c r="C59" s="54" t="inlineStr">
        <is>
          <t>Abu Dhabi → Muscat (360.9nm)</t>
        </is>
      </c>
    </row>
    <row r="60">
      <c r="C60" s="54" t="inlineStr">
        <is>
          <t>Fujairah → Muscat (149.1nm)</t>
        </is>
      </c>
    </row>
    <row r="61">
      <c r="C61" s="54" t="inlineStr">
        <is>
          <t>Marina Mall / Breakwater Marina → Sir Bani Yas Cruise Port (93.1nm)</t>
        </is>
      </c>
    </row>
  </sheetData>
  <mergeCells count="2">
    <mergeCell ref="A54:L54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2026-07-06T02:58:42Z</dcterms:created>
  <dcterms:modified xsi:type="dcterms:W3CDTF">2026-07-06T02:58:42Z</dcterms:modified>
</cp:coreProperties>
</file>