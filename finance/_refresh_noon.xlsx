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economics'!$D$17</definedName>
    <definedName name="som_floor_rev">'Corridor economics'!$E$17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Noon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United Arab Emirates</t>
        </is>
      </c>
      <c r="B4" s="26" t="n">
        <v>40000</v>
      </c>
      <c r="C4" s="27" t="n">
        <v>0.08500000000000001</v>
      </c>
      <c r="D4" s="19" t="n">
        <v>0.4</v>
      </c>
      <c r="E4" s="26" t="n">
        <v>22000</v>
      </c>
      <c r="F4" s="19" t="n">
        <v>0.74</v>
      </c>
      <c r="G4" s="26" t="n">
        <v>600000</v>
      </c>
      <c r="H4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Noon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Uae Noon</t>
        </is>
      </c>
      <c r="B4" s="29" t="inlineStr">
        <is>
          <t>United Arab Emirates</t>
        </is>
      </c>
      <c r="C4" s="30" t="inlineStr">
        <is>
          <t>Vida Beach Resort Umm Al Quwain → Sharjah Waterfront City marina</t>
        </is>
      </c>
      <c r="D4" s="31" t="n">
        <v>9.6</v>
      </c>
      <c r="E4" s="26" t="n">
        <v>48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MIN(10,FLOOR(60*service_hr/J4,1))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35000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uae-careem demand ladder + PR #58 Noon route seal (Careem-style super_app)</t>
        </is>
      </c>
      <c r="AX4" s="44" t="inlineStr">
        <is>
          <t>uae-careem demand ladder + PR #58 Noon route seal (Careem-style super_app)</t>
        </is>
      </c>
    </row>
    <row r="5">
      <c r="A5" s="29" t="inlineStr">
        <is>
          <t>Uae Noon</t>
        </is>
      </c>
      <c r="B5" s="29" t="inlineStr">
        <is>
          <t>United Arab Emirates</t>
        </is>
      </c>
      <c r="C5" s="30" t="inlineStr">
        <is>
          <t>Fujairah → Khorfakkan Corniche / Port</t>
        </is>
      </c>
      <c r="D5" s="31" t="n">
        <v>11.4</v>
      </c>
      <c r="E5" s="26" t="n">
        <v>48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MIN(10,FLOOR(60*service_hr/J5,1))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35000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uae-careem demand ladder + PR #58 Noon route seal (Careem-style super_app)</t>
        </is>
      </c>
      <c r="AX5" s="44" t="inlineStr">
        <is>
          <t>uae-careem demand ladder + PR #58 Noon route seal (Careem-style super_app)</t>
        </is>
      </c>
    </row>
    <row r="6">
      <c r="A6" s="29" t="inlineStr">
        <is>
          <t>Uae Noon</t>
        </is>
      </c>
      <c r="B6" s="29" t="inlineStr">
        <is>
          <t>United Arab Emirates</t>
        </is>
      </c>
      <c r="C6" s="30" t="inlineStr">
        <is>
          <t>Dubai Harbour Marina → Nikki Beach Resort Pearl Jumeirah Jetty</t>
        </is>
      </c>
      <c r="D6" s="31" t="n">
        <v>11.9</v>
      </c>
      <c r="E6" s="26" t="n">
        <v>48</v>
      </c>
      <c r="F6" s="32" t="inlineStr">
        <is>
          <t>T3</t>
        </is>
      </c>
      <c r="G6" s="32" t="inlineStr">
        <is>
          <t>med-low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MIN(10,FLOOR(60*service_hr/J6,1))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35000</v>
      </c>
      <c r="AH6" s="32" t="inlineStr">
        <is>
          <t>T3</t>
        </is>
      </c>
      <c r="AI6" s="32" t="inlineStr">
        <is>
          <t>med-low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uae-careem demand ladder + PR #58 Noon route seal (Careem-style super_app)</t>
        </is>
      </c>
      <c r="AX6" s="44" t="inlineStr">
        <is>
          <t>uae-careem demand ladder + PR #58 Noon route seal (Careem-style super_app)</t>
        </is>
      </c>
    </row>
    <row r="7">
      <c r="A7" s="29" t="inlineStr">
        <is>
          <t>Uae Noon</t>
        </is>
      </c>
      <c r="B7" s="29" t="inlineStr">
        <is>
          <t>United Arab Emirates</t>
        </is>
      </c>
      <c r="C7" s="30" t="inlineStr">
        <is>
          <t>Ras Al Khaimah → ميناء صيادين غليلة</t>
        </is>
      </c>
      <c r="D7" s="31" t="n">
        <v>11.9</v>
      </c>
      <c r="E7" s="26" t="n">
        <v>48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MIN(10,FLOOR(60*service_hr/J7,1))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35000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uae-careem demand ladder + PR #58 Noon route seal (Careem-style super_app)</t>
        </is>
      </c>
      <c r="AX7" s="44" t="inlineStr">
        <is>
          <t>uae-careem demand ladder + PR #58 Noon route seal (Careem-style super_app)</t>
        </is>
      </c>
    </row>
    <row r="8">
      <c r="A8" s="29" t="inlineStr">
        <is>
          <t>Uae Noon</t>
        </is>
      </c>
      <c r="B8" s="29" t="inlineStr">
        <is>
          <t>United Arab Emirates</t>
        </is>
      </c>
      <c r="C8" s="30" t="inlineStr">
        <is>
          <t>Yas Marina → Four Seasons Al Maryah Jetty</t>
        </is>
      </c>
      <c r="D8" s="31" t="n">
        <v>12.4</v>
      </c>
      <c r="E8" s="26" t="n">
        <v>48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MIN(10,FLOOR(60*service_hr/J8,1))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35000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uae-careem demand ladder + PR #58 Noon route seal (Careem-style super_app)</t>
        </is>
      </c>
      <c r="AX8" s="44" t="inlineStr">
        <is>
          <t>uae-careem demand ladder + PR #58 Noon route seal (Careem-style super_app)</t>
        </is>
      </c>
    </row>
    <row r="9">
      <c r="A9" s="29" t="inlineStr">
        <is>
          <t>Uae Noon</t>
        </is>
      </c>
      <c r="B9" s="29" t="inlineStr">
        <is>
          <t>United Arab Emirates</t>
        </is>
      </c>
      <c r="C9" s="30" t="inlineStr">
        <is>
          <t>Dubai Harbour Marina → Al Khan Lagoon mouth</t>
        </is>
      </c>
      <c r="D9" s="31" t="n">
        <v>19.4</v>
      </c>
      <c r="E9" s="26" t="n">
        <v>48</v>
      </c>
      <c r="F9" s="32" t="inlineStr">
        <is>
          <t>T3</t>
        </is>
      </c>
      <c r="G9" s="32" t="inlineStr">
        <is>
          <t>med-low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MIN(10,FLOOR(60*service_hr/J9,1))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35000</v>
      </c>
      <c r="AH9" s="32" t="inlineStr">
        <is>
          <t>T3</t>
        </is>
      </c>
      <c r="AI9" s="32" t="inlineStr">
        <is>
          <t>med-low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uae-careem demand ladder + PR #58 Noon route seal (Careem-style super_app)</t>
        </is>
      </c>
      <c r="AX9" s="44" t="inlineStr">
        <is>
          <t>uae-careem demand ladder + PR #58 Noon route seal (Careem-style super_app)</t>
        </is>
      </c>
    </row>
    <row r="10">
      <c r="A10" s="29" t="inlineStr">
        <is>
          <t>Uae Noon</t>
        </is>
      </c>
      <c r="B10" s="29" t="inlineStr">
        <is>
          <t>United Arab Emirates</t>
        </is>
      </c>
      <c r="C10" s="30" t="inlineStr">
        <is>
          <t>Dubai Harbour Marina → Wynn Al Marjan Island arrival lagoon</t>
        </is>
      </c>
      <c r="D10" s="31" t="n">
        <v>49.8</v>
      </c>
      <c r="E10" s="26" t="n">
        <v>48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MIN(10,FLOOR(60*service_hr/J10,1))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35000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uae-careem demand ladder + PR #58 Noon route seal (Careem-style super_app)</t>
        </is>
      </c>
      <c r="AX10" s="44" t="inlineStr">
        <is>
          <t>uae-careem demand ladder + PR #58 Noon route seal (Careem-style super_app)</t>
        </is>
      </c>
    </row>
    <row r="11">
      <c r="A11" s="29" t="inlineStr">
        <is>
          <t>Uae Noon</t>
        </is>
      </c>
      <c r="B11" s="29" t="inlineStr">
        <is>
          <t>United Arab Emirates</t>
        </is>
      </c>
      <c r="C11" s="30" t="inlineStr">
        <is>
          <t>Ushuaïa Dubai Harbour Experience → Marina Mall / Breakwater Marina</t>
        </is>
      </c>
      <c r="D11" s="31" t="n">
        <v>57.4</v>
      </c>
      <c r="E11" s="26" t="n">
        <v>48</v>
      </c>
      <c r="F11" s="32" t="inlineStr">
        <is>
          <t>T3</t>
        </is>
      </c>
      <c r="G11" s="32" t="inlineStr">
        <is>
          <t>med-low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MIN(10,FLOOR(60*service_hr/J11,1))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35000</v>
      </c>
      <c r="AH11" s="32" t="inlineStr">
        <is>
          <t>T3</t>
        </is>
      </c>
      <c r="AI11" s="32" t="inlineStr">
        <is>
          <t>med-low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uae-careem demand ladder + PR #58 Noon route seal (Careem-style super_app)</t>
        </is>
      </c>
      <c r="AX11" s="44" t="inlineStr">
        <is>
          <t>uae-careem demand ladder + PR #58 Noon route seal (Careem-style super_app)</t>
        </is>
      </c>
    </row>
    <row r="12">
      <c r="A12" s="45" t="inlineStr">
        <is>
          <t>TOTAL / median</t>
        </is>
      </c>
      <c r="T12" s="46">
        <f>SUM(T4:T11)</f>
        <v/>
      </c>
      <c r="AC12" s="46">
        <f>SUM(AC4:AC11)</f>
        <v/>
      </c>
      <c r="AD12" s="47">
        <f>IF(T12=0,"",AC12/T12)</f>
        <v/>
      </c>
      <c r="AL12" s="48">
        <f>SUM(AL4:AL11)</f>
        <v/>
      </c>
      <c r="AM12" s="46">
        <f>SUM(AM4:AM11)</f>
        <v/>
      </c>
    </row>
    <row r="14">
      <c r="A14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5">
      <c r="A15" s="24" t="inlineStr">
        <is>
          <t>Market</t>
        </is>
      </c>
      <c r="B15" s="24" t="inlineStr">
        <is>
          <t>Fleet basis</t>
        </is>
      </c>
      <c r="C15" s="24" t="inlineStr">
        <is>
          <t>Raw vessels (sum)</t>
        </is>
      </c>
      <c r="D15" s="24" t="inlineStr">
        <is>
          <t>Fleet (rounded once)</t>
        </is>
      </c>
      <c r="E15" s="24" t="inlineStr">
        <is>
          <t>Market rev/yr (raw sum)</t>
        </is>
      </c>
    </row>
    <row r="16">
      <c r="A16" s="25" t="inlineStr">
        <is>
          <t>Uae Noon</t>
        </is>
      </c>
      <c r="B16" s="13" t="inlineStr">
        <is>
          <t>network_sum / ceil</t>
        </is>
      </c>
      <c r="C16" s="23">
        <f>SUMIFS(AN4:AN11,A4:A11,"Uae Noon",AP4:AP11,"=",AQ4:AQ11,"=",AR4:AR11,"=")</f>
        <v/>
      </c>
      <c r="D16" s="49">
        <f>IF(C16=0,0,CEILING(C16,1))</f>
        <v/>
      </c>
      <c r="E16" s="50">
        <f>SUMIFS(AO4:AO11,A4:A11,"Uae Noon",AP4:AP11,"=",AQ4:AQ11,"=",AR4:AR11,"=")</f>
        <v/>
      </c>
    </row>
    <row r="17">
      <c r="A17" s="45" t="inlineStr">
        <is>
          <t>GROUNDED FLOOR (PUBLISHED)</t>
        </is>
      </c>
      <c r="D17" s="48">
        <f>SUM(D16:D16)</f>
        <v/>
      </c>
      <c r="E17" s="46">
        <f>SUM(E16:E16)</f>
        <v/>
      </c>
    </row>
    <row r="19">
      <c r="A19" s="51" t="inlineStr">
        <is>
          <t>Held for Quanta-LR (&gt;70nm, roadmap H2 2026+):</t>
        </is>
      </c>
      <c r="C19" s="52" t="inlineStr">
        <is>
          <t>Abu Dhabi → Muscat (360.9nm)</t>
        </is>
      </c>
    </row>
    <row r="20">
      <c r="C20" s="52" t="inlineStr">
        <is>
          <t>Abu Dhabi → Manama (264.1nm)</t>
        </is>
      </c>
    </row>
    <row r="21">
      <c r="C21" s="52" t="inlineStr">
        <is>
          <t>Abu Dhabi → Doha (179.1nm)</t>
        </is>
      </c>
    </row>
    <row r="22">
      <c r="C22" s="52" t="inlineStr">
        <is>
          <t>Fujairah → Muscat (149.1nm)</t>
        </is>
      </c>
    </row>
  </sheetData>
  <mergeCells count="2">
    <mergeCell ref="A14:L14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2026-06-21T04:11:04Z</dcterms:created>
  <dcterms:modified xsi:type="dcterms:W3CDTF">2026-06-21T04:11:04Z</dcterms:modified>
</cp:coreProperties>
</file>