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Ola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Ola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Ola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Ola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Ola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Ola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Ola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Ola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Ola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Ola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Ola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Ola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Ola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Ola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Ola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Ola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Ola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10909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(11 sealed rows × anchor 120,000 pax/yr)</t>
        </is>
      </c>
    </row>
    <row r="19">
      <c r="A19" s="29" t="inlineStr">
        <is>
          <t>India Goa Ola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Ola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Ola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Ola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Ola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Ola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Ola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Ola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Ola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Ola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Ola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Ola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Ola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Ola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Ola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Ola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Ola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Ola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Ola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Ola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Ola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Ola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Ola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Ola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Ola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Ola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Ola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Ola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Ola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MIN(10,FLOOR(60*service_hr/J47,1))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Ola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MIN(10,FLOOR(60*service_hr/J48,1))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Ola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MIN(10,FLOOR(60*service_hr/J49,1))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Ola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MIN(10,FLOOR(60*service_hr/J50,1))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Ola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MIN(10,FLOOR(60*service_hr/J51,1))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Ola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MIN(10,FLOOR(60*service_hr/J52,1))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Ola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MIN(10,FLOOR(60*service_hr/J53,1))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Ola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MIN(10,FLOOR(60*service_hr/J54,1))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Ola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MIN(10,FLOOR(60*service_hr/J55,1))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Ola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MIN(10,FLOOR(60*service_hr/J56,1))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Ola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MIN(10,FLOOR(60*service_hr/J57,1))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Ola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MIN(10,FLOOR(60*service_hr/J58,1))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Ola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MIN(10,FLOOR(60*service_hr/J59,1))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India Mumbai Ola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>
        <v>18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MIN(10,FLOOR(60*service_hr/J60,1))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[LB-255 PREMIUM RE-FARE: subsidized comparable $5.5 lifted to premium on-demand floor $18.0] handoff/INDIA-ECONOMICS-SIDECAR-V0-2026-06-20.json (mumbai)</t>
        </is>
      </c>
      <c r="AX60" s="44" t="inlineStr">
        <is>
          <t>handoff/INDIA-ECONOMICS-SIDECAR-V0-2026-06-20.json (mumbai)</t>
        </is>
      </c>
    </row>
    <row r="61">
      <c r="A61" s="29" t="inlineStr">
        <is>
          <t>India Goa Ola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MIN(10,FLOOR(60*service_hr/J61,1))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Ola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MIN(10,FLOOR(60*service_hr/J62,1))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Ola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MIN(10,FLOOR(60*service_hr/J63,1))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Ola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MIN(10,FLOOR(60*service_hr/J64,1))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Ola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MIN(10,FLOOR(60*service_hr/J65,1))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Ola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MIN(10,FLOOR(60*service_hr/J66,1))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Ola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MIN(10,FLOOR(60*service_hr/J67,1))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Ola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MIN(10,FLOOR(60*service_hr/J68,1))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10909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(11 sealed rows × anchor 120,000 pax/yr)</t>
        </is>
      </c>
    </row>
    <row r="69">
      <c r="A69" s="29" t="inlineStr">
        <is>
          <t>India Mumbai Ola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MIN(10,FLOOR(60*service_hr/J69,1))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Ola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MIN(10,FLOOR(60*service_hr/J70,1))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10909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(11 sealed rows × anchor 120,000 pax/yr)</t>
        </is>
      </c>
    </row>
    <row r="71">
      <c r="A71" s="29" t="inlineStr">
        <is>
          <t>India Andaman Ola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MIN(10,FLOOR(60*service_hr/J71,1))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Ola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India Mumbai Ola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>
        <v>18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MIN(10,FLOOR(60*service_hr/J73,1))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5000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[LB-255 PREMIUM RE-FARE: subsidized comparable $5.5 lifted to premium on-demand floor $18.0] handoff/INDIA-ECONOMICS-SIDECAR-V0-2026-06-20.json (mumbai)</t>
        </is>
      </c>
      <c r="AX73" s="44" t="inlineStr">
        <is>
          <t>handoff/INDIA-ECONOMICS-SIDECAR-V0-2026-06-20.json (mumbai)</t>
        </is>
      </c>
    </row>
    <row r="74">
      <c r="A74" s="29" t="inlineStr">
        <is>
          <t>India Andaman Ola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MIN(10,FLOOR(60*service_hr/J74,1))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Ola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MIN(10,FLOOR(60*service_hr/J75,1))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Ola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MIN(10,FLOOR(60*service_hr/J76,1))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10909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(11 sealed rows × anchor 120,000 pax/yr)</t>
        </is>
      </c>
    </row>
    <row r="77">
      <c r="A77" s="29" t="inlineStr">
        <is>
          <t>Ola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10909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(11 sealed rows × anchor 120,000 pax/yr)</t>
        </is>
      </c>
    </row>
    <row r="78">
      <c r="A78" s="29" t="inlineStr">
        <is>
          <t>India Goa Ola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Ola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Ola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MIN(10,FLOOR(60*service_hr/J80,1))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10909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(11 sealed rows × anchor 120,000 pax/yr)</t>
        </is>
      </c>
    </row>
    <row r="81">
      <c r="A81" s="29" t="inlineStr">
        <is>
          <t>India Goa Ola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MIN(10,FLOOR(60*service_hr/J81,1))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Ola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MIN(10,FLOOR(60*service_hr/J82,1))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Ola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MIN(10,FLOOR(60*service_hr/J83,1))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10909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(11 sealed rows × anchor 120,000 pax/yr)</t>
        </is>
      </c>
    </row>
    <row r="84">
      <c r="A84" s="29" t="inlineStr">
        <is>
          <t>India Goa Ola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MIN(10,FLOOR(60*service_hr/J84,1))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Ola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MIN(10,FLOOR(60*service_hr/J85,1))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10909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(11 sealed rows × anchor 120,000 pax/yr)</t>
        </is>
      </c>
    </row>
    <row r="86">
      <c r="A86" s="29" t="inlineStr">
        <is>
          <t>India Mumbai Ola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MIN(10,FLOOR(60*service_hr/J86,1))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Ola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MIN(10,FLOOR(60*service_hr/J87,1))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Ola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MIN(10,FLOOR(60*service_hr/J88,1))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Ola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MIN(10,FLOOR(60*service_hr/J89,1))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Ola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MIN(10,FLOOR(60*service_hr/J90,1))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10909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(11 sealed rows × anchor 120,000 pax/yr)</t>
        </is>
      </c>
    </row>
    <row r="91">
      <c r="A91" s="29" t="inlineStr">
        <is>
          <t>Ola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MIN(10,FLOOR(60*service_hr/J91,1))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10909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(11 sealed rows × anchor 120,000 pax/yr)</t>
        </is>
      </c>
    </row>
    <row r="92">
      <c r="A92" s="29" t="inlineStr">
        <is>
          <t>India Andaman Ola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MIN(10,FLOOR(60*service_hr/J92,1))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Ola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MIN(10,FLOOR(60*service_hr/J93,1))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Ola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MIN(10,FLOOR(60*service_hr/J94,1))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10909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(11 sealed rows × anchor 120,000 pax/yr)</t>
        </is>
      </c>
    </row>
    <row r="95">
      <c r="A95" s="29" t="inlineStr">
        <is>
          <t>India Mumbai Ola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MIN(10,FLOOR(60*service_hr/J95,1))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Ola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MIN(10,FLOOR(60*service_hr/J96,1))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Ola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MIN(10,FLOOR(60*service_hr/J97,1))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Ola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MIN(10,FLOOR(60*service_hr/J98,1))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Ola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MIN(10,FLOOR(60*service_hr/J99,1))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Ola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MIN(10,FLOOR(60*service_hr/J100,1))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Ola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MIN(10,FLOOR(60*service_hr/J101,1))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Ola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MIN(10,FLOOR(60*service_hr/J102,1))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Ola</t>
        </is>
      </c>
      <c r="B107" s="13" t="inlineStr">
        <is>
          <t>network_sum / ceil</t>
        </is>
      </c>
      <c r="C107" s="23">
        <f>SUMIFS(AN4:AN102,A4:A102,"India Andaman Ola",AP4:AP102,"=",AQ4:AQ102,"=",AR4:AR102,"=")</f>
        <v/>
      </c>
      <c r="D107" s="49">
        <f>IF(C107=0,0,CEILING(C107,1))</f>
        <v/>
      </c>
      <c r="E107" s="50">
        <f>SUMIFS(AO4:AO102,A4:A102,"India Andaman Ola",AP4:AP102,"=",AQ4:AQ102,"=",AR4:AR102,"=")</f>
        <v/>
      </c>
    </row>
    <row r="108">
      <c r="A108" s="25" t="inlineStr">
        <is>
          <t>India Kolkata Ola</t>
        </is>
      </c>
      <c r="B108" s="13" t="inlineStr">
        <is>
          <t>network_sum</t>
        </is>
      </c>
      <c r="C108" s="23">
        <f>SUMIFS(AN4:AN102,A4:A102,"India Kolkata Ola",AP4:AP102,"=",AQ4:AQ102,"=",AR4:AR102,"=")</f>
        <v/>
      </c>
      <c r="D108" s="49">
        <f>ROUND(C108,0)</f>
        <v/>
      </c>
      <c r="E108" s="50">
        <f>SUMIFS(AO4:AO102,A4:A102,"India Kolkata Ola",AP4:AP102,"=",AQ4:AQ102,"=",AR4:AR102,"=")</f>
        <v/>
      </c>
    </row>
    <row r="109">
      <c r="A109" s="25" t="inlineStr">
        <is>
          <t>Ola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SUMIFS(AL4:AL102,A4:A102,"Ola Mumbai",AP4:AP102,"=",AQ4:AQ102,"=",AR4:AR102,"=")</f>
        <v/>
      </c>
      <c r="E109" s="50">
        <f>SUMIFS(AM4:AM102,A4:A102,"Ola Mumbai",AP4:AP102,"=",AQ4:AQ102,"=",AR4:AR102,"=")</f>
        <v/>
      </c>
    </row>
    <row r="110">
      <c r="A110" s="25" t="inlineStr">
        <is>
          <t>India Goa Ola</t>
        </is>
      </c>
      <c r="B110" s="13" t="inlineStr">
        <is>
          <t>network_sum / ceil</t>
        </is>
      </c>
      <c r="C110" s="23">
        <f>SUMIFS(AN4:AN102,A4:A102,"India Goa Ola",AP4:AP102,"=",AQ4:AQ102,"=",AR4:AR102,"=")</f>
        <v/>
      </c>
      <c r="D110" s="49">
        <f>IF(C110=0,0,CEILING(C110,1))</f>
        <v/>
      </c>
      <c r="E110" s="50">
        <f>SUMIFS(AO4:AO102,A4:A102,"India Goa Ola",AP4:AP102,"=",AQ4:AQ102,"=",AR4:AR102,"=")</f>
        <v/>
      </c>
    </row>
    <row r="111">
      <c r="A111" s="25" t="inlineStr">
        <is>
          <t>India Kerala Ola</t>
        </is>
      </c>
      <c r="B111" s="13" t="inlineStr">
        <is>
          <t>network_sum / ceil</t>
        </is>
      </c>
      <c r="C111" s="23">
        <f>SUMIFS(AN4:AN102,A4:A102,"India Kerala Ola",AP4:AP102,"=",AQ4:AQ102,"=",AR4:AR102,"=")</f>
        <v/>
      </c>
      <c r="D111" s="49">
        <f>IF(C111=0,0,CEILING(C111,1))</f>
        <v/>
      </c>
      <c r="E111" s="50">
        <f>SUMIFS(AO4:AO102,A4:A102,"India Kerala Ola",AP4:AP102,"=",AQ4:AQ102,"=",AR4:AR102,"=")</f>
        <v/>
      </c>
    </row>
    <row r="112">
      <c r="A112" s="25" t="inlineStr">
        <is>
          <t>India Mumbai Ola</t>
        </is>
      </c>
      <c r="B112" s="13" t="inlineStr">
        <is>
          <t>network_sum / ceil</t>
        </is>
      </c>
      <c r="C112" s="23">
        <f>SUMIFS(AN4:AN102,A4:A102,"India Mumbai Ola",AP4:AP102,"=",AQ4:AQ102,"=",AR4:AR102,"=")</f>
        <v/>
      </c>
      <c r="D112" s="49">
        <f>IF(C112=0,0,CEILING(C112,1))</f>
        <v/>
      </c>
      <c r="E112" s="50">
        <f>SUMIFS(AO4:AO102,A4:A102,"India Mumbai Ola",AP4:AP102,"=",AQ4:AQ102,"=",AR4:AR102,"=")</f>
        <v/>
      </c>
    </row>
    <row r="113">
      <c r="A113" s="25" t="inlineStr">
        <is>
          <t>India Chennai Ola</t>
        </is>
      </c>
      <c r="B113" s="13" t="inlineStr">
        <is>
          <t>network_sum</t>
        </is>
      </c>
      <c r="C113" s="23">
        <f>SUMIFS(AN4:AN102,A4:A102,"India Chennai Ola",AP4:AP102,"=",AQ4:AQ102,"=",AR4:AR102,"=")</f>
        <v/>
      </c>
      <c r="D113" s="49">
        <f>ROUND(C113,0)</f>
        <v/>
      </c>
      <c r="E113" s="50">
        <f>SUMIFS(AO4:AO102,A4:A102,"India Chennai Ola",AP4:AP102,"=",AQ4:AQ102,"=",AR4:AR102,"=")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2026-06-21T05:37:01Z</dcterms:created>
  <dcterms:modified xsi:type="dcterms:W3CDTF">2026-06-21T05:37:01Z</dcterms:modified>
</cp:coreProperties>
</file>