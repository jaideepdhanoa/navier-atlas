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economics'!$D$114</definedName>
    <definedName name="som_floor_rev">'Corridor economics'!$E$114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Ola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1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Ola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India Andaman Ola</t>
        </is>
      </c>
      <c r="B4" s="29" t="inlineStr">
        <is>
          <t>India</t>
        </is>
      </c>
      <c r="C4" s="30" t="inlineStr">
        <is>
          <t>Middle Strait Jetty → Oralkatcha Jetty</t>
        </is>
      </c>
      <c r="D4" s="31" t="n">
        <v>0.7</v>
      </c>
      <c r="E4" s="26" t="n">
        <v>22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handoff/INDIA-ECONOMICS-SIDECAR-V0-2026-06-20.json (andaman)</t>
        </is>
      </c>
      <c r="AX4" s="44" t="inlineStr">
        <is>
          <t>handoff/INDIA-ECONOMICS-SIDECAR-V0-2026-06-20.json (andaman)</t>
        </is>
      </c>
    </row>
    <row r="5">
      <c r="A5" s="29" t="inlineStr">
        <is>
          <t>India Andaman Ola</t>
        </is>
      </c>
      <c r="B5" s="29" t="inlineStr">
        <is>
          <t>India</t>
        </is>
      </c>
      <c r="C5" s="30" t="inlineStr">
        <is>
          <t>Junglighat Jetty → Port Blair</t>
        </is>
      </c>
      <c r="D5" s="31" t="n">
        <v>0.8</v>
      </c>
      <c r="E5" s="26" t="n">
        <v>22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handoff/INDIA-ECONOMICS-SIDECAR-V0-2026-06-20.json (andaman)</t>
        </is>
      </c>
      <c r="AX5" s="44" t="inlineStr">
        <is>
          <t>handoff/INDIA-ECONOMICS-SIDECAR-V0-2026-06-20.json (andaman)</t>
        </is>
      </c>
    </row>
    <row r="6">
      <c r="A6" s="29" t="inlineStr">
        <is>
          <t>India Kolkata Ola</t>
        </is>
      </c>
      <c r="B6" s="29" t="inlineStr">
        <is>
          <t>India</t>
        </is>
      </c>
      <c r="C6" s="30" t="inlineStr">
        <is>
          <t>Howrah Ferry Ghat → Fairlie Place Ferry</t>
        </is>
      </c>
      <c r="D6" s="31" t="n">
        <v>0.8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1600000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 xml:space="preserve">[LB-255 PREMIUM RE-FARE: subsidized comparable $2.5 lifted to premium on-demand floor $18.0] </t>
        </is>
      </c>
      <c r="AX6" s="44" t="n"/>
    </row>
    <row r="7">
      <c r="A7" s="29" t="inlineStr">
        <is>
          <t>India Andaman Ola</t>
        </is>
      </c>
      <c r="B7" s="29" t="inlineStr">
        <is>
          <t>India</t>
        </is>
      </c>
      <c r="C7" s="30" t="inlineStr">
        <is>
          <t>Marina Park → Aberdeen Jetty</t>
        </is>
      </c>
      <c r="D7" s="31" t="n">
        <v>0.9</v>
      </c>
      <c r="E7" s="26" t="n">
        <v>22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handoff/INDIA-ECONOMICS-SIDECAR-V0-2026-06-20.json (andaman)</t>
        </is>
      </c>
      <c r="AX7" s="44" t="inlineStr">
        <is>
          <t>handoff/INDIA-ECONOMICS-SIDECAR-V0-2026-06-20.json (andaman)</t>
        </is>
      </c>
    </row>
    <row r="8">
      <c r="A8" s="29" t="inlineStr">
        <is>
          <t>India Andaman Ola</t>
        </is>
      </c>
      <c r="B8" s="29" t="inlineStr">
        <is>
          <t>India</t>
        </is>
      </c>
      <c r="C8" s="30" t="inlineStr">
        <is>
          <t>Marina View Point → Aberdeen Jetty</t>
        </is>
      </c>
      <c r="D8" s="31" t="n">
        <v>0.9</v>
      </c>
      <c r="E8" s="26" t="n">
        <v>22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handoff/INDIA-ECONOMICS-SIDECAR-V0-2026-06-20.json (andaman)</t>
        </is>
      </c>
      <c r="AX8" s="44" t="inlineStr">
        <is>
          <t>handoff/INDIA-ECONOMICS-SIDECAR-V0-2026-06-20.json (andaman)</t>
        </is>
      </c>
    </row>
    <row r="9">
      <c r="A9" s="29" t="inlineStr">
        <is>
          <t>India Kolkata Ola</t>
        </is>
      </c>
      <c r="B9" s="29" t="inlineStr">
        <is>
          <t>India</t>
        </is>
      </c>
      <c r="C9" s="30" t="inlineStr">
        <is>
          <t>Howrah Ferry Ghat → Millennium Park Jetty</t>
        </is>
      </c>
      <c r="D9" s="31" t="n">
        <v>0.9</v>
      </c>
      <c r="E9" s="26" t="n">
        <v>18</v>
      </c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1600000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 xml:space="preserve">[LB-255 PREMIUM RE-FARE: subsidized comparable $2.5 lifted to premium on-demand floor $18.0] </t>
        </is>
      </c>
      <c r="AX9" s="44" t="n"/>
    </row>
    <row r="10">
      <c r="A10" s="29" t="inlineStr">
        <is>
          <t>India Andaman Ola</t>
        </is>
      </c>
      <c r="B10" s="29" t="inlineStr">
        <is>
          <t>India</t>
        </is>
      </c>
      <c r="C10" s="30" t="inlineStr">
        <is>
          <t>APARUPA SANDS MARINA → Office Of Assistant Engineer Civil, Andaman Lakshdweep Harbour Work Havelock</t>
        </is>
      </c>
      <c r="D10" s="31" t="n">
        <v>1.2</v>
      </c>
      <c r="E10" s="26" t="n">
        <v>22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handoff/INDIA-ECONOMICS-SIDECAR-V0-2026-06-20.json (andaman)</t>
        </is>
      </c>
      <c r="AX10" s="44" t="inlineStr">
        <is>
          <t>handoff/INDIA-ECONOMICS-SIDECAR-V0-2026-06-20.json (andaman)</t>
        </is>
      </c>
    </row>
    <row r="11">
      <c r="A11" s="29" t="inlineStr">
        <is>
          <t>India Kolkata Ola</t>
        </is>
      </c>
      <c r="B11" s="29" t="inlineStr">
        <is>
          <t>India</t>
        </is>
      </c>
      <c r="C11" s="30" t="inlineStr">
        <is>
          <t>Dakshineswar Ferry Ghat → Belur Math Ferry Ghat</t>
        </is>
      </c>
      <c r="D11" s="31" t="n">
        <v>1.3</v>
      </c>
      <c r="E11" s="26" t="n">
        <v>18</v>
      </c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1600000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 xml:space="preserve">[LB-255 PREMIUM RE-FARE: subsidized comparable $2.5 lifted to premium on-demand floor $18.0] </t>
        </is>
      </c>
      <c r="AX11" s="44" t="n"/>
    </row>
    <row r="12">
      <c r="A12" s="29" t="inlineStr">
        <is>
          <t>India Andaman Ola</t>
        </is>
      </c>
      <c r="B12" s="29" t="inlineStr">
        <is>
          <t>India</t>
        </is>
      </c>
      <c r="C12" s="30" t="inlineStr">
        <is>
          <t>Marina Park → Marina View Point</t>
        </is>
      </c>
      <c r="D12" s="31" t="n">
        <v>1.4</v>
      </c>
      <c r="E12" s="26" t="n">
        <v>22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5000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handoff/INDIA-ECONOMICS-SIDECAR-V0-2026-06-20.json (andaman)</t>
        </is>
      </c>
      <c r="AX12" s="44" t="inlineStr">
        <is>
          <t>handoff/INDIA-ECONOMICS-SIDECAR-V0-2026-06-20.json (andaman)</t>
        </is>
      </c>
    </row>
    <row r="13">
      <c r="A13" s="29" t="inlineStr">
        <is>
          <t>India Andaman Ola</t>
        </is>
      </c>
      <c r="B13" s="29" t="inlineStr">
        <is>
          <t>India</t>
        </is>
      </c>
      <c r="C13" s="30" t="inlineStr">
        <is>
          <t>Game Fishing In Andaman | Bite Me Charter | Best Sport fishing in Andaman Islands → Port Blair</t>
        </is>
      </c>
      <c r="D13" s="31" t="n">
        <v>1.5</v>
      </c>
      <c r="E13" s="26" t="n">
        <v>22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5000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handoff/INDIA-ECONOMICS-SIDECAR-V0-2026-06-20.json (andaman)</t>
        </is>
      </c>
      <c r="AX13" s="44" t="inlineStr">
        <is>
          <t>handoff/INDIA-ECONOMICS-SIDECAR-V0-2026-06-20.json (andaman)</t>
        </is>
      </c>
    </row>
    <row r="14">
      <c r="A14" s="29" t="inlineStr">
        <is>
          <t>India Kolkata Ola</t>
        </is>
      </c>
      <c r="B14" s="29" t="inlineStr">
        <is>
          <t>India</t>
        </is>
      </c>
      <c r="C14" s="30" t="inlineStr">
        <is>
          <t>Fairlie Place Ferry → Bagbazar Ghat</t>
        </is>
      </c>
      <c r="D14" s="31" t="n">
        <v>1.7</v>
      </c>
      <c r="E14" s="26" t="n">
        <v>18</v>
      </c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1600000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 xml:space="preserve">[LB-255 PREMIUM RE-FARE: subsidized comparable $2.5 lifted to premium on-demand floor $18.0] </t>
        </is>
      </c>
      <c r="AX14" s="44" t="n"/>
    </row>
    <row r="15">
      <c r="A15" s="29" t="inlineStr">
        <is>
          <t>India Andaman Ola</t>
        </is>
      </c>
      <c r="B15" s="29" t="inlineStr">
        <is>
          <t>India</t>
        </is>
      </c>
      <c r="C15" s="30" t="inlineStr">
        <is>
          <t>Fisheries Jetty → BookMyBoat Andaman Ferry Booking</t>
        </is>
      </c>
      <c r="D15" s="31" t="n">
        <v>1.8</v>
      </c>
      <c r="E15" s="26" t="n">
        <v>22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handoff/INDIA-ECONOMICS-SIDECAR-V0-2026-06-20.json (andaman)</t>
        </is>
      </c>
      <c r="AX15" s="44" t="inlineStr">
        <is>
          <t>handoff/INDIA-ECONOMICS-SIDECAR-V0-2026-06-20.json (andaman)</t>
        </is>
      </c>
    </row>
    <row r="16">
      <c r="A16" s="29" t="inlineStr">
        <is>
          <t>India Andaman Ola</t>
        </is>
      </c>
      <c r="B16" s="29" t="inlineStr">
        <is>
          <t>India</t>
        </is>
      </c>
      <c r="C16" s="30" t="inlineStr">
        <is>
          <t>Fisheries Jetty → Gamefishing Asia</t>
        </is>
      </c>
      <c r="D16" s="31" t="n">
        <v>2</v>
      </c>
      <c r="E16" s="26" t="n">
        <v>22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handoff/INDIA-ECONOMICS-SIDECAR-V0-2026-06-20.json (andaman)</t>
        </is>
      </c>
      <c r="AX16" s="44" t="inlineStr">
        <is>
          <t>handoff/INDIA-ECONOMICS-SIDECAR-V0-2026-06-20.json (andaman)</t>
        </is>
      </c>
    </row>
    <row r="17">
      <c r="A17" s="29" t="inlineStr">
        <is>
          <t>India Andaman Ola</t>
        </is>
      </c>
      <c r="B17" s="29" t="inlineStr">
        <is>
          <t>India</t>
        </is>
      </c>
      <c r="C17" s="30" t="inlineStr">
        <is>
          <t>Panighat Ferry Jetty → Chatham Harbour</t>
        </is>
      </c>
      <c r="D17" s="31" t="n">
        <v>2</v>
      </c>
      <c r="E17" s="26" t="n">
        <v>22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5000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handoff/INDIA-ECONOMICS-SIDECAR-V0-2026-06-20.json (andaman)</t>
        </is>
      </c>
      <c r="AX17" s="44" t="inlineStr">
        <is>
          <t>handoff/INDIA-ECONOMICS-SIDECAR-V0-2026-06-20.json (andaman)</t>
        </is>
      </c>
    </row>
    <row r="18">
      <c r="A18" s="29" t="inlineStr">
        <is>
          <t>Ola Mumbai</t>
        </is>
      </c>
      <c r="B18" s="29" t="inlineStr">
        <is>
          <t>India</t>
        </is>
      </c>
      <c r="C18" s="30" t="inlineStr">
        <is>
          <t>Gateway of India → Mumbai Harbour</t>
        </is>
      </c>
      <c r="D18" s="31" t="n">
        <v>2.1</v>
      </c>
      <c r="E18" s="26" t="n"/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10909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inlineStr">
        <is>
          <t>experience_upside</t>
        </is>
      </c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8" s="44" t="inlineStr">
        <is>
          <t>PR #58 Mumbai spine route-count split (11 sealed rows × anchor 120,000 pax/yr)</t>
        </is>
      </c>
    </row>
    <row r="19">
      <c r="A19" s="29" t="inlineStr">
        <is>
          <t>India Goa Ola</t>
        </is>
      </c>
      <c r="B19" s="29" t="inlineStr">
        <is>
          <t>India</t>
        </is>
      </c>
      <c r="C19" s="30" t="inlineStr">
        <is>
          <t>Panaji Jetty → Goa</t>
        </is>
      </c>
      <c r="D19" s="31" t="n">
        <v>2.1</v>
      </c>
      <c r="E19" s="26" t="n">
        <v>8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11250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handoff/INDIA-ECONOMICS-SIDECAR-V0-2026-06-20.json (goa)</t>
        </is>
      </c>
      <c r="AX19" s="44" t="inlineStr">
        <is>
          <t>handoff/INDIA-ECONOMICS-SIDECAR-V0-2026-06-20.json (goa)</t>
        </is>
      </c>
    </row>
    <row r="20">
      <c r="A20" s="29" t="inlineStr">
        <is>
          <t>India Kerala Ola</t>
        </is>
      </c>
      <c r="B20" s="29" t="inlineStr">
        <is>
          <t>India</t>
        </is>
      </c>
      <c r="C20" s="30" t="inlineStr">
        <is>
          <t>Marina One, Kochi → Harbour Roof Garden</t>
        </is>
      </c>
      <c r="D20" s="31" t="n">
        <v>2.1</v>
      </c>
      <c r="E20" s="26" t="n">
        <v>18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29166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[LB-255 PREMIUM RE-FARE: subsidized comparable $3.5 lifted to premium on-demand floor $18.0] handoff/INDIA-ECONOMICS-SIDECAR-V0-2026-06-20.json (kerala)</t>
        </is>
      </c>
      <c r="AX20" s="44" t="inlineStr">
        <is>
          <t>handoff/INDIA-ECONOMICS-SIDECAR-V0-2026-06-20.json (kerala)</t>
        </is>
      </c>
    </row>
    <row r="21">
      <c r="A21" s="29" t="inlineStr">
        <is>
          <t>India Kerala Ola</t>
        </is>
      </c>
      <c r="B21" s="29" t="inlineStr">
        <is>
          <t>India</t>
        </is>
      </c>
      <c r="C21" s="30" t="inlineStr">
        <is>
          <t>Water Wolf Speed Boat - Boating Kadamakudy → Ferry Terminal</t>
        </is>
      </c>
      <c r="D21" s="31" t="n">
        <v>2.1</v>
      </c>
      <c r="E21" s="26" t="n">
        <v>18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29166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[LB-255 PREMIUM RE-FARE: subsidized comparable $3.5 lifted to premium on-demand floor $18.0] handoff/INDIA-ECONOMICS-SIDECAR-V0-2026-06-20.json (kerala)</t>
        </is>
      </c>
      <c r="AX21" s="44" t="inlineStr">
        <is>
          <t>handoff/INDIA-ECONOMICS-SIDECAR-V0-2026-06-20.json (kerala)</t>
        </is>
      </c>
    </row>
    <row r="22">
      <c r="A22" s="29" t="inlineStr">
        <is>
          <t>India Kerala Ola</t>
        </is>
      </c>
      <c r="B22" s="29" t="inlineStr">
        <is>
          <t>India</t>
        </is>
      </c>
      <c r="C22" s="30" t="inlineStr">
        <is>
          <t>Willingdon Island → Kerala Backwaters &amp; Kochi</t>
        </is>
      </c>
      <c r="D22" s="31" t="n">
        <v>2.1</v>
      </c>
      <c r="E22" s="26" t="n">
        <v>18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29166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[LB-255 PREMIUM RE-FARE: subsidized comparable $3.5 lifted to premium on-demand floor $18.0] handoff/INDIA-ECONOMICS-SIDECAR-V0-2026-06-20.json (kerala)</t>
        </is>
      </c>
      <c r="AX22" s="44" t="inlineStr">
        <is>
          <t>handoff/INDIA-ECONOMICS-SIDECAR-V0-2026-06-20.json (kerala)</t>
        </is>
      </c>
    </row>
    <row r="23">
      <c r="A23" s="29" t="inlineStr">
        <is>
          <t>India Kerala Ola</t>
        </is>
      </c>
      <c r="B23" s="29" t="inlineStr">
        <is>
          <t>India</t>
        </is>
      </c>
      <c r="C23" s="30" t="inlineStr">
        <is>
          <t>Kochi International Marina KTDC → Martins Harbour</t>
        </is>
      </c>
      <c r="D23" s="31" t="n">
        <v>2.1</v>
      </c>
      <c r="E23" s="26" t="n">
        <v>18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29166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[LB-255 PREMIUM RE-FARE: subsidized comparable $3.5 lifted to premium on-demand floor $18.0] handoff/INDIA-ECONOMICS-SIDECAR-V0-2026-06-20.json (kerala)</t>
        </is>
      </c>
      <c r="AX23" s="44" t="inlineStr">
        <is>
          <t>handoff/INDIA-ECONOMICS-SIDECAR-V0-2026-06-20.json (kerala)</t>
        </is>
      </c>
    </row>
    <row r="24">
      <c r="A24" s="29" t="inlineStr">
        <is>
          <t>India Andaman Ola</t>
        </is>
      </c>
      <c r="B24" s="29" t="inlineStr">
        <is>
          <t>India</t>
        </is>
      </c>
      <c r="C24" s="30" t="inlineStr">
        <is>
          <t>Game Fishing In Andaman | Bite Me Charter | Best Sport fishing in Andaman Islands → Junglighat Jetty</t>
        </is>
      </c>
      <c r="D24" s="31" t="n">
        <v>2.1</v>
      </c>
      <c r="E24" s="26" t="n">
        <v>22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5000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handoff/INDIA-ECONOMICS-SIDECAR-V0-2026-06-20.json (andaman)</t>
        </is>
      </c>
      <c r="AX24" s="44" t="inlineStr">
        <is>
          <t>handoff/INDIA-ECONOMICS-SIDECAR-V0-2026-06-20.json (andaman)</t>
        </is>
      </c>
    </row>
    <row r="25">
      <c r="A25" s="29" t="inlineStr">
        <is>
          <t>India Andaman Ola</t>
        </is>
      </c>
      <c r="B25" s="29" t="inlineStr">
        <is>
          <t>India</t>
        </is>
      </c>
      <c r="C25" s="30" t="inlineStr">
        <is>
          <t>Andaman → Game Fishing In Andaman | Bite Me Charter | Best Sport fishing in Andaman Islands</t>
        </is>
      </c>
      <c r="D25" s="31" t="n">
        <v>2.1</v>
      </c>
      <c r="E25" s="26" t="n">
        <v>22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5000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handoff/INDIA-ECONOMICS-SIDECAR-V0-2026-06-20.json (andaman)</t>
        </is>
      </c>
      <c r="AX25" s="44" t="inlineStr">
        <is>
          <t>handoff/INDIA-ECONOMICS-SIDECAR-V0-2026-06-20.json (andaman)</t>
        </is>
      </c>
    </row>
    <row r="26">
      <c r="A26" s="29" t="inlineStr">
        <is>
          <t>India Kerala Ola</t>
        </is>
      </c>
      <c r="B26" s="29" t="inlineStr">
        <is>
          <t>India</t>
        </is>
      </c>
      <c r="C26" s="30" t="inlineStr">
        <is>
          <t>Willingdon Island → Kerala Backwaters &amp; Kochi</t>
        </is>
      </c>
      <c r="D26" s="31" t="n">
        <v>2.2</v>
      </c>
      <c r="E26" s="26" t="n">
        <v>18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29166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[LB-255 PREMIUM RE-FARE: subsidized comparable $3.5 lifted to premium on-demand floor $18.0] handoff/INDIA-ECONOMICS-SIDECAR-V0-2026-06-20.json (kerala)</t>
        </is>
      </c>
      <c r="AX26" s="44" t="inlineStr">
        <is>
          <t>handoff/INDIA-ECONOMICS-SIDECAR-V0-2026-06-20.json (kerala)</t>
        </is>
      </c>
    </row>
    <row r="27">
      <c r="A27" s="29" t="inlineStr">
        <is>
          <t>India Andaman Ola</t>
        </is>
      </c>
      <c r="B27" s="29" t="inlineStr">
        <is>
          <t>India</t>
        </is>
      </c>
      <c r="C27" s="30" t="inlineStr">
        <is>
          <t>Andaman → Marina Park</t>
        </is>
      </c>
      <c r="D27" s="31" t="n">
        <v>2.2</v>
      </c>
      <c r="E27" s="26" t="n">
        <v>22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5000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handoff/INDIA-ECONOMICS-SIDECAR-V0-2026-06-20.json (andaman)</t>
        </is>
      </c>
      <c r="AX27" s="44" t="inlineStr">
        <is>
          <t>handoff/INDIA-ECONOMICS-SIDECAR-V0-2026-06-20.json (andaman)</t>
        </is>
      </c>
    </row>
    <row r="28">
      <c r="A28" s="29" t="inlineStr">
        <is>
          <t>India Andaman Ola</t>
        </is>
      </c>
      <c r="B28" s="29" t="inlineStr">
        <is>
          <t>India</t>
        </is>
      </c>
      <c r="C28" s="30" t="inlineStr">
        <is>
          <t>Panighat Ferry Jetty → Chatham Jetty</t>
        </is>
      </c>
      <c r="D28" s="31" t="n">
        <v>2.2</v>
      </c>
      <c r="E28" s="26" t="n">
        <v>22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handoff/INDIA-ECONOMICS-SIDECAR-V0-2026-06-20.json (andaman)</t>
        </is>
      </c>
      <c r="AX28" s="44" t="inlineStr">
        <is>
          <t>handoff/INDIA-ECONOMICS-SIDECAR-V0-2026-06-20.json (andaman)</t>
        </is>
      </c>
    </row>
    <row r="29">
      <c r="A29" s="29" t="inlineStr">
        <is>
          <t>India Goa Ola</t>
        </is>
      </c>
      <c r="B29" s="29" t="inlineStr">
        <is>
          <t>India</t>
        </is>
      </c>
      <c r="C29" s="30" t="inlineStr">
        <is>
          <t>Chorao Ferry Terminal → Piedade Ferry Terminal</t>
        </is>
      </c>
      <c r="D29" s="31" t="n">
        <v>2.4</v>
      </c>
      <c r="E29" s="26" t="n">
        <v>8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11250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handoff/INDIA-ECONOMICS-SIDECAR-V0-2026-06-20.json (goa)</t>
        </is>
      </c>
      <c r="AX29" s="44" t="inlineStr">
        <is>
          <t>handoff/INDIA-ECONOMICS-SIDECAR-V0-2026-06-20.json (goa)</t>
        </is>
      </c>
    </row>
    <row r="30">
      <c r="A30" s="29" t="inlineStr">
        <is>
          <t>India Andaman Ola</t>
        </is>
      </c>
      <c r="B30" s="29" t="inlineStr">
        <is>
          <t>India</t>
        </is>
      </c>
      <c r="C30" s="30" t="inlineStr">
        <is>
          <t>Chatham Jetty → Chatham Harbour</t>
        </is>
      </c>
      <c r="D30" s="31" t="n">
        <v>2.4</v>
      </c>
      <c r="E30" s="26" t="n">
        <v>22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5000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handoff/INDIA-ECONOMICS-SIDECAR-V0-2026-06-20.json (andaman)</t>
        </is>
      </c>
      <c r="AX30" s="44" t="inlineStr">
        <is>
          <t>handoff/INDIA-ECONOMICS-SIDECAR-V0-2026-06-20.json (andaman)</t>
        </is>
      </c>
    </row>
    <row r="31">
      <c r="A31" s="29" t="inlineStr">
        <is>
          <t>India Andaman Ola</t>
        </is>
      </c>
      <c r="B31" s="29" t="inlineStr">
        <is>
          <t>India</t>
        </is>
      </c>
      <c r="C31" s="30" t="inlineStr">
        <is>
          <t>Andaman → Fisheries Jetty</t>
        </is>
      </c>
      <c r="D31" s="31" t="n">
        <v>2.4</v>
      </c>
      <c r="E31" s="26" t="n">
        <v>22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5000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handoff/INDIA-ECONOMICS-SIDECAR-V0-2026-06-20.json (andaman)</t>
        </is>
      </c>
      <c r="AX31" s="44" t="inlineStr">
        <is>
          <t>handoff/INDIA-ECONOMICS-SIDECAR-V0-2026-06-20.json (andaman)</t>
        </is>
      </c>
    </row>
    <row r="32">
      <c r="A32" s="29" t="inlineStr">
        <is>
          <t>India Mumbai Ola</t>
        </is>
      </c>
      <c r="B32" s="29" t="inlineStr">
        <is>
          <t>India</t>
        </is>
      </c>
      <c r="C32" s="30" t="inlineStr">
        <is>
          <t>Bhaucha Dhakka → Cordelia Cruises</t>
        </is>
      </c>
      <c r="D32" s="31" t="n">
        <v>2.5</v>
      </c>
      <c r="E32" s="26" t="n">
        <v>18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[LB-255 PREMIUM RE-FARE: subsidized comparable $5.5 lifted to premium on-demand floor $18.0] handoff/INDIA-ECONOMICS-SIDECAR-V0-2026-06-20.json (mumbai)</t>
        </is>
      </c>
      <c r="AX32" s="44" t="inlineStr">
        <is>
          <t>handoff/INDIA-ECONOMICS-SIDECAR-V0-2026-06-20.json (mumbai)</t>
        </is>
      </c>
    </row>
    <row r="33">
      <c r="A33" s="29" t="inlineStr">
        <is>
          <t>India Mumbai Ola</t>
        </is>
      </c>
      <c r="B33" s="29" t="inlineStr">
        <is>
          <t>India</t>
        </is>
      </c>
      <c r="C33" s="30" t="inlineStr">
        <is>
          <t>Bhaucha Dhakka Ferry Boat Service → Cordelia Cruises</t>
        </is>
      </c>
      <c r="D33" s="31" t="n">
        <v>2.5</v>
      </c>
      <c r="E33" s="26" t="n">
        <v>18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[LB-255 PREMIUM RE-FARE: subsidized comparable $5.5 lifted to premium on-demand floor $18.0] handoff/INDIA-ECONOMICS-SIDECAR-V0-2026-06-20.json (mumbai)</t>
        </is>
      </c>
      <c r="AX33" s="44" t="inlineStr">
        <is>
          <t>handoff/INDIA-ECONOMICS-SIDECAR-V0-2026-06-20.json (mumbai)</t>
        </is>
      </c>
    </row>
    <row r="34">
      <c r="A34" s="29" t="inlineStr">
        <is>
          <t>India Andaman Ola</t>
        </is>
      </c>
      <c r="B34" s="29" t="inlineStr">
        <is>
          <t>India</t>
        </is>
      </c>
      <c r="C34" s="30" t="inlineStr">
        <is>
          <t>Haddo Jetty → Chatham Harbour</t>
        </is>
      </c>
      <c r="D34" s="31" t="n">
        <v>2.5</v>
      </c>
      <c r="E34" s="26" t="n">
        <v>22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handoff/INDIA-ECONOMICS-SIDECAR-V0-2026-06-20.json (andaman)</t>
        </is>
      </c>
      <c r="AX34" s="44" t="inlineStr">
        <is>
          <t>handoff/INDIA-ECONOMICS-SIDECAR-V0-2026-06-20.json (andaman)</t>
        </is>
      </c>
    </row>
    <row r="35">
      <c r="A35" s="29" t="inlineStr">
        <is>
          <t>India Andaman Ola</t>
        </is>
      </c>
      <c r="B35" s="29" t="inlineStr">
        <is>
          <t>India</t>
        </is>
      </c>
      <c r="C35" s="30" t="inlineStr">
        <is>
          <t>Gamefishing Asia → Haddo Jetty</t>
        </is>
      </c>
      <c r="D35" s="31" t="n">
        <v>2.5</v>
      </c>
      <c r="E35" s="26" t="n">
        <v>22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5000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handoff/INDIA-ECONOMICS-SIDECAR-V0-2026-06-20.json (andaman)</t>
        </is>
      </c>
      <c r="AX35" s="44" t="inlineStr">
        <is>
          <t>handoff/INDIA-ECONOMICS-SIDECAR-V0-2026-06-20.json (andaman)</t>
        </is>
      </c>
    </row>
    <row r="36">
      <c r="A36" s="29" t="inlineStr">
        <is>
          <t>India Mumbai Ola</t>
        </is>
      </c>
      <c r="B36" s="29" t="inlineStr">
        <is>
          <t>India</t>
        </is>
      </c>
      <c r="C36" s="30" t="inlineStr">
        <is>
          <t>Bombay Harbour → Mora</t>
        </is>
      </c>
      <c r="D36" s="31" t="n">
        <v>2.6</v>
      </c>
      <c r="E36" s="26" t="n">
        <v>18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5000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[LB-255 PREMIUM RE-FARE: subsidized comparable $5.5 lifted to premium on-demand floor $18.0] handoff/INDIA-ECONOMICS-SIDECAR-V0-2026-06-20.json (mumbai)</t>
        </is>
      </c>
      <c r="AX36" s="44" t="inlineStr">
        <is>
          <t>handoff/INDIA-ECONOMICS-SIDECAR-V0-2026-06-20.json (mumbai)</t>
        </is>
      </c>
    </row>
    <row r="37">
      <c r="A37" s="29" t="inlineStr">
        <is>
          <t>India Mumbai Ola</t>
        </is>
      </c>
      <c r="B37" s="29" t="inlineStr">
        <is>
          <t>India</t>
        </is>
      </c>
      <c r="C37" s="30" t="inlineStr">
        <is>
          <t>Battle Harbour Design Studio → Cordelia Cruises</t>
        </is>
      </c>
      <c r="D37" s="31" t="n">
        <v>2.6</v>
      </c>
      <c r="E37" s="26" t="n">
        <v>18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5000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[LB-255 PREMIUM RE-FARE: subsidized comparable $5.5 lifted to premium on-demand floor $18.0] handoff/INDIA-ECONOMICS-SIDECAR-V0-2026-06-20.json (mumbai)</t>
        </is>
      </c>
      <c r="AX37" s="44" t="inlineStr">
        <is>
          <t>handoff/INDIA-ECONOMICS-SIDECAR-V0-2026-06-20.json (mumbai)</t>
        </is>
      </c>
    </row>
    <row r="38">
      <c r="A38" s="29" t="inlineStr">
        <is>
          <t>India Goa Ola</t>
        </is>
      </c>
      <c r="B38" s="29" t="inlineStr">
        <is>
          <t>India</t>
        </is>
      </c>
      <c r="C38" s="30" t="inlineStr">
        <is>
          <t>Panaji Jetty → Goa</t>
        </is>
      </c>
      <c r="D38" s="31" t="n">
        <v>2.6</v>
      </c>
      <c r="E38" s="26" t="n">
        <v>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11250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handoff/INDIA-ECONOMICS-SIDECAR-V0-2026-06-20.json (goa)</t>
        </is>
      </c>
      <c r="AX38" s="44" t="inlineStr">
        <is>
          <t>handoff/INDIA-ECONOMICS-SIDECAR-V0-2026-06-20.json (goa)</t>
        </is>
      </c>
    </row>
    <row r="39">
      <c r="A39" s="29" t="inlineStr">
        <is>
          <t>India Kerala Ola</t>
        </is>
      </c>
      <c r="B39" s="29" t="inlineStr">
        <is>
          <t>India</t>
        </is>
      </c>
      <c r="C39" s="30" t="inlineStr">
        <is>
          <t>Palette MG Road Ernakulam formerly Harbour View Residency → BLUEMARINE Backwaters</t>
        </is>
      </c>
      <c r="D39" s="31" t="n">
        <v>2.6</v>
      </c>
      <c r="E39" s="26" t="n">
        <v>18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29166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[LB-255 PREMIUM RE-FARE: subsidized comparable $3.5 lifted to premium on-demand floor $18.0] handoff/INDIA-ECONOMICS-SIDECAR-V0-2026-06-20.json (kerala)</t>
        </is>
      </c>
      <c r="AX39" s="44" t="inlineStr">
        <is>
          <t>handoff/INDIA-ECONOMICS-SIDECAR-V0-2026-06-20.json (kerala)</t>
        </is>
      </c>
    </row>
    <row r="40">
      <c r="A40" s="29" t="inlineStr">
        <is>
          <t>India Andaman Ola</t>
        </is>
      </c>
      <c r="B40" s="29" t="inlineStr">
        <is>
          <t>India</t>
        </is>
      </c>
      <c r="C40" s="30" t="inlineStr">
        <is>
          <t>Haddo Jetty → Chatham Jetty</t>
        </is>
      </c>
      <c r="D40" s="31" t="n">
        <v>2.6</v>
      </c>
      <c r="E40" s="26" t="n">
        <v>22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5000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handoff/INDIA-ECONOMICS-SIDECAR-V0-2026-06-20.json (andaman)</t>
        </is>
      </c>
      <c r="AX40" s="44" t="inlineStr">
        <is>
          <t>handoff/INDIA-ECONOMICS-SIDECAR-V0-2026-06-20.json (andaman)</t>
        </is>
      </c>
    </row>
    <row r="41">
      <c r="A41" s="29" t="inlineStr">
        <is>
          <t>India Mumbai Ola</t>
        </is>
      </c>
      <c r="B41" s="29" t="inlineStr">
        <is>
          <t>India</t>
        </is>
      </c>
      <c r="C41" s="30" t="inlineStr">
        <is>
          <t>Bhaucha Dhakka Ferry Boat Service → Bombay Harbour</t>
        </is>
      </c>
      <c r="D41" s="31" t="n">
        <v>2.7</v>
      </c>
      <c r="E41" s="26" t="n">
        <v>18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5000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[LB-255 PREMIUM RE-FARE: subsidized comparable $5.5 lifted to premium on-demand floor $18.0] handoff/INDIA-ECONOMICS-SIDECAR-V0-2026-06-20.json (mumbai)</t>
        </is>
      </c>
      <c r="AX41" s="44" t="inlineStr">
        <is>
          <t>handoff/INDIA-ECONOMICS-SIDECAR-V0-2026-06-20.json (mumbai)</t>
        </is>
      </c>
    </row>
    <row r="42">
      <c r="A42" s="29" t="inlineStr">
        <is>
          <t>India Goa Ola</t>
        </is>
      </c>
      <c r="B42" s="29" t="inlineStr">
        <is>
          <t>India</t>
        </is>
      </c>
      <c r="C42" s="30" t="inlineStr">
        <is>
          <t>Chorao Ferry Terminal → Pomburpa Ferry Terminal</t>
        </is>
      </c>
      <c r="D42" s="31" t="n">
        <v>2.7</v>
      </c>
      <c r="E42" s="26" t="n">
        <v>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11250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handoff/INDIA-ECONOMICS-SIDECAR-V0-2026-06-20.json (goa)</t>
        </is>
      </c>
      <c r="AX42" s="44" t="inlineStr">
        <is>
          <t>handoff/INDIA-ECONOMICS-SIDECAR-V0-2026-06-20.json (goa)</t>
        </is>
      </c>
    </row>
    <row r="43">
      <c r="A43" s="29" t="inlineStr">
        <is>
          <t>India Goa Ola</t>
        </is>
      </c>
      <c r="B43" s="29" t="inlineStr">
        <is>
          <t>India</t>
        </is>
      </c>
      <c r="C43" s="30" t="inlineStr">
        <is>
          <t>Goveia Marina → Camurlim Ferry Terminal</t>
        </is>
      </c>
      <c r="D43" s="31" t="n">
        <v>2.7</v>
      </c>
      <c r="E43" s="26" t="n">
        <v>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11250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handoff/INDIA-ECONOMICS-SIDECAR-V0-2026-06-20.json (goa)</t>
        </is>
      </c>
      <c r="AX43" s="44" t="inlineStr">
        <is>
          <t>handoff/INDIA-ECONOMICS-SIDECAR-V0-2026-06-20.json (goa)</t>
        </is>
      </c>
    </row>
    <row r="44">
      <c r="A44" s="29" t="inlineStr">
        <is>
          <t>India Kerala Ola</t>
        </is>
      </c>
      <c r="B44" s="29" t="inlineStr">
        <is>
          <t>India</t>
        </is>
      </c>
      <c r="C44" s="30" t="inlineStr">
        <is>
          <t>BLUEMARINE Backwaters → Sailing Club House</t>
        </is>
      </c>
      <c r="D44" s="31" t="n">
        <v>2.7</v>
      </c>
      <c r="E44" s="26" t="n">
        <v>18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29166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[LB-255 PREMIUM RE-FARE: subsidized comparable $3.5 lifted to premium on-demand floor $18.0] handoff/INDIA-ECONOMICS-SIDECAR-V0-2026-06-20.json (kerala)</t>
        </is>
      </c>
      <c r="AX44" s="44" t="inlineStr">
        <is>
          <t>handoff/INDIA-ECONOMICS-SIDECAR-V0-2026-06-20.json (kerala)</t>
        </is>
      </c>
    </row>
    <row r="45">
      <c r="A45" s="29" t="inlineStr">
        <is>
          <t>India Andaman Ola</t>
        </is>
      </c>
      <c r="B45" s="29" t="inlineStr">
        <is>
          <t>India</t>
        </is>
      </c>
      <c r="C45" s="30" t="inlineStr">
        <is>
          <t>Gamefishing Asia → Chatham Jetty</t>
        </is>
      </c>
      <c r="D45" s="31" t="n">
        <v>2.7</v>
      </c>
      <c r="E45" s="26" t="n">
        <v>22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5000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handoff/INDIA-ECONOMICS-SIDECAR-V0-2026-06-20.json (andaman)</t>
        </is>
      </c>
      <c r="AX45" s="44" t="inlineStr">
        <is>
          <t>handoff/INDIA-ECONOMICS-SIDECAR-V0-2026-06-20.json (andaman)</t>
        </is>
      </c>
    </row>
    <row r="46">
      <c r="A46" s="29" t="inlineStr">
        <is>
          <t>India Mumbai Ola</t>
        </is>
      </c>
      <c r="B46" s="29" t="inlineStr">
        <is>
          <t>India</t>
        </is>
      </c>
      <c r="C46" s="30" t="inlineStr">
        <is>
          <t>Bhaucha Dhakka → Bombay Harbour</t>
        </is>
      </c>
      <c r="D46" s="31" t="n">
        <v>2.8</v>
      </c>
      <c r="E46" s="26" t="n">
        <v>18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5000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[LB-255 PREMIUM RE-FARE: subsidized comparable $5.5 lifted to premium on-demand floor $18.0] handoff/INDIA-ECONOMICS-SIDECAR-V0-2026-06-20.json (mumbai)</t>
        </is>
      </c>
      <c r="AX46" s="44" t="inlineStr">
        <is>
          <t>handoff/INDIA-ECONOMICS-SIDECAR-V0-2026-06-20.json (mumbai)</t>
        </is>
      </c>
    </row>
    <row r="47">
      <c r="A47" s="29" t="inlineStr">
        <is>
          <t>India Goa Ola</t>
        </is>
      </c>
      <c r="B47" s="29" t="inlineStr">
        <is>
          <t>India</t>
        </is>
      </c>
      <c r="C47" s="30" t="inlineStr">
        <is>
          <t>Goveia Marina → Tuem Ferry Terminal</t>
        </is>
      </c>
      <c r="D47" s="31" t="n">
        <v>2.8</v>
      </c>
      <c r="E47" s="26" t="n">
        <v>8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11250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handoff/INDIA-ECONOMICS-SIDECAR-V0-2026-06-20.json (goa)</t>
        </is>
      </c>
      <c r="AX47" s="44" t="inlineStr">
        <is>
          <t>handoff/INDIA-ECONOMICS-SIDECAR-V0-2026-06-20.json (goa)</t>
        </is>
      </c>
    </row>
    <row r="48">
      <c r="A48" s="29" t="inlineStr">
        <is>
          <t>India Goa Ola</t>
        </is>
      </c>
      <c r="B48" s="29" t="inlineStr">
        <is>
          <t>India</t>
        </is>
      </c>
      <c r="C48" s="30" t="inlineStr">
        <is>
          <t>Ribandar Ferry → Piedade Ferry Terminal</t>
        </is>
      </c>
      <c r="D48" s="31" t="n">
        <v>2.8</v>
      </c>
      <c r="E48" s="26" t="n">
        <v>8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11250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inlineStr">
        <is>
          <t>handoff/INDIA-ECONOMICS-SIDECAR-V0-2026-06-20.json (goa)</t>
        </is>
      </c>
      <c r="AX48" s="44" t="inlineStr">
        <is>
          <t>handoff/INDIA-ECONOMICS-SIDECAR-V0-2026-06-20.json (goa)</t>
        </is>
      </c>
    </row>
    <row r="49">
      <c r="A49" s="29" t="inlineStr">
        <is>
          <t>India Kerala Ola</t>
        </is>
      </c>
      <c r="B49" s="29" t="inlineStr">
        <is>
          <t>India</t>
        </is>
      </c>
      <c r="C49" s="30" t="inlineStr">
        <is>
          <t>Keltron Ferry → Sailing Club House</t>
        </is>
      </c>
      <c r="D49" s="31" t="n">
        <v>2.8</v>
      </c>
      <c r="E49" s="26" t="n">
        <v>18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29166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[LB-255 PREMIUM RE-FARE: subsidized comparable $3.5 lifted to premium on-demand floor $18.0] handoff/INDIA-ECONOMICS-SIDECAR-V0-2026-06-20.json (kerala)</t>
        </is>
      </c>
      <c r="AX49" s="44" t="inlineStr">
        <is>
          <t>handoff/INDIA-ECONOMICS-SIDECAR-V0-2026-06-20.json (kerala)</t>
        </is>
      </c>
    </row>
    <row r="50">
      <c r="A50" s="29" t="inlineStr">
        <is>
          <t>India Andaman Ola</t>
        </is>
      </c>
      <c r="B50" s="29" t="inlineStr">
        <is>
          <t>India</t>
        </is>
      </c>
      <c r="C50" s="30" t="inlineStr">
        <is>
          <t>Andaman → Andaman &amp; Nicobar Islands</t>
        </is>
      </c>
      <c r="D50" s="31" t="n">
        <v>2.8</v>
      </c>
      <c r="E50" s="26" t="n">
        <v>22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handoff/INDIA-ECONOMICS-SIDECAR-V0-2026-06-20.json (andaman)</t>
        </is>
      </c>
      <c r="AX50" s="44" t="inlineStr">
        <is>
          <t>handoff/INDIA-ECONOMICS-SIDECAR-V0-2026-06-20.json (andaman)</t>
        </is>
      </c>
    </row>
    <row r="51">
      <c r="A51" s="29" t="inlineStr">
        <is>
          <t>India Andaman Ola</t>
        </is>
      </c>
      <c r="B51" s="29" t="inlineStr">
        <is>
          <t>India</t>
        </is>
      </c>
      <c r="C51" s="30" t="inlineStr">
        <is>
          <t>Andaman → BookMyBoat Andaman Ferry Booking</t>
        </is>
      </c>
      <c r="D51" s="31" t="n">
        <v>2.8</v>
      </c>
      <c r="E51" s="26" t="n">
        <v>22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5000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handoff/INDIA-ECONOMICS-SIDECAR-V0-2026-06-20.json (andaman)</t>
        </is>
      </c>
      <c r="AX51" s="44" t="inlineStr">
        <is>
          <t>handoff/INDIA-ECONOMICS-SIDECAR-V0-2026-06-20.json (andaman)</t>
        </is>
      </c>
    </row>
    <row r="52">
      <c r="A52" s="29" t="inlineStr">
        <is>
          <t>India Andaman Ola</t>
        </is>
      </c>
      <c r="B52" s="29" t="inlineStr">
        <is>
          <t>India</t>
        </is>
      </c>
      <c r="C52" s="30" t="inlineStr">
        <is>
          <t>Port Blair → BookMyBoat Andaman Ferry Booking</t>
        </is>
      </c>
      <c r="D52" s="31" t="n">
        <v>2.8</v>
      </c>
      <c r="E52" s="26" t="n">
        <v>22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5000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handoff/INDIA-ECONOMICS-SIDECAR-V0-2026-06-20.json (andaman)</t>
        </is>
      </c>
      <c r="AX52" s="44" t="inlineStr">
        <is>
          <t>handoff/INDIA-ECONOMICS-SIDECAR-V0-2026-06-20.json (andaman)</t>
        </is>
      </c>
    </row>
    <row r="53">
      <c r="A53" s="29" t="inlineStr">
        <is>
          <t>India Andaman Ola</t>
        </is>
      </c>
      <c r="B53" s="29" t="inlineStr">
        <is>
          <t>India</t>
        </is>
      </c>
      <c r="C53" s="30" t="inlineStr">
        <is>
          <t>Junglighat Jetty → BookMyBoat Andaman Ferry Booking</t>
        </is>
      </c>
      <c r="D53" s="31" t="n">
        <v>2.8</v>
      </c>
      <c r="E53" s="26" t="n">
        <v>22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5000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handoff/INDIA-ECONOMICS-SIDECAR-V0-2026-06-20.json (andaman)</t>
        </is>
      </c>
      <c r="AX53" s="44" t="inlineStr">
        <is>
          <t>handoff/INDIA-ECONOMICS-SIDECAR-V0-2026-06-20.json (andaman)</t>
        </is>
      </c>
    </row>
    <row r="54">
      <c r="A54" s="29" t="inlineStr">
        <is>
          <t>India Mumbai Ola</t>
        </is>
      </c>
      <c r="B54" s="29" t="inlineStr">
        <is>
          <t>India</t>
        </is>
      </c>
      <c r="C54" s="30" t="inlineStr">
        <is>
          <t>Pirpau Jetty → JNPT Ferry Service</t>
        </is>
      </c>
      <c r="D54" s="31" t="n">
        <v>2.9</v>
      </c>
      <c r="E54" s="26" t="n">
        <v>18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5000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[LB-255 PREMIUM RE-FARE: subsidized comparable $5.5 lifted to premium on-demand floor $18.0] handoff/INDIA-ECONOMICS-SIDECAR-V0-2026-06-20.json (mumbai)</t>
        </is>
      </c>
      <c r="AX54" s="44" t="inlineStr">
        <is>
          <t>handoff/INDIA-ECONOMICS-SIDECAR-V0-2026-06-20.json (mumbai)</t>
        </is>
      </c>
    </row>
    <row r="55">
      <c r="A55" s="29" t="inlineStr">
        <is>
          <t>India Andaman Ola</t>
        </is>
      </c>
      <c r="B55" s="29" t="inlineStr">
        <is>
          <t>India</t>
        </is>
      </c>
      <c r="C55" s="30" t="inlineStr">
        <is>
          <t>Bambooflat Jetty → Panighat Ferry Jetty</t>
        </is>
      </c>
      <c r="D55" s="31" t="n">
        <v>3</v>
      </c>
      <c r="E55" s="26" t="n">
        <v>22</v>
      </c>
      <c r="F55" s="32" t="inlineStr">
        <is>
          <t>T3</t>
        </is>
      </c>
      <c r="G55" s="32" t="inlineStr">
        <is>
          <t>med-low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5000</v>
      </c>
      <c r="AH55" s="32" t="inlineStr">
        <is>
          <t>T3</t>
        </is>
      </c>
      <c r="AI55" s="32" t="inlineStr">
        <is>
          <t>med-low</t>
        </is>
      </c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inlineStr">
        <is>
          <t>handoff/INDIA-ECONOMICS-SIDECAR-V0-2026-06-20.json (andaman)</t>
        </is>
      </c>
      <c r="AX55" s="44" t="inlineStr">
        <is>
          <t>handoff/INDIA-ECONOMICS-SIDECAR-V0-2026-06-20.json (andaman)</t>
        </is>
      </c>
    </row>
    <row r="56">
      <c r="A56" s="29" t="inlineStr">
        <is>
          <t>India Goa Ola</t>
        </is>
      </c>
      <c r="B56" s="29" t="inlineStr">
        <is>
          <t>India</t>
        </is>
      </c>
      <c r="C56" s="30" t="inlineStr">
        <is>
          <t>Yacht Life Goa → Camurlim Ferry Terminal</t>
        </is>
      </c>
      <c r="D56" s="31" t="n">
        <v>3.1</v>
      </c>
      <c r="E56" s="26" t="n">
        <v>8</v>
      </c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11250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inlineStr">
        <is>
          <t>handoff/INDIA-ECONOMICS-SIDECAR-V0-2026-06-20.json (goa)</t>
        </is>
      </c>
      <c r="AX56" s="44" t="inlineStr">
        <is>
          <t>handoff/INDIA-ECONOMICS-SIDECAR-V0-2026-06-20.json (goa)</t>
        </is>
      </c>
    </row>
    <row r="57">
      <c r="A57" s="29" t="inlineStr">
        <is>
          <t>India Goa Ola</t>
        </is>
      </c>
      <c r="B57" s="29" t="inlineStr">
        <is>
          <t>India</t>
        </is>
      </c>
      <c r="C57" s="30" t="inlineStr">
        <is>
          <t>Yacht Life Goa → Tuem Ferry Terminal</t>
        </is>
      </c>
      <c r="D57" s="31" t="n">
        <v>3.1</v>
      </c>
      <c r="E57" s="26" t="n">
        <v>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11250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handoff/INDIA-ECONOMICS-SIDECAR-V0-2026-06-20.json (goa)</t>
        </is>
      </c>
      <c r="AX57" s="44" t="inlineStr">
        <is>
          <t>handoff/INDIA-ECONOMICS-SIDECAR-V0-2026-06-20.json (goa)</t>
        </is>
      </c>
    </row>
    <row r="58">
      <c r="A58" s="29" t="inlineStr">
        <is>
          <t>India Goa Ola</t>
        </is>
      </c>
      <c r="B58" s="29" t="inlineStr">
        <is>
          <t>India</t>
        </is>
      </c>
      <c r="C58" s="30" t="inlineStr">
        <is>
          <t>Panaji Jetty → Goa</t>
        </is>
      </c>
      <c r="D58" s="31" t="n">
        <v>3.1</v>
      </c>
      <c r="E58" s="26" t="n">
        <v>8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11250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handoff/INDIA-ECONOMICS-SIDECAR-V0-2026-06-20.json (goa)</t>
        </is>
      </c>
      <c r="AX58" s="44" t="inlineStr">
        <is>
          <t>handoff/INDIA-ECONOMICS-SIDECAR-V0-2026-06-20.json (goa)</t>
        </is>
      </c>
    </row>
    <row r="59">
      <c r="A59" s="29" t="inlineStr">
        <is>
          <t>India Kerala Ola</t>
        </is>
      </c>
      <c r="B59" s="29" t="inlineStr">
        <is>
          <t>India</t>
        </is>
      </c>
      <c r="C59" s="30" t="inlineStr">
        <is>
          <t>Martins Harbour → Kakkanad Ferry Terminal</t>
        </is>
      </c>
      <c r="D59" s="31" t="n">
        <v>3.1</v>
      </c>
      <c r="E59" s="26" t="n">
        <v>18</v>
      </c>
      <c r="F59" s="32" t="inlineStr">
        <is>
          <t>T3</t>
        </is>
      </c>
      <c r="G59" s="32" t="inlineStr">
        <is>
          <t>med-low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29166</v>
      </c>
      <c r="AH59" s="32" t="inlineStr">
        <is>
          <t>T3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[LB-255 PREMIUM RE-FARE: subsidized comparable $3.5 lifted to premium on-demand floor $18.0] handoff/INDIA-ECONOMICS-SIDECAR-V0-2026-06-20.json (kerala)</t>
        </is>
      </c>
      <c r="AX59" s="44" t="inlineStr">
        <is>
          <t>handoff/INDIA-ECONOMICS-SIDECAR-V0-2026-06-20.json (kerala)</t>
        </is>
      </c>
    </row>
    <row r="60">
      <c r="A60" s="29" t="inlineStr">
        <is>
          <t>India Mumbai Ola</t>
        </is>
      </c>
      <c r="B60" s="29" t="inlineStr">
        <is>
          <t>India</t>
        </is>
      </c>
      <c r="C60" s="30" t="inlineStr">
        <is>
          <t>Bombay Harbour → Elephanta Caves</t>
        </is>
      </c>
      <c r="D60" s="31" t="n">
        <v>3.2</v>
      </c>
      <c r="E60" s="26" t="n">
        <v>18</v>
      </c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5000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[LB-255 PREMIUM RE-FARE: subsidized comparable $5.5 lifted to premium on-demand floor $18.0] handoff/INDIA-ECONOMICS-SIDECAR-V0-2026-06-20.json (mumbai)</t>
        </is>
      </c>
      <c r="AX60" s="44" t="inlineStr">
        <is>
          <t>handoff/INDIA-ECONOMICS-SIDECAR-V0-2026-06-20.json (mumbai)</t>
        </is>
      </c>
    </row>
    <row r="61">
      <c r="A61" s="29" t="inlineStr">
        <is>
          <t>India Goa Ola</t>
        </is>
      </c>
      <c r="B61" s="29" t="inlineStr">
        <is>
          <t>India</t>
        </is>
      </c>
      <c r="C61" s="30" t="inlineStr">
        <is>
          <t>Ribandar Ferry → Pomburpa Ferry Terminal</t>
        </is>
      </c>
      <c r="D61" s="31" t="n">
        <v>3.2</v>
      </c>
      <c r="E61" s="26" t="n">
        <v>8</v>
      </c>
      <c r="F61" s="32" t="inlineStr">
        <is>
          <t>T3</t>
        </is>
      </c>
      <c r="G61" s="32" t="inlineStr">
        <is>
          <t>med-low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11250</v>
      </c>
      <c r="AH61" s="32" t="inlineStr">
        <is>
          <t>T3</t>
        </is>
      </c>
      <c r="AI61" s="32" t="inlineStr">
        <is>
          <t>med-low</t>
        </is>
      </c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handoff/INDIA-ECONOMICS-SIDECAR-V0-2026-06-20.json (goa)</t>
        </is>
      </c>
      <c r="AX61" s="44" t="inlineStr">
        <is>
          <t>handoff/INDIA-ECONOMICS-SIDECAR-V0-2026-06-20.json (goa)</t>
        </is>
      </c>
    </row>
    <row r="62">
      <c r="A62" s="29" t="inlineStr">
        <is>
          <t>India Kerala Ola</t>
        </is>
      </c>
      <c r="B62" s="29" t="inlineStr">
        <is>
          <t>India</t>
        </is>
      </c>
      <c r="C62" s="30" t="inlineStr">
        <is>
          <t>Thevara Ferry → Sailing Club House</t>
        </is>
      </c>
      <c r="D62" s="31" t="n">
        <v>3.2</v>
      </c>
      <c r="E62" s="26" t="n">
        <v>18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29166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[LB-255 PREMIUM RE-FARE: subsidized comparable $3.5 lifted to premium on-demand floor $18.0] handoff/INDIA-ECONOMICS-SIDECAR-V0-2026-06-20.json (kerala)</t>
        </is>
      </c>
      <c r="AX62" s="44" t="inlineStr">
        <is>
          <t>handoff/INDIA-ECONOMICS-SIDECAR-V0-2026-06-20.json (kerala)</t>
        </is>
      </c>
    </row>
    <row r="63">
      <c r="A63" s="29" t="inlineStr">
        <is>
          <t>India Andaman Ola</t>
        </is>
      </c>
      <c r="B63" s="29" t="inlineStr">
        <is>
          <t>India</t>
        </is>
      </c>
      <c r="C63" s="30" t="inlineStr">
        <is>
          <t>Andaman → Panighat Ferry Jetty</t>
        </is>
      </c>
      <c r="D63" s="31" t="n">
        <v>3.2</v>
      </c>
      <c r="E63" s="26" t="n">
        <v>22</v>
      </c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5000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handoff/INDIA-ECONOMICS-SIDECAR-V0-2026-06-20.json (andaman)</t>
        </is>
      </c>
      <c r="AX63" s="44" t="inlineStr">
        <is>
          <t>handoff/INDIA-ECONOMICS-SIDECAR-V0-2026-06-20.json (andaman)</t>
        </is>
      </c>
    </row>
    <row r="64">
      <c r="A64" s="29" t="inlineStr">
        <is>
          <t>India Chennai Ola</t>
        </is>
      </c>
      <c r="B64" s="29" t="inlineStr">
        <is>
          <t>India</t>
        </is>
      </c>
      <c r="C64" s="30" t="inlineStr">
        <is>
          <t>Chennai Port WQIV Cruise Terminal → Marina Beach Waterfront</t>
        </is>
      </c>
      <c r="D64" s="31" t="n">
        <v>3.2</v>
      </c>
      <c r="E64" s="26" t="n">
        <v>12</v>
      </c>
      <c r="F64" s="32" t="n"/>
      <c r="G64" s="32" t="n"/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400000</v>
      </c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n"/>
      <c r="AX64" s="44" t="n"/>
    </row>
    <row r="65">
      <c r="A65" s="29" t="inlineStr">
        <is>
          <t>India Andaman Ola</t>
        </is>
      </c>
      <c r="B65" s="29" t="inlineStr">
        <is>
          <t>India</t>
        </is>
      </c>
      <c r="C65" s="30" t="inlineStr">
        <is>
          <t>Andaman → Chatham Harbour</t>
        </is>
      </c>
      <c r="D65" s="31" t="n">
        <v>3.3</v>
      </c>
      <c r="E65" s="26" t="n">
        <v>22</v>
      </c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5000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handoff/INDIA-ECONOMICS-SIDECAR-V0-2026-06-20.json (andaman)</t>
        </is>
      </c>
      <c r="AX65" s="44" t="inlineStr">
        <is>
          <t>handoff/INDIA-ECONOMICS-SIDECAR-V0-2026-06-20.json (andaman)</t>
        </is>
      </c>
    </row>
    <row r="66">
      <c r="A66" s="29" t="inlineStr">
        <is>
          <t>India Andaman Ola</t>
        </is>
      </c>
      <c r="B66" s="29" t="inlineStr">
        <is>
          <t>India</t>
        </is>
      </c>
      <c r="C66" s="30" t="inlineStr">
        <is>
          <t>Andaman → Haddo Jetty</t>
        </is>
      </c>
      <c r="D66" s="31" t="n">
        <v>3.3</v>
      </c>
      <c r="E66" s="26" t="n">
        <v>22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5000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handoff/INDIA-ECONOMICS-SIDECAR-V0-2026-06-20.json (andaman)</t>
        </is>
      </c>
      <c r="AX66" s="44" t="inlineStr">
        <is>
          <t>handoff/INDIA-ECONOMICS-SIDECAR-V0-2026-06-20.json (andaman)</t>
        </is>
      </c>
    </row>
    <row r="67">
      <c r="A67" s="29" t="inlineStr">
        <is>
          <t>India Andaman Ola</t>
        </is>
      </c>
      <c r="B67" s="29" t="inlineStr">
        <is>
          <t>India</t>
        </is>
      </c>
      <c r="C67" s="30" t="inlineStr">
        <is>
          <t>Bambooflat Jetty → Chatham Jetty</t>
        </is>
      </c>
      <c r="D67" s="31" t="n">
        <v>3.3</v>
      </c>
      <c r="E67" s="26" t="n">
        <v>22</v>
      </c>
      <c r="F67" s="32" t="inlineStr">
        <is>
          <t>T3</t>
        </is>
      </c>
      <c r="G67" s="32" t="inlineStr">
        <is>
          <t>med-low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MIN(15,FLOOR(60*service_hr/J67,1))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5000</v>
      </c>
      <c r="AH67" s="32" t="inlineStr">
        <is>
          <t>T3</t>
        </is>
      </c>
      <c r="AI67" s="32" t="inlineStr">
        <is>
          <t>med-low</t>
        </is>
      </c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handoff/INDIA-ECONOMICS-SIDECAR-V0-2026-06-20.json (andaman)</t>
        </is>
      </c>
      <c r="AX67" s="44" t="inlineStr">
        <is>
          <t>handoff/INDIA-ECONOMICS-SIDECAR-V0-2026-06-20.json (andaman)</t>
        </is>
      </c>
    </row>
    <row r="68">
      <c r="A68" s="29" t="inlineStr">
        <is>
          <t>Ola Mumbai</t>
        </is>
      </c>
      <c r="B68" s="29" t="inlineStr">
        <is>
          <t>India</t>
        </is>
      </c>
      <c r="C68" s="30" t="inlineStr">
        <is>
          <t>Gateway of India → Mumbai Harbour</t>
        </is>
      </c>
      <c r="D68" s="31" t="n">
        <v>3.4</v>
      </c>
      <c r="E68" s="26" t="n"/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10909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inlineStr">
        <is>
          <t>experience_upside</t>
        </is>
      </c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68" s="44" t="inlineStr">
        <is>
          <t>PR #58 Mumbai spine route-count split (11 sealed rows × anchor 120,000 pax/yr)</t>
        </is>
      </c>
    </row>
    <row r="69">
      <c r="A69" s="29" t="inlineStr">
        <is>
          <t>India Mumbai Ola</t>
        </is>
      </c>
      <c r="B69" s="29" t="inlineStr">
        <is>
          <t>India</t>
        </is>
      </c>
      <c r="C69" s="30" t="inlineStr">
        <is>
          <t>Bombay Harbour → Pirpau Jetty</t>
        </is>
      </c>
      <c r="D69" s="31" t="n">
        <v>3.4</v>
      </c>
      <c r="E69" s="26" t="n">
        <v>18</v>
      </c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5000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[LB-255 PREMIUM RE-FARE: subsidized comparable $5.5 lifted to premium on-demand floor $18.0] handoff/INDIA-ECONOMICS-SIDECAR-V0-2026-06-20.json (mumbai)</t>
        </is>
      </c>
      <c r="AX69" s="44" t="inlineStr">
        <is>
          <t>handoff/INDIA-ECONOMICS-SIDECAR-V0-2026-06-20.json (mumbai)</t>
        </is>
      </c>
    </row>
    <row r="70">
      <c r="A70" s="29" t="inlineStr">
        <is>
          <t>Ola Mumbai</t>
        </is>
      </c>
      <c r="B70" s="29" t="inlineStr">
        <is>
          <t>India</t>
        </is>
      </c>
      <c r="C70" s="30" t="inlineStr">
        <is>
          <t>Gateway of India → Mumbai Harbour</t>
        </is>
      </c>
      <c r="D70" s="31" t="n">
        <v>3.5</v>
      </c>
      <c r="E70" s="26" t="n"/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10909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inlineStr">
        <is>
          <t>experience_upside</t>
        </is>
      </c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0" s="44" t="inlineStr">
        <is>
          <t>PR #58 Mumbai spine route-count split (11 sealed rows × anchor 120,000 pax/yr)</t>
        </is>
      </c>
    </row>
    <row r="71">
      <c r="A71" s="29" t="inlineStr">
        <is>
          <t>India Andaman Ola</t>
        </is>
      </c>
      <c r="B71" s="29" t="inlineStr">
        <is>
          <t>India</t>
        </is>
      </c>
      <c r="C71" s="30" t="inlineStr">
        <is>
          <t>Andaman → Chatham Jetty</t>
        </is>
      </c>
      <c r="D71" s="31" t="n">
        <v>3.5</v>
      </c>
      <c r="E71" s="26" t="n">
        <v>22</v>
      </c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5000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handoff/INDIA-ECONOMICS-SIDECAR-V0-2026-06-20.json (andaman)</t>
        </is>
      </c>
      <c r="AX71" s="44" t="inlineStr">
        <is>
          <t>handoff/INDIA-ECONOMICS-SIDECAR-V0-2026-06-20.json (andaman)</t>
        </is>
      </c>
    </row>
    <row r="72">
      <c r="A72" s="29" t="inlineStr">
        <is>
          <t>India Andaman Ola</t>
        </is>
      </c>
      <c r="B72" s="29" t="inlineStr">
        <is>
          <t>India</t>
        </is>
      </c>
      <c r="C72" s="30" t="inlineStr">
        <is>
          <t>Middle Strait Jetty → NK Cruise Terminal</t>
        </is>
      </c>
      <c r="D72" s="31" t="n">
        <v>3.7</v>
      </c>
      <c r="E72" s="26" t="n">
        <v>22</v>
      </c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5000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handoff/INDIA-ECONOMICS-SIDECAR-V0-2026-06-20.json (andaman)</t>
        </is>
      </c>
      <c r="AX72" s="44" t="inlineStr">
        <is>
          <t>handoff/INDIA-ECONOMICS-SIDECAR-V0-2026-06-20.json (andaman)</t>
        </is>
      </c>
    </row>
    <row r="73">
      <c r="A73" s="29" t="inlineStr">
        <is>
          <t>India Mumbai Ola</t>
        </is>
      </c>
      <c r="B73" s="29" t="inlineStr">
        <is>
          <t>India</t>
        </is>
      </c>
      <c r="C73" s="30" t="inlineStr">
        <is>
          <t>Mora → Elephanta Caves</t>
        </is>
      </c>
      <c r="D73" s="31" t="n">
        <v>3.8</v>
      </c>
      <c r="E73" s="26" t="n">
        <v>18</v>
      </c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5000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[LB-255 PREMIUM RE-FARE: subsidized comparable $5.5 lifted to premium on-demand floor $18.0] handoff/INDIA-ECONOMICS-SIDECAR-V0-2026-06-20.json (mumbai)</t>
        </is>
      </c>
      <c r="AX73" s="44" t="inlineStr">
        <is>
          <t>handoff/INDIA-ECONOMICS-SIDECAR-V0-2026-06-20.json (mumbai)</t>
        </is>
      </c>
    </row>
    <row r="74">
      <c r="A74" s="29" t="inlineStr">
        <is>
          <t>India Andaman Ola</t>
        </is>
      </c>
      <c r="B74" s="29" t="inlineStr">
        <is>
          <t>India</t>
        </is>
      </c>
      <c r="C74" s="30" t="inlineStr">
        <is>
          <t>Andaman → Andaman &amp; Nicobar Islands</t>
        </is>
      </c>
      <c r="D74" s="31" t="n">
        <v>3.8</v>
      </c>
      <c r="E74" s="26" t="n">
        <v>22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5000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inlineStr">
        <is>
          <t>handoff/INDIA-ECONOMICS-SIDECAR-V0-2026-06-20.json (andaman)</t>
        </is>
      </c>
      <c r="AX74" s="44" t="inlineStr">
        <is>
          <t>handoff/INDIA-ECONOMICS-SIDECAR-V0-2026-06-20.json (andaman)</t>
        </is>
      </c>
    </row>
    <row r="75">
      <c r="A75" s="29" t="inlineStr">
        <is>
          <t>India Andaman Ola</t>
        </is>
      </c>
      <c r="B75" s="29" t="inlineStr">
        <is>
          <t>India</t>
        </is>
      </c>
      <c r="C75" s="30" t="inlineStr">
        <is>
          <t>Andaman → Bambooflat Jetty</t>
        </is>
      </c>
      <c r="D75" s="31" t="n">
        <v>4.2</v>
      </c>
      <c r="E75" s="26" t="n">
        <v>22</v>
      </c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5000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handoff/INDIA-ECONOMICS-SIDECAR-V0-2026-06-20.json (andaman)</t>
        </is>
      </c>
      <c r="AX75" s="44" t="inlineStr">
        <is>
          <t>handoff/INDIA-ECONOMICS-SIDECAR-V0-2026-06-20.json (andaman)</t>
        </is>
      </c>
    </row>
    <row r="76">
      <c r="A76" s="29" t="inlineStr">
        <is>
          <t>Ola Mumbai</t>
        </is>
      </c>
      <c r="B76" s="29" t="inlineStr">
        <is>
          <t>India</t>
        </is>
      </c>
      <c r="C76" s="30" t="inlineStr">
        <is>
          <t>BSA Mandwa → Marina Bay Bistro @KARANJA Fishing Dock</t>
        </is>
      </c>
      <c r="D76" s="31" t="n">
        <v>4.5</v>
      </c>
      <c r="E76" s="26" t="n"/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10909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inlineStr">
        <is>
          <t>experience_upside</t>
        </is>
      </c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6" s="44" t="inlineStr">
        <is>
          <t>PR #58 Mumbai spine route-count split (11 sealed rows × anchor 120,000 pax/yr)</t>
        </is>
      </c>
    </row>
    <row r="77">
      <c r="A77" s="29" t="inlineStr">
        <is>
          <t>Ola Mumbai</t>
        </is>
      </c>
      <c r="B77" s="29" t="inlineStr">
        <is>
          <t>India</t>
        </is>
      </c>
      <c r="C77" s="30" t="inlineStr">
        <is>
          <t>Mandwa Jetty → Mumbai Harbour</t>
        </is>
      </c>
      <c r="D77" s="31" t="n">
        <v>4.6</v>
      </c>
      <c r="E77" s="26" t="n"/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10909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inlineStr">
        <is>
          <t>experience_upside</t>
        </is>
      </c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7" s="44" t="inlineStr">
        <is>
          <t>PR #58 Mumbai spine route-count split (11 sealed rows × anchor 120,000 pax/yr)</t>
        </is>
      </c>
    </row>
    <row r="78">
      <c r="A78" s="29" t="inlineStr">
        <is>
          <t>India Goa Ola</t>
        </is>
      </c>
      <c r="B78" s="29" t="inlineStr">
        <is>
          <t>India</t>
        </is>
      </c>
      <c r="C78" s="30" t="inlineStr">
        <is>
          <t>Villa Marina → Mole</t>
        </is>
      </c>
      <c r="D78" s="31" t="n">
        <v>4.9</v>
      </c>
      <c r="E78" s="26" t="n">
        <v>8</v>
      </c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11250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handoff/INDIA-ECONOMICS-SIDECAR-V0-2026-06-20.json (goa)</t>
        </is>
      </c>
      <c r="AX78" s="44" t="inlineStr">
        <is>
          <t>handoff/INDIA-ECONOMICS-SIDECAR-V0-2026-06-20.json (goa)</t>
        </is>
      </c>
    </row>
    <row r="79">
      <c r="A79" s="29" t="inlineStr">
        <is>
          <t>India Mumbai Ola</t>
        </is>
      </c>
      <c r="B79" s="29" t="inlineStr">
        <is>
          <t>India</t>
        </is>
      </c>
      <c r="C79" s="30" t="inlineStr">
        <is>
          <t>Marina Bay Bistro @KARANJA Fishing Dock → Harbour view villa by 29 bungalow</t>
        </is>
      </c>
      <c r="D79" s="31" t="n">
        <v>5.4</v>
      </c>
      <c r="E79" s="26" t="n">
        <v>18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5000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[LB-255 PREMIUM RE-FARE: subsidized comparable $5.5 lifted to premium on-demand floor $18.0] handoff/INDIA-ECONOMICS-SIDECAR-V0-2026-06-20.json (mumbai)</t>
        </is>
      </c>
      <c r="AX79" s="44" t="inlineStr">
        <is>
          <t>handoff/INDIA-ECONOMICS-SIDECAR-V0-2026-06-20.json (mumbai)</t>
        </is>
      </c>
    </row>
    <row r="80">
      <c r="A80" s="29" t="inlineStr">
        <is>
          <t>Ola Mumbai</t>
        </is>
      </c>
      <c r="B80" s="29" t="inlineStr">
        <is>
          <t>India</t>
        </is>
      </c>
      <c r="C80" s="30" t="inlineStr">
        <is>
          <t>Elephanta Caves → Mumbai Trans-Harbour Navi Mumbai Toll Plaza</t>
        </is>
      </c>
      <c r="D80" s="31" t="n">
        <v>5.6</v>
      </c>
      <c r="E80" s="26" t="n"/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10909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inlineStr">
        <is>
          <t>experience_upside</t>
        </is>
      </c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0" s="44" t="inlineStr">
        <is>
          <t>PR #58 Mumbai spine route-count split (11 sealed rows × anchor 120,000 pax/yr)</t>
        </is>
      </c>
    </row>
    <row r="81">
      <c r="A81" s="29" t="inlineStr">
        <is>
          <t>India Goa Ola</t>
        </is>
      </c>
      <c r="B81" s="29" t="inlineStr">
        <is>
          <t>India</t>
        </is>
      </c>
      <c r="C81" s="30" t="inlineStr">
        <is>
          <t>Goveia Marina → LifeOnYachts Goa</t>
        </is>
      </c>
      <c r="D81" s="31" t="n">
        <v>5.8</v>
      </c>
      <c r="E81" s="26" t="n">
        <v>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11250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handoff/INDIA-ECONOMICS-SIDECAR-V0-2026-06-20.json (goa)</t>
        </is>
      </c>
      <c r="AX81" s="44" t="inlineStr">
        <is>
          <t>handoff/INDIA-ECONOMICS-SIDECAR-V0-2026-06-20.json (goa)</t>
        </is>
      </c>
    </row>
    <row r="82">
      <c r="A82" s="29" t="inlineStr">
        <is>
          <t>India Kerala Ola</t>
        </is>
      </c>
      <c r="B82" s="29" t="inlineStr">
        <is>
          <t>India</t>
        </is>
      </c>
      <c r="C82" s="30" t="inlineStr">
        <is>
          <t>Keltron Ferry → Chellanam Harbour Kochi</t>
        </is>
      </c>
      <c r="D82" s="31" t="n">
        <v>5.8</v>
      </c>
      <c r="E82" s="26" t="n">
        <v>18</v>
      </c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29166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[LB-255 PREMIUM RE-FARE: subsidized comparable $3.5 lifted to premium on-demand floor $18.0] handoff/INDIA-ECONOMICS-SIDECAR-V0-2026-06-20.json (kerala)</t>
        </is>
      </c>
      <c r="AX82" s="44" t="inlineStr">
        <is>
          <t>handoff/INDIA-ECONOMICS-SIDECAR-V0-2026-06-20.json (kerala)</t>
        </is>
      </c>
    </row>
    <row r="83">
      <c r="A83" s="29" t="inlineStr">
        <is>
          <t>Ola Mumbai</t>
        </is>
      </c>
      <c r="B83" s="29" t="inlineStr">
        <is>
          <t>India</t>
        </is>
      </c>
      <c r="C83" s="30" t="inlineStr">
        <is>
          <t>JNPT Ferry Service → Mumbai Trans-Harbour Navi Mumbai Toll Plaza</t>
        </is>
      </c>
      <c r="D83" s="31" t="n">
        <v>5.9</v>
      </c>
      <c r="E83" s="26" t="n"/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10909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inlineStr">
        <is>
          <t>experience_upside</t>
        </is>
      </c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3" s="44" t="inlineStr">
        <is>
          <t>PR #58 Mumbai spine route-count split (11 sealed rows × anchor 120,000 pax/yr)</t>
        </is>
      </c>
    </row>
    <row r="84">
      <c r="A84" s="29" t="inlineStr">
        <is>
          <t>India Goa Ola</t>
        </is>
      </c>
      <c r="B84" s="29" t="inlineStr">
        <is>
          <t>India</t>
        </is>
      </c>
      <c r="C84" s="30" t="inlineStr">
        <is>
          <t>Panaji Jetty → Goa</t>
        </is>
      </c>
      <c r="D84" s="31" t="n">
        <v>6</v>
      </c>
      <c r="E84" s="26" t="n">
        <v>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11250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inlineStr">
        <is>
          <t>handoff/INDIA-ECONOMICS-SIDECAR-V0-2026-06-20.json (goa)</t>
        </is>
      </c>
      <c r="AX84" s="44" t="inlineStr">
        <is>
          <t>handoff/INDIA-ECONOMICS-SIDECAR-V0-2026-06-20.json (goa)</t>
        </is>
      </c>
    </row>
    <row r="85">
      <c r="A85" s="29" t="inlineStr">
        <is>
          <t>Ola Mumbai</t>
        </is>
      </c>
      <c r="B85" s="29" t="inlineStr">
        <is>
          <t>India</t>
        </is>
      </c>
      <c r="C85" s="30" t="inlineStr">
        <is>
          <t>Pirpau Jetty → Mumbai Trans-Harbour Navi Mumbai Toll Plaza</t>
        </is>
      </c>
      <c r="D85" s="31" t="n">
        <v>6.2</v>
      </c>
      <c r="E85" s="26" t="n"/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10909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inlineStr">
        <is>
          <t>experience_upside</t>
        </is>
      </c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5" s="44" t="inlineStr">
        <is>
          <t>PR #58 Mumbai spine route-count split (11 sealed rows × anchor 120,000 pax/yr)</t>
        </is>
      </c>
    </row>
    <row r="86">
      <c r="A86" s="29" t="inlineStr">
        <is>
          <t>India Mumbai Ola</t>
        </is>
      </c>
      <c r="B86" s="29" t="inlineStr">
        <is>
          <t>India</t>
        </is>
      </c>
      <c r="C86" s="30" t="inlineStr">
        <is>
          <t>Mora → Marina Bay Bistro @KARANJA Fishing Dock</t>
        </is>
      </c>
      <c r="D86" s="31" t="n">
        <v>6.7</v>
      </c>
      <c r="E86" s="26" t="n">
        <v>18</v>
      </c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5000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inlineStr">
        <is>
          <t>[LB-255 PREMIUM RE-FARE: subsidized comparable $5.5 lifted to premium on-demand floor $18.0] handoff/INDIA-ECONOMICS-SIDECAR-V0-2026-06-20.json (mumbai)</t>
        </is>
      </c>
      <c r="AX86" s="44" t="inlineStr">
        <is>
          <t>handoff/INDIA-ECONOMICS-SIDECAR-V0-2026-06-20.json (mumbai)</t>
        </is>
      </c>
    </row>
    <row r="87">
      <c r="A87" s="29" t="inlineStr">
        <is>
          <t>India Goa Ola</t>
        </is>
      </c>
      <c r="B87" s="29" t="inlineStr">
        <is>
          <t>India</t>
        </is>
      </c>
      <c r="C87" s="30" t="inlineStr">
        <is>
          <t>Villa Marina → Marina Russian B2B Thai Spa Service near me</t>
        </is>
      </c>
      <c r="D87" s="31" t="n">
        <v>6.7</v>
      </c>
      <c r="E87" s="26" t="n">
        <v>8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11250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handoff/INDIA-ECONOMICS-SIDECAR-V0-2026-06-20.json (goa)</t>
        </is>
      </c>
      <c r="AX87" s="44" t="inlineStr">
        <is>
          <t>handoff/INDIA-ECONOMICS-SIDECAR-V0-2026-06-20.json (goa)</t>
        </is>
      </c>
    </row>
    <row r="88">
      <c r="A88" s="29" t="inlineStr">
        <is>
          <t>India Kerala Ola</t>
        </is>
      </c>
      <c r="B88" s="29" t="inlineStr">
        <is>
          <t>India</t>
        </is>
      </c>
      <c r="C88" s="30" t="inlineStr">
        <is>
          <t>Willingdon Island → Kerala Backwaters &amp; Kochi</t>
        </is>
      </c>
      <c r="D88" s="31" t="n">
        <v>6.8</v>
      </c>
      <c r="E88" s="26" t="n">
        <v>18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29166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[LB-255 PREMIUM RE-FARE: subsidized comparable $3.5 lifted to premium on-demand floor $18.0] handoff/INDIA-ECONOMICS-SIDECAR-V0-2026-06-20.json (kerala)</t>
        </is>
      </c>
      <c r="AX88" s="44" t="inlineStr">
        <is>
          <t>handoff/INDIA-ECONOMICS-SIDECAR-V0-2026-06-20.json (kerala)</t>
        </is>
      </c>
    </row>
    <row r="89">
      <c r="A89" s="29" t="inlineStr">
        <is>
          <t>India Goa Ola</t>
        </is>
      </c>
      <c r="B89" s="29" t="inlineStr">
        <is>
          <t>India</t>
        </is>
      </c>
      <c r="C89" s="30" t="inlineStr">
        <is>
          <t>Marina Russian B2B Thai Spa Service near me → Goveia Marina</t>
        </is>
      </c>
      <c r="D89" s="31" t="n">
        <v>7.5</v>
      </c>
      <c r="E89" s="26" t="n">
        <v>8</v>
      </c>
      <c r="F89" s="32" t="inlineStr">
        <is>
          <t>T3</t>
        </is>
      </c>
      <c r="G89" s="32" t="inlineStr">
        <is>
          <t>med-low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11250</v>
      </c>
      <c r="AH89" s="32" t="inlineStr">
        <is>
          <t>T3</t>
        </is>
      </c>
      <c r="AI89" s="32" t="inlineStr">
        <is>
          <t>med-low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inlineStr">
        <is>
          <t>handoff/INDIA-ECONOMICS-SIDECAR-V0-2026-06-20.json (goa)</t>
        </is>
      </c>
      <c r="AX89" s="44" t="inlineStr">
        <is>
          <t>handoff/INDIA-ECONOMICS-SIDECAR-V0-2026-06-20.json (goa)</t>
        </is>
      </c>
    </row>
    <row r="90">
      <c r="A90" s="29" t="inlineStr">
        <is>
          <t>Ola Mumbai</t>
        </is>
      </c>
      <c r="B90" s="29" t="inlineStr">
        <is>
          <t>India</t>
        </is>
      </c>
      <c r="C90" s="30" t="inlineStr">
        <is>
          <t>Mandwa Jetty → Mumbai Harbour</t>
        </is>
      </c>
      <c r="D90" s="31" t="n">
        <v>7.8</v>
      </c>
      <c r="E90" s="26" t="n"/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10909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inlineStr">
        <is>
          <t>experience_upside</t>
        </is>
      </c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0" s="44" t="inlineStr">
        <is>
          <t>PR #58 Mumbai spine route-count split (11 sealed rows × anchor 120,000 pax/yr)</t>
        </is>
      </c>
    </row>
    <row r="91">
      <c r="A91" s="29" t="inlineStr">
        <is>
          <t>Ola Mumbai</t>
        </is>
      </c>
      <c r="B91" s="29" t="inlineStr">
        <is>
          <t>India</t>
        </is>
      </c>
      <c r="C91" s="30" t="inlineStr">
        <is>
          <t>Mumbai Harbour → Mandwa Jetty</t>
        </is>
      </c>
      <c r="D91" s="31" t="n">
        <v>7.9</v>
      </c>
      <c r="E91" s="26" t="n"/>
      <c r="F91" s="32" t="inlineStr">
        <is>
          <t>T3</t>
        </is>
      </c>
      <c r="G91" s="32" t="inlineStr">
        <is>
          <t>med-low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10909</v>
      </c>
      <c r="AH91" s="32" t="inlineStr">
        <is>
          <t>T3</t>
        </is>
      </c>
      <c r="AI91" s="32" t="inlineStr">
        <is>
          <t>med-low</t>
        </is>
      </c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inlineStr">
        <is>
          <t>experience_upside</t>
        </is>
      </c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1" s="44" t="inlineStr">
        <is>
          <t>PR #58 Mumbai spine route-count split (11 sealed rows × anchor 120,000 pax/yr)</t>
        </is>
      </c>
    </row>
    <row r="92">
      <c r="A92" s="29" t="inlineStr">
        <is>
          <t>India Andaman Ola</t>
        </is>
      </c>
      <c r="B92" s="29" t="inlineStr">
        <is>
          <t>India</t>
        </is>
      </c>
      <c r="C92" s="30" t="inlineStr">
        <is>
          <t>Bambooflat Jetty → Game Fishing In Andaman | Bite Me Charter | Best Sport fishing in Andaman Islands</t>
        </is>
      </c>
      <c r="D92" s="31" t="n">
        <v>8.4</v>
      </c>
      <c r="E92" s="26" t="n">
        <v>22</v>
      </c>
      <c r="F92" s="32" t="inlineStr">
        <is>
          <t>T3</t>
        </is>
      </c>
      <c r="G92" s="32" t="inlineStr">
        <is>
          <t>med-low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</v>
      </c>
      <c r="AH92" s="32" t="inlineStr">
        <is>
          <t>T3</t>
        </is>
      </c>
      <c r="AI92" s="32" t="inlineStr">
        <is>
          <t>med-low</t>
        </is>
      </c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handoff/INDIA-ECONOMICS-SIDECAR-V0-2026-06-20.json (andaman)</t>
        </is>
      </c>
      <c r="AX92" s="44" t="inlineStr">
        <is>
          <t>handoff/INDIA-ECONOMICS-SIDECAR-V0-2026-06-20.json (andaman)</t>
        </is>
      </c>
    </row>
    <row r="93">
      <c r="A93" s="29" t="inlineStr">
        <is>
          <t>India Mumbai Ola</t>
        </is>
      </c>
      <c r="B93" s="29" t="inlineStr">
        <is>
          <t>India</t>
        </is>
      </c>
      <c r="C93" s="30" t="inlineStr">
        <is>
          <t>Cordelia Cruises → OLD HARBOR TEA &amp; COFFEE</t>
        </is>
      </c>
      <c r="D93" s="31" t="n">
        <v>8.5</v>
      </c>
      <c r="E93" s="26" t="n">
        <v>18</v>
      </c>
      <c r="F93" s="32" t="inlineStr">
        <is>
          <t>T3</t>
        </is>
      </c>
      <c r="G93" s="32" t="inlineStr">
        <is>
          <t>med-low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5000</v>
      </c>
      <c r="AH93" s="32" t="inlineStr">
        <is>
          <t>T3</t>
        </is>
      </c>
      <c r="AI93" s="32" t="inlineStr">
        <is>
          <t>med-low</t>
        </is>
      </c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[LB-255 PREMIUM RE-FARE: subsidized comparable $5.5 lifted to premium on-demand floor $18.0] handoff/INDIA-ECONOMICS-SIDECAR-V0-2026-06-20.json (mumbai)</t>
        </is>
      </c>
      <c r="AX93" s="44" t="inlineStr">
        <is>
          <t>handoff/INDIA-ECONOMICS-SIDECAR-V0-2026-06-20.json (mumbai)</t>
        </is>
      </c>
    </row>
    <row r="94">
      <c r="A94" s="29" t="inlineStr">
        <is>
          <t>Ola Mumbai</t>
        </is>
      </c>
      <c r="B94" s="29" t="inlineStr">
        <is>
          <t>India</t>
        </is>
      </c>
      <c r="C94" s="30" t="inlineStr">
        <is>
          <t>Versova Ferry Wharf → Gateway of India</t>
        </is>
      </c>
      <c r="D94" s="31" t="n">
        <v>12.43</v>
      </c>
      <c r="E94" s="26" t="n"/>
      <c r="F94" s="32" t="inlineStr">
        <is>
          <t>T3</t>
        </is>
      </c>
      <c r="G94" s="32" t="inlineStr">
        <is>
          <t>med-low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10909</v>
      </c>
      <c r="AH94" s="32" t="inlineStr">
        <is>
          <t>T3</t>
        </is>
      </c>
      <c r="AI94" s="32" t="inlineStr">
        <is>
          <t>med-low</t>
        </is>
      </c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inlineStr">
        <is>
          <t>experience_upside</t>
        </is>
      </c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4" s="44" t="inlineStr">
        <is>
          <t>PR #58 Mumbai spine route-count split (11 sealed rows × anchor 120,000 pax/yr)</t>
        </is>
      </c>
    </row>
    <row r="95">
      <c r="A95" s="29" t="inlineStr">
        <is>
          <t>India Mumbai Ola</t>
        </is>
      </c>
      <c r="B95" s="29" t="inlineStr">
        <is>
          <t>India</t>
        </is>
      </c>
      <c r="C95" s="30" t="inlineStr">
        <is>
          <t>Gorai / Marve Jetty → Nariman Point Water-Taxi Jetty</t>
        </is>
      </c>
      <c r="D95" s="31" t="n">
        <v>13.45</v>
      </c>
      <c r="E95" s="26" t="n">
        <v>18</v>
      </c>
      <c r="F95" s="32" t="inlineStr">
        <is>
          <t>T3</t>
        </is>
      </c>
      <c r="G95" s="32" t="inlineStr">
        <is>
          <t>med-low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MIN(15,FLOOR(60*service_hr/J95,1))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5000</v>
      </c>
      <c r="AH95" s="32" t="inlineStr">
        <is>
          <t>T3</t>
        </is>
      </c>
      <c r="AI95" s="32" t="inlineStr">
        <is>
          <t>med-low</t>
        </is>
      </c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[LB-255 PREMIUM RE-FARE: subsidized comparable $5.5 lifted to premium on-demand floor $18.0] handoff/INDIA-ECONOMICS-SIDECAR-V0-2026-06-20.json (mumbai)</t>
        </is>
      </c>
      <c r="AX95" s="44" t="inlineStr">
        <is>
          <t>handoff/INDIA-ECONOMICS-SIDECAR-V0-2026-06-20.json (mumbai)</t>
        </is>
      </c>
    </row>
    <row r="96">
      <c r="A96" s="29" t="inlineStr">
        <is>
          <t>India Andaman Ola</t>
        </is>
      </c>
      <c r="B96" s="29" t="inlineStr">
        <is>
          <t>India</t>
        </is>
      </c>
      <c r="C96" s="30" t="inlineStr">
        <is>
          <t>APARUPA SANDS MARINA → Shaheed Dweep Jetty</t>
        </is>
      </c>
      <c r="D96" s="31" t="n">
        <v>13.9</v>
      </c>
      <c r="E96" s="26" t="n">
        <v>22</v>
      </c>
      <c r="F96" s="32" t="inlineStr">
        <is>
          <t>T3</t>
        </is>
      </c>
      <c r="G96" s="32" t="inlineStr">
        <is>
          <t>med-low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5000</v>
      </c>
      <c r="AH96" s="32" t="inlineStr">
        <is>
          <t>T3</t>
        </is>
      </c>
      <c r="AI96" s="32" t="inlineStr">
        <is>
          <t>med-low</t>
        </is>
      </c>
      <c r="AJ96" s="39" t="n">
        <v>0.1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handoff/INDIA-ECONOMICS-SIDECAR-V0-2026-06-20.json (andaman)</t>
        </is>
      </c>
      <c r="AX96" s="44" t="inlineStr">
        <is>
          <t>handoff/INDIA-ECONOMICS-SIDECAR-V0-2026-06-20.json (andaman)</t>
        </is>
      </c>
    </row>
    <row r="97">
      <c r="A97" s="29" t="inlineStr">
        <is>
          <t>India Andaman Ola</t>
        </is>
      </c>
      <c r="B97" s="29" t="inlineStr">
        <is>
          <t>India</t>
        </is>
      </c>
      <c r="C97" s="30" t="inlineStr">
        <is>
          <t>Office Of Assistant Engineer Civil, Andaman Lakshdweep Harbour Work Havelock → Shaheed Dweep Jetty</t>
        </is>
      </c>
      <c r="D97" s="31" t="n">
        <v>14.6</v>
      </c>
      <c r="E97" s="26" t="n">
        <v>22</v>
      </c>
      <c r="F97" s="32" t="inlineStr">
        <is>
          <t>T3</t>
        </is>
      </c>
      <c r="G97" s="32" t="inlineStr">
        <is>
          <t>med-low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5000</v>
      </c>
      <c r="AH97" s="32" t="inlineStr">
        <is>
          <t>T3</t>
        </is>
      </c>
      <c r="AI97" s="32" t="inlineStr">
        <is>
          <t>med-low</t>
        </is>
      </c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inlineStr">
        <is>
          <t>handoff/INDIA-ECONOMICS-SIDECAR-V0-2026-06-20.json (andaman)</t>
        </is>
      </c>
      <c r="AX97" s="44" t="inlineStr">
        <is>
          <t>handoff/INDIA-ECONOMICS-SIDECAR-V0-2026-06-20.json (andaman)</t>
        </is>
      </c>
    </row>
    <row r="98">
      <c r="A98" s="29" t="inlineStr">
        <is>
          <t>India Andaman Ola</t>
        </is>
      </c>
      <c r="B98" s="29" t="inlineStr">
        <is>
          <t>India</t>
        </is>
      </c>
      <c r="C98" s="30" t="inlineStr">
        <is>
          <t>Office Of Assistant Engineer Civil, Andaman Lakshdweep Harbour Work Havelock → Shaheed Dweep Jetty</t>
        </is>
      </c>
      <c r="D98" s="31" t="n">
        <v>15.2</v>
      </c>
      <c r="E98" s="26" t="n">
        <v>22</v>
      </c>
      <c r="F98" s="32" t="inlineStr">
        <is>
          <t>T3</t>
        </is>
      </c>
      <c r="G98" s="32" t="inlineStr">
        <is>
          <t>med-low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>
        <v>5000</v>
      </c>
      <c r="AH98" s="32" t="inlineStr">
        <is>
          <t>T3</t>
        </is>
      </c>
      <c r="AI98" s="32" t="inlineStr">
        <is>
          <t>med-low</t>
        </is>
      </c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inlineStr">
        <is>
          <t>handoff/INDIA-ECONOMICS-SIDECAR-V0-2026-06-20.json (andaman)</t>
        </is>
      </c>
      <c r="AX98" s="44" t="inlineStr">
        <is>
          <t>handoff/INDIA-ECONOMICS-SIDECAR-V0-2026-06-20.json (andaman)</t>
        </is>
      </c>
    </row>
    <row r="99">
      <c r="A99" s="29" t="inlineStr">
        <is>
          <t>India Kolkata Ola</t>
        </is>
      </c>
      <c r="B99" s="29" t="inlineStr">
        <is>
          <t>India</t>
        </is>
      </c>
      <c r="C99" s="30" t="inlineStr">
        <is>
          <t>Millennium Park Jetty → Chandannagar Riverfront</t>
        </is>
      </c>
      <c r="D99" s="31" t="n">
        <v>17.9</v>
      </c>
      <c r="E99" s="26" t="n">
        <v>18</v>
      </c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1600000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inlineStr">
        <is>
          <t xml:space="preserve">[LB-255 PREMIUM RE-FARE: subsidized comparable $2.5 lifted to premium on-demand floor $18.0] </t>
        </is>
      </c>
      <c r="AX99" s="44" t="n"/>
    </row>
    <row r="100">
      <c r="A100" s="29" t="inlineStr">
        <is>
          <t>India Andaman Ola</t>
        </is>
      </c>
      <c r="B100" s="29" t="inlineStr">
        <is>
          <t>India</t>
        </is>
      </c>
      <c r="C100" s="30" t="inlineStr">
        <is>
          <t>Bambooflat Jetty → Shaheed Dweep Jetty</t>
        </is>
      </c>
      <c r="D100" s="31" t="n">
        <v>21.1</v>
      </c>
      <c r="E100" s="26" t="n">
        <v>22</v>
      </c>
      <c r="F100" s="32" t="inlineStr">
        <is>
          <t>T3</t>
        </is>
      </c>
      <c r="G100" s="32" t="inlineStr">
        <is>
          <t>med-low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5000</v>
      </c>
      <c r="AH100" s="32" t="inlineStr">
        <is>
          <t>T3</t>
        </is>
      </c>
      <c r="AI100" s="32" t="inlineStr">
        <is>
          <t>med-low</t>
        </is>
      </c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handoff/INDIA-ECONOMICS-SIDECAR-V0-2026-06-20.json (andaman)</t>
        </is>
      </c>
      <c r="AX100" s="44" t="inlineStr">
        <is>
          <t>handoff/INDIA-ECONOMICS-SIDECAR-V0-2026-06-20.json (andaman)</t>
        </is>
      </c>
    </row>
    <row r="101">
      <c r="A101" s="29" t="inlineStr">
        <is>
          <t>India Andaman Ola</t>
        </is>
      </c>
      <c r="B101" s="29" t="inlineStr">
        <is>
          <t>India</t>
        </is>
      </c>
      <c r="C101" s="30" t="inlineStr">
        <is>
          <t>Andaman → Office Of Assistant Engineer Civil, Andaman Lakshdweep Harbour Work Havelock</t>
        </is>
      </c>
      <c r="D101" s="31" t="n">
        <v>28.2</v>
      </c>
      <c r="E101" s="26" t="n">
        <v>22</v>
      </c>
      <c r="F101" s="32" t="inlineStr">
        <is>
          <t>T3</t>
        </is>
      </c>
      <c r="G101" s="32" t="inlineStr">
        <is>
          <t>med-low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MIN(15,FLOOR(60*service_hr/J101,1))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5000</v>
      </c>
      <c r="AH101" s="32" t="inlineStr">
        <is>
          <t>T3</t>
        </is>
      </c>
      <c r="AI101" s="32" t="inlineStr">
        <is>
          <t>med-low</t>
        </is>
      </c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inlineStr">
        <is>
          <t>handoff/INDIA-ECONOMICS-SIDECAR-V0-2026-06-20.json (andaman)</t>
        </is>
      </c>
      <c r="AX101" s="44" t="inlineStr">
        <is>
          <t>handoff/INDIA-ECONOMICS-SIDECAR-V0-2026-06-20.json (andaman)</t>
        </is>
      </c>
    </row>
    <row r="102">
      <c r="A102" s="29" t="inlineStr">
        <is>
          <t>India Andaman Ola</t>
        </is>
      </c>
      <c r="B102" s="29" t="inlineStr">
        <is>
          <t>India</t>
        </is>
      </c>
      <c r="C102" s="30" t="inlineStr">
        <is>
          <t>Andaman → APARUPA SANDS MARINA</t>
        </is>
      </c>
      <c r="D102" s="31" t="n">
        <v>29.4</v>
      </c>
      <c r="E102" s="26" t="n">
        <v>22</v>
      </c>
      <c r="F102" s="32" t="inlineStr">
        <is>
          <t>T3</t>
        </is>
      </c>
      <c r="G102" s="32" t="inlineStr">
        <is>
          <t>med-low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5000</v>
      </c>
      <c r="AH102" s="32" t="inlineStr">
        <is>
          <t>T3</t>
        </is>
      </c>
      <c r="AI102" s="32" t="inlineStr">
        <is>
          <t>med-low</t>
        </is>
      </c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inlineStr">
        <is>
          <t>handoff/INDIA-ECONOMICS-SIDECAR-V0-2026-06-20.json (andaman)</t>
        </is>
      </c>
      <c r="AX102" s="44" t="inlineStr">
        <is>
          <t>handoff/INDIA-ECONOMICS-SIDECAR-V0-2026-06-20.json (andaman)</t>
        </is>
      </c>
    </row>
    <row r="103">
      <c r="A103" s="45" t="inlineStr">
        <is>
          <t>TOTAL / median</t>
        </is>
      </c>
      <c r="T103" s="46">
        <f>SUM(T4:T102)</f>
        <v/>
      </c>
      <c r="AC103" s="46">
        <f>SUM(AC4:AC102)</f>
        <v/>
      </c>
      <c r="AD103" s="47">
        <f>IF(T103=0,"",AC103/T103)</f>
        <v/>
      </c>
      <c r="AL103" s="48">
        <f>SUM(AL4:AL102)</f>
        <v/>
      </c>
      <c r="AM103" s="46">
        <f>SUM(AM4:AM102)</f>
        <v/>
      </c>
    </row>
    <row r="105">
      <c r="A10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06">
      <c r="A106" s="24" t="inlineStr">
        <is>
          <t>Market</t>
        </is>
      </c>
      <c r="B106" s="24" t="inlineStr">
        <is>
          <t>Fleet basis</t>
        </is>
      </c>
      <c r="C106" s="24" t="inlineStr">
        <is>
          <t>Raw vessels (sum)</t>
        </is>
      </c>
      <c r="D106" s="24" t="inlineStr">
        <is>
          <t>Fleet (rounded once)</t>
        </is>
      </c>
      <c r="E106" s="24" t="inlineStr">
        <is>
          <t>Market rev/yr (raw sum)</t>
        </is>
      </c>
    </row>
    <row r="107">
      <c r="A107" s="25" t="inlineStr">
        <is>
          <t>India Andaman Ola</t>
        </is>
      </c>
      <c r="B107" s="13" t="inlineStr">
        <is>
          <t>network_sum / ceil</t>
        </is>
      </c>
      <c r="C107" s="23">
        <f>SUMIFS(AN4:AN102,A4:A102,"India Andaman Ola",AP4:AP102,"=",AQ4:AQ102,"=",AR4:AR102,"=")</f>
        <v/>
      </c>
      <c r="D107" s="49">
        <f>IF(C107=0,0,CEILING(C107,1))</f>
        <v/>
      </c>
      <c r="E107" s="50">
        <f>SUMIFS(AO4:AO102,A4:A102,"India Andaman Ola",AP4:AP102,"=",AQ4:AQ102,"=",AR4:AR102,"=")</f>
        <v/>
      </c>
    </row>
    <row r="108">
      <c r="A108" s="25" t="inlineStr">
        <is>
          <t>India Kolkata Ola</t>
        </is>
      </c>
      <c r="B108" s="13" t="inlineStr">
        <is>
          <t>network_sum</t>
        </is>
      </c>
      <c r="C108" s="23">
        <f>SUMIFS(AN4:AN102,A4:A102,"India Kolkata Ola",AP4:AP102,"=",AQ4:AQ102,"=",AR4:AR102,"=")</f>
        <v/>
      </c>
      <c r="D108" s="49">
        <f>ROUND(C108,0)</f>
        <v/>
      </c>
      <c r="E108" s="50">
        <f>SUMIFS(AO4:AO102,A4:A102,"India Kolkata Ola",AP4:AP102,"=",AQ4:AQ102,"=",AR4:AR102,"=")</f>
        <v/>
      </c>
    </row>
    <row r="109">
      <c r="A109" s="25" t="inlineStr">
        <is>
          <t>Ola Mumbai</t>
        </is>
      </c>
      <c r="B109" s="13" t="inlineStr">
        <is>
          <t>per_corridor_floor</t>
        </is>
      </c>
      <c r="C109" s="13" t="inlineStr">
        <is>
          <t>—</t>
        </is>
      </c>
      <c r="D109" s="49">
        <f>SUMIFS(AL4:AL102,A4:A102,"Ola Mumbai",AP4:AP102,"=",AQ4:AQ102,"=",AR4:AR102,"=")</f>
        <v/>
      </c>
      <c r="E109" s="50">
        <f>SUMIFS(AM4:AM102,A4:A102,"Ola Mumbai",AP4:AP102,"=",AQ4:AQ102,"=",AR4:AR102,"=")</f>
        <v/>
      </c>
    </row>
    <row r="110">
      <c r="A110" s="25" t="inlineStr">
        <is>
          <t>India Goa Ola</t>
        </is>
      </c>
      <c r="B110" s="13" t="inlineStr">
        <is>
          <t>network_sum / ceil</t>
        </is>
      </c>
      <c r="C110" s="23">
        <f>SUMIFS(AN4:AN102,A4:A102,"India Goa Ola",AP4:AP102,"=",AQ4:AQ102,"=",AR4:AR102,"=")</f>
        <v/>
      </c>
      <c r="D110" s="49">
        <f>IF(C110=0,0,CEILING(C110,1))</f>
        <v/>
      </c>
      <c r="E110" s="50">
        <f>SUMIFS(AO4:AO102,A4:A102,"India Goa Ola",AP4:AP102,"=",AQ4:AQ102,"=",AR4:AR102,"=")</f>
        <v/>
      </c>
    </row>
    <row r="111">
      <c r="A111" s="25" t="inlineStr">
        <is>
          <t>India Kerala Ola</t>
        </is>
      </c>
      <c r="B111" s="13" t="inlineStr">
        <is>
          <t>network_sum / ceil</t>
        </is>
      </c>
      <c r="C111" s="23">
        <f>SUMIFS(AN4:AN102,A4:A102,"India Kerala Ola",AP4:AP102,"=",AQ4:AQ102,"=",AR4:AR102,"=")</f>
        <v/>
      </c>
      <c r="D111" s="49">
        <f>IF(C111=0,0,CEILING(C111,1))</f>
        <v/>
      </c>
      <c r="E111" s="50">
        <f>SUMIFS(AO4:AO102,A4:A102,"India Kerala Ola",AP4:AP102,"=",AQ4:AQ102,"=",AR4:AR102,"=")</f>
        <v/>
      </c>
    </row>
    <row r="112">
      <c r="A112" s="25" t="inlineStr">
        <is>
          <t>India Mumbai Ola</t>
        </is>
      </c>
      <c r="B112" s="13" t="inlineStr">
        <is>
          <t>network_sum / ceil</t>
        </is>
      </c>
      <c r="C112" s="23">
        <f>SUMIFS(AN4:AN102,A4:A102,"India Mumbai Ola",AP4:AP102,"=",AQ4:AQ102,"=",AR4:AR102,"=")</f>
        <v/>
      </c>
      <c r="D112" s="49">
        <f>IF(C112=0,0,CEILING(C112,1))</f>
        <v/>
      </c>
      <c r="E112" s="50">
        <f>SUMIFS(AO4:AO102,A4:A102,"India Mumbai Ola",AP4:AP102,"=",AQ4:AQ102,"=",AR4:AR102,"=")</f>
        <v/>
      </c>
    </row>
    <row r="113">
      <c r="A113" s="25" t="inlineStr">
        <is>
          <t>India Chennai Ola</t>
        </is>
      </c>
      <c r="B113" s="13" t="inlineStr">
        <is>
          <t>network_sum</t>
        </is>
      </c>
      <c r="C113" s="23">
        <f>SUMIFS(AN4:AN102,A4:A102,"India Chennai Ola",AP4:AP102,"=",AQ4:AQ102,"=",AR4:AR102,"=")</f>
        <v/>
      </c>
      <c r="D113" s="49">
        <f>ROUND(C113,0)</f>
        <v/>
      </c>
      <c r="E113" s="50">
        <f>SUMIFS(AO4:AO102,A4:A102,"India Chennai Ola",AP4:AP102,"=",AQ4:AQ102,"=",AR4:AR102,"=")</f>
        <v/>
      </c>
    </row>
    <row r="114">
      <c r="A114" s="45" t="inlineStr">
        <is>
          <t>GROUNDED FLOOR (PUBLISHED)</t>
        </is>
      </c>
      <c r="D114" s="48">
        <f>SUM(D107:D113)</f>
        <v/>
      </c>
      <c r="E114" s="46">
        <f>SUM(E107:E113)</f>
        <v/>
      </c>
    </row>
    <row r="115">
      <c r="A115" s="20" t="inlineStr">
        <is>
          <t>ESTIMATED UPSIDE (LB-99 modal-shift / experience-upside tiers; held OUT of grounded floor)</t>
        </is>
      </c>
      <c r="D115" s="51">
        <f>SUMIF(AR4:AR102,"&lt;&gt;",AL4:AL102)</f>
        <v/>
      </c>
      <c r="E115" s="52">
        <f>SUMIF(AR4:AR102,"&lt;&gt;",AM4:AM102)</f>
        <v/>
      </c>
    </row>
    <row r="117">
      <c r="A117" s="53" t="inlineStr">
        <is>
          <t>Held for Quanta-LR (&gt;70nm, roadmap H2 2026+):</t>
        </is>
      </c>
      <c r="C117" s="54" t="inlineStr">
        <is>
          <t>Goa → Mumbai (213.3nm)</t>
        </is>
      </c>
    </row>
    <row r="118">
      <c r="C118" s="54" t="inlineStr">
        <is>
          <t>Chennai Port WQIV Cruise Terminal → Cuddalore Port (90.0nm)</t>
        </is>
      </c>
    </row>
    <row r="119">
      <c r="C119" s="54" t="inlineStr">
        <is>
          <t>Chennai Port WQIV Cruise Terminal → Puducherry Port (76.6nm)</t>
        </is>
      </c>
    </row>
  </sheetData>
  <mergeCells count="2">
    <mergeCell ref="A105:L10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2026-06-22T01:17:24Z</dcterms:created>
  <dcterms:modified xsi:type="dcterms:W3CDTF">2026-06-22T01:17:25Z</dcterms:modified>
</cp:coreProperties>
</file>