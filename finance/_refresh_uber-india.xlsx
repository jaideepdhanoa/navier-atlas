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load_thin">'Assumptions'!$B$34</definedName>
    <definedName name="revleg_thin">'Assumptions'!$C$34</definedName>
    <definedName name="load_mid">'Assumptions'!$B$35</definedName>
    <definedName name="revleg_mid">'Assumptions'!$C$35</definedName>
    <definedName name="load_full">'Assumptions'!$B$36</definedName>
    <definedName name="revleg_full">'Assumptions'!$C$36</definedName>
    <definedName name="band_tbl">'Assumptions'!$A$34:$C$36</definedName>
    <definedName name="scenario">'Assumptions'!$B$38</definedName>
    <definedName name="load_sel">'Assumptions'!$B$39</definedName>
    <definedName name="revleg_sel">'Assumptions'!$B$40</definedName>
    <definedName name="country_opex">'Country opex'!$A$4:$G$4</definedName>
    <definedName name="som_floor_fleet">'Corridor economics'!$D$27</definedName>
    <definedName name="som_floor_rev">'Corridor economics'!$E$27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Uber-India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</t>
        </is>
      </c>
    </row>
    <row r="15">
      <c r="B15" s="5" t="inlineStr">
        <is>
          <t xml:space="preserve">    OPEX = energy + crew + berth/port admin + maintenance + vessel insurance + fast-charge berth</t>
        </is>
      </c>
    </row>
    <row r="16">
      <c r="B16" s="4" t="inlineStr">
        <is>
          <t>PAYBACK = vessel CAPEX ÷ EBITDA</t>
        </is>
      </c>
    </row>
    <row r="17">
      <c r="B17" s="2" t="inlineStr"/>
    </row>
    <row r="18">
      <c r="B18" s="3" t="inlineStr">
        <is>
          <t>OPEX lines (per boat, per year — no double-counting)</t>
        </is>
      </c>
    </row>
    <row r="19">
      <c r="B19" s="2" t="inlineStr">
        <is>
          <t>Energy — variable propulsion cost: kWh on revenue sailings × local $/kWh (Country opex tab). Excludes utility demand charges.</t>
        </is>
      </c>
    </row>
    <row r="20">
      <c r="B20" s="2" t="inlineStr">
        <is>
          <t>Crew — fully-loaded captain + relief: local captain wage × crew FTE factor (Country opex + Assumptions).</t>
        </is>
      </c>
    </row>
    <row r="21">
      <c r="B21" s="2" t="inlineStr">
        <is>
          <t>Berth &amp; port admin — fixed annual berth, port fees, and local marine admin (Country opex tab). Excludes vessel H&amp;M+P&amp;I and fast-charge infrastructure.</t>
        </is>
      </c>
    </row>
    <row r="22">
      <c r="B22" s="2" t="inlineStr">
        <is>
          <t>Maintenance — vessel annual maintenance reserve (Assumptions tab).</t>
        </is>
      </c>
    </row>
    <row r="23">
      <c r="B23" s="2" t="inlineStr">
        <is>
          <t>Vessel insurance — commercial H&amp;M + P&amp;I as % of regional CAPEX (Assumptions % × Country opex CAPEX column).</t>
        </is>
      </c>
    </row>
    <row r="24">
      <c r="B24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5">
      <c r="B25" s="2" t="inlineStr"/>
    </row>
    <row r="26">
      <c r="B26" s="3" t="inlineStr">
        <is>
          <t>From demand pool to fleet &amp; market size</t>
        </is>
      </c>
    </row>
    <row r="27">
      <c r="B27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8">
      <c r="B28" s="2" t="inlineStr">
        <is>
          <t>Vessels supported = FLOOR(Navier rides/yr ÷ pax/yr per boat);  Market rev = vessels × rev/boat. The 'Market sizing' tab rolls these up into the SOM → SAM → TAM ladder.</t>
        </is>
      </c>
    </row>
    <row r="29">
      <c r="B29" s="2" t="inlineStr"/>
    </row>
    <row r="30">
      <c r="B30" s="3" t="inlineStr">
        <is>
          <t>The scenario toggle (what we flex)</t>
        </is>
      </c>
    </row>
    <row r="31">
      <c r="B31" s="2" t="inlineStr">
        <is>
          <t>'Corridor economics' has a SCENARIO cell = THIN / MID / FULL. It flexes load factor (occupancy) and revenue-leg factor (share of legs that earn full fare). Max trips/day is fixed across all three bands (see Assumptions). MID is the headline. Change SCENARIO and the whole model recomputes. Payback THIN/MID/FULL columns always show all three at once.</t>
        </is>
      </c>
    </row>
    <row r="32">
      <c r="B32" s="2" t="inlineStr"/>
    </row>
    <row r="33">
      <c r="B33" s="3" t="inlineStr">
        <is>
          <t>Colour &amp; provenance legend</t>
        </is>
      </c>
    </row>
    <row r="34">
      <c r="B34" s="6" t="inlineStr">
        <is>
          <t xml:space="preserve">   Yellow = INPUTS you can change (fare, distance, demand, weather).</t>
        </is>
      </c>
    </row>
    <row r="35">
      <c r="B35" s="7" t="inlineStr">
        <is>
          <t xml:space="preserve">   Green  = COMPUTED by formula.</t>
        </is>
      </c>
    </row>
    <row r="36">
      <c r="B36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15 across thin/mid/full 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Mechanical uptime</t>
        </is>
      </c>
      <c r="B21" s="17" t="n">
        <v>0.75</v>
      </c>
      <c r="C21" s="13" t="inlineStr">
        <is>
          <t>frac</t>
        </is>
      </c>
      <c r="D21" s="13" t="inlineStr">
        <is>
          <t>T4</t>
        </is>
      </c>
      <c r="E21" s="13" t="inlineStr">
        <is>
          <t>med</t>
        </is>
      </c>
      <c r="F21" s="14" t="inlineStr">
        <is>
          <t>Blade luxury aviation ~75-80% reliability uptime</t>
        </is>
      </c>
    </row>
    <row r="22">
      <c r="A22" s="11" t="inlineStr">
        <is>
          <t>Navier capture rate</t>
        </is>
      </c>
      <c r="B22" s="17" t="n">
        <v>0.1</v>
      </c>
      <c r="C22" s="13" t="inlineStr">
        <is>
          <t>frac</t>
        </is>
      </c>
      <c r="D22" s="13" t="inlineStr"/>
      <c r="E22" s="13" t="inlineStr">
        <is>
          <t>med</t>
        </is>
      </c>
      <c r="F22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1" t="inlineStr">
        <is>
          <t>Captive capture rate (A′ corridors)</t>
        </is>
      </c>
      <c r="B23" s="17" t="n">
        <v>0.9</v>
      </c>
      <c r="C23" s="13" t="inlineStr">
        <is>
          <t>frac</t>
        </is>
      </c>
      <c r="D23" s="13" t="inlineStr"/>
      <c r="E23" s="13" t="inlineStr">
        <is>
          <t>med</t>
        </is>
      </c>
      <c r="F23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1" t="inlineStr">
        <is>
          <t>Discount factor (vs comparable fare)</t>
        </is>
      </c>
      <c r="B24" s="16" t="n">
        <v>1</v>
      </c>
      <c r="C24" s="13" t="inlineStr">
        <is>
          <t>frac</t>
        </is>
      </c>
      <c r="D24" s="13" t="inlineStr">
        <is>
          <t>T1</t>
        </is>
      </c>
      <c r="E24" s="13" t="inlineStr">
        <is>
          <t>high</t>
        </is>
      </c>
      <c r="F24" s="14" t="inlineStr">
        <is>
          <t>Market parity — better product, not cheaper (locked).</t>
        </is>
      </c>
    </row>
    <row r="25">
      <c r="A25" s="11" t="inlineStr">
        <is>
          <t>Diesel CO₂ per gallon</t>
        </is>
      </c>
      <c r="B25" s="16" t="n">
        <v>10.21</v>
      </c>
      <c r="C25" s="13" t="inlineStr">
        <is>
          <t>kg/gal</t>
        </is>
      </c>
      <c r="D25" s="13" t="inlineStr">
        <is>
          <t>T1</t>
        </is>
      </c>
      <c r="E25" s="13" t="inlineStr">
        <is>
          <t>high</t>
        </is>
      </c>
      <c r="F25" s="14" t="inlineStr">
        <is>
          <t>US EPA: 10.21 kg CO2 per gallon marine/diesel</t>
        </is>
      </c>
    </row>
    <row r="27">
      <c r="A27" s="9" t="inlineStr">
        <is>
          <t>OPEX defaults  (global fallbacks — localized energy, crew, berth admin on Country opex tab)</t>
        </is>
      </c>
    </row>
    <row r="28">
      <c r="A28" s="10" t="inlineStr">
        <is>
          <t>Parameter</t>
        </is>
      </c>
      <c r="B28" s="10" t="inlineStr">
        <is>
          <t>Value</t>
        </is>
      </c>
      <c r="C28" s="10" t="inlineStr">
        <is>
          <t>Unit</t>
        </is>
      </c>
      <c r="D28" s="10" t="inlineStr">
        <is>
          <t>Tier</t>
        </is>
      </c>
      <c r="E28" s="10" t="inlineStr">
        <is>
          <t>Conf.</t>
        </is>
      </c>
      <c r="F28" s="10" t="inlineStr">
        <is>
          <t>Source / note</t>
        </is>
      </c>
    </row>
    <row r="29">
      <c r="A29" s="11" t="inlineStr">
        <is>
          <t>Vessel insurance — H&amp;M + P&amp;I (% of CAPEX/yr)</t>
        </is>
      </c>
      <c r="B29" s="17" t="n">
        <v>0.025</v>
      </c>
      <c r="C29" s="13" t="inlineStr">
        <is>
          <t>frac</t>
        </is>
      </c>
      <c r="D29" s="13" t="inlineStr">
        <is>
          <t>T3</t>
        </is>
      </c>
      <c r="E29" s="13" t="inlineStr">
        <is>
          <t>med</t>
        </is>
      </c>
      <c r="F29" s="14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1" t="inlineStr">
        <is>
          <t>Fast-charge berth &amp; demand charges (global default)</t>
        </is>
      </c>
      <c r="B30" s="15" t="n">
        <v>18000</v>
      </c>
      <c r="C30" s="13" t="inlineStr">
        <is>
          <t>USD/yr</t>
        </is>
      </c>
      <c r="D30" s="13" t="inlineStr">
        <is>
          <t>T3</t>
        </is>
      </c>
      <c r="E30" s="13" t="inlineStr">
        <is>
          <t>med</t>
        </is>
      </c>
      <c r="F30" s="14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9" t="inlineStr">
        <is>
          <t>Utilization scenarios  (load factor + revenue-leg factor)</t>
        </is>
      </c>
    </row>
    <row r="33">
      <c r="A33" s="10" t="inlineStr">
        <is>
          <t>Scenario</t>
        </is>
      </c>
      <c r="B33" s="10" t="inlineStr">
        <is>
          <t>Load factor</t>
        </is>
      </c>
      <c r="C33" s="10" t="inlineStr">
        <is>
          <t>Rev-leg factor</t>
        </is>
      </c>
      <c r="D33" s="10" t="inlineStr"/>
      <c r="E33" s="10" t="inlineStr"/>
      <c r="F33" s="10" t="inlineStr">
        <is>
          <t>Note</t>
        </is>
      </c>
    </row>
    <row r="34">
      <c r="A34" s="18" t="inlineStr">
        <is>
          <t>THIN</t>
        </is>
      </c>
      <c r="B34" s="19" t="n">
        <v>0.45</v>
      </c>
      <c r="C34" s="19" t="n">
        <v>0.55</v>
      </c>
      <c r="F34" s="14" t="inlineStr">
        <is>
          <t>thin/one-way/seasonal corridor — conservative floor</t>
        </is>
      </c>
    </row>
    <row r="35">
      <c r="A35" s="18" t="inlineStr">
        <is>
          <t>MID</t>
        </is>
      </c>
      <c r="B35" s="19" t="n">
        <v>0.55</v>
      </c>
      <c r="C35" s="19" t="n">
        <v>0.65</v>
      </c>
      <c r="F35" s="14" t="inlineStr">
        <is>
          <t>HEADLINE — realistic busy two-way corridor</t>
        </is>
      </c>
    </row>
    <row r="36">
      <c r="A36" s="18" t="inlineStr">
        <is>
          <t>FULL</t>
        </is>
      </c>
      <c r="B36" s="19" t="n">
        <v>0.7</v>
      </c>
      <c r="C36" s="19" t="n">
        <v>0.75</v>
      </c>
      <c r="F36" s="14" t="inlineStr">
        <is>
          <t>mature/dense corridor — optimistic ceiling</t>
        </is>
      </c>
    </row>
    <row r="38">
      <c r="A38" s="20" t="inlineStr">
        <is>
          <t>SCENARIO (toggle me)</t>
        </is>
      </c>
      <c r="B38" s="21" t="inlineStr">
        <is>
          <t>MID</t>
        </is>
      </c>
      <c r="C38" s="22" t="inlineStr">
        <is>
          <t>← set THIN / MID / FULL</t>
        </is>
      </c>
    </row>
    <row r="39">
      <c r="A39" s="11" t="inlineStr">
        <is>
          <t>Selected load factor</t>
        </is>
      </c>
      <c r="B39" s="23">
        <f>VLOOKUP(scenario,'Assumptions'!$A$34:$C$36,2,FALSE)</f>
        <v/>
      </c>
    </row>
    <row r="40">
      <c r="A40" s="11" t="inlineStr">
        <is>
          <t>Selected rev-leg factor</t>
        </is>
      </c>
      <c r="B40" s="23">
        <f>VLOOKUP(scenario,'Assumptions'!$A$34:$C$36,3,FALSE)</f>
        <v/>
      </c>
    </row>
  </sheetData>
  <mergeCells count="5">
    <mergeCell ref="A14:F14"/>
    <mergeCell ref="A1:F1"/>
    <mergeCell ref="A32:F32"/>
    <mergeCell ref="A27:F27"/>
    <mergeCell ref="A3:F3"/>
  </mergeCells>
  <dataValidations count="1">
    <dataValidation sqref="B3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localized inputs (crew, energy, berth admin, CAPEX)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Berth &amp; port admin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(crew | energy | berth admin)</t>
        </is>
      </c>
    </row>
    <row r="4">
      <c r="A4" s="25" t="inlineStr">
        <is>
          <t>India</t>
        </is>
      </c>
      <c r="B4" s="26" t="n">
        <v>19000</v>
      </c>
      <c r="C4" s="27" t="n">
        <v>0.08500000000000001</v>
      </c>
      <c r="D4" s="19" t="n">
        <v>0.727</v>
      </c>
      <c r="E4" s="26" t="n">
        <v>10000</v>
      </c>
      <c r="F4" s="19" t="n">
        <v>0.5</v>
      </c>
      <c r="G4" s="26" t="n">
        <v>600000</v>
      </c>
      <c r="H4" s="14" t="inlineStr">
        <is>
          <t>ERI Economic Research Institute ship-captain salary page for India (last updated 2026-06-20): average ship captain pay INR 1,588,602/yr, range INR 1,102,490-1,934,917. Converted at ~INR85/USD gives ~$18.7k average; model rounds to $19k/yr for India coastal passenger-vessel captain baseline. Deckhand/terminal staff are handled outside this country reference where applicable; source is salary-survey/commercial, not official wage order. | India Climate and Energy Dashboard (NITI/official-source aggregator) FY25: average cost of supply ₹7.10/kWh and average revenue ₹7.04/kWh; commercial billing-rate range shown ₹4.06-₹14.72/kWh, industrial range ₹3.43-₹13.69/kWh. Converted at ~INR85/USD: all-India average ~$0.083/kWh; use $0.085/kWh as blended commercial/marina charging baseline. | Modeled berth/insurance/admin/vessel-year. J.M. Baxi marina overview states Kochi International Marina is India’s first/only fully fledged international-standard marina, 36 berths expanding to 50, with fuel/water/electricity/sewage/maintenance; India still lacks widespread world-class marina supply and many boats use existing port berths. Use low-confidence $10k/yr, comparable to Indonesia/Philippines/Vietnam bands and below Thailand/Malaysia until market-specific marina quotes are captured.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3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2" customWidth="1" min="23" max="23"/>
    <col width="9" customWidth="1" min="24" max="24"/>
    <col width="12" customWidth="1" min="25" max="25"/>
    <col width="12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4" customWidth="1" min="43" max="43"/>
    <col width="16" customWidth="1" min="44" max="44"/>
    <col width="16" customWidth="1" min="45" max="45"/>
    <col width="9" customWidth="1" min="46" max="46"/>
    <col width="9" customWidth="1" min="47" max="47"/>
    <col width="9" customWidth="1" min="48" max="48"/>
    <col width="9" customWidth="1" min="49" max="49"/>
    <col width="50" customWidth="1" min="50" max="50"/>
    <col width="50" customWidth="1" min="51" max="51"/>
  </cols>
  <sheetData>
    <row r="1">
      <c r="A1" s="8" t="inlineStr">
        <is>
          <t>Navier × Uber-India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Berth &amp; port admin/yr</t>
        </is>
      </c>
      <c r="X3" s="24" t="inlineStr">
        <is>
          <t>Maint/yr</t>
        </is>
      </c>
      <c r="Y3" s="24" t="inlineStr">
        <is>
          <t>Vessel insurance/yr</t>
        </is>
      </c>
      <c r="Z3" s="24" t="inlineStr">
        <is>
          <t>Fast-charge 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Floor bucket (aggregate status)</t>
        </is>
      </c>
      <c r="AR3" s="24" t="inlineStr">
        <is>
          <t>Forward SAM (2030-dated; held OUT of grounded floor)</t>
        </is>
      </c>
      <c r="AS3" s="24" t="inlineStr">
        <is>
          <t>Upside tier (LB-99; held OUT of grounded floor)</t>
        </is>
      </c>
      <c r="AT3" s="24" t="inlineStr">
        <is>
          <t>Fleet ceiling (captive villas/25)</t>
        </is>
      </c>
      <c r="AU3" s="24" t="inlineStr">
        <is>
          <t>Payback THIN</t>
        </is>
      </c>
      <c r="AV3" s="24" t="inlineStr">
        <is>
          <t>Payback MID</t>
        </is>
      </c>
      <c r="AW3" s="24" t="inlineStr">
        <is>
          <t>Payback FULL</t>
        </is>
      </c>
      <c r="AX3" s="24" t="inlineStr">
        <is>
          <t>Fare source (provenance)</t>
        </is>
      </c>
      <c r="AY3" s="24" t="inlineStr">
        <is>
          <t>Demand source (provenance)</t>
        </is>
      </c>
    </row>
    <row r="4">
      <c r="A4" s="29" t="inlineStr">
        <is>
          <t>India Kolkata Uber India</t>
        </is>
      </c>
      <c r="B4" s="29" t="inlineStr">
        <is>
          <t>India</t>
        </is>
      </c>
      <c r="C4" s="30" t="inlineStr">
        <is>
          <t>Howrah Ferry Ghat → Fairlie Place Ferry</t>
        </is>
      </c>
      <c r="D4" s="31" t="n">
        <v>0.8</v>
      </c>
      <c r="E4" s="26" t="n">
        <v>18</v>
      </c>
      <c r="F4" s="32" t="n"/>
      <c r="G4" s="32" t="n"/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1600000</v>
      </c>
      <c r="AH4" s="32" t="n"/>
      <c r="AI4" s="32" t="n"/>
      <c r="AJ4" s="39" t="n">
        <v>0.1</v>
      </c>
      <c r="AK4" s="34">
        <f>IF(AG4="","",AG4*AJ4)</f>
        <v/>
      </c>
      <c r="AL4" s="34">
        <f>IF(OR(AG4="",R4=0),"",MIN(IF(AT4="",9.9E+99,AT4),FLOOR(AK4/R4,1)))</f>
        <v/>
      </c>
      <c r="AM4" s="38">
        <f>IF(AL4="","",AL4*T4)</f>
        <v/>
      </c>
      <c r="AN4" s="36">
        <f>IF(OR(AG4="",R4=0),"",MIN(IF(AT4="",9.9E+99,AT4),AK4/R4))</f>
        <v/>
      </c>
      <c r="AO4" s="38">
        <f>IF(AN4="","",AN4*T4)</f>
        <v/>
      </c>
      <c r="AP4" s="40" t="n"/>
      <c r="AQ4" s="32" t="inlineStr">
        <is>
          <t>Grounded</t>
        </is>
      </c>
      <c r="AR4" s="41" t="n"/>
      <c r="AS4" s="41" t="n"/>
      <c r="AT4" s="42" t="n"/>
      <c r="AU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V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W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X4" s="44" t="inlineStr">
        <is>
          <t xml:space="preserve">[LB-255 PREMIUM RE-FARE: subsidized comparable $2.5 lifted to premium on-demand floor $18.0] </t>
        </is>
      </c>
      <c r="AY4" s="44" t="n"/>
    </row>
    <row r="5">
      <c r="A5" s="29" t="inlineStr">
        <is>
          <t>India Kolkata Uber India</t>
        </is>
      </c>
      <c r="B5" s="29" t="inlineStr">
        <is>
          <t>India</t>
        </is>
      </c>
      <c r="C5" s="30" t="inlineStr">
        <is>
          <t>Howrah Ferry Ghat → Millennium Park Jetty</t>
        </is>
      </c>
      <c r="D5" s="31" t="n">
        <v>0.9</v>
      </c>
      <c r="E5" s="26" t="n">
        <v>18</v>
      </c>
      <c r="F5" s="32" t="n"/>
      <c r="G5" s="32" t="n"/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1600000</v>
      </c>
      <c r="AH5" s="32" t="n"/>
      <c r="AI5" s="32" t="n"/>
      <c r="AJ5" s="39" t="n">
        <v>0.1</v>
      </c>
      <c r="AK5" s="34">
        <f>IF(AG5="","",AG5*AJ5)</f>
        <v/>
      </c>
      <c r="AL5" s="34">
        <f>IF(OR(AG5="",R5=0),"",MIN(IF(AT5="",9.9E+99,AT5),FLOOR(AK5/R5,1)))</f>
        <v/>
      </c>
      <c r="AM5" s="38">
        <f>IF(AL5="","",AL5*T5)</f>
        <v/>
      </c>
      <c r="AN5" s="36">
        <f>IF(OR(AG5="",R5=0),"",MIN(IF(AT5="",9.9E+99,AT5),AK5/R5))</f>
        <v/>
      </c>
      <c r="AO5" s="38">
        <f>IF(AN5="","",AN5*T5)</f>
        <v/>
      </c>
      <c r="AP5" s="40" t="n"/>
      <c r="AQ5" s="32" t="inlineStr">
        <is>
          <t>Grounded</t>
        </is>
      </c>
      <c r="AR5" s="41" t="n"/>
      <c r="AS5" s="41" t="n"/>
      <c r="AT5" s="42" t="n"/>
      <c r="AU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V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W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X5" s="44" t="inlineStr">
        <is>
          <t xml:space="preserve">[LB-255 PREMIUM RE-FARE: subsidized comparable $2.5 lifted to premium on-demand floor $18.0] </t>
        </is>
      </c>
      <c r="AY5" s="44" t="n"/>
    </row>
    <row r="6">
      <c r="A6" s="29" t="inlineStr">
        <is>
          <t>India Kolkata Uber India</t>
        </is>
      </c>
      <c r="B6" s="29" t="inlineStr">
        <is>
          <t>India</t>
        </is>
      </c>
      <c r="C6" s="30" t="inlineStr">
        <is>
          <t>Dakshineswar Ferry Ghat → Belur Math Ferry Ghat</t>
        </is>
      </c>
      <c r="D6" s="31" t="n">
        <v>1.3</v>
      </c>
      <c r="E6" s="26" t="n">
        <v>18</v>
      </c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1600000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IF(OR(AG6="",R6=0),"",MIN(IF(AT6="",9.9E+99,AT6),FLOOR(AK6/R6,1)))</f>
        <v/>
      </c>
      <c r="AM6" s="38">
        <f>IF(AL6="","",AL6*T6)</f>
        <v/>
      </c>
      <c r="AN6" s="36">
        <f>IF(OR(AG6="",R6=0),"",MIN(IF(AT6="",9.9E+99,AT6),AK6/R6))</f>
        <v/>
      </c>
      <c r="AO6" s="38">
        <f>IF(AN6="","",AN6*T6)</f>
        <v/>
      </c>
      <c r="AP6" s="40" t="n"/>
      <c r="AQ6" s="32" t="inlineStr">
        <is>
          <t>Grounded</t>
        </is>
      </c>
      <c r="AR6" s="41" t="n"/>
      <c r="AS6" s="41" t="n"/>
      <c r="AT6" s="42" t="n"/>
      <c r="AU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V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W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X6" s="44" t="inlineStr">
        <is>
          <t xml:space="preserve">[LB-255 PREMIUM RE-FARE: subsidized comparable $2.5 lifted to premium on-demand floor $18.0] </t>
        </is>
      </c>
      <c r="AY6" s="44" t="n"/>
    </row>
    <row r="7">
      <c r="A7" s="29" t="inlineStr">
        <is>
          <t>India Kolkata Uber India</t>
        </is>
      </c>
      <c r="B7" s="29" t="inlineStr">
        <is>
          <t>India</t>
        </is>
      </c>
      <c r="C7" s="30" t="inlineStr">
        <is>
          <t>Fairlie Place Ferry → Bagbazar Ghat</t>
        </is>
      </c>
      <c r="D7" s="31" t="n">
        <v>1.7</v>
      </c>
      <c r="E7" s="26" t="n">
        <v>18</v>
      </c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>
        <v>1600000</v>
      </c>
      <c r="AH7" s="32" t="n"/>
      <c r="AI7" s="32" t="n"/>
      <c r="AJ7" s="39" t="n">
        <v>0.1</v>
      </c>
      <c r="AK7" s="34">
        <f>IF(AG7="","",AG7*AJ7)</f>
        <v/>
      </c>
      <c r="AL7" s="34">
        <f>IF(OR(AG7="",R7=0),"",MIN(IF(AT7="",9.9E+99,AT7),FLOOR(AK7/R7,1)))</f>
        <v/>
      </c>
      <c r="AM7" s="38">
        <f>IF(AL7="","",AL7*T7)</f>
        <v/>
      </c>
      <c r="AN7" s="36">
        <f>IF(OR(AG7="",R7=0),"",MIN(IF(AT7="",9.9E+99,AT7),AK7/R7))</f>
        <v/>
      </c>
      <c r="AO7" s="38">
        <f>IF(AN7="","",AN7*T7)</f>
        <v/>
      </c>
      <c r="AP7" s="40" t="n"/>
      <c r="AQ7" s="32" t="inlineStr">
        <is>
          <t>Grounded</t>
        </is>
      </c>
      <c r="AR7" s="41" t="n"/>
      <c r="AS7" s="41" t="n"/>
      <c r="AT7" s="42" t="n"/>
      <c r="AU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V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W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X7" s="44" t="inlineStr">
        <is>
          <t xml:space="preserve">[LB-255 PREMIUM RE-FARE: subsidized comparable $2.5 lifted to premium on-demand floor $18.0] </t>
        </is>
      </c>
      <c r="AY7" s="44" t="n"/>
    </row>
    <row r="8">
      <c r="A8" s="29" t="inlineStr">
        <is>
          <t>Uber Mumbai</t>
        </is>
      </c>
      <c r="B8" s="29" t="inlineStr">
        <is>
          <t>India</t>
        </is>
      </c>
      <c r="C8" s="30" t="inlineStr">
        <is>
          <t>Bombay Harbour → Elephanta Caves</t>
        </is>
      </c>
      <c r="D8" s="31" t="n">
        <v>3.2</v>
      </c>
      <c r="E8" s="26" t="n"/>
      <c r="F8" s="32" t="inlineStr">
        <is>
          <t>T3</t>
        </is>
      </c>
      <c r="G8" s="32" t="inlineStr">
        <is>
          <t>med-low</t>
        </is>
      </c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/>
      <c r="AH8" s="32" t="inlineStr">
        <is>
          <t>T3</t>
        </is>
      </c>
      <c r="AI8" s="32" t="inlineStr">
        <is>
          <t>partial-load-anchor-only</t>
        </is>
      </c>
      <c r="AJ8" s="39" t="n">
        <v>0.1</v>
      </c>
      <c r="AK8" s="34">
        <f>IF(AG8="","",AG8*AJ8)</f>
        <v/>
      </c>
      <c r="AL8" s="34">
        <f>IF(OR(AG8="",R8=0),"",MIN(IF(AT8="",9.9E+99,AT8),FLOOR(AK8/R8,1)))</f>
        <v/>
      </c>
      <c r="AM8" s="38">
        <f>IF(AL8="","",AL8*T8)</f>
        <v/>
      </c>
      <c r="AN8" s="36">
        <f>IF(OR(AG8="",R8=0),"",MIN(IF(AT8="",9.9E+99,AT8),AK8/R8))</f>
        <v/>
      </c>
      <c r="AO8" s="38">
        <f>IF(AN8="","",AN8*T8)</f>
        <v/>
      </c>
      <c r="AP8" s="40" t="n"/>
      <c r="AQ8" s="32" t="inlineStr">
        <is>
          <t>Upside tier</t>
        </is>
      </c>
      <c r="AR8" s="41" t="n"/>
      <c r="AS8" s="41" t="inlineStr">
        <is>
          <t>experience_upside</t>
        </is>
      </c>
      <c r="AT8" s="42" t="n"/>
      <c r="AU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V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W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X8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8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9">
      <c r="A9" s="29" t="inlineStr">
        <is>
          <t>India Chennai Uber India</t>
        </is>
      </c>
      <c r="B9" s="29" t="inlineStr">
        <is>
          <t>India</t>
        </is>
      </c>
      <c r="C9" s="30" t="inlineStr">
        <is>
          <t>Chennai Port WQIV Cruise Terminal → Marina Beach Waterfront</t>
        </is>
      </c>
      <c r="D9" s="31" t="n">
        <v>3.2</v>
      </c>
      <c r="E9" s="26" t="n">
        <v>12</v>
      </c>
      <c r="F9" s="32" t="n"/>
      <c r="G9" s="32" t="n"/>
      <c r="H9" s="19" t="n">
        <v>1</v>
      </c>
      <c r="I9" s="33">
        <f>60*D9/cruise_kt</f>
        <v/>
      </c>
      <c r="J9" s="33">
        <f>I9+turn_min+dwell_min</f>
        <v/>
      </c>
      <c r="K9" s="34">
        <f>MIN(15,FLOOR(60*service_hr/J9,1))</f>
        <v/>
      </c>
      <c r="L9" s="34">
        <f>ROUND(365*mech_uptime*H9,0)</f>
        <v/>
      </c>
      <c r="M9" s="35">
        <f>mech_uptime</f>
        <v/>
      </c>
      <c r="N9" s="35">
        <f>revleg_sel</f>
        <v/>
      </c>
      <c r="O9" s="34">
        <f>ROUND(K9*L9*revleg_sel,0)</f>
        <v/>
      </c>
      <c r="P9" s="36">
        <f>load_sel</f>
        <v/>
      </c>
      <c r="Q9" s="36">
        <f>pax_cap*P9</f>
        <v/>
      </c>
      <c r="R9" s="34">
        <f>Q9*O9</f>
        <v/>
      </c>
      <c r="S9" s="37">
        <f>E9*discount</f>
        <v/>
      </c>
      <c r="T9" s="38">
        <f>S9*R9</f>
        <v/>
      </c>
      <c r="U9" s="38">
        <f>(battery/range_nm)*D9*O9*VLOOKUP(B9,country_opex,3,FALSE)</f>
        <v/>
      </c>
      <c r="V9" s="38">
        <f>VLOOKUP(B9,country_opex,2,FALSE)*crew_factor</f>
        <v/>
      </c>
      <c r="W9" s="38">
        <f>VLOOKUP(B9,country_opex,5,FALSE)</f>
        <v/>
      </c>
      <c r="X9" s="38">
        <f>maint</f>
        <v/>
      </c>
      <c r="Y9" s="38">
        <f>VLOOKUP(B9,country_opex,7,FALSE)*ins_pct</f>
        <v/>
      </c>
      <c r="Z9" s="38">
        <f>charge_berth</f>
        <v/>
      </c>
      <c r="AA9" s="38">
        <f>U9+V9+W9+X9+Y9+Z9</f>
        <v/>
      </c>
      <c r="AB9" s="38">
        <f>VLOOKUP(B9,country_opex,7,FALSE)/dep_years</f>
        <v/>
      </c>
      <c r="AC9" s="38">
        <f>T9-AA9</f>
        <v/>
      </c>
      <c r="AD9" s="35">
        <f>IF(T9=0,"",AC9/T9)</f>
        <v/>
      </c>
      <c r="AE9" s="36">
        <f>IF(AC9&lt;=0,"",VLOOKUP(B9,country_opex,7,FALSE)/AC9)</f>
        <v/>
      </c>
      <c r="AF9" s="33">
        <f>((D9*O9/diesel_nmpg)*diesel_co2pg-(battery/range_nm)*D9*O9*VLOOKUP(B9,country_opex,4,FALSE))/1000</f>
        <v/>
      </c>
      <c r="AG9" s="31" t="n">
        <v>400000</v>
      </c>
      <c r="AH9" s="32" t="n"/>
      <c r="AI9" s="32" t="n"/>
      <c r="AJ9" s="39" t="n">
        <v>0.1</v>
      </c>
      <c r="AK9" s="34">
        <f>IF(AG9="","",AG9*AJ9)</f>
        <v/>
      </c>
      <c r="AL9" s="34">
        <f>IF(OR(AG9="",R9=0),"",MIN(IF(AT9="",9.9E+99,AT9),FLOOR(AK9/R9,1)))</f>
        <v/>
      </c>
      <c r="AM9" s="38">
        <f>IF(AL9="","",AL9*T9)</f>
        <v/>
      </c>
      <c r="AN9" s="36">
        <f>IF(OR(AG9="",R9=0),"",MIN(IF(AT9="",9.9E+99,AT9),AK9/R9))</f>
        <v/>
      </c>
      <c r="AO9" s="38">
        <f>IF(AN9="","",AN9*T9)</f>
        <v/>
      </c>
      <c r="AP9" s="40" t="n"/>
      <c r="AQ9" s="32" t="inlineStr">
        <is>
          <t>Grounded</t>
        </is>
      </c>
      <c r="AR9" s="41" t="n"/>
      <c r="AS9" s="41" t="n"/>
      <c r="AT9" s="42" t="n"/>
      <c r="AU9" s="43">
        <f>IF(((S9*pax_cap*load_thin*ROUND(K9*L9*revleg_thin,0))-(((battery/range_nm)*D9*ROUND(K9*L9*revleg_thin,0)*VLOOKUP(B9,country_opex,3,FALSE))+V9+W9+X9+Y9+Z9))&lt;=0,"",VLOOKUP(B9,country_opex,7,FALSE)/((S9*pax_cap*load_thin*ROUND(K9*L9*revleg_thin,0))-(((battery/range_nm)*D9*ROUND(K9*L9*revleg_thin,0)*VLOOKUP(B9,country_opex,3,FALSE))+V9+W9+X9+Y9+Z9)))</f>
        <v/>
      </c>
      <c r="AV9" s="43">
        <f>IF(((S9*pax_cap*load_mid*ROUND(K9*L9*revleg_mid,0))-(((battery/range_nm)*D9*ROUND(K9*L9*revleg_mid,0)*VLOOKUP(B9,country_opex,3,FALSE))+V9+W9+X9+Y9+Z9))&lt;=0,"",VLOOKUP(B9,country_opex,7,FALSE)/((S9*pax_cap*load_mid*ROUND(K9*L9*revleg_mid,0))-(((battery/range_nm)*D9*ROUND(K9*L9*revleg_mid,0)*VLOOKUP(B9,country_opex,3,FALSE))+V9+W9+X9+Y9+Z9)))</f>
        <v/>
      </c>
      <c r="AW9" s="43">
        <f>IF(((S9*pax_cap*load_full*ROUND(K9*L9*revleg_full,0))-(((battery/range_nm)*D9*ROUND(K9*L9*revleg_full,0)*VLOOKUP(B9,country_opex,3,FALSE))+V9+W9+X9+Y9+Z9))&lt;=0,"",VLOOKUP(B9,country_opex,7,FALSE)/((S9*pax_cap*load_full*ROUND(K9*L9*revleg_full,0))-(((battery/range_nm)*D9*ROUND(K9*L9*revleg_full,0)*VLOOKUP(B9,country_opex,3,FALSE))+V9+W9+X9+Y9+Z9)))</f>
        <v/>
      </c>
      <c r="AX9" s="44" t="n"/>
      <c r="AY9" s="44" t="n"/>
    </row>
    <row r="10">
      <c r="A10" s="29" t="inlineStr">
        <is>
          <t>Uber Mumbai</t>
        </is>
      </c>
      <c r="B10" s="29" t="inlineStr">
        <is>
          <t>India</t>
        </is>
      </c>
      <c r="C10" s="30" t="inlineStr">
        <is>
          <t>Gateway of India → Mumbai Harbour</t>
        </is>
      </c>
      <c r="D10" s="31" t="n">
        <v>3.5</v>
      </c>
      <c r="E10" s="26" t="n"/>
      <c r="F10" s="32" t="inlineStr">
        <is>
          <t>T3</t>
        </is>
      </c>
      <c r="G10" s="32" t="inlineStr">
        <is>
          <t>med-low</t>
        </is>
      </c>
      <c r="H10" s="19" t="n">
        <v>1</v>
      </c>
      <c r="I10" s="33">
        <f>60*D10/cruise_kt</f>
        <v/>
      </c>
      <c r="J10" s="33">
        <f>I10+turn_min+dwell_min</f>
        <v/>
      </c>
      <c r="K10" s="34">
        <f>MIN(15,FLOOR(60*service_hr/J10,1))</f>
        <v/>
      </c>
      <c r="L10" s="34">
        <f>ROUND(365*mech_uptime*H10,0)</f>
        <v/>
      </c>
      <c r="M10" s="35">
        <f>mech_uptime</f>
        <v/>
      </c>
      <c r="N10" s="35">
        <f>revleg_sel</f>
        <v/>
      </c>
      <c r="O10" s="34">
        <f>ROUND(K10*L10*revleg_sel,0)</f>
        <v/>
      </c>
      <c r="P10" s="36">
        <f>load_sel</f>
        <v/>
      </c>
      <c r="Q10" s="36">
        <f>pax_cap*P10</f>
        <v/>
      </c>
      <c r="R10" s="34">
        <f>Q10*O10</f>
        <v/>
      </c>
      <c r="S10" s="37">
        <f>E10*discount</f>
        <v/>
      </c>
      <c r="T10" s="38">
        <f>S10*R10</f>
        <v/>
      </c>
      <c r="U10" s="38">
        <f>(battery/range_nm)*D10*O10*VLOOKUP(B10,country_opex,3,FALSE)</f>
        <v/>
      </c>
      <c r="V10" s="38">
        <f>VLOOKUP(B10,country_opex,2,FALSE)*crew_factor</f>
        <v/>
      </c>
      <c r="W10" s="38">
        <f>VLOOKUP(B10,country_opex,5,FALSE)</f>
        <v/>
      </c>
      <c r="X10" s="38">
        <f>maint</f>
        <v/>
      </c>
      <c r="Y10" s="38">
        <f>VLOOKUP(B10,country_opex,7,FALSE)*ins_pct</f>
        <v/>
      </c>
      <c r="Z10" s="38">
        <f>charge_berth</f>
        <v/>
      </c>
      <c r="AA10" s="38">
        <f>U10+V10+W10+X10+Y10+Z10</f>
        <v/>
      </c>
      <c r="AB10" s="38">
        <f>VLOOKUP(B10,country_opex,7,FALSE)/dep_years</f>
        <v/>
      </c>
      <c r="AC10" s="38">
        <f>T10-AA10</f>
        <v/>
      </c>
      <c r="AD10" s="35">
        <f>IF(T10=0,"",AC10/T10)</f>
        <v/>
      </c>
      <c r="AE10" s="36">
        <f>IF(AC10&lt;=0,"",VLOOKUP(B10,country_opex,7,FALSE)/AC10)</f>
        <v/>
      </c>
      <c r="AF10" s="33">
        <f>((D10*O10/diesel_nmpg)*diesel_co2pg-(battery/range_nm)*D10*O10*VLOOKUP(B10,country_opex,4,FALSE))/1000</f>
        <v/>
      </c>
      <c r="AG10" s="31" t="n"/>
      <c r="AH10" s="32" t="inlineStr">
        <is>
          <t>T3</t>
        </is>
      </c>
      <c r="AI10" s="32" t="inlineStr">
        <is>
          <t>partial-load-anchor-only</t>
        </is>
      </c>
      <c r="AJ10" s="39" t="n">
        <v>0.1</v>
      </c>
      <c r="AK10" s="34">
        <f>IF(AG10="","",AG10*AJ10)</f>
        <v/>
      </c>
      <c r="AL10" s="34">
        <f>IF(OR(AG10="",R10=0),"",MIN(IF(AT10="",9.9E+99,AT10),FLOOR(AK10/R10,1)))</f>
        <v/>
      </c>
      <c r="AM10" s="38">
        <f>IF(AL10="","",AL10*T10)</f>
        <v/>
      </c>
      <c r="AN10" s="36">
        <f>IF(OR(AG10="",R10=0),"",MIN(IF(AT10="",9.9E+99,AT10),AK10/R10))</f>
        <v/>
      </c>
      <c r="AO10" s="38">
        <f>IF(AN10="","",AN10*T10)</f>
        <v/>
      </c>
      <c r="AP10" s="40" t="n"/>
      <c r="AQ10" s="32" t="inlineStr">
        <is>
          <t>Upside tier</t>
        </is>
      </c>
      <c r="AR10" s="41" t="n"/>
      <c r="AS10" s="41" t="inlineStr">
        <is>
          <t>experience_upside</t>
        </is>
      </c>
      <c r="AT10" s="42" t="n"/>
      <c r="AU10" s="43">
        <f>IF(((S10*pax_cap*load_thin*ROUND(K10*L10*revleg_thin,0))-(((battery/range_nm)*D10*ROUND(K10*L10*revleg_thin,0)*VLOOKUP(B10,country_opex,3,FALSE))+V10+W10+X10+Y10+Z10))&lt;=0,"",VLOOKUP(B10,country_opex,7,FALSE)/((S10*pax_cap*load_thin*ROUND(K10*L10*revleg_thin,0))-(((battery/range_nm)*D10*ROUND(K10*L10*revleg_thin,0)*VLOOKUP(B10,country_opex,3,FALSE))+V10+W10+X10+Y10+Z10)))</f>
        <v/>
      </c>
      <c r="AV10" s="43">
        <f>IF(((S10*pax_cap*load_mid*ROUND(K10*L10*revleg_mid,0))-(((battery/range_nm)*D10*ROUND(K10*L10*revleg_mid,0)*VLOOKUP(B10,country_opex,3,FALSE))+V10+W10+X10+Y10+Z10))&lt;=0,"",VLOOKUP(B10,country_opex,7,FALSE)/((S10*pax_cap*load_mid*ROUND(K10*L10*revleg_mid,0))-(((battery/range_nm)*D10*ROUND(K10*L10*revleg_mid,0)*VLOOKUP(B10,country_opex,3,FALSE))+V10+W10+X10+Y10+Z10)))</f>
        <v/>
      </c>
      <c r="AW10" s="43">
        <f>IF(((S10*pax_cap*load_full*ROUND(K10*L10*revleg_full,0))-(((battery/range_nm)*D10*ROUND(K10*L10*revleg_full,0)*VLOOKUP(B10,country_opex,3,FALSE))+V10+W10+X10+Y10+Z10))&lt;=0,"",VLOOKUP(B10,country_opex,7,FALSE)/((S10*pax_cap*load_full*ROUND(K10*L10*revleg_full,0))-(((battery/range_nm)*D10*ROUND(K10*L10*revleg_full,0)*VLOOKUP(B10,country_opex,3,FALSE))+V10+W10+X10+Y10+Z10)))</f>
        <v/>
      </c>
      <c r="AX10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0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1">
      <c r="A11" s="29" t="inlineStr">
        <is>
          <t>Uber Mumbai</t>
        </is>
      </c>
      <c r="B11" s="29" t="inlineStr">
        <is>
          <t>India</t>
        </is>
      </c>
      <c r="C11" s="30" t="inlineStr">
        <is>
          <t>Mora → Elephanta Caves</t>
        </is>
      </c>
      <c r="D11" s="31" t="n">
        <v>3.8</v>
      </c>
      <c r="E11" s="26" t="n"/>
      <c r="F11" s="32" t="inlineStr">
        <is>
          <t>T3</t>
        </is>
      </c>
      <c r="G11" s="32" t="inlineStr">
        <is>
          <t>med-low</t>
        </is>
      </c>
      <c r="H11" s="19" t="n">
        <v>1</v>
      </c>
      <c r="I11" s="33">
        <f>60*D11/cruise_kt</f>
        <v/>
      </c>
      <c r="J11" s="33">
        <f>I11+turn_min+dwell_min</f>
        <v/>
      </c>
      <c r="K11" s="34">
        <f>MIN(15,FLOOR(60*service_hr/J11,1))</f>
        <v/>
      </c>
      <c r="L11" s="34">
        <f>ROUND(365*mech_uptime*H11,0)</f>
        <v/>
      </c>
      <c r="M11" s="35">
        <f>mech_uptime</f>
        <v/>
      </c>
      <c r="N11" s="35">
        <f>revleg_sel</f>
        <v/>
      </c>
      <c r="O11" s="34">
        <f>ROUND(K11*L11*revleg_sel,0)</f>
        <v/>
      </c>
      <c r="P11" s="36">
        <f>load_sel</f>
        <v/>
      </c>
      <c r="Q11" s="36">
        <f>pax_cap*P11</f>
        <v/>
      </c>
      <c r="R11" s="34">
        <f>Q11*O11</f>
        <v/>
      </c>
      <c r="S11" s="37">
        <f>E11*discount</f>
        <v/>
      </c>
      <c r="T11" s="38">
        <f>S11*R11</f>
        <v/>
      </c>
      <c r="U11" s="38">
        <f>(battery/range_nm)*D11*O11*VLOOKUP(B11,country_opex,3,FALSE)</f>
        <v/>
      </c>
      <c r="V11" s="38">
        <f>VLOOKUP(B11,country_opex,2,FALSE)*crew_factor</f>
        <v/>
      </c>
      <c r="W11" s="38">
        <f>VLOOKUP(B11,country_opex,5,FALSE)</f>
        <v/>
      </c>
      <c r="X11" s="38">
        <f>maint</f>
        <v/>
      </c>
      <c r="Y11" s="38">
        <f>VLOOKUP(B11,country_opex,7,FALSE)*ins_pct</f>
        <v/>
      </c>
      <c r="Z11" s="38">
        <f>charge_berth</f>
        <v/>
      </c>
      <c r="AA11" s="38">
        <f>U11+V11+W11+X11+Y11+Z11</f>
        <v/>
      </c>
      <c r="AB11" s="38">
        <f>VLOOKUP(B11,country_opex,7,FALSE)/dep_years</f>
        <v/>
      </c>
      <c r="AC11" s="38">
        <f>T11-AA11</f>
        <v/>
      </c>
      <c r="AD11" s="35">
        <f>IF(T11=0,"",AC11/T11)</f>
        <v/>
      </c>
      <c r="AE11" s="36">
        <f>IF(AC11&lt;=0,"",VLOOKUP(B11,country_opex,7,FALSE)/AC11)</f>
        <v/>
      </c>
      <c r="AF11" s="33">
        <f>((D11*O11/diesel_nmpg)*diesel_co2pg-(battery/range_nm)*D11*O11*VLOOKUP(B11,country_opex,4,FALSE))/1000</f>
        <v/>
      </c>
      <c r="AG11" s="31" t="n"/>
      <c r="AH11" s="32" t="inlineStr">
        <is>
          <t>T3</t>
        </is>
      </c>
      <c r="AI11" s="32" t="inlineStr">
        <is>
          <t>partial-load-anchor-only</t>
        </is>
      </c>
      <c r="AJ11" s="39" t="n">
        <v>0.1</v>
      </c>
      <c r="AK11" s="34">
        <f>IF(AG11="","",AG11*AJ11)</f>
        <v/>
      </c>
      <c r="AL11" s="34">
        <f>IF(OR(AG11="",R11=0),"",MIN(IF(AT11="",9.9E+99,AT11),FLOOR(AK11/R11,1)))</f>
        <v/>
      </c>
      <c r="AM11" s="38">
        <f>IF(AL11="","",AL11*T11)</f>
        <v/>
      </c>
      <c r="AN11" s="36">
        <f>IF(OR(AG11="",R11=0),"",MIN(IF(AT11="",9.9E+99,AT11),AK11/R11))</f>
        <v/>
      </c>
      <c r="AO11" s="38">
        <f>IF(AN11="","",AN11*T11)</f>
        <v/>
      </c>
      <c r="AP11" s="40" t="n"/>
      <c r="AQ11" s="32" t="inlineStr">
        <is>
          <t>Upside tier</t>
        </is>
      </c>
      <c r="AR11" s="41" t="n"/>
      <c r="AS11" s="41" t="inlineStr">
        <is>
          <t>experience_upside</t>
        </is>
      </c>
      <c r="AT11" s="42" t="n"/>
      <c r="AU11" s="43">
        <f>IF(((S11*pax_cap*load_thin*ROUND(K11*L11*revleg_thin,0))-(((battery/range_nm)*D11*ROUND(K11*L11*revleg_thin,0)*VLOOKUP(B11,country_opex,3,FALSE))+V11+W11+X11+Y11+Z11))&lt;=0,"",VLOOKUP(B11,country_opex,7,FALSE)/((S11*pax_cap*load_thin*ROUND(K11*L11*revleg_thin,0))-(((battery/range_nm)*D11*ROUND(K11*L11*revleg_thin,0)*VLOOKUP(B11,country_opex,3,FALSE))+V11+W11+X11+Y11+Z11)))</f>
        <v/>
      </c>
      <c r="AV11" s="43">
        <f>IF(((S11*pax_cap*load_mid*ROUND(K11*L11*revleg_mid,0))-(((battery/range_nm)*D11*ROUND(K11*L11*revleg_mid,0)*VLOOKUP(B11,country_opex,3,FALSE))+V11+W11+X11+Y11+Z11))&lt;=0,"",VLOOKUP(B11,country_opex,7,FALSE)/((S11*pax_cap*load_mid*ROUND(K11*L11*revleg_mid,0))-(((battery/range_nm)*D11*ROUND(K11*L11*revleg_mid,0)*VLOOKUP(B11,country_opex,3,FALSE))+V11+W11+X11+Y11+Z11)))</f>
        <v/>
      </c>
      <c r="AW11" s="43">
        <f>IF(((S11*pax_cap*load_full*ROUND(K11*L11*revleg_full,0))-(((battery/range_nm)*D11*ROUND(K11*L11*revleg_full,0)*VLOOKUP(B11,country_opex,3,FALSE))+V11+W11+X11+Y11+Z11))&lt;=0,"",VLOOKUP(B11,country_opex,7,FALSE)/((S11*pax_cap*load_full*ROUND(K11*L11*revleg_full,0))-(((battery/range_nm)*D11*ROUND(K11*L11*revleg_full,0)*VLOOKUP(B11,country_opex,3,FALSE))+V11+W11+X11+Y11+Z11)))</f>
        <v/>
      </c>
      <c r="AX11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1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2">
      <c r="A12" s="29" t="inlineStr">
        <is>
          <t>Uber Mumbai</t>
        </is>
      </c>
      <c r="B12" s="29" t="inlineStr">
        <is>
          <t>India</t>
        </is>
      </c>
      <c r="C12" s="30" t="inlineStr">
        <is>
          <t>BSA Mandwa → Marina Bay Bistro @KARANJA Fishing Dock</t>
        </is>
      </c>
      <c r="D12" s="31" t="n">
        <v>4.5</v>
      </c>
      <c r="E12" s="26" t="n"/>
      <c r="F12" s="32" t="inlineStr">
        <is>
          <t>T3</t>
        </is>
      </c>
      <c r="G12" s="32" t="inlineStr">
        <is>
          <t>med-low</t>
        </is>
      </c>
      <c r="H12" s="19" t="n">
        <v>1</v>
      </c>
      <c r="I12" s="33">
        <f>60*D12/cruise_kt</f>
        <v/>
      </c>
      <c r="J12" s="33">
        <f>I12+turn_min+dwell_min</f>
        <v/>
      </c>
      <c r="K12" s="34">
        <f>MIN(15,FLOOR(60*service_hr/J12,1))</f>
        <v/>
      </c>
      <c r="L12" s="34">
        <f>ROUND(365*mech_uptime*H12,0)</f>
        <v/>
      </c>
      <c r="M12" s="35">
        <f>mech_uptime</f>
        <v/>
      </c>
      <c r="N12" s="35">
        <f>revleg_sel</f>
        <v/>
      </c>
      <c r="O12" s="34">
        <f>ROUND(K12*L12*revleg_sel,0)</f>
        <v/>
      </c>
      <c r="P12" s="36">
        <f>load_sel</f>
        <v/>
      </c>
      <c r="Q12" s="36">
        <f>pax_cap*P12</f>
        <v/>
      </c>
      <c r="R12" s="34">
        <f>Q12*O12</f>
        <v/>
      </c>
      <c r="S12" s="37">
        <f>E12*discount</f>
        <v/>
      </c>
      <c r="T12" s="38">
        <f>S12*R12</f>
        <v/>
      </c>
      <c r="U12" s="38">
        <f>(battery/range_nm)*D12*O12*VLOOKUP(B12,country_opex,3,FALSE)</f>
        <v/>
      </c>
      <c r="V12" s="38">
        <f>VLOOKUP(B12,country_opex,2,FALSE)*crew_factor</f>
        <v/>
      </c>
      <c r="W12" s="38">
        <f>VLOOKUP(B12,country_opex,5,FALSE)</f>
        <v/>
      </c>
      <c r="X12" s="38">
        <f>maint</f>
        <v/>
      </c>
      <c r="Y12" s="38">
        <f>VLOOKUP(B12,country_opex,7,FALSE)*ins_pct</f>
        <v/>
      </c>
      <c r="Z12" s="38">
        <f>charge_berth</f>
        <v/>
      </c>
      <c r="AA12" s="38">
        <f>U12+V12+W12+X12+Y12+Z12</f>
        <v/>
      </c>
      <c r="AB12" s="38">
        <f>VLOOKUP(B12,country_opex,7,FALSE)/dep_years</f>
        <v/>
      </c>
      <c r="AC12" s="38">
        <f>T12-AA12</f>
        <v/>
      </c>
      <c r="AD12" s="35">
        <f>IF(T12=0,"",AC12/T12)</f>
        <v/>
      </c>
      <c r="AE12" s="36">
        <f>IF(AC12&lt;=0,"",VLOOKUP(B12,country_opex,7,FALSE)/AC12)</f>
        <v/>
      </c>
      <c r="AF12" s="33">
        <f>((D12*O12/diesel_nmpg)*diesel_co2pg-(battery/range_nm)*D12*O12*VLOOKUP(B12,country_opex,4,FALSE))/1000</f>
        <v/>
      </c>
      <c r="AG12" s="31" t="n"/>
      <c r="AH12" s="32" t="inlineStr">
        <is>
          <t>T3</t>
        </is>
      </c>
      <c r="AI12" s="32" t="inlineStr">
        <is>
          <t>partial-load-anchor-only</t>
        </is>
      </c>
      <c r="AJ12" s="39" t="n">
        <v>0.1</v>
      </c>
      <c r="AK12" s="34">
        <f>IF(AG12="","",AG12*AJ12)</f>
        <v/>
      </c>
      <c r="AL12" s="34">
        <f>IF(OR(AG12="",R12=0),"",MIN(IF(AT12="",9.9E+99,AT12),FLOOR(AK12/R12,1)))</f>
        <v/>
      </c>
      <c r="AM12" s="38">
        <f>IF(AL12="","",AL12*T12)</f>
        <v/>
      </c>
      <c r="AN12" s="36">
        <f>IF(OR(AG12="",R12=0),"",MIN(IF(AT12="",9.9E+99,AT12),AK12/R12))</f>
        <v/>
      </c>
      <c r="AO12" s="38">
        <f>IF(AN12="","",AN12*T12)</f>
        <v/>
      </c>
      <c r="AP12" s="40" t="n"/>
      <c r="AQ12" s="32" t="inlineStr">
        <is>
          <t>Upside tier</t>
        </is>
      </c>
      <c r="AR12" s="41" t="n"/>
      <c r="AS12" s="41" t="inlineStr">
        <is>
          <t>experience_upside</t>
        </is>
      </c>
      <c r="AT12" s="42" t="n"/>
      <c r="AU12" s="43">
        <f>IF(((S12*pax_cap*load_thin*ROUND(K12*L12*revleg_thin,0))-(((battery/range_nm)*D12*ROUND(K12*L12*revleg_thin,0)*VLOOKUP(B12,country_opex,3,FALSE))+V12+W12+X12+Y12+Z12))&lt;=0,"",VLOOKUP(B12,country_opex,7,FALSE)/((S12*pax_cap*load_thin*ROUND(K12*L12*revleg_thin,0))-(((battery/range_nm)*D12*ROUND(K12*L12*revleg_thin,0)*VLOOKUP(B12,country_opex,3,FALSE))+V12+W12+X12+Y12+Z12)))</f>
        <v/>
      </c>
      <c r="AV12" s="43">
        <f>IF(((S12*pax_cap*load_mid*ROUND(K12*L12*revleg_mid,0))-(((battery/range_nm)*D12*ROUND(K12*L12*revleg_mid,0)*VLOOKUP(B12,country_opex,3,FALSE))+V12+W12+X12+Y12+Z12))&lt;=0,"",VLOOKUP(B12,country_opex,7,FALSE)/((S12*pax_cap*load_mid*ROUND(K12*L12*revleg_mid,0))-(((battery/range_nm)*D12*ROUND(K12*L12*revleg_mid,0)*VLOOKUP(B12,country_opex,3,FALSE))+V12+W12+X12+Y12+Z12)))</f>
        <v/>
      </c>
      <c r="AW12" s="43">
        <f>IF(((S12*pax_cap*load_full*ROUND(K12*L12*revleg_full,0))-(((battery/range_nm)*D12*ROUND(K12*L12*revleg_full,0)*VLOOKUP(B12,country_opex,3,FALSE))+V12+W12+X12+Y12+Z12))&lt;=0,"",VLOOKUP(B12,country_opex,7,FALSE)/((S12*pax_cap*load_full*ROUND(K12*L12*revleg_full,0))-(((battery/range_nm)*D12*ROUND(K12*L12*revleg_full,0)*VLOOKUP(B12,country_opex,3,FALSE))+V12+W12+X12+Y12+Z12)))</f>
        <v/>
      </c>
      <c r="AX12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2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3">
      <c r="A13" s="29" t="inlineStr">
        <is>
          <t>Uber Mumbai</t>
        </is>
      </c>
      <c r="B13" s="29" t="inlineStr">
        <is>
          <t>India</t>
        </is>
      </c>
      <c r="C13" s="30" t="inlineStr">
        <is>
          <t>Mandwa Jetty → Mumbai Harbour</t>
        </is>
      </c>
      <c r="D13" s="31" t="n">
        <v>4.6</v>
      </c>
      <c r="E13" s="26" t="n"/>
      <c r="F13" s="32" t="inlineStr">
        <is>
          <t>T3</t>
        </is>
      </c>
      <c r="G13" s="32" t="inlineStr">
        <is>
          <t>med-low</t>
        </is>
      </c>
      <c r="H13" s="19" t="n">
        <v>1</v>
      </c>
      <c r="I13" s="33">
        <f>60*D13/cruise_kt</f>
        <v/>
      </c>
      <c r="J13" s="33">
        <f>I13+turn_min+dwell_min</f>
        <v/>
      </c>
      <c r="K13" s="34">
        <f>MIN(15,FLOOR(60*service_hr/J13,1))</f>
        <v/>
      </c>
      <c r="L13" s="34">
        <f>ROUND(365*mech_uptime*H13,0)</f>
        <v/>
      </c>
      <c r="M13" s="35">
        <f>mech_uptime</f>
        <v/>
      </c>
      <c r="N13" s="35">
        <f>revleg_sel</f>
        <v/>
      </c>
      <c r="O13" s="34">
        <f>ROUND(K13*L13*revleg_sel,0)</f>
        <v/>
      </c>
      <c r="P13" s="36">
        <f>load_sel</f>
        <v/>
      </c>
      <c r="Q13" s="36">
        <f>pax_cap*P13</f>
        <v/>
      </c>
      <c r="R13" s="34">
        <f>Q13*O13</f>
        <v/>
      </c>
      <c r="S13" s="37">
        <f>E13*discount</f>
        <v/>
      </c>
      <c r="T13" s="38">
        <f>S13*R13</f>
        <v/>
      </c>
      <c r="U13" s="38">
        <f>(battery/range_nm)*D13*O13*VLOOKUP(B13,country_opex,3,FALSE)</f>
        <v/>
      </c>
      <c r="V13" s="38">
        <f>VLOOKUP(B13,country_opex,2,FALSE)*crew_factor</f>
        <v/>
      </c>
      <c r="W13" s="38">
        <f>VLOOKUP(B13,country_opex,5,FALSE)</f>
        <v/>
      </c>
      <c r="X13" s="38">
        <f>maint</f>
        <v/>
      </c>
      <c r="Y13" s="38">
        <f>VLOOKUP(B13,country_opex,7,FALSE)*ins_pct</f>
        <v/>
      </c>
      <c r="Z13" s="38">
        <f>charge_berth</f>
        <v/>
      </c>
      <c r="AA13" s="38">
        <f>U13+V13+W13+X13+Y13+Z13</f>
        <v/>
      </c>
      <c r="AB13" s="38">
        <f>VLOOKUP(B13,country_opex,7,FALSE)/dep_years</f>
        <v/>
      </c>
      <c r="AC13" s="38">
        <f>T13-AA13</f>
        <v/>
      </c>
      <c r="AD13" s="35">
        <f>IF(T13=0,"",AC13/T13)</f>
        <v/>
      </c>
      <c r="AE13" s="36">
        <f>IF(AC13&lt;=0,"",VLOOKUP(B13,country_opex,7,FALSE)/AC13)</f>
        <v/>
      </c>
      <c r="AF13" s="33">
        <f>((D13*O13/diesel_nmpg)*diesel_co2pg-(battery/range_nm)*D13*O13*VLOOKUP(B13,country_opex,4,FALSE))/1000</f>
        <v/>
      </c>
      <c r="AG13" s="31" t="n"/>
      <c r="AH13" s="32" t="inlineStr">
        <is>
          <t>T3</t>
        </is>
      </c>
      <c r="AI13" s="32" t="inlineStr">
        <is>
          <t>partial-load-anchor-only</t>
        </is>
      </c>
      <c r="AJ13" s="39" t="n">
        <v>0.1</v>
      </c>
      <c r="AK13" s="34">
        <f>IF(AG13="","",AG13*AJ13)</f>
        <v/>
      </c>
      <c r="AL13" s="34">
        <f>IF(OR(AG13="",R13=0),"",MIN(IF(AT13="",9.9E+99,AT13),FLOOR(AK13/R13,1)))</f>
        <v/>
      </c>
      <c r="AM13" s="38">
        <f>IF(AL13="","",AL13*T13)</f>
        <v/>
      </c>
      <c r="AN13" s="36">
        <f>IF(OR(AG13="",R13=0),"",MIN(IF(AT13="",9.9E+99,AT13),AK13/R13))</f>
        <v/>
      </c>
      <c r="AO13" s="38">
        <f>IF(AN13="","",AN13*T13)</f>
        <v/>
      </c>
      <c r="AP13" s="40" t="n"/>
      <c r="AQ13" s="32" t="inlineStr">
        <is>
          <t>Upside tier</t>
        </is>
      </c>
      <c r="AR13" s="41" t="n"/>
      <c r="AS13" s="41" t="inlineStr">
        <is>
          <t>experience_upside</t>
        </is>
      </c>
      <c r="AT13" s="42" t="n"/>
      <c r="AU13" s="43">
        <f>IF(((S13*pax_cap*load_thin*ROUND(K13*L13*revleg_thin,0))-(((battery/range_nm)*D13*ROUND(K13*L13*revleg_thin,0)*VLOOKUP(B13,country_opex,3,FALSE))+V13+W13+X13+Y13+Z13))&lt;=0,"",VLOOKUP(B13,country_opex,7,FALSE)/((S13*pax_cap*load_thin*ROUND(K13*L13*revleg_thin,0))-(((battery/range_nm)*D13*ROUND(K13*L13*revleg_thin,0)*VLOOKUP(B13,country_opex,3,FALSE))+V13+W13+X13+Y13+Z13)))</f>
        <v/>
      </c>
      <c r="AV13" s="43">
        <f>IF(((S13*pax_cap*load_mid*ROUND(K13*L13*revleg_mid,0))-(((battery/range_nm)*D13*ROUND(K13*L13*revleg_mid,0)*VLOOKUP(B13,country_opex,3,FALSE))+V13+W13+X13+Y13+Z13))&lt;=0,"",VLOOKUP(B13,country_opex,7,FALSE)/((S13*pax_cap*load_mid*ROUND(K13*L13*revleg_mid,0))-(((battery/range_nm)*D13*ROUND(K13*L13*revleg_mid,0)*VLOOKUP(B13,country_opex,3,FALSE))+V13+W13+X13+Y13+Z13)))</f>
        <v/>
      </c>
      <c r="AW13" s="43">
        <f>IF(((S13*pax_cap*load_full*ROUND(K13*L13*revleg_full,0))-(((battery/range_nm)*D13*ROUND(K13*L13*revleg_full,0)*VLOOKUP(B13,country_opex,3,FALSE))+V13+W13+X13+Y13+Z13))&lt;=0,"",VLOOKUP(B13,country_opex,7,FALSE)/((S13*pax_cap*load_full*ROUND(K13*L13*revleg_full,0))-(((battery/range_nm)*D13*ROUND(K13*L13*revleg_full,0)*VLOOKUP(B13,country_opex,3,FALSE))+V13+W13+X13+Y13+Z13)))</f>
        <v/>
      </c>
      <c r="AX13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3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4">
      <c r="A14" s="29" t="inlineStr">
        <is>
          <t>Uber Mumbai</t>
        </is>
      </c>
      <c r="B14" s="29" t="inlineStr">
        <is>
          <t>India</t>
        </is>
      </c>
      <c r="C14" s="30" t="inlineStr">
        <is>
          <t>Elephanta Caves → Mumbai Trans-Harbour Navi Mumbai Toll Plaza</t>
        </is>
      </c>
      <c r="D14" s="31" t="n">
        <v>5.6</v>
      </c>
      <c r="E14" s="26" t="n"/>
      <c r="F14" s="32" t="inlineStr">
        <is>
          <t>T3</t>
        </is>
      </c>
      <c r="G14" s="32" t="inlineStr">
        <is>
          <t>med-low</t>
        </is>
      </c>
      <c r="H14" s="19" t="n">
        <v>1</v>
      </c>
      <c r="I14" s="33">
        <f>60*D14/cruise_kt</f>
        <v/>
      </c>
      <c r="J14" s="33">
        <f>I14+turn_min+dwell_min</f>
        <v/>
      </c>
      <c r="K14" s="34">
        <f>MIN(15,FLOOR(60*service_hr/J14,1))</f>
        <v/>
      </c>
      <c r="L14" s="34">
        <f>ROUND(365*mech_uptime*H14,0)</f>
        <v/>
      </c>
      <c r="M14" s="35">
        <f>mech_uptime</f>
        <v/>
      </c>
      <c r="N14" s="35">
        <f>revleg_sel</f>
        <v/>
      </c>
      <c r="O14" s="34">
        <f>ROUND(K14*L14*revleg_sel,0)</f>
        <v/>
      </c>
      <c r="P14" s="36">
        <f>load_sel</f>
        <v/>
      </c>
      <c r="Q14" s="36">
        <f>pax_cap*P14</f>
        <v/>
      </c>
      <c r="R14" s="34">
        <f>Q14*O14</f>
        <v/>
      </c>
      <c r="S14" s="37">
        <f>E14*discount</f>
        <v/>
      </c>
      <c r="T14" s="38">
        <f>S14*R14</f>
        <v/>
      </c>
      <c r="U14" s="38">
        <f>(battery/range_nm)*D14*O14*VLOOKUP(B14,country_opex,3,FALSE)</f>
        <v/>
      </c>
      <c r="V14" s="38">
        <f>VLOOKUP(B14,country_opex,2,FALSE)*crew_factor</f>
        <v/>
      </c>
      <c r="W14" s="38">
        <f>VLOOKUP(B14,country_opex,5,FALSE)</f>
        <v/>
      </c>
      <c r="X14" s="38">
        <f>maint</f>
        <v/>
      </c>
      <c r="Y14" s="38">
        <f>VLOOKUP(B14,country_opex,7,FALSE)*ins_pct</f>
        <v/>
      </c>
      <c r="Z14" s="38">
        <f>charge_berth</f>
        <v/>
      </c>
      <c r="AA14" s="38">
        <f>U14+V14+W14+X14+Y14+Z14</f>
        <v/>
      </c>
      <c r="AB14" s="38">
        <f>VLOOKUP(B14,country_opex,7,FALSE)/dep_years</f>
        <v/>
      </c>
      <c r="AC14" s="38">
        <f>T14-AA14</f>
        <v/>
      </c>
      <c r="AD14" s="35">
        <f>IF(T14=0,"",AC14/T14)</f>
        <v/>
      </c>
      <c r="AE14" s="36">
        <f>IF(AC14&lt;=0,"",VLOOKUP(B14,country_opex,7,FALSE)/AC14)</f>
        <v/>
      </c>
      <c r="AF14" s="33">
        <f>((D14*O14/diesel_nmpg)*diesel_co2pg-(battery/range_nm)*D14*O14*VLOOKUP(B14,country_opex,4,FALSE))/1000</f>
        <v/>
      </c>
      <c r="AG14" s="31" t="n"/>
      <c r="AH14" s="32" t="inlineStr">
        <is>
          <t>T3</t>
        </is>
      </c>
      <c r="AI14" s="32" t="inlineStr">
        <is>
          <t>partial-load-anchor-only</t>
        </is>
      </c>
      <c r="AJ14" s="39" t="n">
        <v>0.1</v>
      </c>
      <c r="AK14" s="34">
        <f>IF(AG14="","",AG14*AJ14)</f>
        <v/>
      </c>
      <c r="AL14" s="34">
        <f>IF(OR(AG14="",R14=0),"",MIN(IF(AT14="",9.9E+99,AT14),FLOOR(AK14/R14,1)))</f>
        <v/>
      </c>
      <c r="AM14" s="38">
        <f>IF(AL14="","",AL14*T14)</f>
        <v/>
      </c>
      <c r="AN14" s="36">
        <f>IF(OR(AG14="",R14=0),"",MIN(IF(AT14="",9.9E+99,AT14),AK14/R14))</f>
        <v/>
      </c>
      <c r="AO14" s="38">
        <f>IF(AN14="","",AN14*T14)</f>
        <v/>
      </c>
      <c r="AP14" s="40" t="n"/>
      <c r="AQ14" s="32" t="inlineStr">
        <is>
          <t>Upside tier</t>
        </is>
      </c>
      <c r="AR14" s="41" t="n"/>
      <c r="AS14" s="41" t="inlineStr">
        <is>
          <t>experience_upside</t>
        </is>
      </c>
      <c r="AT14" s="42" t="n"/>
      <c r="AU14" s="43">
        <f>IF(((S14*pax_cap*load_thin*ROUND(K14*L14*revleg_thin,0))-(((battery/range_nm)*D14*ROUND(K14*L14*revleg_thin,0)*VLOOKUP(B14,country_opex,3,FALSE))+V14+W14+X14+Y14+Z14))&lt;=0,"",VLOOKUP(B14,country_opex,7,FALSE)/((S14*pax_cap*load_thin*ROUND(K14*L14*revleg_thin,0))-(((battery/range_nm)*D14*ROUND(K14*L14*revleg_thin,0)*VLOOKUP(B14,country_opex,3,FALSE))+V14+W14+X14+Y14+Z14)))</f>
        <v/>
      </c>
      <c r="AV14" s="43">
        <f>IF(((S14*pax_cap*load_mid*ROUND(K14*L14*revleg_mid,0))-(((battery/range_nm)*D14*ROUND(K14*L14*revleg_mid,0)*VLOOKUP(B14,country_opex,3,FALSE))+V14+W14+X14+Y14+Z14))&lt;=0,"",VLOOKUP(B14,country_opex,7,FALSE)/((S14*pax_cap*load_mid*ROUND(K14*L14*revleg_mid,0))-(((battery/range_nm)*D14*ROUND(K14*L14*revleg_mid,0)*VLOOKUP(B14,country_opex,3,FALSE))+V14+W14+X14+Y14+Z14)))</f>
        <v/>
      </c>
      <c r="AW14" s="43">
        <f>IF(((S14*pax_cap*load_full*ROUND(K14*L14*revleg_full,0))-(((battery/range_nm)*D14*ROUND(K14*L14*revleg_full,0)*VLOOKUP(B14,country_opex,3,FALSE))+V14+W14+X14+Y14+Z14))&lt;=0,"",VLOOKUP(B14,country_opex,7,FALSE)/((S14*pax_cap*load_full*ROUND(K14*L14*revleg_full,0))-(((battery/range_nm)*D14*ROUND(K14*L14*revleg_full,0)*VLOOKUP(B14,country_opex,3,FALSE))+V14+W14+X14+Y14+Z14)))</f>
        <v/>
      </c>
      <c r="AX14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4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5">
      <c r="A15" s="29" t="inlineStr">
        <is>
          <t>Uber Mumbai</t>
        </is>
      </c>
      <c r="B15" s="29" t="inlineStr">
        <is>
          <t>India</t>
        </is>
      </c>
      <c r="C15" s="30" t="inlineStr">
        <is>
          <t>JNPT Ferry Service → Mumbai Trans-Harbour Navi Mumbai Toll Plaza</t>
        </is>
      </c>
      <c r="D15" s="31" t="n">
        <v>5.9</v>
      </c>
      <c r="E15" s="26" t="n"/>
      <c r="F15" s="32" t="inlineStr">
        <is>
          <t>T3</t>
        </is>
      </c>
      <c r="G15" s="32" t="inlineStr">
        <is>
          <t>med-low</t>
        </is>
      </c>
      <c r="H15" s="19" t="n">
        <v>1</v>
      </c>
      <c r="I15" s="33">
        <f>60*D15/cruise_kt</f>
        <v/>
      </c>
      <c r="J15" s="33">
        <f>I15+turn_min+dwell_min</f>
        <v/>
      </c>
      <c r="K15" s="34">
        <f>MIN(15,FLOOR(60*service_hr/J15,1))</f>
        <v/>
      </c>
      <c r="L15" s="34">
        <f>ROUND(365*mech_uptime*H15,0)</f>
        <v/>
      </c>
      <c r="M15" s="35">
        <f>mech_uptime</f>
        <v/>
      </c>
      <c r="N15" s="35">
        <f>revleg_sel</f>
        <v/>
      </c>
      <c r="O15" s="34">
        <f>ROUND(K15*L15*revleg_sel,0)</f>
        <v/>
      </c>
      <c r="P15" s="36">
        <f>load_sel</f>
        <v/>
      </c>
      <c r="Q15" s="36">
        <f>pax_cap*P15</f>
        <v/>
      </c>
      <c r="R15" s="34">
        <f>Q15*O15</f>
        <v/>
      </c>
      <c r="S15" s="37">
        <f>E15*discount</f>
        <v/>
      </c>
      <c r="T15" s="38">
        <f>S15*R15</f>
        <v/>
      </c>
      <c r="U15" s="38">
        <f>(battery/range_nm)*D15*O15*VLOOKUP(B15,country_opex,3,FALSE)</f>
        <v/>
      </c>
      <c r="V15" s="38">
        <f>VLOOKUP(B15,country_opex,2,FALSE)*crew_factor</f>
        <v/>
      </c>
      <c r="W15" s="38">
        <f>VLOOKUP(B15,country_opex,5,FALSE)</f>
        <v/>
      </c>
      <c r="X15" s="38">
        <f>maint</f>
        <v/>
      </c>
      <c r="Y15" s="38">
        <f>VLOOKUP(B15,country_opex,7,FALSE)*ins_pct</f>
        <v/>
      </c>
      <c r="Z15" s="38">
        <f>charge_berth</f>
        <v/>
      </c>
      <c r="AA15" s="38">
        <f>U15+V15+W15+X15+Y15+Z15</f>
        <v/>
      </c>
      <c r="AB15" s="38">
        <f>VLOOKUP(B15,country_opex,7,FALSE)/dep_years</f>
        <v/>
      </c>
      <c r="AC15" s="38">
        <f>T15-AA15</f>
        <v/>
      </c>
      <c r="AD15" s="35">
        <f>IF(T15=0,"",AC15/T15)</f>
        <v/>
      </c>
      <c r="AE15" s="36">
        <f>IF(AC15&lt;=0,"",VLOOKUP(B15,country_opex,7,FALSE)/AC15)</f>
        <v/>
      </c>
      <c r="AF15" s="33">
        <f>((D15*O15/diesel_nmpg)*diesel_co2pg-(battery/range_nm)*D15*O15*VLOOKUP(B15,country_opex,4,FALSE))/1000</f>
        <v/>
      </c>
      <c r="AG15" s="31" t="n"/>
      <c r="AH15" s="32" t="inlineStr">
        <is>
          <t>T3</t>
        </is>
      </c>
      <c r="AI15" s="32" t="inlineStr">
        <is>
          <t>partial-load-anchor-only</t>
        </is>
      </c>
      <c r="AJ15" s="39" t="n">
        <v>0.1</v>
      </c>
      <c r="AK15" s="34">
        <f>IF(AG15="","",AG15*AJ15)</f>
        <v/>
      </c>
      <c r="AL15" s="34">
        <f>IF(OR(AG15="",R15=0),"",MIN(IF(AT15="",9.9E+99,AT15),FLOOR(AK15/R15,1)))</f>
        <v/>
      </c>
      <c r="AM15" s="38">
        <f>IF(AL15="","",AL15*T15)</f>
        <v/>
      </c>
      <c r="AN15" s="36">
        <f>IF(OR(AG15="",R15=0),"",MIN(IF(AT15="",9.9E+99,AT15),AK15/R15))</f>
        <v/>
      </c>
      <c r="AO15" s="38">
        <f>IF(AN15="","",AN15*T15)</f>
        <v/>
      </c>
      <c r="AP15" s="40" t="n"/>
      <c r="AQ15" s="32" t="inlineStr">
        <is>
          <t>Upside tier</t>
        </is>
      </c>
      <c r="AR15" s="41" t="n"/>
      <c r="AS15" s="41" t="inlineStr">
        <is>
          <t>experience_upside</t>
        </is>
      </c>
      <c r="AT15" s="42" t="n"/>
      <c r="AU15" s="43">
        <f>IF(((S15*pax_cap*load_thin*ROUND(K15*L15*revleg_thin,0))-(((battery/range_nm)*D15*ROUND(K15*L15*revleg_thin,0)*VLOOKUP(B15,country_opex,3,FALSE))+V15+W15+X15+Y15+Z15))&lt;=0,"",VLOOKUP(B15,country_opex,7,FALSE)/((S15*pax_cap*load_thin*ROUND(K15*L15*revleg_thin,0))-(((battery/range_nm)*D15*ROUND(K15*L15*revleg_thin,0)*VLOOKUP(B15,country_opex,3,FALSE))+V15+W15+X15+Y15+Z15)))</f>
        <v/>
      </c>
      <c r="AV15" s="43">
        <f>IF(((S15*pax_cap*load_mid*ROUND(K15*L15*revleg_mid,0))-(((battery/range_nm)*D15*ROUND(K15*L15*revleg_mid,0)*VLOOKUP(B15,country_opex,3,FALSE))+V15+W15+X15+Y15+Z15))&lt;=0,"",VLOOKUP(B15,country_opex,7,FALSE)/((S15*pax_cap*load_mid*ROUND(K15*L15*revleg_mid,0))-(((battery/range_nm)*D15*ROUND(K15*L15*revleg_mid,0)*VLOOKUP(B15,country_opex,3,FALSE))+V15+W15+X15+Y15+Z15)))</f>
        <v/>
      </c>
      <c r="AW15" s="43">
        <f>IF(((S15*pax_cap*load_full*ROUND(K15*L15*revleg_full,0))-(((battery/range_nm)*D15*ROUND(K15*L15*revleg_full,0)*VLOOKUP(B15,country_opex,3,FALSE))+V15+W15+X15+Y15+Z15))&lt;=0,"",VLOOKUP(B15,country_opex,7,FALSE)/((S15*pax_cap*load_full*ROUND(K15*L15*revleg_full,0))-(((battery/range_nm)*D15*ROUND(K15*L15*revleg_full,0)*VLOOKUP(B15,country_opex,3,FALSE))+V15+W15+X15+Y15+Z15)))</f>
        <v/>
      </c>
      <c r="AX15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5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6">
      <c r="A16" s="29" t="inlineStr">
        <is>
          <t>Uber Mumbai</t>
        </is>
      </c>
      <c r="B16" s="29" t="inlineStr">
        <is>
          <t>India</t>
        </is>
      </c>
      <c r="C16" s="30" t="inlineStr">
        <is>
          <t>Pirpau Jetty → Mumbai Trans-Harbour Navi Mumbai Toll Plaza</t>
        </is>
      </c>
      <c r="D16" s="31" t="n">
        <v>6.2</v>
      </c>
      <c r="E16" s="26" t="n"/>
      <c r="F16" s="32" t="inlineStr">
        <is>
          <t>T3</t>
        </is>
      </c>
      <c r="G16" s="32" t="inlineStr">
        <is>
          <t>med-low</t>
        </is>
      </c>
      <c r="H16" s="19" t="n">
        <v>1</v>
      </c>
      <c r="I16" s="33">
        <f>60*D16/cruise_kt</f>
        <v/>
      </c>
      <c r="J16" s="33">
        <f>I16+turn_min+dwell_min</f>
        <v/>
      </c>
      <c r="K16" s="34">
        <f>MIN(15,FLOOR(60*service_hr/J16,1))</f>
        <v/>
      </c>
      <c r="L16" s="34">
        <f>ROUND(365*mech_uptime*H16,0)</f>
        <v/>
      </c>
      <c r="M16" s="35">
        <f>mech_uptime</f>
        <v/>
      </c>
      <c r="N16" s="35">
        <f>revleg_sel</f>
        <v/>
      </c>
      <c r="O16" s="34">
        <f>ROUND(K16*L16*revleg_sel,0)</f>
        <v/>
      </c>
      <c r="P16" s="36">
        <f>load_sel</f>
        <v/>
      </c>
      <c r="Q16" s="36">
        <f>pax_cap*P16</f>
        <v/>
      </c>
      <c r="R16" s="34">
        <f>Q16*O16</f>
        <v/>
      </c>
      <c r="S16" s="37">
        <f>E16*discount</f>
        <v/>
      </c>
      <c r="T16" s="38">
        <f>S16*R16</f>
        <v/>
      </c>
      <c r="U16" s="38">
        <f>(battery/range_nm)*D16*O16*VLOOKUP(B16,country_opex,3,FALSE)</f>
        <v/>
      </c>
      <c r="V16" s="38">
        <f>VLOOKUP(B16,country_opex,2,FALSE)*crew_factor</f>
        <v/>
      </c>
      <c r="W16" s="38">
        <f>VLOOKUP(B16,country_opex,5,FALSE)</f>
        <v/>
      </c>
      <c r="X16" s="38">
        <f>maint</f>
        <v/>
      </c>
      <c r="Y16" s="38">
        <f>VLOOKUP(B16,country_opex,7,FALSE)*ins_pct</f>
        <v/>
      </c>
      <c r="Z16" s="38">
        <f>charge_berth</f>
        <v/>
      </c>
      <c r="AA16" s="38">
        <f>U16+V16+W16+X16+Y16+Z16</f>
        <v/>
      </c>
      <c r="AB16" s="38">
        <f>VLOOKUP(B16,country_opex,7,FALSE)/dep_years</f>
        <v/>
      </c>
      <c r="AC16" s="38">
        <f>T16-AA16</f>
        <v/>
      </c>
      <c r="AD16" s="35">
        <f>IF(T16=0,"",AC16/T16)</f>
        <v/>
      </c>
      <c r="AE16" s="36">
        <f>IF(AC16&lt;=0,"",VLOOKUP(B16,country_opex,7,FALSE)/AC16)</f>
        <v/>
      </c>
      <c r="AF16" s="33">
        <f>((D16*O16/diesel_nmpg)*diesel_co2pg-(battery/range_nm)*D16*O16*VLOOKUP(B16,country_opex,4,FALSE))/1000</f>
        <v/>
      </c>
      <c r="AG16" s="31" t="n"/>
      <c r="AH16" s="32" t="inlineStr">
        <is>
          <t>T3</t>
        </is>
      </c>
      <c r="AI16" s="32" t="inlineStr">
        <is>
          <t>partial-load-anchor-only</t>
        </is>
      </c>
      <c r="AJ16" s="39" t="n">
        <v>0.1</v>
      </c>
      <c r="AK16" s="34">
        <f>IF(AG16="","",AG16*AJ16)</f>
        <v/>
      </c>
      <c r="AL16" s="34">
        <f>IF(OR(AG16="",R16=0),"",MIN(IF(AT16="",9.9E+99,AT16),FLOOR(AK16/R16,1)))</f>
        <v/>
      </c>
      <c r="AM16" s="38">
        <f>IF(AL16="","",AL16*T16)</f>
        <v/>
      </c>
      <c r="AN16" s="36">
        <f>IF(OR(AG16="",R16=0),"",MIN(IF(AT16="",9.9E+99,AT16),AK16/R16))</f>
        <v/>
      </c>
      <c r="AO16" s="38">
        <f>IF(AN16="","",AN16*T16)</f>
        <v/>
      </c>
      <c r="AP16" s="40" t="n"/>
      <c r="AQ16" s="32" t="inlineStr">
        <is>
          <t>Upside tier</t>
        </is>
      </c>
      <c r="AR16" s="41" t="n"/>
      <c r="AS16" s="41" t="inlineStr">
        <is>
          <t>experience_upside</t>
        </is>
      </c>
      <c r="AT16" s="42" t="n"/>
      <c r="AU16" s="43">
        <f>IF(((S16*pax_cap*load_thin*ROUND(K16*L16*revleg_thin,0))-(((battery/range_nm)*D16*ROUND(K16*L16*revleg_thin,0)*VLOOKUP(B16,country_opex,3,FALSE))+V16+W16+X16+Y16+Z16))&lt;=0,"",VLOOKUP(B16,country_opex,7,FALSE)/((S16*pax_cap*load_thin*ROUND(K16*L16*revleg_thin,0))-(((battery/range_nm)*D16*ROUND(K16*L16*revleg_thin,0)*VLOOKUP(B16,country_opex,3,FALSE))+V16+W16+X16+Y16+Z16)))</f>
        <v/>
      </c>
      <c r="AV16" s="43">
        <f>IF(((S16*pax_cap*load_mid*ROUND(K16*L16*revleg_mid,0))-(((battery/range_nm)*D16*ROUND(K16*L16*revleg_mid,0)*VLOOKUP(B16,country_opex,3,FALSE))+V16+W16+X16+Y16+Z16))&lt;=0,"",VLOOKUP(B16,country_opex,7,FALSE)/((S16*pax_cap*load_mid*ROUND(K16*L16*revleg_mid,0))-(((battery/range_nm)*D16*ROUND(K16*L16*revleg_mid,0)*VLOOKUP(B16,country_opex,3,FALSE))+V16+W16+X16+Y16+Z16)))</f>
        <v/>
      </c>
      <c r="AW16" s="43">
        <f>IF(((S16*pax_cap*load_full*ROUND(K16*L16*revleg_full,0))-(((battery/range_nm)*D16*ROUND(K16*L16*revleg_full,0)*VLOOKUP(B16,country_opex,3,FALSE))+V16+W16+X16+Y16+Z16))&lt;=0,"",VLOOKUP(B16,country_opex,7,FALSE)/((S16*pax_cap*load_full*ROUND(K16*L16*revleg_full,0))-(((battery/range_nm)*D16*ROUND(K16*L16*revleg_full,0)*VLOOKUP(B16,country_opex,3,FALSE))+V16+W16+X16+Y16+Z16)))</f>
        <v/>
      </c>
      <c r="AX16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6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7">
      <c r="A17" s="29" t="inlineStr">
        <is>
          <t>Uber Mumbai</t>
        </is>
      </c>
      <c r="B17" s="29" t="inlineStr">
        <is>
          <t>India</t>
        </is>
      </c>
      <c r="C17" s="30" t="inlineStr">
        <is>
          <t>Mumbai Harbour → Mandwa Jetty</t>
        </is>
      </c>
      <c r="D17" s="31" t="n">
        <v>7.9</v>
      </c>
      <c r="E17" s="26" t="n"/>
      <c r="F17" s="32" t="inlineStr">
        <is>
          <t>T3</t>
        </is>
      </c>
      <c r="G17" s="32" t="inlineStr">
        <is>
          <t>med-low</t>
        </is>
      </c>
      <c r="H17" s="19" t="n">
        <v>1</v>
      </c>
      <c r="I17" s="33">
        <f>60*D17/cruise_kt</f>
        <v/>
      </c>
      <c r="J17" s="33">
        <f>I17+turn_min+dwell_min</f>
        <v/>
      </c>
      <c r="K17" s="34">
        <f>MIN(15,FLOOR(60*service_hr/J17,1))</f>
        <v/>
      </c>
      <c r="L17" s="34">
        <f>ROUND(365*mech_uptime*H17,0)</f>
        <v/>
      </c>
      <c r="M17" s="35">
        <f>mech_uptime</f>
        <v/>
      </c>
      <c r="N17" s="35">
        <f>revleg_sel</f>
        <v/>
      </c>
      <c r="O17" s="34">
        <f>ROUND(K17*L17*revleg_sel,0)</f>
        <v/>
      </c>
      <c r="P17" s="36">
        <f>load_sel</f>
        <v/>
      </c>
      <c r="Q17" s="36">
        <f>pax_cap*P17</f>
        <v/>
      </c>
      <c r="R17" s="34">
        <f>Q17*O17</f>
        <v/>
      </c>
      <c r="S17" s="37">
        <f>E17*discount</f>
        <v/>
      </c>
      <c r="T17" s="38">
        <f>S17*R17</f>
        <v/>
      </c>
      <c r="U17" s="38">
        <f>(battery/range_nm)*D17*O17*VLOOKUP(B17,country_opex,3,FALSE)</f>
        <v/>
      </c>
      <c r="V17" s="38">
        <f>VLOOKUP(B17,country_opex,2,FALSE)*crew_factor</f>
        <v/>
      </c>
      <c r="W17" s="38">
        <f>VLOOKUP(B17,country_opex,5,FALSE)</f>
        <v/>
      </c>
      <c r="X17" s="38">
        <f>maint</f>
        <v/>
      </c>
      <c r="Y17" s="38">
        <f>VLOOKUP(B17,country_opex,7,FALSE)*ins_pct</f>
        <v/>
      </c>
      <c r="Z17" s="38">
        <f>charge_berth</f>
        <v/>
      </c>
      <c r="AA17" s="38">
        <f>U17+V17+W17+X17+Y17+Z17</f>
        <v/>
      </c>
      <c r="AB17" s="38">
        <f>VLOOKUP(B17,country_opex,7,FALSE)/dep_years</f>
        <v/>
      </c>
      <c r="AC17" s="38">
        <f>T17-AA17</f>
        <v/>
      </c>
      <c r="AD17" s="35">
        <f>IF(T17=0,"",AC17/T17)</f>
        <v/>
      </c>
      <c r="AE17" s="36">
        <f>IF(AC17&lt;=0,"",VLOOKUP(B17,country_opex,7,FALSE)/AC17)</f>
        <v/>
      </c>
      <c r="AF17" s="33">
        <f>((D17*O17/diesel_nmpg)*diesel_co2pg-(battery/range_nm)*D17*O17*VLOOKUP(B17,country_opex,4,FALSE))/1000</f>
        <v/>
      </c>
      <c r="AG17" s="31" t="n"/>
      <c r="AH17" s="32" t="inlineStr">
        <is>
          <t>T3</t>
        </is>
      </c>
      <c r="AI17" s="32" t="inlineStr">
        <is>
          <t>partial-load-anchor-only</t>
        </is>
      </c>
      <c r="AJ17" s="39" t="n">
        <v>0.1</v>
      </c>
      <c r="AK17" s="34">
        <f>IF(AG17="","",AG17*AJ17)</f>
        <v/>
      </c>
      <c r="AL17" s="34">
        <f>IF(OR(AG17="",R17=0),"",MIN(IF(AT17="",9.9E+99,AT17),FLOOR(AK17/R17,1)))</f>
        <v/>
      </c>
      <c r="AM17" s="38">
        <f>IF(AL17="","",AL17*T17)</f>
        <v/>
      </c>
      <c r="AN17" s="36">
        <f>IF(OR(AG17="",R17=0),"",MIN(IF(AT17="",9.9E+99,AT17),AK17/R17))</f>
        <v/>
      </c>
      <c r="AO17" s="38">
        <f>IF(AN17="","",AN17*T17)</f>
        <v/>
      </c>
      <c r="AP17" s="40" t="n"/>
      <c r="AQ17" s="32" t="inlineStr">
        <is>
          <t>Upside tier</t>
        </is>
      </c>
      <c r="AR17" s="41" t="n"/>
      <c r="AS17" s="41" t="inlineStr">
        <is>
          <t>experience_upside</t>
        </is>
      </c>
      <c r="AT17" s="42" t="n"/>
      <c r="AU17" s="43">
        <f>IF(((S17*pax_cap*load_thin*ROUND(K17*L17*revleg_thin,0))-(((battery/range_nm)*D17*ROUND(K17*L17*revleg_thin,0)*VLOOKUP(B17,country_opex,3,FALSE))+V17+W17+X17+Y17+Z17))&lt;=0,"",VLOOKUP(B17,country_opex,7,FALSE)/((S17*pax_cap*load_thin*ROUND(K17*L17*revleg_thin,0))-(((battery/range_nm)*D17*ROUND(K17*L17*revleg_thin,0)*VLOOKUP(B17,country_opex,3,FALSE))+V17+W17+X17+Y17+Z17)))</f>
        <v/>
      </c>
      <c r="AV17" s="43">
        <f>IF(((S17*pax_cap*load_mid*ROUND(K17*L17*revleg_mid,0))-(((battery/range_nm)*D17*ROUND(K17*L17*revleg_mid,0)*VLOOKUP(B17,country_opex,3,FALSE))+V17+W17+X17+Y17+Z17))&lt;=0,"",VLOOKUP(B17,country_opex,7,FALSE)/((S17*pax_cap*load_mid*ROUND(K17*L17*revleg_mid,0))-(((battery/range_nm)*D17*ROUND(K17*L17*revleg_mid,0)*VLOOKUP(B17,country_opex,3,FALSE))+V17+W17+X17+Y17+Z17)))</f>
        <v/>
      </c>
      <c r="AW17" s="43">
        <f>IF(((S17*pax_cap*load_full*ROUND(K17*L17*revleg_full,0))-(((battery/range_nm)*D17*ROUND(K17*L17*revleg_full,0)*VLOOKUP(B17,country_opex,3,FALSE))+V17+W17+X17+Y17+Z17))&lt;=0,"",VLOOKUP(B17,country_opex,7,FALSE)/((S17*pax_cap*load_full*ROUND(K17*L17*revleg_full,0))-(((battery/range_nm)*D17*ROUND(K17*L17*revleg_full,0)*VLOOKUP(B17,country_opex,3,FALSE))+V17+W17+X17+Y17+Z17)))</f>
        <v/>
      </c>
      <c r="AX17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7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8">
      <c r="A18" s="29" t="inlineStr">
        <is>
          <t>Uber Mumbai</t>
        </is>
      </c>
      <c r="B18" s="29" t="inlineStr">
        <is>
          <t>India</t>
        </is>
      </c>
      <c r="C18" s="30" t="inlineStr">
        <is>
          <t>Versova Ferry Wharf → Gateway of India</t>
        </is>
      </c>
      <c r="D18" s="31" t="n">
        <v>12.43</v>
      </c>
      <c r="E18" s="26" t="n"/>
      <c r="F18" s="32" t="inlineStr">
        <is>
          <t>T3</t>
        </is>
      </c>
      <c r="G18" s="32" t="inlineStr">
        <is>
          <t>med-low</t>
        </is>
      </c>
      <c r="H18" s="19" t="n">
        <v>1</v>
      </c>
      <c r="I18" s="33">
        <f>60*D18/cruise_kt</f>
        <v/>
      </c>
      <c r="J18" s="33">
        <f>I18+turn_min+dwell_min</f>
        <v/>
      </c>
      <c r="K18" s="34">
        <f>MIN(15,FLOOR(60*service_hr/J18,1))</f>
        <v/>
      </c>
      <c r="L18" s="34">
        <f>ROUND(365*mech_uptime*H18,0)</f>
        <v/>
      </c>
      <c r="M18" s="35">
        <f>mech_uptime</f>
        <v/>
      </c>
      <c r="N18" s="35">
        <f>revleg_sel</f>
        <v/>
      </c>
      <c r="O18" s="34">
        <f>ROUND(K18*L18*revleg_sel,0)</f>
        <v/>
      </c>
      <c r="P18" s="36">
        <f>load_sel</f>
        <v/>
      </c>
      <c r="Q18" s="36">
        <f>pax_cap*P18</f>
        <v/>
      </c>
      <c r="R18" s="34">
        <f>Q18*O18</f>
        <v/>
      </c>
      <c r="S18" s="37">
        <f>E18*discount</f>
        <v/>
      </c>
      <c r="T18" s="38">
        <f>S18*R18</f>
        <v/>
      </c>
      <c r="U18" s="38">
        <f>(battery/range_nm)*D18*O18*VLOOKUP(B18,country_opex,3,FALSE)</f>
        <v/>
      </c>
      <c r="V18" s="38">
        <f>VLOOKUP(B18,country_opex,2,FALSE)*crew_factor</f>
        <v/>
      </c>
      <c r="W18" s="38">
        <f>VLOOKUP(B18,country_opex,5,FALSE)</f>
        <v/>
      </c>
      <c r="X18" s="38">
        <f>maint</f>
        <v/>
      </c>
      <c r="Y18" s="38">
        <f>VLOOKUP(B18,country_opex,7,FALSE)*ins_pct</f>
        <v/>
      </c>
      <c r="Z18" s="38">
        <f>charge_berth</f>
        <v/>
      </c>
      <c r="AA18" s="38">
        <f>U18+V18+W18+X18+Y18+Z18</f>
        <v/>
      </c>
      <c r="AB18" s="38">
        <f>VLOOKUP(B18,country_opex,7,FALSE)/dep_years</f>
        <v/>
      </c>
      <c r="AC18" s="38">
        <f>T18-AA18</f>
        <v/>
      </c>
      <c r="AD18" s="35">
        <f>IF(T18=0,"",AC18/T18)</f>
        <v/>
      </c>
      <c r="AE18" s="36">
        <f>IF(AC18&lt;=0,"",VLOOKUP(B18,country_opex,7,FALSE)/AC18)</f>
        <v/>
      </c>
      <c r="AF18" s="33">
        <f>((D18*O18/diesel_nmpg)*diesel_co2pg-(battery/range_nm)*D18*O18*VLOOKUP(B18,country_opex,4,FALSE))/1000</f>
        <v/>
      </c>
      <c r="AG18" s="31" t="n"/>
      <c r="AH18" s="32" t="inlineStr">
        <is>
          <t>T3</t>
        </is>
      </c>
      <c r="AI18" s="32" t="inlineStr">
        <is>
          <t>partial-load-anchor-only</t>
        </is>
      </c>
      <c r="AJ18" s="39" t="n">
        <v>0.1</v>
      </c>
      <c r="AK18" s="34">
        <f>IF(AG18="","",AG18*AJ18)</f>
        <v/>
      </c>
      <c r="AL18" s="34">
        <f>IF(OR(AG18="",R18=0),"",MIN(IF(AT18="",9.9E+99,AT18),FLOOR(AK18/R18,1)))</f>
        <v/>
      </c>
      <c r="AM18" s="38">
        <f>IF(AL18="","",AL18*T18)</f>
        <v/>
      </c>
      <c r="AN18" s="36">
        <f>IF(OR(AG18="",R18=0),"",MIN(IF(AT18="",9.9E+99,AT18),AK18/R18))</f>
        <v/>
      </c>
      <c r="AO18" s="38">
        <f>IF(AN18="","",AN18*T18)</f>
        <v/>
      </c>
      <c r="AP18" s="40" t="n"/>
      <c r="AQ18" s="32" t="inlineStr">
        <is>
          <t>Upside tier</t>
        </is>
      </c>
      <c r="AR18" s="41" t="n"/>
      <c r="AS18" s="41" t="inlineStr">
        <is>
          <t>experience_upside</t>
        </is>
      </c>
      <c r="AT18" s="42" t="n"/>
      <c r="AU18" s="43">
        <f>IF(((S18*pax_cap*load_thin*ROUND(K18*L18*revleg_thin,0))-(((battery/range_nm)*D18*ROUND(K18*L18*revleg_thin,0)*VLOOKUP(B18,country_opex,3,FALSE))+V18+W18+X18+Y18+Z18))&lt;=0,"",VLOOKUP(B18,country_opex,7,FALSE)/((S18*pax_cap*load_thin*ROUND(K18*L18*revleg_thin,0))-(((battery/range_nm)*D18*ROUND(K18*L18*revleg_thin,0)*VLOOKUP(B18,country_opex,3,FALSE))+V18+W18+X18+Y18+Z18)))</f>
        <v/>
      </c>
      <c r="AV18" s="43">
        <f>IF(((S18*pax_cap*load_mid*ROUND(K18*L18*revleg_mid,0))-(((battery/range_nm)*D18*ROUND(K18*L18*revleg_mid,0)*VLOOKUP(B18,country_opex,3,FALSE))+V18+W18+X18+Y18+Z18))&lt;=0,"",VLOOKUP(B18,country_opex,7,FALSE)/((S18*pax_cap*load_mid*ROUND(K18*L18*revleg_mid,0))-(((battery/range_nm)*D18*ROUND(K18*L18*revleg_mid,0)*VLOOKUP(B18,country_opex,3,FALSE))+V18+W18+X18+Y18+Z18)))</f>
        <v/>
      </c>
      <c r="AW18" s="43">
        <f>IF(((S18*pax_cap*load_full*ROUND(K18*L18*revleg_full,0))-(((battery/range_nm)*D18*ROUND(K18*L18*revleg_full,0)*VLOOKUP(B18,country_opex,3,FALSE))+V18+W18+X18+Y18+Z18))&lt;=0,"",VLOOKUP(B18,country_opex,7,FALSE)/((S18*pax_cap*load_full*ROUND(K18*L18*revleg_full,0))-(((battery/range_nm)*D18*ROUND(K18*L18*revleg_full,0)*VLOOKUP(B18,country_opex,3,FALSE))+V18+W18+X18+Y18+Z18)))</f>
        <v/>
      </c>
      <c r="AX18" s="44" t="inlineStr">
        <is>
          <t>M2M Ferries published Mumbai Ferry Wharf/Bhaucha Dhakka ↔ Mandwa Ro-Pax fare floor: passenger fares from ₹400 onwards; motorcycle ₹210 onwards; 4-wheelers ₹1,020 onwards; buses ₹4,500 onwards; vehicle deck over 120 cars/two-wheelers/buses. Converted at ~INR85/USD: ₹400 ≈ $4.70. This is a direct fare floor/comparable, not a premium Navier fare claim.</t>
        </is>
      </c>
      <c r="AY18" s="44" t="inlineStr">
        <is>
          <t>Mumbai water taxi demand anchors: Indian Express (2023-02-08) reported Nayantara/NAYAN XI 200-seat DCT→Mandwa via Belapur had poor DCT ridership but averaged 120 passengers from Belapur; fares ₹400 lower deck/₹450 upper/business. The Hindu (2022-11-13) reported Belapur→Elephanta filling ~80% capacity on a 32-seat vessel with three round trips, Belapur→JNPT doing well, and DCT→Mandwa 60 round trips in 10 days with &lt;10% occupancy on 200-seat vessel. These are direct observed load/service-health anchors, not annual passenger counts; annual demand remains null.</t>
        </is>
      </c>
    </row>
    <row r="19">
      <c r="A19" s="29" t="inlineStr">
        <is>
          <t>India Kolkata Uber India</t>
        </is>
      </c>
      <c r="B19" s="29" t="inlineStr">
        <is>
          <t>India</t>
        </is>
      </c>
      <c r="C19" s="30" t="inlineStr">
        <is>
          <t>Millennium Park Jetty → Chandannagar Riverfront</t>
        </is>
      </c>
      <c r="D19" s="31" t="n">
        <v>17.9</v>
      </c>
      <c r="E19" s="26" t="n">
        <v>18</v>
      </c>
      <c r="F19" s="32" t="n"/>
      <c r="G19" s="32" t="n"/>
      <c r="H19" s="19" t="n">
        <v>1</v>
      </c>
      <c r="I19" s="33">
        <f>60*D19/cruise_kt</f>
        <v/>
      </c>
      <c r="J19" s="33">
        <f>I19+turn_min+dwell_min</f>
        <v/>
      </c>
      <c r="K19" s="34">
        <f>MIN(15,FLOOR(60*service_hr/J19,1))</f>
        <v/>
      </c>
      <c r="L19" s="34">
        <f>ROUND(365*mech_uptime*H19,0)</f>
        <v/>
      </c>
      <c r="M19" s="35">
        <f>mech_uptime</f>
        <v/>
      </c>
      <c r="N19" s="35">
        <f>revleg_sel</f>
        <v/>
      </c>
      <c r="O19" s="34">
        <f>ROUND(K19*L19*revleg_sel,0)</f>
        <v/>
      </c>
      <c r="P19" s="36">
        <f>load_sel</f>
        <v/>
      </c>
      <c r="Q19" s="36">
        <f>pax_cap*P19</f>
        <v/>
      </c>
      <c r="R19" s="34">
        <f>Q19*O19</f>
        <v/>
      </c>
      <c r="S19" s="37">
        <f>E19*discount</f>
        <v/>
      </c>
      <c r="T19" s="38">
        <f>S19*R19</f>
        <v/>
      </c>
      <c r="U19" s="38">
        <f>(battery/range_nm)*D19*O19*VLOOKUP(B19,country_opex,3,FALSE)</f>
        <v/>
      </c>
      <c r="V19" s="38">
        <f>VLOOKUP(B19,country_opex,2,FALSE)*crew_factor</f>
        <v/>
      </c>
      <c r="W19" s="38">
        <f>VLOOKUP(B19,country_opex,5,FALSE)</f>
        <v/>
      </c>
      <c r="X19" s="38">
        <f>maint</f>
        <v/>
      </c>
      <c r="Y19" s="38">
        <f>VLOOKUP(B19,country_opex,7,FALSE)*ins_pct</f>
        <v/>
      </c>
      <c r="Z19" s="38">
        <f>charge_berth</f>
        <v/>
      </c>
      <c r="AA19" s="38">
        <f>U19+V19+W19+X19+Y19+Z19</f>
        <v/>
      </c>
      <c r="AB19" s="38">
        <f>VLOOKUP(B19,country_opex,7,FALSE)/dep_years</f>
        <v/>
      </c>
      <c r="AC19" s="38">
        <f>T19-AA19</f>
        <v/>
      </c>
      <c r="AD19" s="35">
        <f>IF(T19=0,"",AC19/T19)</f>
        <v/>
      </c>
      <c r="AE19" s="36">
        <f>IF(AC19&lt;=0,"",VLOOKUP(B19,country_opex,7,FALSE)/AC19)</f>
        <v/>
      </c>
      <c r="AF19" s="33">
        <f>((D19*O19/diesel_nmpg)*diesel_co2pg-(battery/range_nm)*D19*O19*VLOOKUP(B19,country_opex,4,FALSE))/1000</f>
        <v/>
      </c>
      <c r="AG19" s="31" t="n">
        <v>1600000</v>
      </c>
      <c r="AH19" s="32" t="n"/>
      <c r="AI19" s="32" t="n"/>
      <c r="AJ19" s="39" t="n">
        <v>0.1</v>
      </c>
      <c r="AK19" s="34">
        <f>IF(AG19="","",AG19*AJ19)</f>
        <v/>
      </c>
      <c r="AL19" s="34">
        <f>IF(OR(AG19="",R19=0),"",MIN(IF(AT19="",9.9E+99,AT19),FLOOR(AK19/R19,1)))</f>
        <v/>
      </c>
      <c r="AM19" s="38">
        <f>IF(AL19="","",AL19*T19)</f>
        <v/>
      </c>
      <c r="AN19" s="36">
        <f>IF(OR(AG19="",R19=0),"",MIN(IF(AT19="",9.9E+99,AT19),AK19/R19))</f>
        <v/>
      </c>
      <c r="AO19" s="38">
        <f>IF(AN19="","",AN19*T19)</f>
        <v/>
      </c>
      <c r="AP19" s="40" t="n"/>
      <c r="AQ19" s="32" t="inlineStr">
        <is>
          <t>Grounded</t>
        </is>
      </c>
      <c r="AR19" s="41" t="n"/>
      <c r="AS19" s="41" t="n"/>
      <c r="AT19" s="42" t="n"/>
      <c r="AU19" s="43">
        <f>IF(((S19*pax_cap*load_thin*ROUND(K19*L19*revleg_thin,0))-(((battery/range_nm)*D19*ROUND(K19*L19*revleg_thin,0)*VLOOKUP(B19,country_opex,3,FALSE))+V19+W19+X19+Y19+Z19))&lt;=0,"",VLOOKUP(B19,country_opex,7,FALSE)/((S19*pax_cap*load_thin*ROUND(K19*L19*revleg_thin,0))-(((battery/range_nm)*D19*ROUND(K19*L19*revleg_thin,0)*VLOOKUP(B19,country_opex,3,FALSE))+V19+W19+X19+Y19+Z19)))</f>
        <v/>
      </c>
      <c r="AV19" s="43">
        <f>IF(((S19*pax_cap*load_mid*ROUND(K19*L19*revleg_mid,0))-(((battery/range_nm)*D19*ROUND(K19*L19*revleg_mid,0)*VLOOKUP(B19,country_opex,3,FALSE))+V19+W19+X19+Y19+Z19))&lt;=0,"",VLOOKUP(B19,country_opex,7,FALSE)/((S19*pax_cap*load_mid*ROUND(K19*L19*revleg_mid,0))-(((battery/range_nm)*D19*ROUND(K19*L19*revleg_mid,0)*VLOOKUP(B19,country_opex,3,FALSE))+V19+W19+X19+Y19+Z19)))</f>
        <v/>
      </c>
      <c r="AW19" s="43">
        <f>IF(((S19*pax_cap*load_full*ROUND(K19*L19*revleg_full,0))-(((battery/range_nm)*D19*ROUND(K19*L19*revleg_full,0)*VLOOKUP(B19,country_opex,3,FALSE))+V19+W19+X19+Y19+Z19))&lt;=0,"",VLOOKUP(B19,country_opex,7,FALSE)/((S19*pax_cap*load_full*ROUND(K19*L19*revleg_full,0))-(((battery/range_nm)*D19*ROUND(K19*L19*revleg_full,0)*VLOOKUP(B19,country_opex,3,FALSE))+V19+W19+X19+Y19+Z19)))</f>
        <v/>
      </c>
      <c r="AX19" s="44" t="inlineStr">
        <is>
          <t xml:space="preserve">[LB-255 PREMIUM RE-FARE: subsidized comparable $2.5 lifted to premium on-demand floor $18.0] </t>
        </is>
      </c>
      <c r="AY19" s="44" t="n"/>
    </row>
    <row r="20">
      <c r="A20" s="45" t="inlineStr">
        <is>
          <t>TOTAL / median</t>
        </is>
      </c>
      <c r="T20" s="46">
        <f>SUM(T4:T19)</f>
        <v/>
      </c>
      <c r="AC20" s="46">
        <f>SUM(AC4:AC19)</f>
        <v/>
      </c>
      <c r="AD20" s="47">
        <f>IF(T20=0,"",AC20/T20)</f>
        <v/>
      </c>
      <c r="AL20" s="48">
        <f>SUM(AL4:AL19)</f>
        <v/>
      </c>
      <c r="AM20" s="46">
        <f>SUM(AM4:AM19)</f>
        <v/>
      </c>
    </row>
    <row r="22">
      <c r="A22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3">
      <c r="A23" s="24" t="inlineStr">
        <is>
          <t>Market</t>
        </is>
      </c>
      <c r="B23" s="24" t="inlineStr">
        <is>
          <t>Fleet basis</t>
        </is>
      </c>
      <c r="C23" s="24" t="inlineStr">
        <is>
          <t>Raw vessels (sum)</t>
        </is>
      </c>
      <c r="D23" s="24" t="inlineStr">
        <is>
          <t>Fleet (rounded once)</t>
        </is>
      </c>
      <c r="E23" s="24" t="inlineStr">
        <is>
          <t>Market rev/yr (raw sum)</t>
        </is>
      </c>
    </row>
    <row r="24">
      <c r="A24" s="25" t="inlineStr">
        <is>
          <t>India Kolkata Uber India</t>
        </is>
      </c>
      <c r="B24" s="13" t="inlineStr">
        <is>
          <t>network_sum</t>
        </is>
      </c>
      <c r="C24" s="23">
        <f>SUMIFS(AN4:AN19,A4:A19,"India Kolkata Uber India",AP4:AP19,"=",AQ4:AQ19,"Grounded")</f>
        <v/>
      </c>
      <c r="D24" s="49">
        <f>ROUND(C24,0)</f>
        <v/>
      </c>
      <c r="E24" s="50">
        <f>SUMIFS(AO4:AO19,A4:A19,"India Kolkata Uber India",AP4:AP19,"=",AQ4:AQ19,"Grounded")</f>
        <v/>
      </c>
    </row>
    <row r="25">
      <c r="A25" s="25" t="inlineStr">
        <is>
          <t>Uber Mumbai</t>
        </is>
      </c>
      <c r="B25" s="13" t="inlineStr">
        <is>
          <t>per_corridor_floor</t>
        </is>
      </c>
      <c r="C25" s="13" t="inlineStr">
        <is>
          <t>—</t>
        </is>
      </c>
      <c r="D25" s="49">
        <f>SUMIFS(AL4:AL19,A4:A19,"Uber Mumbai",AP4:AP19,"=",AQ4:AQ19,"Grounded")</f>
        <v/>
      </c>
      <c r="E25" s="50">
        <f>SUMIFS(AM4:AM19,A4:A19,"Uber Mumbai",AP4:AP19,"=",AQ4:AQ19,"Grounded")</f>
        <v/>
      </c>
    </row>
    <row r="26">
      <c r="A26" s="25" t="inlineStr">
        <is>
          <t>India Chennai Uber India</t>
        </is>
      </c>
      <c r="B26" s="13" t="inlineStr">
        <is>
          <t>network_sum</t>
        </is>
      </c>
      <c r="C26" s="23">
        <f>SUMIFS(AN4:AN19,A4:A19,"India Chennai Uber India",AP4:AP19,"=",AQ4:AQ19,"Grounded")</f>
        <v/>
      </c>
      <c r="D26" s="49">
        <f>ROUND(C26,0)</f>
        <v/>
      </c>
      <c r="E26" s="50">
        <f>SUMIFS(AO4:AO19,A4:A19,"India Chennai Uber India",AP4:AP19,"=",AQ4:AQ19,"Grounded")</f>
        <v/>
      </c>
    </row>
    <row r="27">
      <c r="A27" s="45" t="inlineStr">
        <is>
          <t>GROUNDED FLOOR (PUBLISHED)</t>
        </is>
      </c>
      <c r="D27" s="48">
        <f>SUM(D24:D26)</f>
        <v/>
      </c>
      <c r="E27" s="46">
        <f>SUM(E24:E26)</f>
        <v/>
      </c>
    </row>
    <row r="28">
      <c r="A28" s="20" t="inlineStr">
        <is>
          <t>ESTIMATED UPSIDE (LB-99 modal-shift / experience-upside tiers; held OUT of grounded floor)</t>
        </is>
      </c>
      <c r="D28" s="51">
        <f>SUMIF(AQ4:AQ19,"Upside tier",AL4:AL19)</f>
        <v/>
      </c>
      <c r="E28" s="52">
        <f>SUMIF(AQ4:AQ19,"Upside tier",AM4:AM19)</f>
        <v/>
      </c>
    </row>
    <row r="30">
      <c r="A30" s="53" t="inlineStr">
        <is>
          <t>Held for Quanta-LR (&gt;70nm, roadmap H2 2026+):</t>
        </is>
      </c>
      <c r="C30" s="54" t="inlineStr">
        <is>
          <t>Chennai Port WQIV Cruise Terminal → Cuddalore Port (90.0nm)</t>
        </is>
      </c>
    </row>
    <row r="31">
      <c r="C31" s="54" t="inlineStr">
        <is>
          <t>Chennai Port WQIV Cruise Terminal → Puducherry Port (76.6nm)</t>
        </is>
      </c>
    </row>
  </sheetData>
  <mergeCells count="2">
    <mergeCell ref="A22:L2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5" t="inlineStr">
        <is>
          <t>Note</t>
        </is>
      </c>
      <c r="B26" s="56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2026-07-06T02:58:49Z</dcterms:created>
  <dcterms:modified xsi:type="dcterms:W3CDTF">2026-07-06T02:58:49Z</dcterms:modified>
</cp:coreProperties>
</file>