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opex'!$A$4:$G$6</definedName>
    <definedName name="som_floor_fleet">'Corridor economics'!$D$27</definedName>
    <definedName name="som_floor_rev">'Corridor economics'!$E$27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Yassir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  <row r="4">
      <c r="A4" s="25" t="inlineStr">
        <is>
          <t>Algeria</t>
        </is>
      </c>
      <c r="B4" s="26" t="n">
        <v>12000</v>
      </c>
      <c r="C4" s="27" t="n">
        <v>0.04</v>
      </c>
      <c r="D4" s="19" t="n">
        <v>0.55</v>
      </c>
      <c r="E4" s="26" t="n">
        <v>8000</v>
      </c>
      <c r="F4" s="19" t="n">
        <v>0.3</v>
      </c>
      <c r="G4" s="26" t="n">
        <v>600000</v>
      </c>
      <c r="H4" s="14" t="inlineStr">
        <is>
          <t>Regional modeled maritime-wage proxy retained because no strong Algeria maritime-captain salary source was found; acceptable only as labelled draft until local wage source replaces it. | GlobalPetrolPrices Algeria electricity page reports September 2025 business electricity at USD 0.035/kWh, citing CREG, Ministry of Energy and Mines, and Sonelgaz; rounded up to 0.04/kWh for operating conservatism. | Regional modeled marina/port overhead proxy retained; Algeria marina-fee search found weak port/marina leads but no tariff table. Replace before final investment-grade economics if available. | CAPEX LB-243 US/EU=$900K else $600K</t>
        </is>
      </c>
    </row>
    <row r="5">
      <c r="A5" s="25" t="inlineStr">
        <is>
          <t>Morocco</t>
        </is>
      </c>
      <c r="B5" s="26" t="n">
        <v>14000</v>
      </c>
      <c r="C5" s="27" t="n">
        <v>0.12</v>
      </c>
      <c r="D5" s="19" t="n">
        <v>0.6</v>
      </c>
      <c r="E5" s="26" t="n">
        <v>10000</v>
      </c>
      <c r="F5" s="19" t="n">
        <v>0.38</v>
      </c>
      <c r="G5" s="26" t="n">
        <v>600000</v>
      </c>
      <c r="H5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6">
      <c r="A6" s="25" t="inlineStr">
        <is>
          <t>Tunisia</t>
        </is>
      </c>
      <c r="B6" s="26" t="n">
        <v>14000</v>
      </c>
      <c r="C6" s="27" t="n">
        <v>0.1</v>
      </c>
      <c r="D6" s="19" t="n">
        <v>0.45</v>
      </c>
      <c r="E6" s="26" t="n">
        <v>9000</v>
      </c>
      <c r="F6" s="19" t="n">
        <v>0.35</v>
      </c>
      <c r="G6" s="26" t="n">
        <v>600000</v>
      </c>
      <c r="H6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6" customWidth="1" min="43" max="43"/>
    <col width="16" customWidth="1" min="44" max="44"/>
    <col width="9" customWidth="1" min="45" max="45"/>
    <col width="9" customWidth="1" min="46" max="46"/>
    <col width="9" customWidth="1" min="47" max="47"/>
    <col width="9" customWidth="1" min="48" max="48"/>
    <col width="50" customWidth="1" min="49" max="49"/>
    <col width="50" customWidth="1" min="50" max="50"/>
  </cols>
  <sheetData>
    <row r="1">
      <c r="A1" s="8" t="inlineStr">
        <is>
          <t>Navier × Yassir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Forward SAM (2030-dated; held OUT of grounded floor)</t>
        </is>
      </c>
      <c r="AR3" s="24" t="inlineStr">
        <is>
          <t>Upside tier (LB-99; held OUT of grounded floor)</t>
        </is>
      </c>
      <c r="AS3" s="24" t="inlineStr">
        <is>
          <t>Fleet ceiling (captive villas/25)</t>
        </is>
      </c>
      <c r="AT3" s="24" t="inlineStr">
        <is>
          <t>Payback THIN</t>
        </is>
      </c>
      <c r="AU3" s="24" t="inlineStr">
        <is>
          <t>Payback MID</t>
        </is>
      </c>
      <c r="AV3" s="24" t="inlineStr">
        <is>
          <t>Payback FULL</t>
        </is>
      </c>
      <c r="AW3" s="24" t="inlineStr">
        <is>
          <t>Fare source (provenance)</t>
        </is>
      </c>
      <c r="AX3" s="24" t="inlineStr">
        <is>
          <t>Demand source (provenance)</t>
        </is>
      </c>
    </row>
    <row r="4">
      <c r="A4" s="29" t="inlineStr">
        <is>
          <t>Yassir Algeria</t>
        </is>
      </c>
      <c r="B4" s="29" t="inlineStr">
        <is>
          <t>Algeria</t>
        </is>
      </c>
      <c r="C4" s="30" t="inlineStr">
        <is>
          <t>La Pêcherie / Port d'Alger → El Djamila / Aïn Bénian</t>
        </is>
      </c>
      <c r="D4" s="31" t="n">
        <v>8.5</v>
      </c>
      <c r="E4" s="26" t="n">
        <v>18</v>
      </c>
      <c r="F4" s="32" t="n"/>
      <c r="G4" s="32" t="n"/>
      <c r="H4" s="19" t="n">
        <v>1</v>
      </c>
      <c r="I4" s="33">
        <f>60*D4/cruise_kt</f>
        <v/>
      </c>
      <c r="J4" s="33">
        <f>I4+turn_min+dwell_min</f>
        <v/>
      </c>
      <c r="K4" s="34">
        <f>MIN(15,FLOOR(60*service_hr/J4,1))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170280</v>
      </c>
      <c r="AH4" s="32" t="n"/>
      <c r="AI4" s="32" t="n"/>
      <c r="AJ4" s="39" t="n">
        <v>0.1</v>
      </c>
      <c r="AK4" s="34">
        <f>IF(AG4="","",AG4*AJ4)</f>
        <v/>
      </c>
      <c r="AL4" s="34">
        <f>IF(OR(AG4="",R4=0),"",MIN(IF(AS4="",9.9E+99,AS4),FLOOR(AK4/R4,1)))</f>
        <v/>
      </c>
      <c r="AM4" s="38">
        <f>IF(AL4="","",AL4*T4)</f>
        <v/>
      </c>
      <c r="AN4" s="36">
        <f>IF(OR(AG4="",R4=0),"",MIN(IF(AS4="",9.9E+99,AS4),AK4/R4))</f>
        <v/>
      </c>
      <c r="AO4" s="38">
        <f>IF(AN4="","",AN4*T4)</f>
        <v/>
      </c>
      <c r="AP4" s="40" t="n"/>
      <c r="AQ4" s="41" t="n"/>
      <c r="AR4" s="41" t="n"/>
      <c r="AS4" s="42" t="n"/>
      <c r="AT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U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V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W4" s="44" t="inlineStr">
        <is>
          <t xml:space="preserve">[LB-255 PREMIUM RE-FARE: subsidized comparable $3.7 lifted to premium on-demand floor $18.0] </t>
        </is>
      </c>
      <c r="AX4" s="44" t="n"/>
    </row>
    <row r="5">
      <c r="A5" s="29" t="inlineStr">
        <is>
          <t>Yassir Morocco</t>
        </is>
      </c>
      <c r="B5" s="29" t="inlineStr">
        <is>
          <t>Morocco</t>
        </is>
      </c>
      <c r="C5" s="30" t="inlineStr">
        <is>
          <t>Rabat → Sale</t>
        </is>
      </c>
      <c r="D5" s="31" t="n">
        <v>0.5</v>
      </c>
      <c r="E5" s="26" t="n"/>
      <c r="F5" s="32" t="n"/>
      <c r="G5" s="32" t="n"/>
      <c r="H5" s="19" t="n">
        <v>1</v>
      </c>
      <c r="I5" s="33">
        <f>60*D5/cruise_kt</f>
        <v/>
      </c>
      <c r="J5" s="33">
        <f>I5+turn_min+dwell_min</f>
        <v/>
      </c>
      <c r="K5" s="34">
        <f>MIN(24,FLOOR(60*service_hr/J5,1))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/>
      <c r="AH5" s="32" t="n"/>
      <c r="AI5" s="32" t="n"/>
      <c r="AJ5" s="39" t="n">
        <v>0.1</v>
      </c>
      <c r="AK5" s="34">
        <f>IF(AG5="","",AG5*AJ5)</f>
        <v/>
      </c>
      <c r="AL5" s="34">
        <f>IF(OR(AG5="",R5=0),"",MIN(IF(AS5="",9.9E+99,AS5),FLOOR(AK5/R5,1)))</f>
        <v/>
      </c>
      <c r="AM5" s="38">
        <f>IF(AL5="","",AL5*T5)</f>
        <v/>
      </c>
      <c r="AN5" s="36">
        <f>IF(OR(AG5="",R5=0),"",MIN(IF(AS5="",9.9E+99,AS5),AK5/R5))</f>
        <v/>
      </c>
      <c r="AO5" s="38">
        <f>IF(AN5="","",AN5*T5)</f>
        <v/>
      </c>
      <c r="AP5" s="40" t="n"/>
      <c r="AQ5" s="41" t="n"/>
      <c r="AR5" s="41" t="n"/>
      <c r="AS5" s="42" t="n"/>
      <c r="AT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U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V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W5" s="44" t="n"/>
      <c r="AX5" s="44" t="n"/>
    </row>
    <row r="6">
      <c r="A6" s="29" t="inlineStr">
        <is>
          <t>Yassir Morocco</t>
        </is>
      </c>
      <c r="B6" s="29" t="inlineStr">
        <is>
          <t>Morocco</t>
        </is>
      </c>
      <c r="C6" s="30" t="inlineStr">
        <is>
          <t>Tangier Marina Bay → Tarifa (cross-strait excluded)</t>
        </is>
      </c>
      <c r="D6" s="31" t="n">
        <v>8</v>
      </c>
      <c r="E6" s="26" t="n">
        <v>43.5</v>
      </c>
      <c r="F6" s="32" t="inlineStr">
        <is>
          <t>T2</t>
        </is>
      </c>
      <c r="G6" s="32" t="inlineStr">
        <is>
          <t>med</t>
        </is>
      </c>
      <c r="H6" s="19" t="n">
        <v>1</v>
      </c>
      <c r="I6" s="33">
        <f>60*D6/cruise_kt</f>
        <v/>
      </c>
      <c r="J6" s="33">
        <f>I6+turn_min+dwell_min</f>
        <v/>
      </c>
      <c r="K6" s="34">
        <f>MIN(15,FLOOR(60*service_hr/J6,1))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760778</v>
      </c>
      <c r="AH6" s="32" t="n"/>
      <c r="AI6" s="32" t="n"/>
      <c r="AJ6" s="39" t="n">
        <v>0.1</v>
      </c>
      <c r="AK6" s="34">
        <f>IF(AG6="","",AG6*AJ6)</f>
        <v/>
      </c>
      <c r="AL6" s="34">
        <f>IF(OR(AG6="",R6=0),"",MIN(IF(AS6="",9.9E+99,AS6),FLOOR(AK6/R6,1)))</f>
        <v/>
      </c>
      <c r="AM6" s="38">
        <f>IF(AL6="","",AL6*T6)</f>
        <v/>
      </c>
      <c r="AN6" s="36">
        <f>IF(OR(AG6="",R6=0),"",MIN(IF(AS6="",9.9E+99,AS6),AK6/R6))</f>
        <v/>
      </c>
      <c r="AO6" s="38">
        <f>IF(AN6="","",AN6*T6)</f>
        <v/>
      </c>
      <c r="AP6" s="40" t="n"/>
      <c r="AQ6" s="41" t="n"/>
      <c r="AR6" s="41" t="n"/>
      <c r="AS6" s="42" t="n"/>
      <c r="AT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U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V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W6" s="44" t="inlineStr">
        <is>
          <t>PREMIUM tier: standard adult FOOT-PASSENGER one-way fast-ferry fare Tarifa&lt;-&gt;Tangier Ville ~EUR 40.25 (traveller-reported foot fare) x 1.08 = ~$43.5; DirectFerries lists 'from $46'. THIS is the Navier-modeled per-seat tier.</t>
        </is>
      </c>
      <c r="AX6" s="44" t="n"/>
    </row>
    <row r="7">
      <c r="A7" s="29" t="inlineStr">
        <is>
          <t>Yassir Morocco</t>
        </is>
      </c>
      <c r="B7" s="29" t="inlineStr">
        <is>
          <t>Morocco</t>
        </is>
      </c>
      <c r="C7" s="30" t="inlineStr">
        <is>
          <t>Agadir Marina → Taghazout</t>
        </is>
      </c>
      <c r="D7" s="31" t="n">
        <v>9</v>
      </c>
      <c r="E7" s="26" t="n"/>
      <c r="F7" s="32" t="n"/>
      <c r="G7" s="32" t="n"/>
      <c r="H7" s="19" t="n">
        <v>1</v>
      </c>
      <c r="I7" s="33">
        <f>60*D7/cruise_kt</f>
        <v/>
      </c>
      <c r="J7" s="33">
        <f>I7+turn_min+dwell_min</f>
        <v/>
      </c>
      <c r="K7" s="34">
        <f>MIN(15,FLOOR(60*service_hr/J7,1))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77500</v>
      </c>
      <c r="AH7" s="32" t="n"/>
      <c r="AI7" s="32" t="n"/>
      <c r="AJ7" s="39" t="n">
        <v>0.1</v>
      </c>
      <c r="AK7" s="34">
        <f>IF(AG7="","",AG7*AJ7)</f>
        <v/>
      </c>
      <c r="AL7" s="34">
        <f>IF(OR(AG7="",R7=0),"",MIN(IF(AS7="",9.9E+99,AS7),FLOOR(AK7/R7,1)))</f>
        <v/>
      </c>
      <c r="AM7" s="38">
        <f>IF(AL7="","",AL7*T7)</f>
        <v/>
      </c>
      <c r="AN7" s="36">
        <f>IF(OR(AG7="",R7=0),"",MIN(IF(AS7="",9.9E+99,AS7),AK7/R7))</f>
        <v/>
      </c>
      <c r="AO7" s="38">
        <f>IF(AN7="","",AN7*T7)</f>
        <v/>
      </c>
      <c r="AP7" s="40" t="n"/>
      <c r="AQ7" s="41" t="n"/>
      <c r="AR7" s="41" t="n"/>
      <c r="AS7" s="42" t="n"/>
      <c r="AT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U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V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W7" s="44" t="n"/>
      <c r="AX7" s="44" t="n"/>
    </row>
    <row r="8">
      <c r="A8" s="29" t="inlineStr">
        <is>
          <t>Yassir Morocco</t>
        </is>
      </c>
      <c r="B8" s="29" t="inlineStr">
        <is>
          <t>Morocco</t>
        </is>
      </c>
      <c r="C8" s="30" t="inlineStr">
        <is>
          <t>Tanger Med (Ksar el Majaz) → Algeciras (Spain)</t>
        </is>
      </c>
      <c r="D8" s="31" t="n">
        <v>13</v>
      </c>
      <c r="E8" s="26" t="n">
        <v>38</v>
      </c>
      <c r="F8" s="32" t="inlineStr">
        <is>
          <t>T2</t>
        </is>
      </c>
      <c r="G8" s="32" t="inlineStr">
        <is>
          <t>med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MIN(15,FLOOR(60*service_hr/J8,1))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1610211</v>
      </c>
      <c r="AH8" s="32" t="n"/>
      <c r="AI8" s="32" t="n"/>
      <c r="AJ8" s="39" t="n">
        <v>0.1</v>
      </c>
      <c r="AK8" s="34">
        <f>IF(AG8="","",AG8*AJ8)</f>
        <v/>
      </c>
      <c r="AL8" s="34">
        <f>IF(OR(AG8="",R8=0),"",MIN(IF(AS8="",9.9E+99,AS8),FLOOR(AK8/R8,1)))</f>
        <v/>
      </c>
      <c r="AM8" s="38">
        <f>IF(AL8="","",AL8*T8)</f>
        <v/>
      </c>
      <c r="AN8" s="36">
        <f>IF(OR(AG8="",R8=0),"",MIN(IF(AS8="",9.9E+99,AS8),AK8/R8))</f>
        <v/>
      </c>
      <c r="AO8" s="38">
        <f>IF(AN8="","",AN8*T8)</f>
        <v/>
      </c>
      <c r="AP8" s="40" t="n"/>
      <c r="AQ8" s="41" t="n"/>
      <c r="AR8" s="41" t="n"/>
      <c r="AS8" s="42" t="n"/>
      <c r="AT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U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V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W8" s="44" t="inlineStr">
        <is>
          <t>PREMIUM tier: standard adult FOOT-PASSENGER one-way Tanger Med&lt;-&gt;Algeciras ~EUR 35 x 1.08 = ~$38 (Strait fast-ferry foot fares cluster EUR 30-40).</t>
        </is>
      </c>
      <c r="AX8" s="44" t="n"/>
    </row>
    <row r="9">
      <c r="A9" s="29" t="inlineStr">
        <is>
          <t>Yassir Morocco</t>
        </is>
      </c>
      <c r="B9" s="29" t="inlineStr">
        <is>
          <t>Morocco</t>
        </is>
      </c>
      <c r="C9" s="30" t="inlineStr">
        <is>
          <t>Casablanca → Mohammedia</t>
        </is>
      </c>
      <c r="D9" s="31" t="n">
        <v>13</v>
      </c>
      <c r="E9" s="26" t="n"/>
      <c r="F9" s="32" t="n"/>
      <c r="G9" s="32" t="n"/>
      <c r="H9" s="19" t="n">
        <v>1</v>
      </c>
      <c r="I9" s="33">
        <f>60*D9/cruise_kt</f>
        <v/>
      </c>
      <c r="J9" s="33">
        <f>I9+turn_min+dwell_min</f>
        <v/>
      </c>
      <c r="K9" s="34">
        <f>MIN(24,FLOOR(60*service_hr/J9,1))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/>
      <c r="AH9" s="32" t="n"/>
      <c r="AI9" s="32" t="n"/>
      <c r="AJ9" s="39" t="n">
        <v>0.1</v>
      </c>
      <c r="AK9" s="34">
        <f>IF(AG9="","",AG9*AJ9)</f>
        <v/>
      </c>
      <c r="AL9" s="34">
        <f>IF(OR(AG9="",R9=0),"",MIN(IF(AS9="",9.9E+99,AS9),FLOOR(AK9/R9,1)))</f>
        <v/>
      </c>
      <c r="AM9" s="38">
        <f>IF(AL9="","",AL9*T9)</f>
        <v/>
      </c>
      <c r="AN9" s="36">
        <f>IF(OR(AG9="",R9=0),"",MIN(IF(AS9="",9.9E+99,AS9),AK9/R9))</f>
        <v/>
      </c>
      <c r="AO9" s="38">
        <f>IF(AN9="","",AN9*T9)</f>
        <v/>
      </c>
      <c r="AP9" s="40" t="n"/>
      <c r="AQ9" s="41" t="n"/>
      <c r="AR9" s="41" t="n"/>
      <c r="AS9" s="42" t="n"/>
      <c r="AT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U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V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W9" s="44" t="n"/>
      <c r="AX9" s="44" t="n"/>
    </row>
    <row r="10">
      <c r="A10" s="29" t="inlineStr">
        <is>
          <t>Yassir Morocco</t>
        </is>
      </c>
      <c r="B10" s="29" t="inlineStr">
        <is>
          <t>Morocco</t>
        </is>
      </c>
      <c r="C10" s="30" t="inlineStr">
        <is>
          <t>Al Hoceima → Cala Iris</t>
        </is>
      </c>
      <c r="D10" s="31" t="n">
        <v>16</v>
      </c>
      <c r="E10" s="26" t="n"/>
      <c r="F10" s="32" t="n"/>
      <c r="G10" s="32" t="n"/>
      <c r="H10" s="19" t="n">
        <v>1</v>
      </c>
      <c r="I10" s="33">
        <f>60*D10/cruise_kt</f>
        <v/>
      </c>
      <c r="J10" s="33">
        <f>I10+turn_min+dwell_min</f>
        <v/>
      </c>
      <c r="K10" s="34">
        <f>MIN(24,FLOOR(60*service_hr/J10,1))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/>
      <c r="AH10" s="32" t="n"/>
      <c r="AI10" s="32" t="n"/>
      <c r="AJ10" s="39" t="n">
        <v>0.1</v>
      </c>
      <c r="AK10" s="34">
        <f>IF(AG10="","",AG10*AJ10)</f>
        <v/>
      </c>
      <c r="AL10" s="34">
        <f>IF(OR(AG10="",R10=0),"",MIN(IF(AS10="",9.9E+99,AS10),FLOOR(AK10/R10,1)))</f>
        <v/>
      </c>
      <c r="AM10" s="38">
        <f>IF(AL10="","",AL10*T10)</f>
        <v/>
      </c>
      <c r="AN10" s="36">
        <f>IF(OR(AG10="",R10=0),"",MIN(IF(AS10="",9.9E+99,AS10),AK10/R10))</f>
        <v/>
      </c>
      <c r="AO10" s="38">
        <f>IF(AN10="","",AN10*T10)</f>
        <v/>
      </c>
      <c r="AP10" s="40" t="n"/>
      <c r="AQ10" s="41" t="n"/>
      <c r="AR10" s="41" t="n"/>
      <c r="AS10" s="42" t="n"/>
      <c r="AT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U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V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W10" s="44" t="n"/>
      <c r="AX10" s="44" t="n"/>
    </row>
    <row r="11">
      <c r="A11" s="29" t="inlineStr">
        <is>
          <t>Yassir Morocco</t>
        </is>
      </c>
      <c r="B11" s="29" t="inlineStr">
        <is>
          <t>Morocco</t>
        </is>
      </c>
      <c r="C11" s="30" t="inlineStr">
        <is>
          <t>Tanger Med → Ceuta (Spanish enclave)</t>
        </is>
      </c>
      <c r="D11" s="31" t="n">
        <v>22</v>
      </c>
      <c r="E11" s="26" t="n">
        <v>36</v>
      </c>
      <c r="F11" s="32" t="inlineStr">
        <is>
          <t>T2</t>
        </is>
      </c>
      <c r="G11" s="32" t="inlineStr">
        <is>
          <t>med</t>
        </is>
      </c>
      <c r="H11" s="19" t="n">
        <v>1</v>
      </c>
      <c r="I11" s="33">
        <f>60*D11/cruise_kt</f>
        <v/>
      </c>
      <c r="J11" s="33">
        <f>I11+turn_min+dwell_min</f>
        <v/>
      </c>
      <c r="K11" s="34">
        <f>MIN(15,FLOOR(60*service_hr/J11,1))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/>
      <c r="AH11" s="32" t="n"/>
      <c r="AI11" s="32" t="n"/>
      <c r="AJ11" s="39" t="n">
        <v>0.1</v>
      </c>
      <c r="AK11" s="34">
        <f>IF(AG11="","",AG11*AJ11)</f>
        <v/>
      </c>
      <c r="AL11" s="34">
        <f>IF(OR(AG11="",R11=0),"",MIN(IF(AS11="",9.9E+99,AS11),FLOOR(AK11/R11,1)))</f>
        <v/>
      </c>
      <c r="AM11" s="38">
        <f>IF(AL11="","",AL11*T11)</f>
        <v/>
      </c>
      <c r="AN11" s="36">
        <f>IF(OR(AG11="",R11=0),"",MIN(IF(AS11="",9.9E+99,AS11),AK11/R11))</f>
        <v/>
      </c>
      <c r="AO11" s="38">
        <f>IF(AN11="","",AN11*T11)</f>
        <v/>
      </c>
      <c r="AP11" s="40" t="n"/>
      <c r="AQ11" s="41" t="n"/>
      <c r="AR11" s="41" t="n"/>
      <c r="AS11" s="42" t="n"/>
      <c r="AT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U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V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W11" s="44" t="inlineStr">
        <is>
          <t>PREMIUM tier (nearest comparable = Algeciras&lt;-&gt;Ceuta fast ferry): avg foot-passenger fare ~EUR 33 x 1.08 ~= $36 (one-way ~EUR 25-35), 60 min fast ferry.</t>
        </is>
      </c>
      <c r="AX11" s="44" t="n"/>
    </row>
    <row r="12">
      <c r="A12" s="29" t="inlineStr">
        <is>
          <t>Yassir Morocco</t>
        </is>
      </c>
      <c r="B12" s="29" t="inlineStr">
        <is>
          <t>Morocco</t>
        </is>
      </c>
      <c r="C12" s="30" t="inlineStr">
        <is>
          <t>Casablanca → Rabat</t>
        </is>
      </c>
      <c r="D12" s="31" t="n">
        <v>46</v>
      </c>
      <c r="E12" s="26" t="n"/>
      <c r="F12" s="32" t="n"/>
      <c r="G12" s="32" t="n"/>
      <c r="H12" s="19" t="n">
        <v>1</v>
      </c>
      <c r="I12" s="33">
        <f>60*D12/cruise_kt</f>
        <v/>
      </c>
      <c r="J12" s="33">
        <f>I12+turn_min+dwell_min</f>
        <v/>
      </c>
      <c r="K12" s="34">
        <f>MIN(24,FLOOR(60*service_hr/J12,1))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>
        <v>165000</v>
      </c>
      <c r="AH12" s="32" t="n"/>
      <c r="AI12" s="32" t="n"/>
      <c r="AJ12" s="39" t="n">
        <v>0.1</v>
      </c>
      <c r="AK12" s="34">
        <f>IF(AG12="","",AG12*AJ12)</f>
        <v/>
      </c>
      <c r="AL12" s="34">
        <f>IF(OR(AG12="",R12=0),"",MIN(IF(AS12="",9.9E+99,AS12),FLOOR(AK12/R12,1)))</f>
        <v/>
      </c>
      <c r="AM12" s="38">
        <f>IF(AL12="","",AL12*T12)</f>
        <v/>
      </c>
      <c r="AN12" s="36">
        <f>IF(OR(AG12="",R12=0),"",MIN(IF(AS12="",9.9E+99,AS12),AK12/R12))</f>
        <v/>
      </c>
      <c r="AO12" s="38">
        <f>IF(AN12="","",AN12*T12)</f>
        <v/>
      </c>
      <c r="AP12" s="40" t="n"/>
      <c r="AQ12" s="41" t="n"/>
      <c r="AR12" s="41" t="n"/>
      <c r="AS12" s="42" t="n"/>
      <c r="AT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U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V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W12" s="44" t="n"/>
      <c r="AX12" s="44" t="n"/>
    </row>
    <row r="13">
      <c r="A13" s="29" t="inlineStr">
        <is>
          <t>Yassir Tunisia</t>
        </is>
      </c>
      <c r="B13" s="29" t="inlineStr">
        <is>
          <t>Tunisia</t>
        </is>
      </c>
      <c r="C13" s="30" t="inlineStr">
        <is>
          <t>Jorf (mainland) → Ajim (Djerba Island)</t>
        </is>
      </c>
      <c r="D13" s="31" t="n">
        <v>1.1</v>
      </c>
      <c r="E13" s="26" t="n"/>
      <c r="F13" s="32" t="n"/>
      <c r="G13" s="32" t="n"/>
      <c r="H13" s="19" t="n">
        <v>1</v>
      </c>
      <c r="I13" s="33">
        <f>60*D13/cruise_kt</f>
        <v/>
      </c>
      <c r="J13" s="33">
        <f>I13+turn_min+dwell_min</f>
        <v/>
      </c>
      <c r="K13" s="34">
        <f>MIN(15,FLOOR(60*service_hr/J13,1))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>
        <v>2463750</v>
      </c>
      <c r="AH13" s="32" t="n"/>
      <c r="AI13" s="32" t="n"/>
      <c r="AJ13" s="39" t="n">
        <v>0.1</v>
      </c>
      <c r="AK13" s="34">
        <f>IF(AG13="","",AG13*AJ13)</f>
        <v/>
      </c>
      <c r="AL13" s="34">
        <f>IF(OR(AG13="",R13=0),"",MIN(IF(AS13="",9.9E+99,AS13),FLOOR(AK13/R13,1)))</f>
        <v/>
      </c>
      <c r="AM13" s="38">
        <f>IF(AL13="","",AL13*T13)</f>
        <v/>
      </c>
      <c r="AN13" s="36">
        <f>IF(OR(AG13="",R13=0),"",MIN(IF(AS13="",9.9E+99,AS13),AK13/R13))</f>
        <v/>
      </c>
      <c r="AO13" s="38">
        <f>IF(AN13="","",AN13*T13)</f>
        <v/>
      </c>
      <c r="AP13" s="40" t="n"/>
      <c r="AQ13" s="41" t="n"/>
      <c r="AR13" s="41" t="n"/>
      <c r="AS13" s="42" t="n"/>
      <c r="AT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U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V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W13" s="44" t="n"/>
      <c r="AX13" s="44" t="n"/>
    </row>
    <row r="14">
      <c r="A14" s="29" t="inlineStr">
        <is>
          <t>Yassir Tunisia</t>
        </is>
      </c>
      <c r="B14" s="29" t="inlineStr">
        <is>
          <t>Tunisia</t>
        </is>
      </c>
      <c r="C14" s="30" t="inlineStr">
        <is>
          <t>La Goulette → Sidi Bou Said</t>
        </is>
      </c>
      <c r="D14" s="31" t="n">
        <v>4</v>
      </c>
      <c r="E14" s="26" t="n">
        <v>27</v>
      </c>
      <c r="F14" s="32" t="inlineStr">
        <is>
          <t>T2</t>
        </is>
      </c>
      <c r="G14" s="32" t="inlineStr">
        <is>
          <t>med</t>
        </is>
      </c>
      <c r="H14" s="19" t="n">
        <v>1</v>
      </c>
      <c r="I14" s="33">
        <f>60*D14/cruise_kt</f>
        <v/>
      </c>
      <c r="J14" s="33">
        <f>I14+turn_min+dwell_min</f>
        <v/>
      </c>
      <c r="K14" s="34">
        <f>MIN(15,FLOOR(60*service_hr/J14,1))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>
        <v>222000</v>
      </c>
      <c r="AH14" s="32" t="n"/>
      <c r="AI14" s="32" t="n"/>
      <c r="AJ14" s="39" t="n">
        <v>0.1</v>
      </c>
      <c r="AK14" s="34">
        <f>IF(AG14="","",AG14*AJ14)</f>
        <v/>
      </c>
      <c r="AL14" s="34">
        <f>IF(OR(AG14="",R14=0),"",MIN(IF(AS14="",9.9E+99,AS14),FLOOR(AK14/R14,1)))</f>
        <v/>
      </c>
      <c r="AM14" s="38">
        <f>IF(AL14="","",AL14*T14)</f>
        <v/>
      </c>
      <c r="AN14" s="36">
        <f>IF(OR(AG14="",R14=0),"",MIN(IF(AS14="",9.9E+99,AS14),AK14/R14))</f>
        <v/>
      </c>
      <c r="AO14" s="38">
        <f>IF(AN14="","",AN14*T14)</f>
        <v/>
      </c>
      <c r="AP14" s="40" t="n"/>
      <c r="AQ14" s="41" t="n"/>
      <c r="AR14" s="41" t="n"/>
      <c r="AS14" s="42" t="n"/>
      <c r="AT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U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V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W14" s="44" t="inlineStr">
        <is>
          <t>PREMIUM charter-divided tier: Gulf of Tunis / Sidi Bou Said per-seat excursion cruise ~EUR 25 (pirate-boat dinner cruise 'from EUR 30'; 3h marina cruise EUR 15-20) x 1.08 ~= $27. Nearest premium per-seat water product on this corridor; no scheduled fast catamaran exists.</t>
        </is>
      </c>
      <c r="AX14" s="44" t="n"/>
    </row>
    <row r="15">
      <c r="A15" s="29" t="inlineStr">
        <is>
          <t>Yassir Tunisia</t>
        </is>
      </c>
      <c r="B15" s="29" t="inlineStr">
        <is>
          <t>Tunisia</t>
        </is>
      </c>
      <c r="C15" s="30" t="inlineStr">
        <is>
          <t>Tunis (Tunis Marine) → La Goulette</t>
        </is>
      </c>
      <c r="D15" s="31" t="n">
        <v>5</v>
      </c>
      <c r="E15" s="26" t="n"/>
      <c r="F15" s="32" t="n"/>
      <c r="G15" s="32" t="n"/>
      <c r="H15" s="19" t="n">
        <v>1</v>
      </c>
      <c r="I15" s="33">
        <f>60*D15/cruise_kt</f>
        <v/>
      </c>
      <c r="J15" s="33">
        <f>I15+turn_min+dwell_min</f>
        <v/>
      </c>
      <c r="K15" s="34">
        <f>MIN(24,FLOOR(60*service_hr/J15,1))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>
        <v>296000</v>
      </c>
      <c r="AH15" s="32" t="n"/>
      <c r="AI15" s="32" t="n"/>
      <c r="AJ15" s="39" t="n">
        <v>0.1</v>
      </c>
      <c r="AK15" s="34">
        <f>IF(AG15="","",AG15*AJ15)</f>
        <v/>
      </c>
      <c r="AL15" s="34">
        <f>IF(OR(AG15="",R15=0),"",MIN(IF(AS15="",9.9E+99,AS15),FLOOR(AK15/R15,1)))</f>
        <v/>
      </c>
      <c r="AM15" s="38">
        <f>IF(AL15="","",AL15*T15)</f>
        <v/>
      </c>
      <c r="AN15" s="36">
        <f>IF(OR(AG15="",R15=0),"",MIN(IF(AS15="",9.9E+99,AS15),AK15/R15))</f>
        <v/>
      </c>
      <c r="AO15" s="38">
        <f>IF(AN15="","",AN15*T15)</f>
        <v/>
      </c>
      <c r="AP15" s="40" t="n"/>
      <c r="AQ15" s="41" t="n"/>
      <c r="AR15" s="41" t="n"/>
      <c r="AS15" s="42" t="n"/>
      <c r="AT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U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V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W15" s="44" t="n"/>
      <c r="AX15" s="44" t="n"/>
    </row>
    <row r="16">
      <c r="A16" s="29" t="inlineStr">
        <is>
          <t>Yassir Tunisia</t>
        </is>
      </c>
      <c r="B16" s="29" t="inlineStr">
        <is>
          <t>Tunisia</t>
        </is>
      </c>
      <c r="C16" s="30" t="inlineStr">
        <is>
          <t>Tunis (La Goulette) → La Marsa / Gammarth</t>
        </is>
      </c>
      <c r="D16" s="31" t="n">
        <v>7</v>
      </c>
      <c r="E16" s="26" t="n"/>
      <c r="F16" s="32" t="n"/>
      <c r="G16" s="32" t="n"/>
      <c r="H16" s="19" t="n">
        <v>1</v>
      </c>
      <c r="I16" s="33">
        <f>60*D16/cruise_kt</f>
        <v/>
      </c>
      <c r="J16" s="33">
        <f>I16+turn_min+dwell_min</f>
        <v/>
      </c>
      <c r="K16" s="34">
        <f>MIN(24,FLOOR(60*service_hr/J16,1))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>
        <v>222000</v>
      </c>
      <c r="AH16" s="32" t="n"/>
      <c r="AI16" s="32" t="n"/>
      <c r="AJ16" s="39" t="n">
        <v>0.1</v>
      </c>
      <c r="AK16" s="34">
        <f>IF(AG16="","",AG16*AJ16)</f>
        <v/>
      </c>
      <c r="AL16" s="34">
        <f>IF(OR(AG16="",R16=0),"",MIN(IF(AS16="",9.9E+99,AS16),FLOOR(AK16/R16,1)))</f>
        <v/>
      </c>
      <c r="AM16" s="38">
        <f>IF(AL16="","",AL16*T16)</f>
        <v/>
      </c>
      <c r="AN16" s="36">
        <f>IF(OR(AG16="",R16=0),"",MIN(IF(AS16="",9.9E+99,AS16),AK16/R16))</f>
        <v/>
      </c>
      <c r="AO16" s="38">
        <f>IF(AN16="","",AN16*T16)</f>
        <v/>
      </c>
      <c r="AP16" s="40" t="n"/>
      <c r="AQ16" s="41" t="n"/>
      <c r="AR16" s="41" t="n"/>
      <c r="AS16" s="42" t="n"/>
      <c r="AT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U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V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W16" s="44" t="n"/>
      <c r="AX16" s="44" t="n"/>
    </row>
    <row r="17">
      <c r="A17" s="29" t="inlineStr">
        <is>
          <t>Yassir Tunisia</t>
        </is>
      </c>
      <c r="B17" s="29" t="inlineStr">
        <is>
          <t>Tunisia</t>
        </is>
      </c>
      <c r="C17" s="30" t="inlineStr">
        <is>
          <t>Yasmine Hammamet → Nabeul</t>
        </is>
      </c>
      <c r="D17" s="31" t="n">
        <v>7</v>
      </c>
      <c r="E17" s="26" t="n">
        <v>22</v>
      </c>
      <c r="F17" s="32" t="inlineStr">
        <is>
          <t>T2</t>
        </is>
      </c>
      <c r="G17" s="32" t="inlineStr">
        <is>
          <t>med</t>
        </is>
      </c>
      <c r="H17" s="19" t="n">
        <v>1</v>
      </c>
      <c r="I17" s="33">
        <f>60*D17/cruise_kt</f>
        <v/>
      </c>
      <c r="J17" s="33">
        <f>I17+turn_min+dwell_min</f>
        <v/>
      </c>
      <c r="K17" s="34">
        <f>MIN(15,FLOOR(60*service_hr/J17,1))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/>
      <c r="AH17" s="32" t="n"/>
      <c r="AI17" s="32" t="n"/>
      <c r="AJ17" s="39" t="n">
        <v>0.1</v>
      </c>
      <c r="AK17" s="34">
        <f>IF(AG17="","",AG17*AJ17)</f>
        <v/>
      </c>
      <c r="AL17" s="34">
        <f>IF(OR(AG17="",R17=0),"",MIN(IF(AS17="",9.9E+99,AS17),FLOOR(AK17/R17,1)))</f>
        <v/>
      </c>
      <c r="AM17" s="38">
        <f>IF(AL17="","",AL17*T17)</f>
        <v/>
      </c>
      <c r="AN17" s="36">
        <f>IF(OR(AG17="",R17=0),"",MIN(IF(AS17="",9.9E+99,AS17),AK17/R17))</f>
        <v/>
      </c>
      <c r="AO17" s="38">
        <f>IF(AN17="","",AN17*T17)</f>
        <v/>
      </c>
      <c r="AP17" s="40" t="n"/>
      <c r="AQ17" s="41" t="n"/>
      <c r="AR17" s="41" t="n"/>
      <c r="AS17" s="42" t="n"/>
      <c r="AT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U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V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W17" s="44" t="inlineStr">
        <is>
          <t>PREMIUM charter-divided tier: Hammamet/Nabeul bay per-seat excursion boat ~EUR 15-25 (3h marina cruise w/ swim stop) -&gt; ~EUR 20 x 1.08 ~= $22. Nearest premium per-seat water product on the bay.</t>
        </is>
      </c>
      <c r="AX17" s="44" t="n"/>
    </row>
    <row r="18">
      <c r="A18" s="29" t="inlineStr">
        <is>
          <t>Yassir Tunisia</t>
        </is>
      </c>
      <c r="B18" s="29" t="inlineStr">
        <is>
          <t>Tunisia</t>
        </is>
      </c>
      <c r="C18" s="30" t="inlineStr">
        <is>
          <t>Sfax → Sidi Youssef (Kerkennah Islands)</t>
        </is>
      </c>
      <c r="D18" s="31" t="n">
        <v>11</v>
      </c>
      <c r="E18" s="26" t="n"/>
      <c r="F18" s="32" t="n"/>
      <c r="G18" s="32" t="n"/>
      <c r="H18" s="19" t="n">
        <v>1</v>
      </c>
      <c r="I18" s="33">
        <f>60*D18/cruise_kt</f>
        <v/>
      </c>
      <c r="J18" s="33">
        <f>I18+turn_min+dwell_min</f>
        <v/>
      </c>
      <c r="K18" s="34">
        <f>MIN(15,FLOOR(60*service_hr/J18,1))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>
        <v>1750000</v>
      </c>
      <c r="AH18" s="32" t="n"/>
      <c r="AI18" s="32" t="n"/>
      <c r="AJ18" s="39" t="n">
        <v>0.1</v>
      </c>
      <c r="AK18" s="34">
        <f>IF(AG18="","",AG18*AJ18)</f>
        <v/>
      </c>
      <c r="AL18" s="34">
        <f>IF(OR(AG18="",R18=0),"",MIN(IF(AS18="",9.9E+99,AS18),FLOOR(AK18/R18,1)))</f>
        <v/>
      </c>
      <c r="AM18" s="38">
        <f>IF(AL18="","",AL18*T18)</f>
        <v/>
      </c>
      <c r="AN18" s="36">
        <f>IF(OR(AG18="",R18=0),"",MIN(IF(AS18="",9.9E+99,AS18),AK18/R18))</f>
        <v/>
      </c>
      <c r="AO18" s="38">
        <f>IF(AN18="","",AN18*T18)</f>
        <v/>
      </c>
      <c r="AP18" s="40" t="n"/>
      <c r="AQ18" s="41" t="n"/>
      <c r="AR18" s="41" t="n"/>
      <c r="AS18" s="42" t="n"/>
      <c r="AT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U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V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W18" s="44" t="n"/>
      <c r="AX18" s="44" t="n"/>
    </row>
    <row r="19">
      <c r="A19" s="29" t="inlineStr">
        <is>
          <t>Yassir Tunisia</t>
        </is>
      </c>
      <c r="B19" s="29" t="inlineStr">
        <is>
          <t>Tunisia</t>
        </is>
      </c>
      <c r="C19" s="30" t="inlineStr">
        <is>
          <t>Sousse (Port El Kantaoui) → Monastir (Marina)</t>
        </is>
      </c>
      <c r="D19" s="31" t="n">
        <v>12</v>
      </c>
      <c r="E19" s="26" t="n">
        <v>32</v>
      </c>
      <c r="F19" s="32" t="inlineStr">
        <is>
          <t>T2</t>
        </is>
      </c>
      <c r="G19" s="32" t="inlineStr">
        <is>
          <t>med</t>
        </is>
      </c>
      <c r="H19" s="19" t="n">
        <v>1</v>
      </c>
      <c r="I19" s="33">
        <f>60*D19/cruise_kt</f>
        <v/>
      </c>
      <c r="J19" s="33">
        <f>I19+turn_min+dwell_min</f>
        <v/>
      </c>
      <c r="K19" s="34">
        <f>MIN(24,FLOOR(60*service_hr/J19,1))</f>
        <v/>
      </c>
      <c r="L19" s="34">
        <f>ROUND(365*mech_uptime*H19,0)</f>
        <v/>
      </c>
      <c r="M19" s="35">
        <f>mech_uptime</f>
        <v/>
      </c>
      <c r="N19" s="35">
        <f>revleg_sel</f>
        <v/>
      </c>
      <c r="O19" s="34">
        <f>ROUND(K19*L19*revleg_sel,0)</f>
        <v/>
      </c>
      <c r="P19" s="36">
        <f>load_sel</f>
        <v/>
      </c>
      <c r="Q19" s="36">
        <f>pax_cap*P19</f>
        <v/>
      </c>
      <c r="R19" s="34">
        <f>Q19*O19</f>
        <v/>
      </c>
      <c r="S19" s="37">
        <f>E19*discount</f>
        <v/>
      </c>
      <c r="T19" s="38">
        <f>S19*R19</f>
        <v/>
      </c>
      <c r="U19" s="38">
        <f>(battery/range_nm)*D19*O19*VLOOKUP(B19,country_opex,3,FALSE)</f>
        <v/>
      </c>
      <c r="V19" s="38">
        <f>VLOOKUP(B19,country_opex,2,FALSE)*crew_factor</f>
        <v/>
      </c>
      <c r="W19" s="38">
        <f>VLOOKUP(B19,country_opex,5,FALSE)</f>
        <v/>
      </c>
      <c r="X19" s="38">
        <f>maint</f>
        <v/>
      </c>
      <c r="Y19" s="38">
        <f>VLOOKUP(B19,country_opex,7,FALSE)*ins_pct</f>
        <v/>
      </c>
      <c r="Z19" s="38">
        <f>charge_berth</f>
        <v/>
      </c>
      <c r="AA19" s="38">
        <f>U19+V19+W19+X19+Y19+Z19</f>
        <v/>
      </c>
      <c r="AB19" s="38">
        <f>VLOOKUP(B19,country_opex,7,FALSE)/dep_years</f>
        <v/>
      </c>
      <c r="AC19" s="38">
        <f>T19-AA19</f>
        <v/>
      </c>
      <c r="AD19" s="35">
        <f>IF(T19=0,"",AC19/T19)</f>
        <v/>
      </c>
      <c r="AE19" s="36">
        <f>IF(AC19&lt;=0,"",VLOOKUP(B19,country_opex,7,FALSE)/AC19)</f>
        <v/>
      </c>
      <c r="AF19" s="33">
        <f>((D19*O19/diesel_nmpg)*diesel_co2pg-(battery/range_nm)*D19*O19*VLOOKUP(B19,country_opex,4,FALSE))/1000</f>
        <v/>
      </c>
      <c r="AG19" s="31" t="n">
        <v>344000</v>
      </c>
      <c r="AH19" s="32" t="n"/>
      <c r="AI19" s="32" t="n"/>
      <c r="AJ19" s="39" t="n">
        <v>0.1</v>
      </c>
      <c r="AK19" s="34">
        <f>IF(AG19="","",AG19*AJ19)</f>
        <v/>
      </c>
      <c r="AL19" s="34">
        <f>IF(OR(AG19="",R19=0),"",MIN(IF(AS19="",9.9E+99,AS19),FLOOR(AK19/R19,1)))</f>
        <v/>
      </c>
      <c r="AM19" s="38">
        <f>IF(AL19="","",AL19*T19)</f>
        <v/>
      </c>
      <c r="AN19" s="36">
        <f>IF(OR(AG19="",R19=0),"",MIN(IF(AS19="",9.9E+99,AS19),AK19/R19))</f>
        <v/>
      </c>
      <c r="AO19" s="38">
        <f>IF(AN19="","",AN19*T19)</f>
        <v/>
      </c>
      <c r="AP19" s="40" t="n"/>
      <c r="AQ19" s="41" t="n"/>
      <c r="AR19" s="41" t="n"/>
      <c r="AS19" s="42" t="n"/>
      <c r="AT19" s="43">
        <f>IF(((S19*pax_cap*load_thin*ROUND(K19*L19*revleg_thin,0))-(((battery/range_nm)*D19*ROUND(K19*L19*revleg_thin,0)*VLOOKUP(B19,country_opex,3,FALSE))+V19+W19+X19+Y19+Z19))&lt;=0,"",VLOOKUP(B19,country_opex,7,FALSE)/((S19*pax_cap*load_thin*ROUND(K19*L19*revleg_thin,0))-(((battery/range_nm)*D19*ROUND(K19*L19*revleg_thin,0)*VLOOKUP(B19,country_opex,3,FALSE))+V19+W19+X19+Y19+Z19)))</f>
        <v/>
      </c>
      <c r="AU19" s="43">
        <f>IF(((S19*pax_cap*load_mid*ROUND(K19*L19*revleg_mid,0))-(((battery/range_nm)*D19*ROUND(K19*L19*revleg_mid,0)*VLOOKUP(B19,country_opex,3,FALSE))+V19+W19+X19+Y19+Z19))&lt;=0,"",VLOOKUP(B19,country_opex,7,FALSE)/((S19*pax_cap*load_mid*ROUND(K19*L19*revleg_mid,0))-(((battery/range_nm)*D19*ROUND(K19*L19*revleg_mid,0)*VLOOKUP(B19,country_opex,3,FALSE))+V19+W19+X19+Y19+Z19)))</f>
        <v/>
      </c>
      <c r="AV19" s="43">
        <f>IF(((S19*pax_cap*load_full*ROUND(K19*L19*revleg_full,0))-(((battery/range_nm)*D19*ROUND(K19*L19*revleg_full,0)*VLOOKUP(B19,country_opex,3,FALSE))+V19+W19+X19+Y19+Z19))&lt;=0,"",VLOOKUP(B19,country_opex,7,FALSE)/((S19*pax_cap*load_full*ROUND(K19*L19*revleg_full,0))-(((battery/range_nm)*D19*ROUND(K19*L19*revleg_full,0)*VLOOKUP(B19,country_opex,3,FALSE))+V19+W19+X19+Y19+Z19)))</f>
        <v/>
      </c>
      <c r="AW19" s="44" t="inlineStr">
        <is>
          <t>PREMIUM charter-divided tier: Port El Kantaoui per-seat catamaran / 'pirate boat' coastal cruise ~EUR 25-35 (Catamaran Amira day-cruise; half-day pirate-boat Sousse-Monastir) -&gt; midpoint ~EUR 30 x 1.08 ~= $32. This is the nearest premium per-seat water product operating on this exact coast.</t>
        </is>
      </c>
      <c r="AX19" s="44" t="n"/>
    </row>
    <row r="20">
      <c r="A20" s="45" t="inlineStr">
        <is>
          <t>TOTAL / median</t>
        </is>
      </c>
      <c r="T20" s="46">
        <f>SUM(T4:T19)</f>
        <v/>
      </c>
      <c r="AC20" s="46">
        <f>SUM(AC4:AC19)</f>
        <v/>
      </c>
      <c r="AD20" s="47">
        <f>IF(T20=0,"",AC20/T20)</f>
        <v/>
      </c>
      <c r="AL20" s="48">
        <f>SUM(AL4:AL19)</f>
        <v/>
      </c>
      <c r="AM20" s="46">
        <f>SUM(AM4:AM19)</f>
        <v/>
      </c>
    </row>
    <row r="22">
      <c r="A22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23">
      <c r="A23" s="24" t="inlineStr">
        <is>
          <t>Market</t>
        </is>
      </c>
      <c r="B23" s="24" t="inlineStr">
        <is>
          <t>Fleet basis</t>
        </is>
      </c>
      <c r="C23" s="24" t="inlineStr">
        <is>
          <t>Raw vessels (sum)</t>
        </is>
      </c>
      <c r="D23" s="24" t="inlineStr">
        <is>
          <t>Fleet (rounded once)</t>
        </is>
      </c>
      <c r="E23" s="24" t="inlineStr">
        <is>
          <t>Market rev/yr (raw sum)</t>
        </is>
      </c>
    </row>
    <row r="24">
      <c r="A24" s="25" t="inlineStr">
        <is>
          <t>Yassir Algeria</t>
        </is>
      </c>
      <c r="B24" s="13" t="inlineStr">
        <is>
          <t>aspirational</t>
        </is>
      </c>
      <c r="C24" s="13" t="inlineStr">
        <is>
          <t>—</t>
        </is>
      </c>
      <c r="D24" s="49">
        <f>SUMIFS(AL4:AL19,A4:A19,"Yassir Algeria",AP4:AP19,"=",AQ4:AQ19,"=",AR4:AR19,"=")</f>
        <v/>
      </c>
      <c r="E24" s="50">
        <f>SUMIFS(AM4:AM19,A4:A19,"Yassir Algeria",AP4:AP19,"=",AQ4:AQ19,"=",AR4:AR19,"=")</f>
        <v/>
      </c>
    </row>
    <row r="25">
      <c r="A25" s="25" t="inlineStr">
        <is>
          <t>Yassir Morocco</t>
        </is>
      </c>
      <c r="B25" s="13" t="inlineStr">
        <is>
          <t>aspirational</t>
        </is>
      </c>
      <c r="C25" s="13" t="inlineStr">
        <is>
          <t>—</t>
        </is>
      </c>
      <c r="D25" s="49">
        <f>SUMIFS(AL4:AL19,A4:A19,"Yassir Morocco",AP4:AP19,"=",AQ4:AQ19,"=",AR4:AR19,"=")</f>
        <v/>
      </c>
      <c r="E25" s="50">
        <f>SUMIFS(AM4:AM19,A4:A19,"Yassir Morocco",AP4:AP19,"=",AQ4:AQ19,"=",AR4:AR19,"=")</f>
        <v/>
      </c>
    </row>
    <row r="26">
      <c r="A26" s="25" t="inlineStr">
        <is>
          <t>Yassir Tunisia</t>
        </is>
      </c>
      <c r="B26" s="13" t="inlineStr">
        <is>
          <t>aspirational</t>
        </is>
      </c>
      <c r="C26" s="13" t="inlineStr">
        <is>
          <t>—</t>
        </is>
      </c>
      <c r="D26" s="49">
        <f>SUMIFS(AL4:AL19,A4:A19,"Yassir Tunisia",AP4:AP19,"=",AQ4:AQ19,"=",AR4:AR19,"=")</f>
        <v/>
      </c>
      <c r="E26" s="50">
        <f>SUMIFS(AM4:AM19,A4:A19,"Yassir Tunisia",AP4:AP19,"=",AQ4:AQ19,"=",AR4:AR19,"=")</f>
        <v/>
      </c>
    </row>
    <row r="27">
      <c r="A27" s="45" t="inlineStr">
        <is>
          <t>GROUNDED FLOOR (PUBLISHED)</t>
        </is>
      </c>
      <c r="D27" s="48">
        <f>SUM(D24:D26)</f>
        <v/>
      </c>
      <c r="E27" s="46">
        <f>SUM(E24:E26)</f>
        <v/>
      </c>
    </row>
    <row r="29">
      <c r="A29" s="51" t="inlineStr">
        <is>
          <t>Held for Quanta-LR (&gt;70nm, roadmap H2 2026+):</t>
        </is>
      </c>
      <c r="C29" s="52" t="inlineStr">
        <is>
          <t>Tunis (La Goulette) → Palermo (Sicily, Italy) (170nm)</t>
        </is>
      </c>
    </row>
    <row r="30">
      <c r="C30" s="52" t="inlineStr">
        <is>
          <t>Nador (Beni Ensar) → Almeria (Spain) (92nm)</t>
        </is>
      </c>
    </row>
    <row r="31">
      <c r="C31" s="52" t="inlineStr">
        <is>
          <t>Port d'Oran → Mostaganem port (81.7nm)</t>
        </is>
      </c>
    </row>
    <row r="32">
      <c r="C32" s="52" t="inlineStr">
        <is>
          <t>Port de Béjaïa → Port d'Alger (113.8nm)</t>
        </is>
      </c>
    </row>
  </sheetData>
  <mergeCells count="2">
    <mergeCell ref="A22:L2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0.0922</v>
      </c>
      <c r="E11" s="14" t="inlineStr">
        <is>
          <t>New-entrant ~9%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 corridor market-rev (10% capture, today's demand, sourced corridors).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(~9%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(~9%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3" t="inlineStr">
        <is>
          <t>Note</t>
        </is>
      </c>
      <c r="B26" s="54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2026-06-22T01:18:17Z</dcterms:created>
  <dcterms:modified xsi:type="dcterms:W3CDTF">2026-06-22T01:18:17Z</dcterms:modified>
</cp:coreProperties>
</file>