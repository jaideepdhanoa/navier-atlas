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opex'!$A$4:$G$7</definedName>
    <definedName name="som_floor_fleet">'Corridor economics'!$D$33</definedName>
    <definedName name="som_floor_rev">'Corridor economics'!$E$33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Yassir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Algeria</t>
        </is>
      </c>
      <c r="B4" s="26" t="n">
        <v>12000</v>
      </c>
      <c r="C4" s="27" t="n">
        <v>0.04</v>
      </c>
      <c r="D4" s="19" t="n">
        <v>0.55</v>
      </c>
      <c r="E4" s="26" t="n">
        <v>8000</v>
      </c>
      <c r="F4" s="19" t="n">
        <v>0.3</v>
      </c>
      <c r="G4" s="26" t="n">
        <v>600000</v>
      </c>
      <c r="H4" s="14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25" t="inlineStr">
        <is>
          <t>Morocco</t>
        </is>
      </c>
      <c r="B5" s="26" t="n">
        <v>14000</v>
      </c>
      <c r="C5" s="27" t="n">
        <v>0.12</v>
      </c>
      <c r="D5" s="19" t="n">
        <v>0.6</v>
      </c>
      <c r="E5" s="26" t="n">
        <v>10000</v>
      </c>
      <c r="F5" s="19" t="n">
        <v>0.38</v>
      </c>
      <c r="G5" s="26" t="n">
        <v>600000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25" t="inlineStr">
        <is>
          <t>Senegal</t>
        </is>
      </c>
      <c r="B6" s="26" t="n">
        <v>12000</v>
      </c>
      <c r="C6" s="27" t="n">
        <v>0.18</v>
      </c>
      <c r="D6" s="19" t="n">
        <v>0.55</v>
      </c>
      <c r="E6" s="26" t="n">
        <v>8000</v>
      </c>
      <c r="F6" s="19" t="n">
        <v>0.32</v>
      </c>
      <c r="G6" s="26" t="n">
        <v>600000</v>
      </c>
      <c r="H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25" t="inlineStr">
        <is>
          <t>Tunisia</t>
        </is>
      </c>
      <c r="B7" s="26" t="n">
        <v>14000</v>
      </c>
      <c r="C7" s="27" t="n">
        <v>0.1</v>
      </c>
      <c r="D7" s="19" t="n">
        <v>0.45</v>
      </c>
      <c r="E7" s="26" t="n">
        <v>9000</v>
      </c>
      <c r="F7" s="19" t="n">
        <v>0.35</v>
      </c>
      <c r="G7" s="26" t="n">
        <v>600000</v>
      </c>
      <c r="H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4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Yassir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Yassir</t>
        </is>
      </c>
      <c r="B4" s="29" t="inlineStr">
        <is>
          <t>Algeria</t>
        </is>
      </c>
      <c r="C4" s="30" t="inlineStr">
        <is>
          <t>Port of Annaba (Môle Cigogne / Quai Nord) → Annaba Corniche — Plage Rizi Amor / Saint-Cloud</t>
        </is>
      </c>
      <c r="D4" s="31" t="n">
        <v>2.1</v>
      </c>
      <c r="E4" s="26" t="n"/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Estimated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n"/>
      <c r="AY4" s="44" t="n"/>
    </row>
    <row r="5">
      <c r="A5" s="29" t="inlineStr">
        <is>
          <t>Yassir</t>
        </is>
      </c>
      <c r="B5" s="29" t="inlineStr">
        <is>
          <t>Algeria</t>
        </is>
      </c>
      <c r="C5" s="30" t="inlineStr">
        <is>
          <t>Gare Maritime / Port d'Oran → Ain El Turck / Kristel waterfront</t>
        </is>
      </c>
      <c r="D5" s="31" t="n">
        <v>2.3</v>
      </c>
      <c r="E5" s="26" t="n"/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Estimated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n"/>
      <c r="AY5" s="44" t="n"/>
    </row>
    <row r="6">
      <c r="A6" s="29" t="inlineStr">
        <is>
          <t>Yassir</t>
        </is>
      </c>
      <c r="B6" s="29" t="inlineStr">
        <is>
          <t>Algeria</t>
        </is>
      </c>
      <c r="C6" s="30" t="inlineStr">
        <is>
          <t>La Pêcherie / Port d'Alger → El Djamila / Aïn Bénian</t>
        </is>
      </c>
      <c r="D6" s="31" t="n">
        <v>8.5</v>
      </c>
      <c r="E6" s="26" t="n">
        <v>18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170280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 xml:space="preserve">[LB-255 PREMIUM RE-FARE: subsidized comparable $3.7 lifted to premium on-demand floor $18.0] </t>
        </is>
      </c>
      <c r="AY6" s="44" t="n"/>
    </row>
    <row r="7">
      <c r="A7" s="29" t="inlineStr">
        <is>
          <t>Yassir</t>
        </is>
      </c>
      <c r="B7" s="29" t="inlineStr">
        <is>
          <t>Algeria</t>
        </is>
      </c>
      <c r="C7" s="30" t="inlineStr">
        <is>
          <t>La Pêcherie / Port d'Alger / Gare Maritime → Tamentfoust (east bay harbour)</t>
        </is>
      </c>
      <c r="D7" s="31" t="n">
        <v>10.3</v>
      </c>
      <c r="E7" s="26" t="n"/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Estimated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n"/>
      <c r="AY7" s="44" t="n"/>
    </row>
    <row r="8">
      <c r="A8" s="29" t="inlineStr">
        <is>
          <t>Yassir</t>
        </is>
      </c>
      <c r="B8" s="29" t="inlineStr">
        <is>
          <t>Algeria</t>
        </is>
      </c>
      <c r="C8" s="30" t="inlineStr">
        <is>
          <t>Port de Sidi Fredj (marina) → El Djamila / Aïn Bénian</t>
        </is>
      </c>
      <c r="D8" s="31" t="n">
        <v>13.8</v>
      </c>
      <c r="E8" s="26" t="n"/>
      <c r="F8" s="32" t="n"/>
      <c r="G8" s="32" t="n"/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n"/>
      <c r="AI8" s="32" t="n"/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Estimated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n"/>
      <c r="AY8" s="44" t="n"/>
    </row>
    <row r="9">
      <c r="A9" s="29" t="inlineStr">
        <is>
          <t>Yassir</t>
        </is>
      </c>
      <c r="B9" s="29" t="inlineStr">
        <is>
          <t>Morocco</t>
        </is>
      </c>
      <c r="C9" s="30" t="inlineStr">
        <is>
          <t>Rabat → Sale</t>
        </is>
      </c>
      <c r="D9" s="31" t="n">
        <v>0.5</v>
      </c>
      <c r="E9" s="26" t="n"/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/>
      <c r="AH9" s="32" t="n"/>
      <c r="AI9" s="32" t="n"/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Estimated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n"/>
      <c r="AY9" s="44" t="n"/>
    </row>
    <row r="10">
      <c r="A10" s="29" t="inlineStr">
        <is>
          <t>Yassir</t>
        </is>
      </c>
      <c r="B10" s="29" t="inlineStr">
        <is>
          <t>Morocco</t>
        </is>
      </c>
      <c r="C10" s="30" t="inlineStr">
        <is>
          <t>Rabat → Sale</t>
        </is>
      </c>
      <c r="D10" s="31" t="n">
        <v>0.5</v>
      </c>
      <c r="E10" s="26" t="n"/>
      <c r="F10" s="32" t="n"/>
      <c r="G10" s="32" t="n"/>
      <c r="H10" s="19" t="n">
        <v>1</v>
      </c>
      <c r="I10" s="33">
        <f>60*D10/cruise_kt</f>
        <v/>
      </c>
      <c r="J10" s="33">
        <f>I10+turn_min+dwell_min</f>
        <v/>
      </c>
      <c r="K10" s="34">
        <f>MIN(24,FLOOR(60*service_hr/J10,1))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/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Estimated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n"/>
      <c r="AY10" s="44" t="n"/>
    </row>
    <row r="11">
      <c r="A11" s="29" t="inlineStr">
        <is>
          <t>Yassir</t>
        </is>
      </c>
      <c r="B11" s="29" t="inlineStr">
        <is>
          <t>Morocco</t>
        </is>
      </c>
      <c r="C11" s="30" t="inlineStr">
        <is>
          <t>Tangier Marina Bay → Tarifa (cross-strait excluded)</t>
        </is>
      </c>
      <c r="D11" s="31" t="n">
        <v>8</v>
      </c>
      <c r="E11" s="26" t="n">
        <v>43.5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760778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AY11" s="44" t="n"/>
    </row>
    <row r="12">
      <c r="A12" s="29" t="inlineStr">
        <is>
          <t>Yassir</t>
        </is>
      </c>
      <c r="B12" s="29" t="inlineStr">
        <is>
          <t>Morocco</t>
        </is>
      </c>
      <c r="C12" s="30" t="inlineStr">
        <is>
          <t>Agadir Marina → Taghazout</t>
        </is>
      </c>
      <c r="D12" s="31" t="n">
        <v>9</v>
      </c>
      <c r="E12" s="26" t="n"/>
      <c r="F12" s="32" t="n"/>
      <c r="G12" s="32" t="n"/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77500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n"/>
      <c r="AY12" s="44" t="n"/>
    </row>
    <row r="13">
      <c r="A13" s="29" t="inlineStr">
        <is>
          <t>Yassir</t>
        </is>
      </c>
      <c r="B13" s="29" t="inlineStr">
        <is>
          <t>Morocco</t>
        </is>
      </c>
      <c r="C13" s="30" t="inlineStr">
        <is>
          <t>Casablanca → Mohammedia</t>
        </is>
      </c>
      <c r="D13" s="31" t="n">
        <v>13</v>
      </c>
      <c r="E13" s="26" t="n"/>
      <c r="F13" s="32" t="n"/>
      <c r="G13" s="32" t="n"/>
      <c r="H13" s="19" t="n">
        <v>1</v>
      </c>
      <c r="I13" s="33">
        <f>60*D13/cruise_kt</f>
        <v/>
      </c>
      <c r="J13" s="33">
        <f>I13+turn_min+dwell_min</f>
        <v/>
      </c>
      <c r="K13" s="34">
        <f>MIN(24,FLOOR(60*service_hr/J13,1))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/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Estimated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n"/>
      <c r="AY13" s="44" t="n"/>
    </row>
    <row r="14">
      <c r="A14" s="29" t="inlineStr">
        <is>
          <t>Yassir</t>
        </is>
      </c>
      <c r="B14" s="29" t="inlineStr">
        <is>
          <t>Morocco</t>
        </is>
      </c>
      <c r="C14" s="30" t="inlineStr">
        <is>
          <t>Al Hoceima → Cala Iris</t>
        </is>
      </c>
      <c r="D14" s="31" t="n">
        <v>16</v>
      </c>
      <c r="E14" s="26" t="n"/>
      <c r="F14" s="32" t="n"/>
      <c r="G14" s="32" t="n"/>
      <c r="H14" s="19" t="n">
        <v>1</v>
      </c>
      <c r="I14" s="33">
        <f>60*D14/cruise_kt</f>
        <v/>
      </c>
      <c r="J14" s="33">
        <f>I14+turn_min+dwell_min</f>
        <v/>
      </c>
      <c r="K14" s="34">
        <f>MIN(24,FLOOR(60*service_hr/J14,1))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/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Estimated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n"/>
      <c r="AY14" s="44" t="n"/>
    </row>
    <row r="15">
      <c r="A15" s="29" t="inlineStr">
        <is>
          <t>Yassir</t>
        </is>
      </c>
      <c r="B15" s="29" t="inlineStr">
        <is>
          <t>Morocco</t>
        </is>
      </c>
      <c r="C15" s="30" t="inlineStr">
        <is>
          <t>Tanger Med → Ceuta (Spanish enclave)</t>
        </is>
      </c>
      <c r="D15" s="31" t="n">
        <v>22</v>
      </c>
      <c r="E15" s="26" t="n">
        <v>36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/>
      <c r="AH15" s="32" t="n"/>
      <c r="AI15" s="32" t="n"/>
      <c r="AJ15" s="39" t="n">
        <v>0.1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Estimated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PREMIUM tier (nearest comparable = Algeciras&lt;-&gt;Ceuta fast ferry): avg foot-passenger fare ~EUR 33 x 1.08 ~= $36 (one-way ~EUR 25-35), 60 min fast ferry.</t>
        </is>
      </c>
      <c r="AY15" s="44" t="n"/>
    </row>
    <row r="16">
      <c r="A16" s="29" t="inlineStr">
        <is>
          <t>Yassir</t>
        </is>
      </c>
      <c r="B16" s="29" t="inlineStr">
        <is>
          <t>Morocco</t>
        </is>
      </c>
      <c r="C16" s="30" t="inlineStr">
        <is>
          <t>Casablanca → Rabat</t>
        </is>
      </c>
      <c r="D16" s="31" t="n">
        <v>46</v>
      </c>
      <c r="E16" s="26" t="n"/>
      <c r="F16" s="32" t="n"/>
      <c r="G16" s="32" t="n"/>
      <c r="H16" s="19" t="n">
        <v>1</v>
      </c>
      <c r="I16" s="33">
        <f>60*D16/cruise_kt</f>
        <v/>
      </c>
      <c r="J16" s="33">
        <f>I16+turn_min+dwell_min</f>
        <v/>
      </c>
      <c r="K16" s="34">
        <f>MIN(24,FLOOR(60*service_hr/J16,1))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165000</v>
      </c>
      <c r="AH16" s="32" t="n"/>
      <c r="AI16" s="32" t="n"/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n"/>
      <c r="AY16" s="44" t="n"/>
    </row>
    <row r="17">
      <c r="A17" s="29" t="inlineStr">
        <is>
          <t>Yassir</t>
        </is>
      </c>
      <c r="B17" s="29" t="inlineStr">
        <is>
          <t>Senegal</t>
        </is>
      </c>
      <c r="C17" s="30" t="inlineStr">
        <is>
          <t>Dakar (Plage de Ngor) → Ile de Ngor</t>
        </is>
      </c>
      <c r="D17" s="31" t="n">
        <v>0.3</v>
      </c>
      <c r="E17" s="26" t="n">
        <v>18</v>
      </c>
      <c r="F17" s="32" t="inlineStr">
        <is>
          <t>T2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Estimated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AY17" s="44" t="n"/>
    </row>
    <row r="18">
      <c r="A18" s="29" t="inlineStr">
        <is>
          <t>Yassir</t>
        </is>
      </c>
      <c r="B18" s="29" t="inlineStr">
        <is>
          <t>Senegal</t>
        </is>
      </c>
      <c r="C18" s="30" t="inlineStr">
        <is>
          <t>Dakar (Soumbedioune / Mole) → Parc National des Iles de la Madeleine (Ile aux Serpents/Sarpan)</t>
        </is>
      </c>
      <c r="D18" s="31" t="n">
        <v>2.2</v>
      </c>
      <c r="E18" s="26" t="n">
        <v>18</v>
      </c>
      <c r="F18" s="32" t="inlineStr">
        <is>
          <t>T2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Estimated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AY18" s="44" t="n"/>
    </row>
    <row r="19">
      <c r="A19" s="29" t="inlineStr">
        <is>
          <t>Yassir</t>
        </is>
      </c>
      <c r="B19" s="29" t="inlineStr">
        <is>
          <t>Senegal</t>
        </is>
      </c>
      <c r="C19" s="30" t="inlineStr">
        <is>
          <t>Dakar Port → Île de Gorée</t>
        </is>
      </c>
      <c r="D19" s="31" t="n">
        <v>2.5</v>
      </c>
      <c r="E19" s="26" t="n">
        <v>18</v>
      </c>
      <c r="F19" s="32" t="inlineStr">
        <is>
          <t>T2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80000</v>
      </c>
      <c r="AH19" s="32" t="n"/>
      <c r="AI19" s="32" t="inlineStr">
        <is>
          <t>med</t>
        </is>
      </c>
      <c r="AJ19" s="39" t="n">
        <v>0.25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Grounded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AY19" s="44" t="n"/>
    </row>
    <row r="20">
      <c r="A20" s="29" t="inlineStr">
        <is>
          <t>Yassir</t>
        </is>
      </c>
      <c r="B20" s="29" t="inlineStr">
        <is>
          <t>Senegal</t>
        </is>
      </c>
      <c r="C20" s="30" t="inlineStr">
        <is>
          <t>Dakar (Yoff / Almadies) → Dakar (Soumbedioune / Plateau)</t>
        </is>
      </c>
      <c r="D20" s="31" t="n">
        <v>8</v>
      </c>
      <c r="E20" s="26" t="n"/>
      <c r="F20" s="32" t="n"/>
      <c r="G20" s="32" t="n"/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n"/>
      <c r="AI20" s="32" t="n"/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Estimated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n"/>
      <c r="AY20" s="44" t="n"/>
    </row>
    <row r="21">
      <c r="A21" s="29" t="inlineStr">
        <is>
          <t>Yassir</t>
        </is>
      </c>
      <c r="B21" s="29" t="inlineStr">
        <is>
          <t>Senegal</t>
        </is>
      </c>
      <c r="C21" s="30" t="inlineStr">
        <is>
          <t>Dakar / Mbour-Petite Cote → Foundiougne (Sine-Saloum delta)</t>
        </is>
      </c>
      <c r="D21" s="31" t="n">
        <v>60</v>
      </c>
      <c r="E21" s="26" t="n"/>
      <c r="F21" s="32" t="n"/>
      <c r="G21" s="32" t="n"/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/>
      <c r="AH21" s="32" t="n"/>
      <c r="AI21" s="32" t="n"/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Estimated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n"/>
      <c r="AY21" s="44" t="n"/>
    </row>
    <row r="22">
      <c r="A22" s="29" t="inlineStr">
        <is>
          <t>Yassir</t>
        </is>
      </c>
      <c r="B22" s="29" t="inlineStr">
        <is>
          <t>Tunisia</t>
        </is>
      </c>
      <c r="C22" s="30" t="inlineStr">
        <is>
          <t>Jorf (mainland) → Ajim (Djerba Island)</t>
        </is>
      </c>
      <c r="D22" s="31" t="n">
        <v>1.1</v>
      </c>
      <c r="E22" s="26" t="n"/>
      <c r="F22" s="32" t="n"/>
      <c r="G22" s="32" t="n"/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2463750</v>
      </c>
      <c r="AH22" s="32" t="n"/>
      <c r="AI22" s="32" t="n"/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Grounded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n"/>
      <c r="AY22" s="44" t="n"/>
    </row>
    <row r="23">
      <c r="A23" s="29" t="inlineStr">
        <is>
          <t>Yassir</t>
        </is>
      </c>
      <c r="B23" s="29" t="inlineStr">
        <is>
          <t>Tunisia</t>
        </is>
      </c>
      <c r="C23" s="30" t="inlineStr">
        <is>
          <t>La Goulette → Sidi Bou Said</t>
        </is>
      </c>
      <c r="D23" s="31" t="n">
        <v>4</v>
      </c>
      <c r="E23" s="26" t="n">
        <v>27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222000</v>
      </c>
      <c r="AH23" s="32" t="n"/>
      <c r="AI23" s="32" t="n"/>
      <c r="AJ23" s="39" t="n">
        <v>0.1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Grounded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AY23" s="44" t="n"/>
    </row>
    <row r="24">
      <c r="A24" s="29" t="inlineStr">
        <is>
          <t>Yassir</t>
        </is>
      </c>
      <c r="B24" s="29" t="inlineStr">
        <is>
          <t>Tunisia</t>
        </is>
      </c>
      <c r="C24" s="30" t="inlineStr">
        <is>
          <t>Tunis (Tunis Marine) → La Goulette</t>
        </is>
      </c>
      <c r="D24" s="31" t="n">
        <v>5</v>
      </c>
      <c r="E24" s="26" t="n"/>
      <c r="F24" s="32" t="n"/>
      <c r="G24" s="32" t="n"/>
      <c r="H24" s="19" t="n">
        <v>1</v>
      </c>
      <c r="I24" s="33">
        <f>60*D24/cruise_kt</f>
        <v/>
      </c>
      <c r="J24" s="33">
        <f>I24+turn_min+dwell_min</f>
        <v/>
      </c>
      <c r="K24" s="34">
        <f>MIN(24,FLOOR(60*service_hr/J24,1))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296000</v>
      </c>
      <c r="AH24" s="32" t="n"/>
      <c r="AI24" s="32" t="n"/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n"/>
      <c r="AY24" s="44" t="n"/>
    </row>
    <row r="25">
      <c r="A25" s="29" t="inlineStr">
        <is>
          <t>Yassir</t>
        </is>
      </c>
      <c r="B25" s="29" t="inlineStr">
        <is>
          <t>Tunisia</t>
        </is>
      </c>
      <c r="C25" s="30" t="inlineStr">
        <is>
          <t>Tunis (La Goulette) → La Marsa / Gammarth</t>
        </is>
      </c>
      <c r="D25" s="31" t="n">
        <v>7</v>
      </c>
      <c r="E25" s="26" t="n"/>
      <c r="F25" s="32" t="n"/>
      <c r="G25" s="32" t="n"/>
      <c r="H25" s="19" t="n">
        <v>1</v>
      </c>
      <c r="I25" s="33">
        <f>60*D25/cruise_kt</f>
        <v/>
      </c>
      <c r="J25" s="33">
        <f>I25+turn_min+dwell_min</f>
        <v/>
      </c>
      <c r="K25" s="34">
        <f>MIN(24,FLOOR(60*service_hr/J25,1))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222000</v>
      </c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Grounded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n"/>
      <c r="AY25" s="44" t="n"/>
    </row>
    <row r="26">
      <c r="A26" s="29" t="inlineStr">
        <is>
          <t>Yassir</t>
        </is>
      </c>
      <c r="B26" s="29" t="inlineStr">
        <is>
          <t>Tunisia</t>
        </is>
      </c>
      <c r="C26" s="30" t="inlineStr">
        <is>
          <t>Sfax → Sidi Youssef (Kerkennah Islands)</t>
        </is>
      </c>
      <c r="D26" s="31" t="n">
        <v>11</v>
      </c>
      <c r="E26" s="26" t="n"/>
      <c r="F26" s="32" t="n"/>
      <c r="G26" s="32" t="n"/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1750000</v>
      </c>
      <c r="AH26" s="32" t="n"/>
      <c r="AI26" s="32" t="n"/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n"/>
      <c r="AY26" s="44" t="n"/>
    </row>
    <row r="27">
      <c r="A27" s="29" t="inlineStr">
        <is>
          <t>Yassir</t>
        </is>
      </c>
      <c r="B27" s="29" t="inlineStr">
        <is>
          <t>Tunisia</t>
        </is>
      </c>
      <c r="C27" s="30" t="inlineStr">
        <is>
          <t>Sousse (Port El Kantaoui) → Monastir (Marina)</t>
        </is>
      </c>
      <c r="D27" s="31" t="n">
        <v>12</v>
      </c>
      <c r="E27" s="26" t="n">
        <v>32</v>
      </c>
      <c r="F27" s="32" t="inlineStr">
        <is>
          <t>T2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MIN(24,FLOOR(60*service_hr/J27,1))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344000</v>
      </c>
      <c r="AH27" s="32" t="n"/>
      <c r="AI27" s="32" t="n"/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Grounded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AY27" s="44" t="n"/>
    </row>
    <row r="28">
      <c r="A28" s="45" t="inlineStr">
        <is>
          <t>TOTAL / median</t>
        </is>
      </c>
      <c r="T28" s="46">
        <f>SUM(T4:T27)</f>
        <v/>
      </c>
      <c r="AC28" s="46">
        <f>SUM(AC4:AC27)</f>
        <v/>
      </c>
      <c r="AD28" s="47">
        <f>IF(T28=0,"",AC28/T28)</f>
        <v/>
      </c>
      <c r="AL28" s="48">
        <f>SUM(AL4:AL27)</f>
        <v/>
      </c>
      <c r="AM28" s="46">
        <f>SUM(AM4:AM27)</f>
        <v/>
      </c>
    </row>
    <row r="30">
      <c r="A30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31">
      <c r="A31" s="24" t="inlineStr">
        <is>
          <t>Market</t>
        </is>
      </c>
      <c r="B31" s="24" t="inlineStr">
        <is>
          <t>Fleet basis</t>
        </is>
      </c>
      <c r="C31" s="24" t="inlineStr">
        <is>
          <t>Raw vessels (sum)</t>
        </is>
      </c>
      <c r="D31" s="24" t="inlineStr">
        <is>
          <t>Fleet (rounded once)</t>
        </is>
      </c>
      <c r="E31" s="24" t="inlineStr">
        <is>
          <t>Market rev/yr (raw sum)</t>
        </is>
      </c>
    </row>
    <row r="32">
      <c r="A32" s="25" t="inlineStr">
        <is>
          <t>Yassir</t>
        </is>
      </c>
      <c r="B32" s="13" t="inlineStr">
        <is>
          <t>network_sum / ceil</t>
        </is>
      </c>
      <c r="C32" s="23">
        <f>SUMIFS(AN4:AN27,A4:A27,"Yassir",AP4:AP27,"=",AQ4:AQ27,"Grounded")</f>
        <v/>
      </c>
      <c r="D32" s="49">
        <f>IF(C32=0,0,CEILING(C32,1))</f>
        <v/>
      </c>
      <c r="E32" s="50">
        <f>SUMIFS(AO4:AO27,A4:A27,"Yassir",AP4:AP27,"=",AQ4:AQ27,"Grounded")</f>
        <v/>
      </c>
    </row>
    <row r="33">
      <c r="A33" s="45" t="inlineStr">
        <is>
          <t>GROUNDED FLOOR (PUBLISHED)</t>
        </is>
      </c>
      <c r="D33" s="48">
        <f>SUM(D32:D32)</f>
        <v/>
      </c>
      <c r="E33" s="46">
        <f>SUM(E32:E32)</f>
        <v/>
      </c>
    </row>
    <row r="34">
      <c r="A34" s="20" t="inlineStr">
        <is>
          <t>ESTIMATED DEMAND (country-median cascade; held OUT of grounded floor)</t>
        </is>
      </c>
      <c r="D34" s="51">
        <f>SUMIF(AQ4:AQ27,"Estimated",AL4:AL27)</f>
        <v/>
      </c>
      <c r="E34" s="52">
        <f>SUMIF(AQ4:AQ27,"Estimated",AM4:AM27)</f>
        <v/>
      </c>
    </row>
    <row r="35">
      <c r="A35" s="53" t="inlineStr">
        <is>
          <t>Held for Quanta-LR (&gt;70nm, roadmap H2 2026+):</t>
        </is>
      </c>
      <c r="C35" s="54" t="inlineStr">
        <is>
          <t>Tunis (La Goulette) → Palermo (Sicily, Italy) (170nm)</t>
        </is>
      </c>
    </row>
    <row r="36">
      <c r="C36" s="54" t="inlineStr">
        <is>
          <t>Nador (Beni Ensar) → Almeria (Spain) (92nm)</t>
        </is>
      </c>
    </row>
    <row r="37">
      <c r="C37" s="54" t="inlineStr">
        <is>
          <t>Port d'Oran → Mostaganem port (81.7nm)</t>
        </is>
      </c>
    </row>
    <row r="38">
      <c r="C38" s="54" t="inlineStr">
        <is>
          <t>Port de Béjaïa → Port d'Alger (113.8nm)</t>
        </is>
      </c>
    </row>
    <row r="39">
      <c r="C39" s="54" t="inlineStr">
        <is>
          <t>Dakar → Saint-Louis (du Senegal) (90nm)</t>
        </is>
      </c>
    </row>
    <row r="40">
      <c r="C40" s="54" t="inlineStr">
        <is>
          <t>Dakar (Gare maritime / Port) → Ziguinchor (Port de Ziguinchor, Casamance) (200nm)</t>
        </is>
      </c>
    </row>
  </sheetData>
  <mergeCells count="2">
    <mergeCell ref="A30:L30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0.0929</v>
      </c>
      <c r="E11" s="14" t="inlineStr">
        <is>
          <t>New-entrant ~9%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(~9%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(~9%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2026-07-07T02:34:28Z</dcterms:created>
  <dcterms:modified xsi:type="dcterms:W3CDTF">2026-07-07T02:34:28Z</dcterms:modified>
</cp:coreProperties>
</file>