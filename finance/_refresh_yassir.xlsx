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opex'!$A$4:$G$6</definedName>
    <definedName name="som_floor_fleet">'Corridor economics'!$D$28</definedName>
    <definedName name="som_floor_rev">'Corridor economics'!$E$28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Yassir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Algeria</t>
        </is>
      </c>
      <c r="B4" s="26" t="n">
        <v>12000</v>
      </c>
      <c r="C4" s="27" t="n">
        <v>0.04</v>
      </c>
      <c r="D4" s="19" t="n">
        <v>0.55</v>
      </c>
      <c r="E4" s="26" t="n">
        <v>8000</v>
      </c>
      <c r="F4" s="19" t="n">
        <v>0.3</v>
      </c>
      <c r="G4" s="26" t="n">
        <v>600000</v>
      </c>
      <c r="H4" s="14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25" t="inlineStr">
        <is>
          <t>Morocco</t>
        </is>
      </c>
      <c r="B5" s="26" t="n">
        <v>14000</v>
      </c>
      <c r="C5" s="27" t="n">
        <v>0.12</v>
      </c>
      <c r="D5" s="19" t="n">
        <v>0.6</v>
      </c>
      <c r="E5" s="26" t="n">
        <v>10000</v>
      </c>
      <c r="F5" s="19" t="n">
        <v>0.38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Tunisia</t>
        </is>
      </c>
      <c r="B6" s="26" t="n">
        <v>14000</v>
      </c>
      <c r="C6" s="27" t="n">
        <v>0.1</v>
      </c>
      <c r="D6" s="19" t="n">
        <v>0.45</v>
      </c>
      <c r="E6" s="26" t="n">
        <v>9000</v>
      </c>
      <c r="F6" s="19" t="n">
        <v>0.35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Yassir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Yassir Algeria</t>
        </is>
      </c>
      <c r="B4" s="29" t="inlineStr">
        <is>
          <t>Algeria</t>
        </is>
      </c>
      <c r="C4" s="30" t="inlineStr">
        <is>
          <t>La Pêcherie / Port d'Alger → El Djamila / Aïn Bénian</t>
        </is>
      </c>
      <c r="D4" s="31" t="n">
        <v>8.5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170280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 xml:space="preserve">[LB-255 PREMIUM RE-FARE: subsidized comparable $3.7 lifted to premium on-demand floor $18.0] </t>
        </is>
      </c>
      <c r="AY4" s="44" t="n"/>
    </row>
    <row r="5">
      <c r="A5" s="29" t="inlineStr">
        <is>
          <t>Yassir Morocco</t>
        </is>
      </c>
      <c r="B5" s="29" t="inlineStr">
        <is>
          <t>Morocco</t>
        </is>
      </c>
      <c r="C5" s="30" t="inlineStr">
        <is>
          <t>Rabat → Sale</t>
        </is>
      </c>
      <c r="D5" s="31" t="n">
        <v>0.5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Yassir Morocco</t>
        </is>
      </c>
      <c r="B6" s="29" t="inlineStr">
        <is>
          <t>Morocco</t>
        </is>
      </c>
      <c r="C6" s="30" t="inlineStr">
        <is>
          <t>Rabat → Sale</t>
        </is>
      </c>
      <c r="D6" s="31" t="n">
        <v>0.5</v>
      </c>
      <c r="E6" s="26" t="n"/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MIN(24,FLOOR(60*service_hr/J6,1))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n"/>
      <c r="AY6" s="44" t="n"/>
    </row>
    <row r="7">
      <c r="A7" s="29" t="inlineStr">
        <is>
          <t>Yassir Morocco</t>
        </is>
      </c>
      <c r="B7" s="29" t="inlineStr">
        <is>
          <t>Morocco</t>
        </is>
      </c>
      <c r="C7" s="30" t="inlineStr">
        <is>
          <t>Tangier Marina Bay → Tarifa (cross-strait excluded)</t>
        </is>
      </c>
      <c r="D7" s="31" t="n">
        <v>8</v>
      </c>
      <c r="E7" s="26" t="n">
        <v>43.5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760778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Y7" s="44" t="n"/>
    </row>
    <row r="8">
      <c r="A8" s="29" t="inlineStr">
        <is>
          <t>Yassir Morocco</t>
        </is>
      </c>
      <c r="B8" s="29" t="inlineStr">
        <is>
          <t>Morocco</t>
        </is>
      </c>
      <c r="C8" s="30" t="inlineStr">
        <is>
          <t>Agadir Marina → Taghazout</t>
        </is>
      </c>
      <c r="D8" s="31" t="n">
        <v>9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77500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Yassir Morocco</t>
        </is>
      </c>
      <c r="B9" s="29" t="inlineStr">
        <is>
          <t>Morocco</t>
        </is>
      </c>
      <c r="C9" s="30" t="inlineStr">
        <is>
          <t>Casablanca → Mohammedia</t>
        </is>
      </c>
      <c r="D9" s="31" t="n">
        <v>13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Estimated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n"/>
      <c r="AY9" s="44" t="n"/>
    </row>
    <row r="10">
      <c r="A10" s="29" t="inlineStr">
        <is>
          <t>Yassir Morocco</t>
        </is>
      </c>
      <c r="B10" s="29" t="inlineStr">
        <is>
          <t>Morocco</t>
        </is>
      </c>
      <c r="C10" s="30" t="inlineStr">
        <is>
          <t>Tanger Med (Ksar el Majaz) → Algeciras (Spain)</t>
        </is>
      </c>
      <c r="D10" s="31" t="n">
        <v>13</v>
      </c>
      <c r="E10" s="26" t="n">
        <v>38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1610211</v>
      </c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PREMIUM tier: standard adult FOOT-PASSENGER one-way Tanger Med&lt;-&gt;Algeciras ~EUR 35 x 1.08 = ~$38 (Strait fast-ferry foot fares cluster EUR 30-40).</t>
        </is>
      </c>
      <c r="AY10" s="44" t="n"/>
    </row>
    <row r="11">
      <c r="A11" s="29" t="inlineStr">
        <is>
          <t>Yassir Morocco</t>
        </is>
      </c>
      <c r="B11" s="29" t="inlineStr">
        <is>
          <t>Morocco</t>
        </is>
      </c>
      <c r="C11" s="30" t="inlineStr">
        <is>
          <t>Al Hoceima → Cala Iris</t>
        </is>
      </c>
      <c r="D11" s="31" t="n">
        <v>16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Estimated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n"/>
      <c r="AY11" s="44" t="n"/>
    </row>
    <row r="12">
      <c r="A12" s="29" t="inlineStr">
        <is>
          <t>Yassir Morocco</t>
        </is>
      </c>
      <c r="B12" s="29" t="inlineStr">
        <is>
          <t>Morocco</t>
        </is>
      </c>
      <c r="C12" s="30" t="inlineStr">
        <is>
          <t>Tanger Med → Ceuta (Spanish enclave)</t>
        </is>
      </c>
      <c r="D12" s="31" t="n">
        <v>22</v>
      </c>
      <c r="E12" s="26" t="n">
        <v>36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Estimated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PREMIUM tier (nearest comparable = Algeciras&lt;-&gt;Ceuta fast ferry): avg foot-passenger fare ~EUR 33 x 1.08 ~= $36 (one-way ~EUR 25-35), 60 min fast ferry.</t>
        </is>
      </c>
      <c r="AY12" s="44" t="n"/>
    </row>
    <row r="13">
      <c r="A13" s="29" t="inlineStr">
        <is>
          <t>Yassir Morocco</t>
        </is>
      </c>
      <c r="B13" s="29" t="inlineStr">
        <is>
          <t>Morocco</t>
        </is>
      </c>
      <c r="C13" s="30" t="inlineStr">
        <is>
          <t>Casablanca → Rabat</t>
        </is>
      </c>
      <c r="D13" s="31" t="n">
        <v>46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165000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Yassir Tunisia</t>
        </is>
      </c>
      <c r="B14" s="29" t="inlineStr">
        <is>
          <t>Tunisia</t>
        </is>
      </c>
      <c r="C14" s="30" t="inlineStr">
        <is>
          <t>Jorf (mainland) → Ajim (Djerba Island)</t>
        </is>
      </c>
      <c r="D14" s="31" t="n">
        <v>1.1</v>
      </c>
      <c r="E14" s="26" t="n"/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2463750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n"/>
    </row>
    <row r="15">
      <c r="A15" s="29" t="inlineStr">
        <is>
          <t>Yassir Tunisia</t>
        </is>
      </c>
      <c r="B15" s="29" t="inlineStr">
        <is>
          <t>Tunisia</t>
        </is>
      </c>
      <c r="C15" s="30" t="inlineStr">
        <is>
          <t>La Goulette → Sidi Bou Said</t>
        </is>
      </c>
      <c r="D15" s="31" t="n">
        <v>4</v>
      </c>
      <c r="E15" s="26" t="n">
        <v>27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222000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Y15" s="44" t="n"/>
    </row>
    <row r="16">
      <c r="A16" s="29" t="inlineStr">
        <is>
          <t>Yassir Tunisia</t>
        </is>
      </c>
      <c r="B16" s="29" t="inlineStr">
        <is>
          <t>Tunisia</t>
        </is>
      </c>
      <c r="C16" s="30" t="inlineStr">
        <is>
          <t>Tunis (Tunis Marine) → La Goulette</t>
        </is>
      </c>
      <c r="D16" s="31" t="n">
        <v>5</v>
      </c>
      <c r="E16" s="26" t="n"/>
      <c r="F16" s="32" t="n"/>
      <c r="G16" s="32" t="n"/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296000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Estimated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n"/>
      <c r="AY16" s="44" t="n"/>
    </row>
    <row r="17">
      <c r="A17" s="29" t="inlineStr">
        <is>
          <t>Yassir Tunisia</t>
        </is>
      </c>
      <c r="B17" s="29" t="inlineStr">
        <is>
          <t>Tunisia</t>
        </is>
      </c>
      <c r="C17" s="30" t="inlineStr">
        <is>
          <t>Tunis (La Goulette) → La Marsa / Gammarth</t>
        </is>
      </c>
      <c r="D17" s="31" t="n">
        <v>7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222000</v>
      </c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n"/>
    </row>
    <row r="18">
      <c r="A18" s="29" t="inlineStr">
        <is>
          <t>Yassir Tunisia</t>
        </is>
      </c>
      <c r="B18" s="29" t="inlineStr">
        <is>
          <t>Tunisia</t>
        </is>
      </c>
      <c r="C18" s="30" t="inlineStr">
        <is>
          <t>Yasmine Hammamet → Nabeul</t>
        </is>
      </c>
      <c r="D18" s="31" t="n">
        <v>7</v>
      </c>
      <c r="E18" s="26" t="n">
        <v>22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Y18" s="44" t="n"/>
    </row>
    <row r="19">
      <c r="A19" s="29" t="inlineStr">
        <is>
          <t>Yassir Tunisia</t>
        </is>
      </c>
      <c r="B19" s="29" t="inlineStr">
        <is>
          <t>Tunisia</t>
        </is>
      </c>
      <c r="C19" s="30" t="inlineStr">
        <is>
          <t>Sfax → Sidi Youssef (Kerkennah Islands)</t>
        </is>
      </c>
      <c r="D19" s="31" t="n">
        <v>11</v>
      </c>
      <c r="E19" s="26" t="n"/>
      <c r="F19" s="32" t="n"/>
      <c r="G19" s="32" t="n"/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1750000</v>
      </c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Estimated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n"/>
      <c r="AY19" s="44" t="n"/>
    </row>
    <row r="20">
      <c r="A20" s="29" t="inlineStr">
        <is>
          <t>Yassir Tunisia</t>
        </is>
      </c>
      <c r="B20" s="29" t="inlineStr">
        <is>
          <t>Tunisia</t>
        </is>
      </c>
      <c r="C20" s="30" t="inlineStr">
        <is>
          <t>Sousse (Port El Kantaoui) → Monastir (Marina)</t>
        </is>
      </c>
      <c r="D20" s="31" t="n">
        <v>12</v>
      </c>
      <c r="E20" s="26" t="n">
        <v>32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344000</v>
      </c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Y20" s="44" t="n"/>
    </row>
    <row r="21">
      <c r="A21" s="45" t="inlineStr">
        <is>
          <t>TOTAL / median</t>
        </is>
      </c>
      <c r="T21" s="46">
        <f>SUM(T4:T20)</f>
        <v/>
      </c>
      <c r="AC21" s="46">
        <f>SUM(AC4:AC20)</f>
        <v/>
      </c>
      <c r="AD21" s="47">
        <f>IF(T21=0,"",AC21/T21)</f>
        <v/>
      </c>
      <c r="AL21" s="48">
        <f>SUM(AL4:AL20)</f>
        <v/>
      </c>
      <c r="AM21" s="46">
        <f>SUM(AM4:AM20)</f>
        <v/>
      </c>
    </row>
    <row r="23">
      <c r="A2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4">
      <c r="A24" s="24" t="inlineStr">
        <is>
          <t>Market</t>
        </is>
      </c>
      <c r="B24" s="24" t="inlineStr">
        <is>
          <t>Fleet basis</t>
        </is>
      </c>
      <c r="C24" s="24" t="inlineStr">
        <is>
          <t>Raw vessels (sum)</t>
        </is>
      </c>
      <c r="D24" s="24" t="inlineStr">
        <is>
          <t>Fleet (rounded once)</t>
        </is>
      </c>
      <c r="E24" s="24" t="inlineStr">
        <is>
          <t>Market rev/yr (raw sum)</t>
        </is>
      </c>
    </row>
    <row r="25">
      <c r="A25" s="25" t="inlineStr">
        <is>
          <t>Yassir Algeria</t>
        </is>
      </c>
      <c r="B25" s="13" t="inlineStr">
        <is>
          <t>aspirational</t>
        </is>
      </c>
      <c r="C25" s="13" t="inlineStr">
        <is>
          <t>—</t>
        </is>
      </c>
      <c r="D25" s="49">
        <f>SUMIFS(AL4:AL20,A4:A20,"Yassir Algeria",AP4:AP20,"=",AQ4:AQ20,"Grounded")</f>
        <v/>
      </c>
      <c r="E25" s="50">
        <f>SUMIFS(AM4:AM20,A4:A20,"Yassir Algeria",AP4:AP20,"=",AQ4:AQ20,"Grounded")</f>
        <v/>
      </c>
    </row>
    <row r="26">
      <c r="A26" s="25" t="inlineStr">
        <is>
          <t>Yassir Morocco</t>
        </is>
      </c>
      <c r="B26" s="13" t="inlineStr">
        <is>
          <t>aspirational</t>
        </is>
      </c>
      <c r="C26" s="13" t="inlineStr">
        <is>
          <t>—</t>
        </is>
      </c>
      <c r="D26" s="49">
        <f>SUMIFS(AL4:AL20,A4:A20,"Yassir Morocco",AP4:AP20,"=",AQ4:AQ20,"Grounded")</f>
        <v/>
      </c>
      <c r="E26" s="50">
        <f>SUMIFS(AM4:AM20,A4:A20,"Yassir Morocco",AP4:AP20,"=",AQ4:AQ20,"Grounded")</f>
        <v/>
      </c>
    </row>
    <row r="27">
      <c r="A27" s="25" t="inlineStr">
        <is>
          <t>Yassir Tunisia</t>
        </is>
      </c>
      <c r="B27" s="13" t="inlineStr">
        <is>
          <t>aspirational</t>
        </is>
      </c>
      <c r="C27" s="13" t="inlineStr">
        <is>
          <t>—</t>
        </is>
      </c>
      <c r="D27" s="49">
        <f>SUMIFS(AL4:AL20,A4:A20,"Yassir Tunisia",AP4:AP20,"=",AQ4:AQ20,"Grounded")</f>
        <v/>
      </c>
      <c r="E27" s="50">
        <f>SUMIFS(AM4:AM20,A4:A20,"Yassir Tunisia",AP4:AP20,"=",AQ4:AQ20,"Grounded")</f>
        <v/>
      </c>
    </row>
    <row r="28">
      <c r="A28" s="45" t="inlineStr">
        <is>
          <t>GROUNDED FLOOR (PUBLISHED)</t>
        </is>
      </c>
      <c r="D28" s="48">
        <f>SUM(D25:D27)</f>
        <v/>
      </c>
      <c r="E28" s="46">
        <f>SUM(E25:E27)</f>
        <v/>
      </c>
    </row>
    <row r="29">
      <c r="A29" s="20" t="inlineStr">
        <is>
          <t>ESTIMATED DEMAND (country-median cascade; held OUT of grounded floor)</t>
        </is>
      </c>
      <c r="D29" s="51">
        <f>SUMIF(AQ4:AQ20,"Estimated",AL4:AL20)</f>
        <v/>
      </c>
      <c r="E29" s="52">
        <f>SUMIF(AQ4:AQ20,"Estimated",AM4:AM20)</f>
        <v/>
      </c>
    </row>
    <row r="30">
      <c r="A30" s="53" t="inlineStr">
        <is>
          <t>Held for Quanta-LR (&gt;70nm, roadmap H2 2026+):</t>
        </is>
      </c>
      <c r="C30" s="54" t="inlineStr">
        <is>
          <t>Tunis (La Goulette) → Palermo (Sicily, Italy) (170nm)</t>
        </is>
      </c>
    </row>
    <row r="31">
      <c r="C31" s="54" t="inlineStr">
        <is>
          <t>Nador (Beni Ensar) → Almeria (Spain) (92nm)</t>
        </is>
      </c>
    </row>
    <row r="32">
      <c r="C32" s="54" t="inlineStr">
        <is>
          <t>Port d'Oran → Mostaganem port (81.7nm)</t>
        </is>
      </c>
    </row>
    <row r="33">
      <c r="C33" s="54" t="inlineStr">
        <is>
          <t>Port de Béjaïa → Port d'Alger (113.8nm)</t>
        </is>
      </c>
    </row>
  </sheetData>
  <mergeCells count="2">
    <mergeCell ref="A1:L1"/>
    <mergeCell ref="A23:L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0.0922</v>
      </c>
      <c r="E11" s="14" t="inlineStr">
        <is>
          <t>New-entrant ~9%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2026-07-06T02:58:51Z</dcterms:created>
  <dcterms:modified xsi:type="dcterms:W3CDTF">2026-07-06T02:58:51Z</dcterms:modified>
</cp:coreProperties>
</file>