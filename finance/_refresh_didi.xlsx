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Economics holds" sheetId="4" state="visible" r:id="rId4"/>
    <sheet name="Corridor economics" sheetId="5" state="visible" r:id="rId5"/>
    <sheet name="Market sizing" sheetId="6" state="visible" r:id="rId6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opex'!$A$4:$G$6</definedName>
    <definedName name="som_floor_fleet">'Corridor economics'!$D$26</definedName>
    <definedName name="som_floor_rev">'Corridor economics'!$E$26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2E5A8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4" fillId="2" borderId="0" pivotButton="0" quotePrefix="0" xfId="0"/>
    <xf numFmtId="0" fontId="4" fillId="7" borderId="0" pivotButton="0" quotePrefix="0" xfId="0"/>
    <xf numFmtId="0" fontId="5" fillId="7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6" borderId="1" pivotButton="0" quotePrefix="0" xfId="0"/>
    <xf numFmtId="0" fontId="7" fillId="6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Didi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  <row r="37">
      <c r="B37" s="8" t="inlineStr">
        <is>
          <t xml:space="preserve">   Economics holds: 2 corridor(s) are explicitly excluded; see the Economics holds tab. Missing country costs never borrow Singapore or another market.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9" t="inlineStr">
        <is>
          <t>Assumptions — single source of truth (the engine references these named cells)</t>
        </is>
      </c>
    </row>
    <row r="3">
      <c r="A3" s="10" t="inlineStr">
        <is>
          <t>Vessel — N30 Pioneer II  (L1 global, commercial now)</t>
        </is>
      </c>
    </row>
    <row r="4">
      <c r="A4" s="11" t="inlineStr">
        <is>
          <t>Parameter</t>
        </is>
      </c>
      <c r="B4" s="11" t="inlineStr">
        <is>
          <t>Value</t>
        </is>
      </c>
      <c r="C4" s="11" t="inlineStr">
        <is>
          <t>Unit</t>
        </is>
      </c>
      <c r="D4" s="11" t="inlineStr">
        <is>
          <t>Tier</t>
        </is>
      </c>
      <c r="E4" s="11" t="inlineStr">
        <is>
          <t>Conf.</t>
        </is>
      </c>
      <c r="F4" s="11" t="inlineStr">
        <is>
          <t>Source / note</t>
        </is>
      </c>
    </row>
    <row r="5">
      <c r="A5" s="12" t="inlineStr">
        <is>
          <t>Passenger capacity</t>
        </is>
      </c>
      <c r="B5" s="13" t="n">
        <v>8</v>
      </c>
      <c r="C5" s="14" t="inlineStr">
        <is>
          <t>pax</t>
        </is>
      </c>
      <c r="D5" s="14" t="inlineStr">
        <is>
          <t>T1</t>
        </is>
      </c>
      <c r="E5" s="14" t="inlineStr">
        <is>
          <t>high</t>
        </is>
      </c>
      <c r="F5" s="15" t="inlineStr">
        <is>
          <t>Navier model: up to 8 pax where local rules allow (Jaideep set base case to 8, 2026-06-06)</t>
        </is>
      </c>
    </row>
    <row r="6">
      <c r="A6" s="12" t="inlineStr">
        <is>
          <t>Range</t>
        </is>
      </c>
      <c r="B6" s="13" t="n">
        <v>70</v>
      </c>
      <c r="C6" s="14" t="inlineStr">
        <is>
          <t>nm</t>
        </is>
      </c>
      <c r="D6" s="14" t="inlineStr">
        <is>
          <t>T1</t>
        </is>
      </c>
      <c r="E6" s="14" t="inlineStr">
        <is>
          <t>high</t>
        </is>
      </c>
      <c r="F6" s="15" t="inlineStr">
        <is>
          <t>Navier locked spec (KB)</t>
        </is>
      </c>
    </row>
    <row r="7">
      <c r="A7" s="12" t="inlineStr">
        <is>
          <t>Cruise speed</t>
        </is>
      </c>
      <c r="B7" s="13" t="n">
        <v>20</v>
      </c>
      <c r="C7" s="14" t="inlineStr">
        <is>
          <t>kt</t>
        </is>
      </c>
      <c r="D7" s="14" t="inlineStr">
        <is>
          <t>T1</t>
        </is>
      </c>
      <c r="E7" s="14" t="inlineStr">
        <is>
          <t>high</t>
        </is>
      </c>
      <c r="F7" s="15" t="inlineStr">
        <is>
          <t>Navier locked spec (cruise)</t>
        </is>
      </c>
    </row>
    <row r="8">
      <c r="A8" s="12" t="inlineStr">
        <is>
          <t>CAPEX (per vessel; US/EU base — ROW=$600K, see Country opex tab col G)</t>
        </is>
      </c>
      <c r="B8" s="16" t="n">
        <v>900000</v>
      </c>
      <c r="C8" s="14" t="inlineStr">
        <is>
          <t>USD</t>
        </is>
      </c>
      <c r="D8" s="14" t="inlineStr">
        <is>
          <t>T1</t>
        </is>
      </c>
      <c r="E8" s="14" t="inlineStr">
        <is>
          <t>high</t>
        </is>
      </c>
      <c r="F8" s="15" t="inlineStr">
        <is>
          <t>Navier price (LYFT ref model, ex tax/fees)</t>
        </is>
      </c>
    </row>
    <row r="9">
      <c r="A9" s="12" t="inlineStr">
        <is>
          <t>Battery</t>
        </is>
      </c>
      <c r="B9" s="13" t="n">
        <v>114</v>
      </c>
      <c r="C9" s="14" t="inlineStr">
        <is>
          <t>kWh</t>
        </is>
      </c>
      <c r="D9" s="14" t="inlineStr">
        <is>
          <t>T1</t>
        </is>
      </c>
      <c r="E9" s="14" t="inlineStr">
        <is>
          <t>high</t>
        </is>
      </c>
      <c r="F9" s="15" t="inlineStr">
        <is>
          <t>Navier data (LYFT ref model)</t>
        </is>
      </c>
    </row>
    <row r="10">
      <c r="A10" s="12" t="inlineStr">
        <is>
          <t>Annual maintenance</t>
        </is>
      </c>
      <c r="B10" s="16" t="n">
        <v>10000</v>
      </c>
      <c r="C10" s="14" t="inlineStr">
        <is>
          <t>USD/yr</t>
        </is>
      </c>
      <c r="D10" s="14" t="inlineStr">
        <is>
          <t>T1</t>
        </is>
      </c>
      <c r="E10" s="14" t="inlineStr">
        <is>
          <t>med</t>
        </is>
      </c>
      <c r="F10" s="15" t="inlineStr">
        <is>
          <t>Navier data (LYFT ref model)</t>
        </is>
      </c>
    </row>
    <row r="11">
      <c r="A11" s="12" t="inlineStr">
        <is>
          <t>Depreciation life</t>
        </is>
      </c>
      <c r="B11" s="13" t="n">
        <v>20</v>
      </c>
      <c r="C11" s="14" t="inlineStr">
        <is>
          <t>yr</t>
        </is>
      </c>
      <c r="D11" s="14" t="inlineStr">
        <is>
          <t>T2</t>
        </is>
      </c>
      <c r="E11" s="14" t="inlineStr">
        <is>
          <t>med</t>
        </is>
      </c>
      <c r="F11" s="15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2" t="inlineStr">
        <is>
          <t>Diesel comparable economy</t>
        </is>
      </c>
      <c r="B12" s="17" t="n">
        <v>1.5</v>
      </c>
      <c r="C12" s="14" t="inlineStr">
        <is>
          <t>nm/gal</t>
        </is>
      </c>
      <c r="D12" s="14" t="inlineStr">
        <is>
          <t>T3</t>
        </is>
      </c>
      <c r="E12" s="14" t="inlineStr">
        <is>
          <t>med</t>
        </is>
      </c>
      <c r="F12" s="15" t="inlineStr">
        <is>
          <t>Navier + open web (LYFT ref model)</t>
        </is>
      </c>
    </row>
    <row r="14">
      <c r="A14" s="10" t="inlineStr">
        <is>
          <t>Operating defaults  (L1 global; overridable per market)</t>
        </is>
      </c>
    </row>
    <row r="15">
      <c r="A15" s="11" t="inlineStr">
        <is>
          <t>Parameter</t>
        </is>
      </c>
      <c r="B15" s="11" t="inlineStr">
        <is>
          <t>Value</t>
        </is>
      </c>
      <c r="C15" s="11" t="inlineStr">
        <is>
          <t>Unit</t>
        </is>
      </c>
      <c r="D15" s="11" t="inlineStr">
        <is>
          <t>Tier</t>
        </is>
      </c>
      <c r="E15" s="11" t="inlineStr">
        <is>
          <t>Conf.</t>
        </is>
      </c>
      <c r="F15" s="11" t="inlineStr">
        <is>
          <t>Source / note</t>
        </is>
      </c>
    </row>
    <row r="16">
      <c r="A16" s="12" t="inlineStr">
        <is>
          <t>Service window</t>
        </is>
      </c>
      <c r="B16" s="13" t="n">
        <v>12</v>
      </c>
      <c r="C16" s="14" t="inlineStr">
        <is>
          <t>hr/day</t>
        </is>
      </c>
      <c r="D16" s="14" t="inlineStr">
        <is>
          <t>T5</t>
        </is>
      </c>
      <c r="E16" s="14" t="inlineStr">
        <is>
          <t>low</t>
        </is>
      </c>
      <c r="F16" s="15" t="inlineStr">
        <is>
          <t>Modeled single-asset commercial service window (one extended crew day, water-taxi norm). Conservative vs 24h.</t>
        </is>
      </c>
    </row>
    <row r="17">
      <c r="A17" s="12" t="inlineStr">
        <is>
          <t>Turnaround / charge per leg</t>
        </is>
      </c>
      <c r="B17" s="13" t="n">
        <v>20</v>
      </c>
      <c r="C17" s="14" t="inlineStr">
        <is>
          <t>min</t>
        </is>
      </c>
      <c r="D17" s="14" t="inlineStr">
        <is>
          <t>T1</t>
        </is>
      </c>
      <c r="E17" s="14" t="inlineStr">
        <is>
          <t>med</t>
        </is>
      </c>
      <c r="F17" s="15" t="inlineStr">
        <is>
          <t>Navier fast-charge (LYFT ref ~20-30min)</t>
        </is>
      </c>
    </row>
    <row r="18">
      <c r="A18" s="12" t="inlineStr">
        <is>
          <t>Boarding / scheduling dwell per leg</t>
        </is>
      </c>
      <c r="B18" s="13" t="n">
        <v>10</v>
      </c>
      <c r="C18" s="14" t="inlineStr">
        <is>
          <t>min</t>
        </is>
      </c>
      <c r="D18" s="14" t="inlineStr">
        <is>
          <t>T3</t>
        </is>
      </c>
      <c r="E18" s="14" t="inlineStr">
        <is>
          <t>med</t>
        </is>
      </c>
      <c r="F18" s="15" t="inlineStr">
        <is>
          <t>Premium board/deboard + scheduling slack added to each cycle (Jaideep 2026-06-19).</t>
        </is>
      </c>
    </row>
    <row r="19">
      <c r="A19" s="12" t="inlineStr">
        <is>
          <t>Max revenue sailings/day (cap)</t>
        </is>
      </c>
      <c r="B19" s="13" t="n">
        <v>15</v>
      </c>
      <c r="C19" s="14" t="inlineStr">
        <is>
          <t>legs/day</t>
        </is>
      </c>
      <c r="D19" s="14" t="inlineStr">
        <is>
          <t>T3</t>
        </is>
      </c>
      <c r="E19" s="14" t="inlineStr">
        <is>
          <t>med</t>
        </is>
      </c>
      <c r="F19" s="15" t="inlineStr">
        <is>
          <t>Cap on revenue sailings/day — 15 across thin/mid/full scenarios (Jaideep 2026-06-21).</t>
        </is>
      </c>
    </row>
    <row r="20">
      <c r="A20" s="12" t="inlineStr">
        <is>
          <t>Crew FTE factor (x captain wage)</t>
        </is>
      </c>
      <c r="B20" s="17" t="n">
        <v>1.8</v>
      </c>
      <c r="C20" s="14" t="inlineStr">
        <is>
          <t>x</t>
        </is>
      </c>
      <c r="D20" s="14" t="inlineStr">
        <is>
          <t>T3</t>
        </is>
      </c>
      <c r="E20" s="14" t="inlineStr">
        <is>
          <t>med</t>
        </is>
      </c>
      <c r="F20" s="15" t="inlineStr">
        <is>
          <t>A captain can't run 7 days/wk; 1.8 FTE covers relief/leave/second-shift year-round (Jaideep 2026-06-19). Scales off localized captain wage.</t>
        </is>
      </c>
    </row>
    <row r="21">
      <c r="A21" s="12" t="inlineStr">
        <is>
          <t>Mechanical uptime</t>
        </is>
      </c>
      <c r="B21" s="18" t="n">
        <v>0.75</v>
      </c>
      <c r="C21" s="14" t="inlineStr">
        <is>
          <t>frac</t>
        </is>
      </c>
      <c r="D21" s="14" t="inlineStr">
        <is>
          <t>T4</t>
        </is>
      </c>
      <c r="E21" s="14" t="inlineStr">
        <is>
          <t>med</t>
        </is>
      </c>
      <c r="F21" s="15" t="inlineStr">
        <is>
          <t>Blade luxury aviation ~75-80% reliability uptime</t>
        </is>
      </c>
    </row>
    <row r="22">
      <c r="A22" s="12" t="inlineStr">
        <is>
          <t>Navier capture rate</t>
        </is>
      </c>
      <c r="B22" s="18" t="n">
        <v>0.1</v>
      </c>
      <c r="C22" s="14" t="inlineStr">
        <is>
          <t>frac</t>
        </is>
      </c>
      <c r="D22" s="14" t="inlineStr"/>
      <c r="E22" s="14" t="inlineStr">
        <is>
          <t>med</t>
        </is>
      </c>
      <c r="F22" s="15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2" t="inlineStr">
        <is>
          <t>Captive capture rate (A′ corridors)</t>
        </is>
      </c>
      <c r="B23" s="18" t="n">
        <v>0.9</v>
      </c>
      <c r="C23" s="14" t="inlineStr">
        <is>
          <t>frac</t>
        </is>
      </c>
      <c r="D23" s="14" t="inlineStr"/>
      <c r="E23" s="14" t="inlineStr">
        <is>
          <t>med</t>
        </is>
      </c>
      <c r="F23" s="15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2" t="inlineStr">
        <is>
          <t>Discount factor (vs comparable fare)</t>
        </is>
      </c>
      <c r="B24" s="17" t="n">
        <v>1</v>
      </c>
      <c r="C24" s="14" t="inlineStr">
        <is>
          <t>frac</t>
        </is>
      </c>
      <c r="D24" s="14" t="inlineStr">
        <is>
          <t>T1</t>
        </is>
      </c>
      <c r="E24" s="14" t="inlineStr">
        <is>
          <t>high</t>
        </is>
      </c>
      <c r="F24" s="15" t="inlineStr">
        <is>
          <t>Market parity — better product, not cheaper (locked).</t>
        </is>
      </c>
    </row>
    <row r="25">
      <c r="A25" s="12" t="inlineStr">
        <is>
          <t>Diesel CO₂ per gallon</t>
        </is>
      </c>
      <c r="B25" s="17" t="n">
        <v>10.21</v>
      </c>
      <c r="C25" s="14" t="inlineStr">
        <is>
          <t>kg/gal</t>
        </is>
      </c>
      <c r="D25" s="14" t="inlineStr">
        <is>
          <t>T1</t>
        </is>
      </c>
      <c r="E25" s="14" t="inlineStr">
        <is>
          <t>high</t>
        </is>
      </c>
      <c r="F25" s="15" t="inlineStr">
        <is>
          <t>US EPA: 10.21 kg CO2 per gallon marine/diesel</t>
        </is>
      </c>
    </row>
    <row r="27">
      <c r="A27" s="10" t="inlineStr">
        <is>
          <t>OPEX defaults  (global vessel assumptions — country costs use exact-key rows only)</t>
        </is>
      </c>
    </row>
    <row r="28">
      <c r="A28" s="11" t="inlineStr">
        <is>
          <t>Parameter</t>
        </is>
      </c>
      <c r="B28" s="11" t="inlineStr">
        <is>
          <t>Value</t>
        </is>
      </c>
      <c r="C28" s="11" t="inlineStr">
        <is>
          <t>Unit</t>
        </is>
      </c>
      <c r="D28" s="11" t="inlineStr">
        <is>
          <t>Tier</t>
        </is>
      </c>
      <c r="E28" s="11" t="inlineStr">
        <is>
          <t>Conf.</t>
        </is>
      </c>
      <c r="F28" s="11" t="inlineStr">
        <is>
          <t>Source / note</t>
        </is>
      </c>
    </row>
    <row r="29">
      <c r="A29" s="12" t="inlineStr">
        <is>
          <t>Vessel insurance — H&amp;M + P&amp;I (% of CAPEX/yr)</t>
        </is>
      </c>
      <c r="B29" s="18" t="n">
        <v>0.025</v>
      </c>
      <c r="C29" s="14" t="inlineStr">
        <is>
          <t>frac</t>
        </is>
      </c>
      <c r="D29" s="14" t="inlineStr">
        <is>
          <t>T3</t>
        </is>
      </c>
      <c r="E29" s="14" t="inlineStr">
        <is>
          <t>med</t>
        </is>
      </c>
      <c r="F29" s="15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2" t="inlineStr">
        <is>
          <t>Fast-charge berth &amp; demand charges (global default)</t>
        </is>
      </c>
      <c r="B30" s="16" t="n">
        <v>18000</v>
      </c>
      <c r="C30" s="14" t="inlineStr">
        <is>
          <t>USD/yr</t>
        </is>
      </c>
      <c r="D30" s="14" t="inlineStr">
        <is>
          <t>T3</t>
        </is>
      </c>
      <c r="E30" s="14" t="inlineStr">
        <is>
          <t>med</t>
        </is>
      </c>
      <c r="F30" s="15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10" t="inlineStr">
        <is>
          <t>Utilization scenarios  (load factor + revenue-leg factor)</t>
        </is>
      </c>
    </row>
    <row r="33">
      <c r="A33" s="11" t="inlineStr">
        <is>
          <t>Scenario</t>
        </is>
      </c>
      <c r="B33" s="11" t="inlineStr">
        <is>
          <t>Load factor</t>
        </is>
      </c>
      <c r="C33" s="11" t="inlineStr">
        <is>
          <t>Rev-leg factor</t>
        </is>
      </c>
      <c r="D33" s="11" t="inlineStr"/>
      <c r="E33" s="11" t="inlineStr"/>
      <c r="F33" s="11" t="inlineStr">
        <is>
          <t>Note</t>
        </is>
      </c>
    </row>
    <row r="34">
      <c r="A34" s="19" t="inlineStr">
        <is>
          <t>THIN</t>
        </is>
      </c>
      <c r="B34" s="20" t="n">
        <v>0.45</v>
      </c>
      <c r="C34" s="20" t="n">
        <v>0.55</v>
      </c>
      <c r="F34" s="15" t="inlineStr">
        <is>
          <t>thin/one-way/seasonal corridor — conservative floor</t>
        </is>
      </c>
    </row>
    <row r="35">
      <c r="A35" s="19" t="inlineStr">
        <is>
          <t>MID</t>
        </is>
      </c>
      <c r="B35" s="20" t="n">
        <v>0.55</v>
      </c>
      <c r="C35" s="20" t="n">
        <v>0.65</v>
      </c>
      <c r="F35" s="15" t="inlineStr">
        <is>
          <t>HEADLINE — realistic busy two-way corridor</t>
        </is>
      </c>
    </row>
    <row r="36">
      <c r="A36" s="19" t="inlineStr">
        <is>
          <t>FULL</t>
        </is>
      </c>
      <c r="B36" s="20" t="n">
        <v>0.7</v>
      </c>
      <c r="C36" s="20" t="n">
        <v>0.75</v>
      </c>
      <c r="F36" s="15" t="inlineStr">
        <is>
          <t>mature/dense corridor — optimistic ceiling</t>
        </is>
      </c>
    </row>
    <row r="38">
      <c r="A38" s="21" t="inlineStr">
        <is>
          <t>SCENARIO (toggle me)</t>
        </is>
      </c>
      <c r="B38" s="22" t="inlineStr">
        <is>
          <t>MID</t>
        </is>
      </c>
      <c r="C38" s="23" t="inlineStr">
        <is>
          <t>← set THIN / MID / FULL</t>
        </is>
      </c>
    </row>
    <row r="39">
      <c r="A39" s="12" t="inlineStr">
        <is>
          <t>Selected load factor</t>
        </is>
      </c>
      <c r="B39" s="24">
        <f>VLOOKUP(scenario,'Assumptions'!$A$34:$C$36,2,FALSE)</f>
        <v/>
      </c>
    </row>
    <row r="40">
      <c r="A40" s="12" t="inlineStr">
        <is>
          <t>Selected rev-leg factor</t>
        </is>
      </c>
      <c r="B40" s="24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9" t="inlineStr">
        <is>
          <t>Country opex — localized inputs (crew, energy, berth admin, CAPEX)</t>
        </is>
      </c>
    </row>
    <row r="3">
      <c r="A3" s="25" t="inlineStr">
        <is>
          <t>Country</t>
        </is>
      </c>
      <c r="B3" s="25" t="inlineStr">
        <is>
          <t>Captain $/yr</t>
        </is>
      </c>
      <c r="C3" s="25" t="inlineStr">
        <is>
          <t>Energy $/kWh</t>
        </is>
      </c>
      <c r="D3" s="25" t="inlineStr">
        <is>
          <t>Grid CO₂ kg/kWh</t>
        </is>
      </c>
      <c r="E3" s="25" t="inlineStr">
        <is>
          <t>Berth &amp; port admin $/yr</t>
        </is>
      </c>
      <c r="F3" s="25" t="inlineStr">
        <is>
          <t>Cost index</t>
        </is>
      </c>
      <c r="G3" s="25" t="inlineStr">
        <is>
          <t>CAPEX $/vessel</t>
        </is>
      </c>
      <c r="H3" s="25" t="inlineStr">
        <is>
          <t>Source notes (crew | energy | berth admin)</t>
        </is>
      </c>
    </row>
    <row r="4">
      <c r="A4" s="26" t="inlineStr">
        <is>
          <t>Brazil</t>
        </is>
      </c>
      <c r="B4" s="27" t="n">
        <v>14000</v>
      </c>
      <c r="C4" s="28" t="n">
        <v>0.09</v>
      </c>
      <c r="D4" s="20" t="n">
        <v>0.5</v>
      </c>
      <c r="E4" s="27" t="n">
        <v>10000</v>
      </c>
      <c r="F4" s="20" t="n">
        <v>0.38</v>
      </c>
      <c r="G4" s="27" t="n">
        <v>600000</v>
      </c>
      <c r="H4" s="15" t="inlineStr">
        <is>
          <t>Minor Hotels seal preflight — modeled vs SG anchor | Minor Hotels seal preflight — national tariff avg | Modeled | CAPEX LB-243 US/EU=$900K else $600K</t>
        </is>
      </c>
    </row>
    <row r="5">
      <c r="A5" s="26" t="inlineStr">
        <is>
          <t>Costa Rica</t>
        </is>
      </c>
      <c r="B5" s="27" t="n">
        <v>16000</v>
      </c>
      <c r="C5" s="28" t="n">
        <v>0.254</v>
      </c>
      <c r="D5" s="20" t="n">
        <v>0.056</v>
      </c>
      <c r="E5" s="27" t="n">
        <v>12000</v>
      </c>
      <c r="F5" s="20" t="n">
        <v>0.976</v>
      </c>
      <c r="G5" s="27" t="n">
        <v>600000</v>
      </c>
      <c r="H5" s="15" t="inlineStr">
        <is>
          <t>PLANNING ALLOWANCE (T4 peer-anchored), not an operator quote. LatAm commercial captain band aligned to Colombia/Brazil $14k with Costa Rica upper-middle uplift. Replace with INEC/INS or ferry-operator loaded wage before contracting. | GlobalPetrolPrices Costa Rica business electricity, December 2025: CRC 115.840/kWh = USD 0.254/kWh (all-in retail incl. taxes/fees). | PLANNING ALLOWANCE for Gulf of Nicoya ferry terminal/berth overhead (Puntarenas side), peer-scaled vs LatAm marina band ($10–12k). Not a published INCOP/port tariff; replace with exact berth schedule before cascade-to-contract. | CAPEX LB-243 US/EU=$900K else $600K</t>
        </is>
      </c>
    </row>
    <row r="6">
      <c r="A6" s="26" t="inlineStr">
        <is>
          <t>Mexico</t>
        </is>
      </c>
      <c r="B6" s="27" t="n">
        <v>14000</v>
      </c>
      <c r="C6" s="28" t="n">
        <v>0.23</v>
      </c>
      <c r="D6" s="20" t="n">
        <v>0.444</v>
      </c>
      <c r="E6" s="27" t="n">
        <v>11000</v>
      </c>
      <c r="F6" s="20" t="n">
        <v>0.54</v>
      </c>
      <c r="G6" s="27" t="n">
        <v>600000</v>
      </c>
      <c r="H6" s="15" t="inlineStr">
        <is>
          <t>MODELED, not an official wage fact. Use USD 14,000/year only as a provisional loaded planning allowance for a commercial captain. It deliberately exceeds the national survey cash-wage anchor to allow for licensing, employer burden, seniority and tourist-market hiring, but no operator quote validates the uplift. Sources: World Bank World Development Indicators: Official exchange rate (LCU per US$, period average) — Mexico (https://api.worldbank.org/v2/country/MEX/indicator/PA.NUS.FCRF?format=json&amp;per_page=10); Data México, Secretaría de Economía: Capitanes y Conductores de Transporte Marítimo (https://www.economia.gob.mx/datamexico/es/profile/occupation/capitanes-y-conductores-de-transporte-maritimo) | SOURCE-ANCHORED CONVERSION, tariff applicability provisional. PDBT is a small low-voltage business comparator. It is not a bankable fast-charging tariff and excludes VAT, connection work, demand/capacity/reactive charges and any move to GDBT/GDMTH. Obtain CFE supply study for vessel charging load. Sources: Banco de México: Cuadro CF86 — Tipo de cambio FIX (https://www.banxico.org.mx/SieInternet/consultarDirectorioInternetAction.do?accion=consultarCuadro&amp;idCuadro=CF86&amp;locale=es&amp;sector=6); AI Regula Solutions (mirror linking each row to CFE): CFE tariff mirror — PDBT, Quintana Roo (https://airegulasolutions.com/cfe/tarifas?year=2026&amp;month=5&amp;tariffCode=PDBT&amp;state=QUINTANA%20ROO&amp;page=1&amp;pageSize=100) | MODELED, not a published marina tariff. Covers annual berth, port fees and local marine admin per vessel under repo definition; excludes insurance and fast-charge infrastructure. Replace with berth/port/operator quotes for Puerto Juárez, Isla Mujeres, Playa and Cozumel. Sources: World Bank World Development Indicators: Official exchange rate (LCU per US$, period average) — Mexico (https://api.worldbank.org/v2/country/MEX/indicator/PA.NUS.FCRF?format=json&amp;per_page=10); World Bank World Development Indicators: PPP conversion factor, GDP (LCU per international $) — Mexico (https://api.worldbank.org/v2/country/MEX/indicator/PA.NUS.PPP?format=json&amp;per_page=10)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20" customWidth="1" min="3" max="3"/>
    <col width="24" customWidth="1" min="4" max="4"/>
    <col width="86" customWidth="1" min="5" max="5"/>
  </cols>
  <sheetData>
    <row r="1">
      <c r="A1" s="9" t="inlineStr">
        <is>
          <t>Economics holds — excluded before model and sheet calculation</t>
        </is>
      </c>
    </row>
    <row r="3">
      <c r="A3" s="25" t="inlineStr">
        <is>
          <t>Market</t>
        </is>
      </c>
      <c r="B3" s="25" t="inlineStr">
        <is>
          <t>Corridor</t>
        </is>
      </c>
      <c r="C3" s="25" t="inlineStr">
        <is>
          <t>Route ID</t>
        </is>
      </c>
      <c r="D3" s="25" t="inlineStr">
        <is>
          <t>Country label</t>
        </is>
      </c>
      <c r="E3" s="25" t="inlineStr">
        <is>
          <t>Hold reason</t>
        </is>
      </c>
    </row>
    <row r="4">
      <c r="A4" s="29" t="inlineStr">
        <is>
          <t>Argentina</t>
        </is>
      </c>
      <c r="B4" s="15" t="inlineStr">
        <is>
          <t>Terminal Fluvial de Pasajeros de Rosario → Isla Sabino Corsi landing</t>
        </is>
      </c>
      <c r="C4" s="15" t="inlineStr">
        <is>
          <t>rn-f451444da7fe</t>
        </is>
      </c>
      <c r="D4" s="15" t="inlineStr">
        <is>
          <t>Argentina</t>
        </is>
      </c>
      <c r="E4" s="15" t="inlineStr">
        <is>
          <t>demand_not_exact_annual_oneway: 38,900 is a summer-season passenger total with both directions aggregated — not calendar-year annual one-way; country-reference row now present but demand semantics block production cascade</t>
        </is>
      </c>
    </row>
    <row r="5">
      <c r="A5" s="29" t="inlineStr">
        <is>
          <t>Argentina</t>
        </is>
      </c>
      <c r="B5" s="15" t="inlineStr">
        <is>
          <t>Terminal Fluvial de Puerto Madero (Buquebus) → Terminal Fluvial Puerto de Colonia</t>
        </is>
      </c>
      <c r="C5" s="15" t="inlineStr">
        <is>
          <t>rn-04b92d6952d2</t>
        </is>
      </c>
      <c r="D5" s="15" t="inlineStr">
        <is>
          <t>Argentina</t>
        </is>
      </c>
      <c r="E5" s="15" t="inlineStr">
        <is>
          <t>demand_not_exact_annual_oneway: 2,177,670 is an annual port-pair passenger total with both directions aggregated — not annual one-way; country-reference row now present but demand semantics block production cascade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27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9" t="inlineStr">
        <is>
          <t>Navier × Didi — Corridor economics (one boat, one year; MID = headline)</t>
        </is>
      </c>
      <c r="N1" s="30" t="inlineStr">
        <is>
          <t>SCENARIO:</t>
        </is>
      </c>
      <c r="O1" s="22">
        <f>scenario</f>
        <v/>
      </c>
      <c r="P1" s="23" t="inlineStr">
        <is>
          <t>(set on Assumptions tab)</t>
        </is>
      </c>
    </row>
    <row r="3" ht="42" customHeight="1">
      <c r="A3" s="25" t="inlineStr">
        <is>
          <t>Market</t>
        </is>
      </c>
      <c r="B3" s="25" t="inlineStr">
        <is>
          <t>Country</t>
        </is>
      </c>
      <c r="C3" s="25" t="inlineStr">
        <is>
          <t>Corridor</t>
        </is>
      </c>
      <c r="D3" s="25" t="inlineStr">
        <is>
          <t>Distance</t>
        </is>
      </c>
      <c r="E3" s="25" t="inlineStr">
        <is>
          <t>Premium fare $/pax</t>
        </is>
      </c>
      <c r="F3" s="25" t="inlineStr">
        <is>
          <t>Fare tier</t>
        </is>
      </c>
      <c r="G3" s="25" t="inlineStr">
        <is>
          <t>Fare conf.</t>
        </is>
      </c>
      <c r="H3" s="25" t="inlineStr">
        <is>
          <t>Weather factor</t>
        </is>
      </c>
      <c r="I3" s="25" t="inlineStr">
        <is>
          <t>One-way min</t>
        </is>
      </c>
      <c r="J3" s="25" t="inlineStr">
        <is>
          <t>Cycle min</t>
        </is>
      </c>
      <c r="K3" s="25" t="inlineStr">
        <is>
          <t>Trips/day</t>
        </is>
      </c>
      <c r="L3" s="25" t="inlineStr">
        <is>
          <t>Op days/yr</t>
        </is>
      </c>
      <c r="M3" s="25" t="inlineStr">
        <is>
          <t>Mech uptime</t>
        </is>
      </c>
      <c r="N3" s="25" t="inlineStr">
        <is>
          <t>Rev-leg %</t>
        </is>
      </c>
      <c r="O3" s="25" t="inlineStr">
        <is>
          <t>Trips/yr</t>
        </is>
      </c>
      <c r="P3" s="25" t="inlineStr">
        <is>
          <t>Load factor</t>
        </is>
      </c>
      <c r="Q3" s="25" t="inlineStr">
        <is>
          <t>Pax/trip</t>
        </is>
      </c>
      <c r="R3" s="25" t="inlineStr">
        <is>
          <t>Pax/yr</t>
        </is>
      </c>
      <c r="S3" s="25" t="inlineStr">
        <is>
          <t>Navier fare $</t>
        </is>
      </c>
      <c r="T3" s="25" t="inlineStr">
        <is>
          <t>Revenue/yr</t>
        </is>
      </c>
      <c r="U3" s="25" t="inlineStr">
        <is>
          <t>Energy/yr</t>
        </is>
      </c>
      <c r="V3" s="25" t="inlineStr">
        <is>
          <t>Crew/yr</t>
        </is>
      </c>
      <c r="W3" s="25" t="inlineStr">
        <is>
          <t>Berth &amp; port admin/yr</t>
        </is>
      </c>
      <c r="X3" s="25" t="inlineStr">
        <is>
          <t>Maint/yr</t>
        </is>
      </c>
      <c r="Y3" s="25" t="inlineStr">
        <is>
          <t>Vessel insurance/yr</t>
        </is>
      </c>
      <c r="Z3" s="25" t="inlineStr">
        <is>
          <t>Fast-charge berth/yr</t>
        </is>
      </c>
      <c r="AA3" s="25" t="inlineStr">
        <is>
          <t>OPEX/yr</t>
        </is>
      </c>
      <c r="AB3" s="25" t="inlineStr">
        <is>
          <t>Deprec/yr</t>
        </is>
      </c>
      <c r="AC3" s="25" t="inlineStr">
        <is>
          <t>EBITDA/yr</t>
        </is>
      </c>
      <c r="AD3" s="25" t="inlineStr">
        <is>
          <t>Margin</t>
        </is>
      </c>
      <c r="AE3" s="25" t="inlineStr">
        <is>
          <t>Payback yr (sel)</t>
        </is>
      </c>
      <c r="AF3" s="25" t="inlineStr">
        <is>
          <t>CO₂ saved t/yr</t>
        </is>
      </c>
      <c r="AG3" s="25" t="inlineStr">
        <is>
          <t>Demand pool 1-way/yr</t>
        </is>
      </c>
      <c r="AH3" s="25" t="inlineStr">
        <is>
          <t>Demand tier</t>
        </is>
      </c>
      <c r="AI3" s="25" t="inlineStr">
        <is>
          <t>Demand conf.</t>
        </is>
      </c>
      <c r="AJ3" s="25" t="inlineStr">
        <is>
          <t>Capture %</t>
        </is>
      </c>
      <c r="AK3" s="25" t="inlineStr">
        <is>
          <t>Navier rides/yr</t>
        </is>
      </c>
      <c r="AL3" s="25" t="inlineStr">
        <is>
          <t>Vessels @capture</t>
        </is>
      </c>
      <c r="AM3" s="25" t="inlineStr">
        <is>
          <t>Market rev/yr</t>
        </is>
      </c>
      <c r="AN3" s="25" t="inlineStr">
        <is>
          <t>Vessels raw (unfloored)</t>
        </is>
      </c>
      <c r="AO3" s="25" t="inlineStr">
        <is>
          <t>Market rev/yr raw</t>
        </is>
      </c>
      <c r="AP3" s="25" t="inlineStr">
        <is>
          <t>Subset of (excl. from market fleet)</t>
        </is>
      </c>
      <c r="AQ3" s="25" t="inlineStr">
        <is>
          <t>Floor bucket (aggregate status)</t>
        </is>
      </c>
      <c r="AR3" s="25" t="inlineStr">
        <is>
          <t>Forward SAM (2030-dated; held OUT of grounded floor)</t>
        </is>
      </c>
      <c r="AS3" s="25" t="inlineStr">
        <is>
          <t>Upside tier (LB-99; held OUT of grounded floor)</t>
        </is>
      </c>
      <c r="AT3" s="25" t="inlineStr">
        <is>
          <t>Fleet ceiling (captive villas/25)</t>
        </is>
      </c>
      <c r="AU3" s="25" t="inlineStr">
        <is>
          <t>Payback THIN</t>
        </is>
      </c>
      <c r="AV3" s="25" t="inlineStr">
        <is>
          <t>Payback MID</t>
        </is>
      </c>
      <c r="AW3" s="25" t="inlineStr">
        <is>
          <t>Payback FULL</t>
        </is>
      </c>
      <c r="AX3" s="25" t="inlineStr">
        <is>
          <t>Fare source (provenance)</t>
        </is>
      </c>
      <c r="AY3" s="25" t="inlineStr">
        <is>
          <t>Demand source (provenance)</t>
        </is>
      </c>
    </row>
    <row r="4">
      <c r="A4" s="31" t="inlineStr">
        <is>
          <t>Brazil</t>
        </is>
      </c>
      <c r="B4" s="31" t="inlineStr">
        <is>
          <t>Brazil</t>
        </is>
      </c>
      <c r="C4" s="32" t="inlineStr">
        <is>
          <t>Praça XV Terminal (central Rio) → Arariboia Terminal (Niterói)</t>
        </is>
      </c>
      <c r="D4" s="33" t="n">
        <v>2.7</v>
      </c>
      <c r="E4" s="27" t="n">
        <v>18</v>
      </c>
      <c r="F4" s="34" t="inlineStr">
        <is>
          <t>T1/T2</t>
        </is>
      </c>
      <c r="G4" s="34" t="inlineStr">
        <is>
          <t>med-low</t>
        </is>
      </c>
      <c r="H4" s="20" t="n">
        <v>1</v>
      </c>
      <c r="I4" s="35">
        <f>60*D4/cruise_kt</f>
        <v/>
      </c>
      <c r="J4" s="35">
        <f>I4+turn_min+dwell_min</f>
        <v/>
      </c>
      <c r="K4" s="36">
        <f>MIN(15,FLOOR(60*service_hr/J4,1))</f>
        <v/>
      </c>
      <c r="L4" s="36">
        <f>IF(ABS(MOD(ABS((365*mech_uptime*H4)),1)-0.5)&lt;1E-9,2*ROUND((365*mech_uptime*H4)/2,0),ROUND((365*mech_uptime*H4),0))</f>
        <v/>
      </c>
      <c r="M4" s="37">
        <f>mech_uptime</f>
        <v/>
      </c>
      <c r="N4" s="37">
        <f>revleg_sel</f>
        <v/>
      </c>
      <c r="O4" s="36">
        <f>IF(ABS(MOD(ABS((K4*L4*revleg_sel)),1)-0.5)&lt;1E-9,2*ROUND((K4*L4*revleg_sel)/2,0),ROUND((K4*L4*revleg_sel),0))</f>
        <v/>
      </c>
      <c r="P4" s="38">
        <f>load_sel</f>
        <v/>
      </c>
      <c r="Q4" s="38">
        <f>pax_cap*P4</f>
        <v/>
      </c>
      <c r="R4" s="36">
        <f>Q4*O4</f>
        <v/>
      </c>
      <c r="S4" s="39">
        <f>E4*discount</f>
        <v/>
      </c>
      <c r="T4" s="40">
        <f>S4*R4</f>
        <v/>
      </c>
      <c r="U4" s="40">
        <f>(battery/range_nm)*D4*O4*VLOOKUP(B4,country_opex,3,FALSE)</f>
        <v/>
      </c>
      <c r="V4" s="40">
        <f>VLOOKUP(B4,country_opex,2,FALSE)*crew_factor</f>
        <v/>
      </c>
      <c r="W4" s="40">
        <f>VLOOKUP(B4,country_opex,5,FALSE)</f>
        <v/>
      </c>
      <c r="X4" s="40">
        <f>maint</f>
        <v/>
      </c>
      <c r="Y4" s="40">
        <f>VLOOKUP(B4,country_opex,7,FALSE)*ins_pct</f>
        <v/>
      </c>
      <c r="Z4" s="40">
        <f>charge_berth</f>
        <v/>
      </c>
      <c r="AA4" s="40">
        <f>U4+V4+W4+X4+Y4+Z4</f>
        <v/>
      </c>
      <c r="AB4" s="40">
        <f>VLOOKUP(B4,country_opex,7,FALSE)/dep_years</f>
        <v/>
      </c>
      <c r="AC4" s="40">
        <f>T4-AA4</f>
        <v/>
      </c>
      <c r="AD4" s="37">
        <f>IF(T4=0,"",AC4/T4)</f>
        <v/>
      </c>
      <c r="AE4" s="38">
        <f>IF(AC4&lt;=0,"",VLOOKUP(B4,country_opex,7,FALSE)/AC4)</f>
        <v/>
      </c>
      <c r="AF4" s="35">
        <f>((D4*O4/diesel_nmpg)*diesel_co2pg-(battery/range_nm)*D4*O4*VLOOKUP(B4,country_opex,4,FALSE))/1000</f>
        <v/>
      </c>
      <c r="AG4" s="33" t="n">
        <v>10848719</v>
      </c>
      <c r="AH4" s="34" t="inlineStr">
        <is>
          <t>T1</t>
        </is>
      </c>
      <c r="AI4" s="34" t="inlineStr">
        <is>
          <t>high</t>
        </is>
      </c>
      <c r="AJ4" s="41" t="n">
        <v>0.1</v>
      </c>
      <c r="AK4" s="36">
        <f>IF(AG4="","",AG4*AJ4)</f>
        <v/>
      </c>
      <c r="AL4" s="36">
        <f>IF(OR(AG4="",R4=0),"",MIN(IF(AT4="",9.9E+99,AT4),FLOOR(AK4/R4,1)))</f>
        <v/>
      </c>
      <c r="AM4" s="40">
        <f>IF(AL4="","",AL4*IF(ABS(MOD(ABS((T4)),1)-0.5)&lt;1E-9,2*ROUND((T4)/2,0),ROUND((T4),0)))</f>
        <v/>
      </c>
      <c r="AN4" s="38">
        <f>IF(OR(AG4="",R4=0),"",MIN(IF(AT4="",9.9E+99,AT4),AK4/R4))</f>
        <v/>
      </c>
      <c r="AO4" s="40">
        <f>IF(AN4="","",AN4*T4)</f>
        <v/>
      </c>
      <c r="AP4" s="42" t="n"/>
      <c r="AQ4" s="34" t="inlineStr">
        <is>
          <t>Grounded</t>
        </is>
      </c>
      <c r="AR4" s="43" t="n"/>
      <c r="AS4" s="43" t="n"/>
      <c r="AT4" s="44" t="n"/>
      <c r="AU4" s="45">
        <f>IF(((S4*pax_cap*load_thin*IF(ABS(MOD(ABS((K4*L4*revleg_thin)),1)-0.5)&lt;1E-9,2*ROUND((K4*L4*revleg_thin)/2,0),ROUND((K4*L4*revleg_thin),0)))-(((battery/range_nm)*D4*IF(ABS(MOD(ABS((K4*L4*revleg_thin)),1)-0.5)&lt;1E-9,2*ROUND((K4*L4*revleg_thin)/2,0),ROUND((K4*L4*revleg_thin),0))*VLOOKUP(B4,country_opex,3,FALSE))+V4+W4+X4+Y4+Z4))&lt;=0,"",VLOOKUP(B4,country_opex,7,FALSE)/((S4*pax_cap*load_thin*IF(ABS(MOD(ABS((K4*L4*revleg_thin)),1)-0.5)&lt;1E-9,2*ROUND((K4*L4*revleg_thin)/2,0),ROUND((K4*L4*revleg_thin),0)))-(((battery/range_nm)*D4*IF(ABS(MOD(ABS((K4*L4*revleg_thin)),1)-0.5)&lt;1E-9,2*ROUND((K4*L4*revleg_thin)/2,0),ROUND((K4*L4*revleg_thin),0))*VLOOKUP(B4,country_opex,3,FALSE))+V4+W4+X4+Y4+Z4)))</f>
        <v/>
      </c>
      <c r="AV4" s="45">
        <f>IF(((S4*pax_cap*load_mid*IF(ABS(MOD(ABS((K4*L4*revleg_mid)),1)-0.5)&lt;1E-9,2*ROUND((K4*L4*revleg_mid)/2,0),ROUND((K4*L4*revleg_mid),0)))-(((battery/range_nm)*D4*IF(ABS(MOD(ABS((K4*L4*revleg_mid)),1)-0.5)&lt;1E-9,2*ROUND((K4*L4*revleg_mid)/2,0),ROUND((K4*L4*revleg_mid),0))*VLOOKUP(B4,country_opex,3,FALSE))+V4+W4+X4+Y4+Z4))&lt;=0,"",VLOOKUP(B4,country_opex,7,FALSE)/((S4*pax_cap*load_mid*IF(ABS(MOD(ABS((K4*L4*revleg_mid)),1)-0.5)&lt;1E-9,2*ROUND((K4*L4*revleg_mid)/2,0),ROUND((K4*L4*revleg_mid),0)))-(((battery/range_nm)*D4*IF(ABS(MOD(ABS((K4*L4*revleg_mid)),1)-0.5)&lt;1E-9,2*ROUND((K4*L4*revleg_mid)/2,0),ROUND((K4*L4*revleg_mid),0))*VLOOKUP(B4,country_opex,3,FALSE))+V4+W4+X4+Y4+Z4)))</f>
        <v/>
      </c>
      <c r="AW4" s="45">
        <f>IF(((S4*pax_cap*load_full*IF(ABS(MOD(ABS((K4*L4*revleg_full)),1)-0.5)&lt;1E-9,2*ROUND((K4*L4*revleg_full)/2,0),ROUND((K4*L4*revleg_full),0)))-(((battery/range_nm)*D4*IF(ABS(MOD(ABS((K4*L4*revleg_full)),1)-0.5)&lt;1E-9,2*ROUND((K4*L4*revleg_full)/2,0),ROUND((K4*L4*revleg_full),0))*VLOOKUP(B4,country_opex,3,FALSE))+V4+W4+X4+Y4+Z4))&lt;=0,"",VLOOKUP(B4,country_opex,7,FALSE)/((S4*pax_cap*load_full*IF(ABS(MOD(ABS((K4*L4*revleg_full)),1)-0.5)&lt;1E-9,2*ROUND((K4*L4*revleg_full)/2,0),ROUND((K4*L4*revleg_full),0)))-(((battery/range_nm)*D4*IF(ABS(MOD(ABS((K4*L4*revleg_full)),1)-0.5)&lt;1E-9,2*ROUND((K4*L4*revleg_full)/2,0),ROUND((K4*L4*revleg_full),0))*VLOOKUP(B4,country_opex,3,FALSE))+V4+W4+X4+Y4+Z4)))</f>
        <v/>
      </c>
      <c r="AX4" s="46" t="inlineStr">
        <is>
          <t>[LB-255 PREMIUM RE-FARE: subsidized comparable $0.9741 lifted to premium on-demand floor $18.0] https://barcasrio.com.br/linhas-horarios-e-tarifas/</t>
        </is>
      </c>
      <c r="AY4" s="46" t="inlineStr">
        <is>
          <t>https://www2.agetransp.rj.gov.br/arquivos/operacao-servicos/relatorio-de-atividades/Relat%C3%B3rio%20Mensal%20de%20Atividades%20Janeiro%202024.pdf</t>
        </is>
      </c>
    </row>
    <row r="5">
      <c r="A5" s="31" t="inlineStr">
        <is>
          <t>Brazil</t>
        </is>
      </c>
      <c r="B5" s="31" t="inlineStr">
        <is>
          <t>Brazil</t>
        </is>
      </c>
      <c r="C5" s="32" t="inlineStr">
        <is>
          <t>Praça XV Terminal (central Rio) → Charitas Terminal (Niterói, fast catamaran)</t>
        </is>
      </c>
      <c r="D5" s="33" t="n">
        <v>4.4</v>
      </c>
      <c r="E5" s="27" t="n">
        <v>18</v>
      </c>
      <c r="F5" s="34" t="inlineStr">
        <is>
          <t>T1/T2</t>
        </is>
      </c>
      <c r="G5" s="34" t="inlineStr">
        <is>
          <t>med-low</t>
        </is>
      </c>
      <c r="H5" s="20" t="n">
        <v>1</v>
      </c>
      <c r="I5" s="35">
        <f>60*D5/cruise_kt</f>
        <v/>
      </c>
      <c r="J5" s="35">
        <f>I5+turn_min+dwell_min</f>
        <v/>
      </c>
      <c r="K5" s="36">
        <f>MIN(15,FLOOR(60*service_hr/J5,1))</f>
        <v/>
      </c>
      <c r="L5" s="36">
        <f>IF(ABS(MOD(ABS((365*mech_uptime*H5)),1)-0.5)&lt;1E-9,2*ROUND((365*mech_uptime*H5)/2,0),ROUND((365*mech_uptime*H5),0))</f>
        <v/>
      </c>
      <c r="M5" s="37">
        <f>mech_uptime</f>
        <v/>
      </c>
      <c r="N5" s="37">
        <f>revleg_sel</f>
        <v/>
      </c>
      <c r="O5" s="36">
        <f>IF(ABS(MOD(ABS((K5*L5*revleg_sel)),1)-0.5)&lt;1E-9,2*ROUND((K5*L5*revleg_sel)/2,0),ROUND((K5*L5*revleg_sel),0))</f>
        <v/>
      </c>
      <c r="P5" s="38">
        <f>load_sel</f>
        <v/>
      </c>
      <c r="Q5" s="38">
        <f>pax_cap*P5</f>
        <v/>
      </c>
      <c r="R5" s="36">
        <f>Q5*O5</f>
        <v/>
      </c>
      <c r="S5" s="39">
        <f>E5*discount</f>
        <v/>
      </c>
      <c r="T5" s="40">
        <f>S5*R5</f>
        <v/>
      </c>
      <c r="U5" s="40">
        <f>(battery/range_nm)*D5*O5*VLOOKUP(B5,country_opex,3,FALSE)</f>
        <v/>
      </c>
      <c r="V5" s="40">
        <f>VLOOKUP(B5,country_opex,2,FALSE)*crew_factor</f>
        <v/>
      </c>
      <c r="W5" s="40">
        <f>VLOOKUP(B5,country_opex,5,FALSE)</f>
        <v/>
      </c>
      <c r="X5" s="40">
        <f>maint</f>
        <v/>
      </c>
      <c r="Y5" s="40">
        <f>VLOOKUP(B5,country_opex,7,FALSE)*ins_pct</f>
        <v/>
      </c>
      <c r="Z5" s="40">
        <f>charge_berth</f>
        <v/>
      </c>
      <c r="AA5" s="40">
        <f>U5+V5+W5+X5+Y5+Z5</f>
        <v/>
      </c>
      <c r="AB5" s="40">
        <f>VLOOKUP(B5,country_opex,7,FALSE)/dep_years</f>
        <v/>
      </c>
      <c r="AC5" s="40">
        <f>T5-AA5</f>
        <v/>
      </c>
      <c r="AD5" s="37">
        <f>IF(T5=0,"",AC5/T5)</f>
        <v/>
      </c>
      <c r="AE5" s="38">
        <f>IF(AC5&lt;=0,"",VLOOKUP(B5,country_opex,7,FALSE)/AC5)</f>
        <v/>
      </c>
      <c r="AF5" s="35">
        <f>((D5*O5/diesel_nmpg)*diesel_co2pg-(battery/range_nm)*D5*O5*VLOOKUP(B5,country_opex,4,FALSE))/1000</f>
        <v/>
      </c>
      <c r="AG5" s="33" t="n">
        <v>825637</v>
      </c>
      <c r="AH5" s="34" t="inlineStr">
        <is>
          <t>T1</t>
        </is>
      </c>
      <c r="AI5" s="34" t="inlineStr">
        <is>
          <t>high</t>
        </is>
      </c>
      <c r="AJ5" s="41" t="n">
        <v>0.1</v>
      </c>
      <c r="AK5" s="36">
        <f>IF(AG5="","",AG5*AJ5)</f>
        <v/>
      </c>
      <c r="AL5" s="36">
        <f>IF(OR(AG5="",R5=0),"",MIN(IF(AT5="",9.9E+99,AT5),FLOOR(AK5/R5,1)))</f>
        <v/>
      </c>
      <c r="AM5" s="40">
        <f>IF(AL5="","",AL5*IF(ABS(MOD(ABS((T5)),1)-0.5)&lt;1E-9,2*ROUND((T5)/2,0),ROUND((T5),0)))</f>
        <v/>
      </c>
      <c r="AN5" s="38">
        <f>IF(OR(AG5="",R5=0),"",MIN(IF(AT5="",9.9E+99,AT5),AK5/R5))</f>
        <v/>
      </c>
      <c r="AO5" s="40">
        <f>IF(AN5="","",AN5*T5)</f>
        <v/>
      </c>
      <c r="AP5" s="42" t="n"/>
      <c r="AQ5" s="34" t="inlineStr">
        <is>
          <t>Grounded</t>
        </is>
      </c>
      <c r="AR5" s="43" t="n"/>
      <c r="AS5" s="43" t="n"/>
      <c r="AT5" s="44" t="n"/>
      <c r="AU5" s="45">
        <f>IF(((S5*pax_cap*load_thin*IF(ABS(MOD(ABS((K5*L5*revleg_thin)),1)-0.5)&lt;1E-9,2*ROUND((K5*L5*revleg_thin)/2,0),ROUND((K5*L5*revleg_thin),0)))-(((battery/range_nm)*D5*IF(ABS(MOD(ABS((K5*L5*revleg_thin)),1)-0.5)&lt;1E-9,2*ROUND((K5*L5*revleg_thin)/2,0),ROUND((K5*L5*revleg_thin),0))*VLOOKUP(B5,country_opex,3,FALSE))+V5+W5+X5+Y5+Z5))&lt;=0,"",VLOOKUP(B5,country_opex,7,FALSE)/((S5*pax_cap*load_thin*IF(ABS(MOD(ABS((K5*L5*revleg_thin)),1)-0.5)&lt;1E-9,2*ROUND((K5*L5*revleg_thin)/2,0),ROUND((K5*L5*revleg_thin),0)))-(((battery/range_nm)*D5*IF(ABS(MOD(ABS((K5*L5*revleg_thin)),1)-0.5)&lt;1E-9,2*ROUND((K5*L5*revleg_thin)/2,0),ROUND((K5*L5*revleg_thin),0))*VLOOKUP(B5,country_opex,3,FALSE))+V5+W5+X5+Y5+Z5)))</f>
        <v/>
      </c>
      <c r="AV5" s="45">
        <f>IF(((S5*pax_cap*load_mid*IF(ABS(MOD(ABS((K5*L5*revleg_mid)),1)-0.5)&lt;1E-9,2*ROUND((K5*L5*revleg_mid)/2,0),ROUND((K5*L5*revleg_mid),0)))-(((battery/range_nm)*D5*IF(ABS(MOD(ABS((K5*L5*revleg_mid)),1)-0.5)&lt;1E-9,2*ROUND((K5*L5*revleg_mid)/2,0),ROUND((K5*L5*revleg_mid),0))*VLOOKUP(B5,country_opex,3,FALSE))+V5+W5+X5+Y5+Z5))&lt;=0,"",VLOOKUP(B5,country_opex,7,FALSE)/((S5*pax_cap*load_mid*IF(ABS(MOD(ABS((K5*L5*revleg_mid)),1)-0.5)&lt;1E-9,2*ROUND((K5*L5*revleg_mid)/2,0),ROUND((K5*L5*revleg_mid),0)))-(((battery/range_nm)*D5*IF(ABS(MOD(ABS((K5*L5*revleg_mid)),1)-0.5)&lt;1E-9,2*ROUND((K5*L5*revleg_mid)/2,0),ROUND((K5*L5*revleg_mid),0))*VLOOKUP(B5,country_opex,3,FALSE))+V5+W5+X5+Y5+Z5)))</f>
        <v/>
      </c>
      <c r="AW5" s="45">
        <f>IF(((S5*pax_cap*load_full*IF(ABS(MOD(ABS((K5*L5*revleg_full)),1)-0.5)&lt;1E-9,2*ROUND((K5*L5*revleg_full)/2,0),ROUND((K5*L5*revleg_full),0)))-(((battery/range_nm)*D5*IF(ABS(MOD(ABS((K5*L5*revleg_full)),1)-0.5)&lt;1E-9,2*ROUND((K5*L5*revleg_full)/2,0),ROUND((K5*L5*revleg_full),0))*VLOOKUP(B5,country_opex,3,FALSE))+V5+W5+X5+Y5+Z5))&lt;=0,"",VLOOKUP(B5,country_opex,7,FALSE)/((S5*pax_cap*load_full*IF(ABS(MOD(ABS((K5*L5*revleg_full)),1)-0.5)&lt;1E-9,2*ROUND((K5*L5*revleg_full)/2,0),ROUND((K5*L5*revleg_full),0)))-(((battery/range_nm)*D5*IF(ABS(MOD(ABS((K5*L5*revleg_full)),1)-0.5)&lt;1E-9,2*ROUND((K5*L5*revleg_full)/2,0),ROUND((K5*L5*revleg_full),0))*VLOOKUP(B5,country_opex,3,FALSE))+V5+W5+X5+Y5+Z5)))</f>
        <v/>
      </c>
      <c r="AX5" s="46" t="inlineStr">
        <is>
          <t>[LB-255 PREMIUM RE-FARE: subsidized comparable $1.5001 lifted to premium on-demand floor $18.0] https://barcasrio.com.br/linhas-horarios-e-tarifas/</t>
        </is>
      </c>
      <c r="AY5" s="46" t="inlineStr">
        <is>
          <t>https://www2.agetransp.rj.gov.br/arquivos/operacao-servicos/relatorio-de-atividades/Relat%C3%B3rio%20Mensal%20de%20Atividades%20Janeiro%202024.pdf</t>
        </is>
      </c>
    </row>
    <row r="6">
      <c r="A6" s="31" t="inlineStr">
        <is>
          <t>Brazil</t>
        </is>
      </c>
      <c r="B6" s="31" t="inlineStr">
        <is>
          <t>Brazil</t>
        </is>
      </c>
      <c r="C6" s="32" t="inlineStr">
        <is>
          <t>Praça XV Terminal (central Rio) → Cocotá Terminal (Ilha do Governador)</t>
        </is>
      </c>
      <c r="D6" s="33" t="n">
        <v>6</v>
      </c>
      <c r="E6" s="27" t="n">
        <v>18</v>
      </c>
      <c r="F6" s="34" t="inlineStr">
        <is>
          <t>T1/T2</t>
        </is>
      </c>
      <c r="G6" s="34" t="inlineStr">
        <is>
          <t>med-low</t>
        </is>
      </c>
      <c r="H6" s="20" t="n">
        <v>1</v>
      </c>
      <c r="I6" s="35">
        <f>60*D6/cruise_kt</f>
        <v/>
      </c>
      <c r="J6" s="35">
        <f>I6+turn_min+dwell_min</f>
        <v/>
      </c>
      <c r="K6" s="36">
        <f>MIN(15,FLOOR(60*service_hr/J6,1))</f>
        <v/>
      </c>
      <c r="L6" s="36">
        <f>IF(ABS(MOD(ABS((365*mech_uptime*H6)),1)-0.5)&lt;1E-9,2*ROUND((365*mech_uptime*H6)/2,0),ROUND((365*mech_uptime*H6),0))</f>
        <v/>
      </c>
      <c r="M6" s="37">
        <f>mech_uptime</f>
        <v/>
      </c>
      <c r="N6" s="37">
        <f>revleg_sel</f>
        <v/>
      </c>
      <c r="O6" s="36">
        <f>IF(ABS(MOD(ABS((K6*L6*revleg_sel)),1)-0.5)&lt;1E-9,2*ROUND((K6*L6*revleg_sel)/2,0),ROUND((K6*L6*revleg_sel),0))</f>
        <v/>
      </c>
      <c r="P6" s="38">
        <f>load_sel</f>
        <v/>
      </c>
      <c r="Q6" s="38">
        <f>pax_cap*P6</f>
        <v/>
      </c>
      <c r="R6" s="36">
        <f>Q6*O6</f>
        <v/>
      </c>
      <c r="S6" s="39">
        <f>E6*discount</f>
        <v/>
      </c>
      <c r="T6" s="40">
        <f>S6*R6</f>
        <v/>
      </c>
      <c r="U6" s="40">
        <f>(battery/range_nm)*D6*O6*VLOOKUP(B6,country_opex,3,FALSE)</f>
        <v/>
      </c>
      <c r="V6" s="40">
        <f>VLOOKUP(B6,country_opex,2,FALSE)*crew_factor</f>
        <v/>
      </c>
      <c r="W6" s="40">
        <f>VLOOKUP(B6,country_opex,5,FALSE)</f>
        <v/>
      </c>
      <c r="X6" s="40">
        <f>maint</f>
        <v/>
      </c>
      <c r="Y6" s="40">
        <f>VLOOKUP(B6,country_opex,7,FALSE)*ins_pct</f>
        <v/>
      </c>
      <c r="Z6" s="40">
        <f>charge_berth</f>
        <v/>
      </c>
      <c r="AA6" s="40">
        <f>U6+V6+W6+X6+Y6+Z6</f>
        <v/>
      </c>
      <c r="AB6" s="40">
        <f>VLOOKUP(B6,country_opex,7,FALSE)/dep_years</f>
        <v/>
      </c>
      <c r="AC6" s="40">
        <f>T6-AA6</f>
        <v/>
      </c>
      <c r="AD6" s="37">
        <f>IF(T6=0,"",AC6/T6)</f>
        <v/>
      </c>
      <c r="AE6" s="38">
        <f>IF(AC6&lt;=0,"",VLOOKUP(B6,country_opex,7,FALSE)/AC6)</f>
        <v/>
      </c>
      <c r="AF6" s="35">
        <f>((D6*O6/diesel_nmpg)*diesel_co2pg-(battery/range_nm)*D6*O6*VLOOKUP(B6,country_opex,4,FALSE))/1000</f>
        <v/>
      </c>
      <c r="AG6" s="33" t="n">
        <v>278607</v>
      </c>
      <c r="AH6" s="34" t="inlineStr">
        <is>
          <t>T1</t>
        </is>
      </c>
      <c r="AI6" s="34" t="inlineStr">
        <is>
          <t>high</t>
        </is>
      </c>
      <c r="AJ6" s="41" t="n">
        <v>0.1</v>
      </c>
      <c r="AK6" s="36">
        <f>IF(AG6="","",AG6*AJ6)</f>
        <v/>
      </c>
      <c r="AL6" s="36">
        <f>IF(OR(AG6="",R6=0),"",MIN(IF(AT6="",9.9E+99,AT6),FLOOR(AK6/R6,1)))</f>
        <v/>
      </c>
      <c r="AM6" s="40">
        <f>IF(AL6="","",AL6*IF(ABS(MOD(ABS((T6)),1)-0.5)&lt;1E-9,2*ROUND((T6)/2,0),ROUND((T6),0)))</f>
        <v/>
      </c>
      <c r="AN6" s="38">
        <f>IF(OR(AG6="",R6=0),"",MIN(IF(AT6="",9.9E+99,AT6),AK6/R6))</f>
        <v/>
      </c>
      <c r="AO6" s="40">
        <f>IF(AN6="","",AN6*T6)</f>
        <v/>
      </c>
      <c r="AP6" s="42" t="n"/>
      <c r="AQ6" s="34" t="inlineStr">
        <is>
          <t>Grounded</t>
        </is>
      </c>
      <c r="AR6" s="43" t="n"/>
      <c r="AS6" s="43" t="n"/>
      <c r="AT6" s="44" t="n"/>
      <c r="AU6" s="45">
        <f>IF(((S6*pax_cap*load_thin*IF(ABS(MOD(ABS((K6*L6*revleg_thin)),1)-0.5)&lt;1E-9,2*ROUND((K6*L6*revleg_thin)/2,0),ROUND((K6*L6*revleg_thin),0)))-(((battery/range_nm)*D6*IF(ABS(MOD(ABS((K6*L6*revleg_thin)),1)-0.5)&lt;1E-9,2*ROUND((K6*L6*revleg_thin)/2,0),ROUND((K6*L6*revleg_thin),0))*VLOOKUP(B6,country_opex,3,FALSE))+V6+W6+X6+Y6+Z6))&lt;=0,"",VLOOKUP(B6,country_opex,7,FALSE)/((S6*pax_cap*load_thin*IF(ABS(MOD(ABS((K6*L6*revleg_thin)),1)-0.5)&lt;1E-9,2*ROUND((K6*L6*revleg_thin)/2,0),ROUND((K6*L6*revleg_thin),0)))-(((battery/range_nm)*D6*IF(ABS(MOD(ABS((K6*L6*revleg_thin)),1)-0.5)&lt;1E-9,2*ROUND((K6*L6*revleg_thin)/2,0),ROUND((K6*L6*revleg_thin),0))*VLOOKUP(B6,country_opex,3,FALSE))+V6+W6+X6+Y6+Z6)))</f>
        <v/>
      </c>
      <c r="AV6" s="45">
        <f>IF(((S6*pax_cap*load_mid*IF(ABS(MOD(ABS((K6*L6*revleg_mid)),1)-0.5)&lt;1E-9,2*ROUND((K6*L6*revleg_mid)/2,0),ROUND((K6*L6*revleg_mid),0)))-(((battery/range_nm)*D6*IF(ABS(MOD(ABS((K6*L6*revleg_mid)),1)-0.5)&lt;1E-9,2*ROUND((K6*L6*revleg_mid)/2,0),ROUND((K6*L6*revleg_mid),0))*VLOOKUP(B6,country_opex,3,FALSE))+V6+W6+X6+Y6+Z6))&lt;=0,"",VLOOKUP(B6,country_opex,7,FALSE)/((S6*pax_cap*load_mid*IF(ABS(MOD(ABS((K6*L6*revleg_mid)),1)-0.5)&lt;1E-9,2*ROUND((K6*L6*revleg_mid)/2,0),ROUND((K6*L6*revleg_mid),0)))-(((battery/range_nm)*D6*IF(ABS(MOD(ABS((K6*L6*revleg_mid)),1)-0.5)&lt;1E-9,2*ROUND((K6*L6*revleg_mid)/2,0),ROUND((K6*L6*revleg_mid),0))*VLOOKUP(B6,country_opex,3,FALSE))+V6+W6+X6+Y6+Z6)))</f>
        <v/>
      </c>
      <c r="AW6" s="45">
        <f>IF(((S6*pax_cap*load_full*IF(ABS(MOD(ABS((K6*L6*revleg_full)),1)-0.5)&lt;1E-9,2*ROUND((K6*L6*revleg_full)/2,0),ROUND((K6*L6*revleg_full),0)))-(((battery/range_nm)*D6*IF(ABS(MOD(ABS((K6*L6*revleg_full)),1)-0.5)&lt;1E-9,2*ROUND((K6*L6*revleg_full)/2,0),ROUND((K6*L6*revleg_full),0))*VLOOKUP(B6,country_opex,3,FALSE))+V6+W6+X6+Y6+Z6))&lt;=0,"",VLOOKUP(B6,country_opex,7,FALSE)/((S6*pax_cap*load_full*IF(ABS(MOD(ABS((K6*L6*revleg_full)),1)-0.5)&lt;1E-9,2*ROUND((K6*L6*revleg_full)/2,0),ROUND((K6*L6*revleg_full),0)))-(((battery/range_nm)*D6*IF(ABS(MOD(ABS((K6*L6*revleg_full)),1)-0.5)&lt;1E-9,2*ROUND((K6*L6*revleg_full)/2,0),ROUND((K6*L6*revleg_full),0))*VLOOKUP(B6,country_opex,3,FALSE))+V6+W6+X6+Y6+Z6)))</f>
        <v/>
      </c>
      <c r="AX6" s="46" t="inlineStr">
        <is>
          <t>[LB-255 PREMIUM RE-FARE: subsidized comparable $0.9741 lifted to premium on-demand floor $18.0] https://barcasrio.com.br/linhas-horarios-e-tarifas/</t>
        </is>
      </c>
      <c r="AY6" s="46" t="inlineStr">
        <is>
          <t>https://www2.agetransp.rj.gov.br/arquivos/operacao-servicos/relatorio-de-atividades/Relat%C3%B3rio%20Mensal%20de%20Atividades%20Janeiro%202024.pdf</t>
        </is>
      </c>
    </row>
    <row r="7">
      <c r="A7" s="31" t="inlineStr">
        <is>
          <t>Brazil</t>
        </is>
      </c>
      <c r="B7" s="31" t="inlineStr">
        <is>
          <t>Brazil</t>
        </is>
      </c>
      <c r="C7" s="32" t="inlineStr">
        <is>
          <t>Praça XV Terminal (central Rio) → Paquetá Island Terminal</t>
        </is>
      </c>
      <c r="D7" s="33" t="n">
        <v>9.199999999999999</v>
      </c>
      <c r="E7" s="27" t="n">
        <v>18</v>
      </c>
      <c r="F7" s="34" t="inlineStr">
        <is>
          <t>T1/T2</t>
        </is>
      </c>
      <c r="G7" s="34" t="inlineStr">
        <is>
          <t>med-low</t>
        </is>
      </c>
      <c r="H7" s="20" t="n">
        <v>1</v>
      </c>
      <c r="I7" s="35">
        <f>60*D7/cruise_kt</f>
        <v/>
      </c>
      <c r="J7" s="35">
        <f>I7+turn_min+dwell_min</f>
        <v/>
      </c>
      <c r="K7" s="36">
        <f>MIN(15,FLOOR(60*service_hr/J7,1))</f>
        <v/>
      </c>
      <c r="L7" s="36">
        <f>IF(ABS(MOD(ABS((365*mech_uptime*H7)),1)-0.5)&lt;1E-9,2*ROUND((365*mech_uptime*H7)/2,0),ROUND((365*mech_uptime*H7),0))</f>
        <v/>
      </c>
      <c r="M7" s="37">
        <f>mech_uptime</f>
        <v/>
      </c>
      <c r="N7" s="37">
        <f>revleg_sel</f>
        <v/>
      </c>
      <c r="O7" s="36">
        <f>IF(ABS(MOD(ABS((K7*L7*revleg_sel)),1)-0.5)&lt;1E-9,2*ROUND((K7*L7*revleg_sel)/2,0),ROUND((K7*L7*revleg_sel),0))</f>
        <v/>
      </c>
      <c r="P7" s="38">
        <f>load_sel</f>
        <v/>
      </c>
      <c r="Q7" s="38">
        <f>pax_cap*P7</f>
        <v/>
      </c>
      <c r="R7" s="36">
        <f>Q7*O7</f>
        <v/>
      </c>
      <c r="S7" s="39">
        <f>E7*discount</f>
        <v/>
      </c>
      <c r="T7" s="40">
        <f>S7*R7</f>
        <v/>
      </c>
      <c r="U7" s="40">
        <f>(battery/range_nm)*D7*O7*VLOOKUP(B7,country_opex,3,FALSE)</f>
        <v/>
      </c>
      <c r="V7" s="40">
        <f>VLOOKUP(B7,country_opex,2,FALSE)*crew_factor</f>
        <v/>
      </c>
      <c r="W7" s="40">
        <f>VLOOKUP(B7,country_opex,5,FALSE)</f>
        <v/>
      </c>
      <c r="X7" s="40">
        <f>maint</f>
        <v/>
      </c>
      <c r="Y7" s="40">
        <f>VLOOKUP(B7,country_opex,7,FALSE)*ins_pct</f>
        <v/>
      </c>
      <c r="Z7" s="40">
        <f>charge_berth</f>
        <v/>
      </c>
      <c r="AA7" s="40">
        <f>U7+V7+W7+X7+Y7+Z7</f>
        <v/>
      </c>
      <c r="AB7" s="40">
        <f>VLOOKUP(B7,country_opex,7,FALSE)/dep_years</f>
        <v/>
      </c>
      <c r="AC7" s="40">
        <f>T7-AA7</f>
        <v/>
      </c>
      <c r="AD7" s="37">
        <f>IF(T7=0,"",AC7/T7)</f>
        <v/>
      </c>
      <c r="AE7" s="38">
        <f>IF(AC7&lt;=0,"",VLOOKUP(B7,country_opex,7,FALSE)/AC7)</f>
        <v/>
      </c>
      <c r="AF7" s="35">
        <f>((D7*O7/diesel_nmpg)*diesel_co2pg-(battery/range_nm)*D7*O7*VLOOKUP(B7,country_opex,4,FALSE))/1000</f>
        <v/>
      </c>
      <c r="AG7" s="33" t="n">
        <v>1170652</v>
      </c>
      <c r="AH7" s="34" t="inlineStr">
        <is>
          <t>T1</t>
        </is>
      </c>
      <c r="AI7" s="34" t="inlineStr">
        <is>
          <t>high</t>
        </is>
      </c>
      <c r="AJ7" s="41" t="n">
        <v>0.1</v>
      </c>
      <c r="AK7" s="36">
        <f>IF(AG7="","",AG7*AJ7)</f>
        <v/>
      </c>
      <c r="AL7" s="36">
        <f>IF(OR(AG7="",R7=0),"",MIN(IF(AT7="",9.9E+99,AT7),FLOOR(AK7/R7,1)))</f>
        <v/>
      </c>
      <c r="AM7" s="40">
        <f>IF(AL7="","",AL7*IF(ABS(MOD(ABS((T7)),1)-0.5)&lt;1E-9,2*ROUND((T7)/2,0),ROUND((T7),0)))</f>
        <v/>
      </c>
      <c r="AN7" s="38">
        <f>IF(OR(AG7="",R7=0),"",MIN(IF(AT7="",9.9E+99,AT7),AK7/R7))</f>
        <v/>
      </c>
      <c r="AO7" s="40">
        <f>IF(AN7="","",AN7*T7)</f>
        <v/>
      </c>
      <c r="AP7" s="42" t="n"/>
      <c r="AQ7" s="34" t="inlineStr">
        <is>
          <t>Grounded</t>
        </is>
      </c>
      <c r="AR7" s="43" t="n"/>
      <c r="AS7" s="43" t="n"/>
      <c r="AT7" s="44" t="n"/>
      <c r="AU7" s="45">
        <f>IF(((S7*pax_cap*load_thin*IF(ABS(MOD(ABS((K7*L7*revleg_thin)),1)-0.5)&lt;1E-9,2*ROUND((K7*L7*revleg_thin)/2,0),ROUND((K7*L7*revleg_thin),0)))-(((battery/range_nm)*D7*IF(ABS(MOD(ABS((K7*L7*revleg_thin)),1)-0.5)&lt;1E-9,2*ROUND((K7*L7*revleg_thin)/2,0),ROUND((K7*L7*revleg_thin),0))*VLOOKUP(B7,country_opex,3,FALSE))+V7+W7+X7+Y7+Z7))&lt;=0,"",VLOOKUP(B7,country_opex,7,FALSE)/((S7*pax_cap*load_thin*IF(ABS(MOD(ABS((K7*L7*revleg_thin)),1)-0.5)&lt;1E-9,2*ROUND((K7*L7*revleg_thin)/2,0),ROUND((K7*L7*revleg_thin),0)))-(((battery/range_nm)*D7*IF(ABS(MOD(ABS((K7*L7*revleg_thin)),1)-0.5)&lt;1E-9,2*ROUND((K7*L7*revleg_thin)/2,0),ROUND((K7*L7*revleg_thin),0))*VLOOKUP(B7,country_opex,3,FALSE))+V7+W7+X7+Y7+Z7)))</f>
        <v/>
      </c>
      <c r="AV7" s="45">
        <f>IF(((S7*pax_cap*load_mid*IF(ABS(MOD(ABS((K7*L7*revleg_mid)),1)-0.5)&lt;1E-9,2*ROUND((K7*L7*revleg_mid)/2,0),ROUND((K7*L7*revleg_mid),0)))-(((battery/range_nm)*D7*IF(ABS(MOD(ABS((K7*L7*revleg_mid)),1)-0.5)&lt;1E-9,2*ROUND((K7*L7*revleg_mid)/2,0),ROUND((K7*L7*revleg_mid),0))*VLOOKUP(B7,country_opex,3,FALSE))+V7+W7+X7+Y7+Z7))&lt;=0,"",VLOOKUP(B7,country_opex,7,FALSE)/((S7*pax_cap*load_mid*IF(ABS(MOD(ABS((K7*L7*revleg_mid)),1)-0.5)&lt;1E-9,2*ROUND((K7*L7*revleg_mid)/2,0),ROUND((K7*L7*revleg_mid),0)))-(((battery/range_nm)*D7*IF(ABS(MOD(ABS((K7*L7*revleg_mid)),1)-0.5)&lt;1E-9,2*ROUND((K7*L7*revleg_mid)/2,0),ROUND((K7*L7*revleg_mid),0))*VLOOKUP(B7,country_opex,3,FALSE))+V7+W7+X7+Y7+Z7)))</f>
        <v/>
      </c>
      <c r="AW7" s="45">
        <f>IF(((S7*pax_cap*load_full*IF(ABS(MOD(ABS((K7*L7*revleg_full)),1)-0.5)&lt;1E-9,2*ROUND((K7*L7*revleg_full)/2,0),ROUND((K7*L7*revleg_full),0)))-(((battery/range_nm)*D7*IF(ABS(MOD(ABS((K7*L7*revleg_full)),1)-0.5)&lt;1E-9,2*ROUND((K7*L7*revleg_full)/2,0),ROUND((K7*L7*revleg_full),0))*VLOOKUP(B7,country_opex,3,FALSE))+V7+W7+X7+Y7+Z7))&lt;=0,"",VLOOKUP(B7,country_opex,7,FALSE)/((S7*pax_cap*load_full*IF(ABS(MOD(ABS((K7*L7*revleg_full)),1)-0.5)&lt;1E-9,2*ROUND((K7*L7*revleg_full)/2,0),ROUND((K7*L7*revleg_full),0)))-(((battery/range_nm)*D7*IF(ABS(MOD(ABS((K7*L7*revleg_full)),1)-0.5)&lt;1E-9,2*ROUND((K7*L7*revleg_full)/2,0),ROUND((K7*L7*revleg_full),0))*VLOOKUP(B7,country_opex,3,FALSE))+V7+W7+X7+Y7+Z7)))</f>
        <v/>
      </c>
      <c r="AX7" s="46" t="inlineStr">
        <is>
          <t>[LB-255 PREMIUM RE-FARE: subsidized comparable $0.9741 lifted to premium on-demand floor $18.0] https://barcasrio.com.br/linhas-horarios-e-tarifas/</t>
        </is>
      </c>
      <c r="AY7" s="46" t="inlineStr">
        <is>
          <t>https://www2.agetransp.rj.gov.br/arquivos/operacao-servicos/relatorio-de-atividades/Relat%C3%B3rio%20Mensal%20de%20Atividades%20Janeiro%202024.pdf</t>
        </is>
      </c>
    </row>
    <row r="8">
      <c r="A8" s="31" t="inlineStr">
        <is>
          <t>Costa Rica</t>
        </is>
      </c>
      <c r="B8" s="31" t="inlineStr">
        <is>
          <t>Costa Rica</t>
        </is>
      </c>
      <c r="C8" s="32" t="inlineStr">
        <is>
          <t>Playa Naranjo Ferry Terminal → Puntarenas Ferry Terminal (Gulf of Nicoya car/passenger ferries)</t>
        </is>
      </c>
      <c r="D8" s="33" t="n">
        <v>7.5</v>
      </c>
      <c r="E8" s="27" t="n">
        <v>18</v>
      </c>
      <c r="F8" s="34" t="inlineStr">
        <is>
          <t>T1/T2</t>
        </is>
      </c>
      <c r="G8" s="34" t="inlineStr">
        <is>
          <t>med</t>
        </is>
      </c>
      <c r="H8" s="20" t="n">
        <v>1</v>
      </c>
      <c r="I8" s="35">
        <f>60*D8/cruise_kt</f>
        <v/>
      </c>
      <c r="J8" s="35">
        <f>I8+turn_min+dwell_min</f>
        <v/>
      </c>
      <c r="K8" s="36">
        <f>MIN(15,FLOOR(60*service_hr/J8,1))</f>
        <v/>
      </c>
      <c r="L8" s="36">
        <f>IF(ABS(MOD(ABS((365*mech_uptime*H8)),1)-0.5)&lt;1E-9,2*ROUND((365*mech_uptime*H8)/2,0),ROUND((365*mech_uptime*H8),0))</f>
        <v/>
      </c>
      <c r="M8" s="37">
        <f>mech_uptime</f>
        <v/>
      </c>
      <c r="N8" s="37">
        <f>revleg_sel</f>
        <v/>
      </c>
      <c r="O8" s="36">
        <f>IF(ABS(MOD(ABS((K8*L8*revleg_sel)),1)-0.5)&lt;1E-9,2*ROUND((K8*L8*revleg_sel)/2,0),ROUND((K8*L8*revleg_sel),0))</f>
        <v/>
      </c>
      <c r="P8" s="38">
        <f>load_sel</f>
        <v/>
      </c>
      <c r="Q8" s="38">
        <f>pax_cap*P8</f>
        <v/>
      </c>
      <c r="R8" s="36">
        <f>Q8*O8</f>
        <v/>
      </c>
      <c r="S8" s="39">
        <f>E8*discount</f>
        <v/>
      </c>
      <c r="T8" s="40">
        <f>S8*R8</f>
        <v/>
      </c>
      <c r="U8" s="40">
        <f>(battery/range_nm)*D8*O8*VLOOKUP(B8,country_opex,3,FALSE)</f>
        <v/>
      </c>
      <c r="V8" s="40">
        <f>VLOOKUP(B8,country_opex,2,FALSE)*crew_factor</f>
        <v/>
      </c>
      <c r="W8" s="40">
        <f>VLOOKUP(B8,country_opex,5,FALSE)</f>
        <v/>
      </c>
      <c r="X8" s="40">
        <f>maint</f>
        <v/>
      </c>
      <c r="Y8" s="40">
        <f>VLOOKUP(B8,country_opex,7,FALSE)*ins_pct</f>
        <v/>
      </c>
      <c r="Z8" s="40">
        <f>charge_berth</f>
        <v/>
      </c>
      <c r="AA8" s="40">
        <f>U8+V8+W8+X8+Y8+Z8</f>
        <v/>
      </c>
      <c r="AB8" s="40">
        <f>VLOOKUP(B8,country_opex,7,FALSE)/dep_years</f>
        <v/>
      </c>
      <c r="AC8" s="40">
        <f>T8-AA8</f>
        <v/>
      </c>
      <c r="AD8" s="37">
        <f>IF(T8=0,"",AC8/T8)</f>
        <v/>
      </c>
      <c r="AE8" s="38">
        <f>IF(AC8&lt;=0,"",VLOOKUP(B8,country_opex,7,FALSE)/AC8)</f>
        <v/>
      </c>
      <c r="AF8" s="35">
        <f>((D8*O8/diesel_nmpg)*diesel_co2pg-(battery/range_nm)*D8*O8*VLOOKUP(B8,country_opex,4,FALSE))/1000</f>
        <v/>
      </c>
      <c r="AG8" s="33" t="n">
        <v>317859</v>
      </c>
      <c r="AH8" s="34" t="inlineStr">
        <is>
          <t>T1</t>
        </is>
      </c>
      <c r="AI8" s="34" t="inlineStr">
        <is>
          <t>high</t>
        </is>
      </c>
      <c r="AJ8" s="41" t="n">
        <v>0.1</v>
      </c>
      <c r="AK8" s="36">
        <f>IF(AG8="","",AG8*AJ8)</f>
        <v/>
      </c>
      <c r="AL8" s="36">
        <f>IF(OR(AG8="",R8=0),"",MIN(IF(AT8="",9.9E+99,AT8),FLOOR(AK8/R8,1)))</f>
        <v/>
      </c>
      <c r="AM8" s="40">
        <f>IF(AL8="","",AL8*IF(ABS(MOD(ABS((T8)),1)-0.5)&lt;1E-9,2*ROUND((T8)/2,0),ROUND((T8),0)))</f>
        <v/>
      </c>
      <c r="AN8" s="38">
        <f>IF(OR(AG8="",R8=0),"",MIN(IF(AT8="",9.9E+99,AT8),AK8/R8))</f>
        <v/>
      </c>
      <c r="AO8" s="40">
        <f>IF(AN8="","",AN8*T8)</f>
        <v/>
      </c>
      <c r="AP8" s="42" t="n"/>
      <c r="AQ8" s="34" t="inlineStr">
        <is>
          <t>Grounded</t>
        </is>
      </c>
      <c r="AR8" s="43" t="n"/>
      <c r="AS8" s="43" t="n"/>
      <c r="AT8" s="44" t="n"/>
      <c r="AU8" s="45">
        <f>IF(((S8*pax_cap*load_thin*IF(ABS(MOD(ABS((K8*L8*revleg_thin)),1)-0.5)&lt;1E-9,2*ROUND((K8*L8*revleg_thin)/2,0),ROUND((K8*L8*revleg_thin),0)))-(((battery/range_nm)*D8*IF(ABS(MOD(ABS((K8*L8*revleg_thin)),1)-0.5)&lt;1E-9,2*ROUND((K8*L8*revleg_thin)/2,0),ROUND((K8*L8*revleg_thin),0))*VLOOKUP(B8,country_opex,3,FALSE))+V8+W8+X8+Y8+Z8))&lt;=0,"",VLOOKUP(B8,country_opex,7,FALSE)/((S8*pax_cap*load_thin*IF(ABS(MOD(ABS((K8*L8*revleg_thin)),1)-0.5)&lt;1E-9,2*ROUND((K8*L8*revleg_thin)/2,0),ROUND((K8*L8*revleg_thin),0)))-(((battery/range_nm)*D8*IF(ABS(MOD(ABS((K8*L8*revleg_thin)),1)-0.5)&lt;1E-9,2*ROUND((K8*L8*revleg_thin)/2,0),ROUND((K8*L8*revleg_thin),0))*VLOOKUP(B8,country_opex,3,FALSE))+V8+W8+X8+Y8+Z8)))</f>
        <v/>
      </c>
      <c r="AV8" s="45">
        <f>IF(((S8*pax_cap*load_mid*IF(ABS(MOD(ABS((K8*L8*revleg_mid)),1)-0.5)&lt;1E-9,2*ROUND((K8*L8*revleg_mid)/2,0),ROUND((K8*L8*revleg_mid),0)))-(((battery/range_nm)*D8*IF(ABS(MOD(ABS((K8*L8*revleg_mid)),1)-0.5)&lt;1E-9,2*ROUND((K8*L8*revleg_mid)/2,0),ROUND((K8*L8*revleg_mid),0))*VLOOKUP(B8,country_opex,3,FALSE))+V8+W8+X8+Y8+Z8))&lt;=0,"",VLOOKUP(B8,country_opex,7,FALSE)/((S8*pax_cap*load_mid*IF(ABS(MOD(ABS((K8*L8*revleg_mid)),1)-0.5)&lt;1E-9,2*ROUND((K8*L8*revleg_mid)/2,0),ROUND((K8*L8*revleg_mid),0)))-(((battery/range_nm)*D8*IF(ABS(MOD(ABS((K8*L8*revleg_mid)),1)-0.5)&lt;1E-9,2*ROUND((K8*L8*revleg_mid)/2,0),ROUND((K8*L8*revleg_mid),0))*VLOOKUP(B8,country_opex,3,FALSE))+V8+W8+X8+Y8+Z8)))</f>
        <v/>
      </c>
      <c r="AW8" s="45">
        <f>IF(((S8*pax_cap*load_full*IF(ABS(MOD(ABS((K8*L8*revleg_full)),1)-0.5)&lt;1E-9,2*ROUND((K8*L8*revleg_full)/2,0),ROUND((K8*L8*revleg_full),0)))-(((battery/range_nm)*D8*IF(ABS(MOD(ABS((K8*L8*revleg_full)),1)-0.5)&lt;1E-9,2*ROUND((K8*L8*revleg_full)/2,0),ROUND((K8*L8*revleg_full),0))*VLOOKUP(B8,country_opex,3,FALSE))+V8+W8+X8+Y8+Z8))&lt;=0,"",VLOOKUP(B8,country_opex,7,FALSE)/((S8*pax_cap*load_full*IF(ABS(MOD(ABS((K8*L8*revleg_full)),1)-0.5)&lt;1E-9,2*ROUND((K8*L8*revleg_full)/2,0),ROUND((K8*L8*revleg_full),0)))-(((battery/range_nm)*D8*IF(ABS(MOD(ABS((K8*L8*revleg_full)),1)-0.5)&lt;1E-9,2*ROUND((K8*L8*revleg_full)/2,0),ROUND((K8*L8*revleg_full),0))*VLOOKUP(B8,country_opex,3,FALSE))+V8+W8+X8+Y8+Z8)))</f>
        <v/>
      </c>
      <c r="AX8" s="46" t="inlineStr">
        <is>
          <t xml:space="preserve">[LB-255 PREMIUM RE-FARE: subsidized comparable $2.2038 lifted to premium on-demand floor $18.0] </t>
        </is>
      </c>
      <c r="AY8" s="46" t="inlineStr">
        <is>
          <t>MOPT 2024 statistical yearbook Cuadro 6.2</t>
        </is>
      </c>
    </row>
    <row r="9">
      <c r="A9" s="31" t="inlineStr">
        <is>
          <t>Costa Rica</t>
        </is>
      </c>
      <c r="B9" s="31" t="inlineStr">
        <is>
          <t>Costa Rica</t>
        </is>
      </c>
      <c r="C9" s="32" t="inlineStr">
        <is>
          <t>Paquera Ferry Terminal → Puntarenas Ferry Terminal (Gulf of Nicoya car/passenger ferries)</t>
        </is>
      </c>
      <c r="D9" s="33" t="n">
        <v>9.300000000000001</v>
      </c>
      <c r="E9" s="27" t="n">
        <v>18</v>
      </c>
      <c r="F9" s="34" t="inlineStr">
        <is>
          <t>T1/T2</t>
        </is>
      </c>
      <c r="G9" s="34" t="inlineStr">
        <is>
          <t>med</t>
        </is>
      </c>
      <c r="H9" s="20" t="n">
        <v>1</v>
      </c>
      <c r="I9" s="35">
        <f>60*D9/cruise_kt</f>
        <v/>
      </c>
      <c r="J9" s="35">
        <f>I9+turn_min+dwell_min</f>
        <v/>
      </c>
      <c r="K9" s="36">
        <f>MIN(15,FLOOR(60*service_hr/J9,1))</f>
        <v/>
      </c>
      <c r="L9" s="36">
        <f>IF(ABS(MOD(ABS((365*mech_uptime*H9)),1)-0.5)&lt;1E-9,2*ROUND((365*mech_uptime*H9)/2,0),ROUND((365*mech_uptime*H9),0))</f>
        <v/>
      </c>
      <c r="M9" s="37">
        <f>mech_uptime</f>
        <v/>
      </c>
      <c r="N9" s="37">
        <f>revleg_sel</f>
        <v/>
      </c>
      <c r="O9" s="36">
        <f>IF(ABS(MOD(ABS((K9*L9*revleg_sel)),1)-0.5)&lt;1E-9,2*ROUND((K9*L9*revleg_sel)/2,0),ROUND((K9*L9*revleg_sel),0))</f>
        <v/>
      </c>
      <c r="P9" s="38">
        <f>load_sel</f>
        <v/>
      </c>
      <c r="Q9" s="38">
        <f>pax_cap*P9</f>
        <v/>
      </c>
      <c r="R9" s="36">
        <f>Q9*O9</f>
        <v/>
      </c>
      <c r="S9" s="39">
        <f>E9*discount</f>
        <v/>
      </c>
      <c r="T9" s="40">
        <f>S9*R9</f>
        <v/>
      </c>
      <c r="U9" s="40">
        <f>(battery/range_nm)*D9*O9*VLOOKUP(B9,country_opex,3,FALSE)</f>
        <v/>
      </c>
      <c r="V9" s="40">
        <f>VLOOKUP(B9,country_opex,2,FALSE)*crew_factor</f>
        <v/>
      </c>
      <c r="W9" s="40">
        <f>VLOOKUP(B9,country_opex,5,FALSE)</f>
        <v/>
      </c>
      <c r="X9" s="40">
        <f>maint</f>
        <v/>
      </c>
      <c r="Y9" s="40">
        <f>VLOOKUP(B9,country_opex,7,FALSE)*ins_pct</f>
        <v/>
      </c>
      <c r="Z9" s="40">
        <f>charge_berth</f>
        <v/>
      </c>
      <c r="AA9" s="40">
        <f>U9+V9+W9+X9+Y9+Z9</f>
        <v/>
      </c>
      <c r="AB9" s="40">
        <f>VLOOKUP(B9,country_opex,7,FALSE)/dep_years</f>
        <v/>
      </c>
      <c r="AC9" s="40">
        <f>T9-AA9</f>
        <v/>
      </c>
      <c r="AD9" s="37">
        <f>IF(T9=0,"",AC9/T9)</f>
        <v/>
      </c>
      <c r="AE9" s="38">
        <f>IF(AC9&lt;=0,"",VLOOKUP(B9,country_opex,7,FALSE)/AC9)</f>
        <v/>
      </c>
      <c r="AF9" s="35">
        <f>((D9*O9/diesel_nmpg)*diesel_co2pg-(battery/range_nm)*D9*O9*VLOOKUP(B9,country_opex,4,FALSE))/1000</f>
        <v/>
      </c>
      <c r="AG9" s="33" t="n">
        <v>642133</v>
      </c>
      <c r="AH9" s="34" t="inlineStr">
        <is>
          <t>T1</t>
        </is>
      </c>
      <c r="AI9" s="34" t="inlineStr">
        <is>
          <t>high</t>
        </is>
      </c>
      <c r="AJ9" s="41" t="n">
        <v>0.1</v>
      </c>
      <c r="AK9" s="36">
        <f>IF(AG9="","",AG9*AJ9)</f>
        <v/>
      </c>
      <c r="AL9" s="36">
        <f>IF(OR(AG9="",R9=0),"",MIN(IF(AT9="",9.9E+99,AT9),FLOOR(AK9/R9,1)))</f>
        <v/>
      </c>
      <c r="AM9" s="40">
        <f>IF(AL9="","",AL9*IF(ABS(MOD(ABS((T9)),1)-0.5)&lt;1E-9,2*ROUND((T9)/2,0),ROUND((T9),0)))</f>
        <v/>
      </c>
      <c r="AN9" s="38">
        <f>IF(OR(AG9="",R9=0),"",MIN(IF(AT9="",9.9E+99,AT9),AK9/R9))</f>
        <v/>
      </c>
      <c r="AO9" s="40">
        <f>IF(AN9="","",AN9*T9)</f>
        <v/>
      </c>
      <c r="AP9" s="42" t="n"/>
      <c r="AQ9" s="34" t="inlineStr">
        <is>
          <t>Grounded</t>
        </is>
      </c>
      <c r="AR9" s="43" t="n"/>
      <c r="AS9" s="43" t="n"/>
      <c r="AT9" s="44" t="n"/>
      <c r="AU9" s="45">
        <f>IF(((S9*pax_cap*load_thin*IF(ABS(MOD(ABS((K9*L9*revleg_thin)),1)-0.5)&lt;1E-9,2*ROUND((K9*L9*revleg_thin)/2,0),ROUND((K9*L9*revleg_thin),0)))-(((battery/range_nm)*D9*IF(ABS(MOD(ABS((K9*L9*revleg_thin)),1)-0.5)&lt;1E-9,2*ROUND((K9*L9*revleg_thin)/2,0),ROUND((K9*L9*revleg_thin),0))*VLOOKUP(B9,country_opex,3,FALSE))+V9+W9+X9+Y9+Z9))&lt;=0,"",VLOOKUP(B9,country_opex,7,FALSE)/((S9*pax_cap*load_thin*IF(ABS(MOD(ABS((K9*L9*revleg_thin)),1)-0.5)&lt;1E-9,2*ROUND((K9*L9*revleg_thin)/2,0),ROUND((K9*L9*revleg_thin),0)))-(((battery/range_nm)*D9*IF(ABS(MOD(ABS((K9*L9*revleg_thin)),1)-0.5)&lt;1E-9,2*ROUND((K9*L9*revleg_thin)/2,0),ROUND((K9*L9*revleg_thin),0))*VLOOKUP(B9,country_opex,3,FALSE))+V9+W9+X9+Y9+Z9)))</f>
        <v/>
      </c>
      <c r="AV9" s="45">
        <f>IF(((S9*pax_cap*load_mid*IF(ABS(MOD(ABS((K9*L9*revleg_mid)),1)-0.5)&lt;1E-9,2*ROUND((K9*L9*revleg_mid)/2,0),ROUND((K9*L9*revleg_mid),0)))-(((battery/range_nm)*D9*IF(ABS(MOD(ABS((K9*L9*revleg_mid)),1)-0.5)&lt;1E-9,2*ROUND((K9*L9*revleg_mid)/2,0),ROUND((K9*L9*revleg_mid),0))*VLOOKUP(B9,country_opex,3,FALSE))+V9+W9+X9+Y9+Z9))&lt;=0,"",VLOOKUP(B9,country_opex,7,FALSE)/((S9*pax_cap*load_mid*IF(ABS(MOD(ABS((K9*L9*revleg_mid)),1)-0.5)&lt;1E-9,2*ROUND((K9*L9*revleg_mid)/2,0),ROUND((K9*L9*revleg_mid),0)))-(((battery/range_nm)*D9*IF(ABS(MOD(ABS((K9*L9*revleg_mid)),1)-0.5)&lt;1E-9,2*ROUND((K9*L9*revleg_mid)/2,0),ROUND((K9*L9*revleg_mid),0))*VLOOKUP(B9,country_opex,3,FALSE))+V9+W9+X9+Y9+Z9)))</f>
        <v/>
      </c>
      <c r="AW9" s="45">
        <f>IF(((S9*pax_cap*load_full*IF(ABS(MOD(ABS((K9*L9*revleg_full)),1)-0.5)&lt;1E-9,2*ROUND((K9*L9*revleg_full)/2,0),ROUND((K9*L9*revleg_full),0)))-(((battery/range_nm)*D9*IF(ABS(MOD(ABS((K9*L9*revleg_full)),1)-0.5)&lt;1E-9,2*ROUND((K9*L9*revleg_full)/2,0),ROUND((K9*L9*revleg_full),0))*VLOOKUP(B9,country_opex,3,FALSE))+V9+W9+X9+Y9+Z9))&lt;=0,"",VLOOKUP(B9,country_opex,7,FALSE)/((S9*pax_cap*load_full*IF(ABS(MOD(ABS((K9*L9*revleg_full)),1)-0.5)&lt;1E-9,2*ROUND((K9*L9*revleg_full)/2,0),ROUND((K9*L9*revleg_full),0)))-(((battery/range_nm)*D9*IF(ABS(MOD(ABS((K9*L9*revleg_full)),1)-0.5)&lt;1E-9,2*ROUND((K9*L9*revleg_full)/2,0),ROUND((K9*L9*revleg_full),0))*VLOOKUP(B9,country_opex,3,FALSE))+V9+W9+X9+Y9+Z9)))</f>
        <v/>
      </c>
      <c r="AX9" s="46" t="inlineStr">
        <is>
          <t xml:space="preserve">[LB-255 PREMIUM RE-FARE: subsidized comparable $1.785 lifted to premium on-demand floor $18.0] </t>
        </is>
      </c>
      <c r="AY9" s="46" t="inlineStr">
        <is>
          <t>MOPT 2024 statistical yearbook Cuadro 6.2</t>
        </is>
      </c>
    </row>
    <row r="10">
      <c r="A10" s="31" t="inlineStr">
        <is>
          <t>Mexico Caribbean</t>
        </is>
      </c>
      <c r="B10" s="31" t="inlineStr">
        <is>
          <t>Mexico</t>
        </is>
      </c>
      <c r="C10" s="32" t="inlineStr">
        <is>
          <t>Punta Sam ferry terminal → Terminal Martima De Isla Mujeres</t>
        </is>
      </c>
      <c r="D10" s="33" t="n">
        <v>3.35</v>
      </c>
      <c r="E10" s="27" t="n">
        <v>15.07</v>
      </c>
      <c r="F10" s="34" t="inlineStr">
        <is>
          <t>T2</t>
        </is>
      </c>
      <c r="G10" s="34" t="inlineStr">
        <is>
          <t>medium</t>
        </is>
      </c>
      <c r="H10" s="20" t="n">
        <v>1</v>
      </c>
      <c r="I10" s="35">
        <f>60*D10/cruise_kt</f>
        <v/>
      </c>
      <c r="J10" s="35">
        <f>I10+turn_min+dwell_min</f>
        <v/>
      </c>
      <c r="K10" s="36">
        <f>MIN(15,FLOOR(60*service_hr/J10,1))</f>
        <v/>
      </c>
      <c r="L10" s="36">
        <f>IF(ABS(MOD(ABS((365*mech_uptime*H10)),1)-0.5)&lt;1E-9,2*ROUND((365*mech_uptime*H10)/2,0),ROUND((365*mech_uptime*H10),0))</f>
        <v/>
      </c>
      <c r="M10" s="37">
        <f>mech_uptime</f>
        <v/>
      </c>
      <c r="N10" s="37">
        <f>revleg_sel</f>
        <v/>
      </c>
      <c r="O10" s="36">
        <f>IF(ABS(MOD(ABS((K10*L10*revleg_sel)),1)-0.5)&lt;1E-9,2*ROUND((K10*L10*revleg_sel)/2,0),ROUND((K10*L10*revleg_sel),0))</f>
        <v/>
      </c>
      <c r="P10" s="38">
        <f>load_sel</f>
        <v/>
      </c>
      <c r="Q10" s="38">
        <f>pax_cap*P10</f>
        <v/>
      </c>
      <c r="R10" s="36">
        <f>Q10*O10</f>
        <v/>
      </c>
      <c r="S10" s="39">
        <f>E10*discount</f>
        <v/>
      </c>
      <c r="T10" s="40">
        <f>S10*R10</f>
        <v/>
      </c>
      <c r="U10" s="40">
        <f>(battery/range_nm)*D10*O10*VLOOKUP(B10,country_opex,3,FALSE)</f>
        <v/>
      </c>
      <c r="V10" s="40">
        <f>VLOOKUP(B10,country_opex,2,FALSE)*crew_factor</f>
        <v/>
      </c>
      <c r="W10" s="40">
        <f>VLOOKUP(B10,country_opex,5,FALSE)</f>
        <v/>
      </c>
      <c r="X10" s="40">
        <f>maint</f>
        <v/>
      </c>
      <c r="Y10" s="40">
        <f>VLOOKUP(B10,country_opex,7,FALSE)*ins_pct</f>
        <v/>
      </c>
      <c r="Z10" s="40">
        <f>charge_berth</f>
        <v/>
      </c>
      <c r="AA10" s="40">
        <f>U10+V10+W10+X10+Y10+Z10</f>
        <v/>
      </c>
      <c r="AB10" s="40">
        <f>VLOOKUP(B10,country_opex,7,FALSE)/dep_years</f>
        <v/>
      </c>
      <c r="AC10" s="40">
        <f>T10-AA10</f>
        <v/>
      </c>
      <c r="AD10" s="37">
        <f>IF(T10=0,"",AC10/T10)</f>
        <v/>
      </c>
      <c r="AE10" s="38">
        <f>IF(AC10&lt;=0,"",VLOOKUP(B10,country_opex,7,FALSE)/AC10)</f>
        <v/>
      </c>
      <c r="AF10" s="35">
        <f>((D10*O10/diesel_nmpg)*diesel_co2pg-(battery/range_nm)*D10*O10*VLOOKUP(B10,country_opex,4,FALSE))/1000</f>
        <v/>
      </c>
      <c r="AG10" s="33" t="n">
        <v>238128</v>
      </c>
      <c r="AH10" s="34" t="inlineStr">
        <is>
          <t>T1</t>
        </is>
      </c>
      <c r="AI10" s="34" t="inlineStr">
        <is>
          <t>high</t>
        </is>
      </c>
      <c r="AJ10" s="41" t="n">
        <v>0.1</v>
      </c>
      <c r="AK10" s="36">
        <f>IF(AG10="","",AG10*AJ10)</f>
        <v/>
      </c>
      <c r="AL10" s="36">
        <f>IF(OR(AG10="",R10=0),"",MIN(IF(AT10="",9.9E+99,AT10),FLOOR(AK10/R10,1)))</f>
        <v/>
      </c>
      <c r="AM10" s="40">
        <f>IF(AL10="","",AL10*IF(ABS(MOD(ABS((T10)),1)-0.5)&lt;1E-9,2*ROUND((T10)/2,0),ROUND((T10),0)))</f>
        <v/>
      </c>
      <c r="AN10" s="38">
        <f>IF(OR(AG10="",R10=0),"",MIN(IF(AT10="",9.9E+99,AT10),AK10/R10))</f>
        <v/>
      </c>
      <c r="AO10" s="40">
        <f>IF(AN10="","",AN10*T10)</f>
        <v/>
      </c>
      <c r="AP10" s="42" t="n"/>
      <c r="AQ10" s="34" t="inlineStr">
        <is>
          <t>Grounded</t>
        </is>
      </c>
      <c r="AR10" s="43" t="n"/>
      <c r="AS10" s="43" t="n"/>
      <c r="AT10" s="44" t="n"/>
      <c r="AU10" s="45">
        <f>IF(((S10*pax_cap*load_thin*IF(ABS(MOD(ABS((K10*L10*revleg_thin)),1)-0.5)&lt;1E-9,2*ROUND((K10*L10*revleg_thin)/2,0),ROUND((K10*L10*revleg_thin),0)))-(((battery/range_nm)*D10*IF(ABS(MOD(ABS((K10*L10*revleg_thin)),1)-0.5)&lt;1E-9,2*ROUND((K10*L10*revleg_thin)/2,0),ROUND((K10*L10*revleg_thin),0))*VLOOKUP(B10,country_opex,3,FALSE))+V10+W10+X10+Y10+Z10))&lt;=0,"",VLOOKUP(B10,country_opex,7,FALSE)/((S10*pax_cap*load_thin*IF(ABS(MOD(ABS((K10*L10*revleg_thin)),1)-0.5)&lt;1E-9,2*ROUND((K10*L10*revleg_thin)/2,0),ROUND((K10*L10*revleg_thin),0)))-(((battery/range_nm)*D10*IF(ABS(MOD(ABS((K10*L10*revleg_thin)),1)-0.5)&lt;1E-9,2*ROUND((K10*L10*revleg_thin)/2,0),ROUND((K10*L10*revleg_thin),0))*VLOOKUP(B10,country_opex,3,FALSE))+V10+W10+X10+Y10+Z10)))</f>
        <v/>
      </c>
      <c r="AV10" s="45">
        <f>IF(((S10*pax_cap*load_mid*IF(ABS(MOD(ABS((K10*L10*revleg_mid)),1)-0.5)&lt;1E-9,2*ROUND((K10*L10*revleg_mid)/2,0),ROUND((K10*L10*revleg_mid),0)))-(((battery/range_nm)*D10*IF(ABS(MOD(ABS((K10*L10*revleg_mid)),1)-0.5)&lt;1E-9,2*ROUND((K10*L10*revleg_mid)/2,0),ROUND((K10*L10*revleg_mid),0))*VLOOKUP(B10,country_opex,3,FALSE))+V10+W10+X10+Y10+Z10))&lt;=0,"",VLOOKUP(B10,country_opex,7,FALSE)/((S10*pax_cap*load_mid*IF(ABS(MOD(ABS((K10*L10*revleg_mid)),1)-0.5)&lt;1E-9,2*ROUND((K10*L10*revleg_mid)/2,0),ROUND((K10*L10*revleg_mid),0)))-(((battery/range_nm)*D10*IF(ABS(MOD(ABS((K10*L10*revleg_mid)),1)-0.5)&lt;1E-9,2*ROUND((K10*L10*revleg_mid)/2,0),ROUND((K10*L10*revleg_mid),0))*VLOOKUP(B10,country_opex,3,FALSE))+V10+W10+X10+Y10+Z10)))</f>
        <v/>
      </c>
      <c r="AW10" s="45">
        <f>IF(((S10*pax_cap*load_full*IF(ABS(MOD(ABS((K10*L10*revleg_full)),1)-0.5)&lt;1E-9,2*ROUND((K10*L10*revleg_full)/2,0),ROUND((K10*L10*revleg_full),0)))-(((battery/range_nm)*D10*IF(ABS(MOD(ABS((K10*L10*revleg_full)),1)-0.5)&lt;1E-9,2*ROUND((K10*L10*revleg_full)/2,0),ROUND((K10*L10*revleg_full),0))*VLOOKUP(B10,country_opex,3,FALSE))+V10+W10+X10+Y10+Z10))&lt;=0,"",VLOOKUP(B10,country_opex,7,FALSE)/((S10*pax_cap*load_full*IF(ABS(MOD(ABS((K10*L10*revleg_full)),1)-0.5)&lt;1E-9,2*ROUND((K10*L10*revleg_full)/2,0),ROUND((K10*L10*revleg_full),0)))-(((battery/range_nm)*D10*IF(ABS(MOD(ABS((K10*L10*revleg_full)),1)-0.5)&lt;1E-9,2*ROUND((K10*L10*revleg_full)/2,0),ROUND((K10*L10*revleg_full),0))*VLOOKUP(B10,country_opex,3,FALSE))+V10+W10+X10+Y10+Z10)))</f>
        <v/>
      </c>
      <c r="AX10" s="46" t="inlineStr">
        <is>
          <t>https://ultracarga.com/ruta-punta-sam-isla-mujeres/</t>
        </is>
      </c>
      <c r="AY10" s="46" t="inlineStr">
        <is>
          <t>https://servicios.apiqroo.com.mx/estadistica/datos/informeTransbordador.php?anio=2025</t>
        </is>
      </c>
    </row>
    <row r="11">
      <c r="A11" s="31" t="inlineStr">
        <is>
          <t>Mexico Pacific</t>
        </is>
      </c>
      <c r="B11" s="31" t="inlineStr">
        <is>
          <t>Mexico</t>
        </is>
      </c>
      <c r="C11" s="32" t="inlineStr">
        <is>
          <t>Palmilla → San José Del Cabo Marina</t>
        </is>
      </c>
      <c r="D11" s="33" t="n">
        <v>3.4</v>
      </c>
      <c r="E11" s="27" t="n"/>
      <c r="F11" s="34" t="n"/>
      <c r="G11" s="34" t="n"/>
      <c r="H11" s="20" t="n">
        <v>1</v>
      </c>
      <c r="I11" s="35">
        <f>60*D11/cruise_kt</f>
        <v/>
      </c>
      <c r="J11" s="35">
        <f>I11+turn_min+dwell_min</f>
        <v/>
      </c>
      <c r="K11" s="36">
        <f>MIN(15,FLOOR(60*service_hr/J11,1))</f>
        <v/>
      </c>
      <c r="L11" s="36">
        <f>IF(ABS(MOD(ABS((365*mech_uptime*H11)),1)-0.5)&lt;1E-9,2*ROUND((365*mech_uptime*H11)/2,0),ROUND((365*mech_uptime*H11),0))</f>
        <v/>
      </c>
      <c r="M11" s="37">
        <f>mech_uptime</f>
        <v/>
      </c>
      <c r="N11" s="37">
        <f>revleg_sel</f>
        <v/>
      </c>
      <c r="O11" s="36">
        <f>IF(ABS(MOD(ABS((K11*L11*revleg_sel)),1)-0.5)&lt;1E-9,2*ROUND((K11*L11*revleg_sel)/2,0),ROUND((K11*L11*revleg_sel),0))</f>
        <v/>
      </c>
      <c r="P11" s="38">
        <f>load_sel</f>
        <v/>
      </c>
      <c r="Q11" s="38">
        <f>pax_cap*P11</f>
        <v/>
      </c>
      <c r="R11" s="36">
        <f>Q11*O11</f>
        <v/>
      </c>
      <c r="S11" s="39">
        <f>E11*discount</f>
        <v/>
      </c>
      <c r="T11" s="40">
        <f>S11*R11</f>
        <v/>
      </c>
      <c r="U11" s="40">
        <f>(battery/range_nm)*D11*O11*VLOOKUP(B11,country_opex,3,FALSE)</f>
        <v/>
      </c>
      <c r="V11" s="40">
        <f>VLOOKUP(B11,country_opex,2,FALSE)*crew_factor</f>
        <v/>
      </c>
      <c r="W11" s="40">
        <f>VLOOKUP(B11,country_opex,5,FALSE)</f>
        <v/>
      </c>
      <c r="X11" s="40">
        <f>maint</f>
        <v/>
      </c>
      <c r="Y11" s="40">
        <f>VLOOKUP(B11,country_opex,7,FALSE)*ins_pct</f>
        <v/>
      </c>
      <c r="Z11" s="40">
        <f>charge_berth</f>
        <v/>
      </c>
      <c r="AA11" s="40">
        <f>U11+V11+W11+X11+Y11+Z11</f>
        <v/>
      </c>
      <c r="AB11" s="40">
        <f>VLOOKUP(B11,country_opex,7,FALSE)/dep_years</f>
        <v/>
      </c>
      <c r="AC11" s="40">
        <f>T11-AA11</f>
        <v/>
      </c>
      <c r="AD11" s="37">
        <f>IF(T11=0,"",AC11/T11)</f>
        <v/>
      </c>
      <c r="AE11" s="38">
        <f>IF(AC11&lt;=0,"",VLOOKUP(B11,country_opex,7,FALSE)/AC11)</f>
        <v/>
      </c>
      <c r="AF11" s="35">
        <f>((D11*O11/diesel_nmpg)*diesel_co2pg-(battery/range_nm)*D11*O11*VLOOKUP(B11,country_opex,4,FALSE))/1000</f>
        <v/>
      </c>
      <c r="AG11" s="33" t="n"/>
      <c r="AH11" s="34" t="n"/>
      <c r="AI11" s="34" t="n"/>
      <c r="AJ11" s="41" t="n">
        <v>0.1</v>
      </c>
      <c r="AK11" s="36">
        <f>IF(AG11="","",AG11*AJ11)</f>
        <v/>
      </c>
      <c r="AL11" s="36">
        <f>IF(OR(AG11="",R11=0),"",MIN(IF(AT11="",9.9E+99,AT11),FLOOR(AK11/R11,1)))</f>
        <v/>
      </c>
      <c r="AM11" s="40">
        <f>IF(AL11="","",AL11*IF(ABS(MOD(ABS((T11)),1)-0.5)&lt;1E-9,2*ROUND((T11)/2,0),ROUND((T11),0)))</f>
        <v/>
      </c>
      <c r="AN11" s="38">
        <f>IF(OR(AG11="",R11=0),"",MIN(IF(AT11="",9.9E+99,AT11),AK11/R11))</f>
        <v/>
      </c>
      <c r="AO11" s="40">
        <f>IF(AN11="","",AN11*T11)</f>
        <v/>
      </c>
      <c r="AP11" s="42" t="n"/>
      <c r="AQ11" s="34" t="inlineStr">
        <is>
          <t>Estimated</t>
        </is>
      </c>
      <c r="AR11" s="43" t="n"/>
      <c r="AS11" s="43" t="n"/>
      <c r="AT11" s="44" t="n"/>
      <c r="AU11" s="45">
        <f>IF(((S11*pax_cap*load_thin*IF(ABS(MOD(ABS((K11*L11*revleg_thin)),1)-0.5)&lt;1E-9,2*ROUND((K11*L11*revleg_thin)/2,0),ROUND((K11*L11*revleg_thin),0)))-(((battery/range_nm)*D11*IF(ABS(MOD(ABS((K11*L11*revleg_thin)),1)-0.5)&lt;1E-9,2*ROUND((K11*L11*revleg_thin)/2,0),ROUND((K11*L11*revleg_thin),0))*VLOOKUP(B11,country_opex,3,FALSE))+V11+W11+X11+Y11+Z11))&lt;=0,"",VLOOKUP(B11,country_opex,7,FALSE)/((S11*pax_cap*load_thin*IF(ABS(MOD(ABS((K11*L11*revleg_thin)),1)-0.5)&lt;1E-9,2*ROUND((K11*L11*revleg_thin)/2,0),ROUND((K11*L11*revleg_thin),0)))-(((battery/range_nm)*D11*IF(ABS(MOD(ABS((K11*L11*revleg_thin)),1)-0.5)&lt;1E-9,2*ROUND((K11*L11*revleg_thin)/2,0),ROUND((K11*L11*revleg_thin),0))*VLOOKUP(B11,country_opex,3,FALSE))+V11+W11+X11+Y11+Z11)))</f>
        <v/>
      </c>
      <c r="AV11" s="45">
        <f>IF(((S11*pax_cap*load_mid*IF(ABS(MOD(ABS((K11*L11*revleg_mid)),1)-0.5)&lt;1E-9,2*ROUND((K11*L11*revleg_mid)/2,0),ROUND((K11*L11*revleg_mid),0)))-(((battery/range_nm)*D11*IF(ABS(MOD(ABS((K11*L11*revleg_mid)),1)-0.5)&lt;1E-9,2*ROUND((K11*L11*revleg_mid)/2,0),ROUND((K11*L11*revleg_mid),0))*VLOOKUP(B11,country_opex,3,FALSE))+V11+W11+X11+Y11+Z11))&lt;=0,"",VLOOKUP(B11,country_opex,7,FALSE)/((S11*pax_cap*load_mid*IF(ABS(MOD(ABS((K11*L11*revleg_mid)),1)-0.5)&lt;1E-9,2*ROUND((K11*L11*revleg_mid)/2,0),ROUND((K11*L11*revleg_mid),0)))-(((battery/range_nm)*D11*IF(ABS(MOD(ABS((K11*L11*revleg_mid)),1)-0.5)&lt;1E-9,2*ROUND((K11*L11*revleg_mid)/2,0),ROUND((K11*L11*revleg_mid),0))*VLOOKUP(B11,country_opex,3,FALSE))+V11+W11+X11+Y11+Z11)))</f>
        <v/>
      </c>
      <c r="AW11" s="45">
        <f>IF(((S11*pax_cap*load_full*IF(ABS(MOD(ABS((K11*L11*revleg_full)),1)-0.5)&lt;1E-9,2*ROUND((K11*L11*revleg_full)/2,0),ROUND((K11*L11*revleg_full),0)))-(((battery/range_nm)*D11*IF(ABS(MOD(ABS((K11*L11*revleg_full)),1)-0.5)&lt;1E-9,2*ROUND((K11*L11*revleg_full)/2,0),ROUND((K11*L11*revleg_full),0))*VLOOKUP(B11,country_opex,3,FALSE))+V11+W11+X11+Y11+Z11))&lt;=0,"",VLOOKUP(B11,country_opex,7,FALSE)/((S11*pax_cap*load_full*IF(ABS(MOD(ABS((K11*L11*revleg_full)),1)-0.5)&lt;1E-9,2*ROUND((K11*L11*revleg_full)/2,0),ROUND((K11*L11*revleg_full),0)))-(((battery/range_nm)*D11*IF(ABS(MOD(ABS((K11*L11*revleg_full)),1)-0.5)&lt;1E-9,2*ROUND((K11*L11*revleg_full)/2,0),ROUND((K11*L11*revleg_full),0))*VLOOKUP(B11,country_opex,3,FALSE))+V11+W11+X11+Y11+Z11)))</f>
        <v/>
      </c>
      <c r="AX11" s="46" t="n"/>
      <c r="AY11" s="46" t="n"/>
    </row>
    <row r="12">
      <c r="A12" s="31" t="inlineStr">
        <is>
          <t>Mexico Caribbean</t>
        </is>
      </c>
      <c r="B12" s="31" t="inlineStr">
        <is>
          <t>Mexico</t>
        </is>
      </c>
      <c r="C12" s="32" t="inlineStr">
        <is>
          <t>Terminal Maritima Puerto Juarez → Terminal Martima De Isla Mujeres</t>
        </is>
      </c>
      <c r="D12" s="33" t="n">
        <v>5.27</v>
      </c>
      <c r="E12" s="27" t="n">
        <v>15.07</v>
      </c>
      <c r="F12" s="34" t="inlineStr">
        <is>
          <t>T2</t>
        </is>
      </c>
      <c r="G12" s="34" t="inlineStr">
        <is>
          <t>med-low</t>
        </is>
      </c>
      <c r="H12" s="20" t="n">
        <v>1</v>
      </c>
      <c r="I12" s="35">
        <f>60*D12/cruise_kt</f>
        <v/>
      </c>
      <c r="J12" s="35">
        <f>I12+turn_min+dwell_min</f>
        <v/>
      </c>
      <c r="K12" s="36">
        <f>MIN(15,FLOOR(60*service_hr/J12,1))</f>
        <v/>
      </c>
      <c r="L12" s="36">
        <f>IF(ABS(MOD(ABS((365*mech_uptime*H12)),1)-0.5)&lt;1E-9,2*ROUND((365*mech_uptime*H12)/2,0),ROUND((365*mech_uptime*H12),0))</f>
        <v/>
      </c>
      <c r="M12" s="37">
        <f>mech_uptime</f>
        <v/>
      </c>
      <c r="N12" s="37">
        <f>revleg_sel</f>
        <v/>
      </c>
      <c r="O12" s="36">
        <f>IF(ABS(MOD(ABS((K12*L12*revleg_sel)),1)-0.5)&lt;1E-9,2*ROUND((K12*L12*revleg_sel)/2,0),ROUND((K12*L12*revleg_sel),0))</f>
        <v/>
      </c>
      <c r="P12" s="38">
        <f>load_sel</f>
        <v/>
      </c>
      <c r="Q12" s="38">
        <f>pax_cap*P12</f>
        <v/>
      </c>
      <c r="R12" s="36">
        <f>Q12*O12</f>
        <v/>
      </c>
      <c r="S12" s="39">
        <f>E12*discount</f>
        <v/>
      </c>
      <c r="T12" s="40">
        <f>S12*R12</f>
        <v/>
      </c>
      <c r="U12" s="40">
        <f>(battery/range_nm)*D12*O12*VLOOKUP(B12,country_opex,3,FALSE)</f>
        <v/>
      </c>
      <c r="V12" s="40">
        <f>VLOOKUP(B12,country_opex,2,FALSE)*crew_factor</f>
        <v/>
      </c>
      <c r="W12" s="40">
        <f>VLOOKUP(B12,country_opex,5,FALSE)</f>
        <v/>
      </c>
      <c r="X12" s="40">
        <f>maint</f>
        <v/>
      </c>
      <c r="Y12" s="40">
        <f>VLOOKUP(B12,country_opex,7,FALSE)*ins_pct</f>
        <v/>
      </c>
      <c r="Z12" s="40">
        <f>charge_berth</f>
        <v/>
      </c>
      <c r="AA12" s="40">
        <f>U12+V12+W12+X12+Y12+Z12</f>
        <v/>
      </c>
      <c r="AB12" s="40">
        <f>VLOOKUP(B12,country_opex,7,FALSE)/dep_years</f>
        <v/>
      </c>
      <c r="AC12" s="40">
        <f>T12-AA12</f>
        <v/>
      </c>
      <c r="AD12" s="37">
        <f>IF(T12=0,"",AC12/T12)</f>
        <v/>
      </c>
      <c r="AE12" s="38">
        <f>IF(AC12&lt;=0,"",VLOOKUP(B12,country_opex,7,FALSE)/AC12)</f>
        <v/>
      </c>
      <c r="AF12" s="35">
        <f>((D12*O12/diesel_nmpg)*diesel_co2pg-(battery/range_nm)*D12*O12*VLOOKUP(B12,country_opex,4,FALSE))/1000</f>
        <v/>
      </c>
      <c r="AG12" s="33" t="n">
        <v>5458304</v>
      </c>
      <c r="AH12" s="34" t="inlineStr">
        <is>
          <t>T1</t>
        </is>
      </c>
      <c r="AI12" s="34" t="inlineStr">
        <is>
          <t>high</t>
        </is>
      </c>
      <c r="AJ12" s="41" t="n">
        <v>0.1</v>
      </c>
      <c r="AK12" s="36">
        <f>IF(AG12="","",AG12*AJ12)</f>
        <v/>
      </c>
      <c r="AL12" s="36">
        <f>IF(OR(AG12="",R12=0),"",MIN(IF(AT12="",9.9E+99,AT12),FLOOR(AK12/R12,1)))</f>
        <v/>
      </c>
      <c r="AM12" s="40">
        <f>IF(AL12="","",AL12*IF(ABS(MOD(ABS((T12)),1)-0.5)&lt;1E-9,2*ROUND((T12)/2,0),ROUND((T12),0)))</f>
        <v/>
      </c>
      <c r="AN12" s="38">
        <f>IF(OR(AG12="",R12=0),"",MIN(IF(AT12="",9.9E+99,AT12),AK12/R12))</f>
        <v/>
      </c>
      <c r="AO12" s="40">
        <f>IF(AN12="","",AN12*T12)</f>
        <v/>
      </c>
      <c r="AP12" s="42" t="n"/>
      <c r="AQ12" s="34" t="inlineStr">
        <is>
          <t>Grounded</t>
        </is>
      </c>
      <c r="AR12" s="43" t="n"/>
      <c r="AS12" s="43" t="n"/>
      <c r="AT12" s="44" t="n"/>
      <c r="AU12" s="45">
        <f>IF(((S12*pax_cap*load_thin*IF(ABS(MOD(ABS((K12*L12*revleg_thin)),1)-0.5)&lt;1E-9,2*ROUND((K12*L12*revleg_thin)/2,0),ROUND((K12*L12*revleg_thin),0)))-(((battery/range_nm)*D12*IF(ABS(MOD(ABS((K12*L12*revleg_thin)),1)-0.5)&lt;1E-9,2*ROUND((K12*L12*revleg_thin)/2,0),ROUND((K12*L12*revleg_thin),0))*VLOOKUP(B12,country_opex,3,FALSE))+V12+W12+X12+Y12+Z12))&lt;=0,"",VLOOKUP(B12,country_opex,7,FALSE)/((S12*pax_cap*load_thin*IF(ABS(MOD(ABS((K12*L12*revleg_thin)),1)-0.5)&lt;1E-9,2*ROUND((K12*L12*revleg_thin)/2,0),ROUND((K12*L12*revleg_thin),0)))-(((battery/range_nm)*D12*IF(ABS(MOD(ABS((K12*L12*revleg_thin)),1)-0.5)&lt;1E-9,2*ROUND((K12*L12*revleg_thin)/2,0),ROUND((K12*L12*revleg_thin),0))*VLOOKUP(B12,country_opex,3,FALSE))+V12+W12+X12+Y12+Z12)))</f>
        <v/>
      </c>
      <c r="AV12" s="45">
        <f>IF(((S12*pax_cap*load_mid*IF(ABS(MOD(ABS((K12*L12*revleg_mid)),1)-0.5)&lt;1E-9,2*ROUND((K12*L12*revleg_mid)/2,0),ROUND((K12*L12*revleg_mid),0)))-(((battery/range_nm)*D12*IF(ABS(MOD(ABS((K12*L12*revleg_mid)),1)-0.5)&lt;1E-9,2*ROUND((K12*L12*revleg_mid)/2,0),ROUND((K12*L12*revleg_mid),0))*VLOOKUP(B12,country_opex,3,FALSE))+V12+W12+X12+Y12+Z12))&lt;=0,"",VLOOKUP(B12,country_opex,7,FALSE)/((S12*pax_cap*load_mid*IF(ABS(MOD(ABS((K12*L12*revleg_mid)),1)-0.5)&lt;1E-9,2*ROUND((K12*L12*revleg_mid)/2,0),ROUND((K12*L12*revleg_mid),0)))-(((battery/range_nm)*D12*IF(ABS(MOD(ABS((K12*L12*revleg_mid)),1)-0.5)&lt;1E-9,2*ROUND((K12*L12*revleg_mid)/2,0),ROUND((K12*L12*revleg_mid),0))*VLOOKUP(B12,country_opex,3,FALSE))+V12+W12+X12+Y12+Z12)))</f>
        <v/>
      </c>
      <c r="AW12" s="45">
        <f>IF(((S12*pax_cap*load_full*IF(ABS(MOD(ABS((K12*L12*revleg_full)),1)-0.5)&lt;1E-9,2*ROUND((K12*L12*revleg_full)/2,0),ROUND((K12*L12*revleg_full),0)))-(((battery/range_nm)*D12*IF(ABS(MOD(ABS((K12*L12*revleg_full)),1)-0.5)&lt;1E-9,2*ROUND((K12*L12*revleg_full)/2,0),ROUND((K12*L12*revleg_full),0))*VLOOKUP(B12,country_opex,3,FALSE))+V12+W12+X12+Y12+Z12))&lt;=0,"",VLOOKUP(B12,country_opex,7,FALSE)/((S12*pax_cap*load_full*IF(ABS(MOD(ABS((K12*L12*revleg_full)),1)-0.5)&lt;1E-9,2*ROUND((K12*L12*revleg_full)/2,0),ROUND((K12*L12*revleg_full),0)))-(((battery/range_nm)*D12*IF(ABS(MOD(ABS((K12*L12*revleg_full)),1)-0.5)&lt;1E-9,2*ROUND((K12*L12*revleg_full)/2,0),ROUND((K12*L12*revleg_full),0))*VLOOKUP(B12,country_opex,3,FALSE))+V12+W12+X12+Y12+Z12)))</f>
        <v/>
      </c>
      <c r="AX12" s="46" t="inlineStr">
        <is>
          <t>https://www.ultramarferry.com/es/tarifas</t>
        </is>
      </c>
      <c r="AY12" s="46" t="inlineStr">
        <is>
          <t>https://servicios.apiqroo.com.mx/estadistica/datos/informeRutaPasaje.php?anio=2025</t>
        </is>
      </c>
    </row>
    <row r="13">
      <c r="A13" s="31" t="inlineStr">
        <is>
          <t>Mexico Caribbean</t>
        </is>
      </c>
      <c r="B13" s="31" t="inlineStr">
        <is>
          <t>Mexico</t>
        </is>
      </c>
      <c r="C13" s="32" t="inlineStr">
        <is>
          <t>Ultramar → Terminal Martima De Isla Mujeres</t>
        </is>
      </c>
      <c r="D13" s="33" t="n">
        <v>5.49</v>
      </c>
      <c r="E13" s="27" t="n"/>
      <c r="F13" s="34" t="n"/>
      <c r="G13" s="34" t="n"/>
      <c r="H13" s="20" t="n">
        <v>1</v>
      </c>
      <c r="I13" s="35">
        <f>60*D13/cruise_kt</f>
        <v/>
      </c>
      <c r="J13" s="35">
        <f>I13+turn_min+dwell_min</f>
        <v/>
      </c>
      <c r="K13" s="36">
        <f>MIN(15,FLOOR(60*service_hr/J13,1))</f>
        <v/>
      </c>
      <c r="L13" s="36">
        <f>IF(ABS(MOD(ABS((365*mech_uptime*H13)),1)-0.5)&lt;1E-9,2*ROUND((365*mech_uptime*H13)/2,0),ROUND((365*mech_uptime*H13),0))</f>
        <v/>
      </c>
      <c r="M13" s="37">
        <f>mech_uptime</f>
        <v/>
      </c>
      <c r="N13" s="37">
        <f>revleg_sel</f>
        <v/>
      </c>
      <c r="O13" s="36">
        <f>IF(ABS(MOD(ABS((K13*L13*revleg_sel)),1)-0.5)&lt;1E-9,2*ROUND((K13*L13*revleg_sel)/2,0),ROUND((K13*L13*revleg_sel),0))</f>
        <v/>
      </c>
      <c r="P13" s="38">
        <f>load_sel</f>
        <v/>
      </c>
      <c r="Q13" s="38">
        <f>pax_cap*P13</f>
        <v/>
      </c>
      <c r="R13" s="36">
        <f>Q13*O13</f>
        <v/>
      </c>
      <c r="S13" s="39">
        <f>E13*discount</f>
        <v/>
      </c>
      <c r="T13" s="40">
        <f>S13*R13</f>
        <v/>
      </c>
      <c r="U13" s="40">
        <f>(battery/range_nm)*D13*O13*VLOOKUP(B13,country_opex,3,FALSE)</f>
        <v/>
      </c>
      <c r="V13" s="40">
        <f>VLOOKUP(B13,country_opex,2,FALSE)*crew_factor</f>
        <v/>
      </c>
      <c r="W13" s="40">
        <f>VLOOKUP(B13,country_opex,5,FALSE)</f>
        <v/>
      </c>
      <c r="X13" s="40">
        <f>maint</f>
        <v/>
      </c>
      <c r="Y13" s="40">
        <f>VLOOKUP(B13,country_opex,7,FALSE)*ins_pct</f>
        <v/>
      </c>
      <c r="Z13" s="40">
        <f>charge_berth</f>
        <v/>
      </c>
      <c r="AA13" s="40">
        <f>U13+V13+W13+X13+Y13+Z13</f>
        <v/>
      </c>
      <c r="AB13" s="40">
        <f>VLOOKUP(B13,country_opex,7,FALSE)/dep_years</f>
        <v/>
      </c>
      <c r="AC13" s="40">
        <f>T13-AA13</f>
        <v/>
      </c>
      <c r="AD13" s="37">
        <f>IF(T13=0,"",AC13/T13)</f>
        <v/>
      </c>
      <c r="AE13" s="38">
        <f>IF(AC13&lt;=0,"",VLOOKUP(B13,country_opex,7,FALSE)/AC13)</f>
        <v/>
      </c>
      <c r="AF13" s="35">
        <f>((D13*O13/diesel_nmpg)*diesel_co2pg-(battery/range_nm)*D13*O13*VLOOKUP(B13,country_opex,4,FALSE))/1000</f>
        <v/>
      </c>
      <c r="AG13" s="33" t="n"/>
      <c r="AH13" s="34" t="n"/>
      <c r="AI13" s="34" t="n"/>
      <c r="AJ13" s="41" t="n">
        <v>0.1</v>
      </c>
      <c r="AK13" s="36">
        <f>IF(AG13="","",AG13*AJ13)</f>
        <v/>
      </c>
      <c r="AL13" s="36">
        <f>IF(OR(AG13="",R13=0),"",MIN(IF(AT13="",9.9E+99,AT13),FLOOR(AK13/R13,1)))</f>
        <v/>
      </c>
      <c r="AM13" s="40">
        <f>IF(AL13="","",AL13*IF(ABS(MOD(ABS((T13)),1)-0.5)&lt;1E-9,2*ROUND((T13)/2,0),ROUND((T13),0)))</f>
        <v/>
      </c>
      <c r="AN13" s="38">
        <f>IF(OR(AG13="",R13=0),"",MIN(IF(AT13="",9.9E+99,AT13),AK13/R13))</f>
        <v/>
      </c>
      <c r="AO13" s="40">
        <f>IF(AN13="","",AN13*T13)</f>
        <v/>
      </c>
      <c r="AP13" s="42" t="n"/>
      <c r="AQ13" s="34" t="inlineStr">
        <is>
          <t>Estimated</t>
        </is>
      </c>
      <c r="AR13" s="43" t="n"/>
      <c r="AS13" s="43" t="n"/>
      <c r="AT13" s="44" t="n"/>
      <c r="AU13" s="45">
        <f>IF(((S13*pax_cap*load_thin*IF(ABS(MOD(ABS((K13*L13*revleg_thin)),1)-0.5)&lt;1E-9,2*ROUND((K13*L13*revleg_thin)/2,0),ROUND((K13*L13*revleg_thin),0)))-(((battery/range_nm)*D13*IF(ABS(MOD(ABS((K13*L13*revleg_thin)),1)-0.5)&lt;1E-9,2*ROUND((K13*L13*revleg_thin)/2,0),ROUND((K13*L13*revleg_thin),0))*VLOOKUP(B13,country_opex,3,FALSE))+V13+W13+X13+Y13+Z13))&lt;=0,"",VLOOKUP(B13,country_opex,7,FALSE)/((S13*pax_cap*load_thin*IF(ABS(MOD(ABS((K13*L13*revleg_thin)),1)-0.5)&lt;1E-9,2*ROUND((K13*L13*revleg_thin)/2,0),ROUND((K13*L13*revleg_thin),0)))-(((battery/range_nm)*D13*IF(ABS(MOD(ABS((K13*L13*revleg_thin)),1)-0.5)&lt;1E-9,2*ROUND((K13*L13*revleg_thin)/2,0),ROUND((K13*L13*revleg_thin),0))*VLOOKUP(B13,country_opex,3,FALSE))+V13+W13+X13+Y13+Z13)))</f>
        <v/>
      </c>
      <c r="AV13" s="45">
        <f>IF(((S13*pax_cap*load_mid*IF(ABS(MOD(ABS((K13*L13*revleg_mid)),1)-0.5)&lt;1E-9,2*ROUND((K13*L13*revleg_mid)/2,0),ROUND((K13*L13*revleg_mid),0)))-(((battery/range_nm)*D13*IF(ABS(MOD(ABS((K13*L13*revleg_mid)),1)-0.5)&lt;1E-9,2*ROUND((K13*L13*revleg_mid)/2,0),ROUND((K13*L13*revleg_mid),0))*VLOOKUP(B13,country_opex,3,FALSE))+V13+W13+X13+Y13+Z13))&lt;=0,"",VLOOKUP(B13,country_opex,7,FALSE)/((S13*pax_cap*load_mid*IF(ABS(MOD(ABS((K13*L13*revleg_mid)),1)-0.5)&lt;1E-9,2*ROUND((K13*L13*revleg_mid)/2,0),ROUND((K13*L13*revleg_mid),0)))-(((battery/range_nm)*D13*IF(ABS(MOD(ABS((K13*L13*revleg_mid)),1)-0.5)&lt;1E-9,2*ROUND((K13*L13*revleg_mid)/2,0),ROUND((K13*L13*revleg_mid),0))*VLOOKUP(B13,country_opex,3,FALSE))+V13+W13+X13+Y13+Z13)))</f>
        <v/>
      </c>
      <c r="AW13" s="45">
        <f>IF(((S13*pax_cap*load_full*IF(ABS(MOD(ABS((K13*L13*revleg_full)),1)-0.5)&lt;1E-9,2*ROUND((K13*L13*revleg_full)/2,0),ROUND((K13*L13*revleg_full),0)))-(((battery/range_nm)*D13*IF(ABS(MOD(ABS((K13*L13*revleg_full)),1)-0.5)&lt;1E-9,2*ROUND((K13*L13*revleg_full)/2,0),ROUND((K13*L13*revleg_full),0))*VLOOKUP(B13,country_opex,3,FALSE))+V13+W13+X13+Y13+Z13))&lt;=0,"",VLOOKUP(B13,country_opex,7,FALSE)/((S13*pax_cap*load_full*IF(ABS(MOD(ABS((K13*L13*revleg_full)),1)-0.5)&lt;1E-9,2*ROUND((K13*L13*revleg_full)/2,0),ROUND((K13*L13*revleg_full),0)))-(((battery/range_nm)*D13*IF(ABS(MOD(ABS((K13*L13*revleg_full)),1)-0.5)&lt;1E-9,2*ROUND((K13*L13*revleg_full)/2,0),ROUND((K13*L13*revleg_full),0))*VLOOKUP(B13,country_opex,3,FALSE))+V13+W13+X13+Y13+Z13)))</f>
        <v/>
      </c>
      <c r="AX13" s="46" t="n"/>
      <c r="AY13" s="46" t="n"/>
    </row>
    <row r="14">
      <c r="A14" s="31" t="inlineStr">
        <is>
          <t>Mexico Caribbean</t>
        </is>
      </c>
      <c r="B14" s="31" t="inlineStr">
        <is>
          <t>Mexico</t>
        </is>
      </c>
      <c r="C14" s="32" t="inlineStr">
        <is>
          <t>Muelle Fiscal Playa del Carmen → Passenger Ferry Ultramar Cozumel</t>
        </is>
      </c>
      <c r="D14" s="33" t="n">
        <v>9.529999999999999</v>
      </c>
      <c r="E14" s="27" t="n">
        <v>16.63</v>
      </c>
      <c r="F14" s="34" t="inlineStr">
        <is>
          <t>T2</t>
        </is>
      </c>
      <c r="G14" s="34" t="inlineStr">
        <is>
          <t>med-low</t>
        </is>
      </c>
      <c r="H14" s="20" t="n">
        <v>1</v>
      </c>
      <c r="I14" s="35">
        <f>60*D14/cruise_kt</f>
        <v/>
      </c>
      <c r="J14" s="35">
        <f>I14+turn_min+dwell_min</f>
        <v/>
      </c>
      <c r="K14" s="36">
        <f>MIN(15,FLOOR(60*service_hr/J14,1))</f>
        <v/>
      </c>
      <c r="L14" s="36">
        <f>IF(ABS(MOD(ABS((365*mech_uptime*H14)),1)-0.5)&lt;1E-9,2*ROUND((365*mech_uptime*H14)/2,0),ROUND((365*mech_uptime*H14),0))</f>
        <v/>
      </c>
      <c r="M14" s="37">
        <f>mech_uptime</f>
        <v/>
      </c>
      <c r="N14" s="37">
        <f>revleg_sel</f>
        <v/>
      </c>
      <c r="O14" s="36">
        <f>IF(ABS(MOD(ABS((K14*L14*revleg_sel)),1)-0.5)&lt;1E-9,2*ROUND((K14*L14*revleg_sel)/2,0),ROUND((K14*L14*revleg_sel),0))</f>
        <v/>
      </c>
      <c r="P14" s="38">
        <f>load_sel</f>
        <v/>
      </c>
      <c r="Q14" s="38">
        <f>pax_cap*P14</f>
        <v/>
      </c>
      <c r="R14" s="36">
        <f>Q14*O14</f>
        <v/>
      </c>
      <c r="S14" s="39">
        <f>E14*discount</f>
        <v/>
      </c>
      <c r="T14" s="40">
        <f>S14*R14</f>
        <v/>
      </c>
      <c r="U14" s="40">
        <f>(battery/range_nm)*D14*O14*VLOOKUP(B14,country_opex,3,FALSE)</f>
        <v/>
      </c>
      <c r="V14" s="40">
        <f>VLOOKUP(B14,country_opex,2,FALSE)*crew_factor</f>
        <v/>
      </c>
      <c r="W14" s="40">
        <f>VLOOKUP(B14,country_opex,5,FALSE)</f>
        <v/>
      </c>
      <c r="X14" s="40">
        <f>maint</f>
        <v/>
      </c>
      <c r="Y14" s="40">
        <f>VLOOKUP(B14,country_opex,7,FALSE)*ins_pct</f>
        <v/>
      </c>
      <c r="Z14" s="40">
        <f>charge_berth</f>
        <v/>
      </c>
      <c r="AA14" s="40">
        <f>U14+V14+W14+X14+Y14+Z14</f>
        <v/>
      </c>
      <c r="AB14" s="40">
        <f>VLOOKUP(B14,country_opex,7,FALSE)/dep_years</f>
        <v/>
      </c>
      <c r="AC14" s="40">
        <f>T14-AA14</f>
        <v/>
      </c>
      <c r="AD14" s="37">
        <f>IF(T14=0,"",AC14/T14)</f>
        <v/>
      </c>
      <c r="AE14" s="38">
        <f>IF(AC14&lt;=0,"",VLOOKUP(B14,country_opex,7,FALSE)/AC14)</f>
        <v/>
      </c>
      <c r="AF14" s="35">
        <f>((D14*O14/diesel_nmpg)*diesel_co2pg-(battery/range_nm)*D14*O14*VLOOKUP(B14,country_opex,4,FALSE))/1000</f>
        <v/>
      </c>
      <c r="AG14" s="33" t="n">
        <v>3853770</v>
      </c>
      <c r="AH14" s="34" t="inlineStr">
        <is>
          <t>T1</t>
        </is>
      </c>
      <c r="AI14" s="34" t="inlineStr">
        <is>
          <t>high</t>
        </is>
      </c>
      <c r="AJ14" s="41" t="n">
        <v>0.1</v>
      </c>
      <c r="AK14" s="36">
        <f>IF(AG14="","",AG14*AJ14)</f>
        <v/>
      </c>
      <c r="AL14" s="36">
        <f>IF(OR(AG14="",R14=0),"",MIN(IF(AT14="",9.9E+99,AT14),FLOOR(AK14/R14,1)))</f>
        <v/>
      </c>
      <c r="AM14" s="40">
        <f>IF(AL14="","",AL14*IF(ABS(MOD(ABS((T14)),1)-0.5)&lt;1E-9,2*ROUND((T14)/2,0),ROUND((T14),0)))</f>
        <v/>
      </c>
      <c r="AN14" s="38">
        <f>IF(OR(AG14="",R14=0),"",MIN(IF(AT14="",9.9E+99,AT14),AK14/R14))</f>
        <v/>
      </c>
      <c r="AO14" s="40">
        <f>IF(AN14="","",AN14*T14)</f>
        <v/>
      </c>
      <c r="AP14" s="42" t="n"/>
      <c r="AQ14" s="34" t="inlineStr">
        <is>
          <t>Grounded</t>
        </is>
      </c>
      <c r="AR14" s="43" t="n"/>
      <c r="AS14" s="43" t="n"/>
      <c r="AT14" s="44" t="n"/>
      <c r="AU14" s="45">
        <f>IF(((S14*pax_cap*load_thin*IF(ABS(MOD(ABS((K14*L14*revleg_thin)),1)-0.5)&lt;1E-9,2*ROUND((K14*L14*revleg_thin)/2,0),ROUND((K14*L14*revleg_thin),0)))-(((battery/range_nm)*D14*IF(ABS(MOD(ABS((K14*L14*revleg_thin)),1)-0.5)&lt;1E-9,2*ROUND((K14*L14*revleg_thin)/2,0),ROUND((K14*L14*revleg_thin),0))*VLOOKUP(B14,country_opex,3,FALSE))+V14+W14+X14+Y14+Z14))&lt;=0,"",VLOOKUP(B14,country_opex,7,FALSE)/((S14*pax_cap*load_thin*IF(ABS(MOD(ABS((K14*L14*revleg_thin)),1)-0.5)&lt;1E-9,2*ROUND((K14*L14*revleg_thin)/2,0),ROUND((K14*L14*revleg_thin),0)))-(((battery/range_nm)*D14*IF(ABS(MOD(ABS((K14*L14*revleg_thin)),1)-0.5)&lt;1E-9,2*ROUND((K14*L14*revleg_thin)/2,0),ROUND((K14*L14*revleg_thin),0))*VLOOKUP(B14,country_opex,3,FALSE))+V14+W14+X14+Y14+Z14)))</f>
        <v/>
      </c>
      <c r="AV14" s="45">
        <f>IF(((S14*pax_cap*load_mid*IF(ABS(MOD(ABS((K14*L14*revleg_mid)),1)-0.5)&lt;1E-9,2*ROUND((K14*L14*revleg_mid)/2,0),ROUND((K14*L14*revleg_mid),0)))-(((battery/range_nm)*D14*IF(ABS(MOD(ABS((K14*L14*revleg_mid)),1)-0.5)&lt;1E-9,2*ROUND((K14*L14*revleg_mid)/2,0),ROUND((K14*L14*revleg_mid),0))*VLOOKUP(B14,country_opex,3,FALSE))+V14+W14+X14+Y14+Z14))&lt;=0,"",VLOOKUP(B14,country_opex,7,FALSE)/((S14*pax_cap*load_mid*IF(ABS(MOD(ABS((K14*L14*revleg_mid)),1)-0.5)&lt;1E-9,2*ROUND((K14*L14*revleg_mid)/2,0),ROUND((K14*L14*revleg_mid),0)))-(((battery/range_nm)*D14*IF(ABS(MOD(ABS((K14*L14*revleg_mid)),1)-0.5)&lt;1E-9,2*ROUND((K14*L14*revleg_mid)/2,0),ROUND((K14*L14*revleg_mid),0))*VLOOKUP(B14,country_opex,3,FALSE))+V14+W14+X14+Y14+Z14)))</f>
        <v/>
      </c>
      <c r="AW14" s="45">
        <f>IF(((S14*pax_cap*load_full*IF(ABS(MOD(ABS((K14*L14*revleg_full)),1)-0.5)&lt;1E-9,2*ROUND((K14*L14*revleg_full)/2,0),ROUND((K14*L14*revleg_full),0)))-(((battery/range_nm)*D14*IF(ABS(MOD(ABS((K14*L14*revleg_full)),1)-0.5)&lt;1E-9,2*ROUND((K14*L14*revleg_full)/2,0),ROUND((K14*L14*revleg_full),0))*VLOOKUP(B14,country_opex,3,FALSE))+V14+W14+X14+Y14+Z14))&lt;=0,"",VLOOKUP(B14,country_opex,7,FALSE)/((S14*pax_cap*load_full*IF(ABS(MOD(ABS((K14*L14*revleg_full)),1)-0.5)&lt;1E-9,2*ROUND((K14*L14*revleg_full)/2,0),ROUND((K14*L14*revleg_full),0)))-(((battery/range_nm)*D14*IF(ABS(MOD(ABS((K14*L14*revleg_full)),1)-0.5)&lt;1E-9,2*ROUND((K14*L14*revleg_full)/2,0),ROUND((K14*L14*revleg_full),0))*VLOOKUP(B14,country_opex,3,FALSE))+V14+W14+X14+Y14+Z14)))</f>
        <v/>
      </c>
      <c r="AX14" s="46" t="inlineStr">
        <is>
          <t>https://www.ultramarferry.com/en/fares</t>
        </is>
      </c>
      <c r="AY14" s="46" t="inlineStr">
        <is>
          <t>https://servicios.apiqroo.com.mx/estadistica/datos/informeRutaPasaje.php?anio=2025</t>
        </is>
      </c>
    </row>
    <row r="15">
      <c r="A15" s="31" t="inlineStr">
        <is>
          <t>Mexico Pacific</t>
        </is>
      </c>
      <c r="B15" s="31" t="inlineStr">
        <is>
          <t>Mexico</t>
        </is>
      </c>
      <c r="C15" s="32" t="inlineStr">
        <is>
          <t>Puerto Vallarta &amp; Riviera Nayarit → Punta De Mita</t>
        </is>
      </c>
      <c r="D15" s="33" t="n">
        <v>9.9</v>
      </c>
      <c r="E15" s="27" t="n"/>
      <c r="F15" s="34" t="n"/>
      <c r="G15" s="34" t="n"/>
      <c r="H15" s="20" t="n">
        <v>1</v>
      </c>
      <c r="I15" s="35">
        <f>60*D15/cruise_kt</f>
        <v/>
      </c>
      <c r="J15" s="35">
        <f>I15+turn_min+dwell_min</f>
        <v/>
      </c>
      <c r="K15" s="36">
        <f>MIN(15,FLOOR(60*service_hr/J15,1))</f>
        <v/>
      </c>
      <c r="L15" s="36">
        <f>IF(ABS(MOD(ABS((365*mech_uptime*H15)),1)-0.5)&lt;1E-9,2*ROUND((365*mech_uptime*H15)/2,0),ROUND((365*mech_uptime*H15),0))</f>
        <v/>
      </c>
      <c r="M15" s="37">
        <f>mech_uptime</f>
        <v/>
      </c>
      <c r="N15" s="37">
        <f>revleg_sel</f>
        <v/>
      </c>
      <c r="O15" s="36">
        <f>IF(ABS(MOD(ABS((K15*L15*revleg_sel)),1)-0.5)&lt;1E-9,2*ROUND((K15*L15*revleg_sel)/2,0),ROUND((K15*L15*revleg_sel),0))</f>
        <v/>
      </c>
      <c r="P15" s="38">
        <f>load_sel</f>
        <v/>
      </c>
      <c r="Q15" s="38">
        <f>pax_cap*P15</f>
        <v/>
      </c>
      <c r="R15" s="36">
        <f>Q15*O15</f>
        <v/>
      </c>
      <c r="S15" s="39">
        <f>E15*discount</f>
        <v/>
      </c>
      <c r="T15" s="40">
        <f>S15*R15</f>
        <v/>
      </c>
      <c r="U15" s="40">
        <f>(battery/range_nm)*D15*O15*VLOOKUP(B15,country_opex,3,FALSE)</f>
        <v/>
      </c>
      <c r="V15" s="40">
        <f>VLOOKUP(B15,country_opex,2,FALSE)*crew_factor</f>
        <v/>
      </c>
      <c r="W15" s="40">
        <f>VLOOKUP(B15,country_opex,5,FALSE)</f>
        <v/>
      </c>
      <c r="X15" s="40">
        <f>maint</f>
        <v/>
      </c>
      <c r="Y15" s="40">
        <f>VLOOKUP(B15,country_opex,7,FALSE)*ins_pct</f>
        <v/>
      </c>
      <c r="Z15" s="40">
        <f>charge_berth</f>
        <v/>
      </c>
      <c r="AA15" s="40">
        <f>U15+V15+W15+X15+Y15+Z15</f>
        <v/>
      </c>
      <c r="AB15" s="40">
        <f>VLOOKUP(B15,country_opex,7,FALSE)/dep_years</f>
        <v/>
      </c>
      <c r="AC15" s="40">
        <f>T15-AA15</f>
        <v/>
      </c>
      <c r="AD15" s="37">
        <f>IF(T15=0,"",AC15/T15)</f>
        <v/>
      </c>
      <c r="AE15" s="38">
        <f>IF(AC15&lt;=0,"",VLOOKUP(B15,country_opex,7,FALSE)/AC15)</f>
        <v/>
      </c>
      <c r="AF15" s="35">
        <f>((D15*O15/diesel_nmpg)*diesel_co2pg-(battery/range_nm)*D15*O15*VLOOKUP(B15,country_opex,4,FALSE))/1000</f>
        <v/>
      </c>
      <c r="AG15" s="33" t="n"/>
      <c r="AH15" s="34" t="n"/>
      <c r="AI15" s="34" t="n"/>
      <c r="AJ15" s="41" t="n">
        <v>0.1</v>
      </c>
      <c r="AK15" s="36">
        <f>IF(AG15="","",AG15*AJ15)</f>
        <v/>
      </c>
      <c r="AL15" s="36">
        <f>IF(OR(AG15="",R15=0),"",MIN(IF(AT15="",9.9E+99,AT15),FLOOR(AK15/R15,1)))</f>
        <v/>
      </c>
      <c r="AM15" s="40">
        <f>IF(AL15="","",AL15*IF(ABS(MOD(ABS((T15)),1)-0.5)&lt;1E-9,2*ROUND((T15)/2,0),ROUND((T15),0)))</f>
        <v/>
      </c>
      <c r="AN15" s="38">
        <f>IF(OR(AG15="",R15=0),"",MIN(IF(AT15="",9.9E+99,AT15),AK15/R15))</f>
        <v/>
      </c>
      <c r="AO15" s="40">
        <f>IF(AN15="","",AN15*T15)</f>
        <v/>
      </c>
      <c r="AP15" s="42" t="n"/>
      <c r="AQ15" s="34" t="inlineStr">
        <is>
          <t>Estimated</t>
        </is>
      </c>
      <c r="AR15" s="43" t="n"/>
      <c r="AS15" s="43" t="n"/>
      <c r="AT15" s="44" t="n"/>
      <c r="AU15" s="45">
        <f>IF(((S15*pax_cap*load_thin*IF(ABS(MOD(ABS((K15*L15*revleg_thin)),1)-0.5)&lt;1E-9,2*ROUND((K15*L15*revleg_thin)/2,0),ROUND((K15*L15*revleg_thin),0)))-(((battery/range_nm)*D15*IF(ABS(MOD(ABS((K15*L15*revleg_thin)),1)-0.5)&lt;1E-9,2*ROUND((K15*L15*revleg_thin)/2,0),ROUND((K15*L15*revleg_thin),0))*VLOOKUP(B15,country_opex,3,FALSE))+V15+W15+X15+Y15+Z15))&lt;=0,"",VLOOKUP(B15,country_opex,7,FALSE)/((S15*pax_cap*load_thin*IF(ABS(MOD(ABS((K15*L15*revleg_thin)),1)-0.5)&lt;1E-9,2*ROUND((K15*L15*revleg_thin)/2,0),ROUND((K15*L15*revleg_thin),0)))-(((battery/range_nm)*D15*IF(ABS(MOD(ABS((K15*L15*revleg_thin)),1)-0.5)&lt;1E-9,2*ROUND((K15*L15*revleg_thin)/2,0),ROUND((K15*L15*revleg_thin),0))*VLOOKUP(B15,country_opex,3,FALSE))+V15+W15+X15+Y15+Z15)))</f>
        <v/>
      </c>
      <c r="AV15" s="45">
        <f>IF(((S15*pax_cap*load_mid*IF(ABS(MOD(ABS((K15*L15*revleg_mid)),1)-0.5)&lt;1E-9,2*ROUND((K15*L15*revleg_mid)/2,0),ROUND((K15*L15*revleg_mid),0)))-(((battery/range_nm)*D15*IF(ABS(MOD(ABS((K15*L15*revleg_mid)),1)-0.5)&lt;1E-9,2*ROUND((K15*L15*revleg_mid)/2,0),ROUND((K15*L15*revleg_mid),0))*VLOOKUP(B15,country_opex,3,FALSE))+V15+W15+X15+Y15+Z15))&lt;=0,"",VLOOKUP(B15,country_opex,7,FALSE)/((S15*pax_cap*load_mid*IF(ABS(MOD(ABS((K15*L15*revleg_mid)),1)-0.5)&lt;1E-9,2*ROUND((K15*L15*revleg_mid)/2,0),ROUND((K15*L15*revleg_mid),0)))-(((battery/range_nm)*D15*IF(ABS(MOD(ABS((K15*L15*revleg_mid)),1)-0.5)&lt;1E-9,2*ROUND((K15*L15*revleg_mid)/2,0),ROUND((K15*L15*revleg_mid),0))*VLOOKUP(B15,country_opex,3,FALSE))+V15+W15+X15+Y15+Z15)))</f>
        <v/>
      </c>
      <c r="AW15" s="45">
        <f>IF(((S15*pax_cap*load_full*IF(ABS(MOD(ABS((K15*L15*revleg_full)),1)-0.5)&lt;1E-9,2*ROUND((K15*L15*revleg_full)/2,0),ROUND((K15*L15*revleg_full),0)))-(((battery/range_nm)*D15*IF(ABS(MOD(ABS((K15*L15*revleg_full)),1)-0.5)&lt;1E-9,2*ROUND((K15*L15*revleg_full)/2,0),ROUND((K15*L15*revleg_full),0))*VLOOKUP(B15,country_opex,3,FALSE))+V15+W15+X15+Y15+Z15))&lt;=0,"",VLOOKUP(B15,country_opex,7,FALSE)/((S15*pax_cap*load_full*IF(ABS(MOD(ABS((K15*L15*revleg_full)),1)-0.5)&lt;1E-9,2*ROUND((K15*L15*revleg_full)/2,0),ROUND((K15*L15*revleg_full),0)))-(((battery/range_nm)*D15*IF(ABS(MOD(ABS((K15*L15*revleg_full)),1)-0.5)&lt;1E-9,2*ROUND((K15*L15*revleg_full)/2,0),ROUND((K15*L15*revleg_full),0))*VLOOKUP(B15,country_opex,3,FALSE))+V15+W15+X15+Y15+Z15)))</f>
        <v/>
      </c>
      <c r="AX15" s="46" t="n"/>
      <c r="AY15" s="46" t="n"/>
    </row>
    <row r="16">
      <c r="A16" s="31" t="inlineStr">
        <is>
          <t>Mexico Pacific</t>
        </is>
      </c>
      <c r="B16" s="31" t="inlineStr">
        <is>
          <t>Mexico</t>
        </is>
      </c>
      <c r="C16" s="32" t="inlineStr">
        <is>
          <t>Puerto Vallarta &amp; Riviera Nayarit → Yelapa</t>
        </is>
      </c>
      <c r="D16" s="33" t="n">
        <v>14.5</v>
      </c>
      <c r="E16" s="27" t="n">
        <v>18.19</v>
      </c>
      <c r="F16" s="34" t="inlineStr">
        <is>
          <t>T2</t>
        </is>
      </c>
      <c r="G16" s="34" t="inlineStr">
        <is>
          <t>med</t>
        </is>
      </c>
      <c r="H16" s="20" t="n">
        <v>1</v>
      </c>
      <c r="I16" s="35">
        <f>60*D16/cruise_kt</f>
        <v/>
      </c>
      <c r="J16" s="35">
        <f>I16+turn_min+dwell_min</f>
        <v/>
      </c>
      <c r="K16" s="36">
        <f>MIN(15,FLOOR(60*service_hr/J16,1))</f>
        <v/>
      </c>
      <c r="L16" s="36">
        <f>IF(ABS(MOD(ABS((365*mech_uptime*H16)),1)-0.5)&lt;1E-9,2*ROUND((365*mech_uptime*H16)/2,0),ROUND((365*mech_uptime*H16),0))</f>
        <v/>
      </c>
      <c r="M16" s="37">
        <f>mech_uptime</f>
        <v/>
      </c>
      <c r="N16" s="37">
        <f>revleg_sel</f>
        <v/>
      </c>
      <c r="O16" s="36">
        <f>IF(ABS(MOD(ABS((K16*L16*revleg_sel)),1)-0.5)&lt;1E-9,2*ROUND((K16*L16*revleg_sel)/2,0),ROUND((K16*L16*revleg_sel),0))</f>
        <v/>
      </c>
      <c r="P16" s="38">
        <f>load_sel</f>
        <v/>
      </c>
      <c r="Q16" s="38">
        <f>pax_cap*P16</f>
        <v/>
      </c>
      <c r="R16" s="36">
        <f>Q16*O16</f>
        <v/>
      </c>
      <c r="S16" s="39">
        <f>E16*discount</f>
        <v/>
      </c>
      <c r="T16" s="40">
        <f>S16*R16</f>
        <v/>
      </c>
      <c r="U16" s="40">
        <f>(battery/range_nm)*D16*O16*VLOOKUP(B16,country_opex,3,FALSE)</f>
        <v/>
      </c>
      <c r="V16" s="40">
        <f>VLOOKUP(B16,country_opex,2,FALSE)*crew_factor</f>
        <v/>
      </c>
      <c r="W16" s="40">
        <f>VLOOKUP(B16,country_opex,5,FALSE)</f>
        <v/>
      </c>
      <c r="X16" s="40">
        <f>maint</f>
        <v/>
      </c>
      <c r="Y16" s="40">
        <f>VLOOKUP(B16,country_opex,7,FALSE)*ins_pct</f>
        <v/>
      </c>
      <c r="Z16" s="40">
        <f>charge_berth</f>
        <v/>
      </c>
      <c r="AA16" s="40">
        <f>U16+V16+W16+X16+Y16+Z16</f>
        <v/>
      </c>
      <c r="AB16" s="40">
        <f>VLOOKUP(B16,country_opex,7,FALSE)/dep_years</f>
        <v/>
      </c>
      <c r="AC16" s="40">
        <f>T16-AA16</f>
        <v/>
      </c>
      <c r="AD16" s="37">
        <f>IF(T16=0,"",AC16/T16)</f>
        <v/>
      </c>
      <c r="AE16" s="38">
        <f>IF(AC16&lt;=0,"",VLOOKUP(B16,country_opex,7,FALSE)/AC16)</f>
        <v/>
      </c>
      <c r="AF16" s="35">
        <f>((D16*O16/diesel_nmpg)*diesel_co2pg-(battery/range_nm)*D16*O16*VLOOKUP(B16,country_opex,4,FALSE))/1000</f>
        <v/>
      </c>
      <c r="AG16" s="33" t="n"/>
      <c r="AH16" s="34" t="n"/>
      <c r="AI16" s="34" t="n"/>
      <c r="AJ16" s="41" t="n">
        <v>0.1</v>
      </c>
      <c r="AK16" s="36">
        <f>IF(AG16="","",AG16*AJ16)</f>
        <v/>
      </c>
      <c r="AL16" s="36">
        <f>IF(OR(AG16="",R16=0),"",MIN(IF(AT16="",9.9E+99,AT16),FLOOR(AK16/R16,1)))</f>
        <v/>
      </c>
      <c r="AM16" s="40">
        <f>IF(AL16="","",AL16*IF(ABS(MOD(ABS((T16)),1)-0.5)&lt;1E-9,2*ROUND((T16)/2,0),ROUND((T16),0)))</f>
        <v/>
      </c>
      <c r="AN16" s="38">
        <f>IF(OR(AG16="",R16=0),"",MIN(IF(AT16="",9.9E+99,AT16),AK16/R16))</f>
        <v/>
      </c>
      <c r="AO16" s="40">
        <f>IF(AN16="","",AN16*T16)</f>
        <v/>
      </c>
      <c r="AP16" s="42" t="n"/>
      <c r="AQ16" s="34" t="inlineStr">
        <is>
          <t>Estimated</t>
        </is>
      </c>
      <c r="AR16" s="43" t="n"/>
      <c r="AS16" s="43" t="n"/>
      <c r="AT16" s="44" t="n"/>
      <c r="AU16" s="45">
        <f>IF(((S16*pax_cap*load_thin*IF(ABS(MOD(ABS((K16*L16*revleg_thin)),1)-0.5)&lt;1E-9,2*ROUND((K16*L16*revleg_thin)/2,0),ROUND((K16*L16*revleg_thin),0)))-(((battery/range_nm)*D16*IF(ABS(MOD(ABS((K16*L16*revleg_thin)),1)-0.5)&lt;1E-9,2*ROUND((K16*L16*revleg_thin)/2,0),ROUND((K16*L16*revleg_thin),0))*VLOOKUP(B16,country_opex,3,FALSE))+V16+W16+X16+Y16+Z16))&lt;=0,"",VLOOKUP(B16,country_opex,7,FALSE)/((S16*pax_cap*load_thin*IF(ABS(MOD(ABS((K16*L16*revleg_thin)),1)-0.5)&lt;1E-9,2*ROUND((K16*L16*revleg_thin)/2,0),ROUND((K16*L16*revleg_thin),0)))-(((battery/range_nm)*D16*IF(ABS(MOD(ABS((K16*L16*revleg_thin)),1)-0.5)&lt;1E-9,2*ROUND((K16*L16*revleg_thin)/2,0),ROUND((K16*L16*revleg_thin),0))*VLOOKUP(B16,country_opex,3,FALSE))+V16+W16+X16+Y16+Z16)))</f>
        <v/>
      </c>
      <c r="AV16" s="45">
        <f>IF(((S16*pax_cap*load_mid*IF(ABS(MOD(ABS((K16*L16*revleg_mid)),1)-0.5)&lt;1E-9,2*ROUND((K16*L16*revleg_mid)/2,0),ROUND((K16*L16*revleg_mid),0)))-(((battery/range_nm)*D16*IF(ABS(MOD(ABS((K16*L16*revleg_mid)),1)-0.5)&lt;1E-9,2*ROUND((K16*L16*revleg_mid)/2,0),ROUND((K16*L16*revleg_mid),0))*VLOOKUP(B16,country_opex,3,FALSE))+V16+W16+X16+Y16+Z16))&lt;=0,"",VLOOKUP(B16,country_opex,7,FALSE)/((S16*pax_cap*load_mid*IF(ABS(MOD(ABS((K16*L16*revleg_mid)),1)-0.5)&lt;1E-9,2*ROUND((K16*L16*revleg_mid)/2,0),ROUND((K16*L16*revleg_mid),0)))-(((battery/range_nm)*D16*IF(ABS(MOD(ABS((K16*L16*revleg_mid)),1)-0.5)&lt;1E-9,2*ROUND((K16*L16*revleg_mid)/2,0),ROUND((K16*L16*revleg_mid),0))*VLOOKUP(B16,country_opex,3,FALSE))+V16+W16+X16+Y16+Z16)))</f>
        <v/>
      </c>
      <c r="AW16" s="45">
        <f>IF(((S16*pax_cap*load_full*IF(ABS(MOD(ABS((K16*L16*revleg_full)),1)-0.5)&lt;1E-9,2*ROUND((K16*L16*revleg_full)/2,0),ROUND((K16*L16*revleg_full),0)))-(((battery/range_nm)*D16*IF(ABS(MOD(ABS((K16*L16*revleg_full)),1)-0.5)&lt;1E-9,2*ROUND((K16*L16*revleg_full)/2,0),ROUND((K16*L16*revleg_full),0))*VLOOKUP(B16,country_opex,3,FALSE))+V16+W16+X16+Y16+Z16))&lt;=0,"",VLOOKUP(B16,country_opex,7,FALSE)/((S16*pax_cap*load_full*IF(ABS(MOD(ABS((K16*L16*revleg_full)),1)-0.5)&lt;1E-9,2*ROUND((K16*L16*revleg_full)/2,0),ROUND((K16*L16*revleg_full),0)))-(((battery/range_nm)*D16*IF(ABS(MOD(ABS((K16*L16*revleg_full)),1)-0.5)&lt;1E-9,2*ROUND((K16*L16*revleg_full)/2,0),ROUND((K16*L16*revleg_full),0))*VLOOKUP(B16,country_opex,3,FALSE))+V16+W16+X16+Y16+Z16)))</f>
        <v/>
      </c>
      <c r="AX16" s="46" t="inlineStr">
        <is>
          <t>https://www.yelapa.info/transport1.html</t>
        </is>
      </c>
      <c r="AY16" s="46" t="n"/>
    </row>
    <row r="17">
      <c r="A17" s="31" t="inlineStr">
        <is>
          <t>Mexico Pacific</t>
        </is>
      </c>
      <c r="B17" s="31" t="inlineStr">
        <is>
          <t>Mexico</t>
        </is>
      </c>
      <c r="C17" s="32" t="inlineStr">
        <is>
          <t>Cabo San Lucas Marina → Los Cabos, Baja Sur</t>
        </is>
      </c>
      <c r="D17" s="33" t="n">
        <v>17</v>
      </c>
      <c r="E17" s="27" t="n"/>
      <c r="F17" s="34" t="n"/>
      <c r="G17" s="34" t="n"/>
      <c r="H17" s="20" t="n">
        <v>1</v>
      </c>
      <c r="I17" s="35">
        <f>60*D17/cruise_kt</f>
        <v/>
      </c>
      <c r="J17" s="35">
        <f>I17+turn_min+dwell_min</f>
        <v/>
      </c>
      <c r="K17" s="36">
        <f>MIN(15,FLOOR(60*service_hr/J17,1))</f>
        <v/>
      </c>
      <c r="L17" s="36">
        <f>IF(ABS(MOD(ABS((365*mech_uptime*H17)),1)-0.5)&lt;1E-9,2*ROUND((365*mech_uptime*H17)/2,0),ROUND((365*mech_uptime*H17),0))</f>
        <v/>
      </c>
      <c r="M17" s="37">
        <f>mech_uptime</f>
        <v/>
      </c>
      <c r="N17" s="37">
        <f>revleg_sel</f>
        <v/>
      </c>
      <c r="O17" s="36">
        <f>IF(ABS(MOD(ABS((K17*L17*revleg_sel)),1)-0.5)&lt;1E-9,2*ROUND((K17*L17*revleg_sel)/2,0),ROUND((K17*L17*revleg_sel),0))</f>
        <v/>
      </c>
      <c r="P17" s="38">
        <f>load_sel</f>
        <v/>
      </c>
      <c r="Q17" s="38">
        <f>pax_cap*P17</f>
        <v/>
      </c>
      <c r="R17" s="36">
        <f>Q17*O17</f>
        <v/>
      </c>
      <c r="S17" s="39">
        <f>E17*discount</f>
        <v/>
      </c>
      <c r="T17" s="40">
        <f>S17*R17</f>
        <v/>
      </c>
      <c r="U17" s="40">
        <f>(battery/range_nm)*D17*O17*VLOOKUP(B17,country_opex,3,FALSE)</f>
        <v/>
      </c>
      <c r="V17" s="40">
        <f>VLOOKUP(B17,country_opex,2,FALSE)*crew_factor</f>
        <v/>
      </c>
      <c r="W17" s="40">
        <f>VLOOKUP(B17,country_opex,5,FALSE)</f>
        <v/>
      </c>
      <c r="X17" s="40">
        <f>maint</f>
        <v/>
      </c>
      <c r="Y17" s="40">
        <f>VLOOKUP(B17,country_opex,7,FALSE)*ins_pct</f>
        <v/>
      </c>
      <c r="Z17" s="40">
        <f>charge_berth</f>
        <v/>
      </c>
      <c r="AA17" s="40">
        <f>U17+V17+W17+X17+Y17+Z17</f>
        <v/>
      </c>
      <c r="AB17" s="40">
        <f>VLOOKUP(B17,country_opex,7,FALSE)/dep_years</f>
        <v/>
      </c>
      <c r="AC17" s="40">
        <f>T17-AA17</f>
        <v/>
      </c>
      <c r="AD17" s="37">
        <f>IF(T17=0,"",AC17/T17)</f>
        <v/>
      </c>
      <c r="AE17" s="38">
        <f>IF(AC17&lt;=0,"",VLOOKUP(B17,country_opex,7,FALSE)/AC17)</f>
        <v/>
      </c>
      <c r="AF17" s="35">
        <f>((D17*O17/diesel_nmpg)*diesel_co2pg-(battery/range_nm)*D17*O17*VLOOKUP(B17,country_opex,4,FALSE))/1000</f>
        <v/>
      </c>
      <c r="AG17" s="33" t="n"/>
      <c r="AH17" s="34" t="n"/>
      <c r="AI17" s="34" t="n"/>
      <c r="AJ17" s="41" t="n">
        <v>0.1</v>
      </c>
      <c r="AK17" s="36">
        <f>IF(AG17="","",AG17*AJ17)</f>
        <v/>
      </c>
      <c r="AL17" s="36">
        <f>IF(OR(AG17="",R17=0),"",MIN(IF(AT17="",9.9E+99,AT17),FLOOR(AK17/R17,1)))</f>
        <v/>
      </c>
      <c r="AM17" s="40">
        <f>IF(AL17="","",AL17*IF(ABS(MOD(ABS((T17)),1)-0.5)&lt;1E-9,2*ROUND((T17)/2,0),ROUND((T17),0)))</f>
        <v/>
      </c>
      <c r="AN17" s="38">
        <f>IF(OR(AG17="",R17=0),"",MIN(IF(AT17="",9.9E+99,AT17),AK17/R17))</f>
        <v/>
      </c>
      <c r="AO17" s="40">
        <f>IF(AN17="","",AN17*T17)</f>
        <v/>
      </c>
      <c r="AP17" s="42" t="n"/>
      <c r="AQ17" s="34" t="inlineStr">
        <is>
          <t>Estimated</t>
        </is>
      </c>
      <c r="AR17" s="43" t="n"/>
      <c r="AS17" s="43" t="n"/>
      <c r="AT17" s="44" t="n"/>
      <c r="AU17" s="45">
        <f>IF(((S17*pax_cap*load_thin*IF(ABS(MOD(ABS((K17*L17*revleg_thin)),1)-0.5)&lt;1E-9,2*ROUND((K17*L17*revleg_thin)/2,0),ROUND((K17*L17*revleg_thin),0)))-(((battery/range_nm)*D17*IF(ABS(MOD(ABS((K17*L17*revleg_thin)),1)-0.5)&lt;1E-9,2*ROUND((K17*L17*revleg_thin)/2,0),ROUND((K17*L17*revleg_thin),0))*VLOOKUP(B17,country_opex,3,FALSE))+V17+W17+X17+Y17+Z17))&lt;=0,"",VLOOKUP(B17,country_opex,7,FALSE)/((S17*pax_cap*load_thin*IF(ABS(MOD(ABS((K17*L17*revleg_thin)),1)-0.5)&lt;1E-9,2*ROUND((K17*L17*revleg_thin)/2,0),ROUND((K17*L17*revleg_thin),0)))-(((battery/range_nm)*D17*IF(ABS(MOD(ABS((K17*L17*revleg_thin)),1)-0.5)&lt;1E-9,2*ROUND((K17*L17*revleg_thin)/2,0),ROUND((K17*L17*revleg_thin),0))*VLOOKUP(B17,country_opex,3,FALSE))+V17+W17+X17+Y17+Z17)))</f>
        <v/>
      </c>
      <c r="AV17" s="45">
        <f>IF(((S17*pax_cap*load_mid*IF(ABS(MOD(ABS((K17*L17*revleg_mid)),1)-0.5)&lt;1E-9,2*ROUND((K17*L17*revleg_mid)/2,0),ROUND((K17*L17*revleg_mid),0)))-(((battery/range_nm)*D17*IF(ABS(MOD(ABS((K17*L17*revleg_mid)),1)-0.5)&lt;1E-9,2*ROUND((K17*L17*revleg_mid)/2,0),ROUND((K17*L17*revleg_mid),0))*VLOOKUP(B17,country_opex,3,FALSE))+V17+W17+X17+Y17+Z17))&lt;=0,"",VLOOKUP(B17,country_opex,7,FALSE)/((S17*pax_cap*load_mid*IF(ABS(MOD(ABS((K17*L17*revleg_mid)),1)-0.5)&lt;1E-9,2*ROUND((K17*L17*revleg_mid)/2,0),ROUND((K17*L17*revleg_mid),0)))-(((battery/range_nm)*D17*IF(ABS(MOD(ABS((K17*L17*revleg_mid)),1)-0.5)&lt;1E-9,2*ROUND((K17*L17*revleg_mid)/2,0),ROUND((K17*L17*revleg_mid),0))*VLOOKUP(B17,country_opex,3,FALSE))+V17+W17+X17+Y17+Z17)))</f>
        <v/>
      </c>
      <c r="AW17" s="45">
        <f>IF(((S17*pax_cap*load_full*IF(ABS(MOD(ABS((K17*L17*revleg_full)),1)-0.5)&lt;1E-9,2*ROUND((K17*L17*revleg_full)/2,0),ROUND((K17*L17*revleg_full),0)))-(((battery/range_nm)*D17*IF(ABS(MOD(ABS((K17*L17*revleg_full)),1)-0.5)&lt;1E-9,2*ROUND((K17*L17*revleg_full)/2,0),ROUND((K17*L17*revleg_full),0))*VLOOKUP(B17,country_opex,3,FALSE))+V17+W17+X17+Y17+Z17))&lt;=0,"",VLOOKUP(B17,country_opex,7,FALSE)/((S17*pax_cap*load_full*IF(ABS(MOD(ABS((K17*L17*revleg_full)),1)-0.5)&lt;1E-9,2*ROUND((K17*L17*revleg_full)/2,0),ROUND((K17*L17*revleg_full),0)))-(((battery/range_nm)*D17*IF(ABS(MOD(ABS((K17*L17*revleg_full)),1)-0.5)&lt;1E-9,2*ROUND((K17*L17*revleg_full)/2,0),ROUND((K17*L17*revleg_full),0))*VLOOKUP(B17,country_opex,3,FALSE))+V17+W17+X17+Y17+Z17)))</f>
        <v/>
      </c>
      <c r="AX17" s="46" t="n"/>
      <c r="AY17" s="46" t="n"/>
    </row>
    <row r="18">
      <c r="A18" s="47" t="inlineStr">
        <is>
          <t>TOTAL / median</t>
        </is>
      </c>
      <c r="T18" s="48">
        <f>SUM(T4:T17)</f>
        <v/>
      </c>
      <c r="AC18" s="48">
        <f>SUM(AC4:AC17)</f>
        <v/>
      </c>
      <c r="AD18" s="49">
        <f>IF(T18=0,"",AC18/T18)</f>
        <v/>
      </c>
      <c r="AL18" s="50">
        <f>SUM(AL4:AL17)</f>
        <v/>
      </c>
      <c r="AM18" s="48">
        <f>SUM(AM4:AM17)</f>
        <v/>
      </c>
    </row>
    <row r="20">
      <c r="A20" s="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21">
      <c r="A21" s="25" t="inlineStr">
        <is>
          <t>Market</t>
        </is>
      </c>
      <c r="B21" s="25" t="inlineStr">
        <is>
          <t>Fleet basis</t>
        </is>
      </c>
      <c r="C21" s="25" t="inlineStr">
        <is>
          <t>Raw vessels (sum)</t>
        </is>
      </c>
      <c r="D21" s="25" t="inlineStr">
        <is>
          <t>Fleet (rounded once)</t>
        </is>
      </c>
      <c r="E21" s="25" t="inlineStr">
        <is>
          <t>Market rev/yr (raw sum)</t>
        </is>
      </c>
    </row>
    <row r="22">
      <c r="A22" s="26" t="inlineStr">
        <is>
          <t>Brazil</t>
        </is>
      </c>
      <c r="B22" s="14" t="inlineStr">
        <is>
          <t>per_corridor_floor</t>
        </is>
      </c>
      <c r="C22" s="14" t="inlineStr">
        <is>
          <t>—</t>
        </is>
      </c>
      <c r="D22" s="51">
        <f>SUMIFS(AL4:AL17,A4:A17,"Brazil",AP4:AP17,"=",AQ4:AQ17,"Grounded")</f>
        <v/>
      </c>
      <c r="E22" s="52">
        <f>SUMIFS(AM4:AM17,A4:A17,"Brazil",AP4:AP17,"=",AQ4:AQ17,"Grounded")</f>
        <v/>
      </c>
    </row>
    <row r="23">
      <c r="A23" s="26" t="inlineStr">
        <is>
          <t>Costa Rica</t>
        </is>
      </c>
      <c r="B23" s="14" t="inlineStr">
        <is>
          <t>per_corridor_floor</t>
        </is>
      </c>
      <c r="C23" s="14" t="inlineStr">
        <is>
          <t>—</t>
        </is>
      </c>
      <c r="D23" s="51">
        <f>SUMIFS(AL4:AL17,A4:A17,"Costa Rica",AP4:AP17,"=",AQ4:AQ17,"Grounded")</f>
        <v/>
      </c>
      <c r="E23" s="52">
        <f>SUMIFS(AM4:AM17,A4:A17,"Costa Rica",AP4:AP17,"=",AQ4:AQ17,"Grounded")</f>
        <v/>
      </c>
    </row>
    <row r="24">
      <c r="A24" s="26" t="inlineStr">
        <is>
          <t>Mexico Caribbean</t>
        </is>
      </c>
      <c r="B24" s="14" t="inlineStr">
        <is>
          <t>grounded</t>
        </is>
      </c>
      <c r="C24" s="14" t="inlineStr">
        <is>
          <t>—</t>
        </is>
      </c>
      <c r="D24" s="51">
        <f>SUMIFS(AL4:AL17,A4:A17,"Mexico Caribbean",AP4:AP17,"=",AQ4:AQ17,"Grounded")</f>
        <v/>
      </c>
      <c r="E24" s="52">
        <f>SUMIFS(AM4:AM17,A4:A17,"Mexico Caribbean",AP4:AP17,"=",AQ4:AQ17,"Grounded")</f>
        <v/>
      </c>
    </row>
    <row r="25">
      <c r="A25" s="26" t="inlineStr">
        <is>
          <t>Mexico Pacific</t>
        </is>
      </c>
      <c r="B25" s="14" t="inlineStr">
        <is>
          <t>grounded</t>
        </is>
      </c>
      <c r="C25" s="14" t="inlineStr">
        <is>
          <t>—</t>
        </is>
      </c>
      <c r="D25" s="51">
        <f>SUMIFS(AL4:AL17,A4:A17,"Mexico Pacific",AP4:AP17,"=",AQ4:AQ17,"Grounded")</f>
        <v/>
      </c>
      <c r="E25" s="52">
        <f>SUMIFS(AM4:AM17,A4:A17,"Mexico Pacific",AP4:AP17,"=",AQ4:AQ17,"Grounded")</f>
        <v/>
      </c>
    </row>
    <row r="26">
      <c r="A26" s="47" t="inlineStr">
        <is>
          <t>GROUNDED FLOOR (PUBLISHED)</t>
        </is>
      </c>
      <c r="D26" s="50">
        <f>SUM(D22:D25)</f>
        <v/>
      </c>
      <c r="E26" s="48">
        <f>SUM(E22:E25)</f>
        <v/>
      </c>
    </row>
    <row r="27">
      <c r="A27" s="21" t="inlineStr">
        <is>
          <t>ESTIMATED DEMAND (country-median cascade; held OUT of grounded floor)</t>
        </is>
      </c>
      <c r="D27" s="53">
        <f>SUMIF(AQ4:AQ17,"Estimated",AL4:AL17)</f>
        <v/>
      </c>
      <c r="E27" s="54">
        <f>SUMIF(AQ4:AQ17,"Estimated",AM4:AM17)</f>
        <v/>
      </c>
    </row>
  </sheetData>
  <mergeCells count="2">
    <mergeCell ref="A20:L20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9" t="inlineStr">
        <is>
          <t>Market sizing — how the grounded floor builds into SOM → SAM → TAM</t>
        </is>
      </c>
    </row>
    <row r="3">
      <c r="A3" s="10" t="inlineStr">
        <is>
          <t>Growth multipliers (bands: low / MID / high)</t>
        </is>
      </c>
    </row>
    <row r="4">
      <c r="A4" s="11" t="inlineStr">
        <is>
          <t>Multiplier</t>
        </is>
      </c>
      <c r="B4" s="11" t="inlineStr">
        <is>
          <t>Low</t>
        </is>
      </c>
      <c r="C4" s="11" t="inlineStr">
        <is>
          <t>MID</t>
        </is>
      </c>
      <c r="D4" s="11" t="inlineStr">
        <is>
          <t>High</t>
        </is>
      </c>
      <c r="E4" s="11" t="inlineStr">
        <is>
          <t>What it means</t>
        </is>
      </c>
    </row>
    <row r="5">
      <c r="A5" s="26" t="inlineStr">
        <is>
          <t>Induced demand (k)</t>
        </is>
      </c>
      <c r="B5" s="20" t="n">
        <v>1.3</v>
      </c>
      <c r="C5" s="20" t="n">
        <v>1.8</v>
      </c>
      <c r="D5" s="20" t="n">
        <v>2.5</v>
      </c>
      <c r="E5" s="15" t="inlineStr">
        <is>
          <t>Faster/quieter product grows the crossing market beyond today's trips.</t>
        </is>
      </c>
    </row>
    <row r="6">
      <c r="A6" s="26" t="inlineStr">
        <is>
          <t>Mature capture rate (c)</t>
        </is>
      </c>
      <c r="B6" s="41" t="n">
        <v>0.15</v>
      </c>
      <c r="C6" s="41" t="n">
        <v>0.25</v>
      </c>
      <c r="D6" s="41" t="n">
        <v>0.4</v>
      </c>
      <c r="E6" s="15" t="inlineStr">
        <is>
          <t>Navier's corridor share once it is the established premium default (vs 10% floor).</t>
        </is>
      </c>
    </row>
    <row r="7">
      <c r="A7" s="26" t="inlineStr">
        <is>
          <t>Journey GMV multiple (m)</t>
        </is>
      </c>
      <c r="B7" s="20" t="n">
        <v>2</v>
      </c>
      <c r="C7" s="20" t="n">
        <v>3</v>
      </c>
      <c r="D7" s="20" t="n">
        <v>4</v>
      </c>
      <c r="E7" s="15" t="inlineStr">
        <is>
          <t>Whole island-journey wallet (transport+food+stay+experiences) as a multiple of the boat fare.</t>
        </is>
      </c>
    </row>
    <row r="8">
      <c r="A8" s="26" t="inlineStr">
        <is>
          <t>Greenfield network factor (g)</t>
        </is>
      </c>
      <c r="B8" s="20" t="n">
        <v>3.44</v>
      </c>
      <c r="C8" s="20" t="n">
        <v>4.9</v>
      </c>
      <c r="D8" s="20" t="n">
        <v>6.36</v>
      </c>
      <c r="E8" s="15" t="inlineStr">
        <is>
          <t>Width lever: global template band pending a DiDi-specific census; this is not a Grab or DiDi counted census.</t>
        </is>
      </c>
    </row>
    <row r="9">
      <c r="A9" s="26" t="inlineStr">
        <is>
          <t>Platform take rate</t>
        </is>
      </c>
      <c r="C9" s="41" t="n">
        <v>0.18</v>
      </c>
      <c r="E9" s="15" t="inlineStr">
        <is>
          <t>Super-app blended commission on journey GMV (derived line only).</t>
        </is>
      </c>
    </row>
    <row r="11">
      <c r="A11" s="26" t="inlineStr">
        <is>
          <t>SOM capture rate (floor)</t>
        </is>
      </c>
      <c r="C11" s="55">
        <f>som_floor_rev/(ROUND(SUMPRODUCT(--('Corridor economics'!$AQ$4:$AQ$17="Grounded"),'Corridor economics'!$AG$4:$AG$17,'Corridor economics'!$E$4:$E$17),0))</f>
        <v/>
      </c>
      <c r="E11" s="15" t="inlineStr">
        <is>
          <t>New-entrant ~10% share of today's pool (= the published floor).</t>
        </is>
      </c>
    </row>
    <row r="13">
      <c r="A13" s="10" t="inlineStr">
        <is>
          <t>The ladder (live off the corridor floor)</t>
        </is>
      </c>
    </row>
    <row r="14">
      <c r="A14" s="11" t="inlineStr">
        <is>
          <t>Rung</t>
        </is>
      </c>
      <c r="B14" s="11" t="inlineStr">
        <is>
          <t>Low</t>
        </is>
      </c>
      <c r="C14" s="11" t="inlineStr">
        <is>
          <t>MID</t>
        </is>
      </c>
      <c r="D14" s="11" t="inlineStr">
        <is>
          <t>High</t>
        </is>
      </c>
      <c r="E14" s="11" t="inlineStr">
        <is>
          <t>Definition</t>
        </is>
      </c>
    </row>
    <row r="15">
      <c r="A15" s="26" t="inlineStr">
        <is>
          <t>SOM floor — Navier transport rev/yr (PUBLISHED)</t>
        </is>
      </c>
      <c r="C15" s="52">
        <f>som_floor_rev</f>
        <v/>
      </c>
      <c r="E15" s="15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6" t="inlineStr">
        <is>
          <t>M_today — model comparable-fare transport pool on sourced corridors</t>
        </is>
      </c>
      <c r="C16" s="52">
        <f>ROUND(SUMPRODUCT(--('Corridor economics'!$AQ$4:$AQ$17="Grounded"),'Corridor economics'!$AG$4:$AG$17,'Corridor economics'!$E$4:$E$17),0)</f>
        <v/>
      </c>
      <c r="E16" s="15" t="inlineStr">
        <is>
          <t>Direct sum of sourced one-way demand × the disclosed model comparable fare on grounded corridors; includes any labelled premium re-fare applied above and is independent of display-rounded capture.</t>
        </is>
      </c>
    </row>
    <row r="18">
      <c r="A18" s="26" t="inlineStr">
        <is>
          <t>SOM full network (~10% capture, today, +greenfield)</t>
        </is>
      </c>
      <c r="B18" s="52">
        <f>$C$16*$C$11*$B$8</f>
        <v/>
      </c>
      <c r="C18" s="52">
        <f>$C$16*$C$11*$C$8</f>
        <v/>
      </c>
      <c r="D18" s="52">
        <f>$C$16*$C$11*$D$8</f>
        <v/>
      </c>
      <c r="E18" s="15" t="inlineStr">
        <is>
          <t>Floor posture (~10% captive capture, today's demand) extended across the whole mapped network.</t>
        </is>
      </c>
    </row>
    <row r="19">
      <c r="A19" s="26" t="inlineStr">
        <is>
          <t>SAM — sourced corridors only (depth, no greenfield)</t>
        </is>
      </c>
      <c r="B19" s="52">
        <f>$C$16*$B$5*$B$6</f>
        <v/>
      </c>
      <c r="C19" s="52">
        <f>$C$16*$C$5*$C$6</f>
        <v/>
      </c>
      <c r="D19" s="52">
        <f>$C$16*$D$5*$D$6</f>
        <v/>
      </c>
      <c r="E19" s="15" t="inlineStr">
        <is>
          <t>Matured network on the sourced corridors alone: induced demand × mature capture.</t>
        </is>
      </c>
    </row>
    <row r="20">
      <c r="A20" s="26" t="inlineStr">
        <is>
          <t>SAM — Navier transport rev @ full network (HEADLINE)</t>
        </is>
      </c>
      <c r="B20" s="52">
        <f>$C$16*$B$5*$B$6*$B$8</f>
        <v/>
      </c>
      <c r="C20" s="52">
        <f>$C$16*$C$5*$C$6*$C$8</f>
        <v/>
      </c>
      <c r="D20" s="52">
        <f>$C$16*$D$5*$D$6*$D$8</f>
        <v/>
      </c>
      <c r="E20" s="15" t="inlineStr">
        <is>
          <t>Matured across the full addressable network: induced × mature capture × greenfield width.</t>
        </is>
      </c>
    </row>
    <row r="21">
      <c r="A21" s="26" t="inlineStr">
        <is>
          <t>Marine mobility TAM — induced marine-transfer market (LB-110)</t>
        </is>
      </c>
      <c r="B21" s="52">
        <f>$C$16*$B$5*$B$8</f>
        <v/>
      </c>
      <c r="C21" s="52">
        <f>$C$16*$C$5*$C$8</f>
        <v/>
      </c>
      <c r="D21" s="52">
        <f>$C$16*$D$5*$D$8</f>
        <v/>
      </c>
      <c r="E21" s="15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6" t="inlineStr">
        <is>
          <t>Journey GMV — induced crossing × multiple (was TAM journey GMV)</t>
        </is>
      </c>
      <c r="B22" s="52">
        <f>$C$16*$B$5*$B$7*$B$8</f>
        <v/>
      </c>
      <c r="C22" s="52">
        <f>$C$16*$C$5*$C$7*$C$8</f>
        <v/>
      </c>
      <c r="D22" s="52">
        <f>$C$16*$D$5*$D$7*$D$8</f>
        <v/>
      </c>
      <c r="E22" s="15" t="inlineStr">
        <is>
          <t>Whole-journey spend (transport+food+stay+experiences) across the induced crossing market on the full network. Marine TAM × journey GMV multiple.</t>
        </is>
      </c>
    </row>
    <row r="23">
      <c r="A23" s="26" t="inlineStr">
        <is>
          <t>Journey GMV routed through Navier network</t>
        </is>
      </c>
      <c r="B23" s="52">
        <f>$C$16*$B$5*$B$6*$B$7*$B$8</f>
        <v/>
      </c>
      <c r="C23" s="52">
        <f>$C$16*$C$5*$C$6*$C$7*$C$8</f>
        <v/>
      </c>
      <c r="D23" s="52">
        <f>$C$16*$D$5*$D$6*$D$7*$D$8</f>
        <v/>
      </c>
      <c r="E23" s="15" t="inlineStr">
        <is>
          <t>Journey GMV on Navier-carried trips only.</t>
        </is>
      </c>
    </row>
    <row r="24">
      <c r="A24" s="26" t="inlineStr">
        <is>
          <t>Partner platform revenue on Navier (LB-113 — on-Navier subset, not 18% of full Journey GMV)</t>
        </is>
      </c>
      <c r="B24" s="52">
        <f>$C$16*$B$5*$B$6*$B$7*$B$8*$C$9</f>
        <v/>
      </c>
      <c r="C24" s="52">
        <f>$C$16*$C$5*$C$6*$C$7*$C$8*$C$9</f>
        <v/>
      </c>
      <c r="D24" s="52">
        <f>$C$16*$D$5*$D$6*$D$7*$D$8*$C$9</f>
        <v/>
      </c>
      <c r="E24" s="15" t="inlineStr">
        <is>
          <t>The super-app's own commission — the number a platform partner cares about.</t>
        </is>
      </c>
    </row>
    <row r="26">
      <c r="A26" s="56" t="inlineStr">
        <is>
          <t>Note</t>
        </is>
      </c>
      <c r="B26" s="57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2026-07-11T19:16:17Z</dcterms:created>
  <dcterms:modified xsi:type="dcterms:W3CDTF">2026-07-11T19:16:17Z</dcterms:modified>
</cp:coreProperties>
</file>