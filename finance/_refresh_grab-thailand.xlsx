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economics'!$D$39</definedName>
    <definedName name="som_floor_rev">'Corridor economics'!$E$39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Grab-Thailand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Thailand</t>
        </is>
      </c>
      <c r="B4" s="26" t="n">
        <v>24000</v>
      </c>
      <c r="C4" s="27" t="n">
        <v>0.116</v>
      </c>
      <c r="D4" s="19" t="n">
        <v>0.5</v>
      </c>
      <c r="E4" s="26" t="n">
        <v>12000</v>
      </c>
      <c r="F4" s="19" t="n">
        <v>0.55</v>
      </c>
      <c r="G4" s="26" t="n">
        <v>600000</v>
      </c>
      <c r="H4" s="14" t="inlineStr">
        <is>
          <t>ERI Thailand boat captain ~876k THB/yr | MEA/PEA business tariff ~4.18 THB/kWh | Modeled Phuket marine ops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4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Grab-Thailand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Bangkok</t>
        </is>
      </c>
      <c r="B4" s="29" t="inlineStr">
        <is>
          <t>Thailand</t>
        </is>
      </c>
      <c r="C4" s="30" t="inlineStr">
        <is>
          <t>Sathorn (Central) Pier → Phra Arthit Pier</t>
        </is>
      </c>
      <c r="D4" s="31" t="n">
        <v>2.9</v>
      </c>
      <c r="E4" s="26" t="n">
        <v>18</v>
      </c>
      <c r="F4" s="32" t="n"/>
      <c r="G4" s="32" t="inlineStr">
        <is>
          <t>derived_pending_validation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345600</v>
      </c>
      <c r="AH4" s="32" t="n"/>
      <c r="AI4" s="32" t="inlineStr">
        <is>
          <t>derived_pending_validation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[LB-255 PREMIUM RE-FARE: subsidized comparable $4.29 lifted to premium on-demand floor $18.0] Chao Phraya river spine: Sathorn (CEN) &lt;-&gt; ICONSIAM (N2/1) &lt;-&gt; Phra Arthit (N13) corridor</t>
        </is>
      </c>
      <c r="AY4" s="44" t="inlineStr">
        <is>
          <t>Chao Phraya river spine: Sathorn (CEN) &lt;-&gt; ICONSIAM (N2/1) &lt;-&gt; Phra Arthit (N13) corridor</t>
        </is>
      </c>
    </row>
    <row r="5">
      <c r="A5" s="29" t="inlineStr">
        <is>
          <t>Eastern_Seaboard</t>
        </is>
      </c>
      <c r="B5" s="29" t="inlineStr">
        <is>
          <t>Thailand</t>
        </is>
      </c>
      <c r="C5" s="30" t="inlineStr">
        <is>
          <t>Ban Phe Pier → Koh Samet (Na Dan Pier)</t>
        </is>
      </c>
      <c r="D5" s="31" t="n">
        <v>3.3</v>
      </c>
      <c r="E5" s="26" t="n">
        <v>14</v>
      </c>
      <c r="F5" s="32" t="inlineStr">
        <is>
          <t>T5</t>
        </is>
      </c>
      <c r="G5" s="32" t="inlineStr">
        <is>
          <t>low-med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92000</v>
      </c>
      <c r="AH5" s="32" t="inlineStr">
        <is>
          <t>T4</t>
        </is>
      </c>
      <c r="AI5" s="32" t="inlineStr">
        <is>
          <t>low-med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Proven high-frequency Ban Phe speedboat gateway; premium upgrade of dense leg.</t>
        </is>
      </c>
      <c r="AY5" s="44" t="inlineStr">
        <is>
          <t>Proven high-frequency Ban Phe speedboat gateway; premium upgrade of dense leg.</t>
        </is>
      </c>
    </row>
    <row r="6">
      <c r="A6" s="29" t="inlineStr">
        <is>
          <t>Bangkok</t>
        </is>
      </c>
      <c r="B6" s="29" t="inlineStr">
        <is>
          <t>Thailand</t>
        </is>
      </c>
      <c r="C6" s="30" t="inlineStr">
        <is>
          <t>ICONSIAM Pier (Chao Phraya) → ICONSIAM Pier (Chao Phraya)</t>
        </is>
      </c>
      <c r="D6" s="31" t="n">
        <v>5.3</v>
      </c>
      <c r="E6" s="26" t="n">
        <v>35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1200000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Y6" s="44" t="n"/>
    </row>
    <row r="7">
      <c r="A7" s="29" t="inlineStr">
        <is>
          <t>Koh Samui</t>
        </is>
      </c>
      <c r="B7" s="29" t="inlineStr">
        <is>
          <t>Thailand</t>
        </is>
      </c>
      <c r="C7" s="30" t="inlineStr">
        <is>
          <t>Samui Pralarn Pier (Mae Nam) → Koh Phangan (Thong Sala) — pier-exact</t>
        </is>
      </c>
      <c r="D7" s="31" t="n">
        <v>7.5</v>
      </c>
      <c r="E7" s="26" t="n">
        <v>35</v>
      </c>
      <c r="F7" s="32" t="n"/>
      <c r="G7" s="32" t="inlineStr">
        <is>
          <t>T1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450000</v>
      </c>
      <c r="AH7" s="32" t="inlineStr">
        <is>
          <t>T5</t>
        </is>
      </c>
      <c r="AI7" s="32" t="inlineStr">
        <is>
          <t>low-med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inlineStr">
        <is>
          <t>rn-db5e83248f9d</t>
        </is>
      </c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8">
      <c r="A8" s="29" t="inlineStr">
        <is>
          <t>Phuket</t>
        </is>
      </c>
      <c r="B8" s="29" t="inlineStr">
        <is>
          <t>Thailand</t>
        </is>
      </c>
      <c r="C8" s="30" t="inlineStr">
        <is>
          <t>Ao Po Grand Marina → Anantara Layan Phuket Beach Jetty</t>
        </is>
      </c>
      <c r="D8" s="31" t="n">
        <v>9.6</v>
      </c>
      <c r="E8" s="26" t="n">
        <v>100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8500</v>
      </c>
      <c r="AH8" s="32" t="inlineStr">
        <is>
          <t>T2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Minor Hotels captive gateway — Anantara Layan marina pickup.</t>
        </is>
      </c>
      <c r="AY8" s="44" t="inlineStr">
        <is>
          <t>minor-hotels-phuket-flagship-economics-DRAFT.json — Layan gateway pool</t>
        </is>
      </c>
    </row>
    <row r="9">
      <c r="A9" s="29" t="inlineStr">
        <is>
          <t>Phuket</t>
        </is>
      </c>
      <c r="B9" s="29" t="inlineStr">
        <is>
          <t>Thailand</t>
        </is>
      </c>
      <c r="C9" s="30" t="inlineStr">
        <is>
          <t>Chalong Pier (Ao Chalong) → Chalong Pier (Ao Chalong)</t>
        </is>
      </c>
      <c r="D9" s="31" t="n">
        <v>10</v>
      </c>
      <c r="E9" s="26" t="n">
        <v>35</v>
      </c>
      <c r="F9" s="32" t="inlineStr">
        <is>
          <t>T1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Y9" s="44" t="n"/>
    </row>
    <row r="10">
      <c r="A10" s="29" t="inlineStr">
        <is>
          <t>Koh Samui</t>
        </is>
      </c>
      <c r="B10" s="29" t="inlineStr">
        <is>
          <t>Thailand</t>
        </is>
      </c>
      <c r="C10" s="30" t="inlineStr">
        <is>
          <t>Koh Samui (Bangrak) → Koh Phangan (Thong Sala)</t>
        </is>
      </c>
      <c r="D10" s="31" t="n">
        <v>10.2</v>
      </c>
      <c r="E10" s="26" t="n">
        <v>10</v>
      </c>
      <c r="F10" s="32" t="n"/>
      <c r="G10" s="32" t="inlineStr">
        <is>
          <t>derived_pending_validation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19404</v>
      </c>
      <c r="AH10" s="32" t="n"/>
      <c r="AI10" s="32" t="inlineStr">
        <is>
          <t>derived_pending_validation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Koh Samui (Bangrak/Maenam) -&gt; Koh Phangan (Thong Sala)</t>
        </is>
      </c>
      <c r="AY10" s="44" t="inlineStr">
        <is>
          <t>Koh Samui (Bangrak/Maenam) -&gt; Koh Phangan (Thong Sala)</t>
        </is>
      </c>
    </row>
    <row r="11">
      <c r="A11" s="29" t="inlineStr">
        <is>
          <t>Royal_Coast</t>
        </is>
      </c>
      <c r="B11" s="29" t="inlineStr">
        <is>
          <t>Thailand</t>
        </is>
      </c>
      <c r="C11" s="30" t="inlineStr">
        <is>
          <t>Hua Hin (pier) → Cha-Am (pier)</t>
        </is>
      </c>
      <c r="D11" s="31" t="n">
        <v>13.4</v>
      </c>
      <c r="E11" s="26" t="n">
        <v>24</v>
      </c>
      <c r="F11" s="32" t="inlineStr">
        <is>
          <t>T5</t>
        </is>
      </c>
      <c r="G11" s="32" t="inlineStr">
        <is>
          <t>low-med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28000</v>
      </c>
      <c r="AH11" s="32" t="inlineStr">
        <is>
          <t>T4</t>
        </is>
      </c>
      <c r="AI11" s="32" t="inlineStr">
        <is>
          <t>low-med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Royal-coast resort weekend hop; modeled premium slice.</t>
        </is>
      </c>
      <c r="AY11" s="44" t="inlineStr">
        <is>
          <t>Royal-coast resort weekend hop; modeled premium slice.</t>
        </is>
      </c>
    </row>
    <row r="12">
      <c r="A12" s="29" t="inlineStr">
        <is>
          <t>Phuket</t>
        </is>
      </c>
      <c r="B12" s="29" t="inlineStr">
        <is>
          <t>Thailand</t>
        </is>
      </c>
      <c r="C12" s="30" t="inlineStr">
        <is>
          <t>Ao Po Pier (Ao Po / Ao Por, NE Phuket) → Khao Phing Kan (James Bond Island), Phang Nga Bay</t>
        </is>
      </c>
      <c r="D12" s="31" t="n">
        <v>13.5</v>
      </c>
      <c r="E12" s="26" t="n">
        <v>90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Y12" s="44" t="n"/>
    </row>
    <row r="13">
      <c r="A13" s="29" t="inlineStr">
        <is>
          <t>Koh Samui</t>
        </is>
      </c>
      <c r="B13" s="29" t="inlineStr">
        <is>
          <t>Thailand</t>
        </is>
      </c>
      <c r="C13" s="30" t="inlineStr">
        <is>
          <t>Koh Samui (Lipa Noi) → Donsak (Raja Ferry pier)</t>
        </is>
      </c>
      <c r="D13" s="31" t="n">
        <v>14.3</v>
      </c>
      <c r="E13" s="26" t="n">
        <v>15.2</v>
      </c>
      <c r="F13" s="32" t="n"/>
      <c r="G13" s="32" t="inlineStr">
        <is>
          <t>T3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666667</v>
      </c>
      <c r="AH13" s="32" t="inlineStr">
        <is>
          <t>T2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14">
      <c r="A14" s="29" t="inlineStr">
        <is>
          <t>Koh Samui</t>
        </is>
      </c>
      <c r="B14" s="29" t="inlineStr">
        <is>
          <t>Thailand</t>
        </is>
      </c>
      <c r="C14" s="30" t="inlineStr">
        <is>
          <t>Four Seasons Koh Samui (Laem Yai) → Ang Thong Marine Park (Wua Talap)</t>
        </is>
      </c>
      <c r="D14" s="31" t="n">
        <v>15.3</v>
      </c>
      <c r="E14" s="26" t="n">
        <v>79</v>
      </c>
      <c r="F14" s="32" t="n"/>
      <c r="G14" s="32" t="inlineStr">
        <is>
          <t>T3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300000</v>
      </c>
      <c r="AH14" s="32" t="inlineStr">
        <is>
          <t>T2</t>
        </is>
      </c>
      <c r="AI14" s="32" t="inlineStr">
        <is>
          <t>med-low</t>
        </is>
      </c>
      <c r="AJ14" s="39" t="n">
        <v>0.9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>
        <v>3</v>
      </c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15">
      <c r="A15" s="29" t="inlineStr">
        <is>
          <t>Phuket</t>
        </is>
      </c>
      <c r="B15" s="29" t="inlineStr">
        <is>
          <t>Thailand</t>
        </is>
      </c>
      <c r="C15" s="30" t="inlineStr">
        <is>
          <t>Rassada Pier (Phuket Deep Sea Port) → Manoh Pier (Koh Yao Yai)</t>
        </is>
      </c>
      <c r="D15" s="31" t="n">
        <v>16.9</v>
      </c>
      <c r="E15" s="26" t="n">
        <v>100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8500</v>
      </c>
      <c r="AH15" s="32" t="inlineStr">
        <is>
          <t>T2</t>
        </is>
      </c>
      <c r="AI15" s="32" t="inlineStr">
        <is>
          <t>med</t>
        </is>
      </c>
      <c r="AJ15" s="39" t="n">
        <v>0.9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Minor Hotels captive gateway — Anantara Koh Yao Yai boat-only transfer from Phuket.</t>
        </is>
      </c>
      <c r="AY15" s="44" t="inlineStr">
        <is>
          <t>minor-hotels-phuket-flagship-economics-DRAFT.json — Koh Yao Yai captive transfer pool</t>
        </is>
      </c>
    </row>
    <row r="16">
      <c r="A16" s="29" t="inlineStr">
        <is>
          <t>Phuket</t>
        </is>
      </c>
      <c r="B16" s="29" t="inlineStr">
        <is>
          <t>Thailand</t>
        </is>
      </c>
      <c r="C16" s="30" t="inlineStr">
        <is>
          <t>Ko Lanta (Saladan Pier) → Koh Phi Phi (Tonsai)</t>
        </is>
      </c>
      <c r="D16" s="31" t="n">
        <v>17</v>
      </c>
      <c r="E16" s="26" t="n">
        <v>28</v>
      </c>
      <c r="F16" s="32" t="inlineStr">
        <is>
          <t>T5</t>
        </is>
      </c>
      <c r="G16" s="32" t="inlineStr">
        <is>
          <t>low-med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62000</v>
      </c>
      <c r="AH16" s="32" t="inlineStr">
        <is>
          <t>T4</t>
        </is>
      </c>
      <c r="AI16" s="32" t="inlineStr">
        <is>
          <t>low-med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MODELED premium foiling fare</t>
        </is>
      </c>
      <c r="AY16" s="44" t="inlineStr">
        <is>
          <t>MODELED tier demand</t>
        </is>
      </c>
    </row>
    <row r="17">
      <c r="A17" s="29" t="inlineStr">
        <is>
          <t>Koh Samui</t>
        </is>
      </c>
      <c r="B17" s="29" t="inlineStr">
        <is>
          <t>Thailand</t>
        </is>
      </c>
      <c r="C17" s="30" t="inlineStr">
        <is>
          <t>Koh Samui (Nathon) → Donsak (Seatran harbour)</t>
        </is>
      </c>
      <c r="D17" s="31" t="n">
        <v>17.9</v>
      </c>
      <c r="E17" s="26" t="n">
        <v>15.2</v>
      </c>
      <c r="F17" s="32" t="n"/>
      <c r="G17" s="32" t="inlineStr">
        <is>
          <t>T3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MIN(24,FLOOR(60*service_hr/J17,1))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666667</v>
      </c>
      <c r="AH17" s="32" t="inlineStr">
        <is>
          <t>T5</t>
        </is>
      </c>
      <c r="AI17" s="32" t="inlineStr">
        <is>
          <t>low-med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18">
      <c r="A18" s="29" t="inlineStr">
        <is>
          <t>Phuket</t>
        </is>
      </c>
      <c r="B18" s="29" t="inlineStr">
        <is>
          <t>Thailand</t>
        </is>
      </c>
      <c r="C18" s="30" t="inlineStr">
        <is>
          <t>Phuket (Royal Phuket Marina) → Phang Nga Bay / James Bond Island</t>
        </is>
      </c>
      <c r="D18" s="31" t="n">
        <v>20</v>
      </c>
      <c r="E18" s="26" t="n">
        <v>72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580000</v>
      </c>
      <c r="AH18" s="32" t="inlineStr">
        <is>
          <t>T2</t>
        </is>
      </c>
      <c r="AI18" s="32" t="inlineStr">
        <is>
          <t>med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AY18" s="44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19">
      <c r="A19" s="29" t="inlineStr">
        <is>
          <t>Phuket</t>
        </is>
      </c>
      <c r="B19" s="29" t="inlineStr">
        <is>
          <t>Thailand</t>
        </is>
      </c>
      <c r="C19" s="30" t="inlineStr">
        <is>
          <t>Ko Lanta (Saladan Pier) → Krabi (Klong Jilad)</t>
        </is>
      </c>
      <c r="D19" s="31" t="n">
        <v>24</v>
      </c>
      <c r="E19" s="26" t="n">
        <v>32</v>
      </c>
      <c r="F19" s="32" t="inlineStr">
        <is>
          <t>T5</t>
        </is>
      </c>
      <c r="G19" s="32" t="inlineStr">
        <is>
          <t>low-med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28000</v>
      </c>
      <c r="AH19" s="32" t="inlineStr">
        <is>
          <t>T4</t>
        </is>
      </c>
      <c r="AI19" s="32" t="inlineStr">
        <is>
          <t>low-med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MODELED premium foiling fare</t>
        </is>
      </c>
      <c r="AY19" s="44" t="inlineStr">
        <is>
          <t>MODELED tier demand</t>
        </is>
      </c>
    </row>
    <row r="20">
      <c r="A20" s="29" t="inlineStr">
        <is>
          <t>Phuket</t>
        </is>
      </c>
      <c r="B20" s="29" t="inlineStr">
        <is>
          <t>Thailand</t>
        </is>
      </c>
      <c r="C20" s="30" t="inlineStr">
        <is>
          <t>Phuket → Phi Phi (Tonsai)</t>
        </is>
      </c>
      <c r="D20" s="31" t="n">
        <v>25</v>
      </c>
      <c r="E20" s="26" t="n">
        <v>17.14</v>
      </c>
      <c r="F20" s="32" t="n"/>
      <c r="G20" s="32" t="inlineStr">
        <is>
          <t>derived_pending_validation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98124</v>
      </c>
      <c r="AH20" s="32" t="n"/>
      <c r="AI20" s="32" t="inlineStr">
        <is>
          <t>derived_pending_validation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Phuket (Rassada Pier) -&gt; Koh Phi Phi (Tonsai)</t>
        </is>
      </c>
      <c r="AY20" s="44" t="inlineStr">
        <is>
          <t>Phuket (Rassada Pier) -&gt; Koh Phi Phi (Tonsai)</t>
        </is>
      </c>
    </row>
    <row r="21">
      <c r="A21" s="29" t="inlineStr">
        <is>
          <t>Koh Samui</t>
        </is>
      </c>
      <c r="B21" s="29" t="inlineStr">
        <is>
          <t>Thailand</t>
        </is>
      </c>
      <c r="C21" s="30" t="inlineStr">
        <is>
          <t>Koh Samui (Bangrak) → Don Sak Ferry Harbour</t>
        </is>
      </c>
      <c r="D21" s="31" t="n">
        <v>28.1</v>
      </c>
      <c r="E21" s="26" t="n">
        <v>15.2</v>
      </c>
      <c r="F21" s="32" t="n"/>
      <c r="G21" s="32" t="inlineStr">
        <is>
          <t>T3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666667</v>
      </c>
      <c r="AH21" s="32" t="inlineStr">
        <is>
          <t>T4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n"/>
      <c r="AY21" s="44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22">
      <c r="A22" s="29" t="inlineStr">
        <is>
          <t>Koh Samui</t>
        </is>
      </c>
      <c r="B22" s="29" t="inlineStr">
        <is>
          <t>Thailand</t>
        </is>
      </c>
      <c r="C22" s="30" t="inlineStr">
        <is>
          <t>Koh Samui → Koh Tao (Mae Haad)</t>
        </is>
      </c>
      <c r="D22" s="31" t="n">
        <v>35.3</v>
      </c>
      <c r="E22" s="26" t="n">
        <v>24.4</v>
      </c>
      <c r="F22" s="32" t="n"/>
      <c r="G22" s="32" t="inlineStr">
        <is>
          <t>T3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400000</v>
      </c>
      <c r="AH22" s="32" t="inlineStr">
        <is>
          <t>T5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n"/>
      <c r="AY22" s="44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23">
      <c r="A23" s="29" t="inlineStr">
        <is>
          <t>Phuket</t>
        </is>
      </c>
      <c r="B23" s="29" t="inlineStr">
        <is>
          <t>Thailand</t>
        </is>
      </c>
      <c r="C23" s="30" t="inlineStr">
        <is>
          <t>Manoh Pier (Koh Yao Yai) → Thap Lamu Pier (Similan Gateway)</t>
        </is>
      </c>
      <c r="D23" s="31" t="n">
        <v>35.7</v>
      </c>
      <c r="E23" s="26" t="n">
        <v>100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8500</v>
      </c>
      <c r="AH23" s="32" t="inlineStr">
        <is>
          <t>T2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Minor Hotels inter-resort hop — Koh Yao Yai ↔ Khao Lak portfolio.</t>
        </is>
      </c>
      <c r="AY23" s="44" t="inlineStr">
        <is>
          <t>minor-hotels-phuket-flagship-economics-DRAFT.json — inter-brand Andaman hop</t>
        </is>
      </c>
    </row>
    <row r="24">
      <c r="A24" s="29" t="inlineStr">
        <is>
          <t>Eastern_Seaboard</t>
        </is>
      </c>
      <c r="B24" s="29" t="inlineStr">
        <is>
          <t>Thailand</t>
        </is>
      </c>
      <c r="C24" s="30" t="inlineStr">
        <is>
          <t>Pattaya (Bali Hai Pier) → Koh Samet (Na Dan Pier)</t>
        </is>
      </c>
      <c r="D24" s="31" t="n">
        <v>37</v>
      </c>
      <c r="E24" s="26" t="n">
        <v>42</v>
      </c>
      <c r="F24" s="32" t="inlineStr">
        <is>
          <t>T5</t>
        </is>
      </c>
      <c r="G24" s="32" t="inlineStr">
        <is>
          <t>low-med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28000</v>
      </c>
      <c r="AH24" s="32" t="inlineStr">
        <is>
          <t>T4</t>
        </is>
      </c>
      <c r="AI24" s="32" t="inlineStr">
        <is>
          <t>low-med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Premium slice of Ban Phe-origin Samet day-trip flow rerouted from Pattaya.</t>
        </is>
      </c>
      <c r="AY24" s="44" t="inlineStr">
        <is>
          <t>Premium slice of Ban Phe-origin Samet day-trip flow rerouted from Pattaya.</t>
        </is>
      </c>
    </row>
    <row r="25">
      <c r="A25" s="29" t="inlineStr">
        <is>
          <t>Phuket</t>
        </is>
      </c>
      <c r="B25" s="29" t="inlineStr">
        <is>
          <t>Thailand</t>
        </is>
      </c>
      <c r="C25" s="30" t="inlineStr">
        <is>
          <t>Phuket → Krabi (Ao Nang)</t>
        </is>
      </c>
      <c r="D25" s="31" t="n">
        <v>40</v>
      </c>
      <c r="E25" s="26" t="n">
        <v>44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Estimated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Phuket-&gt;Krabi (Ao Nang) speedboat premium tier ~comparable to Phi Phi route ($44). Krabi-specific demand re-source pending.</t>
        </is>
      </c>
      <c r="AY25" s="44" t="inlineStr">
        <is>
          <t>Phi Phi demand moved to new Phuket-&gt;Phi Phi corridor per Jaideep 2026-06-09. Krabi (Ao Nang) demand to be sourced separately. Until then: estimated via country cascade.</t>
        </is>
      </c>
    </row>
    <row r="26">
      <c r="A26" s="29" t="inlineStr">
        <is>
          <t>Phuket</t>
        </is>
      </c>
      <c r="B26" s="29" t="inlineStr">
        <is>
          <t>Thailand</t>
        </is>
      </c>
      <c r="C26" s="30" t="inlineStr">
        <is>
          <t>Phuket (Rassada Pier) → Ko Lanta (Saladan Pier)</t>
        </is>
      </c>
      <c r="D26" s="31" t="n">
        <v>42.4</v>
      </c>
      <c r="E26" s="26" t="n">
        <v>55</v>
      </c>
      <c r="F26" s="32" t="inlineStr">
        <is>
          <t>T5</t>
        </is>
      </c>
      <c r="G26" s="32" t="inlineStr">
        <is>
          <t>low-med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31000</v>
      </c>
      <c r="AH26" s="32" t="inlineStr">
        <is>
          <t>T4</t>
        </is>
      </c>
      <c r="AI26" s="32" t="inlineStr">
        <is>
          <t>low-med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MODELED premium foiling fare</t>
        </is>
      </c>
      <c r="AY26" s="44" t="inlineStr">
        <is>
          <t>MODELED tier demand</t>
        </is>
      </c>
    </row>
    <row r="27">
      <c r="A27" s="29" t="inlineStr">
        <is>
          <t>Phuket</t>
        </is>
      </c>
      <c r="B27" s="29" t="inlineStr">
        <is>
          <t>Thailand</t>
        </is>
      </c>
      <c r="C27" s="30" t="inlineStr">
        <is>
          <t>Phuket → Similan / Surin Islands</t>
        </is>
      </c>
      <c r="D27" s="31" t="n">
        <v>55</v>
      </c>
      <c r="E27" s="26" t="n">
        <v>80</v>
      </c>
      <c r="F27" s="32" t="inlineStr">
        <is>
          <t>T3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580000</v>
      </c>
      <c r="AH27" s="32" t="inlineStr">
        <is>
          <t>T2</t>
        </is>
      </c>
      <c r="AI27" s="32" t="inlineStr">
        <is>
          <t>low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AY27" s="44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28">
      <c r="A28" s="29" t="inlineStr">
        <is>
          <t>Eastern_Seaboard</t>
        </is>
      </c>
      <c r="B28" s="29" t="inlineStr">
        <is>
          <t>Thailand</t>
        </is>
      </c>
      <c r="C28" s="30" t="inlineStr">
        <is>
          <t>Bangkok (Chao Phraya / Gulf gateway) → Pattaya (Bali Hai Pier)</t>
        </is>
      </c>
      <c r="D28" s="31" t="n">
        <v>55.6</v>
      </c>
      <c r="E28" s="26" t="n">
        <v>52</v>
      </c>
      <c r="F28" s="32" t="inlineStr">
        <is>
          <t>T5</t>
        </is>
      </c>
      <c r="G28" s="32" t="inlineStr">
        <is>
          <t>low-med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148000</v>
      </c>
      <c r="AH28" s="32" t="inlineStr">
        <is>
          <t>T4</t>
        </is>
      </c>
      <c r="AI28" s="32" t="inlineStr">
        <is>
          <t>low-med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Premium slice of Bangkok-Pattaya leisure+EEC road flow; modeled pending operator validation.</t>
        </is>
      </c>
      <c r="AY28" s="44" t="inlineStr">
        <is>
          <t>Premium slice of Bangkok-Pattaya leisure+EEC road flow; modeled pending operator validation.</t>
        </is>
      </c>
    </row>
    <row r="29">
      <c r="A29" s="29" t="inlineStr">
        <is>
          <t>Royal_Coast</t>
        </is>
      </c>
      <c r="B29" s="29" t="inlineStr">
        <is>
          <t>Thailand</t>
        </is>
      </c>
      <c r="C29" s="30" t="inlineStr">
        <is>
          <t>Hua Hin (pier) → Pattaya (Bali Hai Pier)</t>
        </is>
      </c>
      <c r="D29" s="31" t="n">
        <v>57.2</v>
      </c>
      <c r="E29" s="26" t="n">
        <v>78</v>
      </c>
      <c r="F29" s="32" t="inlineStr">
        <is>
          <t>T5</t>
        </is>
      </c>
      <c r="G29" s="32" t="inlineStr">
        <is>
          <t>low-med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52000</v>
      </c>
      <c r="AH29" s="32" t="inlineStr">
        <is>
          <t>T4</t>
        </is>
      </c>
      <c r="AI29" s="32" t="inlineStr">
        <is>
          <t>low-med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East-West Ferry Project validated cross-Gulf demand; foiling premium tier.</t>
        </is>
      </c>
      <c r="AY29" s="44" t="inlineStr">
        <is>
          <t>East-West Ferry Project validated cross-Gulf demand; foiling premium tier.</t>
        </is>
      </c>
    </row>
    <row r="30">
      <c r="A30" s="45" t="inlineStr">
        <is>
          <t>TOTAL / median</t>
        </is>
      </c>
      <c r="T30" s="46">
        <f>SUM(T4:T29)</f>
        <v/>
      </c>
      <c r="AC30" s="46">
        <f>SUM(AC4:AC29)</f>
        <v/>
      </c>
      <c r="AD30" s="47">
        <f>IF(T30=0,"",AC30/T30)</f>
        <v/>
      </c>
      <c r="AL30" s="48">
        <f>SUM(AL4:AL29)</f>
        <v/>
      </c>
      <c r="AM30" s="46">
        <f>SUM(AM4:AM29)</f>
        <v/>
      </c>
    </row>
    <row r="32">
      <c r="A3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33">
      <c r="A33" s="24" t="inlineStr">
        <is>
          <t>Market</t>
        </is>
      </c>
      <c r="B33" s="24" t="inlineStr">
        <is>
          <t>Fleet basis</t>
        </is>
      </c>
      <c r="C33" s="24" t="inlineStr">
        <is>
          <t>Raw vessels (sum)</t>
        </is>
      </c>
      <c r="D33" s="24" t="inlineStr">
        <is>
          <t>Fleet (rounded once)</t>
        </is>
      </c>
      <c r="E33" s="24" t="inlineStr">
        <is>
          <t>Market rev/yr (raw sum)</t>
        </is>
      </c>
    </row>
    <row r="34">
      <c r="A34" s="25" t="inlineStr">
        <is>
          <t>Bangkok</t>
        </is>
      </c>
      <c r="B34" s="13" t="inlineStr">
        <is>
          <t>network_sum / ceil</t>
        </is>
      </c>
      <c r="C34" s="23">
        <f>SUMIFS(AN4:AN29,A4:A29,"Bangkok",AP4:AP29,"=",AQ4:AQ29,"Grounded")</f>
        <v/>
      </c>
      <c r="D34" s="49">
        <f>IF(C34=0,0,CEILING(C34,1))</f>
        <v/>
      </c>
      <c r="E34" s="50">
        <f>SUMIFS(AO4:AO29,A4:A29,"Bangkok",AP4:AP29,"=",AQ4:AQ29,"Grounded")</f>
        <v/>
      </c>
    </row>
    <row r="35">
      <c r="A35" s="25" t="inlineStr">
        <is>
          <t>Eastern_Seaboard</t>
        </is>
      </c>
      <c r="B35" s="13" t="inlineStr">
        <is>
          <t>network_sum / ceil</t>
        </is>
      </c>
      <c r="C35" s="23">
        <f>SUMIFS(AN4:AN29,A4:A29,"Eastern_Seaboard",AP4:AP29,"=",AQ4:AQ29,"Grounded")</f>
        <v/>
      </c>
      <c r="D35" s="49">
        <f>IF(C35=0,0,CEILING(C35,1))</f>
        <v/>
      </c>
      <c r="E35" s="50">
        <f>SUMIFS(AO4:AO29,A4:A29,"Eastern_Seaboard",AP4:AP29,"=",AQ4:AQ29,"Grounded")</f>
        <v/>
      </c>
    </row>
    <row r="36">
      <c r="A36" s="25" t="inlineStr">
        <is>
          <t>Koh Samui</t>
        </is>
      </c>
      <c r="B36" s="13" t="inlineStr">
        <is>
          <t>network_sum / ceil</t>
        </is>
      </c>
      <c r="C36" s="23">
        <f>SUMIFS(AN4:AN29,A4:A29,"Koh Samui",AP4:AP29,"=",AQ4:AQ29,"Grounded")</f>
        <v/>
      </c>
      <c r="D36" s="49">
        <f>IF(C36=0,0,CEILING(C36,1))</f>
        <v/>
      </c>
      <c r="E36" s="50">
        <f>SUMIFS(AO4:AO29,A4:A29,"Koh Samui",AP4:AP29,"=",AQ4:AQ29,"Grounded")</f>
        <v/>
      </c>
    </row>
    <row r="37">
      <c r="A37" s="25" t="inlineStr">
        <is>
          <t>Phuket</t>
        </is>
      </c>
      <c r="B37" s="13" t="inlineStr">
        <is>
          <t>network_sum / ceil</t>
        </is>
      </c>
      <c r="C37" s="23">
        <f>SUMIFS(AN4:AN29,A4:A29,"Phuket",AP4:AP29,"=",AQ4:AQ29,"Grounded")</f>
        <v/>
      </c>
      <c r="D37" s="49">
        <f>IF(C37=0,0,CEILING(C37,1))</f>
        <v/>
      </c>
      <c r="E37" s="50">
        <f>SUMIFS(AO4:AO29,A4:A29,"Phuket",AP4:AP29,"=",AQ4:AQ29,"Grounded")</f>
        <v/>
      </c>
    </row>
    <row r="38">
      <c r="A38" s="25" t="inlineStr">
        <is>
          <t>Royal_Coast</t>
        </is>
      </c>
      <c r="B38" s="13" t="inlineStr">
        <is>
          <t>network_sum / ceil</t>
        </is>
      </c>
      <c r="C38" s="23">
        <f>SUMIFS(AN4:AN29,A4:A29,"Royal_Coast",AP4:AP29,"=",AQ4:AQ29,"Grounded")</f>
        <v/>
      </c>
      <c r="D38" s="49">
        <f>IF(C38=0,0,CEILING(C38,1))</f>
        <v/>
      </c>
      <c r="E38" s="50">
        <f>SUMIFS(AO4:AO29,A4:A29,"Royal_Coast",AP4:AP29,"=",AQ4:AQ29,"Grounded")</f>
        <v/>
      </c>
    </row>
    <row r="39">
      <c r="A39" s="45" t="inlineStr">
        <is>
          <t>GROUNDED FLOOR (PUBLISHED)</t>
        </is>
      </c>
      <c r="D39" s="48">
        <f>SUM(D34:D38)</f>
        <v/>
      </c>
      <c r="E39" s="46">
        <f>SUM(E34:E38)</f>
        <v/>
      </c>
    </row>
    <row r="40">
      <c r="A40" s="20" t="inlineStr">
        <is>
          <t>ESTIMATED DEMAND (country-median cascade; held OUT of grounded floor)</t>
        </is>
      </c>
      <c r="D40" s="51">
        <f>SUMIF(AQ4:AQ29,"Estimated",AL4:AL29)</f>
        <v/>
      </c>
      <c r="E40" s="52">
        <f>SUMIF(AQ4:AQ29,"Estimated",AM4:AM29)</f>
        <v/>
      </c>
    </row>
    <row r="41">
      <c r="A41" s="53" t="inlineStr">
        <is>
          <t>Held for Quanta-LR (&gt;70nm, roadmap H2 2026+):</t>
        </is>
      </c>
      <c r="C41" s="54" t="inlineStr">
        <is>
          <t>Phuket → Langkawi (cross-border, regional reach) (107nm)</t>
        </is>
      </c>
    </row>
    <row r="42">
      <c r="C42" s="54" t="inlineStr">
        <is>
          <t>Phuket → Langkawi (cross-border, regional reach) (107nm)</t>
        </is>
      </c>
    </row>
    <row r="43">
      <c r="C43" s="54" t="inlineStr">
        <is>
          <t>Bangkok (ICONSIAM / Chao Phraya) → Hua Hin (pier) (88.0nm)</t>
        </is>
      </c>
    </row>
  </sheetData>
  <mergeCells count="2">
    <mergeCell ref="A1:L1"/>
    <mergeCell ref="A32:L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2026-07-06T02:58:40Z</dcterms:created>
  <dcterms:modified xsi:type="dcterms:W3CDTF">2026-07-06T02:58:40Z</dcterms:modified>
</cp:coreProperties>
</file>