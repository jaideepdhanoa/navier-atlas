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economics'!$D$26</definedName>
    <definedName name="som_floor_rev">'Corridor economics'!$E$26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Grab-Thailand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Thailand</t>
        </is>
      </c>
      <c r="B4" s="26" t="n">
        <v>24000</v>
      </c>
      <c r="C4" s="27" t="n">
        <v>0.116</v>
      </c>
      <c r="D4" s="19" t="n">
        <v>0.5</v>
      </c>
      <c r="E4" s="26" t="n">
        <v>12000</v>
      </c>
      <c r="F4" s="19" t="n">
        <v>0.55</v>
      </c>
      <c r="G4" s="26" t="n">
        <v>600000</v>
      </c>
      <c r="H4" s="14" t="inlineStr">
        <is>
          <t>ERI Thailand boat captain ~876k THB/yr | MEA/PEA business tariff ~4.18 THB/kWh | Modeled Phuket marine ops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Grab-Thailand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Bangkok</t>
        </is>
      </c>
      <c r="B4" s="29" t="inlineStr">
        <is>
          <t>Thailand</t>
        </is>
      </c>
      <c r="C4" s="30" t="inlineStr">
        <is>
          <t>Sathorn (Central) Pier → Phra Arthit Pier</t>
        </is>
      </c>
      <c r="D4" s="31" t="n">
        <v>2.9</v>
      </c>
      <c r="E4" s="26" t="n">
        <v>18</v>
      </c>
      <c r="F4" s="32" t="n"/>
      <c r="G4" s="32" t="inlineStr">
        <is>
          <t>derived_pending_validation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345600</v>
      </c>
      <c r="AH4" s="32" t="n"/>
      <c r="AI4" s="32" t="inlineStr">
        <is>
          <t>derived_pending_validation</t>
        </is>
      </c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[LB-255 PREMIUM RE-FARE: subsidized comparable $4.29 lifted to premium on-demand floor $18.0] Chao Phraya river spine: Sathorn (CEN) &lt;-&gt; ICONSIAM (N2/1) &lt;-&gt; Phra Arthit (N13) corridor</t>
        </is>
      </c>
      <c r="AY4" s="44" t="inlineStr">
        <is>
          <t>Chao Phraya river spine: Sathorn (CEN) &lt;-&gt; ICONSIAM (N2/1) &lt;-&gt; Phra Arthit (N13) corridor</t>
        </is>
      </c>
    </row>
    <row r="5">
      <c r="A5" s="29" t="inlineStr">
        <is>
          <t>Bangkok</t>
        </is>
      </c>
      <c r="B5" s="29" t="inlineStr">
        <is>
          <t>Thailand</t>
        </is>
      </c>
      <c r="C5" s="30" t="inlineStr">
        <is>
          <t>ICONSIAM Pier (Chao Phraya) → ICONSIAM Pier (Chao Phraya)</t>
        </is>
      </c>
      <c r="D5" s="31" t="n">
        <v>5.3</v>
      </c>
      <c r="E5" s="26" t="n">
        <v>35</v>
      </c>
      <c r="F5" s="32" t="inlineStr">
        <is>
          <t>T2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1200000</v>
      </c>
      <c r="AH5" s="32" t="n"/>
      <c r="AI5" s="32" t="n"/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Conservative mid of the live Jun-2026 promo band across 24 listed dinner-round products (899-2,000 THB; cluster at 1,150-1,550): click2gothailand.com top-10 guide (updated 1-Jun-2026); Bangkok Chaophraya Cruise operator site lists 1,550 THB/pax rack. Navier 8-pax product would be drinks/canape-class, not galley-buffet-class, hence mid-band anchor not premium.</t>
        </is>
      </c>
      <c r="AY5" s="44" t="n"/>
    </row>
    <row r="6">
      <c r="A6" s="29" t="inlineStr">
        <is>
          <t>Koh Samui</t>
        </is>
      </c>
      <c r="B6" s="29" t="inlineStr">
        <is>
          <t>Thailand</t>
        </is>
      </c>
      <c r="C6" s="30" t="inlineStr">
        <is>
          <t>Samui Pralarn Pier (Mae Nam) → Koh Phangan (Thong Sala) — pier-exact</t>
        </is>
      </c>
      <c r="D6" s="31" t="n">
        <v>7.5</v>
      </c>
      <c r="E6" s="26" t="n">
        <v>35</v>
      </c>
      <c r="F6" s="32" t="n"/>
      <c r="G6" s="32" t="inlineStr">
        <is>
          <t>T1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450000</v>
      </c>
      <c r="AH6" s="32" t="inlineStr">
        <is>
          <t>T5</t>
        </is>
      </c>
      <c r="AI6" s="32" t="inlineStr">
        <is>
          <t>low-med</t>
        </is>
      </c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inlineStr">
        <is>
          <t>rn-db5e83248f9d</t>
        </is>
      </c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n"/>
      <c r="AY6" s="44" t="inlineStr">
        <is>
          <t>SUBSET of rn-db5e83248f9d (do not sum). Lomprayah operates the Pralarn (Mae Nam) terminal with ~4-6 daily fast-cat departures/direction to Thong Sala (lomprayah.com 2026 timetable; ferryadvice.com: Pralarn-&gt;Thong Sala 20 min, THB 300); Lomprayah is the highest-frequency operator on the crossing.</t>
        </is>
      </c>
    </row>
    <row r="7">
      <c r="A7" s="29" t="inlineStr">
        <is>
          <t>Phuket</t>
        </is>
      </c>
      <c r="B7" s="29" t="inlineStr">
        <is>
          <t>Thailand</t>
        </is>
      </c>
      <c r="C7" s="30" t="inlineStr">
        <is>
          <t>Chalong Pier (Ao Chalong) → Chalong Pier (Ao Chalong)</t>
        </is>
      </c>
      <c r="D7" s="31" t="n">
        <v>10</v>
      </c>
      <c r="E7" s="26" t="n">
        <v>35</v>
      </c>
      <c r="F7" s="32" t="inlineStr">
        <is>
          <t>T1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400000</v>
      </c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Modal product = shared speedboat Coral Island half/one-day trip ex-Chalong: Love Sea Tour Racha+Coral speedboat 1,200 THB adult (promo 1,050) (loveseatour.com/racha-coral-speed-boat/); JC Tour Coral+snorkel 1,200 THB (jctour-thai.com/coral); Andamarine one-day Racha Yai+Coral 1,250 THB/pax incl. buffet lunch (operator IG, 2026). Premium top of ladder: HYPE join-in day cruise 3,900 THB adult incl. transfer (operator rate sheet via boatingo.com/boats/hype-catamaran/). Anchor = modal speedboat product ~1,250 THB = ~USD 35, NOT the premium cat.</t>
        </is>
      </c>
      <c r="AY7" s="44" t="n"/>
    </row>
    <row r="8">
      <c r="A8" s="29" t="inlineStr">
        <is>
          <t>Koh Samui</t>
        </is>
      </c>
      <c r="B8" s="29" t="inlineStr">
        <is>
          <t>Thailand</t>
        </is>
      </c>
      <c r="C8" s="30" t="inlineStr">
        <is>
          <t>Koh Samui (Bangrak) → Koh Phangan (Thong Sala)</t>
        </is>
      </c>
      <c r="D8" s="31" t="n">
        <v>10.2</v>
      </c>
      <c r="E8" s="26" t="n">
        <v>10</v>
      </c>
      <c r="F8" s="32" t="n"/>
      <c r="G8" s="32" t="inlineStr">
        <is>
          <t>derived_pending_validation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19404</v>
      </c>
      <c r="AH8" s="32" t="n"/>
      <c r="AI8" s="32" t="inlineStr">
        <is>
          <t>derived_pending_validation</t>
        </is>
      </c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Koh Samui (Bangrak/Maenam) -&gt; Koh Phangan (Thong Sala)</t>
        </is>
      </c>
      <c r="AY8" s="44" t="inlineStr">
        <is>
          <t>Koh Samui (Bangrak/Maenam) -&gt; Koh Phangan (Thong Sala)</t>
        </is>
      </c>
    </row>
    <row r="9">
      <c r="A9" s="29" t="inlineStr">
        <is>
          <t>Phuket</t>
        </is>
      </c>
      <c r="B9" s="29" t="inlineStr">
        <is>
          <t>Thailand</t>
        </is>
      </c>
      <c r="C9" s="30" t="inlineStr">
        <is>
          <t>Ao Po Pier (Ao Po / Ao Por, NE Phuket) → Khao Phing Kan (James Bond Island), Phang Nga Bay</t>
        </is>
      </c>
      <c r="D9" s="31" t="n">
        <v>13.5</v>
      </c>
      <c r="E9" s="26" t="n">
        <v>90</v>
      </c>
      <c r="F9" s="32" t="inlineStr">
        <is>
          <t>T2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20000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John Gray's Hong by Starlight 3,350 THB/pax agent rate (phukettoursdirect.com/hong-by-starlight.html) / USD 108.89 retail (Agoda activities listing); Phuket Sail Tours sunset/day band 2,200-2,800 THB (phuketexpatguide.com operator comparison, 2026); Simba Sea Trips premium small-group products (TripAdvisor-listed, 18-adult cap, award-positioned above mass market). Anchor = conservative mid of the 2,500-3,900 THB premium band ~ USD 90.</t>
        </is>
      </c>
      <c r="AY9" s="44" t="n"/>
    </row>
    <row r="10">
      <c r="A10" s="29" t="inlineStr">
        <is>
          <t>Koh Samui</t>
        </is>
      </c>
      <c r="B10" s="29" t="inlineStr">
        <is>
          <t>Thailand</t>
        </is>
      </c>
      <c r="C10" s="30" t="inlineStr">
        <is>
          <t>Koh Samui (Lipa Noi) → Donsak (Raja Ferry pier)</t>
        </is>
      </c>
      <c r="D10" s="31" t="n">
        <v>14.3</v>
      </c>
      <c r="E10" s="26" t="n">
        <v>15.2</v>
      </c>
      <c r="F10" s="32" t="n"/>
      <c r="G10" s="32" t="inlineStr">
        <is>
          <t>T3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MIN(24,FLOOR(60*service_hr/J10,1))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666667</v>
      </c>
      <c r="AH10" s="32" t="inlineStr">
        <is>
          <t>T2</t>
        </is>
      </c>
      <c r="AI10" s="32" t="inlineStr">
        <is>
          <t>med-low</t>
        </is>
      </c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Grounded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n"/>
      <c r="AY10" s="44" t="inlineStr">
        <is>
          <t>SUBSET of rn-347c44e1d360 (do not sum). Raja Ferry Port (SET-listed, RP) company disclosure: ~1.2M passengers + ~600k vehicles carried in 2017 (+20% over 2016) across Donsak-Lipa Noi (Samui) and Donsak-Phangan routes; ~14 ferries, up to 50 trips/day (RP business plan via Koh Samui News/Samui Times; CreditRiskMonitor profile). RP FY2024 (2567) one-report exists but is a scanned PDF; per-route pax not machine-readable.</t>
        </is>
      </c>
    </row>
    <row r="11">
      <c r="A11" s="29" t="inlineStr">
        <is>
          <t>Koh Samui</t>
        </is>
      </c>
      <c r="B11" s="29" t="inlineStr">
        <is>
          <t>Thailand</t>
        </is>
      </c>
      <c r="C11" s="30" t="inlineStr">
        <is>
          <t>Four Seasons Koh Samui (Laem Yai) → Ang Thong Marine Park (Wua Talap)</t>
        </is>
      </c>
      <c r="D11" s="31" t="n">
        <v>15.3</v>
      </c>
      <c r="E11" s="26" t="n">
        <v>79</v>
      </c>
      <c r="F11" s="32" t="n"/>
      <c r="G11" s="32" t="inlineStr">
        <is>
          <t>T3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300000</v>
      </c>
      <c r="AH11" s="32" t="inlineStr">
        <is>
          <t>T2</t>
        </is>
      </c>
      <c r="AI11" s="32" t="inlineStr">
        <is>
          <t>med-low</t>
        </is>
      </c>
      <c r="AJ11" s="39" t="n">
        <v>0.9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Grounded</t>
        </is>
      </c>
      <c r="AR11" s="41" t="n"/>
      <c r="AS11" s="41" t="n"/>
      <c r="AT11" s="42" t="n">
        <v>3</v>
      </c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n"/>
      <c r="AY11" s="44" t="inlineStr">
        <is>
          <t>Mu Ko Ang Thong National Marine Park: ~160,000 park visitors/yr, ~85% foreign, &gt;THB 40M annual fee revenue (Thai PBS citing park authority, ~2024; DNP visitor-stats system catalog.dnp.go.th is the underlying register - R3-GOLD park-authority class). Park is boat-only and closed annually 1 Nov-15 Dec. Licensed speedboat day tours depart Samui (and Phangan) daily in season.</t>
        </is>
      </c>
    </row>
    <row r="12">
      <c r="A12" s="29" t="inlineStr">
        <is>
          <t>Koh Samui</t>
        </is>
      </c>
      <c r="B12" s="29" t="inlineStr">
        <is>
          <t>Thailand</t>
        </is>
      </c>
      <c r="C12" s="30" t="inlineStr">
        <is>
          <t>Koh Samui (Nathon) → Donsak (Seatran harbour)</t>
        </is>
      </c>
      <c r="D12" s="31" t="n">
        <v>17.9</v>
      </c>
      <c r="E12" s="26" t="n">
        <v>15.2</v>
      </c>
      <c r="F12" s="32" t="n"/>
      <c r="G12" s="32" t="inlineStr">
        <is>
          <t>T3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MIN(24,FLOOR(60*service_hr/J12,1))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666667</v>
      </c>
      <c r="AH12" s="32" t="inlineStr">
        <is>
          <t>T5</t>
        </is>
      </c>
      <c r="AI12" s="32" t="inlineStr">
        <is>
          <t>low-med</t>
        </is>
      </c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Grounded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n"/>
      <c r="AY12" s="44" t="inlineStr">
        <is>
          <t>SUBSET of rn-347c44e1d360 (do not sum). Seatran Ferry: 6 vessels, ~hourly departures 05:00-19:00 each way, 13-16 kt, ~1.5h crossing, ~450-pax + ~70-car capacity per vessel (Tripadvisor operator page; thailandboattickets.com; C9 Hotelworks cited in city brief). No published Seatran annual ridership found.</t>
        </is>
      </c>
    </row>
    <row r="13">
      <c r="A13" s="29" t="inlineStr">
        <is>
          <t>Phuket</t>
        </is>
      </c>
      <c r="B13" s="29" t="inlineStr">
        <is>
          <t>Thailand</t>
        </is>
      </c>
      <c r="C13" s="30" t="inlineStr">
        <is>
          <t>Phuket (Royal Phuket Marina) → Phang Nga Bay / James Bond Island</t>
        </is>
      </c>
      <c r="D13" s="31" t="n">
        <v>20</v>
      </c>
      <c r="E13" s="26" t="n">
        <v>72</v>
      </c>
      <c r="F13" s="32" t="inlineStr">
        <is>
          <t>T3</t>
        </is>
      </c>
      <c r="G13" s="32" t="inlineStr">
        <is>
          <t>med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580000</v>
      </c>
      <c r="AH13" s="32" t="inlineStr">
        <is>
          <t>T2</t>
        </is>
      </c>
      <c r="AI13" s="32" t="inlineStr">
        <is>
          <t>med</t>
        </is>
      </c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Grounded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inlineStr">
        <is>
          <t>Phuket-&gt;Phang Nga Bay/James Bond Island speedboat day-tour ladder (THB/USD 36): budget longtail ~1,400 THB ($39, phukettoursdirect); standard shared speedboat ~2,500 THB ($69); PREMIUM shared speedboat ~2,600-3,700 THB ($72-103, phiphitours/mythailandtours '$55 low-season' to ~3,700 quoted); private charter speedboat ~29,000-40,900 THB/boat/day (yacht-rental-phuket, phuketdreamcompany) = whole-boat, excluded as overclaim. Premium per-seat anchored ~2,600 THB net of 400 THB park fee = $72.</t>
        </is>
      </c>
      <c r="AY13" s="44" t="inlineStr">
        <is>
          <t>Ao Phang Nga National Park visitors FY2567 (Oct-2023..Sep-2024) = 530,204 (DNP top-10 ranking, #7 by visitors; reported by Prachachat, https://www.prachachat.net/hilight-prachachat/news-1796245, Apr-2025). Park is reachable ONLY by tour boat/longtail/speedboat (no road/air to Khao Phing Kan/Ko Tapu) -&gt; R3-EXCEPTION holds: park arrivals = crossing ridership. DNP also runs e-ticketing at this park (one of 6 pilot parks). Pre-covid FY2019 was ~1M+ (payload note), so FY2024 is the conservative post-covid actual.</t>
        </is>
      </c>
    </row>
    <row r="14">
      <c r="A14" s="29" t="inlineStr">
        <is>
          <t>Phuket</t>
        </is>
      </c>
      <c r="B14" s="29" t="inlineStr">
        <is>
          <t>Thailand</t>
        </is>
      </c>
      <c r="C14" s="30" t="inlineStr">
        <is>
          <t>Phuket → Phi Phi (Tonsai)</t>
        </is>
      </c>
      <c r="D14" s="31" t="n">
        <v>25</v>
      </c>
      <c r="E14" s="26" t="n">
        <v>17.14</v>
      </c>
      <c r="F14" s="32" t="n"/>
      <c r="G14" s="32" t="inlineStr">
        <is>
          <t>derived_pending_validation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98124</v>
      </c>
      <c r="AH14" s="32" t="n"/>
      <c r="AI14" s="32" t="inlineStr">
        <is>
          <t>derived_pending_validation</t>
        </is>
      </c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Grounded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inlineStr">
        <is>
          <t>Phuket (Rassada Pier) -&gt; Koh Phi Phi (Tonsai)</t>
        </is>
      </c>
      <c r="AY14" s="44" t="inlineStr">
        <is>
          <t>Phuket (Rassada Pier) -&gt; Koh Phi Phi (Tonsai)</t>
        </is>
      </c>
    </row>
    <row r="15">
      <c r="A15" s="29" t="inlineStr">
        <is>
          <t>Koh Samui</t>
        </is>
      </c>
      <c r="B15" s="29" t="inlineStr">
        <is>
          <t>Thailand</t>
        </is>
      </c>
      <c r="C15" s="30" t="inlineStr">
        <is>
          <t>Koh Samui (Bangrak) → Don Sak Ferry Harbour</t>
        </is>
      </c>
      <c r="D15" s="31" t="n">
        <v>28.1</v>
      </c>
      <c r="E15" s="26" t="n">
        <v>15.2</v>
      </c>
      <c r="F15" s="32" t="n"/>
      <c r="G15" s="32" t="inlineStr">
        <is>
          <t>T3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MIN(24,FLOOR(60*service_hr/J15,1))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666667</v>
      </c>
      <c r="AH15" s="32" t="inlineStr">
        <is>
          <t>T4</t>
        </is>
      </c>
      <c r="AI15" s="32" t="inlineStr">
        <is>
          <t>med-low</t>
        </is>
      </c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Grounded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n"/>
      <c r="AY15" s="44" t="inlineStr">
        <is>
          <t>Total Samui&lt;-&gt;Donsak crossing (all operators/piers). Raja Ferry Port (SET: RP) disclosed ~1.2M passengers carried in 2017 (+20% YoY) across its Donsak-Samui(Lipa Noi)/Donsak-Phangan network, with a 1.5M target (Samui Times / Koh Samui News quoting RP business plan; RP IPO-era disclosure ~600k/yr 2014, Nation Thailand). Seatran runs 6 vessels ~hourly 05:00-19:00 Nathon&lt;-&gt;Donsak (Tripadvisor/operator). Mode balance: Samui drew ~3.54M tourists 2023 (Forbes/C9) vs ~1.4M airport arrivals (Samui Airport 2.8M total pax 2024, BAREIT one-report 56-1) - the majority of non-air arrivals cross at Donsak.</t>
        </is>
      </c>
    </row>
    <row r="16">
      <c r="A16" s="29" t="inlineStr">
        <is>
          <t>Koh Samui</t>
        </is>
      </c>
      <c r="B16" s="29" t="inlineStr">
        <is>
          <t>Thailand</t>
        </is>
      </c>
      <c r="C16" s="30" t="inlineStr">
        <is>
          <t>Koh Samui → Koh Tao (Mae Haad)</t>
        </is>
      </c>
      <c r="D16" s="31" t="n">
        <v>35.3</v>
      </c>
      <c r="E16" s="26" t="n">
        <v>24.4</v>
      </c>
      <c r="F16" s="32" t="n"/>
      <c r="G16" s="32" t="inlineStr">
        <is>
          <t>T3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400000</v>
      </c>
      <c r="AH16" s="32" t="inlineStr">
        <is>
          <t>T5</t>
        </is>
      </c>
      <c r="AI16" s="32" t="inlineStr">
        <is>
          <t>med-low</t>
        </is>
      </c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Grounded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n"/>
      <c r="AY16" s="44" t="inlineStr">
        <is>
          <t>Koh Tao: 666,778 visitors in 2024 (above pre-Covid; record), 327,000 Jan-May 2025, full-year 2025 forecast &gt;700,000 - Koh Tao Tourism Association / TAT figures via Thairath &amp; Daily News (T2 base). Koh Tao is boat-only (no airport, R3-EXCEPTION: arrivals = crossing ridership). Access splits between the Chumphon side (Bangkok route) and the Samui/Phangan side.</t>
        </is>
      </c>
    </row>
    <row r="17">
      <c r="A17" s="29" t="inlineStr">
        <is>
          <t>Phuket</t>
        </is>
      </c>
      <c r="B17" s="29" t="inlineStr">
        <is>
          <t>Thailand</t>
        </is>
      </c>
      <c r="C17" s="30" t="inlineStr">
        <is>
          <t>Phuket → Krabi (Ao Nang)</t>
        </is>
      </c>
      <c r="D17" s="31" t="n">
        <v>40</v>
      </c>
      <c r="E17" s="26" t="n">
        <v>44</v>
      </c>
      <c r="F17" s="32" t="inlineStr">
        <is>
          <t>T3</t>
        </is>
      </c>
      <c r="G17" s="32" t="inlineStr">
        <is>
          <t>med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Estimated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inlineStr">
        <is>
          <t>Phuket-&gt;Krabi (Ao Nang) speedboat premium tier ~comparable to Phi Phi route ($44). Krabi-specific demand re-source pending.</t>
        </is>
      </c>
      <c r="AY17" s="44" t="inlineStr">
        <is>
          <t>Phi Phi demand moved to new Phuket-&gt;Phi Phi corridor per Jaideep 2026-06-09. Krabi (Ao Nang) demand to be sourced separately. Until then: estimated via country cascade.</t>
        </is>
      </c>
    </row>
    <row r="18">
      <c r="A18" s="29" t="inlineStr">
        <is>
          <t>Phuket</t>
        </is>
      </c>
      <c r="B18" s="29" t="inlineStr">
        <is>
          <t>Thailand</t>
        </is>
      </c>
      <c r="C18" s="30" t="inlineStr">
        <is>
          <t>Phuket → Similan / Surin Islands</t>
        </is>
      </c>
      <c r="D18" s="31" t="n">
        <v>55</v>
      </c>
      <c r="E18" s="26" t="n">
        <v>80</v>
      </c>
      <c r="F18" s="32" t="inlineStr">
        <is>
          <t>T3</t>
        </is>
      </c>
      <c r="G18" s="32" t="inlineStr">
        <is>
          <t>med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580000</v>
      </c>
      <c r="AH18" s="32" t="inlineStr">
        <is>
          <t>T2</t>
        </is>
      </c>
      <c r="AI18" s="32" t="inlineStr">
        <is>
          <t>low</t>
        </is>
      </c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Grounded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Phuket-&gt;Similan/Surin premium shared speedboat day-tour (THB/USD 36): premium catamaran-speedboat tours ~2,500-2,600 THB incl 500 THB park fee+meals from Khao Lak (phiphitours 2,590 THB=$72); Phuket-origin runs higher ~2,900-3,500 THB ($80-97) for the longer 55nm leg. Private charter Phuket-&gt;Similan 50,000-80,000 THB/boat/day (forbesandpartners) = whole-boat, excluded. Premium per-seat anchored ~2,900 THB ($80) net for the longer Phuket origin.</t>
        </is>
      </c>
      <c r="AY18" s="44" t="inlineStr">
        <is>
          <t>Mu Ko Similan NP official visitor statistics (DNP/park clarification, May-2025, via MGR Online https://mgronline.com/uptodate/detail/9680000041761): FY2561(2018)=912,566; FY2562(2019)=676,793; FY2566(2023)=352,701; FY2567(2024)=578,535; FY2568=503,142 as of 30-Apr-2025. Daily cap 3,850 visitors/day (DNP, http://news.dnp.go.th/news/7966). Season: park CLOSED ~May 16 - Oct 14; open season ~212 days/yr (reopened 15-Oct each year, prd.go.th).</t>
        </is>
      </c>
    </row>
    <row r="19">
      <c r="A19" s="45" t="inlineStr">
        <is>
          <t>TOTAL / median</t>
        </is>
      </c>
      <c r="T19" s="46">
        <f>SUM(T4:T18)</f>
        <v/>
      </c>
      <c r="AC19" s="46">
        <f>SUM(AC4:AC18)</f>
        <v/>
      </c>
      <c r="AD19" s="47">
        <f>IF(T19=0,"",AC19/T19)</f>
        <v/>
      </c>
      <c r="AL19" s="48">
        <f>SUM(AL4:AL18)</f>
        <v/>
      </c>
      <c r="AM19" s="46">
        <f>SUM(AM4:AM18)</f>
        <v/>
      </c>
    </row>
    <row r="21">
      <c r="A21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2">
      <c r="A22" s="24" t="inlineStr">
        <is>
          <t>Market</t>
        </is>
      </c>
      <c r="B22" s="24" t="inlineStr">
        <is>
          <t>Fleet basis</t>
        </is>
      </c>
      <c r="C22" s="24" t="inlineStr">
        <is>
          <t>Raw vessels (sum)</t>
        </is>
      </c>
      <c r="D22" s="24" t="inlineStr">
        <is>
          <t>Fleet (rounded once)</t>
        </is>
      </c>
      <c r="E22" s="24" t="inlineStr">
        <is>
          <t>Market rev/yr (raw sum)</t>
        </is>
      </c>
    </row>
    <row r="23">
      <c r="A23" s="25" t="inlineStr">
        <is>
          <t>Bangkok</t>
        </is>
      </c>
      <c r="B23" s="13" t="inlineStr">
        <is>
          <t>network_sum / ceil</t>
        </is>
      </c>
      <c r="C23" s="23">
        <f>SUMIFS(AN4:AN18,A4:A18,"Bangkok",AP4:AP18,"=",AQ4:AQ18,"Grounded")</f>
        <v/>
      </c>
      <c r="D23" s="49">
        <f>IF(C23=0,0,CEILING(C23,1))</f>
        <v/>
      </c>
      <c r="E23" s="50">
        <f>SUMIFS(AO4:AO18,A4:A18,"Bangkok",AP4:AP18,"=",AQ4:AQ18,"Grounded")</f>
        <v/>
      </c>
    </row>
    <row r="24">
      <c r="A24" s="25" t="inlineStr">
        <is>
          <t>Koh Samui</t>
        </is>
      </c>
      <c r="B24" s="13" t="inlineStr">
        <is>
          <t>network_sum / ceil</t>
        </is>
      </c>
      <c r="C24" s="23">
        <f>SUMIFS(AN4:AN18,A4:A18,"Koh Samui",AP4:AP18,"=",AQ4:AQ18,"Grounded")</f>
        <v/>
      </c>
      <c r="D24" s="49">
        <f>IF(C24=0,0,CEILING(C24,1))</f>
        <v/>
      </c>
      <c r="E24" s="50">
        <f>SUMIFS(AO4:AO18,A4:A18,"Koh Samui",AP4:AP18,"=",AQ4:AQ18,"Grounded")</f>
        <v/>
      </c>
    </row>
    <row r="25">
      <c r="A25" s="25" t="inlineStr">
        <is>
          <t>Phuket</t>
        </is>
      </c>
      <c r="B25" s="13" t="inlineStr">
        <is>
          <t>network_sum / ceil</t>
        </is>
      </c>
      <c r="C25" s="23">
        <f>SUMIFS(AN4:AN18,A4:A18,"Phuket",AP4:AP18,"=",AQ4:AQ18,"Grounded")</f>
        <v/>
      </c>
      <c r="D25" s="49">
        <f>IF(C25=0,0,CEILING(C25,1))</f>
        <v/>
      </c>
      <c r="E25" s="50">
        <f>SUMIFS(AO4:AO18,A4:A18,"Phuket",AP4:AP18,"=",AQ4:AQ18,"Grounded")</f>
        <v/>
      </c>
    </row>
    <row r="26">
      <c r="A26" s="45" t="inlineStr">
        <is>
          <t>GROUNDED FLOOR (PUBLISHED)</t>
        </is>
      </c>
      <c r="D26" s="48">
        <f>SUM(D23:D25)</f>
        <v/>
      </c>
      <c r="E26" s="46">
        <f>SUM(E23:E25)</f>
        <v/>
      </c>
    </row>
    <row r="27">
      <c r="A27" s="20" t="inlineStr">
        <is>
          <t>ESTIMATED DEMAND (country-median cascade; held OUT of grounded floor)</t>
        </is>
      </c>
      <c r="D27" s="51">
        <f>SUMIF(AQ4:AQ18,"Estimated",AL4:AL18)</f>
        <v/>
      </c>
      <c r="E27" s="52">
        <f>SUMIF(AQ4:AQ18,"Estimated",AM4:AM18)</f>
        <v/>
      </c>
    </row>
    <row r="28">
      <c r="A28" s="53" t="inlineStr">
        <is>
          <t>Held for Quanta-LR (&gt;70nm, roadmap H2 2026+):</t>
        </is>
      </c>
      <c r="C28" s="54" t="inlineStr">
        <is>
          <t>Phuket → Langkawi (cross-border, regional reach) (107nm)</t>
        </is>
      </c>
    </row>
    <row r="29">
      <c r="C29" s="54" t="inlineStr">
        <is>
          <t>Phuket → Langkawi (cross-border, regional reach) (107nm)</t>
        </is>
      </c>
    </row>
  </sheetData>
  <mergeCells count="2">
    <mergeCell ref="A21:L2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0.0968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2026-06-22T16:11:06Z</dcterms:created>
  <dcterms:modified xsi:type="dcterms:W3CDTF">2026-06-22T16:11:06Z</dcterms:modified>
</cp:coreProperties>
</file>