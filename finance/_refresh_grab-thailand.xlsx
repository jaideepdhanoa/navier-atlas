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Assumptions" sheetId="2" state="visible" r:id="rId2"/>
    <sheet name="Country opex" sheetId="3" state="visible" r:id="rId3"/>
    <sheet name="Corridor economics" sheetId="4" state="visible" r:id="rId4"/>
    <sheet name="Market sizing" sheetId="5" state="visible" r:id="rId5"/>
  </sheets>
  <definedNames>
    <definedName name="pax_cap">'Assumptions'!$B$5</definedName>
    <definedName name="range_nm">'Assumptions'!$B$6</definedName>
    <definedName name="cruise_kt">'Assumptions'!$B$7</definedName>
    <definedName name="capex">'Assumptions'!$B$8</definedName>
    <definedName name="battery">'Assumptions'!$B$9</definedName>
    <definedName name="maint">'Assumptions'!$B$10</definedName>
    <definedName name="dep_years">'Assumptions'!$B$11</definedName>
    <definedName name="diesel_nmpg">'Assumptions'!$B$12</definedName>
    <definedName name="service_hr">'Assumptions'!$B$16</definedName>
    <definedName name="turn_min">'Assumptions'!$B$17</definedName>
    <definedName name="dwell_min">'Assumptions'!$B$18</definedName>
    <definedName name="max_tpd">'Assumptions'!$B$19</definedName>
    <definedName name="crew_factor">'Assumptions'!$B$20</definedName>
    <definedName name="mech_uptime">'Assumptions'!$B$21</definedName>
    <definedName name="capture">'Assumptions'!$B$22</definedName>
    <definedName name="capture_captive">'Assumptions'!$B$23</definedName>
    <definedName name="discount">'Assumptions'!$B$24</definedName>
    <definedName name="diesel_co2pg">'Assumptions'!$B$25</definedName>
    <definedName name="ins_pct">'Assumptions'!$B$29</definedName>
    <definedName name="charge_berth">'Assumptions'!$B$30</definedName>
    <definedName name="load_thin">'Assumptions'!$B$34</definedName>
    <definedName name="revleg_thin">'Assumptions'!$C$34</definedName>
    <definedName name="load_mid">'Assumptions'!$B$35</definedName>
    <definedName name="revleg_mid">'Assumptions'!$C$35</definedName>
    <definedName name="load_full">'Assumptions'!$B$36</definedName>
    <definedName name="revleg_full">'Assumptions'!$C$36</definedName>
    <definedName name="band_tbl">'Assumptions'!$A$34:$C$36</definedName>
    <definedName name="scenario">'Assumptions'!$B$38</definedName>
    <definedName name="load_sel">'Assumptions'!$B$39</definedName>
    <definedName name="revleg_sel">'Assumptions'!$B$40</definedName>
    <definedName name="country_opex">'Country opex'!$A$4:$G$4</definedName>
    <definedName name="som_floor_fleet">'Corridor economics'!$D$39</definedName>
    <definedName name="som_floor_rev">'Corridor economics'!$E$39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"/>
    <numFmt numFmtId="165" formatCode="0.0%"/>
    <numFmt numFmtId="166" formatCode="&quot;$&quot;#,##0.00"/>
    <numFmt numFmtId="167" formatCode="#,##0.0"/>
  </numFmts>
  <fonts count="13">
    <font>
      <name val="Calibri"/>
      <family val="2"/>
      <color theme="1"/>
      <sz val="11"/>
      <scheme val="minor"/>
    </font>
    <font>
      <b val="1"/>
      <color rgb="00FFFFFF"/>
      <sz val="16"/>
    </font>
    <font>
      <b val="1"/>
    </font>
    <font>
      <name val="Consolas"/>
      <sz val="10"/>
    </font>
    <font>
      <b val="1"/>
      <color rgb="00FFFFFF"/>
      <sz val="12"/>
    </font>
    <font>
      <b val="1"/>
      <color rgb="00FFFFFF"/>
      <sz val="9"/>
    </font>
    <font>
      <color rgb="00555555"/>
      <sz val="9"/>
    </font>
    <font>
      <b val="1"/>
      <sz val="12"/>
    </font>
    <font>
      <sz val="9"/>
    </font>
    <font>
      <color rgb="00555555"/>
      <sz val="8"/>
    </font>
    <font>
      <color rgb="009C4500"/>
      <sz val="8"/>
    </font>
    <font>
      <b val="1"/>
      <i val="1"/>
      <sz val="9"/>
    </font>
    <font>
      <i val="1"/>
      <sz val="9"/>
    </font>
  </fonts>
  <fills count="9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DCE6F1"/>
      </patternFill>
    </fill>
    <fill>
      <patternFill patternType="solid">
        <fgColor rgb="00FFF2CC"/>
      </patternFill>
    </fill>
    <fill>
      <patternFill patternType="solid">
        <fgColor rgb="00EAF3EA"/>
      </patternFill>
    </fill>
    <fill>
      <patternFill patternType="solid">
        <fgColor rgb="002E5A88"/>
      </patternFill>
    </fill>
    <fill>
      <patternFill patternType="solid">
        <fgColor rgb="00FCE4D6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5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3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4" fillId="2" borderId="0" pivotButton="0" quotePrefix="0" xfId="0"/>
    <xf numFmtId="0" fontId="4" fillId="6" borderId="0" pivotButton="0" quotePrefix="0" xfId="0"/>
    <xf numFmtId="0" fontId="5" fillId="6" borderId="1" applyAlignment="1" pivotButton="0" quotePrefix="0" xfId="0">
      <alignment horizontal="center" vertical="center"/>
    </xf>
    <xf numFmtId="0" fontId="0" fillId="0" borderId="1" pivotButton="0" quotePrefix="0" xfId="0"/>
    <xf numFmtId="3" fontId="2" fillId="4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vertical="top" wrapText="1"/>
    </xf>
    <xf numFmtId="164" fontId="2" fillId="4" borderId="1" applyAlignment="1" pivotButton="0" quotePrefix="0" xfId="0">
      <alignment horizontal="center" vertical="center"/>
    </xf>
    <xf numFmtId="4" fontId="2" fillId="4" borderId="1" applyAlignment="1" pivotButton="0" quotePrefix="0" xfId="0">
      <alignment horizontal="center" vertical="center"/>
    </xf>
    <xf numFmtId="165" fontId="2" fillId="4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4" fontId="0" fillId="4" borderId="1" applyAlignment="1" pivotButton="0" quotePrefix="0" xfId="0">
      <alignment horizontal="center" vertical="center"/>
    </xf>
    <xf numFmtId="0" fontId="2" fillId="7" borderId="1" pivotButton="0" quotePrefix="0" xfId="0"/>
    <xf numFmtId="0" fontId="7" fillId="7" borderId="1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4" fontId="0" fillId="5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 wrapText="1"/>
    </xf>
    <xf numFmtId="0" fontId="2" fillId="0" borderId="1" pivotButton="0" quotePrefix="0" xfId="0"/>
    <xf numFmtId="164" fontId="0" fillId="4" borderId="1" applyAlignment="1" pivotButton="0" quotePrefix="0" xfId="0">
      <alignment horizontal="center" vertical="center"/>
    </xf>
    <xf numFmtId="166" fontId="0" fillId="4" borderId="1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 vertical="center"/>
    </xf>
    <xf numFmtId="0" fontId="6" fillId="4" borderId="1" pivotButton="0" quotePrefix="0" xfId="0"/>
    <xf numFmtId="0" fontId="8" fillId="4" borderId="1" applyAlignment="1" pivotButton="0" quotePrefix="0" xfId="0">
      <alignment vertical="top" wrapText="1"/>
    </xf>
    <xf numFmtId="3" fontId="0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167" fontId="8" fillId="5" borderId="1" applyAlignment="1" pivotButton="0" quotePrefix="0" xfId="0">
      <alignment horizontal="center" vertical="center"/>
    </xf>
    <xf numFmtId="3" fontId="8" fillId="5" borderId="1" applyAlignment="1" pivotButton="0" quotePrefix="0" xfId="0">
      <alignment horizontal="center" vertical="center"/>
    </xf>
    <xf numFmtId="165" fontId="8" fillId="5" borderId="1" applyAlignment="1" pivotButton="0" quotePrefix="0" xfId="0">
      <alignment horizontal="center" vertical="center"/>
    </xf>
    <xf numFmtId="4" fontId="8" fillId="5" borderId="1" applyAlignment="1" pivotButton="0" quotePrefix="0" xfId="0">
      <alignment horizontal="center" vertical="center"/>
    </xf>
    <xf numFmtId="166" fontId="8" fillId="5" borderId="1" applyAlignment="1" pivotButton="0" quotePrefix="0" xfId="0">
      <alignment horizontal="center" vertical="center"/>
    </xf>
    <xf numFmtId="164" fontId="8" fillId="5" borderId="1" applyAlignment="1" pivotButton="0" quotePrefix="0" xfId="0">
      <alignment horizontal="center" vertical="center"/>
    </xf>
    <xf numFmtId="165" fontId="0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vertical="top" wrapText="1"/>
    </xf>
    <xf numFmtId="0" fontId="10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4" fontId="8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vertical="top" wrapText="1"/>
    </xf>
    <xf numFmtId="0" fontId="2" fillId="3" borderId="1" pivotButton="0" quotePrefix="0" xfId="0"/>
    <xf numFmtId="164" fontId="2" fillId="3" borderId="1" applyAlignment="1" pivotButton="0" quotePrefix="0" xfId="0">
      <alignment horizontal="center" vertical="center"/>
    </xf>
    <xf numFmtId="165" fontId="2" fillId="3" borderId="1" applyAlignment="1" pivotButton="0" quotePrefix="0" xfId="0">
      <alignment horizontal="center" vertical="center"/>
    </xf>
    <xf numFmtId="3" fontId="2" fillId="3" borderId="1" applyAlignment="1" pivotButton="0" quotePrefix="0" xfId="0">
      <alignment horizontal="center" vertical="center"/>
    </xf>
    <xf numFmtId="3" fontId="0" fillId="5" borderId="1" applyAlignment="1" pivotButton="0" quotePrefix="0" xfId="0">
      <alignment horizontal="center" vertical="center"/>
    </xf>
    <xf numFmtId="164" fontId="0" fillId="5" borderId="1" applyAlignment="1" pivotButton="0" quotePrefix="0" xfId="0">
      <alignment horizontal="center" vertical="center"/>
    </xf>
    <xf numFmtId="3" fontId="2" fillId="7" borderId="1" applyAlignment="1" pivotButton="0" quotePrefix="0" xfId="0">
      <alignment horizontal="center" vertical="center"/>
    </xf>
    <xf numFmtId="164" fontId="2" fillId="7" borderId="1" applyAlignment="1" pivotButton="0" quotePrefix="0" xfId="0">
      <alignment horizontal="center" vertical="center"/>
    </xf>
    <xf numFmtId="0" fontId="11" fillId="0" borderId="0" applyAlignment="1" pivotButton="0" quotePrefix="0" xfId="0">
      <alignment vertical="center"/>
    </xf>
    <xf numFmtId="0" fontId="12" fillId="0" borderId="0" applyAlignment="1" pivotButton="0" quotePrefix="0" xfId="0">
      <alignment vertical="top" wrapText="1"/>
    </xf>
    <xf numFmtId="0" fontId="2" fillId="0" borderId="0" pivotButton="0" quotePrefix="0" xfId="0"/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20" customWidth="1" min="2" max="2"/>
  </cols>
  <sheetData>
    <row r="2" ht="34" customHeight="1">
      <c r="B2" s="1" t="inlineStr">
        <is>
          <t>Navier × Grab-Thailand — Corridor Unit Economics</t>
        </is>
      </c>
    </row>
    <row r="4">
      <c r="B4" s="2" t="inlineStr"/>
    </row>
    <row r="5">
      <c r="B5" s="3" t="inlineStr">
        <is>
          <t>What this is</t>
        </is>
      </c>
    </row>
    <row r="6">
      <c r="B6" s="2" t="inlineStr">
        <is>
          <t>A standalone, transparent unit-economics model for the per-seat electric-shuttle business on each partner corridor. Every output is a live formula you can click and trace back to one named assumption cell. Nothing is hardcoded.</t>
        </is>
      </c>
    </row>
    <row r="7">
      <c r="B7" s="2" t="inlineStr"/>
    </row>
    <row r="8">
      <c r="B8" s="3" t="inlineStr">
        <is>
          <t>The one equation (per boat, per year)</t>
        </is>
      </c>
    </row>
    <row r="9">
      <c r="B9" s="4" t="inlineStr">
        <is>
          <t>REVENUE = trips/day × operating days/yr × revenue-leg factor × (pax capacity × load factor) × Navier fare</t>
        </is>
      </c>
    </row>
    <row r="10">
      <c r="B10" s="5" t="inlineStr">
        <is>
          <t xml:space="preserve">    trips/day      = FLOOR(service window hr ÷ cycle time);  cycle = one-way time + turnaround</t>
        </is>
      </c>
    </row>
    <row r="11">
      <c r="B11" s="5" t="inlineStr">
        <is>
          <t xml:space="preserve">    one-way time   = distance(nm) ÷ cruise speed(kt)</t>
        </is>
      </c>
    </row>
    <row r="12">
      <c r="B12" s="5" t="inlineStr">
        <is>
          <t xml:space="preserve">    operating days = 365 × mechanical uptime × weather factor</t>
        </is>
      </c>
    </row>
    <row r="13">
      <c r="B13" s="5" t="inlineStr">
        <is>
          <t xml:space="preserve">    Navier fare    = comparable premium transfer fare × discount (=1.0, market parity)</t>
        </is>
      </c>
    </row>
    <row r="14">
      <c r="B14" s="4" t="inlineStr">
        <is>
          <t>EBITDA  = REVENUE − OPEX</t>
        </is>
      </c>
    </row>
    <row r="15">
      <c r="B15" s="5" t="inlineStr">
        <is>
          <t xml:space="preserve">    OPEX = energy + crew + berth/port admin + maintenance + vessel insurance + fast-charge berth</t>
        </is>
      </c>
    </row>
    <row r="16">
      <c r="B16" s="4" t="inlineStr">
        <is>
          <t>PAYBACK = vessel CAPEX ÷ EBITDA</t>
        </is>
      </c>
    </row>
    <row r="17">
      <c r="B17" s="2" t="inlineStr"/>
    </row>
    <row r="18">
      <c r="B18" s="3" t="inlineStr">
        <is>
          <t>OPEX lines (per boat, per year — no double-counting)</t>
        </is>
      </c>
    </row>
    <row r="19">
      <c r="B19" s="2" t="inlineStr">
        <is>
          <t>Energy — variable propulsion cost: kWh on revenue sailings × local $/kWh (Country opex tab). Excludes utility demand charges.</t>
        </is>
      </c>
    </row>
    <row r="20">
      <c r="B20" s="2" t="inlineStr">
        <is>
          <t>Crew — fully-loaded captain + relief: local captain wage × crew FTE factor (Country opex + Assumptions).</t>
        </is>
      </c>
    </row>
    <row r="21">
      <c r="B21" s="2" t="inlineStr">
        <is>
          <t>Berth &amp; port admin — fixed annual berth, port fees, and local marine admin (Country opex tab). Excludes vessel H&amp;M+P&amp;I and fast-charge infrastructure.</t>
        </is>
      </c>
    </row>
    <row r="22">
      <c r="B22" s="2" t="inlineStr">
        <is>
          <t>Maintenance — vessel annual maintenance reserve (Assumptions tab).</t>
        </is>
      </c>
    </row>
    <row r="23">
      <c r="B23" s="2" t="inlineStr">
        <is>
          <t>Vessel insurance — commercial H&amp;M + P&amp;I as % of regional CAPEX (Assumptions % × Country opex CAPEX column).</t>
        </is>
      </c>
    </row>
    <row r="24">
      <c r="B24" s="2" t="inlineStr">
        <is>
          <t>Fast-charge berth — dedicated fast-charge berth slot + utility demand charges (Assumptions default; overridable per market). Separate from per-kWh energy and berth/port admin.</t>
        </is>
      </c>
    </row>
    <row r="25">
      <c r="B25" s="2" t="inlineStr"/>
    </row>
    <row r="26">
      <c r="B26" s="3" t="inlineStr">
        <is>
          <t>From demand pool to fleet &amp; market size</t>
        </is>
      </c>
    </row>
    <row r="27">
      <c r="B27" s="5" t="inlineStr">
        <is>
          <t>Navier serviceable rides/yr = corridor demand pool × capture rate (10% on contested corridors; ~90% on captive sole-operator transfer legs — see the per-row Capture % column)</t>
        </is>
      </c>
    </row>
    <row r="28">
      <c r="B28" s="2" t="inlineStr">
        <is>
          <t>Vessels supported = FLOOR(Navier rides/yr ÷ pax/yr per boat);  Market rev = vessels × rev/boat. The 'Market sizing' tab rolls these up into the SOM → SAM → TAM ladder.</t>
        </is>
      </c>
    </row>
    <row r="29">
      <c r="B29" s="2" t="inlineStr"/>
    </row>
    <row r="30">
      <c r="B30" s="3" t="inlineStr">
        <is>
          <t>The scenario toggle (what we flex)</t>
        </is>
      </c>
    </row>
    <row r="31">
      <c r="B31" s="2" t="inlineStr">
        <is>
          <t>'Corridor economics' has a SCENARIO cell = THIN / MID / FULL. It flexes load factor (occupancy) and revenue-leg factor (share of legs that earn full fare). Max trips/day is fixed across all three bands (see Assumptions). MID is the headline. Change SCENARIO and the whole model recomputes. Payback THIN/MID/FULL columns always show all three at once.</t>
        </is>
      </c>
    </row>
    <row r="32">
      <c r="B32" s="2" t="inlineStr"/>
    </row>
    <row r="33">
      <c r="B33" s="3" t="inlineStr">
        <is>
          <t>Colour &amp; provenance legend</t>
        </is>
      </c>
    </row>
    <row r="34">
      <c r="B34" s="6" t="inlineStr">
        <is>
          <t xml:space="preserve">   Yellow = INPUTS you can change (fare, distance, demand, weather).</t>
        </is>
      </c>
    </row>
    <row r="35">
      <c r="B35" s="7" t="inlineStr">
        <is>
          <t xml:space="preserve">   Green  = COMPUTED by formula.</t>
        </is>
      </c>
    </row>
    <row r="36">
      <c r="B36" s="2" t="inlineStr">
        <is>
          <t xml:space="preserve">   Every fare &amp; demand figure carries a Source tier (T1 official → T5 modeled) + Confidence (high/med/low). Null beats a wrong number: no published pool → blank, not a guess.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2" customWidth="1" min="3" max="3"/>
    <col width="8" customWidth="1" min="4" max="4"/>
    <col width="9" customWidth="1" min="5" max="5"/>
    <col width="72" customWidth="1" min="6" max="6"/>
  </cols>
  <sheetData>
    <row r="1">
      <c r="A1" s="8" t="inlineStr">
        <is>
          <t>Assumptions — single source of truth (the engine references these named cells)</t>
        </is>
      </c>
    </row>
    <row r="3">
      <c r="A3" s="9" t="inlineStr">
        <is>
          <t>Vessel — N30 Pioneer II  (L1 global, commercial now)</t>
        </is>
      </c>
    </row>
    <row r="4">
      <c r="A4" s="10" t="inlineStr">
        <is>
          <t>Parameter</t>
        </is>
      </c>
      <c r="B4" s="10" t="inlineStr">
        <is>
          <t>Value</t>
        </is>
      </c>
      <c r="C4" s="10" t="inlineStr">
        <is>
          <t>Unit</t>
        </is>
      </c>
      <c r="D4" s="10" t="inlineStr">
        <is>
          <t>Tier</t>
        </is>
      </c>
      <c r="E4" s="10" t="inlineStr">
        <is>
          <t>Conf.</t>
        </is>
      </c>
      <c r="F4" s="10" t="inlineStr">
        <is>
          <t>Source / note</t>
        </is>
      </c>
    </row>
    <row r="5">
      <c r="A5" s="11" t="inlineStr">
        <is>
          <t>Passenger capacity</t>
        </is>
      </c>
      <c r="B5" s="12" t="n">
        <v>8</v>
      </c>
      <c r="C5" s="13" t="inlineStr">
        <is>
          <t>pax</t>
        </is>
      </c>
      <c r="D5" s="13" t="inlineStr">
        <is>
          <t>T1</t>
        </is>
      </c>
      <c r="E5" s="13" t="inlineStr">
        <is>
          <t>high</t>
        </is>
      </c>
      <c r="F5" s="14" t="inlineStr">
        <is>
          <t>Navier model: up to 8 pax where local rules allow (Jaideep set base case to 8, 2026-06-06)</t>
        </is>
      </c>
    </row>
    <row r="6">
      <c r="A6" s="11" t="inlineStr">
        <is>
          <t>Range</t>
        </is>
      </c>
      <c r="B6" s="12" t="n">
        <v>70</v>
      </c>
      <c r="C6" s="13" t="inlineStr">
        <is>
          <t>nm</t>
        </is>
      </c>
      <c r="D6" s="13" t="inlineStr">
        <is>
          <t>T1</t>
        </is>
      </c>
      <c r="E6" s="13" t="inlineStr">
        <is>
          <t>high</t>
        </is>
      </c>
      <c r="F6" s="14" t="inlineStr">
        <is>
          <t>Navier locked spec (KB)</t>
        </is>
      </c>
    </row>
    <row r="7">
      <c r="A7" s="11" t="inlineStr">
        <is>
          <t>Cruise speed</t>
        </is>
      </c>
      <c r="B7" s="12" t="n">
        <v>20</v>
      </c>
      <c r="C7" s="13" t="inlineStr">
        <is>
          <t>kt</t>
        </is>
      </c>
      <c r="D7" s="13" t="inlineStr">
        <is>
          <t>T1</t>
        </is>
      </c>
      <c r="E7" s="13" t="inlineStr">
        <is>
          <t>high</t>
        </is>
      </c>
      <c r="F7" s="14" t="inlineStr">
        <is>
          <t>Navier locked spec (cruise)</t>
        </is>
      </c>
    </row>
    <row r="8">
      <c r="A8" s="11" t="inlineStr">
        <is>
          <t>CAPEX (per vessel; US/EU base — ROW=$600K, see Country opex tab col G)</t>
        </is>
      </c>
      <c r="B8" s="15" t="n">
        <v>900000</v>
      </c>
      <c r="C8" s="13" t="inlineStr">
        <is>
          <t>USD</t>
        </is>
      </c>
      <c r="D8" s="13" t="inlineStr">
        <is>
          <t>T1</t>
        </is>
      </c>
      <c r="E8" s="13" t="inlineStr">
        <is>
          <t>high</t>
        </is>
      </c>
      <c r="F8" s="14" t="inlineStr">
        <is>
          <t>Navier price (LYFT ref model, ex tax/fees)</t>
        </is>
      </c>
    </row>
    <row r="9">
      <c r="A9" s="11" t="inlineStr">
        <is>
          <t>Battery</t>
        </is>
      </c>
      <c r="B9" s="12" t="n">
        <v>114</v>
      </c>
      <c r="C9" s="13" t="inlineStr">
        <is>
          <t>kWh</t>
        </is>
      </c>
      <c r="D9" s="13" t="inlineStr">
        <is>
          <t>T1</t>
        </is>
      </c>
      <c r="E9" s="13" t="inlineStr">
        <is>
          <t>high</t>
        </is>
      </c>
      <c r="F9" s="14" t="inlineStr">
        <is>
          <t>Navier data (LYFT ref model)</t>
        </is>
      </c>
    </row>
    <row r="10">
      <c r="A10" s="11" t="inlineStr">
        <is>
          <t>Annual maintenance</t>
        </is>
      </c>
      <c r="B10" s="15" t="n">
        <v>10000</v>
      </c>
      <c r="C10" s="13" t="inlineStr">
        <is>
          <t>USD/yr</t>
        </is>
      </c>
      <c r="D10" s="13" t="inlineStr">
        <is>
          <t>T1</t>
        </is>
      </c>
      <c r="E10" s="13" t="inlineStr">
        <is>
          <t>med</t>
        </is>
      </c>
      <c r="F10" s="14" t="inlineStr">
        <is>
          <t>Navier data (LYFT ref model)</t>
        </is>
      </c>
    </row>
    <row r="11">
      <c r="A11" s="11" t="inlineStr">
        <is>
          <t>Depreciation life</t>
        </is>
      </c>
      <c r="B11" s="12" t="n">
        <v>20</v>
      </c>
      <c r="C11" s="13" t="inlineStr">
        <is>
          <t>yr</t>
        </is>
      </c>
      <c r="D11" s="13" t="inlineStr">
        <is>
          <t>T2</t>
        </is>
      </c>
      <c r="E11" s="13" t="inlineStr">
        <is>
          <t>med</t>
        </is>
      </c>
      <c r="F11" s="14" t="inlineStr">
        <is>
          <t>Marine-vessel market best practice (Jaideep locked 2026-06-07): commercial passenger vessels straight-line over ~20-25yr useful life; corroborated by Sampriti founder Jan-2024 operating model (20yr). Was placeholder 10yr.</t>
        </is>
      </c>
    </row>
    <row r="12">
      <c r="A12" s="11" t="inlineStr">
        <is>
          <t>Diesel comparable economy</t>
        </is>
      </c>
      <c r="B12" s="16" t="n">
        <v>1.5</v>
      </c>
      <c r="C12" s="13" t="inlineStr">
        <is>
          <t>nm/gal</t>
        </is>
      </c>
      <c r="D12" s="13" t="inlineStr">
        <is>
          <t>T3</t>
        </is>
      </c>
      <c r="E12" s="13" t="inlineStr">
        <is>
          <t>med</t>
        </is>
      </c>
      <c r="F12" s="14" t="inlineStr">
        <is>
          <t>Navier + open web (LYFT ref model)</t>
        </is>
      </c>
    </row>
    <row r="14">
      <c r="A14" s="9" t="inlineStr">
        <is>
          <t>Operating defaults  (L1 global; overridable per market)</t>
        </is>
      </c>
    </row>
    <row r="15">
      <c r="A15" s="10" t="inlineStr">
        <is>
          <t>Parameter</t>
        </is>
      </c>
      <c r="B15" s="10" t="inlineStr">
        <is>
          <t>Value</t>
        </is>
      </c>
      <c r="C15" s="10" t="inlineStr">
        <is>
          <t>Unit</t>
        </is>
      </c>
      <c r="D15" s="10" t="inlineStr">
        <is>
          <t>Tier</t>
        </is>
      </c>
      <c r="E15" s="10" t="inlineStr">
        <is>
          <t>Conf.</t>
        </is>
      </c>
      <c r="F15" s="10" t="inlineStr">
        <is>
          <t>Source / note</t>
        </is>
      </c>
    </row>
    <row r="16">
      <c r="A16" s="11" t="inlineStr">
        <is>
          <t>Service window</t>
        </is>
      </c>
      <c r="B16" s="12" t="n">
        <v>12</v>
      </c>
      <c r="C16" s="13" t="inlineStr">
        <is>
          <t>hr/day</t>
        </is>
      </c>
      <c r="D16" s="13" t="inlineStr">
        <is>
          <t>T5</t>
        </is>
      </c>
      <c r="E16" s="13" t="inlineStr">
        <is>
          <t>low</t>
        </is>
      </c>
      <c r="F16" s="14" t="inlineStr">
        <is>
          <t>Modeled single-asset commercial service window (one extended crew day, water-taxi norm). Conservative vs 24h.</t>
        </is>
      </c>
    </row>
    <row r="17">
      <c r="A17" s="11" t="inlineStr">
        <is>
          <t>Turnaround / charge per leg</t>
        </is>
      </c>
      <c r="B17" s="12" t="n">
        <v>20</v>
      </c>
      <c r="C17" s="13" t="inlineStr">
        <is>
          <t>min</t>
        </is>
      </c>
      <c r="D17" s="13" t="inlineStr">
        <is>
          <t>T1</t>
        </is>
      </c>
      <c r="E17" s="13" t="inlineStr">
        <is>
          <t>med</t>
        </is>
      </c>
      <c r="F17" s="14" t="inlineStr">
        <is>
          <t>Navier fast-charge (LYFT ref ~20-30min)</t>
        </is>
      </c>
    </row>
    <row r="18">
      <c r="A18" s="11" t="inlineStr">
        <is>
          <t>Boarding / scheduling dwell per leg</t>
        </is>
      </c>
      <c r="B18" s="12" t="n">
        <v>10</v>
      </c>
      <c r="C18" s="13" t="inlineStr">
        <is>
          <t>min</t>
        </is>
      </c>
      <c r="D18" s="13" t="inlineStr">
        <is>
          <t>T3</t>
        </is>
      </c>
      <c r="E18" s="13" t="inlineStr">
        <is>
          <t>med</t>
        </is>
      </c>
      <c r="F18" s="14" t="inlineStr">
        <is>
          <t>Premium board/deboard + scheduling slack added to each cycle (Jaideep 2026-06-19).</t>
        </is>
      </c>
    </row>
    <row r="19">
      <c r="A19" s="11" t="inlineStr">
        <is>
          <t>Max revenue sailings/day (cap)</t>
        </is>
      </c>
      <c r="B19" s="12" t="n">
        <v>15</v>
      </c>
      <c r="C19" s="13" t="inlineStr">
        <is>
          <t>legs/day</t>
        </is>
      </c>
      <c r="D19" s="13" t="inlineStr">
        <is>
          <t>T3</t>
        </is>
      </c>
      <c r="E19" s="13" t="inlineStr">
        <is>
          <t>med</t>
        </is>
      </c>
      <c r="F19" s="14" t="inlineStr">
        <is>
          <t>Cap on revenue sailings/day — 15 across thin/mid/full scenarios (Jaideep 2026-06-21).</t>
        </is>
      </c>
    </row>
    <row r="20">
      <c r="A20" s="11" t="inlineStr">
        <is>
          <t>Crew FTE factor (x captain wage)</t>
        </is>
      </c>
      <c r="B20" s="16" t="n">
        <v>1.8</v>
      </c>
      <c r="C20" s="13" t="inlineStr">
        <is>
          <t>x</t>
        </is>
      </c>
      <c r="D20" s="13" t="inlineStr">
        <is>
          <t>T3</t>
        </is>
      </c>
      <c r="E20" s="13" t="inlineStr">
        <is>
          <t>med</t>
        </is>
      </c>
      <c r="F20" s="14" t="inlineStr">
        <is>
          <t>A captain can't run 7 days/wk; 1.8 FTE covers relief/leave/second-shift year-round (Jaideep 2026-06-19). Scales off localized captain wage.</t>
        </is>
      </c>
    </row>
    <row r="21">
      <c r="A21" s="11" t="inlineStr">
        <is>
          <t>Mechanical uptime</t>
        </is>
      </c>
      <c r="B21" s="17" t="n">
        <v>0.75</v>
      </c>
      <c r="C21" s="13" t="inlineStr">
        <is>
          <t>frac</t>
        </is>
      </c>
      <c r="D21" s="13" t="inlineStr">
        <is>
          <t>T4</t>
        </is>
      </c>
      <c r="E21" s="13" t="inlineStr">
        <is>
          <t>med</t>
        </is>
      </c>
      <c r="F21" s="14" t="inlineStr">
        <is>
          <t>Blade luxury aviation ~75-80% reliability uptime</t>
        </is>
      </c>
    </row>
    <row r="22">
      <c r="A22" s="11" t="inlineStr">
        <is>
          <t>Navier capture rate</t>
        </is>
      </c>
      <c r="B22" s="17" t="n">
        <v>0.1</v>
      </c>
      <c r="C22" s="13" t="inlineStr">
        <is>
          <t>frac</t>
        </is>
      </c>
      <c r="D22" s="13" t="inlineStr"/>
      <c r="E22" s="13" t="inlineStr">
        <is>
          <t>med</t>
        </is>
      </c>
      <c r="F22" s="14" t="inlineStr">
        <is>
          <t>Navier wins ~10% of a CONTESTED corridor demand pool (locked). Captive sole-operator transfer legs (captive:true / luxury_charter / hospitality archetypes) carry the captive rate instead — see per-row Capture %.</t>
        </is>
      </c>
    </row>
    <row r="23">
      <c r="A23" s="11" t="inlineStr">
        <is>
          <t>Captive capture rate (A′ corridors)</t>
        </is>
      </c>
      <c r="B23" s="17" t="n">
        <v>0.9</v>
      </c>
      <c r="C23" s="13" t="inlineStr">
        <is>
          <t>frac</t>
        </is>
      </c>
      <c r="D23" s="13" t="inlineStr"/>
      <c r="E23" s="13" t="inlineStr">
        <is>
          <t>med</t>
        </is>
      </c>
      <c r="F23" s="14" t="inlineStr">
        <is>
          <t>Sole-operator water-access-only transfer legs (captive:true or luxury_charter/hospitality archetype): Navier IS the transfer fleet — capture ~90%. Applied per-row in the Capture % column.</t>
        </is>
      </c>
    </row>
    <row r="24">
      <c r="A24" s="11" t="inlineStr">
        <is>
          <t>Discount factor (vs comparable fare)</t>
        </is>
      </c>
      <c r="B24" s="16" t="n">
        <v>1</v>
      </c>
      <c r="C24" s="13" t="inlineStr">
        <is>
          <t>frac</t>
        </is>
      </c>
      <c r="D24" s="13" t="inlineStr">
        <is>
          <t>T1</t>
        </is>
      </c>
      <c r="E24" s="13" t="inlineStr">
        <is>
          <t>high</t>
        </is>
      </c>
      <c r="F24" s="14" t="inlineStr">
        <is>
          <t>Market parity — better product, not cheaper (locked).</t>
        </is>
      </c>
    </row>
    <row r="25">
      <c r="A25" s="11" t="inlineStr">
        <is>
          <t>Diesel CO₂ per gallon</t>
        </is>
      </c>
      <c r="B25" s="16" t="n">
        <v>10.21</v>
      </c>
      <c r="C25" s="13" t="inlineStr">
        <is>
          <t>kg/gal</t>
        </is>
      </c>
      <c r="D25" s="13" t="inlineStr">
        <is>
          <t>T1</t>
        </is>
      </c>
      <c r="E25" s="13" t="inlineStr">
        <is>
          <t>high</t>
        </is>
      </c>
      <c r="F25" s="14" t="inlineStr">
        <is>
          <t>US EPA: 10.21 kg CO2 per gallon marine/diesel</t>
        </is>
      </c>
    </row>
    <row r="27">
      <c r="A27" s="9" t="inlineStr">
        <is>
          <t>OPEX defaults  (global fallbacks — localized energy, crew, berth admin on Country opex tab)</t>
        </is>
      </c>
    </row>
    <row r="28">
      <c r="A28" s="10" t="inlineStr">
        <is>
          <t>Parameter</t>
        </is>
      </c>
      <c r="B28" s="10" t="inlineStr">
        <is>
          <t>Value</t>
        </is>
      </c>
      <c r="C28" s="10" t="inlineStr">
        <is>
          <t>Unit</t>
        </is>
      </c>
      <c r="D28" s="10" t="inlineStr">
        <is>
          <t>Tier</t>
        </is>
      </c>
      <c r="E28" s="10" t="inlineStr">
        <is>
          <t>Conf.</t>
        </is>
      </c>
      <c r="F28" s="10" t="inlineStr">
        <is>
          <t>Source / note</t>
        </is>
      </c>
    </row>
    <row r="29">
      <c r="A29" s="11" t="inlineStr">
        <is>
          <t>Vessel insurance — H&amp;M + P&amp;I (% of CAPEX/yr)</t>
        </is>
      </c>
      <c r="B29" s="17" t="n">
        <v>0.025</v>
      </c>
      <c r="C29" s="13" t="inlineStr">
        <is>
          <t>frac</t>
        </is>
      </c>
      <c r="D29" s="13" t="inlineStr">
        <is>
          <t>T3</t>
        </is>
      </c>
      <c r="E29" s="13" t="inlineStr">
        <is>
          <t>med</t>
        </is>
      </c>
      <c r="F29" s="14" t="inlineStr">
        <is>
          <t>Commercial vessel H&amp;M + P&amp;I ~2.5%/yr of regional CAPEX. Separate from berth/port admin in Country opex (Jaideep 2026-06-19).. Multiplied by regional CAPEX (Country opex col G). Not included in berth/port admin.</t>
        </is>
      </c>
    </row>
    <row r="30">
      <c r="A30" s="11" t="inlineStr">
        <is>
          <t>Fast-charge berth &amp; demand charges (global default)</t>
        </is>
      </c>
      <c r="B30" s="15" t="n">
        <v>18000</v>
      </c>
      <c r="C30" s="13" t="inlineStr">
        <is>
          <t>USD/yr</t>
        </is>
      </c>
      <c r="D30" s="13" t="inlineStr">
        <is>
          <t>T3</t>
        </is>
      </c>
      <c r="E30" s="13" t="inlineStr">
        <is>
          <t>med</t>
        </is>
      </c>
      <c r="F30" s="14" t="inlineStr">
        <is>
          <t>Dedicated fast-charge berth slot + utility demand charges. Excludes per-kWh propulsion energy and berth/port admin (Jaideep 2026-06-19). L3-overridable per market.. Dedicated charge berth + utility demand charges. Excludes per-kWh propulsion energy and berth/port admin. L3-overridable per market.</t>
        </is>
      </c>
    </row>
    <row r="32">
      <c r="A32" s="9" t="inlineStr">
        <is>
          <t>Utilization scenarios  (load factor + revenue-leg factor)</t>
        </is>
      </c>
    </row>
    <row r="33">
      <c r="A33" s="10" t="inlineStr">
        <is>
          <t>Scenario</t>
        </is>
      </c>
      <c r="B33" s="10" t="inlineStr">
        <is>
          <t>Load factor</t>
        </is>
      </c>
      <c r="C33" s="10" t="inlineStr">
        <is>
          <t>Rev-leg factor</t>
        </is>
      </c>
      <c r="D33" s="10" t="inlineStr"/>
      <c r="E33" s="10" t="inlineStr"/>
      <c r="F33" s="10" t="inlineStr">
        <is>
          <t>Note</t>
        </is>
      </c>
    </row>
    <row r="34">
      <c r="A34" s="18" t="inlineStr">
        <is>
          <t>THIN</t>
        </is>
      </c>
      <c r="B34" s="19" t="n">
        <v>0.45</v>
      </c>
      <c r="C34" s="19" t="n">
        <v>0.55</v>
      </c>
      <c r="F34" s="14" t="inlineStr">
        <is>
          <t>thin/one-way/seasonal corridor — conservative floor</t>
        </is>
      </c>
    </row>
    <row r="35">
      <c r="A35" s="18" t="inlineStr">
        <is>
          <t>MID</t>
        </is>
      </c>
      <c r="B35" s="19" t="n">
        <v>0.55</v>
      </c>
      <c r="C35" s="19" t="n">
        <v>0.65</v>
      </c>
      <c r="F35" s="14" t="inlineStr">
        <is>
          <t>HEADLINE — realistic busy two-way corridor</t>
        </is>
      </c>
    </row>
    <row r="36">
      <c r="A36" s="18" t="inlineStr">
        <is>
          <t>FULL</t>
        </is>
      </c>
      <c r="B36" s="19" t="n">
        <v>0.7</v>
      </c>
      <c r="C36" s="19" t="n">
        <v>0.75</v>
      </c>
      <c r="F36" s="14" t="inlineStr">
        <is>
          <t>mature/dense corridor — optimistic ceiling</t>
        </is>
      </c>
    </row>
    <row r="38">
      <c r="A38" s="20" t="inlineStr">
        <is>
          <t>SCENARIO (toggle me)</t>
        </is>
      </c>
      <c r="B38" s="21" t="inlineStr">
        <is>
          <t>MID</t>
        </is>
      </c>
      <c r="C38" s="22" t="inlineStr">
        <is>
          <t>← set THIN / MID / FULL</t>
        </is>
      </c>
    </row>
    <row r="39">
      <c r="A39" s="11" t="inlineStr">
        <is>
          <t>Selected load factor</t>
        </is>
      </c>
      <c r="B39" s="23">
        <f>VLOOKUP(scenario,'Assumptions'!$A$34:$C$36,2,FALSE)</f>
        <v/>
      </c>
    </row>
    <row r="40">
      <c r="A40" s="11" t="inlineStr">
        <is>
          <t>Selected rev-leg factor</t>
        </is>
      </c>
      <c r="B40" s="23">
        <f>VLOOKUP(scenario,'Assumptions'!$A$34:$C$36,3,FALSE)</f>
        <v/>
      </c>
    </row>
  </sheetData>
  <mergeCells count="5">
    <mergeCell ref="A14:F14"/>
    <mergeCell ref="A1:F1"/>
    <mergeCell ref="A32:F32"/>
    <mergeCell ref="A27:F27"/>
    <mergeCell ref="A3:F3"/>
  </mergeCells>
  <dataValidations count="1">
    <dataValidation sqref="B38" showDropDown="0" showInputMessage="0" showErrorMessage="0" allowBlank="0" type="list">
      <formula1>"THIN,MID,FULL"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4" customWidth="1" min="4" max="4"/>
    <col width="14" customWidth="1" min="5" max="5"/>
    <col width="11" customWidth="1" min="6" max="6"/>
    <col width="14" customWidth="1" min="7" max="7"/>
    <col width="60" customWidth="1" min="8" max="8"/>
  </cols>
  <sheetData>
    <row r="1">
      <c r="A1" s="8" t="inlineStr">
        <is>
          <t>Country opex — localized inputs (crew, energy, berth admin, CAPEX)</t>
        </is>
      </c>
    </row>
    <row r="3">
      <c r="A3" s="24" t="inlineStr">
        <is>
          <t>Country</t>
        </is>
      </c>
      <c r="B3" s="24" t="inlineStr">
        <is>
          <t>Captain $/yr</t>
        </is>
      </c>
      <c r="C3" s="24" t="inlineStr">
        <is>
          <t>Energy $/kWh</t>
        </is>
      </c>
      <c r="D3" s="24" t="inlineStr">
        <is>
          <t>Grid CO₂ kg/kWh</t>
        </is>
      </c>
      <c r="E3" s="24" t="inlineStr">
        <is>
          <t>Berth &amp; port admin $/yr</t>
        </is>
      </c>
      <c r="F3" s="24" t="inlineStr">
        <is>
          <t>Cost index</t>
        </is>
      </c>
      <c r="G3" s="24" t="inlineStr">
        <is>
          <t>CAPEX $/vessel</t>
        </is>
      </c>
      <c r="H3" s="24" t="inlineStr">
        <is>
          <t>Source notes (crew | energy | berth admin)</t>
        </is>
      </c>
    </row>
    <row r="4">
      <c r="A4" s="25" t="inlineStr">
        <is>
          <t>Thailand</t>
        </is>
      </c>
      <c r="B4" s="26" t="n">
        <v>24000</v>
      </c>
      <c r="C4" s="27" t="n">
        <v>0.116</v>
      </c>
      <c r="D4" s="19" t="n">
        <v>0.5</v>
      </c>
      <c r="E4" s="26" t="n">
        <v>12000</v>
      </c>
      <c r="F4" s="19" t="n">
        <v>0.55</v>
      </c>
      <c r="G4" s="26" t="n">
        <v>600000</v>
      </c>
      <c r="H4" s="14" t="inlineStr">
        <is>
          <t>ERI Thailand boat captain ~876k THB/yr | MEA/PEA business tariff ~4.18 THB/kWh | Modeled Phuket marine ops | CAPEX LB-243 US/EU=$900K else $600K</t>
        </is>
      </c>
    </row>
  </sheetData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Y43"/>
  <sheetViews>
    <sheetView showGridLines="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34" customWidth="1" min="3" max="3"/>
    <col width="8" customWidth="1" min="4" max="4"/>
    <col width="11" customWidth="1" min="5" max="5"/>
    <col width="7" customWidth="1" min="6" max="6"/>
    <col width="8" customWidth="1" min="7" max="7"/>
    <col width="9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9" customWidth="1" min="18" max="18"/>
    <col width="9" customWidth="1" min="19" max="19"/>
    <col width="11" customWidth="1" min="20" max="20"/>
    <col width="10" customWidth="1" min="21" max="21"/>
    <col width="10" customWidth="1" min="22" max="22"/>
    <col width="12" customWidth="1" min="23" max="23"/>
    <col width="9" customWidth="1" min="24" max="24"/>
    <col width="12" customWidth="1" min="25" max="25"/>
    <col width="12" customWidth="1" min="26" max="26"/>
    <col width="11" customWidth="1" min="27" max="27"/>
    <col width="10" customWidth="1" min="28" max="28"/>
    <col width="11" customWidth="1" min="29" max="29"/>
    <col width="8" customWidth="1" min="30" max="30"/>
    <col width="9" customWidth="1" min="31" max="31"/>
    <col width="9" customWidth="1" min="32" max="32"/>
    <col width="12" customWidth="1" min="33" max="33"/>
    <col width="7" customWidth="1" min="34" max="34"/>
    <col width="8" customWidth="1" min="35" max="35"/>
    <col width="8" customWidth="1" min="36" max="36"/>
    <col width="10" customWidth="1" min="37" max="37"/>
    <col width="9" customWidth="1" min="38" max="38"/>
    <col width="13" customWidth="1" min="39" max="39"/>
    <col width="9" customWidth="1" min="40" max="40"/>
    <col width="13" customWidth="1" min="41" max="41"/>
    <col width="26" customWidth="1" min="42" max="42"/>
    <col width="14" customWidth="1" min="43" max="43"/>
    <col width="16" customWidth="1" min="44" max="44"/>
    <col width="16" customWidth="1" min="45" max="45"/>
    <col width="9" customWidth="1" min="46" max="46"/>
    <col width="9" customWidth="1" min="47" max="47"/>
    <col width="9" customWidth="1" min="48" max="48"/>
    <col width="9" customWidth="1" min="49" max="49"/>
    <col width="50" customWidth="1" min="50" max="50"/>
    <col width="50" customWidth="1" min="51" max="51"/>
  </cols>
  <sheetData>
    <row r="1">
      <c r="A1" s="8" t="inlineStr">
        <is>
          <t>Navier × Grab-Thailand — Corridor economics (one boat, one year; MID = headline)</t>
        </is>
      </c>
      <c r="N1" s="28" t="inlineStr">
        <is>
          <t>SCENARIO:</t>
        </is>
      </c>
      <c r="O1" s="21">
        <f>scenario</f>
        <v/>
      </c>
      <c r="P1" s="22" t="inlineStr">
        <is>
          <t>(set on Assumptions tab)</t>
        </is>
      </c>
    </row>
    <row r="3" ht="42" customHeight="1">
      <c r="A3" s="24" t="inlineStr">
        <is>
          <t>Market</t>
        </is>
      </c>
      <c r="B3" s="24" t="inlineStr">
        <is>
          <t>Country</t>
        </is>
      </c>
      <c r="C3" s="24" t="inlineStr">
        <is>
          <t>Corridor</t>
        </is>
      </c>
      <c r="D3" s="24" t="inlineStr">
        <is>
          <t>Distance</t>
        </is>
      </c>
      <c r="E3" s="24" t="inlineStr">
        <is>
          <t>Premium fare $/pax</t>
        </is>
      </c>
      <c r="F3" s="24" t="inlineStr">
        <is>
          <t>Fare tier</t>
        </is>
      </c>
      <c r="G3" s="24" t="inlineStr">
        <is>
          <t>Fare conf.</t>
        </is>
      </c>
      <c r="H3" s="24" t="inlineStr">
        <is>
          <t>Weather factor</t>
        </is>
      </c>
      <c r="I3" s="24" t="inlineStr">
        <is>
          <t>One-way min</t>
        </is>
      </c>
      <c r="J3" s="24" t="inlineStr">
        <is>
          <t>Cycle min</t>
        </is>
      </c>
      <c r="K3" s="24" t="inlineStr">
        <is>
          <t>Trips/day</t>
        </is>
      </c>
      <c r="L3" s="24" t="inlineStr">
        <is>
          <t>Op days/yr</t>
        </is>
      </c>
      <c r="M3" s="24" t="inlineStr">
        <is>
          <t>Mech uptime</t>
        </is>
      </c>
      <c r="N3" s="24" t="inlineStr">
        <is>
          <t>Rev-leg %</t>
        </is>
      </c>
      <c r="O3" s="24" t="inlineStr">
        <is>
          <t>Trips/yr</t>
        </is>
      </c>
      <c r="P3" s="24" t="inlineStr">
        <is>
          <t>Load factor</t>
        </is>
      </c>
      <c r="Q3" s="24" t="inlineStr">
        <is>
          <t>Pax/trip</t>
        </is>
      </c>
      <c r="R3" s="24" t="inlineStr">
        <is>
          <t>Pax/yr</t>
        </is>
      </c>
      <c r="S3" s="24" t="inlineStr">
        <is>
          <t>Navier fare $</t>
        </is>
      </c>
      <c r="T3" s="24" t="inlineStr">
        <is>
          <t>Revenue/yr</t>
        </is>
      </c>
      <c r="U3" s="24" t="inlineStr">
        <is>
          <t>Energy/yr</t>
        </is>
      </c>
      <c r="V3" s="24" t="inlineStr">
        <is>
          <t>Crew/yr</t>
        </is>
      </c>
      <c r="W3" s="24" t="inlineStr">
        <is>
          <t>Berth &amp; port admin/yr</t>
        </is>
      </c>
      <c r="X3" s="24" t="inlineStr">
        <is>
          <t>Maint/yr</t>
        </is>
      </c>
      <c r="Y3" s="24" t="inlineStr">
        <is>
          <t>Vessel insurance/yr</t>
        </is>
      </c>
      <c r="Z3" s="24" t="inlineStr">
        <is>
          <t>Fast-charge berth/yr</t>
        </is>
      </c>
      <c r="AA3" s="24" t="inlineStr">
        <is>
          <t>OPEX/yr</t>
        </is>
      </c>
      <c r="AB3" s="24" t="inlineStr">
        <is>
          <t>Deprec/yr</t>
        </is>
      </c>
      <c r="AC3" s="24" t="inlineStr">
        <is>
          <t>EBITDA/yr</t>
        </is>
      </c>
      <c r="AD3" s="24" t="inlineStr">
        <is>
          <t>Margin</t>
        </is>
      </c>
      <c r="AE3" s="24" t="inlineStr">
        <is>
          <t>Payback yr (sel)</t>
        </is>
      </c>
      <c r="AF3" s="24" t="inlineStr">
        <is>
          <t>CO₂ saved t/yr</t>
        </is>
      </c>
      <c r="AG3" s="24" t="inlineStr">
        <is>
          <t>Demand pool 1-way/yr</t>
        </is>
      </c>
      <c r="AH3" s="24" t="inlineStr">
        <is>
          <t>Demand tier</t>
        </is>
      </c>
      <c r="AI3" s="24" t="inlineStr">
        <is>
          <t>Demand conf.</t>
        </is>
      </c>
      <c r="AJ3" s="24" t="inlineStr">
        <is>
          <t>Capture %</t>
        </is>
      </c>
      <c r="AK3" s="24" t="inlineStr">
        <is>
          <t>Navier rides/yr</t>
        </is>
      </c>
      <c r="AL3" s="24" t="inlineStr">
        <is>
          <t>Vessels @capture</t>
        </is>
      </c>
      <c r="AM3" s="24" t="inlineStr">
        <is>
          <t>Market rev/yr</t>
        </is>
      </c>
      <c r="AN3" s="24" t="inlineStr">
        <is>
          <t>Vessels raw (unfloored)</t>
        </is>
      </c>
      <c r="AO3" s="24" t="inlineStr">
        <is>
          <t>Market rev/yr raw</t>
        </is>
      </c>
      <c r="AP3" s="24" t="inlineStr">
        <is>
          <t>Subset of (excl. from market fleet)</t>
        </is>
      </c>
      <c r="AQ3" s="24" t="inlineStr">
        <is>
          <t>Floor bucket (aggregate status)</t>
        </is>
      </c>
      <c r="AR3" s="24" t="inlineStr">
        <is>
          <t>Forward SAM (2030-dated; held OUT of grounded floor)</t>
        </is>
      </c>
      <c r="AS3" s="24" t="inlineStr">
        <is>
          <t>Upside tier (LB-99; held OUT of grounded floor)</t>
        </is>
      </c>
      <c r="AT3" s="24" t="inlineStr">
        <is>
          <t>Fleet ceiling (captive villas/25)</t>
        </is>
      </c>
      <c r="AU3" s="24" t="inlineStr">
        <is>
          <t>Payback THIN</t>
        </is>
      </c>
      <c r="AV3" s="24" t="inlineStr">
        <is>
          <t>Payback MID</t>
        </is>
      </c>
      <c r="AW3" s="24" t="inlineStr">
        <is>
          <t>Payback FULL</t>
        </is>
      </c>
      <c r="AX3" s="24" t="inlineStr">
        <is>
          <t>Fare source (provenance)</t>
        </is>
      </c>
      <c r="AY3" s="24" t="inlineStr">
        <is>
          <t>Demand source (provenance)</t>
        </is>
      </c>
    </row>
    <row r="4">
      <c r="A4" s="29" t="inlineStr">
        <is>
          <t>Bangkok</t>
        </is>
      </c>
      <c r="B4" s="29" t="inlineStr">
        <is>
          <t>Thailand</t>
        </is>
      </c>
      <c r="C4" s="30" t="inlineStr">
        <is>
          <t>Sathorn (Central) Pier → Phra Arthit Pier</t>
        </is>
      </c>
      <c r="D4" s="31" t="n">
        <v>2.9</v>
      </c>
      <c r="E4" s="26" t="n">
        <v>18</v>
      </c>
      <c r="F4" s="32" t="n"/>
      <c r="G4" s="32" t="inlineStr">
        <is>
          <t>derived_pending_validation</t>
        </is>
      </c>
      <c r="H4" s="19" t="n">
        <v>1</v>
      </c>
      <c r="I4" s="33">
        <f>60*D4/cruise_kt</f>
        <v/>
      </c>
      <c r="J4" s="33">
        <f>I4+turn_min+dwell_min</f>
        <v/>
      </c>
      <c r="K4" s="34">
        <f>MIN(15,FLOOR(60*service_hr/J4,1))</f>
        <v/>
      </c>
      <c r="L4" s="34">
        <f>ROUND(365*mech_uptime*H4,0)</f>
        <v/>
      </c>
      <c r="M4" s="35">
        <f>mech_uptime</f>
        <v/>
      </c>
      <c r="N4" s="35">
        <f>revleg_sel</f>
        <v/>
      </c>
      <c r="O4" s="34">
        <f>ROUND(K4*L4*revleg_sel,0)</f>
        <v/>
      </c>
      <c r="P4" s="36">
        <f>load_sel</f>
        <v/>
      </c>
      <c r="Q4" s="36">
        <f>pax_cap*P4</f>
        <v/>
      </c>
      <c r="R4" s="34">
        <f>Q4*O4</f>
        <v/>
      </c>
      <c r="S4" s="37">
        <f>E4*discount</f>
        <v/>
      </c>
      <c r="T4" s="38">
        <f>S4*R4</f>
        <v/>
      </c>
      <c r="U4" s="38">
        <f>(battery/range_nm)*D4*O4*VLOOKUP(B4,country_opex,3,FALSE)</f>
        <v/>
      </c>
      <c r="V4" s="38">
        <f>VLOOKUP(B4,country_opex,2,FALSE)*crew_factor</f>
        <v/>
      </c>
      <c r="W4" s="38">
        <f>VLOOKUP(B4,country_opex,5,FALSE)</f>
        <v/>
      </c>
      <c r="X4" s="38">
        <f>maint</f>
        <v/>
      </c>
      <c r="Y4" s="38">
        <f>VLOOKUP(B4,country_opex,7,FALSE)*ins_pct</f>
        <v/>
      </c>
      <c r="Z4" s="38">
        <f>charge_berth</f>
        <v/>
      </c>
      <c r="AA4" s="38">
        <f>U4+V4+W4+X4+Y4+Z4</f>
        <v/>
      </c>
      <c r="AB4" s="38">
        <f>VLOOKUP(B4,country_opex,7,FALSE)/dep_years</f>
        <v/>
      </c>
      <c r="AC4" s="38">
        <f>T4-AA4</f>
        <v/>
      </c>
      <c r="AD4" s="35">
        <f>IF(T4=0,"",AC4/T4)</f>
        <v/>
      </c>
      <c r="AE4" s="36">
        <f>IF(AC4&lt;=0,"",VLOOKUP(B4,country_opex,7,FALSE)/AC4)</f>
        <v/>
      </c>
      <c r="AF4" s="33">
        <f>((D4*O4/diesel_nmpg)*diesel_co2pg-(battery/range_nm)*D4*O4*VLOOKUP(B4,country_opex,4,FALSE))/1000</f>
        <v/>
      </c>
      <c r="AG4" s="31" t="n">
        <v>345600</v>
      </c>
      <c r="AH4" s="32" t="n"/>
      <c r="AI4" s="32" t="inlineStr">
        <is>
          <t>derived_pending_validation</t>
        </is>
      </c>
      <c r="AJ4" s="39" t="n">
        <v>0.1</v>
      </c>
      <c r="AK4" s="34">
        <f>IF(AG4="","",AG4*AJ4)</f>
        <v/>
      </c>
      <c r="AL4" s="34">
        <f>IF(OR(AG4="",R4=0),"",MIN(IF(AT4="",9.9E+99,AT4),FLOOR(AK4/R4,1)))</f>
        <v/>
      </c>
      <c r="AM4" s="38">
        <f>IF(AL4="","",AL4*T4)</f>
        <v/>
      </c>
      <c r="AN4" s="36">
        <f>IF(OR(AG4="",R4=0),"",MIN(IF(AT4="",9.9E+99,AT4),AK4/R4))</f>
        <v/>
      </c>
      <c r="AO4" s="38">
        <f>IF(AN4="","",AN4*T4)</f>
        <v/>
      </c>
      <c r="AP4" s="40" t="n"/>
      <c r="AQ4" s="32" t="inlineStr">
        <is>
          <t>Grounded</t>
        </is>
      </c>
      <c r="AR4" s="41" t="n"/>
      <c r="AS4" s="41" t="n"/>
      <c r="AT4" s="42" t="n"/>
      <c r="AU4" s="43">
        <f>IF(((S4*pax_cap*load_thin*ROUND(K4*L4*revleg_thin,0))-(((battery/range_nm)*D4*ROUND(K4*L4*revleg_thin,0)*VLOOKUP(B4,country_opex,3,FALSE))+V4+W4+X4+Y4+Z4))&lt;=0,"",VLOOKUP(B4,country_opex,7,FALSE)/((S4*pax_cap*load_thin*ROUND(K4*L4*revleg_thin,0))-(((battery/range_nm)*D4*ROUND(K4*L4*revleg_thin,0)*VLOOKUP(B4,country_opex,3,FALSE))+V4+W4+X4+Y4+Z4)))</f>
        <v/>
      </c>
      <c r="AV4" s="43">
        <f>IF(((S4*pax_cap*load_mid*ROUND(K4*L4*revleg_mid,0))-(((battery/range_nm)*D4*ROUND(K4*L4*revleg_mid,0)*VLOOKUP(B4,country_opex,3,FALSE))+V4+W4+X4+Y4+Z4))&lt;=0,"",VLOOKUP(B4,country_opex,7,FALSE)/((S4*pax_cap*load_mid*ROUND(K4*L4*revleg_mid,0))-(((battery/range_nm)*D4*ROUND(K4*L4*revleg_mid,0)*VLOOKUP(B4,country_opex,3,FALSE))+V4+W4+X4+Y4+Z4)))</f>
        <v/>
      </c>
      <c r="AW4" s="43">
        <f>IF(((S4*pax_cap*load_full*ROUND(K4*L4*revleg_full,0))-(((battery/range_nm)*D4*ROUND(K4*L4*revleg_full,0)*VLOOKUP(B4,country_opex,3,FALSE))+V4+W4+X4+Y4+Z4))&lt;=0,"",VLOOKUP(B4,country_opex,7,FALSE)/((S4*pax_cap*load_full*ROUND(K4*L4*revleg_full,0))-(((battery/range_nm)*D4*ROUND(K4*L4*revleg_full,0)*VLOOKUP(B4,country_opex,3,FALSE))+V4+W4+X4+Y4+Z4)))</f>
        <v/>
      </c>
      <c r="AX4" s="44" t="inlineStr">
        <is>
          <t>[LB-255 PREMIUM RE-FARE: subsidized comparable $4.29 lifted to premium on-demand floor $18.0] Chao Phraya river spine: Sathorn (CEN) &lt;-&gt; ICONSIAM (N2/1) &lt;-&gt; Phra Arthit (N13) corridor</t>
        </is>
      </c>
      <c r="AY4" s="44" t="inlineStr">
        <is>
          <t>Chao Phraya river spine: Sathorn (CEN) &lt;-&gt; ICONSIAM (N2/1) &lt;-&gt; Phra Arthit (N13) corridor</t>
        </is>
      </c>
    </row>
    <row r="5">
      <c r="A5" s="29" t="inlineStr">
        <is>
          <t>Eastern_Seaboard</t>
        </is>
      </c>
      <c r="B5" s="29" t="inlineStr">
        <is>
          <t>Thailand</t>
        </is>
      </c>
      <c r="C5" s="30" t="inlineStr">
        <is>
          <t>Ban Phe Pier → Koh Samet (Na Dan Pier)</t>
        </is>
      </c>
      <c r="D5" s="31" t="n">
        <v>3.3</v>
      </c>
      <c r="E5" s="26" t="n">
        <v>14</v>
      </c>
      <c r="F5" s="32" t="inlineStr">
        <is>
          <t>T5</t>
        </is>
      </c>
      <c r="G5" s="32" t="inlineStr">
        <is>
          <t>low-med</t>
        </is>
      </c>
      <c r="H5" s="19" t="n">
        <v>1</v>
      </c>
      <c r="I5" s="33">
        <f>60*D5/cruise_kt</f>
        <v/>
      </c>
      <c r="J5" s="33">
        <f>I5+turn_min+dwell_min</f>
        <v/>
      </c>
      <c r="K5" s="34">
        <f>MIN(15,FLOOR(60*service_hr/J5,1))</f>
        <v/>
      </c>
      <c r="L5" s="34">
        <f>ROUND(365*mech_uptime*H5,0)</f>
        <v/>
      </c>
      <c r="M5" s="35">
        <f>mech_uptime</f>
        <v/>
      </c>
      <c r="N5" s="35">
        <f>revleg_sel</f>
        <v/>
      </c>
      <c r="O5" s="34">
        <f>ROUND(K5*L5*revleg_sel,0)</f>
        <v/>
      </c>
      <c r="P5" s="36">
        <f>load_sel</f>
        <v/>
      </c>
      <c r="Q5" s="36">
        <f>pax_cap*P5</f>
        <v/>
      </c>
      <c r="R5" s="34">
        <f>Q5*O5</f>
        <v/>
      </c>
      <c r="S5" s="37">
        <f>E5*discount</f>
        <v/>
      </c>
      <c r="T5" s="38">
        <f>S5*R5</f>
        <v/>
      </c>
      <c r="U5" s="38">
        <f>(battery/range_nm)*D5*O5*VLOOKUP(B5,country_opex,3,FALSE)</f>
        <v/>
      </c>
      <c r="V5" s="38">
        <f>VLOOKUP(B5,country_opex,2,FALSE)*crew_factor</f>
        <v/>
      </c>
      <c r="W5" s="38">
        <f>VLOOKUP(B5,country_opex,5,FALSE)</f>
        <v/>
      </c>
      <c r="X5" s="38">
        <f>maint</f>
        <v/>
      </c>
      <c r="Y5" s="38">
        <f>VLOOKUP(B5,country_opex,7,FALSE)*ins_pct</f>
        <v/>
      </c>
      <c r="Z5" s="38">
        <f>charge_berth</f>
        <v/>
      </c>
      <c r="AA5" s="38">
        <f>U5+V5+W5+X5+Y5+Z5</f>
        <v/>
      </c>
      <c r="AB5" s="38">
        <f>VLOOKUP(B5,country_opex,7,FALSE)/dep_years</f>
        <v/>
      </c>
      <c r="AC5" s="38">
        <f>T5-AA5</f>
        <v/>
      </c>
      <c r="AD5" s="35">
        <f>IF(T5=0,"",AC5/T5)</f>
        <v/>
      </c>
      <c r="AE5" s="36">
        <f>IF(AC5&lt;=0,"",VLOOKUP(B5,country_opex,7,FALSE)/AC5)</f>
        <v/>
      </c>
      <c r="AF5" s="33">
        <f>((D5*O5/diesel_nmpg)*diesel_co2pg-(battery/range_nm)*D5*O5*VLOOKUP(B5,country_opex,4,FALSE))/1000</f>
        <v/>
      </c>
      <c r="AG5" s="31" t="n">
        <v>92000</v>
      </c>
      <c r="AH5" s="32" t="inlineStr">
        <is>
          <t>T4</t>
        </is>
      </c>
      <c r="AI5" s="32" t="inlineStr">
        <is>
          <t>low-med</t>
        </is>
      </c>
      <c r="AJ5" s="39" t="n">
        <v>0.1</v>
      </c>
      <c r="AK5" s="34">
        <f>IF(AG5="","",AG5*AJ5)</f>
        <v/>
      </c>
      <c r="AL5" s="34">
        <f>IF(OR(AG5="",R5=0),"",MIN(IF(AT5="",9.9E+99,AT5),FLOOR(AK5/R5,1)))</f>
        <v/>
      </c>
      <c r="AM5" s="38">
        <f>IF(AL5="","",AL5*T5)</f>
        <v/>
      </c>
      <c r="AN5" s="36">
        <f>IF(OR(AG5="",R5=0),"",MIN(IF(AT5="",9.9E+99,AT5),AK5/R5))</f>
        <v/>
      </c>
      <c r="AO5" s="38">
        <f>IF(AN5="","",AN5*T5)</f>
        <v/>
      </c>
      <c r="AP5" s="40" t="n"/>
      <c r="AQ5" s="32" t="inlineStr">
        <is>
          <t>Grounded</t>
        </is>
      </c>
      <c r="AR5" s="41" t="n"/>
      <c r="AS5" s="41" t="n"/>
      <c r="AT5" s="42" t="n"/>
      <c r="AU5" s="43">
        <f>IF(((S5*pax_cap*load_thin*ROUND(K5*L5*revleg_thin,0))-(((battery/range_nm)*D5*ROUND(K5*L5*revleg_thin,0)*VLOOKUP(B5,country_opex,3,FALSE))+V5+W5+X5+Y5+Z5))&lt;=0,"",VLOOKUP(B5,country_opex,7,FALSE)/((S5*pax_cap*load_thin*ROUND(K5*L5*revleg_thin,0))-(((battery/range_nm)*D5*ROUND(K5*L5*revleg_thin,0)*VLOOKUP(B5,country_opex,3,FALSE))+V5+W5+X5+Y5+Z5)))</f>
        <v/>
      </c>
      <c r="AV5" s="43">
        <f>IF(((S5*pax_cap*load_mid*ROUND(K5*L5*revleg_mid,0))-(((battery/range_nm)*D5*ROUND(K5*L5*revleg_mid,0)*VLOOKUP(B5,country_opex,3,FALSE))+V5+W5+X5+Y5+Z5))&lt;=0,"",VLOOKUP(B5,country_opex,7,FALSE)/((S5*pax_cap*load_mid*ROUND(K5*L5*revleg_mid,0))-(((battery/range_nm)*D5*ROUND(K5*L5*revleg_mid,0)*VLOOKUP(B5,country_opex,3,FALSE))+V5+W5+X5+Y5+Z5)))</f>
        <v/>
      </c>
      <c r="AW5" s="43">
        <f>IF(((S5*pax_cap*load_full*ROUND(K5*L5*revleg_full,0))-(((battery/range_nm)*D5*ROUND(K5*L5*revleg_full,0)*VLOOKUP(B5,country_opex,3,FALSE))+V5+W5+X5+Y5+Z5))&lt;=0,"",VLOOKUP(B5,country_opex,7,FALSE)/((S5*pax_cap*load_full*ROUND(K5*L5*revleg_full,0))-(((battery/range_nm)*D5*ROUND(K5*L5*revleg_full,0)*VLOOKUP(B5,country_opex,3,FALSE))+V5+W5+X5+Y5+Z5)))</f>
        <v/>
      </c>
      <c r="AX5" s="44" t="inlineStr">
        <is>
          <t>Proven high-frequency Ban Phe speedboat gateway; premium upgrade of dense leg.</t>
        </is>
      </c>
      <c r="AY5" s="44" t="inlineStr">
        <is>
          <t>Proven high-frequency Ban Phe speedboat gateway; premium upgrade of dense leg.</t>
        </is>
      </c>
    </row>
    <row r="6">
      <c r="A6" s="29" t="inlineStr">
        <is>
          <t>Bangkok</t>
        </is>
      </c>
      <c r="B6" s="29" t="inlineStr">
        <is>
          <t>Thailand</t>
        </is>
      </c>
      <c r="C6" s="30" t="inlineStr">
        <is>
          <t>ICONSIAM Pier (Chao Phraya) → ICONSIAM Pier (Chao Phraya)</t>
        </is>
      </c>
      <c r="D6" s="31" t="n">
        <v>5.3</v>
      </c>
      <c r="E6" s="26" t="n">
        <v>35</v>
      </c>
      <c r="F6" s="32" t="inlineStr">
        <is>
          <t>T2</t>
        </is>
      </c>
      <c r="G6" s="32" t="inlineStr">
        <is>
          <t>med</t>
        </is>
      </c>
      <c r="H6" s="19" t="n">
        <v>1</v>
      </c>
      <c r="I6" s="33">
        <f>60*D6/cruise_kt</f>
        <v/>
      </c>
      <c r="J6" s="33">
        <f>I6+turn_min+dwell_min</f>
        <v/>
      </c>
      <c r="K6" s="34">
        <f>MIN(15,FLOOR(60*service_hr/J6,1))</f>
        <v/>
      </c>
      <c r="L6" s="34">
        <f>ROUND(365*mech_uptime*H6,0)</f>
        <v/>
      </c>
      <c r="M6" s="35">
        <f>mech_uptime</f>
        <v/>
      </c>
      <c r="N6" s="35">
        <f>revleg_sel</f>
        <v/>
      </c>
      <c r="O6" s="34">
        <f>ROUND(K6*L6*revleg_sel,0)</f>
        <v/>
      </c>
      <c r="P6" s="36">
        <f>load_sel</f>
        <v/>
      </c>
      <c r="Q6" s="36">
        <f>pax_cap*P6</f>
        <v/>
      </c>
      <c r="R6" s="34">
        <f>Q6*O6</f>
        <v/>
      </c>
      <c r="S6" s="37">
        <f>E6*discount</f>
        <v/>
      </c>
      <c r="T6" s="38">
        <f>S6*R6</f>
        <v/>
      </c>
      <c r="U6" s="38">
        <f>(battery/range_nm)*D6*O6*VLOOKUP(B6,country_opex,3,FALSE)</f>
        <v/>
      </c>
      <c r="V6" s="38">
        <f>VLOOKUP(B6,country_opex,2,FALSE)*crew_factor</f>
        <v/>
      </c>
      <c r="W6" s="38">
        <f>VLOOKUP(B6,country_opex,5,FALSE)</f>
        <v/>
      </c>
      <c r="X6" s="38">
        <f>maint</f>
        <v/>
      </c>
      <c r="Y6" s="38">
        <f>VLOOKUP(B6,country_opex,7,FALSE)*ins_pct</f>
        <v/>
      </c>
      <c r="Z6" s="38">
        <f>charge_berth</f>
        <v/>
      </c>
      <c r="AA6" s="38">
        <f>U6+V6+W6+X6+Y6+Z6</f>
        <v/>
      </c>
      <c r="AB6" s="38">
        <f>VLOOKUP(B6,country_opex,7,FALSE)/dep_years</f>
        <v/>
      </c>
      <c r="AC6" s="38">
        <f>T6-AA6</f>
        <v/>
      </c>
      <c r="AD6" s="35">
        <f>IF(T6=0,"",AC6/T6)</f>
        <v/>
      </c>
      <c r="AE6" s="36">
        <f>IF(AC6&lt;=0,"",VLOOKUP(B6,country_opex,7,FALSE)/AC6)</f>
        <v/>
      </c>
      <c r="AF6" s="33">
        <f>((D6*O6/diesel_nmpg)*diesel_co2pg-(battery/range_nm)*D6*O6*VLOOKUP(B6,country_opex,4,FALSE))/1000</f>
        <v/>
      </c>
      <c r="AG6" s="31" t="n">
        <v>1200000</v>
      </c>
      <c r="AH6" s="32" t="n"/>
      <c r="AI6" s="32" t="n"/>
      <c r="AJ6" s="39" t="n">
        <v>0.1</v>
      </c>
      <c r="AK6" s="34">
        <f>IF(AG6="","",AG6*AJ6)</f>
        <v/>
      </c>
      <c r="AL6" s="34">
        <f>IF(OR(AG6="",R6=0),"",MIN(IF(AT6="",9.9E+99,AT6),FLOOR(AK6/R6,1)))</f>
        <v/>
      </c>
      <c r="AM6" s="38">
        <f>IF(AL6="","",AL6*T6)</f>
        <v/>
      </c>
      <c r="AN6" s="36">
        <f>IF(OR(AG6="",R6=0),"",MIN(IF(AT6="",9.9E+99,AT6),AK6/R6))</f>
        <v/>
      </c>
      <c r="AO6" s="38">
        <f>IF(AN6="","",AN6*T6)</f>
        <v/>
      </c>
      <c r="AP6" s="40" t="n"/>
      <c r="AQ6" s="32" t="inlineStr">
        <is>
          <t>Grounded</t>
        </is>
      </c>
      <c r="AR6" s="41" t="n"/>
      <c r="AS6" s="41" t="n"/>
      <c r="AT6" s="42" t="n"/>
      <c r="AU6" s="43">
        <f>IF(((S6*pax_cap*load_thin*ROUND(K6*L6*revleg_thin,0))-(((battery/range_nm)*D6*ROUND(K6*L6*revleg_thin,0)*VLOOKUP(B6,country_opex,3,FALSE))+V6+W6+X6+Y6+Z6))&lt;=0,"",VLOOKUP(B6,country_opex,7,FALSE)/((S6*pax_cap*load_thin*ROUND(K6*L6*revleg_thin,0))-(((battery/range_nm)*D6*ROUND(K6*L6*revleg_thin,0)*VLOOKUP(B6,country_opex,3,FALSE))+V6+W6+X6+Y6+Z6)))</f>
        <v/>
      </c>
      <c r="AV6" s="43">
        <f>IF(((S6*pax_cap*load_mid*ROUND(K6*L6*revleg_mid,0))-(((battery/range_nm)*D6*ROUND(K6*L6*revleg_mid,0)*VLOOKUP(B6,country_opex,3,FALSE))+V6+W6+X6+Y6+Z6))&lt;=0,"",VLOOKUP(B6,country_opex,7,FALSE)/((S6*pax_cap*load_mid*ROUND(K6*L6*revleg_mid,0))-(((battery/range_nm)*D6*ROUND(K6*L6*revleg_mid,0)*VLOOKUP(B6,country_opex,3,FALSE))+V6+W6+X6+Y6+Z6)))</f>
        <v/>
      </c>
      <c r="AW6" s="43">
        <f>IF(((S6*pax_cap*load_full*ROUND(K6*L6*revleg_full,0))-(((battery/range_nm)*D6*ROUND(K6*L6*revleg_full,0)*VLOOKUP(B6,country_opex,3,FALSE))+V6+W6+X6+Y6+Z6))&lt;=0,"",VLOOKUP(B6,country_opex,7,FALSE)/((S6*pax_cap*load_full*ROUND(K6*L6*revleg_full,0))-(((battery/range_nm)*D6*ROUND(K6*L6*revleg_full,0)*VLOOKUP(B6,country_opex,3,FALSE))+V6+W6+X6+Y6+Z6)))</f>
        <v/>
      </c>
      <c r="AX6" s="44" t="inlineStr">
        <is>
          <t>Conservative mid of the live Jun-2026 promo band across 24 listed dinner-round products (899-2,000 THB; cluster at 1,150-1,550): click2gothailand.com top-10 guide (updated 1-Jun-2026); Bangkok Chaophraya Cruise operator site lists 1,550 THB/pax rack. Navier 8-pax product would be drinks/canape-class, not galley-buffet-class, hence mid-band anchor not premium.</t>
        </is>
      </c>
      <c r="AY6" s="44" t="n"/>
    </row>
    <row r="7">
      <c r="A7" s="29" t="inlineStr">
        <is>
          <t>Koh Samui</t>
        </is>
      </c>
      <c r="B7" s="29" t="inlineStr">
        <is>
          <t>Thailand</t>
        </is>
      </c>
      <c r="C7" s="30" t="inlineStr">
        <is>
          <t>Samui Pralarn Pier (Mae Nam) → Koh Phangan (Thong Sala) — pier-exact</t>
        </is>
      </c>
      <c r="D7" s="31" t="n">
        <v>7.5</v>
      </c>
      <c r="E7" s="26" t="n">
        <v>35</v>
      </c>
      <c r="F7" s="32" t="n"/>
      <c r="G7" s="32" t="inlineStr">
        <is>
          <t>T1</t>
        </is>
      </c>
      <c r="H7" s="19" t="n">
        <v>1</v>
      </c>
      <c r="I7" s="33">
        <f>60*D7/cruise_kt</f>
        <v/>
      </c>
      <c r="J7" s="33">
        <f>I7+turn_min+dwell_min</f>
        <v/>
      </c>
      <c r="K7" s="34">
        <f>MIN(15,FLOOR(60*service_hr/J7,1))</f>
        <v/>
      </c>
      <c r="L7" s="34">
        <f>ROUND(365*mech_uptime*H7,0)</f>
        <v/>
      </c>
      <c r="M7" s="35">
        <f>mech_uptime</f>
        <v/>
      </c>
      <c r="N7" s="35">
        <f>revleg_sel</f>
        <v/>
      </c>
      <c r="O7" s="34">
        <f>ROUND(K7*L7*revleg_sel,0)</f>
        <v/>
      </c>
      <c r="P7" s="36">
        <f>load_sel</f>
        <v/>
      </c>
      <c r="Q7" s="36">
        <f>pax_cap*P7</f>
        <v/>
      </c>
      <c r="R7" s="34">
        <f>Q7*O7</f>
        <v/>
      </c>
      <c r="S7" s="37">
        <f>E7*discount</f>
        <v/>
      </c>
      <c r="T7" s="38">
        <f>S7*R7</f>
        <v/>
      </c>
      <c r="U7" s="38">
        <f>(battery/range_nm)*D7*O7*VLOOKUP(B7,country_opex,3,FALSE)</f>
        <v/>
      </c>
      <c r="V7" s="38">
        <f>VLOOKUP(B7,country_opex,2,FALSE)*crew_factor</f>
        <v/>
      </c>
      <c r="W7" s="38">
        <f>VLOOKUP(B7,country_opex,5,FALSE)</f>
        <v/>
      </c>
      <c r="X7" s="38">
        <f>maint</f>
        <v/>
      </c>
      <c r="Y7" s="38">
        <f>VLOOKUP(B7,country_opex,7,FALSE)*ins_pct</f>
        <v/>
      </c>
      <c r="Z7" s="38">
        <f>charge_berth</f>
        <v/>
      </c>
      <c r="AA7" s="38">
        <f>U7+V7+W7+X7+Y7+Z7</f>
        <v/>
      </c>
      <c r="AB7" s="38">
        <f>VLOOKUP(B7,country_opex,7,FALSE)/dep_years</f>
        <v/>
      </c>
      <c r="AC7" s="38">
        <f>T7-AA7</f>
        <v/>
      </c>
      <c r="AD7" s="35">
        <f>IF(T7=0,"",AC7/T7)</f>
        <v/>
      </c>
      <c r="AE7" s="36">
        <f>IF(AC7&lt;=0,"",VLOOKUP(B7,country_opex,7,FALSE)/AC7)</f>
        <v/>
      </c>
      <c r="AF7" s="33">
        <f>((D7*O7/diesel_nmpg)*diesel_co2pg-(battery/range_nm)*D7*O7*VLOOKUP(B7,country_opex,4,FALSE))/1000</f>
        <v/>
      </c>
      <c r="AG7" s="31" t="n">
        <v>450000</v>
      </c>
      <c r="AH7" s="32" t="inlineStr">
        <is>
          <t>T5</t>
        </is>
      </c>
      <c r="AI7" s="32" t="inlineStr">
        <is>
          <t>low-med</t>
        </is>
      </c>
      <c r="AJ7" s="39" t="n">
        <v>0.1</v>
      </c>
      <c r="AK7" s="34">
        <f>IF(AG7="","",AG7*AJ7)</f>
        <v/>
      </c>
      <c r="AL7" s="34">
        <f>IF(OR(AG7="",R7=0),"",MIN(IF(AT7="",9.9E+99,AT7),FLOOR(AK7/R7,1)))</f>
        <v/>
      </c>
      <c r="AM7" s="38">
        <f>IF(AL7="","",AL7*T7)</f>
        <v/>
      </c>
      <c r="AN7" s="36">
        <f>IF(OR(AG7="",R7=0),"",MIN(IF(AT7="",9.9E+99,AT7),AK7/R7))</f>
        <v/>
      </c>
      <c r="AO7" s="38">
        <f>IF(AN7="","",AN7*T7)</f>
        <v/>
      </c>
      <c r="AP7" s="40" t="inlineStr">
        <is>
          <t>rn-db5e83248f9d</t>
        </is>
      </c>
      <c r="AQ7" s="32" t="inlineStr">
        <is>
          <t>Grounded</t>
        </is>
      </c>
      <c r="AR7" s="41" t="n"/>
      <c r="AS7" s="41" t="n"/>
      <c r="AT7" s="42" t="n"/>
      <c r="AU7" s="43">
        <f>IF(((S7*pax_cap*load_thin*ROUND(K7*L7*revleg_thin,0))-(((battery/range_nm)*D7*ROUND(K7*L7*revleg_thin,0)*VLOOKUP(B7,country_opex,3,FALSE))+V7+W7+X7+Y7+Z7))&lt;=0,"",VLOOKUP(B7,country_opex,7,FALSE)/((S7*pax_cap*load_thin*ROUND(K7*L7*revleg_thin,0))-(((battery/range_nm)*D7*ROUND(K7*L7*revleg_thin,0)*VLOOKUP(B7,country_opex,3,FALSE))+V7+W7+X7+Y7+Z7)))</f>
        <v/>
      </c>
      <c r="AV7" s="43">
        <f>IF(((S7*pax_cap*load_mid*ROUND(K7*L7*revleg_mid,0))-(((battery/range_nm)*D7*ROUND(K7*L7*revleg_mid,0)*VLOOKUP(B7,country_opex,3,FALSE))+V7+W7+X7+Y7+Z7))&lt;=0,"",VLOOKUP(B7,country_opex,7,FALSE)/((S7*pax_cap*load_mid*ROUND(K7*L7*revleg_mid,0))-(((battery/range_nm)*D7*ROUND(K7*L7*revleg_mid,0)*VLOOKUP(B7,country_opex,3,FALSE))+V7+W7+X7+Y7+Z7)))</f>
        <v/>
      </c>
      <c r="AW7" s="43">
        <f>IF(((S7*pax_cap*load_full*ROUND(K7*L7*revleg_full,0))-(((battery/range_nm)*D7*ROUND(K7*L7*revleg_full,0)*VLOOKUP(B7,country_opex,3,FALSE))+V7+W7+X7+Y7+Z7))&lt;=0,"",VLOOKUP(B7,country_opex,7,FALSE)/((S7*pax_cap*load_full*ROUND(K7*L7*revleg_full,0))-(((battery/range_nm)*D7*ROUND(K7*L7*revleg_full,0)*VLOOKUP(B7,country_opex,3,FALSE))+V7+W7+X7+Y7+Z7)))</f>
        <v/>
      </c>
      <c r="AX7" s="44" t="n"/>
      <c r="AY7" s="44" t="inlineStr">
        <is>
          <t>SUBSET of rn-db5e83248f9d (do not sum). Lomprayah operates the Pralarn (Mae Nam) terminal with ~4-6 daily fast-cat departures/direction to Thong Sala (lomprayah.com 2026 timetable; ferryadvice.com: Pralarn-&gt;Thong Sala 20 min, THB 300); Lomprayah is the highest-frequency operator on the crossing.</t>
        </is>
      </c>
    </row>
    <row r="8">
      <c r="A8" s="29" t="inlineStr">
        <is>
          <t>Phuket</t>
        </is>
      </c>
      <c r="B8" s="29" t="inlineStr">
        <is>
          <t>Thailand</t>
        </is>
      </c>
      <c r="C8" s="30" t="inlineStr">
        <is>
          <t>Ao Po Grand Marina → Anantara Layan Phuket Beach Jetty</t>
        </is>
      </c>
      <c r="D8" s="31" t="n">
        <v>9.6</v>
      </c>
      <c r="E8" s="26" t="n">
        <v>100</v>
      </c>
      <c r="F8" s="32" t="inlineStr">
        <is>
          <t>T2</t>
        </is>
      </c>
      <c r="G8" s="32" t="inlineStr">
        <is>
          <t>med</t>
        </is>
      </c>
      <c r="H8" s="19" t="n">
        <v>1</v>
      </c>
      <c r="I8" s="33">
        <f>60*D8/cruise_kt</f>
        <v/>
      </c>
      <c r="J8" s="33">
        <f>I8+turn_min+dwell_min</f>
        <v/>
      </c>
      <c r="K8" s="34">
        <f>MIN(15,FLOOR(60*service_hr/J8,1))</f>
        <v/>
      </c>
      <c r="L8" s="34">
        <f>ROUND(365*mech_uptime*H8,0)</f>
        <v/>
      </c>
      <c r="M8" s="35">
        <f>mech_uptime</f>
        <v/>
      </c>
      <c r="N8" s="35">
        <f>revleg_sel</f>
        <v/>
      </c>
      <c r="O8" s="34">
        <f>ROUND(K8*L8*revleg_sel,0)</f>
        <v/>
      </c>
      <c r="P8" s="36">
        <f>load_sel</f>
        <v/>
      </c>
      <c r="Q8" s="36">
        <f>pax_cap*P8</f>
        <v/>
      </c>
      <c r="R8" s="34">
        <f>Q8*O8</f>
        <v/>
      </c>
      <c r="S8" s="37">
        <f>E8*discount</f>
        <v/>
      </c>
      <c r="T8" s="38">
        <f>S8*R8</f>
        <v/>
      </c>
      <c r="U8" s="38">
        <f>(battery/range_nm)*D8*O8*VLOOKUP(B8,country_opex,3,FALSE)</f>
        <v/>
      </c>
      <c r="V8" s="38">
        <f>VLOOKUP(B8,country_opex,2,FALSE)*crew_factor</f>
        <v/>
      </c>
      <c r="W8" s="38">
        <f>VLOOKUP(B8,country_opex,5,FALSE)</f>
        <v/>
      </c>
      <c r="X8" s="38">
        <f>maint</f>
        <v/>
      </c>
      <c r="Y8" s="38">
        <f>VLOOKUP(B8,country_opex,7,FALSE)*ins_pct</f>
        <v/>
      </c>
      <c r="Z8" s="38">
        <f>charge_berth</f>
        <v/>
      </c>
      <c r="AA8" s="38">
        <f>U8+V8+W8+X8+Y8+Z8</f>
        <v/>
      </c>
      <c r="AB8" s="38">
        <f>VLOOKUP(B8,country_opex,7,FALSE)/dep_years</f>
        <v/>
      </c>
      <c r="AC8" s="38">
        <f>T8-AA8</f>
        <v/>
      </c>
      <c r="AD8" s="35">
        <f>IF(T8=0,"",AC8/T8)</f>
        <v/>
      </c>
      <c r="AE8" s="36">
        <f>IF(AC8&lt;=0,"",VLOOKUP(B8,country_opex,7,FALSE)/AC8)</f>
        <v/>
      </c>
      <c r="AF8" s="33">
        <f>((D8*O8/diesel_nmpg)*diesel_co2pg-(battery/range_nm)*D8*O8*VLOOKUP(B8,country_opex,4,FALSE))/1000</f>
        <v/>
      </c>
      <c r="AG8" s="31" t="n">
        <v>8500</v>
      </c>
      <c r="AH8" s="32" t="inlineStr">
        <is>
          <t>T2</t>
        </is>
      </c>
      <c r="AI8" s="32" t="inlineStr">
        <is>
          <t>med</t>
        </is>
      </c>
      <c r="AJ8" s="39" t="n">
        <v>0.9</v>
      </c>
      <c r="AK8" s="34">
        <f>IF(AG8="","",AG8*AJ8)</f>
        <v/>
      </c>
      <c r="AL8" s="34">
        <f>IF(OR(AG8="",R8=0),"",MIN(IF(AT8="",9.9E+99,AT8),FLOOR(AK8/R8,1)))</f>
        <v/>
      </c>
      <c r="AM8" s="38">
        <f>IF(AL8="","",AL8*T8)</f>
        <v/>
      </c>
      <c r="AN8" s="36">
        <f>IF(OR(AG8="",R8=0),"",MIN(IF(AT8="",9.9E+99,AT8),AK8/R8))</f>
        <v/>
      </c>
      <c r="AO8" s="38">
        <f>IF(AN8="","",AN8*T8)</f>
        <v/>
      </c>
      <c r="AP8" s="40" t="n"/>
      <c r="AQ8" s="32" t="inlineStr">
        <is>
          <t>Grounded</t>
        </is>
      </c>
      <c r="AR8" s="41" t="n"/>
      <c r="AS8" s="41" t="n"/>
      <c r="AT8" s="42" t="n"/>
      <c r="AU8" s="43">
        <f>IF(((S8*pax_cap*load_thin*ROUND(K8*L8*revleg_thin,0))-(((battery/range_nm)*D8*ROUND(K8*L8*revleg_thin,0)*VLOOKUP(B8,country_opex,3,FALSE))+V8+W8+X8+Y8+Z8))&lt;=0,"",VLOOKUP(B8,country_opex,7,FALSE)/((S8*pax_cap*load_thin*ROUND(K8*L8*revleg_thin,0))-(((battery/range_nm)*D8*ROUND(K8*L8*revleg_thin,0)*VLOOKUP(B8,country_opex,3,FALSE))+V8+W8+X8+Y8+Z8)))</f>
        <v/>
      </c>
      <c r="AV8" s="43">
        <f>IF(((S8*pax_cap*load_mid*ROUND(K8*L8*revleg_mid,0))-(((battery/range_nm)*D8*ROUND(K8*L8*revleg_mid,0)*VLOOKUP(B8,country_opex,3,FALSE))+V8+W8+X8+Y8+Z8))&lt;=0,"",VLOOKUP(B8,country_opex,7,FALSE)/((S8*pax_cap*load_mid*ROUND(K8*L8*revleg_mid,0))-(((battery/range_nm)*D8*ROUND(K8*L8*revleg_mid,0)*VLOOKUP(B8,country_opex,3,FALSE))+V8+W8+X8+Y8+Z8)))</f>
        <v/>
      </c>
      <c r="AW8" s="43">
        <f>IF(((S8*pax_cap*load_full*ROUND(K8*L8*revleg_full,0))-(((battery/range_nm)*D8*ROUND(K8*L8*revleg_full,0)*VLOOKUP(B8,country_opex,3,FALSE))+V8+W8+X8+Y8+Z8))&lt;=0,"",VLOOKUP(B8,country_opex,7,FALSE)/((S8*pax_cap*load_full*ROUND(K8*L8*revleg_full,0))-(((battery/range_nm)*D8*ROUND(K8*L8*revleg_full,0)*VLOOKUP(B8,country_opex,3,FALSE))+V8+W8+X8+Y8+Z8)))</f>
        <v/>
      </c>
      <c r="AX8" s="44" t="inlineStr">
        <is>
          <t>Minor Hotels captive gateway — Anantara Layan marina pickup.</t>
        </is>
      </c>
      <c r="AY8" s="44" t="inlineStr">
        <is>
          <t>minor-hotels-phuket-flagship-economics-DRAFT.json — Layan gateway pool</t>
        </is>
      </c>
    </row>
    <row r="9">
      <c r="A9" s="29" t="inlineStr">
        <is>
          <t>Phuket</t>
        </is>
      </c>
      <c r="B9" s="29" t="inlineStr">
        <is>
          <t>Thailand</t>
        </is>
      </c>
      <c r="C9" s="30" t="inlineStr">
        <is>
          <t>Chalong Pier (Ao Chalong) → Chalong Pier (Ao Chalong)</t>
        </is>
      </c>
      <c r="D9" s="31" t="n">
        <v>10</v>
      </c>
      <c r="E9" s="26" t="n">
        <v>35</v>
      </c>
      <c r="F9" s="32" t="inlineStr">
        <is>
          <t>T1</t>
        </is>
      </c>
      <c r="G9" s="32" t="inlineStr">
        <is>
          <t>med</t>
        </is>
      </c>
      <c r="H9" s="19" t="n">
        <v>1</v>
      </c>
      <c r="I9" s="33">
        <f>60*D9/cruise_kt</f>
        <v/>
      </c>
      <c r="J9" s="33">
        <f>I9+turn_min+dwell_min</f>
        <v/>
      </c>
      <c r="K9" s="34">
        <f>MIN(15,FLOOR(60*service_hr/J9,1))</f>
        <v/>
      </c>
      <c r="L9" s="34">
        <f>ROUND(365*mech_uptime*H9,0)</f>
        <v/>
      </c>
      <c r="M9" s="35">
        <f>mech_uptime</f>
        <v/>
      </c>
      <c r="N9" s="35">
        <f>revleg_sel</f>
        <v/>
      </c>
      <c r="O9" s="34">
        <f>ROUND(K9*L9*revleg_sel,0)</f>
        <v/>
      </c>
      <c r="P9" s="36">
        <f>load_sel</f>
        <v/>
      </c>
      <c r="Q9" s="36">
        <f>pax_cap*P9</f>
        <v/>
      </c>
      <c r="R9" s="34">
        <f>Q9*O9</f>
        <v/>
      </c>
      <c r="S9" s="37">
        <f>E9*discount</f>
        <v/>
      </c>
      <c r="T9" s="38">
        <f>S9*R9</f>
        <v/>
      </c>
      <c r="U9" s="38">
        <f>(battery/range_nm)*D9*O9*VLOOKUP(B9,country_opex,3,FALSE)</f>
        <v/>
      </c>
      <c r="V9" s="38">
        <f>VLOOKUP(B9,country_opex,2,FALSE)*crew_factor</f>
        <v/>
      </c>
      <c r="W9" s="38">
        <f>VLOOKUP(B9,country_opex,5,FALSE)</f>
        <v/>
      </c>
      <c r="X9" s="38">
        <f>maint</f>
        <v/>
      </c>
      <c r="Y9" s="38">
        <f>VLOOKUP(B9,country_opex,7,FALSE)*ins_pct</f>
        <v/>
      </c>
      <c r="Z9" s="38">
        <f>charge_berth</f>
        <v/>
      </c>
      <c r="AA9" s="38">
        <f>U9+V9+W9+X9+Y9+Z9</f>
        <v/>
      </c>
      <c r="AB9" s="38">
        <f>VLOOKUP(B9,country_opex,7,FALSE)/dep_years</f>
        <v/>
      </c>
      <c r="AC9" s="38">
        <f>T9-AA9</f>
        <v/>
      </c>
      <c r="AD9" s="35">
        <f>IF(T9=0,"",AC9/T9)</f>
        <v/>
      </c>
      <c r="AE9" s="36">
        <f>IF(AC9&lt;=0,"",VLOOKUP(B9,country_opex,7,FALSE)/AC9)</f>
        <v/>
      </c>
      <c r="AF9" s="33">
        <f>((D9*O9/diesel_nmpg)*diesel_co2pg-(battery/range_nm)*D9*O9*VLOOKUP(B9,country_opex,4,FALSE))/1000</f>
        <v/>
      </c>
      <c r="AG9" s="31" t="n">
        <v>400000</v>
      </c>
      <c r="AH9" s="32" t="n"/>
      <c r="AI9" s="32" t="n"/>
      <c r="AJ9" s="39" t="n">
        <v>0.1</v>
      </c>
      <c r="AK9" s="34">
        <f>IF(AG9="","",AG9*AJ9)</f>
        <v/>
      </c>
      <c r="AL9" s="34">
        <f>IF(OR(AG9="",R9=0),"",MIN(IF(AT9="",9.9E+99,AT9),FLOOR(AK9/R9,1)))</f>
        <v/>
      </c>
      <c r="AM9" s="38">
        <f>IF(AL9="","",AL9*T9)</f>
        <v/>
      </c>
      <c r="AN9" s="36">
        <f>IF(OR(AG9="",R9=0),"",MIN(IF(AT9="",9.9E+99,AT9),AK9/R9))</f>
        <v/>
      </c>
      <c r="AO9" s="38">
        <f>IF(AN9="","",AN9*T9)</f>
        <v/>
      </c>
      <c r="AP9" s="40" t="n"/>
      <c r="AQ9" s="32" t="inlineStr">
        <is>
          <t>Grounded</t>
        </is>
      </c>
      <c r="AR9" s="41" t="n"/>
      <c r="AS9" s="41" t="n"/>
      <c r="AT9" s="42" t="n"/>
      <c r="AU9" s="43">
        <f>IF(((S9*pax_cap*load_thin*ROUND(K9*L9*revleg_thin,0))-(((battery/range_nm)*D9*ROUND(K9*L9*revleg_thin,0)*VLOOKUP(B9,country_opex,3,FALSE))+V9+W9+X9+Y9+Z9))&lt;=0,"",VLOOKUP(B9,country_opex,7,FALSE)/((S9*pax_cap*load_thin*ROUND(K9*L9*revleg_thin,0))-(((battery/range_nm)*D9*ROUND(K9*L9*revleg_thin,0)*VLOOKUP(B9,country_opex,3,FALSE))+V9+W9+X9+Y9+Z9)))</f>
        <v/>
      </c>
      <c r="AV9" s="43">
        <f>IF(((S9*pax_cap*load_mid*ROUND(K9*L9*revleg_mid,0))-(((battery/range_nm)*D9*ROUND(K9*L9*revleg_mid,0)*VLOOKUP(B9,country_opex,3,FALSE))+V9+W9+X9+Y9+Z9))&lt;=0,"",VLOOKUP(B9,country_opex,7,FALSE)/((S9*pax_cap*load_mid*ROUND(K9*L9*revleg_mid,0))-(((battery/range_nm)*D9*ROUND(K9*L9*revleg_mid,0)*VLOOKUP(B9,country_opex,3,FALSE))+V9+W9+X9+Y9+Z9)))</f>
        <v/>
      </c>
      <c r="AW9" s="43">
        <f>IF(((S9*pax_cap*load_full*ROUND(K9*L9*revleg_full,0))-(((battery/range_nm)*D9*ROUND(K9*L9*revleg_full,0)*VLOOKUP(B9,country_opex,3,FALSE))+V9+W9+X9+Y9+Z9))&lt;=0,"",VLOOKUP(B9,country_opex,7,FALSE)/((S9*pax_cap*load_full*ROUND(K9*L9*revleg_full,0))-(((battery/range_nm)*D9*ROUND(K9*L9*revleg_full,0)*VLOOKUP(B9,country_opex,3,FALSE))+V9+W9+X9+Y9+Z9)))</f>
        <v/>
      </c>
      <c r="AX9" s="44" t="inlineStr">
        <is>
          <t>Modal product = shared speedboat Coral Island half/one-day trip ex-Chalong: Love Sea Tour Racha+Coral speedboat 1,200 THB adult (promo 1,050) (loveseatour.com/racha-coral-speed-boat/); JC Tour Coral+snorkel 1,200 THB (jctour-thai.com/coral); Andamarine one-day Racha Yai+Coral 1,250 THB/pax incl. buffet lunch (operator IG, 2026). Premium top of ladder: HYPE join-in day cruise 3,900 THB adult incl. transfer (operator rate sheet via boatingo.com/boats/hype-catamaran/). Anchor = modal speedboat product ~1,250 THB = ~USD 35, NOT the premium cat.</t>
        </is>
      </c>
      <c r="AY9" s="44" t="n"/>
    </row>
    <row r="10">
      <c r="A10" s="29" t="inlineStr">
        <is>
          <t>Koh Samui</t>
        </is>
      </c>
      <c r="B10" s="29" t="inlineStr">
        <is>
          <t>Thailand</t>
        </is>
      </c>
      <c r="C10" s="30" t="inlineStr">
        <is>
          <t>Koh Samui (Bangrak) → Koh Phangan (Thong Sala)</t>
        </is>
      </c>
      <c r="D10" s="31" t="n">
        <v>10.2</v>
      </c>
      <c r="E10" s="26" t="n">
        <v>10</v>
      </c>
      <c r="F10" s="32" t="n"/>
      <c r="G10" s="32" t="inlineStr">
        <is>
          <t>derived_pending_validation</t>
        </is>
      </c>
      <c r="H10" s="19" t="n">
        <v>1</v>
      </c>
      <c r="I10" s="33">
        <f>60*D10/cruise_kt</f>
        <v/>
      </c>
      <c r="J10" s="33">
        <f>I10+turn_min+dwell_min</f>
        <v/>
      </c>
      <c r="K10" s="34">
        <f>MIN(15,FLOOR(60*service_hr/J10,1))</f>
        <v/>
      </c>
      <c r="L10" s="34">
        <f>ROUND(365*mech_uptime*H10,0)</f>
        <v/>
      </c>
      <c r="M10" s="35">
        <f>mech_uptime</f>
        <v/>
      </c>
      <c r="N10" s="35">
        <f>revleg_sel</f>
        <v/>
      </c>
      <c r="O10" s="34">
        <f>ROUND(K10*L10*revleg_sel,0)</f>
        <v/>
      </c>
      <c r="P10" s="36">
        <f>load_sel</f>
        <v/>
      </c>
      <c r="Q10" s="36">
        <f>pax_cap*P10</f>
        <v/>
      </c>
      <c r="R10" s="34">
        <f>Q10*O10</f>
        <v/>
      </c>
      <c r="S10" s="37">
        <f>E10*discount</f>
        <v/>
      </c>
      <c r="T10" s="38">
        <f>S10*R10</f>
        <v/>
      </c>
      <c r="U10" s="38">
        <f>(battery/range_nm)*D10*O10*VLOOKUP(B10,country_opex,3,FALSE)</f>
        <v/>
      </c>
      <c r="V10" s="38">
        <f>VLOOKUP(B10,country_opex,2,FALSE)*crew_factor</f>
        <v/>
      </c>
      <c r="W10" s="38">
        <f>VLOOKUP(B10,country_opex,5,FALSE)</f>
        <v/>
      </c>
      <c r="X10" s="38">
        <f>maint</f>
        <v/>
      </c>
      <c r="Y10" s="38">
        <f>VLOOKUP(B10,country_opex,7,FALSE)*ins_pct</f>
        <v/>
      </c>
      <c r="Z10" s="38">
        <f>charge_berth</f>
        <v/>
      </c>
      <c r="AA10" s="38">
        <f>U10+V10+W10+X10+Y10+Z10</f>
        <v/>
      </c>
      <c r="AB10" s="38">
        <f>VLOOKUP(B10,country_opex,7,FALSE)/dep_years</f>
        <v/>
      </c>
      <c r="AC10" s="38">
        <f>T10-AA10</f>
        <v/>
      </c>
      <c r="AD10" s="35">
        <f>IF(T10=0,"",AC10/T10)</f>
        <v/>
      </c>
      <c r="AE10" s="36">
        <f>IF(AC10&lt;=0,"",VLOOKUP(B10,country_opex,7,FALSE)/AC10)</f>
        <v/>
      </c>
      <c r="AF10" s="33">
        <f>((D10*O10/diesel_nmpg)*diesel_co2pg-(battery/range_nm)*D10*O10*VLOOKUP(B10,country_opex,4,FALSE))/1000</f>
        <v/>
      </c>
      <c r="AG10" s="31" t="n">
        <v>19404</v>
      </c>
      <c r="AH10" s="32" t="n"/>
      <c r="AI10" s="32" t="inlineStr">
        <is>
          <t>derived_pending_validation</t>
        </is>
      </c>
      <c r="AJ10" s="39" t="n">
        <v>0.1</v>
      </c>
      <c r="AK10" s="34">
        <f>IF(AG10="","",AG10*AJ10)</f>
        <v/>
      </c>
      <c r="AL10" s="34">
        <f>IF(OR(AG10="",R10=0),"",MIN(IF(AT10="",9.9E+99,AT10),FLOOR(AK10/R10,1)))</f>
        <v/>
      </c>
      <c r="AM10" s="38">
        <f>IF(AL10="","",AL10*T10)</f>
        <v/>
      </c>
      <c r="AN10" s="36">
        <f>IF(OR(AG10="",R10=0),"",MIN(IF(AT10="",9.9E+99,AT10),AK10/R10))</f>
        <v/>
      </c>
      <c r="AO10" s="38">
        <f>IF(AN10="","",AN10*T10)</f>
        <v/>
      </c>
      <c r="AP10" s="40" t="n"/>
      <c r="AQ10" s="32" t="inlineStr">
        <is>
          <t>Grounded</t>
        </is>
      </c>
      <c r="AR10" s="41" t="n"/>
      <c r="AS10" s="41" t="n"/>
      <c r="AT10" s="42" t="n"/>
      <c r="AU10" s="43">
        <f>IF(((S10*pax_cap*load_thin*ROUND(K10*L10*revleg_thin,0))-(((battery/range_nm)*D10*ROUND(K10*L10*revleg_thin,0)*VLOOKUP(B10,country_opex,3,FALSE))+V10+W10+X10+Y10+Z10))&lt;=0,"",VLOOKUP(B10,country_opex,7,FALSE)/((S10*pax_cap*load_thin*ROUND(K10*L10*revleg_thin,0))-(((battery/range_nm)*D10*ROUND(K10*L10*revleg_thin,0)*VLOOKUP(B10,country_opex,3,FALSE))+V10+W10+X10+Y10+Z10)))</f>
        <v/>
      </c>
      <c r="AV10" s="43">
        <f>IF(((S10*pax_cap*load_mid*ROUND(K10*L10*revleg_mid,0))-(((battery/range_nm)*D10*ROUND(K10*L10*revleg_mid,0)*VLOOKUP(B10,country_opex,3,FALSE))+V10+W10+X10+Y10+Z10))&lt;=0,"",VLOOKUP(B10,country_opex,7,FALSE)/((S10*pax_cap*load_mid*ROUND(K10*L10*revleg_mid,0))-(((battery/range_nm)*D10*ROUND(K10*L10*revleg_mid,0)*VLOOKUP(B10,country_opex,3,FALSE))+V10+W10+X10+Y10+Z10)))</f>
        <v/>
      </c>
      <c r="AW10" s="43">
        <f>IF(((S10*pax_cap*load_full*ROUND(K10*L10*revleg_full,0))-(((battery/range_nm)*D10*ROUND(K10*L10*revleg_full,0)*VLOOKUP(B10,country_opex,3,FALSE))+V10+W10+X10+Y10+Z10))&lt;=0,"",VLOOKUP(B10,country_opex,7,FALSE)/((S10*pax_cap*load_full*ROUND(K10*L10*revleg_full,0))-(((battery/range_nm)*D10*ROUND(K10*L10*revleg_full,0)*VLOOKUP(B10,country_opex,3,FALSE))+V10+W10+X10+Y10+Z10)))</f>
        <v/>
      </c>
      <c r="AX10" s="44" t="inlineStr">
        <is>
          <t>Koh Samui (Bangrak/Maenam) -&gt; Koh Phangan (Thong Sala)</t>
        </is>
      </c>
      <c r="AY10" s="44" t="inlineStr">
        <is>
          <t>Koh Samui (Bangrak/Maenam) -&gt; Koh Phangan (Thong Sala)</t>
        </is>
      </c>
    </row>
    <row r="11">
      <c r="A11" s="29" t="inlineStr">
        <is>
          <t>Royal_Coast</t>
        </is>
      </c>
      <c r="B11" s="29" t="inlineStr">
        <is>
          <t>Thailand</t>
        </is>
      </c>
      <c r="C11" s="30" t="inlineStr">
        <is>
          <t>Hua Hin (pier) → Cha-Am (pier)</t>
        </is>
      </c>
      <c r="D11" s="31" t="n">
        <v>13.4</v>
      </c>
      <c r="E11" s="26" t="n">
        <v>24</v>
      </c>
      <c r="F11" s="32" t="inlineStr">
        <is>
          <t>T5</t>
        </is>
      </c>
      <c r="G11" s="32" t="inlineStr">
        <is>
          <t>low-med</t>
        </is>
      </c>
      <c r="H11" s="19" t="n">
        <v>1</v>
      </c>
      <c r="I11" s="33">
        <f>60*D11/cruise_kt</f>
        <v/>
      </c>
      <c r="J11" s="33">
        <f>I11+turn_min+dwell_min</f>
        <v/>
      </c>
      <c r="K11" s="34">
        <f>MIN(15,FLOOR(60*service_hr/J11,1))</f>
        <v/>
      </c>
      <c r="L11" s="34">
        <f>ROUND(365*mech_uptime*H11,0)</f>
        <v/>
      </c>
      <c r="M11" s="35">
        <f>mech_uptime</f>
        <v/>
      </c>
      <c r="N11" s="35">
        <f>revleg_sel</f>
        <v/>
      </c>
      <c r="O11" s="34">
        <f>ROUND(K11*L11*revleg_sel,0)</f>
        <v/>
      </c>
      <c r="P11" s="36">
        <f>load_sel</f>
        <v/>
      </c>
      <c r="Q11" s="36">
        <f>pax_cap*P11</f>
        <v/>
      </c>
      <c r="R11" s="34">
        <f>Q11*O11</f>
        <v/>
      </c>
      <c r="S11" s="37">
        <f>E11*discount</f>
        <v/>
      </c>
      <c r="T11" s="38">
        <f>S11*R11</f>
        <v/>
      </c>
      <c r="U11" s="38">
        <f>(battery/range_nm)*D11*O11*VLOOKUP(B11,country_opex,3,FALSE)</f>
        <v/>
      </c>
      <c r="V11" s="38">
        <f>VLOOKUP(B11,country_opex,2,FALSE)*crew_factor</f>
        <v/>
      </c>
      <c r="W11" s="38">
        <f>VLOOKUP(B11,country_opex,5,FALSE)</f>
        <v/>
      </c>
      <c r="X11" s="38">
        <f>maint</f>
        <v/>
      </c>
      <c r="Y11" s="38">
        <f>VLOOKUP(B11,country_opex,7,FALSE)*ins_pct</f>
        <v/>
      </c>
      <c r="Z11" s="38">
        <f>charge_berth</f>
        <v/>
      </c>
      <c r="AA11" s="38">
        <f>U11+V11+W11+X11+Y11+Z11</f>
        <v/>
      </c>
      <c r="AB11" s="38">
        <f>VLOOKUP(B11,country_opex,7,FALSE)/dep_years</f>
        <v/>
      </c>
      <c r="AC11" s="38">
        <f>T11-AA11</f>
        <v/>
      </c>
      <c r="AD11" s="35">
        <f>IF(T11=0,"",AC11/T11)</f>
        <v/>
      </c>
      <c r="AE11" s="36">
        <f>IF(AC11&lt;=0,"",VLOOKUP(B11,country_opex,7,FALSE)/AC11)</f>
        <v/>
      </c>
      <c r="AF11" s="33">
        <f>((D11*O11/diesel_nmpg)*diesel_co2pg-(battery/range_nm)*D11*O11*VLOOKUP(B11,country_opex,4,FALSE))/1000</f>
        <v/>
      </c>
      <c r="AG11" s="31" t="n">
        <v>28000</v>
      </c>
      <c r="AH11" s="32" t="inlineStr">
        <is>
          <t>T4</t>
        </is>
      </c>
      <c r="AI11" s="32" t="inlineStr">
        <is>
          <t>low-med</t>
        </is>
      </c>
      <c r="AJ11" s="39" t="n">
        <v>0.1</v>
      </c>
      <c r="AK11" s="34">
        <f>IF(AG11="","",AG11*AJ11)</f>
        <v/>
      </c>
      <c r="AL11" s="34">
        <f>IF(OR(AG11="",R11=0),"",MIN(IF(AT11="",9.9E+99,AT11),FLOOR(AK11/R11,1)))</f>
        <v/>
      </c>
      <c r="AM11" s="38">
        <f>IF(AL11="","",AL11*T11)</f>
        <v/>
      </c>
      <c r="AN11" s="36">
        <f>IF(OR(AG11="",R11=0),"",MIN(IF(AT11="",9.9E+99,AT11),AK11/R11))</f>
        <v/>
      </c>
      <c r="AO11" s="38">
        <f>IF(AN11="","",AN11*T11)</f>
        <v/>
      </c>
      <c r="AP11" s="40" t="n"/>
      <c r="AQ11" s="32" t="inlineStr">
        <is>
          <t>Grounded</t>
        </is>
      </c>
      <c r="AR11" s="41" t="n"/>
      <c r="AS11" s="41" t="n"/>
      <c r="AT11" s="42" t="n"/>
      <c r="AU11" s="43">
        <f>IF(((S11*pax_cap*load_thin*ROUND(K11*L11*revleg_thin,0))-(((battery/range_nm)*D11*ROUND(K11*L11*revleg_thin,0)*VLOOKUP(B11,country_opex,3,FALSE))+V11+W11+X11+Y11+Z11))&lt;=0,"",VLOOKUP(B11,country_opex,7,FALSE)/((S11*pax_cap*load_thin*ROUND(K11*L11*revleg_thin,0))-(((battery/range_nm)*D11*ROUND(K11*L11*revleg_thin,0)*VLOOKUP(B11,country_opex,3,FALSE))+V11+W11+X11+Y11+Z11)))</f>
        <v/>
      </c>
      <c r="AV11" s="43">
        <f>IF(((S11*pax_cap*load_mid*ROUND(K11*L11*revleg_mid,0))-(((battery/range_nm)*D11*ROUND(K11*L11*revleg_mid,0)*VLOOKUP(B11,country_opex,3,FALSE))+V11+W11+X11+Y11+Z11))&lt;=0,"",VLOOKUP(B11,country_opex,7,FALSE)/((S11*pax_cap*load_mid*ROUND(K11*L11*revleg_mid,0))-(((battery/range_nm)*D11*ROUND(K11*L11*revleg_mid,0)*VLOOKUP(B11,country_opex,3,FALSE))+V11+W11+X11+Y11+Z11)))</f>
        <v/>
      </c>
      <c r="AW11" s="43">
        <f>IF(((S11*pax_cap*load_full*ROUND(K11*L11*revleg_full,0))-(((battery/range_nm)*D11*ROUND(K11*L11*revleg_full,0)*VLOOKUP(B11,country_opex,3,FALSE))+V11+W11+X11+Y11+Z11))&lt;=0,"",VLOOKUP(B11,country_opex,7,FALSE)/((S11*pax_cap*load_full*ROUND(K11*L11*revleg_full,0))-(((battery/range_nm)*D11*ROUND(K11*L11*revleg_full,0)*VLOOKUP(B11,country_opex,3,FALSE))+V11+W11+X11+Y11+Z11)))</f>
        <v/>
      </c>
      <c r="AX11" s="44" t="inlineStr">
        <is>
          <t>Royal-coast resort weekend hop; modeled premium slice.</t>
        </is>
      </c>
      <c r="AY11" s="44" t="inlineStr">
        <is>
          <t>Royal-coast resort weekend hop; modeled premium slice.</t>
        </is>
      </c>
    </row>
    <row r="12">
      <c r="A12" s="29" t="inlineStr">
        <is>
          <t>Phuket</t>
        </is>
      </c>
      <c r="B12" s="29" t="inlineStr">
        <is>
          <t>Thailand</t>
        </is>
      </c>
      <c r="C12" s="30" t="inlineStr">
        <is>
          <t>Ao Po Pier (Ao Po / Ao Por, NE Phuket) → Khao Phing Kan (James Bond Island), Phang Nga Bay</t>
        </is>
      </c>
      <c r="D12" s="31" t="n">
        <v>13.5</v>
      </c>
      <c r="E12" s="26" t="n">
        <v>90</v>
      </c>
      <c r="F12" s="32" t="inlineStr">
        <is>
          <t>T2</t>
        </is>
      </c>
      <c r="G12" s="32" t="inlineStr">
        <is>
          <t>med</t>
        </is>
      </c>
      <c r="H12" s="19" t="n">
        <v>1</v>
      </c>
      <c r="I12" s="33">
        <f>60*D12/cruise_kt</f>
        <v/>
      </c>
      <c r="J12" s="33">
        <f>I12+turn_min+dwell_min</f>
        <v/>
      </c>
      <c r="K12" s="34">
        <f>MIN(15,FLOOR(60*service_hr/J12,1))</f>
        <v/>
      </c>
      <c r="L12" s="34">
        <f>ROUND(365*mech_uptime*H12,0)</f>
        <v/>
      </c>
      <c r="M12" s="35">
        <f>mech_uptime</f>
        <v/>
      </c>
      <c r="N12" s="35">
        <f>revleg_sel</f>
        <v/>
      </c>
      <c r="O12" s="34">
        <f>ROUND(K12*L12*revleg_sel,0)</f>
        <v/>
      </c>
      <c r="P12" s="36">
        <f>load_sel</f>
        <v/>
      </c>
      <c r="Q12" s="36">
        <f>pax_cap*P12</f>
        <v/>
      </c>
      <c r="R12" s="34">
        <f>Q12*O12</f>
        <v/>
      </c>
      <c r="S12" s="37">
        <f>E12*discount</f>
        <v/>
      </c>
      <c r="T12" s="38">
        <f>S12*R12</f>
        <v/>
      </c>
      <c r="U12" s="38">
        <f>(battery/range_nm)*D12*O12*VLOOKUP(B12,country_opex,3,FALSE)</f>
        <v/>
      </c>
      <c r="V12" s="38">
        <f>VLOOKUP(B12,country_opex,2,FALSE)*crew_factor</f>
        <v/>
      </c>
      <c r="W12" s="38">
        <f>VLOOKUP(B12,country_opex,5,FALSE)</f>
        <v/>
      </c>
      <c r="X12" s="38">
        <f>maint</f>
        <v/>
      </c>
      <c r="Y12" s="38">
        <f>VLOOKUP(B12,country_opex,7,FALSE)*ins_pct</f>
        <v/>
      </c>
      <c r="Z12" s="38">
        <f>charge_berth</f>
        <v/>
      </c>
      <c r="AA12" s="38">
        <f>U12+V12+W12+X12+Y12+Z12</f>
        <v/>
      </c>
      <c r="AB12" s="38">
        <f>VLOOKUP(B12,country_opex,7,FALSE)/dep_years</f>
        <v/>
      </c>
      <c r="AC12" s="38">
        <f>T12-AA12</f>
        <v/>
      </c>
      <c r="AD12" s="35">
        <f>IF(T12=0,"",AC12/T12)</f>
        <v/>
      </c>
      <c r="AE12" s="36">
        <f>IF(AC12&lt;=0,"",VLOOKUP(B12,country_opex,7,FALSE)/AC12)</f>
        <v/>
      </c>
      <c r="AF12" s="33">
        <f>((D12*O12/diesel_nmpg)*diesel_co2pg-(battery/range_nm)*D12*O12*VLOOKUP(B12,country_opex,4,FALSE))/1000</f>
        <v/>
      </c>
      <c r="AG12" s="31" t="n">
        <v>20000</v>
      </c>
      <c r="AH12" s="32" t="n"/>
      <c r="AI12" s="32" t="n"/>
      <c r="AJ12" s="39" t="n">
        <v>0.1</v>
      </c>
      <c r="AK12" s="34">
        <f>IF(AG12="","",AG12*AJ12)</f>
        <v/>
      </c>
      <c r="AL12" s="34">
        <f>IF(OR(AG12="",R12=0),"",MIN(IF(AT12="",9.9E+99,AT12),FLOOR(AK12/R12,1)))</f>
        <v/>
      </c>
      <c r="AM12" s="38">
        <f>IF(AL12="","",AL12*T12)</f>
        <v/>
      </c>
      <c r="AN12" s="36">
        <f>IF(OR(AG12="",R12=0),"",MIN(IF(AT12="",9.9E+99,AT12),AK12/R12))</f>
        <v/>
      </c>
      <c r="AO12" s="38">
        <f>IF(AN12="","",AN12*T12)</f>
        <v/>
      </c>
      <c r="AP12" s="40" t="n"/>
      <c r="AQ12" s="32" t="inlineStr">
        <is>
          <t>Grounded</t>
        </is>
      </c>
      <c r="AR12" s="41" t="n"/>
      <c r="AS12" s="41" t="n"/>
      <c r="AT12" s="42" t="n"/>
      <c r="AU12" s="43">
        <f>IF(((S12*pax_cap*load_thin*ROUND(K12*L12*revleg_thin,0))-(((battery/range_nm)*D12*ROUND(K12*L12*revleg_thin,0)*VLOOKUP(B12,country_opex,3,FALSE))+V12+W12+X12+Y12+Z12))&lt;=0,"",VLOOKUP(B12,country_opex,7,FALSE)/((S12*pax_cap*load_thin*ROUND(K12*L12*revleg_thin,0))-(((battery/range_nm)*D12*ROUND(K12*L12*revleg_thin,0)*VLOOKUP(B12,country_opex,3,FALSE))+V12+W12+X12+Y12+Z12)))</f>
        <v/>
      </c>
      <c r="AV12" s="43">
        <f>IF(((S12*pax_cap*load_mid*ROUND(K12*L12*revleg_mid,0))-(((battery/range_nm)*D12*ROUND(K12*L12*revleg_mid,0)*VLOOKUP(B12,country_opex,3,FALSE))+V12+W12+X12+Y12+Z12))&lt;=0,"",VLOOKUP(B12,country_opex,7,FALSE)/((S12*pax_cap*load_mid*ROUND(K12*L12*revleg_mid,0))-(((battery/range_nm)*D12*ROUND(K12*L12*revleg_mid,0)*VLOOKUP(B12,country_opex,3,FALSE))+V12+W12+X12+Y12+Z12)))</f>
        <v/>
      </c>
      <c r="AW12" s="43">
        <f>IF(((S12*pax_cap*load_full*ROUND(K12*L12*revleg_full,0))-(((battery/range_nm)*D12*ROUND(K12*L12*revleg_full,0)*VLOOKUP(B12,country_opex,3,FALSE))+V12+W12+X12+Y12+Z12))&lt;=0,"",VLOOKUP(B12,country_opex,7,FALSE)/((S12*pax_cap*load_full*ROUND(K12*L12*revleg_full,0))-(((battery/range_nm)*D12*ROUND(K12*L12*revleg_full,0)*VLOOKUP(B12,country_opex,3,FALSE))+V12+W12+X12+Y12+Z12)))</f>
        <v/>
      </c>
      <c r="AX12" s="44" t="inlineStr">
        <is>
          <t>John Gray's Hong by Starlight 3,350 THB/pax agent rate (phukettoursdirect.com/hong-by-starlight.html) / USD 108.89 retail (Agoda activities listing); Phuket Sail Tours sunset/day band 2,200-2,800 THB (phuketexpatguide.com operator comparison, 2026); Simba Sea Trips premium small-group products (TripAdvisor-listed, 18-adult cap, award-positioned above mass market). Anchor = conservative mid of the 2,500-3,900 THB premium band ~ USD 90.</t>
        </is>
      </c>
      <c r="AY12" s="44" t="n"/>
    </row>
    <row r="13">
      <c r="A13" s="29" t="inlineStr">
        <is>
          <t>Koh Samui</t>
        </is>
      </c>
      <c r="B13" s="29" t="inlineStr">
        <is>
          <t>Thailand</t>
        </is>
      </c>
      <c r="C13" s="30" t="inlineStr">
        <is>
          <t>Koh Samui (Lipa Noi) → Donsak (Raja Ferry pier)</t>
        </is>
      </c>
      <c r="D13" s="31" t="n">
        <v>14.3</v>
      </c>
      <c r="E13" s="26" t="n">
        <v>15.2</v>
      </c>
      <c r="F13" s="32" t="n"/>
      <c r="G13" s="32" t="inlineStr">
        <is>
          <t>T3</t>
        </is>
      </c>
      <c r="H13" s="19" t="n">
        <v>1</v>
      </c>
      <c r="I13" s="33">
        <f>60*D13/cruise_kt</f>
        <v/>
      </c>
      <c r="J13" s="33">
        <f>I13+turn_min+dwell_min</f>
        <v/>
      </c>
      <c r="K13" s="34">
        <f>MIN(24,FLOOR(60*service_hr/J13,1))</f>
        <v/>
      </c>
      <c r="L13" s="34">
        <f>ROUND(365*mech_uptime*H13,0)</f>
        <v/>
      </c>
      <c r="M13" s="35">
        <f>mech_uptime</f>
        <v/>
      </c>
      <c r="N13" s="35">
        <f>revleg_sel</f>
        <v/>
      </c>
      <c r="O13" s="34">
        <f>ROUND(K13*L13*revleg_sel,0)</f>
        <v/>
      </c>
      <c r="P13" s="36">
        <f>load_sel</f>
        <v/>
      </c>
      <c r="Q13" s="36">
        <f>pax_cap*P13</f>
        <v/>
      </c>
      <c r="R13" s="34">
        <f>Q13*O13</f>
        <v/>
      </c>
      <c r="S13" s="37">
        <f>E13*discount</f>
        <v/>
      </c>
      <c r="T13" s="38">
        <f>S13*R13</f>
        <v/>
      </c>
      <c r="U13" s="38">
        <f>(battery/range_nm)*D13*O13*VLOOKUP(B13,country_opex,3,FALSE)</f>
        <v/>
      </c>
      <c r="V13" s="38">
        <f>VLOOKUP(B13,country_opex,2,FALSE)*crew_factor</f>
        <v/>
      </c>
      <c r="W13" s="38">
        <f>VLOOKUP(B13,country_opex,5,FALSE)</f>
        <v/>
      </c>
      <c r="X13" s="38">
        <f>maint</f>
        <v/>
      </c>
      <c r="Y13" s="38">
        <f>VLOOKUP(B13,country_opex,7,FALSE)*ins_pct</f>
        <v/>
      </c>
      <c r="Z13" s="38">
        <f>charge_berth</f>
        <v/>
      </c>
      <c r="AA13" s="38">
        <f>U13+V13+W13+X13+Y13+Z13</f>
        <v/>
      </c>
      <c r="AB13" s="38">
        <f>VLOOKUP(B13,country_opex,7,FALSE)/dep_years</f>
        <v/>
      </c>
      <c r="AC13" s="38">
        <f>T13-AA13</f>
        <v/>
      </c>
      <c r="AD13" s="35">
        <f>IF(T13=0,"",AC13/T13)</f>
        <v/>
      </c>
      <c r="AE13" s="36">
        <f>IF(AC13&lt;=0,"",VLOOKUP(B13,country_opex,7,FALSE)/AC13)</f>
        <v/>
      </c>
      <c r="AF13" s="33">
        <f>((D13*O13/diesel_nmpg)*diesel_co2pg-(battery/range_nm)*D13*O13*VLOOKUP(B13,country_opex,4,FALSE))/1000</f>
        <v/>
      </c>
      <c r="AG13" s="31" t="n">
        <v>666667</v>
      </c>
      <c r="AH13" s="32" t="inlineStr">
        <is>
          <t>T2</t>
        </is>
      </c>
      <c r="AI13" s="32" t="inlineStr">
        <is>
          <t>med-low</t>
        </is>
      </c>
      <c r="AJ13" s="39" t="n">
        <v>0.1</v>
      </c>
      <c r="AK13" s="34">
        <f>IF(AG13="","",AG13*AJ13)</f>
        <v/>
      </c>
      <c r="AL13" s="34">
        <f>IF(OR(AG13="",R13=0),"",MIN(IF(AT13="",9.9E+99,AT13),FLOOR(AK13/R13,1)))</f>
        <v/>
      </c>
      <c r="AM13" s="38">
        <f>IF(AL13="","",AL13*T13)</f>
        <v/>
      </c>
      <c r="AN13" s="36">
        <f>IF(OR(AG13="",R13=0),"",MIN(IF(AT13="",9.9E+99,AT13),AK13/R13))</f>
        <v/>
      </c>
      <c r="AO13" s="38">
        <f>IF(AN13="","",AN13*T13)</f>
        <v/>
      </c>
      <c r="AP13" s="40" t="n"/>
      <c r="AQ13" s="32" t="inlineStr">
        <is>
          <t>Grounded</t>
        </is>
      </c>
      <c r="AR13" s="41" t="n"/>
      <c r="AS13" s="41" t="n"/>
      <c r="AT13" s="42" t="n"/>
      <c r="AU13" s="43">
        <f>IF(((S13*pax_cap*load_thin*ROUND(K13*L13*revleg_thin,0))-(((battery/range_nm)*D13*ROUND(K13*L13*revleg_thin,0)*VLOOKUP(B13,country_opex,3,FALSE))+V13+W13+X13+Y13+Z13))&lt;=0,"",VLOOKUP(B13,country_opex,7,FALSE)/((S13*pax_cap*load_thin*ROUND(K13*L13*revleg_thin,0))-(((battery/range_nm)*D13*ROUND(K13*L13*revleg_thin,0)*VLOOKUP(B13,country_opex,3,FALSE))+V13+W13+X13+Y13+Z13)))</f>
        <v/>
      </c>
      <c r="AV13" s="43">
        <f>IF(((S13*pax_cap*load_mid*ROUND(K13*L13*revleg_mid,0))-(((battery/range_nm)*D13*ROUND(K13*L13*revleg_mid,0)*VLOOKUP(B13,country_opex,3,FALSE))+V13+W13+X13+Y13+Z13))&lt;=0,"",VLOOKUP(B13,country_opex,7,FALSE)/((S13*pax_cap*load_mid*ROUND(K13*L13*revleg_mid,0))-(((battery/range_nm)*D13*ROUND(K13*L13*revleg_mid,0)*VLOOKUP(B13,country_opex,3,FALSE))+V13+W13+X13+Y13+Z13)))</f>
        <v/>
      </c>
      <c r="AW13" s="43">
        <f>IF(((S13*pax_cap*load_full*ROUND(K13*L13*revleg_full,0))-(((battery/range_nm)*D13*ROUND(K13*L13*revleg_full,0)*VLOOKUP(B13,country_opex,3,FALSE))+V13+W13+X13+Y13+Z13))&lt;=0,"",VLOOKUP(B13,country_opex,7,FALSE)/((S13*pax_cap*load_full*ROUND(K13*L13*revleg_full,0))-(((battery/range_nm)*D13*ROUND(K13*L13*revleg_full,0)*VLOOKUP(B13,country_opex,3,FALSE))+V13+W13+X13+Y13+Z13)))</f>
        <v/>
      </c>
      <c r="AX13" s="44" t="n"/>
      <c r="AY13" s="44" t="inlineStr">
        <is>
          <t>SUBSET of rn-347c44e1d360 (do not sum). Raja Ferry Port (SET-listed, RP) company disclosure: ~1.2M passengers + ~600k vehicles carried in 2017 (+20% over 2016) across Donsak-Lipa Noi (Samui) and Donsak-Phangan routes; ~14 ferries, up to 50 trips/day (RP business plan via Koh Samui News/Samui Times; CreditRiskMonitor profile). RP FY2024 (2567) one-report exists but is a scanned PDF; per-route pax not machine-readable.</t>
        </is>
      </c>
    </row>
    <row r="14">
      <c r="A14" s="29" t="inlineStr">
        <is>
          <t>Koh Samui</t>
        </is>
      </c>
      <c r="B14" s="29" t="inlineStr">
        <is>
          <t>Thailand</t>
        </is>
      </c>
      <c r="C14" s="30" t="inlineStr">
        <is>
          <t>Four Seasons Koh Samui (Laem Yai) → Ang Thong Marine Park (Wua Talap)</t>
        </is>
      </c>
      <c r="D14" s="31" t="n">
        <v>15.3</v>
      </c>
      <c r="E14" s="26" t="n">
        <v>79</v>
      </c>
      <c r="F14" s="32" t="n"/>
      <c r="G14" s="32" t="inlineStr">
        <is>
          <t>T3</t>
        </is>
      </c>
      <c r="H14" s="19" t="n">
        <v>1</v>
      </c>
      <c r="I14" s="33">
        <f>60*D14/cruise_kt</f>
        <v/>
      </c>
      <c r="J14" s="33">
        <f>I14+turn_min+dwell_min</f>
        <v/>
      </c>
      <c r="K14" s="34">
        <f>MIN(15,FLOOR(60*service_hr/J14,1))</f>
        <v/>
      </c>
      <c r="L14" s="34">
        <f>ROUND(365*mech_uptime*H14,0)</f>
        <v/>
      </c>
      <c r="M14" s="35">
        <f>mech_uptime</f>
        <v/>
      </c>
      <c r="N14" s="35">
        <f>revleg_sel</f>
        <v/>
      </c>
      <c r="O14" s="34">
        <f>ROUND(K14*L14*revleg_sel,0)</f>
        <v/>
      </c>
      <c r="P14" s="36">
        <f>load_sel</f>
        <v/>
      </c>
      <c r="Q14" s="36">
        <f>pax_cap*P14</f>
        <v/>
      </c>
      <c r="R14" s="34">
        <f>Q14*O14</f>
        <v/>
      </c>
      <c r="S14" s="37">
        <f>E14*discount</f>
        <v/>
      </c>
      <c r="T14" s="38">
        <f>S14*R14</f>
        <v/>
      </c>
      <c r="U14" s="38">
        <f>(battery/range_nm)*D14*O14*VLOOKUP(B14,country_opex,3,FALSE)</f>
        <v/>
      </c>
      <c r="V14" s="38">
        <f>VLOOKUP(B14,country_opex,2,FALSE)*crew_factor</f>
        <v/>
      </c>
      <c r="W14" s="38">
        <f>VLOOKUP(B14,country_opex,5,FALSE)</f>
        <v/>
      </c>
      <c r="X14" s="38">
        <f>maint</f>
        <v/>
      </c>
      <c r="Y14" s="38">
        <f>VLOOKUP(B14,country_opex,7,FALSE)*ins_pct</f>
        <v/>
      </c>
      <c r="Z14" s="38">
        <f>charge_berth</f>
        <v/>
      </c>
      <c r="AA14" s="38">
        <f>U14+V14+W14+X14+Y14+Z14</f>
        <v/>
      </c>
      <c r="AB14" s="38">
        <f>VLOOKUP(B14,country_opex,7,FALSE)/dep_years</f>
        <v/>
      </c>
      <c r="AC14" s="38">
        <f>T14-AA14</f>
        <v/>
      </c>
      <c r="AD14" s="35">
        <f>IF(T14=0,"",AC14/T14)</f>
        <v/>
      </c>
      <c r="AE14" s="36">
        <f>IF(AC14&lt;=0,"",VLOOKUP(B14,country_opex,7,FALSE)/AC14)</f>
        <v/>
      </c>
      <c r="AF14" s="33">
        <f>((D14*O14/diesel_nmpg)*diesel_co2pg-(battery/range_nm)*D14*O14*VLOOKUP(B14,country_opex,4,FALSE))/1000</f>
        <v/>
      </c>
      <c r="AG14" s="31" t="n">
        <v>300000</v>
      </c>
      <c r="AH14" s="32" t="inlineStr">
        <is>
          <t>T2</t>
        </is>
      </c>
      <c r="AI14" s="32" t="inlineStr">
        <is>
          <t>med-low</t>
        </is>
      </c>
      <c r="AJ14" s="39" t="n">
        <v>0.9</v>
      </c>
      <c r="AK14" s="34">
        <f>IF(AG14="","",AG14*AJ14)</f>
        <v/>
      </c>
      <c r="AL14" s="34">
        <f>IF(OR(AG14="",R14=0),"",MIN(IF(AT14="",9.9E+99,AT14),FLOOR(AK14/R14,1)))</f>
        <v/>
      </c>
      <c r="AM14" s="38">
        <f>IF(AL14="","",AL14*T14)</f>
        <v/>
      </c>
      <c r="AN14" s="36">
        <f>IF(OR(AG14="",R14=0),"",MIN(IF(AT14="",9.9E+99,AT14),AK14/R14))</f>
        <v/>
      </c>
      <c r="AO14" s="38">
        <f>IF(AN14="","",AN14*T14)</f>
        <v/>
      </c>
      <c r="AP14" s="40" t="n"/>
      <c r="AQ14" s="32" t="inlineStr">
        <is>
          <t>Grounded</t>
        </is>
      </c>
      <c r="AR14" s="41" t="n"/>
      <c r="AS14" s="41" t="n"/>
      <c r="AT14" s="42" t="n">
        <v>3</v>
      </c>
      <c r="AU14" s="43">
        <f>IF(((S14*pax_cap*load_thin*ROUND(K14*L14*revleg_thin,0))-(((battery/range_nm)*D14*ROUND(K14*L14*revleg_thin,0)*VLOOKUP(B14,country_opex,3,FALSE))+V14+W14+X14+Y14+Z14))&lt;=0,"",VLOOKUP(B14,country_opex,7,FALSE)/((S14*pax_cap*load_thin*ROUND(K14*L14*revleg_thin,0))-(((battery/range_nm)*D14*ROUND(K14*L14*revleg_thin,0)*VLOOKUP(B14,country_opex,3,FALSE))+V14+W14+X14+Y14+Z14)))</f>
        <v/>
      </c>
      <c r="AV14" s="43">
        <f>IF(((S14*pax_cap*load_mid*ROUND(K14*L14*revleg_mid,0))-(((battery/range_nm)*D14*ROUND(K14*L14*revleg_mid,0)*VLOOKUP(B14,country_opex,3,FALSE))+V14+W14+X14+Y14+Z14))&lt;=0,"",VLOOKUP(B14,country_opex,7,FALSE)/((S14*pax_cap*load_mid*ROUND(K14*L14*revleg_mid,0))-(((battery/range_nm)*D14*ROUND(K14*L14*revleg_mid,0)*VLOOKUP(B14,country_opex,3,FALSE))+V14+W14+X14+Y14+Z14)))</f>
        <v/>
      </c>
      <c r="AW14" s="43">
        <f>IF(((S14*pax_cap*load_full*ROUND(K14*L14*revleg_full,0))-(((battery/range_nm)*D14*ROUND(K14*L14*revleg_full,0)*VLOOKUP(B14,country_opex,3,FALSE))+V14+W14+X14+Y14+Z14))&lt;=0,"",VLOOKUP(B14,country_opex,7,FALSE)/((S14*pax_cap*load_full*ROUND(K14*L14*revleg_full,0))-(((battery/range_nm)*D14*ROUND(K14*L14*revleg_full,0)*VLOOKUP(B14,country_opex,3,FALSE))+V14+W14+X14+Y14+Z14)))</f>
        <v/>
      </c>
      <c r="AX14" s="44" t="n"/>
      <c r="AY14" s="44" t="inlineStr">
        <is>
          <t>Mu Ko Ang Thong National Marine Park: ~160,000 park visitors/yr, ~85% foreign, &gt;THB 40M annual fee revenue (Thai PBS citing park authority, ~2024; DNP visitor-stats system catalog.dnp.go.th is the underlying register - R3-GOLD park-authority class). Park is boat-only and closed annually 1 Nov-15 Dec. Licensed speedboat day tours depart Samui (and Phangan) daily in season.</t>
        </is>
      </c>
    </row>
    <row r="15">
      <c r="A15" s="29" t="inlineStr">
        <is>
          <t>Phuket</t>
        </is>
      </c>
      <c r="B15" s="29" t="inlineStr">
        <is>
          <t>Thailand</t>
        </is>
      </c>
      <c r="C15" s="30" t="inlineStr">
        <is>
          <t>Rassada Pier (Phuket Deep Sea Port) → Manoh Pier (Koh Yao Yai)</t>
        </is>
      </c>
      <c r="D15" s="31" t="n">
        <v>16.9</v>
      </c>
      <c r="E15" s="26" t="n">
        <v>100</v>
      </c>
      <c r="F15" s="32" t="inlineStr">
        <is>
          <t>T2</t>
        </is>
      </c>
      <c r="G15" s="32" t="inlineStr">
        <is>
          <t>med</t>
        </is>
      </c>
      <c r="H15" s="19" t="n">
        <v>1</v>
      </c>
      <c r="I15" s="33">
        <f>60*D15/cruise_kt</f>
        <v/>
      </c>
      <c r="J15" s="33">
        <f>I15+turn_min+dwell_min</f>
        <v/>
      </c>
      <c r="K15" s="34">
        <f>MIN(15,FLOOR(60*service_hr/J15,1))</f>
        <v/>
      </c>
      <c r="L15" s="34">
        <f>ROUND(365*mech_uptime*H15,0)</f>
        <v/>
      </c>
      <c r="M15" s="35">
        <f>mech_uptime</f>
        <v/>
      </c>
      <c r="N15" s="35">
        <f>revleg_sel</f>
        <v/>
      </c>
      <c r="O15" s="34">
        <f>ROUND(K15*L15*revleg_sel,0)</f>
        <v/>
      </c>
      <c r="P15" s="36">
        <f>load_sel</f>
        <v/>
      </c>
      <c r="Q15" s="36">
        <f>pax_cap*P15</f>
        <v/>
      </c>
      <c r="R15" s="34">
        <f>Q15*O15</f>
        <v/>
      </c>
      <c r="S15" s="37">
        <f>E15*discount</f>
        <v/>
      </c>
      <c r="T15" s="38">
        <f>S15*R15</f>
        <v/>
      </c>
      <c r="U15" s="38">
        <f>(battery/range_nm)*D15*O15*VLOOKUP(B15,country_opex,3,FALSE)</f>
        <v/>
      </c>
      <c r="V15" s="38">
        <f>VLOOKUP(B15,country_opex,2,FALSE)*crew_factor</f>
        <v/>
      </c>
      <c r="W15" s="38">
        <f>VLOOKUP(B15,country_opex,5,FALSE)</f>
        <v/>
      </c>
      <c r="X15" s="38">
        <f>maint</f>
        <v/>
      </c>
      <c r="Y15" s="38">
        <f>VLOOKUP(B15,country_opex,7,FALSE)*ins_pct</f>
        <v/>
      </c>
      <c r="Z15" s="38">
        <f>charge_berth</f>
        <v/>
      </c>
      <c r="AA15" s="38">
        <f>U15+V15+W15+X15+Y15+Z15</f>
        <v/>
      </c>
      <c r="AB15" s="38">
        <f>VLOOKUP(B15,country_opex,7,FALSE)/dep_years</f>
        <v/>
      </c>
      <c r="AC15" s="38">
        <f>T15-AA15</f>
        <v/>
      </c>
      <c r="AD15" s="35">
        <f>IF(T15=0,"",AC15/T15)</f>
        <v/>
      </c>
      <c r="AE15" s="36">
        <f>IF(AC15&lt;=0,"",VLOOKUP(B15,country_opex,7,FALSE)/AC15)</f>
        <v/>
      </c>
      <c r="AF15" s="33">
        <f>((D15*O15/diesel_nmpg)*diesel_co2pg-(battery/range_nm)*D15*O15*VLOOKUP(B15,country_opex,4,FALSE))/1000</f>
        <v/>
      </c>
      <c r="AG15" s="31" t="n">
        <v>8500</v>
      </c>
      <c r="AH15" s="32" t="inlineStr">
        <is>
          <t>T2</t>
        </is>
      </c>
      <c r="AI15" s="32" t="inlineStr">
        <is>
          <t>med</t>
        </is>
      </c>
      <c r="AJ15" s="39" t="n">
        <v>0.9</v>
      </c>
      <c r="AK15" s="34">
        <f>IF(AG15="","",AG15*AJ15)</f>
        <v/>
      </c>
      <c r="AL15" s="34">
        <f>IF(OR(AG15="",R15=0),"",MIN(IF(AT15="",9.9E+99,AT15),FLOOR(AK15/R15,1)))</f>
        <v/>
      </c>
      <c r="AM15" s="38">
        <f>IF(AL15="","",AL15*T15)</f>
        <v/>
      </c>
      <c r="AN15" s="36">
        <f>IF(OR(AG15="",R15=0),"",MIN(IF(AT15="",9.9E+99,AT15),AK15/R15))</f>
        <v/>
      </c>
      <c r="AO15" s="38">
        <f>IF(AN15="","",AN15*T15)</f>
        <v/>
      </c>
      <c r="AP15" s="40" t="n"/>
      <c r="AQ15" s="32" t="inlineStr">
        <is>
          <t>Grounded</t>
        </is>
      </c>
      <c r="AR15" s="41" t="n"/>
      <c r="AS15" s="41" t="n"/>
      <c r="AT15" s="42" t="n"/>
      <c r="AU15" s="43">
        <f>IF(((S15*pax_cap*load_thin*ROUND(K15*L15*revleg_thin,0))-(((battery/range_nm)*D15*ROUND(K15*L15*revleg_thin,0)*VLOOKUP(B15,country_opex,3,FALSE))+V15+W15+X15+Y15+Z15))&lt;=0,"",VLOOKUP(B15,country_opex,7,FALSE)/((S15*pax_cap*load_thin*ROUND(K15*L15*revleg_thin,0))-(((battery/range_nm)*D15*ROUND(K15*L15*revleg_thin,0)*VLOOKUP(B15,country_opex,3,FALSE))+V15+W15+X15+Y15+Z15)))</f>
        <v/>
      </c>
      <c r="AV15" s="43">
        <f>IF(((S15*pax_cap*load_mid*ROUND(K15*L15*revleg_mid,0))-(((battery/range_nm)*D15*ROUND(K15*L15*revleg_mid,0)*VLOOKUP(B15,country_opex,3,FALSE))+V15+W15+X15+Y15+Z15))&lt;=0,"",VLOOKUP(B15,country_opex,7,FALSE)/((S15*pax_cap*load_mid*ROUND(K15*L15*revleg_mid,0))-(((battery/range_nm)*D15*ROUND(K15*L15*revleg_mid,0)*VLOOKUP(B15,country_opex,3,FALSE))+V15+W15+X15+Y15+Z15)))</f>
        <v/>
      </c>
      <c r="AW15" s="43">
        <f>IF(((S15*pax_cap*load_full*ROUND(K15*L15*revleg_full,0))-(((battery/range_nm)*D15*ROUND(K15*L15*revleg_full,0)*VLOOKUP(B15,country_opex,3,FALSE))+V15+W15+X15+Y15+Z15))&lt;=0,"",VLOOKUP(B15,country_opex,7,FALSE)/((S15*pax_cap*load_full*ROUND(K15*L15*revleg_full,0))-(((battery/range_nm)*D15*ROUND(K15*L15*revleg_full,0)*VLOOKUP(B15,country_opex,3,FALSE))+V15+W15+X15+Y15+Z15)))</f>
        <v/>
      </c>
      <c r="AX15" s="44" t="inlineStr">
        <is>
          <t>Minor Hotels captive gateway — Anantara Koh Yao Yai boat-only transfer from Phuket.</t>
        </is>
      </c>
      <c r="AY15" s="44" t="inlineStr">
        <is>
          <t>minor-hotels-phuket-flagship-economics-DRAFT.json — Koh Yao Yai captive transfer pool</t>
        </is>
      </c>
    </row>
    <row r="16">
      <c r="A16" s="29" t="inlineStr">
        <is>
          <t>Phuket</t>
        </is>
      </c>
      <c r="B16" s="29" t="inlineStr">
        <is>
          <t>Thailand</t>
        </is>
      </c>
      <c r="C16" s="30" t="inlineStr">
        <is>
          <t>Ko Lanta (Saladan Pier) → Koh Phi Phi (Tonsai)</t>
        </is>
      </c>
      <c r="D16" s="31" t="n">
        <v>17</v>
      </c>
      <c r="E16" s="26" t="n">
        <v>28</v>
      </c>
      <c r="F16" s="32" t="inlineStr">
        <is>
          <t>T5</t>
        </is>
      </c>
      <c r="G16" s="32" t="inlineStr">
        <is>
          <t>low-med</t>
        </is>
      </c>
      <c r="H16" s="19" t="n">
        <v>1</v>
      </c>
      <c r="I16" s="33">
        <f>60*D16/cruise_kt</f>
        <v/>
      </c>
      <c r="J16" s="33">
        <f>I16+turn_min+dwell_min</f>
        <v/>
      </c>
      <c r="K16" s="34">
        <f>MIN(15,FLOOR(60*service_hr/J16,1))</f>
        <v/>
      </c>
      <c r="L16" s="34">
        <f>ROUND(365*mech_uptime*H16,0)</f>
        <v/>
      </c>
      <c r="M16" s="35">
        <f>mech_uptime</f>
        <v/>
      </c>
      <c r="N16" s="35">
        <f>revleg_sel</f>
        <v/>
      </c>
      <c r="O16" s="34">
        <f>ROUND(K16*L16*revleg_sel,0)</f>
        <v/>
      </c>
      <c r="P16" s="36">
        <f>load_sel</f>
        <v/>
      </c>
      <c r="Q16" s="36">
        <f>pax_cap*P16</f>
        <v/>
      </c>
      <c r="R16" s="34">
        <f>Q16*O16</f>
        <v/>
      </c>
      <c r="S16" s="37">
        <f>E16*discount</f>
        <v/>
      </c>
      <c r="T16" s="38">
        <f>S16*R16</f>
        <v/>
      </c>
      <c r="U16" s="38">
        <f>(battery/range_nm)*D16*O16*VLOOKUP(B16,country_opex,3,FALSE)</f>
        <v/>
      </c>
      <c r="V16" s="38">
        <f>VLOOKUP(B16,country_opex,2,FALSE)*crew_factor</f>
        <v/>
      </c>
      <c r="W16" s="38">
        <f>VLOOKUP(B16,country_opex,5,FALSE)</f>
        <v/>
      </c>
      <c r="X16" s="38">
        <f>maint</f>
        <v/>
      </c>
      <c r="Y16" s="38">
        <f>VLOOKUP(B16,country_opex,7,FALSE)*ins_pct</f>
        <v/>
      </c>
      <c r="Z16" s="38">
        <f>charge_berth</f>
        <v/>
      </c>
      <c r="AA16" s="38">
        <f>U16+V16+W16+X16+Y16+Z16</f>
        <v/>
      </c>
      <c r="AB16" s="38">
        <f>VLOOKUP(B16,country_opex,7,FALSE)/dep_years</f>
        <v/>
      </c>
      <c r="AC16" s="38">
        <f>T16-AA16</f>
        <v/>
      </c>
      <c r="AD16" s="35">
        <f>IF(T16=0,"",AC16/T16)</f>
        <v/>
      </c>
      <c r="AE16" s="36">
        <f>IF(AC16&lt;=0,"",VLOOKUP(B16,country_opex,7,FALSE)/AC16)</f>
        <v/>
      </c>
      <c r="AF16" s="33">
        <f>((D16*O16/diesel_nmpg)*diesel_co2pg-(battery/range_nm)*D16*O16*VLOOKUP(B16,country_opex,4,FALSE))/1000</f>
        <v/>
      </c>
      <c r="AG16" s="31" t="n">
        <v>62000</v>
      </c>
      <c r="AH16" s="32" t="inlineStr">
        <is>
          <t>T4</t>
        </is>
      </c>
      <c r="AI16" s="32" t="inlineStr">
        <is>
          <t>low-med</t>
        </is>
      </c>
      <c r="AJ16" s="39" t="n">
        <v>0.1</v>
      </c>
      <c r="AK16" s="34">
        <f>IF(AG16="","",AG16*AJ16)</f>
        <v/>
      </c>
      <c r="AL16" s="34">
        <f>IF(OR(AG16="",R16=0),"",MIN(IF(AT16="",9.9E+99,AT16),FLOOR(AK16/R16,1)))</f>
        <v/>
      </c>
      <c r="AM16" s="38">
        <f>IF(AL16="","",AL16*T16)</f>
        <v/>
      </c>
      <c r="AN16" s="36">
        <f>IF(OR(AG16="",R16=0),"",MIN(IF(AT16="",9.9E+99,AT16),AK16/R16))</f>
        <v/>
      </c>
      <c r="AO16" s="38">
        <f>IF(AN16="","",AN16*T16)</f>
        <v/>
      </c>
      <c r="AP16" s="40" t="n"/>
      <c r="AQ16" s="32" t="inlineStr">
        <is>
          <t>Grounded</t>
        </is>
      </c>
      <c r="AR16" s="41" t="n"/>
      <c r="AS16" s="41" t="n"/>
      <c r="AT16" s="42" t="n"/>
      <c r="AU16" s="43">
        <f>IF(((S16*pax_cap*load_thin*ROUND(K16*L16*revleg_thin,0))-(((battery/range_nm)*D16*ROUND(K16*L16*revleg_thin,0)*VLOOKUP(B16,country_opex,3,FALSE))+V16+W16+X16+Y16+Z16))&lt;=0,"",VLOOKUP(B16,country_opex,7,FALSE)/((S16*pax_cap*load_thin*ROUND(K16*L16*revleg_thin,0))-(((battery/range_nm)*D16*ROUND(K16*L16*revleg_thin,0)*VLOOKUP(B16,country_opex,3,FALSE))+V16+W16+X16+Y16+Z16)))</f>
        <v/>
      </c>
      <c r="AV16" s="43">
        <f>IF(((S16*pax_cap*load_mid*ROUND(K16*L16*revleg_mid,0))-(((battery/range_nm)*D16*ROUND(K16*L16*revleg_mid,0)*VLOOKUP(B16,country_opex,3,FALSE))+V16+W16+X16+Y16+Z16))&lt;=0,"",VLOOKUP(B16,country_opex,7,FALSE)/((S16*pax_cap*load_mid*ROUND(K16*L16*revleg_mid,0))-(((battery/range_nm)*D16*ROUND(K16*L16*revleg_mid,0)*VLOOKUP(B16,country_opex,3,FALSE))+V16+W16+X16+Y16+Z16)))</f>
        <v/>
      </c>
      <c r="AW16" s="43">
        <f>IF(((S16*pax_cap*load_full*ROUND(K16*L16*revleg_full,0))-(((battery/range_nm)*D16*ROUND(K16*L16*revleg_full,0)*VLOOKUP(B16,country_opex,3,FALSE))+V16+W16+X16+Y16+Z16))&lt;=0,"",VLOOKUP(B16,country_opex,7,FALSE)/((S16*pax_cap*load_full*ROUND(K16*L16*revleg_full,0))-(((battery/range_nm)*D16*ROUND(K16*L16*revleg_full,0)*VLOOKUP(B16,country_opex,3,FALSE))+V16+W16+X16+Y16+Z16)))</f>
        <v/>
      </c>
      <c r="AX16" s="44" t="inlineStr">
        <is>
          <t>MODELED premium foiling fare</t>
        </is>
      </c>
      <c r="AY16" s="44" t="inlineStr">
        <is>
          <t>MODELED tier demand</t>
        </is>
      </c>
    </row>
    <row r="17">
      <c r="A17" s="29" t="inlineStr">
        <is>
          <t>Koh Samui</t>
        </is>
      </c>
      <c r="B17" s="29" t="inlineStr">
        <is>
          <t>Thailand</t>
        </is>
      </c>
      <c r="C17" s="30" t="inlineStr">
        <is>
          <t>Koh Samui (Nathon) → Donsak (Seatran harbour)</t>
        </is>
      </c>
      <c r="D17" s="31" t="n">
        <v>17.9</v>
      </c>
      <c r="E17" s="26" t="n">
        <v>15.2</v>
      </c>
      <c r="F17" s="32" t="n"/>
      <c r="G17" s="32" t="inlineStr">
        <is>
          <t>T3</t>
        </is>
      </c>
      <c r="H17" s="19" t="n">
        <v>1</v>
      </c>
      <c r="I17" s="33">
        <f>60*D17/cruise_kt</f>
        <v/>
      </c>
      <c r="J17" s="33">
        <f>I17+turn_min+dwell_min</f>
        <v/>
      </c>
      <c r="K17" s="34">
        <f>MIN(24,FLOOR(60*service_hr/J17,1))</f>
        <v/>
      </c>
      <c r="L17" s="34">
        <f>ROUND(365*mech_uptime*H17,0)</f>
        <v/>
      </c>
      <c r="M17" s="35">
        <f>mech_uptime</f>
        <v/>
      </c>
      <c r="N17" s="35">
        <f>revleg_sel</f>
        <v/>
      </c>
      <c r="O17" s="34">
        <f>ROUND(K17*L17*revleg_sel,0)</f>
        <v/>
      </c>
      <c r="P17" s="36">
        <f>load_sel</f>
        <v/>
      </c>
      <c r="Q17" s="36">
        <f>pax_cap*P17</f>
        <v/>
      </c>
      <c r="R17" s="34">
        <f>Q17*O17</f>
        <v/>
      </c>
      <c r="S17" s="37">
        <f>E17*discount</f>
        <v/>
      </c>
      <c r="T17" s="38">
        <f>S17*R17</f>
        <v/>
      </c>
      <c r="U17" s="38">
        <f>(battery/range_nm)*D17*O17*VLOOKUP(B17,country_opex,3,FALSE)</f>
        <v/>
      </c>
      <c r="V17" s="38">
        <f>VLOOKUP(B17,country_opex,2,FALSE)*crew_factor</f>
        <v/>
      </c>
      <c r="W17" s="38">
        <f>VLOOKUP(B17,country_opex,5,FALSE)</f>
        <v/>
      </c>
      <c r="X17" s="38">
        <f>maint</f>
        <v/>
      </c>
      <c r="Y17" s="38">
        <f>VLOOKUP(B17,country_opex,7,FALSE)*ins_pct</f>
        <v/>
      </c>
      <c r="Z17" s="38">
        <f>charge_berth</f>
        <v/>
      </c>
      <c r="AA17" s="38">
        <f>U17+V17+W17+X17+Y17+Z17</f>
        <v/>
      </c>
      <c r="AB17" s="38">
        <f>VLOOKUP(B17,country_opex,7,FALSE)/dep_years</f>
        <v/>
      </c>
      <c r="AC17" s="38">
        <f>T17-AA17</f>
        <v/>
      </c>
      <c r="AD17" s="35">
        <f>IF(T17=0,"",AC17/T17)</f>
        <v/>
      </c>
      <c r="AE17" s="36">
        <f>IF(AC17&lt;=0,"",VLOOKUP(B17,country_opex,7,FALSE)/AC17)</f>
        <v/>
      </c>
      <c r="AF17" s="33">
        <f>((D17*O17/diesel_nmpg)*diesel_co2pg-(battery/range_nm)*D17*O17*VLOOKUP(B17,country_opex,4,FALSE))/1000</f>
        <v/>
      </c>
      <c r="AG17" s="31" t="n">
        <v>666667</v>
      </c>
      <c r="AH17" s="32" t="inlineStr">
        <is>
          <t>T5</t>
        </is>
      </c>
      <c r="AI17" s="32" t="inlineStr">
        <is>
          <t>low-med</t>
        </is>
      </c>
      <c r="AJ17" s="39" t="n">
        <v>0.1</v>
      </c>
      <c r="AK17" s="34">
        <f>IF(AG17="","",AG17*AJ17)</f>
        <v/>
      </c>
      <c r="AL17" s="34">
        <f>IF(OR(AG17="",R17=0),"",MIN(IF(AT17="",9.9E+99,AT17),FLOOR(AK17/R17,1)))</f>
        <v/>
      </c>
      <c r="AM17" s="38">
        <f>IF(AL17="","",AL17*T17)</f>
        <v/>
      </c>
      <c r="AN17" s="36">
        <f>IF(OR(AG17="",R17=0),"",MIN(IF(AT17="",9.9E+99,AT17),AK17/R17))</f>
        <v/>
      </c>
      <c r="AO17" s="38">
        <f>IF(AN17="","",AN17*T17)</f>
        <v/>
      </c>
      <c r="AP17" s="40" t="n"/>
      <c r="AQ17" s="32" t="inlineStr">
        <is>
          <t>Grounded</t>
        </is>
      </c>
      <c r="AR17" s="41" t="n"/>
      <c r="AS17" s="41" t="n"/>
      <c r="AT17" s="42" t="n"/>
      <c r="AU17" s="43">
        <f>IF(((S17*pax_cap*load_thin*ROUND(K17*L17*revleg_thin,0))-(((battery/range_nm)*D17*ROUND(K17*L17*revleg_thin,0)*VLOOKUP(B17,country_opex,3,FALSE))+V17+W17+X17+Y17+Z17))&lt;=0,"",VLOOKUP(B17,country_opex,7,FALSE)/((S17*pax_cap*load_thin*ROUND(K17*L17*revleg_thin,0))-(((battery/range_nm)*D17*ROUND(K17*L17*revleg_thin,0)*VLOOKUP(B17,country_opex,3,FALSE))+V17+W17+X17+Y17+Z17)))</f>
        <v/>
      </c>
      <c r="AV17" s="43">
        <f>IF(((S17*pax_cap*load_mid*ROUND(K17*L17*revleg_mid,0))-(((battery/range_nm)*D17*ROUND(K17*L17*revleg_mid,0)*VLOOKUP(B17,country_opex,3,FALSE))+V17+W17+X17+Y17+Z17))&lt;=0,"",VLOOKUP(B17,country_opex,7,FALSE)/((S17*pax_cap*load_mid*ROUND(K17*L17*revleg_mid,0))-(((battery/range_nm)*D17*ROUND(K17*L17*revleg_mid,0)*VLOOKUP(B17,country_opex,3,FALSE))+V17+W17+X17+Y17+Z17)))</f>
        <v/>
      </c>
      <c r="AW17" s="43">
        <f>IF(((S17*pax_cap*load_full*ROUND(K17*L17*revleg_full,0))-(((battery/range_nm)*D17*ROUND(K17*L17*revleg_full,0)*VLOOKUP(B17,country_opex,3,FALSE))+V17+W17+X17+Y17+Z17))&lt;=0,"",VLOOKUP(B17,country_opex,7,FALSE)/((S17*pax_cap*load_full*ROUND(K17*L17*revleg_full,0))-(((battery/range_nm)*D17*ROUND(K17*L17*revleg_full,0)*VLOOKUP(B17,country_opex,3,FALSE))+V17+W17+X17+Y17+Z17)))</f>
        <v/>
      </c>
      <c r="AX17" s="44" t="n"/>
      <c r="AY17" s="44" t="inlineStr">
        <is>
          <t>SUBSET of rn-347c44e1d360 (do not sum). Seatran Ferry: 6 vessels, ~hourly departures 05:00-19:00 each way, 13-16 kt, ~1.5h crossing, ~450-pax + ~70-car capacity per vessel (Tripadvisor operator page; thailandboattickets.com; C9 Hotelworks cited in city brief). No published Seatran annual ridership found.</t>
        </is>
      </c>
    </row>
    <row r="18">
      <c r="A18" s="29" t="inlineStr">
        <is>
          <t>Phuket</t>
        </is>
      </c>
      <c r="B18" s="29" t="inlineStr">
        <is>
          <t>Thailand</t>
        </is>
      </c>
      <c r="C18" s="30" t="inlineStr">
        <is>
          <t>Phuket (Royal Phuket Marina) → Phang Nga Bay / James Bond Island</t>
        </is>
      </c>
      <c r="D18" s="31" t="n">
        <v>20</v>
      </c>
      <c r="E18" s="26" t="n">
        <v>72</v>
      </c>
      <c r="F18" s="32" t="inlineStr">
        <is>
          <t>T3</t>
        </is>
      </c>
      <c r="G18" s="32" t="inlineStr">
        <is>
          <t>med</t>
        </is>
      </c>
      <c r="H18" s="19" t="n">
        <v>1</v>
      </c>
      <c r="I18" s="33">
        <f>60*D18/cruise_kt</f>
        <v/>
      </c>
      <c r="J18" s="33">
        <f>I18+turn_min+dwell_min</f>
        <v/>
      </c>
      <c r="K18" s="34">
        <f>MIN(15,FLOOR(60*service_hr/J18,1))</f>
        <v/>
      </c>
      <c r="L18" s="34">
        <f>ROUND(365*mech_uptime*H18,0)</f>
        <v/>
      </c>
      <c r="M18" s="35">
        <f>mech_uptime</f>
        <v/>
      </c>
      <c r="N18" s="35">
        <f>revleg_sel</f>
        <v/>
      </c>
      <c r="O18" s="34">
        <f>ROUND(K18*L18*revleg_sel,0)</f>
        <v/>
      </c>
      <c r="P18" s="36">
        <f>load_sel</f>
        <v/>
      </c>
      <c r="Q18" s="36">
        <f>pax_cap*P18</f>
        <v/>
      </c>
      <c r="R18" s="34">
        <f>Q18*O18</f>
        <v/>
      </c>
      <c r="S18" s="37">
        <f>E18*discount</f>
        <v/>
      </c>
      <c r="T18" s="38">
        <f>S18*R18</f>
        <v/>
      </c>
      <c r="U18" s="38">
        <f>(battery/range_nm)*D18*O18*VLOOKUP(B18,country_opex,3,FALSE)</f>
        <v/>
      </c>
      <c r="V18" s="38">
        <f>VLOOKUP(B18,country_opex,2,FALSE)*crew_factor</f>
        <v/>
      </c>
      <c r="W18" s="38">
        <f>VLOOKUP(B18,country_opex,5,FALSE)</f>
        <v/>
      </c>
      <c r="X18" s="38">
        <f>maint</f>
        <v/>
      </c>
      <c r="Y18" s="38">
        <f>VLOOKUP(B18,country_opex,7,FALSE)*ins_pct</f>
        <v/>
      </c>
      <c r="Z18" s="38">
        <f>charge_berth</f>
        <v/>
      </c>
      <c r="AA18" s="38">
        <f>U18+V18+W18+X18+Y18+Z18</f>
        <v/>
      </c>
      <c r="AB18" s="38">
        <f>VLOOKUP(B18,country_opex,7,FALSE)/dep_years</f>
        <v/>
      </c>
      <c r="AC18" s="38">
        <f>T18-AA18</f>
        <v/>
      </c>
      <c r="AD18" s="35">
        <f>IF(T18=0,"",AC18/T18)</f>
        <v/>
      </c>
      <c r="AE18" s="36">
        <f>IF(AC18&lt;=0,"",VLOOKUP(B18,country_opex,7,FALSE)/AC18)</f>
        <v/>
      </c>
      <c r="AF18" s="33">
        <f>((D18*O18/diesel_nmpg)*diesel_co2pg-(battery/range_nm)*D18*O18*VLOOKUP(B18,country_opex,4,FALSE))/1000</f>
        <v/>
      </c>
      <c r="AG18" s="31" t="n">
        <v>580000</v>
      </c>
      <c r="AH18" s="32" t="inlineStr">
        <is>
          <t>T2</t>
        </is>
      </c>
      <c r="AI18" s="32" t="inlineStr">
        <is>
          <t>med</t>
        </is>
      </c>
      <c r="AJ18" s="39" t="n">
        <v>0.1</v>
      </c>
      <c r="AK18" s="34">
        <f>IF(AG18="","",AG18*AJ18)</f>
        <v/>
      </c>
      <c r="AL18" s="34">
        <f>IF(OR(AG18="",R18=0),"",MIN(IF(AT18="",9.9E+99,AT18),FLOOR(AK18/R18,1)))</f>
        <v/>
      </c>
      <c r="AM18" s="38">
        <f>IF(AL18="","",AL18*T18)</f>
        <v/>
      </c>
      <c r="AN18" s="36">
        <f>IF(OR(AG18="",R18=0),"",MIN(IF(AT18="",9.9E+99,AT18),AK18/R18))</f>
        <v/>
      </c>
      <c r="AO18" s="38">
        <f>IF(AN18="","",AN18*T18)</f>
        <v/>
      </c>
      <c r="AP18" s="40" t="n"/>
      <c r="AQ18" s="32" t="inlineStr">
        <is>
          <t>Grounded</t>
        </is>
      </c>
      <c r="AR18" s="41" t="n"/>
      <c r="AS18" s="41" t="n"/>
      <c r="AT18" s="42" t="n"/>
      <c r="AU18" s="43">
        <f>IF(((S18*pax_cap*load_thin*ROUND(K18*L18*revleg_thin,0))-(((battery/range_nm)*D18*ROUND(K18*L18*revleg_thin,0)*VLOOKUP(B18,country_opex,3,FALSE))+V18+W18+X18+Y18+Z18))&lt;=0,"",VLOOKUP(B18,country_opex,7,FALSE)/((S18*pax_cap*load_thin*ROUND(K18*L18*revleg_thin,0))-(((battery/range_nm)*D18*ROUND(K18*L18*revleg_thin,0)*VLOOKUP(B18,country_opex,3,FALSE))+V18+W18+X18+Y18+Z18)))</f>
        <v/>
      </c>
      <c r="AV18" s="43">
        <f>IF(((S18*pax_cap*load_mid*ROUND(K18*L18*revleg_mid,0))-(((battery/range_nm)*D18*ROUND(K18*L18*revleg_mid,0)*VLOOKUP(B18,country_opex,3,FALSE))+V18+W18+X18+Y18+Z18))&lt;=0,"",VLOOKUP(B18,country_opex,7,FALSE)/((S18*pax_cap*load_mid*ROUND(K18*L18*revleg_mid,0))-(((battery/range_nm)*D18*ROUND(K18*L18*revleg_mid,0)*VLOOKUP(B18,country_opex,3,FALSE))+V18+W18+X18+Y18+Z18)))</f>
        <v/>
      </c>
      <c r="AW18" s="43">
        <f>IF(((S18*pax_cap*load_full*ROUND(K18*L18*revleg_full,0))-(((battery/range_nm)*D18*ROUND(K18*L18*revleg_full,0)*VLOOKUP(B18,country_opex,3,FALSE))+V18+W18+X18+Y18+Z18))&lt;=0,"",VLOOKUP(B18,country_opex,7,FALSE)/((S18*pax_cap*load_full*ROUND(K18*L18*revleg_full,0))-(((battery/range_nm)*D18*ROUND(K18*L18*revleg_full,0)*VLOOKUP(B18,country_opex,3,FALSE))+V18+W18+X18+Y18+Z18)))</f>
        <v/>
      </c>
      <c r="AX18" s="44" t="inlineStr">
        <is>
          <t>Phuket-&gt;Phang Nga Bay/James Bond Island speedboat day-tour ladder (THB/USD 36): budget longtail ~1,400 THB ($39, phukettoursdirect); standard shared speedboat ~2,500 THB ($69); PREMIUM shared speedboat ~2,600-3,700 THB ($72-103, phiphitours/mythailandtours '$55 low-season' to ~3,700 quoted); private charter speedboat ~29,000-40,900 THB/boat/day (yacht-rental-phuket, phuketdreamcompany) = whole-boat, excluded as overclaim. Premium per-seat anchored ~2,600 THB net of 400 THB park fee = $72.</t>
        </is>
      </c>
      <c r="AY18" s="44" t="inlineStr">
        <is>
          <t>Ao Phang Nga National Park visitors FY2567 (Oct-2023..Sep-2024) = 530,204 (DNP top-10 ranking, #7 by visitors; reported by Prachachat, https://www.prachachat.net/hilight-prachachat/news-1796245, Apr-2025). Park is reachable ONLY by tour boat/longtail/speedboat (no road/air to Khao Phing Kan/Ko Tapu) -&gt; R3-EXCEPTION holds: park arrivals = crossing ridership. DNP also runs e-ticketing at this park (one of 6 pilot parks). Pre-covid FY2019 was ~1M+ (payload note), so FY2024 is the conservative post-covid actual.</t>
        </is>
      </c>
    </row>
    <row r="19">
      <c r="A19" s="29" t="inlineStr">
        <is>
          <t>Phuket</t>
        </is>
      </c>
      <c r="B19" s="29" t="inlineStr">
        <is>
          <t>Thailand</t>
        </is>
      </c>
      <c r="C19" s="30" t="inlineStr">
        <is>
          <t>Ko Lanta (Saladan Pier) → Krabi (Klong Jilad)</t>
        </is>
      </c>
      <c r="D19" s="31" t="n">
        <v>24</v>
      </c>
      <c r="E19" s="26" t="n">
        <v>32</v>
      </c>
      <c r="F19" s="32" t="inlineStr">
        <is>
          <t>T5</t>
        </is>
      </c>
      <c r="G19" s="32" t="inlineStr">
        <is>
          <t>low-med</t>
        </is>
      </c>
      <c r="H19" s="19" t="n">
        <v>1</v>
      </c>
      <c r="I19" s="33">
        <f>60*D19/cruise_kt</f>
        <v/>
      </c>
      <c r="J19" s="33">
        <f>I19+turn_min+dwell_min</f>
        <v/>
      </c>
      <c r="K19" s="34">
        <f>MIN(15,FLOOR(60*service_hr/J19,1))</f>
        <v/>
      </c>
      <c r="L19" s="34">
        <f>ROUND(365*mech_uptime*H19,0)</f>
        <v/>
      </c>
      <c r="M19" s="35">
        <f>mech_uptime</f>
        <v/>
      </c>
      <c r="N19" s="35">
        <f>revleg_sel</f>
        <v/>
      </c>
      <c r="O19" s="34">
        <f>ROUND(K19*L19*revleg_sel,0)</f>
        <v/>
      </c>
      <c r="P19" s="36">
        <f>load_sel</f>
        <v/>
      </c>
      <c r="Q19" s="36">
        <f>pax_cap*P19</f>
        <v/>
      </c>
      <c r="R19" s="34">
        <f>Q19*O19</f>
        <v/>
      </c>
      <c r="S19" s="37">
        <f>E19*discount</f>
        <v/>
      </c>
      <c r="T19" s="38">
        <f>S19*R19</f>
        <v/>
      </c>
      <c r="U19" s="38">
        <f>(battery/range_nm)*D19*O19*VLOOKUP(B19,country_opex,3,FALSE)</f>
        <v/>
      </c>
      <c r="V19" s="38">
        <f>VLOOKUP(B19,country_opex,2,FALSE)*crew_factor</f>
        <v/>
      </c>
      <c r="W19" s="38">
        <f>VLOOKUP(B19,country_opex,5,FALSE)</f>
        <v/>
      </c>
      <c r="X19" s="38">
        <f>maint</f>
        <v/>
      </c>
      <c r="Y19" s="38">
        <f>VLOOKUP(B19,country_opex,7,FALSE)*ins_pct</f>
        <v/>
      </c>
      <c r="Z19" s="38">
        <f>charge_berth</f>
        <v/>
      </c>
      <c r="AA19" s="38">
        <f>U19+V19+W19+X19+Y19+Z19</f>
        <v/>
      </c>
      <c r="AB19" s="38">
        <f>VLOOKUP(B19,country_opex,7,FALSE)/dep_years</f>
        <v/>
      </c>
      <c r="AC19" s="38">
        <f>T19-AA19</f>
        <v/>
      </c>
      <c r="AD19" s="35">
        <f>IF(T19=0,"",AC19/T19)</f>
        <v/>
      </c>
      <c r="AE19" s="36">
        <f>IF(AC19&lt;=0,"",VLOOKUP(B19,country_opex,7,FALSE)/AC19)</f>
        <v/>
      </c>
      <c r="AF19" s="33">
        <f>((D19*O19/diesel_nmpg)*diesel_co2pg-(battery/range_nm)*D19*O19*VLOOKUP(B19,country_opex,4,FALSE))/1000</f>
        <v/>
      </c>
      <c r="AG19" s="31" t="n">
        <v>28000</v>
      </c>
      <c r="AH19" s="32" t="inlineStr">
        <is>
          <t>T4</t>
        </is>
      </c>
      <c r="AI19" s="32" t="inlineStr">
        <is>
          <t>low-med</t>
        </is>
      </c>
      <c r="AJ19" s="39" t="n">
        <v>0.1</v>
      </c>
      <c r="AK19" s="34">
        <f>IF(AG19="","",AG19*AJ19)</f>
        <v/>
      </c>
      <c r="AL19" s="34">
        <f>IF(OR(AG19="",R19=0),"",MIN(IF(AT19="",9.9E+99,AT19),FLOOR(AK19/R19,1)))</f>
        <v/>
      </c>
      <c r="AM19" s="38">
        <f>IF(AL19="","",AL19*T19)</f>
        <v/>
      </c>
      <c r="AN19" s="36">
        <f>IF(OR(AG19="",R19=0),"",MIN(IF(AT19="",9.9E+99,AT19),AK19/R19))</f>
        <v/>
      </c>
      <c r="AO19" s="38">
        <f>IF(AN19="","",AN19*T19)</f>
        <v/>
      </c>
      <c r="AP19" s="40" t="n"/>
      <c r="AQ19" s="32" t="inlineStr">
        <is>
          <t>Grounded</t>
        </is>
      </c>
      <c r="AR19" s="41" t="n"/>
      <c r="AS19" s="41" t="n"/>
      <c r="AT19" s="42" t="n"/>
      <c r="AU19" s="43">
        <f>IF(((S19*pax_cap*load_thin*ROUND(K19*L19*revleg_thin,0))-(((battery/range_nm)*D19*ROUND(K19*L19*revleg_thin,0)*VLOOKUP(B19,country_opex,3,FALSE))+V19+W19+X19+Y19+Z19))&lt;=0,"",VLOOKUP(B19,country_opex,7,FALSE)/((S19*pax_cap*load_thin*ROUND(K19*L19*revleg_thin,0))-(((battery/range_nm)*D19*ROUND(K19*L19*revleg_thin,0)*VLOOKUP(B19,country_opex,3,FALSE))+V19+W19+X19+Y19+Z19)))</f>
        <v/>
      </c>
      <c r="AV19" s="43">
        <f>IF(((S19*pax_cap*load_mid*ROUND(K19*L19*revleg_mid,0))-(((battery/range_nm)*D19*ROUND(K19*L19*revleg_mid,0)*VLOOKUP(B19,country_opex,3,FALSE))+V19+W19+X19+Y19+Z19))&lt;=0,"",VLOOKUP(B19,country_opex,7,FALSE)/((S19*pax_cap*load_mid*ROUND(K19*L19*revleg_mid,0))-(((battery/range_nm)*D19*ROUND(K19*L19*revleg_mid,0)*VLOOKUP(B19,country_opex,3,FALSE))+V19+W19+X19+Y19+Z19)))</f>
        <v/>
      </c>
      <c r="AW19" s="43">
        <f>IF(((S19*pax_cap*load_full*ROUND(K19*L19*revleg_full,0))-(((battery/range_nm)*D19*ROUND(K19*L19*revleg_full,0)*VLOOKUP(B19,country_opex,3,FALSE))+V19+W19+X19+Y19+Z19))&lt;=0,"",VLOOKUP(B19,country_opex,7,FALSE)/((S19*pax_cap*load_full*ROUND(K19*L19*revleg_full,0))-(((battery/range_nm)*D19*ROUND(K19*L19*revleg_full,0)*VLOOKUP(B19,country_opex,3,FALSE))+V19+W19+X19+Y19+Z19)))</f>
        <v/>
      </c>
      <c r="AX19" s="44" t="inlineStr">
        <is>
          <t>MODELED premium foiling fare</t>
        </is>
      </c>
      <c r="AY19" s="44" t="inlineStr">
        <is>
          <t>MODELED tier demand</t>
        </is>
      </c>
    </row>
    <row r="20">
      <c r="A20" s="29" t="inlineStr">
        <is>
          <t>Phuket</t>
        </is>
      </c>
      <c r="B20" s="29" t="inlineStr">
        <is>
          <t>Thailand</t>
        </is>
      </c>
      <c r="C20" s="30" t="inlineStr">
        <is>
          <t>Phuket → Phi Phi (Tonsai)</t>
        </is>
      </c>
      <c r="D20" s="31" t="n">
        <v>25</v>
      </c>
      <c r="E20" s="26" t="n">
        <v>17.14</v>
      </c>
      <c r="F20" s="32" t="n"/>
      <c r="G20" s="32" t="inlineStr">
        <is>
          <t>derived_pending_validation</t>
        </is>
      </c>
      <c r="H20" s="19" t="n">
        <v>1</v>
      </c>
      <c r="I20" s="33">
        <f>60*D20/cruise_kt</f>
        <v/>
      </c>
      <c r="J20" s="33">
        <f>I20+turn_min+dwell_min</f>
        <v/>
      </c>
      <c r="K20" s="34">
        <f>MIN(15,FLOOR(60*service_hr/J20,1))</f>
        <v/>
      </c>
      <c r="L20" s="34">
        <f>ROUND(365*mech_uptime*H20,0)</f>
        <v/>
      </c>
      <c r="M20" s="35">
        <f>mech_uptime</f>
        <v/>
      </c>
      <c r="N20" s="35">
        <f>revleg_sel</f>
        <v/>
      </c>
      <c r="O20" s="34">
        <f>ROUND(K20*L20*revleg_sel,0)</f>
        <v/>
      </c>
      <c r="P20" s="36">
        <f>load_sel</f>
        <v/>
      </c>
      <c r="Q20" s="36">
        <f>pax_cap*P20</f>
        <v/>
      </c>
      <c r="R20" s="34">
        <f>Q20*O20</f>
        <v/>
      </c>
      <c r="S20" s="37">
        <f>E20*discount</f>
        <v/>
      </c>
      <c r="T20" s="38">
        <f>S20*R20</f>
        <v/>
      </c>
      <c r="U20" s="38">
        <f>(battery/range_nm)*D20*O20*VLOOKUP(B20,country_opex,3,FALSE)</f>
        <v/>
      </c>
      <c r="V20" s="38">
        <f>VLOOKUP(B20,country_opex,2,FALSE)*crew_factor</f>
        <v/>
      </c>
      <c r="W20" s="38">
        <f>VLOOKUP(B20,country_opex,5,FALSE)</f>
        <v/>
      </c>
      <c r="X20" s="38">
        <f>maint</f>
        <v/>
      </c>
      <c r="Y20" s="38">
        <f>VLOOKUP(B20,country_opex,7,FALSE)*ins_pct</f>
        <v/>
      </c>
      <c r="Z20" s="38">
        <f>charge_berth</f>
        <v/>
      </c>
      <c r="AA20" s="38">
        <f>U20+V20+W20+X20+Y20+Z20</f>
        <v/>
      </c>
      <c r="AB20" s="38">
        <f>VLOOKUP(B20,country_opex,7,FALSE)/dep_years</f>
        <v/>
      </c>
      <c r="AC20" s="38">
        <f>T20-AA20</f>
        <v/>
      </c>
      <c r="AD20" s="35">
        <f>IF(T20=0,"",AC20/T20)</f>
        <v/>
      </c>
      <c r="AE20" s="36">
        <f>IF(AC20&lt;=0,"",VLOOKUP(B20,country_opex,7,FALSE)/AC20)</f>
        <v/>
      </c>
      <c r="AF20" s="33">
        <f>((D20*O20/diesel_nmpg)*diesel_co2pg-(battery/range_nm)*D20*O20*VLOOKUP(B20,country_opex,4,FALSE))/1000</f>
        <v/>
      </c>
      <c r="AG20" s="31" t="n">
        <v>98124</v>
      </c>
      <c r="AH20" s="32" t="n"/>
      <c r="AI20" s="32" t="inlineStr">
        <is>
          <t>derived_pending_validation</t>
        </is>
      </c>
      <c r="AJ20" s="39" t="n">
        <v>0.1</v>
      </c>
      <c r="AK20" s="34">
        <f>IF(AG20="","",AG20*AJ20)</f>
        <v/>
      </c>
      <c r="AL20" s="34">
        <f>IF(OR(AG20="",R20=0),"",MIN(IF(AT20="",9.9E+99,AT20),FLOOR(AK20/R20,1)))</f>
        <v/>
      </c>
      <c r="AM20" s="38">
        <f>IF(AL20="","",AL20*T20)</f>
        <v/>
      </c>
      <c r="AN20" s="36">
        <f>IF(OR(AG20="",R20=0),"",MIN(IF(AT20="",9.9E+99,AT20),AK20/R20))</f>
        <v/>
      </c>
      <c r="AO20" s="38">
        <f>IF(AN20="","",AN20*T20)</f>
        <v/>
      </c>
      <c r="AP20" s="40" t="n"/>
      <c r="AQ20" s="32" t="inlineStr">
        <is>
          <t>Grounded</t>
        </is>
      </c>
      <c r="AR20" s="41" t="n"/>
      <c r="AS20" s="41" t="n"/>
      <c r="AT20" s="42" t="n"/>
      <c r="AU20" s="43">
        <f>IF(((S20*pax_cap*load_thin*ROUND(K20*L20*revleg_thin,0))-(((battery/range_nm)*D20*ROUND(K20*L20*revleg_thin,0)*VLOOKUP(B20,country_opex,3,FALSE))+V20+W20+X20+Y20+Z20))&lt;=0,"",VLOOKUP(B20,country_opex,7,FALSE)/((S20*pax_cap*load_thin*ROUND(K20*L20*revleg_thin,0))-(((battery/range_nm)*D20*ROUND(K20*L20*revleg_thin,0)*VLOOKUP(B20,country_opex,3,FALSE))+V20+W20+X20+Y20+Z20)))</f>
        <v/>
      </c>
      <c r="AV20" s="43">
        <f>IF(((S20*pax_cap*load_mid*ROUND(K20*L20*revleg_mid,0))-(((battery/range_nm)*D20*ROUND(K20*L20*revleg_mid,0)*VLOOKUP(B20,country_opex,3,FALSE))+V20+W20+X20+Y20+Z20))&lt;=0,"",VLOOKUP(B20,country_opex,7,FALSE)/((S20*pax_cap*load_mid*ROUND(K20*L20*revleg_mid,0))-(((battery/range_nm)*D20*ROUND(K20*L20*revleg_mid,0)*VLOOKUP(B20,country_opex,3,FALSE))+V20+W20+X20+Y20+Z20)))</f>
        <v/>
      </c>
      <c r="AW20" s="43">
        <f>IF(((S20*pax_cap*load_full*ROUND(K20*L20*revleg_full,0))-(((battery/range_nm)*D20*ROUND(K20*L20*revleg_full,0)*VLOOKUP(B20,country_opex,3,FALSE))+V20+W20+X20+Y20+Z20))&lt;=0,"",VLOOKUP(B20,country_opex,7,FALSE)/((S20*pax_cap*load_full*ROUND(K20*L20*revleg_full,0))-(((battery/range_nm)*D20*ROUND(K20*L20*revleg_full,0)*VLOOKUP(B20,country_opex,3,FALSE))+V20+W20+X20+Y20+Z20)))</f>
        <v/>
      </c>
      <c r="AX20" s="44" t="inlineStr">
        <is>
          <t>Phuket (Rassada Pier) -&gt; Koh Phi Phi (Tonsai)</t>
        </is>
      </c>
      <c r="AY20" s="44" t="inlineStr">
        <is>
          <t>Phuket (Rassada Pier) -&gt; Koh Phi Phi (Tonsai)</t>
        </is>
      </c>
    </row>
    <row r="21">
      <c r="A21" s="29" t="inlineStr">
        <is>
          <t>Koh Samui</t>
        </is>
      </c>
      <c r="B21" s="29" t="inlineStr">
        <is>
          <t>Thailand</t>
        </is>
      </c>
      <c r="C21" s="30" t="inlineStr">
        <is>
          <t>Koh Samui (Bangrak) → Don Sak Ferry Harbour</t>
        </is>
      </c>
      <c r="D21" s="31" t="n">
        <v>28.1</v>
      </c>
      <c r="E21" s="26" t="n">
        <v>15.2</v>
      </c>
      <c r="F21" s="32" t="n"/>
      <c r="G21" s="32" t="inlineStr">
        <is>
          <t>T3</t>
        </is>
      </c>
      <c r="H21" s="19" t="n">
        <v>1</v>
      </c>
      <c r="I21" s="33">
        <f>60*D21/cruise_kt</f>
        <v/>
      </c>
      <c r="J21" s="33">
        <f>I21+turn_min+dwell_min</f>
        <v/>
      </c>
      <c r="K21" s="34">
        <f>MIN(24,FLOOR(60*service_hr/J21,1))</f>
        <v/>
      </c>
      <c r="L21" s="34">
        <f>ROUND(365*mech_uptime*H21,0)</f>
        <v/>
      </c>
      <c r="M21" s="35">
        <f>mech_uptime</f>
        <v/>
      </c>
      <c r="N21" s="35">
        <f>revleg_sel</f>
        <v/>
      </c>
      <c r="O21" s="34">
        <f>ROUND(K21*L21*revleg_sel,0)</f>
        <v/>
      </c>
      <c r="P21" s="36">
        <f>load_sel</f>
        <v/>
      </c>
      <c r="Q21" s="36">
        <f>pax_cap*P21</f>
        <v/>
      </c>
      <c r="R21" s="34">
        <f>Q21*O21</f>
        <v/>
      </c>
      <c r="S21" s="37">
        <f>E21*discount</f>
        <v/>
      </c>
      <c r="T21" s="38">
        <f>S21*R21</f>
        <v/>
      </c>
      <c r="U21" s="38">
        <f>(battery/range_nm)*D21*O21*VLOOKUP(B21,country_opex,3,FALSE)</f>
        <v/>
      </c>
      <c r="V21" s="38">
        <f>VLOOKUP(B21,country_opex,2,FALSE)*crew_factor</f>
        <v/>
      </c>
      <c r="W21" s="38">
        <f>VLOOKUP(B21,country_opex,5,FALSE)</f>
        <v/>
      </c>
      <c r="X21" s="38">
        <f>maint</f>
        <v/>
      </c>
      <c r="Y21" s="38">
        <f>VLOOKUP(B21,country_opex,7,FALSE)*ins_pct</f>
        <v/>
      </c>
      <c r="Z21" s="38">
        <f>charge_berth</f>
        <v/>
      </c>
      <c r="AA21" s="38">
        <f>U21+V21+W21+X21+Y21+Z21</f>
        <v/>
      </c>
      <c r="AB21" s="38">
        <f>VLOOKUP(B21,country_opex,7,FALSE)/dep_years</f>
        <v/>
      </c>
      <c r="AC21" s="38">
        <f>T21-AA21</f>
        <v/>
      </c>
      <c r="AD21" s="35">
        <f>IF(T21=0,"",AC21/T21)</f>
        <v/>
      </c>
      <c r="AE21" s="36">
        <f>IF(AC21&lt;=0,"",VLOOKUP(B21,country_opex,7,FALSE)/AC21)</f>
        <v/>
      </c>
      <c r="AF21" s="33">
        <f>((D21*O21/diesel_nmpg)*diesel_co2pg-(battery/range_nm)*D21*O21*VLOOKUP(B21,country_opex,4,FALSE))/1000</f>
        <v/>
      </c>
      <c r="AG21" s="31" t="n">
        <v>666667</v>
      </c>
      <c r="AH21" s="32" t="inlineStr">
        <is>
          <t>T4</t>
        </is>
      </c>
      <c r="AI21" s="32" t="inlineStr">
        <is>
          <t>med-low</t>
        </is>
      </c>
      <c r="AJ21" s="39" t="n">
        <v>0.1</v>
      </c>
      <c r="AK21" s="34">
        <f>IF(AG21="","",AG21*AJ21)</f>
        <v/>
      </c>
      <c r="AL21" s="34">
        <f>IF(OR(AG21="",R21=0),"",MIN(IF(AT21="",9.9E+99,AT21),FLOOR(AK21/R21,1)))</f>
        <v/>
      </c>
      <c r="AM21" s="38">
        <f>IF(AL21="","",AL21*T21)</f>
        <v/>
      </c>
      <c r="AN21" s="36">
        <f>IF(OR(AG21="",R21=0),"",MIN(IF(AT21="",9.9E+99,AT21),AK21/R21))</f>
        <v/>
      </c>
      <c r="AO21" s="38">
        <f>IF(AN21="","",AN21*T21)</f>
        <v/>
      </c>
      <c r="AP21" s="40" t="n"/>
      <c r="AQ21" s="32" t="inlineStr">
        <is>
          <t>Grounded</t>
        </is>
      </c>
      <c r="AR21" s="41" t="n"/>
      <c r="AS21" s="41" t="n"/>
      <c r="AT21" s="42" t="n"/>
      <c r="AU21" s="43">
        <f>IF(((S21*pax_cap*load_thin*ROUND(K21*L21*revleg_thin,0))-(((battery/range_nm)*D21*ROUND(K21*L21*revleg_thin,0)*VLOOKUP(B21,country_opex,3,FALSE))+V21+W21+X21+Y21+Z21))&lt;=0,"",VLOOKUP(B21,country_opex,7,FALSE)/((S21*pax_cap*load_thin*ROUND(K21*L21*revleg_thin,0))-(((battery/range_nm)*D21*ROUND(K21*L21*revleg_thin,0)*VLOOKUP(B21,country_opex,3,FALSE))+V21+W21+X21+Y21+Z21)))</f>
        <v/>
      </c>
      <c r="AV21" s="43">
        <f>IF(((S21*pax_cap*load_mid*ROUND(K21*L21*revleg_mid,0))-(((battery/range_nm)*D21*ROUND(K21*L21*revleg_mid,0)*VLOOKUP(B21,country_opex,3,FALSE))+V21+W21+X21+Y21+Z21))&lt;=0,"",VLOOKUP(B21,country_opex,7,FALSE)/((S21*pax_cap*load_mid*ROUND(K21*L21*revleg_mid,0))-(((battery/range_nm)*D21*ROUND(K21*L21*revleg_mid,0)*VLOOKUP(B21,country_opex,3,FALSE))+V21+W21+X21+Y21+Z21)))</f>
        <v/>
      </c>
      <c r="AW21" s="43">
        <f>IF(((S21*pax_cap*load_full*ROUND(K21*L21*revleg_full,0))-(((battery/range_nm)*D21*ROUND(K21*L21*revleg_full,0)*VLOOKUP(B21,country_opex,3,FALSE))+V21+W21+X21+Y21+Z21))&lt;=0,"",VLOOKUP(B21,country_opex,7,FALSE)/((S21*pax_cap*load_full*ROUND(K21*L21*revleg_full,0))-(((battery/range_nm)*D21*ROUND(K21*L21*revleg_full,0)*VLOOKUP(B21,country_opex,3,FALSE))+V21+W21+X21+Y21+Z21)))</f>
        <v/>
      </c>
      <c r="AX21" s="44" t="n"/>
      <c r="AY21" s="44" t="inlineStr">
        <is>
          <t>Total Samui&lt;-&gt;Donsak crossing (all operators/piers). Raja Ferry Port (SET: RP) disclosed ~1.2M passengers carried in 2017 (+20% YoY) across its Donsak-Samui(Lipa Noi)/Donsak-Phangan network, with a 1.5M target (Samui Times / Koh Samui News quoting RP business plan; RP IPO-era disclosure ~600k/yr 2014, Nation Thailand). Seatran runs 6 vessels ~hourly 05:00-19:00 Nathon&lt;-&gt;Donsak (Tripadvisor/operator). Mode balance: Samui drew ~3.54M tourists 2023 (Forbes/C9) vs ~1.4M airport arrivals (Samui Airport 2.8M total pax 2024, BAREIT one-report 56-1) - the majority of non-air arrivals cross at Donsak.</t>
        </is>
      </c>
    </row>
    <row r="22">
      <c r="A22" s="29" t="inlineStr">
        <is>
          <t>Koh Samui</t>
        </is>
      </c>
      <c r="B22" s="29" t="inlineStr">
        <is>
          <t>Thailand</t>
        </is>
      </c>
      <c r="C22" s="30" t="inlineStr">
        <is>
          <t>Koh Samui → Koh Tao (Mae Haad)</t>
        </is>
      </c>
      <c r="D22" s="31" t="n">
        <v>35.3</v>
      </c>
      <c r="E22" s="26" t="n">
        <v>24.4</v>
      </c>
      <c r="F22" s="32" t="n"/>
      <c r="G22" s="32" t="inlineStr">
        <is>
          <t>T3</t>
        </is>
      </c>
      <c r="H22" s="19" t="n">
        <v>1</v>
      </c>
      <c r="I22" s="33">
        <f>60*D22/cruise_kt</f>
        <v/>
      </c>
      <c r="J22" s="33">
        <f>I22+turn_min+dwell_min</f>
        <v/>
      </c>
      <c r="K22" s="34">
        <f>MIN(15,FLOOR(60*service_hr/J22,1))</f>
        <v/>
      </c>
      <c r="L22" s="34">
        <f>ROUND(365*mech_uptime*H22,0)</f>
        <v/>
      </c>
      <c r="M22" s="35">
        <f>mech_uptime</f>
        <v/>
      </c>
      <c r="N22" s="35">
        <f>revleg_sel</f>
        <v/>
      </c>
      <c r="O22" s="34">
        <f>ROUND(K22*L22*revleg_sel,0)</f>
        <v/>
      </c>
      <c r="P22" s="36">
        <f>load_sel</f>
        <v/>
      </c>
      <c r="Q22" s="36">
        <f>pax_cap*P22</f>
        <v/>
      </c>
      <c r="R22" s="34">
        <f>Q22*O22</f>
        <v/>
      </c>
      <c r="S22" s="37">
        <f>E22*discount</f>
        <v/>
      </c>
      <c r="T22" s="38">
        <f>S22*R22</f>
        <v/>
      </c>
      <c r="U22" s="38">
        <f>(battery/range_nm)*D22*O22*VLOOKUP(B22,country_opex,3,FALSE)</f>
        <v/>
      </c>
      <c r="V22" s="38">
        <f>VLOOKUP(B22,country_opex,2,FALSE)*crew_factor</f>
        <v/>
      </c>
      <c r="W22" s="38">
        <f>VLOOKUP(B22,country_opex,5,FALSE)</f>
        <v/>
      </c>
      <c r="X22" s="38">
        <f>maint</f>
        <v/>
      </c>
      <c r="Y22" s="38">
        <f>VLOOKUP(B22,country_opex,7,FALSE)*ins_pct</f>
        <v/>
      </c>
      <c r="Z22" s="38">
        <f>charge_berth</f>
        <v/>
      </c>
      <c r="AA22" s="38">
        <f>U22+V22+W22+X22+Y22+Z22</f>
        <v/>
      </c>
      <c r="AB22" s="38">
        <f>VLOOKUP(B22,country_opex,7,FALSE)/dep_years</f>
        <v/>
      </c>
      <c r="AC22" s="38">
        <f>T22-AA22</f>
        <v/>
      </c>
      <c r="AD22" s="35">
        <f>IF(T22=0,"",AC22/T22)</f>
        <v/>
      </c>
      <c r="AE22" s="36">
        <f>IF(AC22&lt;=0,"",VLOOKUP(B22,country_opex,7,FALSE)/AC22)</f>
        <v/>
      </c>
      <c r="AF22" s="33">
        <f>((D22*O22/diesel_nmpg)*diesel_co2pg-(battery/range_nm)*D22*O22*VLOOKUP(B22,country_opex,4,FALSE))/1000</f>
        <v/>
      </c>
      <c r="AG22" s="31" t="n">
        <v>400000</v>
      </c>
      <c r="AH22" s="32" t="inlineStr">
        <is>
          <t>T5</t>
        </is>
      </c>
      <c r="AI22" s="32" t="inlineStr">
        <is>
          <t>med-low</t>
        </is>
      </c>
      <c r="AJ22" s="39" t="n">
        <v>0.1</v>
      </c>
      <c r="AK22" s="34">
        <f>IF(AG22="","",AG22*AJ22)</f>
        <v/>
      </c>
      <c r="AL22" s="34">
        <f>IF(OR(AG22="",R22=0),"",MIN(IF(AT22="",9.9E+99,AT22),FLOOR(AK22/R22,1)))</f>
        <v/>
      </c>
      <c r="AM22" s="38">
        <f>IF(AL22="","",AL22*T22)</f>
        <v/>
      </c>
      <c r="AN22" s="36">
        <f>IF(OR(AG22="",R22=0),"",MIN(IF(AT22="",9.9E+99,AT22),AK22/R22))</f>
        <v/>
      </c>
      <c r="AO22" s="38">
        <f>IF(AN22="","",AN22*T22)</f>
        <v/>
      </c>
      <c r="AP22" s="40" t="n"/>
      <c r="AQ22" s="32" t="inlineStr">
        <is>
          <t>Grounded</t>
        </is>
      </c>
      <c r="AR22" s="41" t="n"/>
      <c r="AS22" s="41" t="n"/>
      <c r="AT22" s="42" t="n"/>
      <c r="AU22" s="43">
        <f>IF(((S22*pax_cap*load_thin*ROUND(K22*L22*revleg_thin,0))-(((battery/range_nm)*D22*ROUND(K22*L22*revleg_thin,0)*VLOOKUP(B22,country_opex,3,FALSE))+V22+W22+X22+Y22+Z22))&lt;=0,"",VLOOKUP(B22,country_opex,7,FALSE)/((S22*pax_cap*load_thin*ROUND(K22*L22*revleg_thin,0))-(((battery/range_nm)*D22*ROUND(K22*L22*revleg_thin,0)*VLOOKUP(B22,country_opex,3,FALSE))+V22+W22+X22+Y22+Z22)))</f>
        <v/>
      </c>
      <c r="AV22" s="43">
        <f>IF(((S22*pax_cap*load_mid*ROUND(K22*L22*revleg_mid,0))-(((battery/range_nm)*D22*ROUND(K22*L22*revleg_mid,0)*VLOOKUP(B22,country_opex,3,FALSE))+V22+W22+X22+Y22+Z22))&lt;=0,"",VLOOKUP(B22,country_opex,7,FALSE)/((S22*pax_cap*load_mid*ROUND(K22*L22*revleg_mid,0))-(((battery/range_nm)*D22*ROUND(K22*L22*revleg_mid,0)*VLOOKUP(B22,country_opex,3,FALSE))+V22+W22+X22+Y22+Z22)))</f>
        <v/>
      </c>
      <c r="AW22" s="43">
        <f>IF(((S22*pax_cap*load_full*ROUND(K22*L22*revleg_full,0))-(((battery/range_nm)*D22*ROUND(K22*L22*revleg_full,0)*VLOOKUP(B22,country_opex,3,FALSE))+V22+W22+X22+Y22+Z22))&lt;=0,"",VLOOKUP(B22,country_opex,7,FALSE)/((S22*pax_cap*load_full*ROUND(K22*L22*revleg_full,0))-(((battery/range_nm)*D22*ROUND(K22*L22*revleg_full,0)*VLOOKUP(B22,country_opex,3,FALSE))+V22+W22+X22+Y22+Z22)))</f>
        <v/>
      </c>
      <c r="AX22" s="44" t="n"/>
      <c r="AY22" s="44" t="inlineStr">
        <is>
          <t>Koh Tao: 666,778 visitors in 2024 (above pre-Covid; record), 327,000 Jan-May 2025, full-year 2025 forecast &gt;700,000 - Koh Tao Tourism Association / TAT figures via Thairath &amp; Daily News (T2 base). Koh Tao is boat-only (no airport, R3-EXCEPTION: arrivals = crossing ridership). Access splits between the Chumphon side (Bangkok route) and the Samui/Phangan side.</t>
        </is>
      </c>
    </row>
    <row r="23">
      <c r="A23" s="29" t="inlineStr">
        <is>
          <t>Phuket</t>
        </is>
      </c>
      <c r="B23" s="29" t="inlineStr">
        <is>
          <t>Thailand</t>
        </is>
      </c>
      <c r="C23" s="30" t="inlineStr">
        <is>
          <t>Manoh Pier (Koh Yao Yai) → Thap Lamu Pier (Similan Gateway)</t>
        </is>
      </c>
      <c r="D23" s="31" t="n">
        <v>35.7</v>
      </c>
      <c r="E23" s="26" t="n">
        <v>100</v>
      </c>
      <c r="F23" s="32" t="inlineStr">
        <is>
          <t>T2</t>
        </is>
      </c>
      <c r="G23" s="32" t="inlineStr">
        <is>
          <t>med</t>
        </is>
      </c>
      <c r="H23" s="19" t="n">
        <v>1</v>
      </c>
      <c r="I23" s="33">
        <f>60*D23/cruise_kt</f>
        <v/>
      </c>
      <c r="J23" s="33">
        <f>I23+turn_min+dwell_min</f>
        <v/>
      </c>
      <c r="K23" s="34">
        <f>MIN(15,FLOOR(60*service_hr/J23,1))</f>
        <v/>
      </c>
      <c r="L23" s="34">
        <f>ROUND(365*mech_uptime*H23,0)</f>
        <v/>
      </c>
      <c r="M23" s="35">
        <f>mech_uptime</f>
        <v/>
      </c>
      <c r="N23" s="35">
        <f>revleg_sel</f>
        <v/>
      </c>
      <c r="O23" s="34">
        <f>ROUND(K23*L23*revleg_sel,0)</f>
        <v/>
      </c>
      <c r="P23" s="36">
        <f>load_sel</f>
        <v/>
      </c>
      <c r="Q23" s="36">
        <f>pax_cap*P23</f>
        <v/>
      </c>
      <c r="R23" s="34">
        <f>Q23*O23</f>
        <v/>
      </c>
      <c r="S23" s="37">
        <f>E23*discount</f>
        <v/>
      </c>
      <c r="T23" s="38">
        <f>S23*R23</f>
        <v/>
      </c>
      <c r="U23" s="38">
        <f>(battery/range_nm)*D23*O23*VLOOKUP(B23,country_opex,3,FALSE)</f>
        <v/>
      </c>
      <c r="V23" s="38">
        <f>VLOOKUP(B23,country_opex,2,FALSE)*crew_factor</f>
        <v/>
      </c>
      <c r="W23" s="38">
        <f>VLOOKUP(B23,country_opex,5,FALSE)</f>
        <v/>
      </c>
      <c r="X23" s="38">
        <f>maint</f>
        <v/>
      </c>
      <c r="Y23" s="38">
        <f>VLOOKUP(B23,country_opex,7,FALSE)*ins_pct</f>
        <v/>
      </c>
      <c r="Z23" s="38">
        <f>charge_berth</f>
        <v/>
      </c>
      <c r="AA23" s="38">
        <f>U23+V23+W23+X23+Y23+Z23</f>
        <v/>
      </c>
      <c r="AB23" s="38">
        <f>VLOOKUP(B23,country_opex,7,FALSE)/dep_years</f>
        <v/>
      </c>
      <c r="AC23" s="38">
        <f>T23-AA23</f>
        <v/>
      </c>
      <c r="AD23" s="35">
        <f>IF(T23=0,"",AC23/T23)</f>
        <v/>
      </c>
      <c r="AE23" s="36">
        <f>IF(AC23&lt;=0,"",VLOOKUP(B23,country_opex,7,FALSE)/AC23)</f>
        <v/>
      </c>
      <c r="AF23" s="33">
        <f>((D23*O23/diesel_nmpg)*diesel_co2pg-(battery/range_nm)*D23*O23*VLOOKUP(B23,country_opex,4,FALSE))/1000</f>
        <v/>
      </c>
      <c r="AG23" s="31" t="n">
        <v>8500</v>
      </c>
      <c r="AH23" s="32" t="inlineStr">
        <is>
          <t>T2</t>
        </is>
      </c>
      <c r="AI23" s="32" t="inlineStr">
        <is>
          <t>med</t>
        </is>
      </c>
      <c r="AJ23" s="39" t="n">
        <v>0.9</v>
      </c>
      <c r="AK23" s="34">
        <f>IF(AG23="","",AG23*AJ23)</f>
        <v/>
      </c>
      <c r="AL23" s="34">
        <f>IF(OR(AG23="",R23=0),"",MIN(IF(AT23="",9.9E+99,AT23),FLOOR(AK23/R23,1)))</f>
        <v/>
      </c>
      <c r="AM23" s="38">
        <f>IF(AL23="","",AL23*T23)</f>
        <v/>
      </c>
      <c r="AN23" s="36">
        <f>IF(OR(AG23="",R23=0),"",MIN(IF(AT23="",9.9E+99,AT23),AK23/R23))</f>
        <v/>
      </c>
      <c r="AO23" s="38">
        <f>IF(AN23="","",AN23*T23)</f>
        <v/>
      </c>
      <c r="AP23" s="40" t="n"/>
      <c r="AQ23" s="32" t="inlineStr">
        <is>
          <t>Grounded</t>
        </is>
      </c>
      <c r="AR23" s="41" t="n"/>
      <c r="AS23" s="41" t="n"/>
      <c r="AT23" s="42" t="n"/>
      <c r="AU23" s="43">
        <f>IF(((S23*pax_cap*load_thin*ROUND(K23*L23*revleg_thin,0))-(((battery/range_nm)*D23*ROUND(K23*L23*revleg_thin,0)*VLOOKUP(B23,country_opex,3,FALSE))+V23+W23+X23+Y23+Z23))&lt;=0,"",VLOOKUP(B23,country_opex,7,FALSE)/((S23*pax_cap*load_thin*ROUND(K23*L23*revleg_thin,0))-(((battery/range_nm)*D23*ROUND(K23*L23*revleg_thin,0)*VLOOKUP(B23,country_opex,3,FALSE))+V23+W23+X23+Y23+Z23)))</f>
        <v/>
      </c>
      <c r="AV23" s="43">
        <f>IF(((S23*pax_cap*load_mid*ROUND(K23*L23*revleg_mid,0))-(((battery/range_nm)*D23*ROUND(K23*L23*revleg_mid,0)*VLOOKUP(B23,country_opex,3,FALSE))+V23+W23+X23+Y23+Z23))&lt;=0,"",VLOOKUP(B23,country_opex,7,FALSE)/((S23*pax_cap*load_mid*ROUND(K23*L23*revleg_mid,0))-(((battery/range_nm)*D23*ROUND(K23*L23*revleg_mid,0)*VLOOKUP(B23,country_opex,3,FALSE))+V23+W23+X23+Y23+Z23)))</f>
        <v/>
      </c>
      <c r="AW23" s="43">
        <f>IF(((S23*pax_cap*load_full*ROUND(K23*L23*revleg_full,0))-(((battery/range_nm)*D23*ROUND(K23*L23*revleg_full,0)*VLOOKUP(B23,country_opex,3,FALSE))+V23+W23+X23+Y23+Z23))&lt;=0,"",VLOOKUP(B23,country_opex,7,FALSE)/((S23*pax_cap*load_full*ROUND(K23*L23*revleg_full,0))-(((battery/range_nm)*D23*ROUND(K23*L23*revleg_full,0)*VLOOKUP(B23,country_opex,3,FALSE))+V23+W23+X23+Y23+Z23)))</f>
        <v/>
      </c>
      <c r="AX23" s="44" t="inlineStr">
        <is>
          <t>Minor Hotels inter-resort hop — Koh Yao Yai ↔ Khao Lak portfolio.</t>
        </is>
      </c>
      <c r="AY23" s="44" t="inlineStr">
        <is>
          <t>minor-hotels-phuket-flagship-economics-DRAFT.json — inter-brand Andaman hop</t>
        </is>
      </c>
    </row>
    <row r="24">
      <c r="A24" s="29" t="inlineStr">
        <is>
          <t>Eastern_Seaboard</t>
        </is>
      </c>
      <c r="B24" s="29" t="inlineStr">
        <is>
          <t>Thailand</t>
        </is>
      </c>
      <c r="C24" s="30" t="inlineStr">
        <is>
          <t>Pattaya (Bali Hai Pier) → Koh Samet (Na Dan Pier)</t>
        </is>
      </c>
      <c r="D24" s="31" t="n">
        <v>37</v>
      </c>
      <c r="E24" s="26" t="n">
        <v>42</v>
      </c>
      <c r="F24" s="32" t="inlineStr">
        <is>
          <t>T5</t>
        </is>
      </c>
      <c r="G24" s="32" t="inlineStr">
        <is>
          <t>low-med</t>
        </is>
      </c>
      <c r="H24" s="19" t="n">
        <v>1</v>
      </c>
      <c r="I24" s="33">
        <f>60*D24/cruise_kt</f>
        <v/>
      </c>
      <c r="J24" s="33">
        <f>I24+turn_min+dwell_min</f>
        <v/>
      </c>
      <c r="K24" s="34">
        <f>MIN(15,FLOOR(60*service_hr/J24,1))</f>
        <v/>
      </c>
      <c r="L24" s="34">
        <f>ROUND(365*mech_uptime*H24,0)</f>
        <v/>
      </c>
      <c r="M24" s="35">
        <f>mech_uptime</f>
        <v/>
      </c>
      <c r="N24" s="35">
        <f>revleg_sel</f>
        <v/>
      </c>
      <c r="O24" s="34">
        <f>ROUND(K24*L24*revleg_sel,0)</f>
        <v/>
      </c>
      <c r="P24" s="36">
        <f>load_sel</f>
        <v/>
      </c>
      <c r="Q24" s="36">
        <f>pax_cap*P24</f>
        <v/>
      </c>
      <c r="R24" s="34">
        <f>Q24*O24</f>
        <v/>
      </c>
      <c r="S24" s="37">
        <f>E24*discount</f>
        <v/>
      </c>
      <c r="T24" s="38">
        <f>S24*R24</f>
        <v/>
      </c>
      <c r="U24" s="38">
        <f>(battery/range_nm)*D24*O24*VLOOKUP(B24,country_opex,3,FALSE)</f>
        <v/>
      </c>
      <c r="V24" s="38">
        <f>VLOOKUP(B24,country_opex,2,FALSE)*crew_factor</f>
        <v/>
      </c>
      <c r="W24" s="38">
        <f>VLOOKUP(B24,country_opex,5,FALSE)</f>
        <v/>
      </c>
      <c r="X24" s="38">
        <f>maint</f>
        <v/>
      </c>
      <c r="Y24" s="38">
        <f>VLOOKUP(B24,country_opex,7,FALSE)*ins_pct</f>
        <v/>
      </c>
      <c r="Z24" s="38">
        <f>charge_berth</f>
        <v/>
      </c>
      <c r="AA24" s="38">
        <f>U24+V24+W24+X24+Y24+Z24</f>
        <v/>
      </c>
      <c r="AB24" s="38">
        <f>VLOOKUP(B24,country_opex,7,FALSE)/dep_years</f>
        <v/>
      </c>
      <c r="AC24" s="38">
        <f>T24-AA24</f>
        <v/>
      </c>
      <c r="AD24" s="35">
        <f>IF(T24=0,"",AC24/T24)</f>
        <v/>
      </c>
      <c r="AE24" s="36">
        <f>IF(AC24&lt;=0,"",VLOOKUP(B24,country_opex,7,FALSE)/AC24)</f>
        <v/>
      </c>
      <c r="AF24" s="33">
        <f>((D24*O24/diesel_nmpg)*diesel_co2pg-(battery/range_nm)*D24*O24*VLOOKUP(B24,country_opex,4,FALSE))/1000</f>
        <v/>
      </c>
      <c r="AG24" s="31" t="n">
        <v>28000</v>
      </c>
      <c r="AH24" s="32" t="inlineStr">
        <is>
          <t>T4</t>
        </is>
      </c>
      <c r="AI24" s="32" t="inlineStr">
        <is>
          <t>low-med</t>
        </is>
      </c>
      <c r="AJ24" s="39" t="n">
        <v>0.1</v>
      </c>
      <c r="AK24" s="34">
        <f>IF(AG24="","",AG24*AJ24)</f>
        <v/>
      </c>
      <c r="AL24" s="34">
        <f>IF(OR(AG24="",R24=0),"",MIN(IF(AT24="",9.9E+99,AT24),FLOOR(AK24/R24,1)))</f>
        <v/>
      </c>
      <c r="AM24" s="38">
        <f>IF(AL24="","",AL24*T24)</f>
        <v/>
      </c>
      <c r="AN24" s="36">
        <f>IF(OR(AG24="",R24=0),"",MIN(IF(AT24="",9.9E+99,AT24),AK24/R24))</f>
        <v/>
      </c>
      <c r="AO24" s="38">
        <f>IF(AN24="","",AN24*T24)</f>
        <v/>
      </c>
      <c r="AP24" s="40" t="n"/>
      <c r="AQ24" s="32" t="inlineStr">
        <is>
          <t>Grounded</t>
        </is>
      </c>
      <c r="AR24" s="41" t="n"/>
      <c r="AS24" s="41" t="n"/>
      <c r="AT24" s="42" t="n"/>
      <c r="AU24" s="43">
        <f>IF(((S24*pax_cap*load_thin*ROUND(K24*L24*revleg_thin,0))-(((battery/range_nm)*D24*ROUND(K24*L24*revleg_thin,0)*VLOOKUP(B24,country_opex,3,FALSE))+V24+W24+X24+Y24+Z24))&lt;=0,"",VLOOKUP(B24,country_opex,7,FALSE)/((S24*pax_cap*load_thin*ROUND(K24*L24*revleg_thin,0))-(((battery/range_nm)*D24*ROUND(K24*L24*revleg_thin,0)*VLOOKUP(B24,country_opex,3,FALSE))+V24+W24+X24+Y24+Z24)))</f>
        <v/>
      </c>
      <c r="AV24" s="43">
        <f>IF(((S24*pax_cap*load_mid*ROUND(K24*L24*revleg_mid,0))-(((battery/range_nm)*D24*ROUND(K24*L24*revleg_mid,0)*VLOOKUP(B24,country_opex,3,FALSE))+V24+W24+X24+Y24+Z24))&lt;=0,"",VLOOKUP(B24,country_opex,7,FALSE)/((S24*pax_cap*load_mid*ROUND(K24*L24*revleg_mid,0))-(((battery/range_nm)*D24*ROUND(K24*L24*revleg_mid,0)*VLOOKUP(B24,country_opex,3,FALSE))+V24+W24+X24+Y24+Z24)))</f>
        <v/>
      </c>
      <c r="AW24" s="43">
        <f>IF(((S24*pax_cap*load_full*ROUND(K24*L24*revleg_full,0))-(((battery/range_nm)*D24*ROUND(K24*L24*revleg_full,0)*VLOOKUP(B24,country_opex,3,FALSE))+V24+W24+X24+Y24+Z24))&lt;=0,"",VLOOKUP(B24,country_opex,7,FALSE)/((S24*pax_cap*load_full*ROUND(K24*L24*revleg_full,0))-(((battery/range_nm)*D24*ROUND(K24*L24*revleg_full,0)*VLOOKUP(B24,country_opex,3,FALSE))+V24+W24+X24+Y24+Z24)))</f>
        <v/>
      </c>
      <c r="AX24" s="44" t="inlineStr">
        <is>
          <t>Premium slice of Ban Phe-origin Samet day-trip flow rerouted from Pattaya.</t>
        </is>
      </c>
      <c r="AY24" s="44" t="inlineStr">
        <is>
          <t>Premium slice of Ban Phe-origin Samet day-trip flow rerouted from Pattaya.</t>
        </is>
      </c>
    </row>
    <row r="25">
      <c r="A25" s="29" t="inlineStr">
        <is>
          <t>Phuket</t>
        </is>
      </c>
      <c r="B25" s="29" t="inlineStr">
        <is>
          <t>Thailand</t>
        </is>
      </c>
      <c r="C25" s="30" t="inlineStr">
        <is>
          <t>Phuket → Krabi (Ao Nang)</t>
        </is>
      </c>
      <c r="D25" s="31" t="n">
        <v>40</v>
      </c>
      <c r="E25" s="26" t="n">
        <v>44</v>
      </c>
      <c r="F25" s="32" t="inlineStr">
        <is>
          <t>T3</t>
        </is>
      </c>
      <c r="G25" s="32" t="inlineStr">
        <is>
          <t>med</t>
        </is>
      </c>
      <c r="H25" s="19" t="n">
        <v>1</v>
      </c>
      <c r="I25" s="33">
        <f>60*D25/cruise_kt</f>
        <v/>
      </c>
      <c r="J25" s="33">
        <f>I25+turn_min+dwell_min</f>
        <v/>
      </c>
      <c r="K25" s="34">
        <f>MIN(15,FLOOR(60*service_hr/J25,1))</f>
        <v/>
      </c>
      <c r="L25" s="34">
        <f>ROUND(365*mech_uptime*H25,0)</f>
        <v/>
      </c>
      <c r="M25" s="35">
        <f>mech_uptime</f>
        <v/>
      </c>
      <c r="N25" s="35">
        <f>revleg_sel</f>
        <v/>
      </c>
      <c r="O25" s="34">
        <f>ROUND(K25*L25*revleg_sel,0)</f>
        <v/>
      </c>
      <c r="P25" s="36">
        <f>load_sel</f>
        <v/>
      </c>
      <c r="Q25" s="36">
        <f>pax_cap*P25</f>
        <v/>
      </c>
      <c r="R25" s="34">
        <f>Q25*O25</f>
        <v/>
      </c>
      <c r="S25" s="37">
        <f>E25*discount</f>
        <v/>
      </c>
      <c r="T25" s="38">
        <f>S25*R25</f>
        <v/>
      </c>
      <c r="U25" s="38">
        <f>(battery/range_nm)*D25*O25*VLOOKUP(B25,country_opex,3,FALSE)</f>
        <v/>
      </c>
      <c r="V25" s="38">
        <f>VLOOKUP(B25,country_opex,2,FALSE)*crew_factor</f>
        <v/>
      </c>
      <c r="W25" s="38">
        <f>VLOOKUP(B25,country_opex,5,FALSE)</f>
        <v/>
      </c>
      <c r="X25" s="38">
        <f>maint</f>
        <v/>
      </c>
      <c r="Y25" s="38">
        <f>VLOOKUP(B25,country_opex,7,FALSE)*ins_pct</f>
        <v/>
      </c>
      <c r="Z25" s="38">
        <f>charge_berth</f>
        <v/>
      </c>
      <c r="AA25" s="38">
        <f>U25+V25+W25+X25+Y25+Z25</f>
        <v/>
      </c>
      <c r="AB25" s="38">
        <f>VLOOKUP(B25,country_opex,7,FALSE)/dep_years</f>
        <v/>
      </c>
      <c r="AC25" s="38">
        <f>T25-AA25</f>
        <v/>
      </c>
      <c r="AD25" s="35">
        <f>IF(T25=0,"",AC25/T25)</f>
        <v/>
      </c>
      <c r="AE25" s="36">
        <f>IF(AC25&lt;=0,"",VLOOKUP(B25,country_opex,7,FALSE)/AC25)</f>
        <v/>
      </c>
      <c r="AF25" s="33">
        <f>((D25*O25/diesel_nmpg)*diesel_co2pg-(battery/range_nm)*D25*O25*VLOOKUP(B25,country_opex,4,FALSE))/1000</f>
        <v/>
      </c>
      <c r="AG25" s="31" t="n"/>
      <c r="AH25" s="32" t="n"/>
      <c r="AI25" s="32" t="n"/>
      <c r="AJ25" s="39" t="n">
        <v>0.1</v>
      </c>
      <c r="AK25" s="34">
        <f>IF(AG25="","",AG25*AJ25)</f>
        <v/>
      </c>
      <c r="AL25" s="34">
        <f>IF(OR(AG25="",R25=0),"",MIN(IF(AT25="",9.9E+99,AT25),FLOOR(AK25/R25,1)))</f>
        <v/>
      </c>
      <c r="AM25" s="38">
        <f>IF(AL25="","",AL25*T25)</f>
        <v/>
      </c>
      <c r="AN25" s="36">
        <f>IF(OR(AG25="",R25=0),"",MIN(IF(AT25="",9.9E+99,AT25),AK25/R25))</f>
        <v/>
      </c>
      <c r="AO25" s="38">
        <f>IF(AN25="","",AN25*T25)</f>
        <v/>
      </c>
      <c r="AP25" s="40" t="n"/>
      <c r="AQ25" s="32" t="inlineStr">
        <is>
          <t>Estimated</t>
        </is>
      </c>
      <c r="AR25" s="41" t="n"/>
      <c r="AS25" s="41" t="n"/>
      <c r="AT25" s="42" t="n"/>
      <c r="AU25" s="43">
        <f>IF(((S25*pax_cap*load_thin*ROUND(K25*L25*revleg_thin,0))-(((battery/range_nm)*D25*ROUND(K25*L25*revleg_thin,0)*VLOOKUP(B25,country_opex,3,FALSE))+V25+W25+X25+Y25+Z25))&lt;=0,"",VLOOKUP(B25,country_opex,7,FALSE)/((S25*pax_cap*load_thin*ROUND(K25*L25*revleg_thin,0))-(((battery/range_nm)*D25*ROUND(K25*L25*revleg_thin,0)*VLOOKUP(B25,country_opex,3,FALSE))+V25+W25+X25+Y25+Z25)))</f>
        <v/>
      </c>
      <c r="AV25" s="43">
        <f>IF(((S25*pax_cap*load_mid*ROUND(K25*L25*revleg_mid,0))-(((battery/range_nm)*D25*ROUND(K25*L25*revleg_mid,0)*VLOOKUP(B25,country_opex,3,FALSE))+V25+W25+X25+Y25+Z25))&lt;=0,"",VLOOKUP(B25,country_opex,7,FALSE)/((S25*pax_cap*load_mid*ROUND(K25*L25*revleg_mid,0))-(((battery/range_nm)*D25*ROUND(K25*L25*revleg_mid,0)*VLOOKUP(B25,country_opex,3,FALSE))+V25+W25+X25+Y25+Z25)))</f>
        <v/>
      </c>
      <c r="AW25" s="43">
        <f>IF(((S25*pax_cap*load_full*ROUND(K25*L25*revleg_full,0))-(((battery/range_nm)*D25*ROUND(K25*L25*revleg_full,0)*VLOOKUP(B25,country_opex,3,FALSE))+V25+W25+X25+Y25+Z25))&lt;=0,"",VLOOKUP(B25,country_opex,7,FALSE)/((S25*pax_cap*load_full*ROUND(K25*L25*revleg_full,0))-(((battery/range_nm)*D25*ROUND(K25*L25*revleg_full,0)*VLOOKUP(B25,country_opex,3,FALSE))+V25+W25+X25+Y25+Z25)))</f>
        <v/>
      </c>
      <c r="AX25" s="44" t="inlineStr">
        <is>
          <t>Phuket-&gt;Krabi (Ao Nang) speedboat premium tier ~comparable to Phi Phi route ($44). Krabi-specific demand re-source pending.</t>
        </is>
      </c>
      <c r="AY25" s="44" t="inlineStr">
        <is>
          <t>Phi Phi demand moved to new Phuket-&gt;Phi Phi corridor per Jaideep 2026-06-09. Krabi (Ao Nang) demand to be sourced separately. Until then: estimated via country cascade.</t>
        </is>
      </c>
    </row>
    <row r="26">
      <c r="A26" s="29" t="inlineStr">
        <is>
          <t>Phuket</t>
        </is>
      </c>
      <c r="B26" s="29" t="inlineStr">
        <is>
          <t>Thailand</t>
        </is>
      </c>
      <c r="C26" s="30" t="inlineStr">
        <is>
          <t>Phuket (Rassada Pier) → Ko Lanta (Saladan Pier)</t>
        </is>
      </c>
      <c r="D26" s="31" t="n">
        <v>42.4</v>
      </c>
      <c r="E26" s="26" t="n">
        <v>55</v>
      </c>
      <c r="F26" s="32" t="inlineStr">
        <is>
          <t>T5</t>
        </is>
      </c>
      <c r="G26" s="32" t="inlineStr">
        <is>
          <t>low-med</t>
        </is>
      </c>
      <c r="H26" s="19" t="n">
        <v>1</v>
      </c>
      <c r="I26" s="33">
        <f>60*D26/cruise_kt</f>
        <v/>
      </c>
      <c r="J26" s="33">
        <f>I26+turn_min+dwell_min</f>
        <v/>
      </c>
      <c r="K26" s="34">
        <f>MIN(15,FLOOR(60*service_hr/J26,1))</f>
        <v/>
      </c>
      <c r="L26" s="34">
        <f>ROUND(365*mech_uptime*H26,0)</f>
        <v/>
      </c>
      <c r="M26" s="35">
        <f>mech_uptime</f>
        <v/>
      </c>
      <c r="N26" s="35">
        <f>revleg_sel</f>
        <v/>
      </c>
      <c r="O26" s="34">
        <f>ROUND(K26*L26*revleg_sel,0)</f>
        <v/>
      </c>
      <c r="P26" s="36">
        <f>load_sel</f>
        <v/>
      </c>
      <c r="Q26" s="36">
        <f>pax_cap*P26</f>
        <v/>
      </c>
      <c r="R26" s="34">
        <f>Q26*O26</f>
        <v/>
      </c>
      <c r="S26" s="37">
        <f>E26*discount</f>
        <v/>
      </c>
      <c r="T26" s="38">
        <f>S26*R26</f>
        <v/>
      </c>
      <c r="U26" s="38">
        <f>(battery/range_nm)*D26*O26*VLOOKUP(B26,country_opex,3,FALSE)</f>
        <v/>
      </c>
      <c r="V26" s="38">
        <f>VLOOKUP(B26,country_opex,2,FALSE)*crew_factor</f>
        <v/>
      </c>
      <c r="W26" s="38">
        <f>VLOOKUP(B26,country_opex,5,FALSE)</f>
        <v/>
      </c>
      <c r="X26" s="38">
        <f>maint</f>
        <v/>
      </c>
      <c r="Y26" s="38">
        <f>VLOOKUP(B26,country_opex,7,FALSE)*ins_pct</f>
        <v/>
      </c>
      <c r="Z26" s="38">
        <f>charge_berth</f>
        <v/>
      </c>
      <c r="AA26" s="38">
        <f>U26+V26+W26+X26+Y26+Z26</f>
        <v/>
      </c>
      <c r="AB26" s="38">
        <f>VLOOKUP(B26,country_opex,7,FALSE)/dep_years</f>
        <v/>
      </c>
      <c r="AC26" s="38">
        <f>T26-AA26</f>
        <v/>
      </c>
      <c r="AD26" s="35">
        <f>IF(T26=0,"",AC26/T26)</f>
        <v/>
      </c>
      <c r="AE26" s="36">
        <f>IF(AC26&lt;=0,"",VLOOKUP(B26,country_opex,7,FALSE)/AC26)</f>
        <v/>
      </c>
      <c r="AF26" s="33">
        <f>((D26*O26/diesel_nmpg)*diesel_co2pg-(battery/range_nm)*D26*O26*VLOOKUP(B26,country_opex,4,FALSE))/1000</f>
        <v/>
      </c>
      <c r="AG26" s="31" t="n">
        <v>31000</v>
      </c>
      <c r="AH26" s="32" t="inlineStr">
        <is>
          <t>T4</t>
        </is>
      </c>
      <c r="AI26" s="32" t="inlineStr">
        <is>
          <t>low-med</t>
        </is>
      </c>
      <c r="AJ26" s="39" t="n">
        <v>0.1</v>
      </c>
      <c r="AK26" s="34">
        <f>IF(AG26="","",AG26*AJ26)</f>
        <v/>
      </c>
      <c r="AL26" s="34">
        <f>IF(OR(AG26="",R26=0),"",MIN(IF(AT26="",9.9E+99,AT26),FLOOR(AK26/R26,1)))</f>
        <v/>
      </c>
      <c r="AM26" s="38">
        <f>IF(AL26="","",AL26*T26)</f>
        <v/>
      </c>
      <c r="AN26" s="36">
        <f>IF(OR(AG26="",R26=0),"",MIN(IF(AT26="",9.9E+99,AT26),AK26/R26))</f>
        <v/>
      </c>
      <c r="AO26" s="38">
        <f>IF(AN26="","",AN26*T26)</f>
        <v/>
      </c>
      <c r="AP26" s="40" t="n"/>
      <c r="AQ26" s="32" t="inlineStr">
        <is>
          <t>Grounded</t>
        </is>
      </c>
      <c r="AR26" s="41" t="n"/>
      <c r="AS26" s="41" t="n"/>
      <c r="AT26" s="42" t="n"/>
      <c r="AU26" s="43">
        <f>IF(((S26*pax_cap*load_thin*ROUND(K26*L26*revleg_thin,0))-(((battery/range_nm)*D26*ROUND(K26*L26*revleg_thin,0)*VLOOKUP(B26,country_opex,3,FALSE))+V26+W26+X26+Y26+Z26))&lt;=0,"",VLOOKUP(B26,country_opex,7,FALSE)/((S26*pax_cap*load_thin*ROUND(K26*L26*revleg_thin,0))-(((battery/range_nm)*D26*ROUND(K26*L26*revleg_thin,0)*VLOOKUP(B26,country_opex,3,FALSE))+V26+W26+X26+Y26+Z26)))</f>
        <v/>
      </c>
      <c r="AV26" s="43">
        <f>IF(((S26*pax_cap*load_mid*ROUND(K26*L26*revleg_mid,0))-(((battery/range_nm)*D26*ROUND(K26*L26*revleg_mid,0)*VLOOKUP(B26,country_opex,3,FALSE))+V26+W26+X26+Y26+Z26))&lt;=0,"",VLOOKUP(B26,country_opex,7,FALSE)/((S26*pax_cap*load_mid*ROUND(K26*L26*revleg_mid,0))-(((battery/range_nm)*D26*ROUND(K26*L26*revleg_mid,0)*VLOOKUP(B26,country_opex,3,FALSE))+V26+W26+X26+Y26+Z26)))</f>
        <v/>
      </c>
      <c r="AW26" s="43">
        <f>IF(((S26*pax_cap*load_full*ROUND(K26*L26*revleg_full,0))-(((battery/range_nm)*D26*ROUND(K26*L26*revleg_full,0)*VLOOKUP(B26,country_opex,3,FALSE))+V26+W26+X26+Y26+Z26))&lt;=0,"",VLOOKUP(B26,country_opex,7,FALSE)/((S26*pax_cap*load_full*ROUND(K26*L26*revleg_full,0))-(((battery/range_nm)*D26*ROUND(K26*L26*revleg_full,0)*VLOOKUP(B26,country_opex,3,FALSE))+V26+W26+X26+Y26+Z26)))</f>
        <v/>
      </c>
      <c r="AX26" s="44" t="inlineStr">
        <is>
          <t>MODELED premium foiling fare</t>
        </is>
      </c>
      <c r="AY26" s="44" t="inlineStr">
        <is>
          <t>MODELED tier demand</t>
        </is>
      </c>
    </row>
    <row r="27">
      <c r="A27" s="29" t="inlineStr">
        <is>
          <t>Eastern_Seaboard</t>
        </is>
      </c>
      <c r="B27" s="29" t="inlineStr">
        <is>
          <t>Thailand</t>
        </is>
      </c>
      <c r="C27" s="30" t="inlineStr">
        <is>
          <t>Bangkok (Chao Phraya / Gulf gateway) → Pattaya (Bali Hai Pier)</t>
        </is>
      </c>
      <c r="D27" s="31" t="n">
        <v>52.6</v>
      </c>
      <c r="E27" s="26" t="n">
        <v>52</v>
      </c>
      <c r="F27" s="32" t="inlineStr">
        <is>
          <t>T5</t>
        </is>
      </c>
      <c r="G27" s="32" t="inlineStr">
        <is>
          <t>low-med</t>
        </is>
      </c>
      <c r="H27" s="19" t="n">
        <v>1</v>
      </c>
      <c r="I27" s="33">
        <f>60*D27/cruise_kt</f>
        <v/>
      </c>
      <c r="J27" s="33">
        <f>I27+turn_min+dwell_min</f>
        <v/>
      </c>
      <c r="K27" s="34">
        <f>MIN(15,FLOOR(60*service_hr/J27,1))</f>
        <v/>
      </c>
      <c r="L27" s="34">
        <f>ROUND(365*mech_uptime*H27,0)</f>
        <v/>
      </c>
      <c r="M27" s="35">
        <f>mech_uptime</f>
        <v/>
      </c>
      <c r="N27" s="35">
        <f>revleg_sel</f>
        <v/>
      </c>
      <c r="O27" s="34">
        <f>ROUND(K27*L27*revleg_sel,0)</f>
        <v/>
      </c>
      <c r="P27" s="36">
        <f>load_sel</f>
        <v/>
      </c>
      <c r="Q27" s="36">
        <f>pax_cap*P27</f>
        <v/>
      </c>
      <c r="R27" s="34">
        <f>Q27*O27</f>
        <v/>
      </c>
      <c r="S27" s="37">
        <f>E27*discount</f>
        <v/>
      </c>
      <c r="T27" s="38">
        <f>S27*R27</f>
        <v/>
      </c>
      <c r="U27" s="38">
        <f>(battery/range_nm)*D27*O27*VLOOKUP(B27,country_opex,3,FALSE)</f>
        <v/>
      </c>
      <c r="V27" s="38">
        <f>VLOOKUP(B27,country_opex,2,FALSE)*crew_factor</f>
        <v/>
      </c>
      <c r="W27" s="38">
        <f>VLOOKUP(B27,country_opex,5,FALSE)</f>
        <v/>
      </c>
      <c r="X27" s="38">
        <f>maint</f>
        <v/>
      </c>
      <c r="Y27" s="38">
        <f>VLOOKUP(B27,country_opex,7,FALSE)*ins_pct</f>
        <v/>
      </c>
      <c r="Z27" s="38">
        <f>charge_berth</f>
        <v/>
      </c>
      <c r="AA27" s="38">
        <f>U27+V27+W27+X27+Y27+Z27</f>
        <v/>
      </c>
      <c r="AB27" s="38">
        <f>VLOOKUP(B27,country_opex,7,FALSE)/dep_years</f>
        <v/>
      </c>
      <c r="AC27" s="38">
        <f>T27-AA27</f>
        <v/>
      </c>
      <c r="AD27" s="35">
        <f>IF(T27=0,"",AC27/T27)</f>
        <v/>
      </c>
      <c r="AE27" s="36">
        <f>IF(AC27&lt;=0,"",VLOOKUP(B27,country_opex,7,FALSE)/AC27)</f>
        <v/>
      </c>
      <c r="AF27" s="33">
        <f>((D27*O27/diesel_nmpg)*diesel_co2pg-(battery/range_nm)*D27*O27*VLOOKUP(B27,country_opex,4,FALSE))/1000</f>
        <v/>
      </c>
      <c r="AG27" s="31" t="n">
        <v>148000</v>
      </c>
      <c r="AH27" s="32" t="inlineStr">
        <is>
          <t>T4</t>
        </is>
      </c>
      <c r="AI27" s="32" t="inlineStr">
        <is>
          <t>low-med</t>
        </is>
      </c>
      <c r="AJ27" s="39" t="n">
        <v>0.1</v>
      </c>
      <c r="AK27" s="34">
        <f>IF(AG27="","",AG27*AJ27)</f>
        <v/>
      </c>
      <c r="AL27" s="34">
        <f>IF(OR(AG27="",R27=0),"",MIN(IF(AT27="",9.9E+99,AT27),FLOOR(AK27/R27,1)))</f>
        <v/>
      </c>
      <c r="AM27" s="38">
        <f>IF(AL27="","",AL27*T27)</f>
        <v/>
      </c>
      <c r="AN27" s="36">
        <f>IF(OR(AG27="",R27=0),"",MIN(IF(AT27="",9.9E+99,AT27),AK27/R27))</f>
        <v/>
      </c>
      <c r="AO27" s="38">
        <f>IF(AN27="","",AN27*T27)</f>
        <v/>
      </c>
      <c r="AP27" s="40" t="n"/>
      <c r="AQ27" s="32" t="inlineStr">
        <is>
          <t>Grounded</t>
        </is>
      </c>
      <c r="AR27" s="41" t="n"/>
      <c r="AS27" s="41" t="n"/>
      <c r="AT27" s="42" t="n"/>
      <c r="AU27" s="43">
        <f>IF(((S27*pax_cap*load_thin*ROUND(K27*L27*revleg_thin,0))-(((battery/range_nm)*D27*ROUND(K27*L27*revleg_thin,0)*VLOOKUP(B27,country_opex,3,FALSE))+V27+W27+X27+Y27+Z27))&lt;=0,"",VLOOKUP(B27,country_opex,7,FALSE)/((S27*pax_cap*load_thin*ROUND(K27*L27*revleg_thin,0))-(((battery/range_nm)*D27*ROUND(K27*L27*revleg_thin,0)*VLOOKUP(B27,country_opex,3,FALSE))+V27+W27+X27+Y27+Z27)))</f>
        <v/>
      </c>
      <c r="AV27" s="43">
        <f>IF(((S27*pax_cap*load_mid*ROUND(K27*L27*revleg_mid,0))-(((battery/range_nm)*D27*ROUND(K27*L27*revleg_mid,0)*VLOOKUP(B27,country_opex,3,FALSE))+V27+W27+X27+Y27+Z27))&lt;=0,"",VLOOKUP(B27,country_opex,7,FALSE)/((S27*pax_cap*load_mid*ROUND(K27*L27*revleg_mid,0))-(((battery/range_nm)*D27*ROUND(K27*L27*revleg_mid,0)*VLOOKUP(B27,country_opex,3,FALSE))+V27+W27+X27+Y27+Z27)))</f>
        <v/>
      </c>
      <c r="AW27" s="43">
        <f>IF(((S27*pax_cap*load_full*ROUND(K27*L27*revleg_full,0))-(((battery/range_nm)*D27*ROUND(K27*L27*revleg_full,0)*VLOOKUP(B27,country_opex,3,FALSE))+V27+W27+X27+Y27+Z27))&lt;=0,"",VLOOKUP(B27,country_opex,7,FALSE)/((S27*pax_cap*load_full*ROUND(K27*L27*revleg_full,0))-(((battery/range_nm)*D27*ROUND(K27*L27*revleg_full,0)*VLOOKUP(B27,country_opex,3,FALSE))+V27+W27+X27+Y27+Z27)))</f>
        <v/>
      </c>
      <c r="AX27" s="44" t="inlineStr">
        <is>
          <t>Premium slice of Bangkok-Pattaya leisure+EEC road flow; modeled pending operator validation.</t>
        </is>
      </c>
      <c r="AY27" s="44" t="inlineStr">
        <is>
          <t>Premium slice of Bangkok-Pattaya leisure+EEC road flow; modeled pending operator validation.</t>
        </is>
      </c>
    </row>
    <row r="28">
      <c r="A28" s="29" t="inlineStr">
        <is>
          <t>Phuket</t>
        </is>
      </c>
      <c r="B28" s="29" t="inlineStr">
        <is>
          <t>Thailand</t>
        </is>
      </c>
      <c r="C28" s="30" t="inlineStr">
        <is>
          <t>Phuket → Similan / Surin Islands</t>
        </is>
      </c>
      <c r="D28" s="31" t="n">
        <v>55</v>
      </c>
      <c r="E28" s="26" t="n">
        <v>80</v>
      </c>
      <c r="F28" s="32" t="inlineStr">
        <is>
          <t>T3</t>
        </is>
      </c>
      <c r="G28" s="32" t="inlineStr">
        <is>
          <t>med</t>
        </is>
      </c>
      <c r="H28" s="19" t="n">
        <v>1</v>
      </c>
      <c r="I28" s="33">
        <f>60*D28/cruise_kt</f>
        <v/>
      </c>
      <c r="J28" s="33">
        <f>I28+turn_min+dwell_min</f>
        <v/>
      </c>
      <c r="K28" s="34">
        <f>MIN(15,FLOOR(60*service_hr/J28,1))</f>
        <v/>
      </c>
      <c r="L28" s="34">
        <f>ROUND(365*mech_uptime*H28,0)</f>
        <v/>
      </c>
      <c r="M28" s="35">
        <f>mech_uptime</f>
        <v/>
      </c>
      <c r="N28" s="35">
        <f>revleg_sel</f>
        <v/>
      </c>
      <c r="O28" s="34">
        <f>ROUND(K28*L28*revleg_sel,0)</f>
        <v/>
      </c>
      <c r="P28" s="36">
        <f>load_sel</f>
        <v/>
      </c>
      <c r="Q28" s="36">
        <f>pax_cap*P28</f>
        <v/>
      </c>
      <c r="R28" s="34">
        <f>Q28*O28</f>
        <v/>
      </c>
      <c r="S28" s="37">
        <f>E28*discount</f>
        <v/>
      </c>
      <c r="T28" s="38">
        <f>S28*R28</f>
        <v/>
      </c>
      <c r="U28" s="38">
        <f>(battery/range_nm)*D28*O28*VLOOKUP(B28,country_opex,3,FALSE)</f>
        <v/>
      </c>
      <c r="V28" s="38">
        <f>VLOOKUP(B28,country_opex,2,FALSE)*crew_factor</f>
        <v/>
      </c>
      <c r="W28" s="38">
        <f>VLOOKUP(B28,country_opex,5,FALSE)</f>
        <v/>
      </c>
      <c r="X28" s="38">
        <f>maint</f>
        <v/>
      </c>
      <c r="Y28" s="38">
        <f>VLOOKUP(B28,country_opex,7,FALSE)*ins_pct</f>
        <v/>
      </c>
      <c r="Z28" s="38">
        <f>charge_berth</f>
        <v/>
      </c>
      <c r="AA28" s="38">
        <f>U28+V28+W28+X28+Y28+Z28</f>
        <v/>
      </c>
      <c r="AB28" s="38">
        <f>VLOOKUP(B28,country_opex,7,FALSE)/dep_years</f>
        <v/>
      </c>
      <c r="AC28" s="38">
        <f>T28-AA28</f>
        <v/>
      </c>
      <c r="AD28" s="35">
        <f>IF(T28=0,"",AC28/T28)</f>
        <v/>
      </c>
      <c r="AE28" s="36">
        <f>IF(AC28&lt;=0,"",VLOOKUP(B28,country_opex,7,FALSE)/AC28)</f>
        <v/>
      </c>
      <c r="AF28" s="33">
        <f>((D28*O28/diesel_nmpg)*diesel_co2pg-(battery/range_nm)*D28*O28*VLOOKUP(B28,country_opex,4,FALSE))/1000</f>
        <v/>
      </c>
      <c r="AG28" s="31" t="n">
        <v>580000</v>
      </c>
      <c r="AH28" s="32" t="inlineStr">
        <is>
          <t>T2</t>
        </is>
      </c>
      <c r="AI28" s="32" t="inlineStr">
        <is>
          <t>low</t>
        </is>
      </c>
      <c r="AJ28" s="39" t="n">
        <v>0.1</v>
      </c>
      <c r="AK28" s="34">
        <f>IF(AG28="","",AG28*AJ28)</f>
        <v/>
      </c>
      <c r="AL28" s="34">
        <f>IF(OR(AG28="",R28=0),"",MIN(IF(AT28="",9.9E+99,AT28),FLOOR(AK28/R28,1)))</f>
        <v/>
      </c>
      <c r="AM28" s="38">
        <f>IF(AL28="","",AL28*T28)</f>
        <v/>
      </c>
      <c r="AN28" s="36">
        <f>IF(OR(AG28="",R28=0),"",MIN(IF(AT28="",9.9E+99,AT28),AK28/R28))</f>
        <v/>
      </c>
      <c r="AO28" s="38">
        <f>IF(AN28="","",AN28*T28)</f>
        <v/>
      </c>
      <c r="AP28" s="40" t="n"/>
      <c r="AQ28" s="32" t="inlineStr">
        <is>
          <t>Grounded</t>
        </is>
      </c>
      <c r="AR28" s="41" t="n"/>
      <c r="AS28" s="41" t="n"/>
      <c r="AT28" s="42" t="n"/>
      <c r="AU28" s="43">
        <f>IF(((S28*pax_cap*load_thin*ROUND(K28*L28*revleg_thin,0))-(((battery/range_nm)*D28*ROUND(K28*L28*revleg_thin,0)*VLOOKUP(B28,country_opex,3,FALSE))+V28+W28+X28+Y28+Z28))&lt;=0,"",VLOOKUP(B28,country_opex,7,FALSE)/((S28*pax_cap*load_thin*ROUND(K28*L28*revleg_thin,0))-(((battery/range_nm)*D28*ROUND(K28*L28*revleg_thin,0)*VLOOKUP(B28,country_opex,3,FALSE))+V28+W28+X28+Y28+Z28)))</f>
        <v/>
      </c>
      <c r="AV28" s="43">
        <f>IF(((S28*pax_cap*load_mid*ROUND(K28*L28*revleg_mid,0))-(((battery/range_nm)*D28*ROUND(K28*L28*revleg_mid,0)*VLOOKUP(B28,country_opex,3,FALSE))+V28+W28+X28+Y28+Z28))&lt;=0,"",VLOOKUP(B28,country_opex,7,FALSE)/((S28*pax_cap*load_mid*ROUND(K28*L28*revleg_mid,0))-(((battery/range_nm)*D28*ROUND(K28*L28*revleg_mid,0)*VLOOKUP(B28,country_opex,3,FALSE))+V28+W28+X28+Y28+Z28)))</f>
        <v/>
      </c>
      <c r="AW28" s="43">
        <f>IF(((S28*pax_cap*load_full*ROUND(K28*L28*revleg_full,0))-(((battery/range_nm)*D28*ROUND(K28*L28*revleg_full,0)*VLOOKUP(B28,country_opex,3,FALSE))+V28+W28+X28+Y28+Z28))&lt;=0,"",VLOOKUP(B28,country_opex,7,FALSE)/((S28*pax_cap*load_full*ROUND(K28*L28*revleg_full,0))-(((battery/range_nm)*D28*ROUND(K28*L28*revleg_full,0)*VLOOKUP(B28,country_opex,3,FALSE))+V28+W28+X28+Y28+Z28)))</f>
        <v/>
      </c>
      <c r="AX28" s="44" t="inlineStr">
        <is>
          <t>Phuket-&gt;Similan/Surin premium shared speedboat day-tour (THB/USD 36): premium catamaran-speedboat tours ~2,500-2,600 THB incl 500 THB park fee+meals from Khao Lak (phiphitours 2,590 THB=$72); Phuket-origin runs higher ~2,900-3,500 THB ($80-97) for the longer 55nm leg. Private charter Phuket-&gt;Similan 50,000-80,000 THB/boat/day (forbesandpartners) = whole-boat, excluded. Premium per-seat anchored ~2,900 THB ($80) net for the longer Phuket origin.</t>
        </is>
      </c>
      <c r="AY28" s="44" t="inlineStr">
        <is>
          <t>Mu Ko Similan NP official visitor statistics (DNP/park clarification, May-2025, via MGR Online https://mgronline.com/uptodate/detail/9680000041761): FY2561(2018)=912,566; FY2562(2019)=676,793; FY2566(2023)=352,701; FY2567(2024)=578,535; FY2568=503,142 as of 30-Apr-2025. Daily cap 3,850 visitors/day (DNP, http://news.dnp.go.th/news/7966). Season: park CLOSED ~May 16 - Oct 14; open season ~212 days/yr (reopened 15-Oct each year, prd.go.th).</t>
        </is>
      </c>
    </row>
    <row r="29">
      <c r="A29" s="29" t="inlineStr">
        <is>
          <t>Royal_Coast</t>
        </is>
      </c>
      <c r="B29" s="29" t="inlineStr">
        <is>
          <t>Thailand</t>
        </is>
      </c>
      <c r="C29" s="30" t="inlineStr">
        <is>
          <t>Hua Hin (pier) → Pattaya (Bali Hai Pier)</t>
        </is>
      </c>
      <c r="D29" s="31" t="n">
        <v>57.2</v>
      </c>
      <c r="E29" s="26" t="n">
        <v>78</v>
      </c>
      <c r="F29" s="32" t="inlineStr">
        <is>
          <t>T5</t>
        </is>
      </c>
      <c r="G29" s="32" t="inlineStr">
        <is>
          <t>low-med</t>
        </is>
      </c>
      <c r="H29" s="19" t="n">
        <v>1</v>
      </c>
      <c r="I29" s="33">
        <f>60*D29/cruise_kt</f>
        <v/>
      </c>
      <c r="J29" s="33">
        <f>I29+turn_min+dwell_min</f>
        <v/>
      </c>
      <c r="K29" s="34">
        <f>MIN(15,FLOOR(60*service_hr/J29,1))</f>
        <v/>
      </c>
      <c r="L29" s="34">
        <f>ROUND(365*mech_uptime*H29,0)</f>
        <v/>
      </c>
      <c r="M29" s="35">
        <f>mech_uptime</f>
        <v/>
      </c>
      <c r="N29" s="35">
        <f>revleg_sel</f>
        <v/>
      </c>
      <c r="O29" s="34">
        <f>ROUND(K29*L29*revleg_sel,0)</f>
        <v/>
      </c>
      <c r="P29" s="36">
        <f>load_sel</f>
        <v/>
      </c>
      <c r="Q29" s="36">
        <f>pax_cap*P29</f>
        <v/>
      </c>
      <c r="R29" s="34">
        <f>Q29*O29</f>
        <v/>
      </c>
      <c r="S29" s="37">
        <f>E29*discount</f>
        <v/>
      </c>
      <c r="T29" s="38">
        <f>S29*R29</f>
        <v/>
      </c>
      <c r="U29" s="38">
        <f>(battery/range_nm)*D29*O29*VLOOKUP(B29,country_opex,3,FALSE)</f>
        <v/>
      </c>
      <c r="V29" s="38">
        <f>VLOOKUP(B29,country_opex,2,FALSE)*crew_factor</f>
        <v/>
      </c>
      <c r="W29" s="38">
        <f>VLOOKUP(B29,country_opex,5,FALSE)</f>
        <v/>
      </c>
      <c r="X29" s="38">
        <f>maint</f>
        <v/>
      </c>
      <c r="Y29" s="38">
        <f>VLOOKUP(B29,country_opex,7,FALSE)*ins_pct</f>
        <v/>
      </c>
      <c r="Z29" s="38">
        <f>charge_berth</f>
        <v/>
      </c>
      <c r="AA29" s="38">
        <f>U29+V29+W29+X29+Y29+Z29</f>
        <v/>
      </c>
      <c r="AB29" s="38">
        <f>VLOOKUP(B29,country_opex,7,FALSE)/dep_years</f>
        <v/>
      </c>
      <c r="AC29" s="38">
        <f>T29-AA29</f>
        <v/>
      </c>
      <c r="AD29" s="35">
        <f>IF(T29=0,"",AC29/T29)</f>
        <v/>
      </c>
      <c r="AE29" s="36">
        <f>IF(AC29&lt;=0,"",VLOOKUP(B29,country_opex,7,FALSE)/AC29)</f>
        <v/>
      </c>
      <c r="AF29" s="33">
        <f>((D29*O29/diesel_nmpg)*diesel_co2pg-(battery/range_nm)*D29*O29*VLOOKUP(B29,country_opex,4,FALSE))/1000</f>
        <v/>
      </c>
      <c r="AG29" s="31" t="n">
        <v>52000</v>
      </c>
      <c r="AH29" s="32" t="inlineStr">
        <is>
          <t>T4</t>
        </is>
      </c>
      <c r="AI29" s="32" t="inlineStr">
        <is>
          <t>low-med</t>
        </is>
      </c>
      <c r="AJ29" s="39" t="n">
        <v>0.1</v>
      </c>
      <c r="AK29" s="34">
        <f>IF(AG29="","",AG29*AJ29)</f>
        <v/>
      </c>
      <c r="AL29" s="34">
        <f>IF(OR(AG29="",R29=0),"",MIN(IF(AT29="",9.9E+99,AT29),FLOOR(AK29/R29,1)))</f>
        <v/>
      </c>
      <c r="AM29" s="38">
        <f>IF(AL29="","",AL29*T29)</f>
        <v/>
      </c>
      <c r="AN29" s="36">
        <f>IF(OR(AG29="",R29=0),"",MIN(IF(AT29="",9.9E+99,AT29),AK29/R29))</f>
        <v/>
      </c>
      <c r="AO29" s="38">
        <f>IF(AN29="","",AN29*T29)</f>
        <v/>
      </c>
      <c r="AP29" s="40" t="n"/>
      <c r="AQ29" s="32" t="inlineStr">
        <is>
          <t>Grounded</t>
        </is>
      </c>
      <c r="AR29" s="41" t="n"/>
      <c r="AS29" s="41" t="n"/>
      <c r="AT29" s="42" t="n"/>
      <c r="AU29" s="43">
        <f>IF(((S29*pax_cap*load_thin*ROUND(K29*L29*revleg_thin,0))-(((battery/range_nm)*D29*ROUND(K29*L29*revleg_thin,0)*VLOOKUP(B29,country_opex,3,FALSE))+V29+W29+X29+Y29+Z29))&lt;=0,"",VLOOKUP(B29,country_opex,7,FALSE)/((S29*pax_cap*load_thin*ROUND(K29*L29*revleg_thin,0))-(((battery/range_nm)*D29*ROUND(K29*L29*revleg_thin,0)*VLOOKUP(B29,country_opex,3,FALSE))+V29+W29+X29+Y29+Z29)))</f>
        <v/>
      </c>
      <c r="AV29" s="43">
        <f>IF(((S29*pax_cap*load_mid*ROUND(K29*L29*revleg_mid,0))-(((battery/range_nm)*D29*ROUND(K29*L29*revleg_mid,0)*VLOOKUP(B29,country_opex,3,FALSE))+V29+W29+X29+Y29+Z29))&lt;=0,"",VLOOKUP(B29,country_opex,7,FALSE)/((S29*pax_cap*load_mid*ROUND(K29*L29*revleg_mid,0))-(((battery/range_nm)*D29*ROUND(K29*L29*revleg_mid,0)*VLOOKUP(B29,country_opex,3,FALSE))+V29+W29+X29+Y29+Z29)))</f>
        <v/>
      </c>
      <c r="AW29" s="43">
        <f>IF(((S29*pax_cap*load_full*ROUND(K29*L29*revleg_full,0))-(((battery/range_nm)*D29*ROUND(K29*L29*revleg_full,0)*VLOOKUP(B29,country_opex,3,FALSE))+V29+W29+X29+Y29+Z29))&lt;=0,"",VLOOKUP(B29,country_opex,7,FALSE)/((S29*pax_cap*load_full*ROUND(K29*L29*revleg_full,0))-(((battery/range_nm)*D29*ROUND(K29*L29*revleg_full,0)*VLOOKUP(B29,country_opex,3,FALSE))+V29+W29+X29+Y29+Z29)))</f>
        <v/>
      </c>
      <c r="AX29" s="44" t="inlineStr">
        <is>
          <t>East-West Ferry Project validated cross-Gulf demand; foiling premium tier.</t>
        </is>
      </c>
      <c r="AY29" s="44" t="inlineStr">
        <is>
          <t>East-West Ferry Project validated cross-Gulf demand; foiling premium tier.</t>
        </is>
      </c>
    </row>
    <row r="30">
      <c r="A30" s="45" t="inlineStr">
        <is>
          <t>TOTAL / median</t>
        </is>
      </c>
      <c r="T30" s="46">
        <f>SUM(T4:T29)</f>
        <v/>
      </c>
      <c r="AC30" s="46">
        <f>SUM(AC4:AC29)</f>
        <v/>
      </c>
      <c r="AD30" s="47">
        <f>IF(T30=0,"",AC30/T30)</f>
        <v/>
      </c>
      <c r="AL30" s="48">
        <f>SUM(AL4:AL29)</f>
        <v/>
      </c>
      <c r="AM30" s="46">
        <f>SUM(AM4:AM29)</f>
        <v/>
      </c>
    </row>
    <row r="32">
      <c r="A32" s="8" t="inlineStr">
        <is>
          <t>Market fleet build-up — grounded floor (network-sum of raw vessel fractions per market, rounded once; subset slices excluded; legacy per-corridor-floor totals above kept for reference)</t>
        </is>
      </c>
    </row>
    <row r="33">
      <c r="A33" s="24" t="inlineStr">
        <is>
          <t>Market</t>
        </is>
      </c>
      <c r="B33" s="24" t="inlineStr">
        <is>
          <t>Fleet basis</t>
        </is>
      </c>
      <c r="C33" s="24" t="inlineStr">
        <is>
          <t>Raw vessels (sum)</t>
        </is>
      </c>
      <c r="D33" s="24" t="inlineStr">
        <is>
          <t>Fleet (rounded once)</t>
        </is>
      </c>
      <c r="E33" s="24" t="inlineStr">
        <is>
          <t>Market rev/yr (raw sum)</t>
        </is>
      </c>
    </row>
    <row r="34">
      <c r="A34" s="25" t="inlineStr">
        <is>
          <t>Bangkok</t>
        </is>
      </c>
      <c r="B34" s="13" t="inlineStr">
        <is>
          <t>network_sum / ceil</t>
        </is>
      </c>
      <c r="C34" s="23">
        <f>SUMIFS(AN4:AN29,A4:A29,"Bangkok",AP4:AP29,"=",AQ4:AQ29,"Grounded")</f>
        <v/>
      </c>
      <c r="D34" s="49">
        <f>IF(C34=0,0,CEILING(C34,1))</f>
        <v/>
      </c>
      <c r="E34" s="50">
        <f>SUMIFS(AO4:AO29,A4:A29,"Bangkok",AP4:AP29,"=",AQ4:AQ29,"Grounded")</f>
        <v/>
      </c>
    </row>
    <row r="35">
      <c r="A35" s="25" t="inlineStr">
        <is>
          <t>Eastern_Seaboard</t>
        </is>
      </c>
      <c r="B35" s="13" t="inlineStr">
        <is>
          <t>network_sum / ceil</t>
        </is>
      </c>
      <c r="C35" s="23">
        <f>SUMIFS(AN4:AN29,A4:A29,"Eastern_Seaboard",AP4:AP29,"=",AQ4:AQ29,"Grounded")</f>
        <v/>
      </c>
      <c r="D35" s="49">
        <f>IF(C35=0,0,CEILING(C35,1))</f>
        <v/>
      </c>
      <c r="E35" s="50">
        <f>SUMIFS(AO4:AO29,A4:A29,"Eastern_Seaboard",AP4:AP29,"=",AQ4:AQ29,"Grounded")</f>
        <v/>
      </c>
    </row>
    <row r="36">
      <c r="A36" s="25" t="inlineStr">
        <is>
          <t>Koh Samui</t>
        </is>
      </c>
      <c r="B36" s="13" t="inlineStr">
        <is>
          <t>network_sum / ceil</t>
        </is>
      </c>
      <c r="C36" s="23">
        <f>SUMIFS(AN4:AN29,A4:A29,"Koh Samui",AP4:AP29,"=",AQ4:AQ29,"Grounded")</f>
        <v/>
      </c>
      <c r="D36" s="49">
        <f>IF(C36=0,0,CEILING(C36,1))</f>
        <v/>
      </c>
      <c r="E36" s="50">
        <f>SUMIFS(AO4:AO29,A4:A29,"Koh Samui",AP4:AP29,"=",AQ4:AQ29,"Grounded")</f>
        <v/>
      </c>
    </row>
    <row r="37">
      <c r="A37" s="25" t="inlineStr">
        <is>
          <t>Phuket</t>
        </is>
      </c>
      <c r="B37" s="13" t="inlineStr">
        <is>
          <t>network_sum / ceil</t>
        </is>
      </c>
      <c r="C37" s="23">
        <f>SUMIFS(AN4:AN29,A4:A29,"Phuket",AP4:AP29,"=",AQ4:AQ29,"Grounded")</f>
        <v/>
      </c>
      <c r="D37" s="49">
        <f>IF(C37=0,0,CEILING(C37,1))</f>
        <v/>
      </c>
      <c r="E37" s="50">
        <f>SUMIFS(AO4:AO29,A4:A29,"Phuket",AP4:AP29,"=",AQ4:AQ29,"Grounded")</f>
        <v/>
      </c>
    </row>
    <row r="38">
      <c r="A38" s="25" t="inlineStr">
        <is>
          <t>Royal_Coast</t>
        </is>
      </c>
      <c r="B38" s="13" t="inlineStr">
        <is>
          <t>network_sum / ceil</t>
        </is>
      </c>
      <c r="C38" s="23">
        <f>SUMIFS(AN4:AN29,A4:A29,"Royal_Coast",AP4:AP29,"=",AQ4:AQ29,"Grounded")</f>
        <v/>
      </c>
      <c r="D38" s="49">
        <f>IF(C38=0,0,CEILING(C38,1))</f>
        <v/>
      </c>
      <c r="E38" s="50">
        <f>SUMIFS(AO4:AO29,A4:A29,"Royal_Coast",AP4:AP29,"=",AQ4:AQ29,"Grounded")</f>
        <v/>
      </c>
    </row>
    <row r="39">
      <c r="A39" s="45" t="inlineStr">
        <is>
          <t>GROUNDED FLOOR (PUBLISHED)</t>
        </is>
      </c>
      <c r="D39" s="48">
        <f>SUM(D34:D38)</f>
        <v/>
      </c>
      <c r="E39" s="46">
        <f>SUM(E34:E38)</f>
        <v/>
      </c>
    </row>
    <row r="40">
      <c r="A40" s="20" t="inlineStr">
        <is>
          <t>ESTIMATED DEMAND (country-median cascade; held OUT of grounded floor)</t>
        </is>
      </c>
      <c r="D40" s="51">
        <f>SUMIF(AQ4:AQ29,"Estimated",AL4:AL29)</f>
        <v/>
      </c>
      <c r="E40" s="52">
        <f>SUMIF(AQ4:AQ29,"Estimated",AM4:AM29)</f>
        <v/>
      </c>
    </row>
    <row r="41">
      <c r="A41" s="53" t="inlineStr">
        <is>
          <t>Held for Quanta-LR (&gt;70nm, roadmap H2 2026+):</t>
        </is>
      </c>
      <c r="C41" s="54" t="inlineStr">
        <is>
          <t>Phuket → Langkawi (cross-border, regional reach) (107nm)</t>
        </is>
      </c>
    </row>
    <row r="42">
      <c r="C42" s="54" t="inlineStr">
        <is>
          <t>Phuket → Langkawi (cross-border, regional reach) (107nm)</t>
        </is>
      </c>
    </row>
    <row r="43">
      <c r="C43" s="54" t="inlineStr">
        <is>
          <t>Bangkok (ICONSIAM / Chao Phraya) → Hua Hin (pier) (88.0nm)</t>
        </is>
      </c>
    </row>
  </sheetData>
  <mergeCells count="2">
    <mergeCell ref="A1:L1"/>
    <mergeCell ref="A32:L3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6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  <col width="72" customWidth="1" min="5" max="5"/>
  </cols>
  <sheetData>
    <row r="1">
      <c r="A1" s="8" t="inlineStr">
        <is>
          <t>Market sizing — how the grounded floor builds into SOM → SAM → TAM</t>
        </is>
      </c>
    </row>
    <row r="3">
      <c r="A3" s="9" t="inlineStr">
        <is>
          <t>Growth multipliers (bands: low / MID / high)</t>
        </is>
      </c>
    </row>
    <row r="4">
      <c r="A4" s="10" t="inlineStr">
        <is>
          <t>Multiplier</t>
        </is>
      </c>
      <c r="B4" s="10" t="inlineStr">
        <is>
          <t>Low</t>
        </is>
      </c>
      <c r="C4" s="10" t="inlineStr">
        <is>
          <t>MID</t>
        </is>
      </c>
      <c r="D4" s="10" t="inlineStr">
        <is>
          <t>High</t>
        </is>
      </c>
      <c r="E4" s="10" t="inlineStr">
        <is>
          <t>What it means</t>
        </is>
      </c>
    </row>
    <row r="5">
      <c r="A5" s="25" t="inlineStr">
        <is>
          <t>Induced demand (k)</t>
        </is>
      </c>
      <c r="B5" s="19" t="n">
        <v>1.3</v>
      </c>
      <c r="C5" s="19" t="n">
        <v>1.8</v>
      </c>
      <c r="D5" s="19" t="n">
        <v>2.5</v>
      </c>
      <c r="E5" s="14" t="inlineStr">
        <is>
          <t>Faster/quieter product grows the crossing market beyond today's trips.</t>
        </is>
      </c>
    </row>
    <row r="6">
      <c r="A6" s="25" t="inlineStr">
        <is>
          <t>Mature capture rate (c)</t>
        </is>
      </c>
      <c r="B6" s="39" t="n">
        <v>0.15</v>
      </c>
      <c r="C6" s="39" t="n">
        <v>0.25</v>
      </c>
      <c r="D6" s="39" t="n">
        <v>0.4</v>
      </c>
      <c r="E6" s="14" t="inlineStr">
        <is>
          <t>Navier's corridor share once it is the established premium default (vs 10% floor).</t>
        </is>
      </c>
    </row>
    <row r="7">
      <c r="A7" s="25" t="inlineStr">
        <is>
          <t>Journey GMV multiple (m)</t>
        </is>
      </c>
      <c r="B7" s="19" t="n">
        <v>2</v>
      </c>
      <c r="C7" s="19" t="n">
        <v>3</v>
      </c>
      <c r="D7" s="19" t="n">
        <v>4</v>
      </c>
      <c r="E7" s="14" t="inlineStr">
        <is>
          <t>Whole island-journey wallet (transport+food+stay+experiences) as a multiple of the boat fare.</t>
        </is>
      </c>
    </row>
    <row r="8">
      <c r="A8" s="25" t="inlineStr">
        <is>
          <t>Greenfield network factor (g)</t>
        </is>
      </c>
      <c r="B8" s="19" t="n">
        <v>3.44</v>
      </c>
      <c r="C8" s="19" t="n">
        <v>4.9</v>
      </c>
      <c r="D8" s="19" t="n">
        <v>6.36</v>
      </c>
      <c r="E8" s="14" t="inlineStr">
        <is>
          <t>Width lever: addressable network vs the sourced subset (ID-based census).</t>
        </is>
      </c>
    </row>
    <row r="9">
      <c r="A9" s="25" t="inlineStr">
        <is>
          <t>Platform take rate</t>
        </is>
      </c>
      <c r="C9" s="39" t="n">
        <v>0.18</v>
      </c>
      <c r="E9" s="14" t="inlineStr">
        <is>
          <t>Super-app blended commission on journey GMV (derived line only).</t>
        </is>
      </c>
    </row>
    <row r="11">
      <c r="A11" s="25" t="inlineStr">
        <is>
          <t>SOM capture rate (floor)</t>
        </is>
      </c>
      <c r="C11" s="39" t="n">
        <v>0.1056</v>
      </c>
      <c r="E11" s="14" t="inlineStr">
        <is>
          <t>New-entrant ~11% share of today's pool (= the published floor).</t>
        </is>
      </c>
    </row>
    <row r="13">
      <c r="A13" s="9" t="inlineStr">
        <is>
          <t>The ladder (live off the corridor floor)</t>
        </is>
      </c>
    </row>
    <row r="14">
      <c r="A14" s="10" t="inlineStr">
        <is>
          <t>Rung</t>
        </is>
      </c>
      <c r="B14" s="10" t="inlineStr">
        <is>
          <t>Low</t>
        </is>
      </c>
      <c r="C14" s="10" t="inlineStr">
        <is>
          <t>MID</t>
        </is>
      </c>
      <c r="D14" s="10" t="inlineStr">
        <is>
          <t>High</t>
        </is>
      </c>
      <c r="E14" s="10" t="inlineStr">
        <is>
          <t>Definition</t>
        </is>
      </c>
    </row>
    <row r="15">
      <c r="A15" s="25" t="inlineStr">
        <is>
          <t>SOM floor — Navier transport rev/yr (PUBLISHED)</t>
        </is>
      </c>
      <c r="C15" s="50">
        <f>som_floor_rev</f>
        <v/>
      </c>
      <c r="E15" s="14" t="inlineStr">
        <is>
          <t>Live sum of grounded-floor corridor market-rev only (Floor bucket = Grounded; cascade-estimated rows held out). Matches growth.py _headline_anchor and deck TAM.</t>
        </is>
      </c>
    </row>
    <row r="16">
      <c r="A16" s="25" t="inlineStr">
        <is>
          <t>M_today — full transport spend on sourced corridors</t>
        </is>
      </c>
      <c r="C16" s="50">
        <f>$C$15/$C$11</f>
        <v/>
      </c>
      <c r="E16" s="14" t="inlineStr">
        <is>
          <t>Anchor = SOM floor ÷ capture rate; recovers the whole crossing pool's premium-transfer spend today.</t>
        </is>
      </c>
    </row>
    <row r="18">
      <c r="A18" s="25" t="inlineStr">
        <is>
          <t>SOM full network (~11% capture, today, +greenfield)</t>
        </is>
      </c>
      <c r="B18" s="50">
        <f>$C$16*$C$11*$B$8</f>
        <v/>
      </c>
      <c r="C18" s="50">
        <f>$C$16*$C$11*$C$8</f>
        <v/>
      </c>
      <c r="D18" s="50">
        <f>$C$16*$C$11*$D$8</f>
        <v/>
      </c>
      <c r="E18" s="14" t="inlineStr">
        <is>
          <t>Floor posture (~11% captive capture, today's demand) extended across the whole mapped network.</t>
        </is>
      </c>
    </row>
    <row r="19">
      <c r="A19" s="25" t="inlineStr">
        <is>
          <t>SAM — sourced corridors only (depth, no greenfield)</t>
        </is>
      </c>
      <c r="B19" s="50">
        <f>$C$16*$B$5*$B$6</f>
        <v/>
      </c>
      <c r="C19" s="50">
        <f>$C$16*$C$5*$C$6</f>
        <v/>
      </c>
      <c r="D19" s="50">
        <f>$C$16*$D$5*$D$6</f>
        <v/>
      </c>
      <c r="E19" s="14" t="inlineStr">
        <is>
          <t>Matured network on the sourced corridors alone: induced demand × mature capture.</t>
        </is>
      </c>
    </row>
    <row r="20">
      <c r="A20" s="25" t="inlineStr">
        <is>
          <t>SAM — Navier transport rev @ full network (HEADLINE)</t>
        </is>
      </c>
      <c r="B20" s="50">
        <f>$C$16*$B$5*$B$6*$B$8</f>
        <v/>
      </c>
      <c r="C20" s="50">
        <f>$C$16*$C$5*$C$6*$C$8</f>
        <v/>
      </c>
      <c r="D20" s="50">
        <f>$C$16*$D$5*$D$6*$D$8</f>
        <v/>
      </c>
      <c r="E20" s="14" t="inlineStr">
        <is>
          <t>Matured across the full addressable network: induced × mature capture × greenfield width.</t>
        </is>
      </c>
    </row>
    <row r="21">
      <c r="A21" s="25" t="inlineStr">
        <is>
          <t>Marine mobility TAM — induced marine-transfer market (LB-110)</t>
        </is>
      </c>
      <c r="B21" s="50">
        <f>$C$16*$B$5*$B$8</f>
        <v/>
      </c>
      <c r="C21" s="50">
        <f>$C$16*$C$5*$C$8</f>
        <v/>
      </c>
      <c r="D21" s="50">
        <f>$C$16*$D$5*$D$8</f>
        <v/>
      </c>
      <c r="E21" s="14" t="inlineStr">
        <is>
          <t>SAM divided by leading-operator capture (= M_today × induced × greenfield). The full inducible water-transfer wallet at network maturity, before any capture constraint.</t>
        </is>
      </c>
    </row>
    <row r="22">
      <c r="A22" s="25" t="inlineStr">
        <is>
          <t>Journey GMV — induced crossing × multiple (was TAM journey GMV)</t>
        </is>
      </c>
      <c r="B22" s="50">
        <f>$C$16*$B$5*$B$7*$B$8</f>
        <v/>
      </c>
      <c r="C22" s="50">
        <f>$C$16*$C$5*$C$7*$C$8</f>
        <v/>
      </c>
      <c r="D22" s="50">
        <f>$C$16*$D$5*$D$7*$D$8</f>
        <v/>
      </c>
      <c r="E22" s="14" t="inlineStr">
        <is>
          <t>Whole-journey spend (transport+food+stay+experiences) across the induced crossing market on the full network. Marine TAM × journey GMV multiple.</t>
        </is>
      </c>
    </row>
    <row r="23">
      <c r="A23" s="25" t="inlineStr">
        <is>
          <t>Journey GMV routed through Navier network</t>
        </is>
      </c>
      <c r="B23" s="50">
        <f>$C$16*$B$5*$B$6*$B$7*$B$8</f>
        <v/>
      </c>
      <c r="C23" s="50">
        <f>$C$16*$C$5*$C$6*$C$7*$C$8</f>
        <v/>
      </c>
      <c r="D23" s="50">
        <f>$C$16*$D$5*$D$6*$D$7*$D$8</f>
        <v/>
      </c>
      <c r="E23" s="14" t="inlineStr">
        <is>
          <t>Journey GMV on Navier-carried trips only.</t>
        </is>
      </c>
    </row>
    <row r="24">
      <c r="A24" s="25" t="inlineStr">
        <is>
          <t>Partner platform revenue on Navier (LB-113 — on-Navier subset, not 18% of full Journey GMV)</t>
        </is>
      </c>
      <c r="B24" s="50">
        <f>$C$16*$B$5*$B$6*$B$7*$B$8*$C$9</f>
        <v/>
      </c>
      <c r="C24" s="50">
        <f>$C$16*$C$5*$C$6*$C$7*$C$8*$C$9</f>
        <v/>
      </c>
      <c r="D24" s="50">
        <f>$C$16*$D$5*$D$6*$D$7*$D$8*$C$9</f>
        <v/>
      </c>
      <c r="E24" s="14" t="inlineStr">
        <is>
          <t>The super-app's own commission — the number a platform partner cares about.</t>
        </is>
      </c>
    </row>
    <row r="26">
      <c r="A26" s="55" t="inlineStr">
        <is>
          <t>Note</t>
        </is>
      </c>
      <c r="B26" s="56" t="inlineStr">
        <is>
          <t>All rungs are one multiplication chain off M_today, which is live off the corridor floor. Change any input (a fare, a multiplier, the scenario) and the whole ladder moves. Bands (low/MID/high) are never single points; greenfield census is per-partner.</t>
        </is>
      </c>
    </row>
  </sheetData>
  <mergeCells count="4">
    <mergeCell ref="B26:E26"/>
    <mergeCell ref="A1:E1"/>
    <mergeCell ref="A13:E13"/>
    <mergeCell ref="A3:E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2026-06-24T16:16:45Z</dcterms:created>
  <dcterms:modified xsi:type="dcterms:W3CDTF">2026-06-24T16:16:45Z</dcterms:modified>
</cp:coreProperties>
</file>