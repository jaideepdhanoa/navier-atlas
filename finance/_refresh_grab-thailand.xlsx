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load_thin">'Assumptions'!$B$34</definedName>
    <definedName name="revleg_thin">'Assumptions'!$C$34</definedName>
    <definedName name="load_mid">'Assumptions'!$B$35</definedName>
    <definedName name="revleg_mid">'Assumptions'!$C$35</definedName>
    <definedName name="load_full">'Assumptions'!$B$36</definedName>
    <definedName name="revleg_full">'Assumptions'!$C$36</definedName>
    <definedName name="band_tbl">'Assumptions'!$A$34:$C$36</definedName>
    <definedName name="scenario">'Assumptions'!$B$38</definedName>
    <definedName name="load_sel">'Assumptions'!$B$39</definedName>
    <definedName name="revleg_sel">'Assumptions'!$B$40</definedName>
    <definedName name="country_opex">'Country opex'!$A$4:$G$4</definedName>
    <definedName name="som_floor_fleet">'Corridor economics'!$D$26</definedName>
    <definedName name="som_floor_rev">'Corridor economics'!$E$26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3" fontId="2" fillId="7" borderId="1" applyAlignment="1" pivotButton="0" quotePrefix="0" xfId="0">
      <alignment horizontal="center" vertical="center"/>
    </xf>
    <xf numFmtId="164" fontId="2" fillId="7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Grab-Thailand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</t>
        </is>
      </c>
    </row>
    <row r="15">
      <c r="B15" s="5" t="inlineStr">
        <is>
          <t xml:space="preserve">    OPEX = energy + crew + berth/port admin + maintenance + vessel insurance + fast-charge berth</t>
        </is>
      </c>
    </row>
    <row r="16">
      <c r="B16" s="4" t="inlineStr">
        <is>
          <t>PAYBACK = vessel CAPEX ÷ EBITDA</t>
        </is>
      </c>
    </row>
    <row r="17">
      <c r="B17" s="2" t="inlineStr"/>
    </row>
    <row r="18">
      <c r="B18" s="3" t="inlineStr">
        <is>
          <t>OPEX lines (per boat, per year — no double-counting)</t>
        </is>
      </c>
    </row>
    <row r="19">
      <c r="B19" s="2" t="inlineStr">
        <is>
          <t>Energy — variable propulsion cost: kWh on revenue sailings × local $/kWh (Country opex tab). Excludes utility demand charges.</t>
        </is>
      </c>
    </row>
    <row r="20">
      <c r="B20" s="2" t="inlineStr">
        <is>
          <t>Crew — fully-loaded captain + relief: local captain wage × crew FTE factor (Country opex + Assumptions).</t>
        </is>
      </c>
    </row>
    <row r="21">
      <c r="B21" s="2" t="inlineStr">
        <is>
          <t>Berth &amp; port admin — fixed annual berth, port fees, and local marine admin (Country opex tab). Excludes vessel H&amp;M+P&amp;I and fast-charge infrastructure.</t>
        </is>
      </c>
    </row>
    <row r="22">
      <c r="B22" s="2" t="inlineStr">
        <is>
          <t>Maintenance — vessel annual maintenance reserve (Assumptions tab).</t>
        </is>
      </c>
    </row>
    <row r="23">
      <c r="B23" s="2" t="inlineStr">
        <is>
          <t>Vessel insurance — commercial H&amp;M + P&amp;I as % of regional CAPEX (Assumptions % × Country opex CAPEX column).</t>
        </is>
      </c>
    </row>
    <row r="24">
      <c r="B24" s="2" t="inlineStr">
        <is>
          <t>Fast-charge berth — dedicated fast-charge berth slot + utility demand charges (Assumptions default; overridable per market). Separate from per-kWh energy and berth/port admin.</t>
        </is>
      </c>
    </row>
    <row r="25">
      <c r="B25" s="2" t="inlineStr"/>
    </row>
    <row r="26">
      <c r="B26" s="3" t="inlineStr">
        <is>
          <t>From demand pool to fleet &amp; market size</t>
        </is>
      </c>
    </row>
    <row r="27">
      <c r="B27" s="5" t="inlineStr">
        <is>
          <t>Navier serviceable rides/yr = corridor demand pool × capture rate (10% on contested corridors; ~90% on captive sole-operator transfer legs — see the per-row Capture % column)</t>
        </is>
      </c>
    </row>
    <row r="28">
      <c r="B28" s="2" t="inlineStr">
        <is>
          <t>Vessels supported = FLOOR(Navier rides/yr ÷ pax/yr per boat);  Market rev = vessels × rev/boat. The 'Market sizing' tab rolls these up into the SOM → SAM → TAM ladder.</t>
        </is>
      </c>
    </row>
    <row r="29">
      <c r="B29" s="2" t="inlineStr"/>
    </row>
    <row r="30">
      <c r="B30" s="3" t="inlineStr">
        <is>
          <t>The scenario toggle (what we flex)</t>
        </is>
      </c>
    </row>
    <row r="31">
      <c r="B31" s="2" t="inlineStr">
        <is>
          <t>'Corridor economics' has a SCENARIO cell = THIN / MID / FULL. It flexes load factor (occupancy) and revenue-leg factor (share of legs that earn full fare). Max trips/day is fixed across all three bands (see Assumptions). MID is the headline. Change SCENARIO and the whole model recomputes. Payback THIN/MID/FULL columns always show all three at once.</t>
        </is>
      </c>
    </row>
    <row r="32">
      <c r="B32" s="2" t="inlineStr"/>
    </row>
    <row r="33">
      <c r="B33" s="3" t="inlineStr">
        <is>
          <t>Colour &amp; provenance legend</t>
        </is>
      </c>
    </row>
    <row r="34">
      <c r="B34" s="6" t="inlineStr">
        <is>
          <t xml:space="preserve">   Yellow = INPUTS you can change (fare, distance, demand, weather).</t>
        </is>
      </c>
    </row>
    <row r="35">
      <c r="B35" s="7" t="inlineStr">
        <is>
          <t xml:space="preserve">   Green  = COMPUTED by formula.</t>
        </is>
      </c>
    </row>
    <row r="36">
      <c r="B36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15 across thin/mid/full 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Mechanical uptime</t>
        </is>
      </c>
      <c r="B21" s="17" t="n">
        <v>0.75</v>
      </c>
      <c r="C21" s="13" t="inlineStr">
        <is>
          <t>frac</t>
        </is>
      </c>
      <c r="D21" s="13" t="inlineStr">
        <is>
          <t>T4</t>
        </is>
      </c>
      <c r="E21" s="13" t="inlineStr">
        <is>
          <t>med</t>
        </is>
      </c>
      <c r="F21" s="14" t="inlineStr">
        <is>
          <t>Blade luxury aviation ~75-80% reliability uptime</t>
        </is>
      </c>
    </row>
    <row r="22">
      <c r="A22" s="11" t="inlineStr">
        <is>
          <t>Navier capture rate</t>
        </is>
      </c>
      <c r="B22" s="17" t="n">
        <v>0.1</v>
      </c>
      <c r="C22" s="13" t="inlineStr">
        <is>
          <t>frac</t>
        </is>
      </c>
      <c r="D22" s="13" t="inlineStr"/>
      <c r="E22" s="13" t="inlineStr">
        <is>
          <t>med</t>
        </is>
      </c>
      <c r="F22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11" t="inlineStr">
        <is>
          <t>Captive capture rate (A′ corridors)</t>
        </is>
      </c>
      <c r="B23" s="17" t="n">
        <v>0.9</v>
      </c>
      <c r="C23" s="13" t="inlineStr">
        <is>
          <t>frac</t>
        </is>
      </c>
      <c r="D23" s="13" t="inlineStr"/>
      <c r="E23" s="13" t="inlineStr">
        <is>
          <t>med</t>
        </is>
      </c>
      <c r="F23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11" t="inlineStr">
        <is>
          <t>Discount factor (vs comparable fare)</t>
        </is>
      </c>
      <c r="B24" s="16" t="n">
        <v>1</v>
      </c>
      <c r="C24" s="13" t="inlineStr">
        <is>
          <t>frac</t>
        </is>
      </c>
      <c r="D24" s="13" t="inlineStr">
        <is>
          <t>T1</t>
        </is>
      </c>
      <c r="E24" s="13" t="inlineStr">
        <is>
          <t>high</t>
        </is>
      </c>
      <c r="F24" s="14" t="inlineStr">
        <is>
          <t>Market parity — better product, not cheaper (locked).</t>
        </is>
      </c>
    </row>
    <row r="25">
      <c r="A25" s="11" t="inlineStr">
        <is>
          <t>Diesel CO₂ per gallon</t>
        </is>
      </c>
      <c r="B25" s="16" t="n">
        <v>10.21</v>
      </c>
      <c r="C25" s="13" t="inlineStr">
        <is>
          <t>kg/gal</t>
        </is>
      </c>
      <c r="D25" s="13" t="inlineStr">
        <is>
          <t>T1</t>
        </is>
      </c>
      <c r="E25" s="13" t="inlineStr">
        <is>
          <t>high</t>
        </is>
      </c>
      <c r="F25" s="14" t="inlineStr">
        <is>
          <t>US EPA: 10.21 kg CO2 per gallon marine/diesel</t>
        </is>
      </c>
    </row>
    <row r="27">
      <c r="A27" s="9" t="inlineStr">
        <is>
          <t>OPEX defaults  (global fallbacks — localized energy, crew, berth admin on Country opex tab)</t>
        </is>
      </c>
    </row>
    <row r="28">
      <c r="A28" s="10" t="inlineStr">
        <is>
          <t>Parameter</t>
        </is>
      </c>
      <c r="B28" s="10" t="inlineStr">
        <is>
          <t>Value</t>
        </is>
      </c>
      <c r="C28" s="10" t="inlineStr">
        <is>
          <t>Unit</t>
        </is>
      </c>
      <c r="D28" s="10" t="inlineStr">
        <is>
          <t>Tier</t>
        </is>
      </c>
      <c r="E28" s="10" t="inlineStr">
        <is>
          <t>Conf.</t>
        </is>
      </c>
      <c r="F28" s="10" t="inlineStr">
        <is>
          <t>Source / note</t>
        </is>
      </c>
    </row>
    <row r="29">
      <c r="A29" s="11" t="inlineStr">
        <is>
          <t>Vessel insurance — H&amp;M + P&amp;I (% of CAPEX/yr)</t>
        </is>
      </c>
      <c r="B29" s="17" t="n">
        <v>0.025</v>
      </c>
      <c r="C29" s="13" t="inlineStr">
        <is>
          <t>frac</t>
        </is>
      </c>
      <c r="D29" s="13" t="inlineStr">
        <is>
          <t>T3</t>
        </is>
      </c>
      <c r="E29" s="13" t="inlineStr">
        <is>
          <t>med</t>
        </is>
      </c>
      <c r="F29" s="14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11" t="inlineStr">
        <is>
          <t>Fast-charge berth &amp; demand charges (global default)</t>
        </is>
      </c>
      <c r="B30" s="15" t="n">
        <v>18000</v>
      </c>
      <c r="C30" s="13" t="inlineStr">
        <is>
          <t>USD/yr</t>
        </is>
      </c>
      <c r="D30" s="13" t="inlineStr">
        <is>
          <t>T3</t>
        </is>
      </c>
      <c r="E30" s="13" t="inlineStr">
        <is>
          <t>med</t>
        </is>
      </c>
      <c r="F30" s="14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2">
      <c r="A32" s="9" t="inlineStr">
        <is>
          <t>Utilization scenarios  (load factor + revenue-leg factor)</t>
        </is>
      </c>
    </row>
    <row r="33">
      <c r="A33" s="10" t="inlineStr">
        <is>
          <t>Scenario</t>
        </is>
      </c>
      <c r="B33" s="10" t="inlineStr">
        <is>
          <t>Load factor</t>
        </is>
      </c>
      <c r="C33" s="10" t="inlineStr">
        <is>
          <t>Rev-leg factor</t>
        </is>
      </c>
      <c r="D33" s="10" t="inlineStr"/>
      <c r="E33" s="10" t="inlineStr"/>
      <c r="F33" s="10" t="inlineStr">
        <is>
          <t>Note</t>
        </is>
      </c>
    </row>
    <row r="34">
      <c r="A34" s="18" t="inlineStr">
        <is>
          <t>THIN</t>
        </is>
      </c>
      <c r="B34" s="19" t="n">
        <v>0.45</v>
      </c>
      <c r="C34" s="19" t="n">
        <v>0.55</v>
      </c>
      <c r="F34" s="14" t="inlineStr">
        <is>
          <t>thin/one-way/seasonal corridor — conservative floor</t>
        </is>
      </c>
    </row>
    <row r="35">
      <c r="A35" s="18" t="inlineStr">
        <is>
          <t>MID</t>
        </is>
      </c>
      <c r="B35" s="19" t="n">
        <v>0.55</v>
      </c>
      <c r="C35" s="19" t="n">
        <v>0.65</v>
      </c>
      <c r="F35" s="14" t="inlineStr">
        <is>
          <t>HEADLINE — realistic busy two-way corridor</t>
        </is>
      </c>
    </row>
    <row r="36">
      <c r="A36" s="18" t="inlineStr">
        <is>
          <t>FULL</t>
        </is>
      </c>
      <c r="B36" s="19" t="n">
        <v>0.7</v>
      </c>
      <c r="C36" s="19" t="n">
        <v>0.75</v>
      </c>
      <c r="F36" s="14" t="inlineStr">
        <is>
          <t>mature/dense corridor — optimistic ceiling</t>
        </is>
      </c>
    </row>
    <row r="38">
      <c r="A38" s="20" t="inlineStr">
        <is>
          <t>SCENARIO (toggle me)</t>
        </is>
      </c>
      <c r="B38" s="21" t="inlineStr">
        <is>
          <t>MID</t>
        </is>
      </c>
      <c r="C38" s="22" t="inlineStr">
        <is>
          <t>← set THIN / MID / FULL</t>
        </is>
      </c>
    </row>
    <row r="39">
      <c r="A39" s="11" t="inlineStr">
        <is>
          <t>Selected load factor</t>
        </is>
      </c>
      <c r="B39" s="23">
        <f>VLOOKUP(scenario,'Assumptions'!$A$34:$C$36,2,FALSE)</f>
        <v/>
      </c>
    </row>
    <row r="40">
      <c r="A40" s="11" t="inlineStr">
        <is>
          <t>Selected rev-leg factor</t>
        </is>
      </c>
      <c r="B40" s="23">
        <f>VLOOKUP(scenario,'Assumptions'!$A$34:$C$36,3,FALSE)</f>
        <v/>
      </c>
    </row>
  </sheetData>
  <mergeCells count="5">
    <mergeCell ref="A14:F14"/>
    <mergeCell ref="A1:F1"/>
    <mergeCell ref="A32:F32"/>
    <mergeCell ref="A27:F27"/>
    <mergeCell ref="A3:F3"/>
  </mergeCells>
  <dataValidations count="1">
    <dataValidation sqref="B38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localized inputs (crew, energy, berth admin, CAPEX)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Berth &amp; port admin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(crew | energy | berth admin)</t>
        </is>
      </c>
    </row>
    <row r="4">
      <c r="A4" s="25" t="inlineStr">
        <is>
          <t>Thailand</t>
        </is>
      </c>
      <c r="B4" s="26" t="n">
        <v>24000</v>
      </c>
      <c r="C4" s="27" t="n">
        <v>0.116</v>
      </c>
      <c r="D4" s="19" t="n">
        <v>0.5</v>
      </c>
      <c r="E4" s="26" t="n">
        <v>12000</v>
      </c>
      <c r="F4" s="19" t="n">
        <v>0.55</v>
      </c>
      <c r="G4" s="26" t="n">
        <v>600000</v>
      </c>
      <c r="H4" s="14" t="inlineStr">
        <is>
          <t>ERI Thailand boat captain ~876k THB/yr | MEA/PEA business tariff ~4.18 THB/kWh | Modeled Phuket marine ops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Y29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2" customWidth="1" min="23" max="23"/>
    <col width="9" customWidth="1" min="24" max="24"/>
    <col width="12" customWidth="1" min="25" max="25"/>
    <col width="12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4" customWidth="1" min="43" max="43"/>
    <col width="16" customWidth="1" min="44" max="44"/>
    <col width="16" customWidth="1" min="45" max="45"/>
    <col width="9" customWidth="1" min="46" max="46"/>
    <col width="9" customWidth="1" min="47" max="47"/>
    <col width="9" customWidth="1" min="48" max="48"/>
    <col width="9" customWidth="1" min="49" max="49"/>
    <col width="50" customWidth="1" min="50" max="50"/>
    <col width="50" customWidth="1" min="51" max="51"/>
  </cols>
  <sheetData>
    <row r="1">
      <c r="A1" s="8" t="inlineStr">
        <is>
          <t>Navier × Grab-Thailand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Berth &amp; port admin/yr</t>
        </is>
      </c>
      <c r="X3" s="24" t="inlineStr">
        <is>
          <t>Maint/yr</t>
        </is>
      </c>
      <c r="Y3" s="24" t="inlineStr">
        <is>
          <t>Vessel insurance/yr</t>
        </is>
      </c>
      <c r="Z3" s="24" t="inlineStr">
        <is>
          <t>Fast-charge 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Floor bucket (aggregate status)</t>
        </is>
      </c>
      <c r="AR3" s="24" t="inlineStr">
        <is>
          <t>Forward SAM (2030-dated; held OUT of grounded floor)</t>
        </is>
      </c>
      <c r="AS3" s="24" t="inlineStr">
        <is>
          <t>Upside tier (LB-99; held OUT of grounded floor)</t>
        </is>
      </c>
      <c r="AT3" s="24" t="inlineStr">
        <is>
          <t>Fleet ceiling (captive villas/25)</t>
        </is>
      </c>
      <c r="AU3" s="24" t="inlineStr">
        <is>
          <t>Payback THIN</t>
        </is>
      </c>
      <c r="AV3" s="24" t="inlineStr">
        <is>
          <t>Payback MID</t>
        </is>
      </c>
      <c r="AW3" s="24" t="inlineStr">
        <is>
          <t>Payback FULL</t>
        </is>
      </c>
      <c r="AX3" s="24" t="inlineStr">
        <is>
          <t>Fare source (provenance)</t>
        </is>
      </c>
      <c r="AY3" s="24" t="inlineStr">
        <is>
          <t>Demand source (provenance)</t>
        </is>
      </c>
    </row>
    <row r="4">
      <c r="A4" s="29" t="inlineStr">
        <is>
          <t>Bangkok</t>
        </is>
      </c>
      <c r="B4" s="29" t="inlineStr">
        <is>
          <t>Thailand</t>
        </is>
      </c>
      <c r="C4" s="30" t="inlineStr">
        <is>
          <t>Sathorn (Central) Pier → Phra Arthit Pier</t>
        </is>
      </c>
      <c r="D4" s="31" t="n">
        <v>2.9</v>
      </c>
      <c r="E4" s="26" t="n">
        <v>18</v>
      </c>
      <c r="F4" s="32" t="n"/>
      <c r="G4" s="32" t="inlineStr">
        <is>
          <t>derived_pending_validation</t>
        </is>
      </c>
      <c r="H4" s="19" t="n">
        <v>1</v>
      </c>
      <c r="I4" s="33">
        <f>60*D4/cruise_kt</f>
        <v/>
      </c>
      <c r="J4" s="33">
        <f>I4+turn_min+dwell_min</f>
        <v/>
      </c>
      <c r="K4" s="34">
        <f>MIN(15,FLOOR(60*service_hr/J4,1))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>
        <v>345600</v>
      </c>
      <c r="AH4" s="32" t="n"/>
      <c r="AI4" s="32" t="inlineStr">
        <is>
          <t>derived_pending_validation</t>
        </is>
      </c>
      <c r="AJ4" s="39" t="n">
        <v>0.1</v>
      </c>
      <c r="AK4" s="34">
        <f>IF(AG4="","",AG4*AJ4)</f>
        <v/>
      </c>
      <c r="AL4" s="34">
        <f>IF(OR(AG4="",R4=0),"",MIN(IF(AT4="",9.9E+99,AT4),FLOOR(AK4/R4,1)))</f>
        <v/>
      </c>
      <c r="AM4" s="38">
        <f>IF(AL4="","",AL4*T4)</f>
        <v/>
      </c>
      <c r="AN4" s="36">
        <f>IF(OR(AG4="",R4=0),"",MIN(IF(AT4="",9.9E+99,AT4),AK4/R4))</f>
        <v/>
      </c>
      <c r="AO4" s="38">
        <f>IF(AN4="","",AN4*T4)</f>
        <v/>
      </c>
      <c r="AP4" s="40" t="n"/>
      <c r="AQ4" s="32" t="inlineStr">
        <is>
          <t>Grounded</t>
        </is>
      </c>
      <c r="AR4" s="41" t="n"/>
      <c r="AS4" s="41" t="n"/>
      <c r="AT4" s="42" t="n"/>
      <c r="AU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V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W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X4" s="44" t="inlineStr">
        <is>
          <t>[LB-255 PREMIUM RE-FARE: subsidized comparable $4.29 lifted to premium on-demand floor $18.0] Chao Phraya river spine: Sathorn (CEN) &lt;-&gt; ICONSIAM (N2/1) &lt;-&gt; Phra Arthit (N13) corridor</t>
        </is>
      </c>
      <c r="AY4" s="44" t="inlineStr">
        <is>
          <t>Chao Phraya river spine: Sathorn (CEN) &lt;-&gt; ICONSIAM (N2/1) &lt;-&gt; Phra Arthit (N13) corridor</t>
        </is>
      </c>
    </row>
    <row r="5">
      <c r="A5" s="29" t="inlineStr">
        <is>
          <t>Bangkok</t>
        </is>
      </c>
      <c r="B5" s="29" t="inlineStr">
        <is>
          <t>Thailand</t>
        </is>
      </c>
      <c r="C5" s="30" t="inlineStr">
        <is>
          <t>ICONSIAM Pier (Chao Phraya) → ICONSIAM Pier (Chao Phraya)</t>
        </is>
      </c>
      <c r="D5" s="31" t="n">
        <v>5.3</v>
      </c>
      <c r="E5" s="26" t="n">
        <v>35</v>
      </c>
      <c r="F5" s="32" t="inlineStr">
        <is>
          <t>T2</t>
        </is>
      </c>
      <c r="G5" s="32" t="inlineStr">
        <is>
          <t>med</t>
        </is>
      </c>
      <c r="H5" s="19" t="n">
        <v>1</v>
      </c>
      <c r="I5" s="33">
        <f>60*D5/cruise_kt</f>
        <v/>
      </c>
      <c r="J5" s="33">
        <f>I5+turn_min+dwell_min</f>
        <v/>
      </c>
      <c r="K5" s="34">
        <f>MIN(15,FLOOR(60*service_hr/J5,1))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>
        <v>1200000</v>
      </c>
      <c r="AH5" s="32" t="n"/>
      <c r="AI5" s="32" t="n"/>
      <c r="AJ5" s="39" t="n">
        <v>0.1</v>
      </c>
      <c r="AK5" s="34">
        <f>IF(AG5="","",AG5*AJ5)</f>
        <v/>
      </c>
      <c r="AL5" s="34">
        <f>IF(OR(AG5="",R5=0),"",MIN(IF(AT5="",9.9E+99,AT5),FLOOR(AK5/R5,1)))</f>
        <v/>
      </c>
      <c r="AM5" s="38">
        <f>IF(AL5="","",AL5*T5)</f>
        <v/>
      </c>
      <c r="AN5" s="36">
        <f>IF(OR(AG5="",R5=0),"",MIN(IF(AT5="",9.9E+99,AT5),AK5/R5))</f>
        <v/>
      </c>
      <c r="AO5" s="38">
        <f>IF(AN5="","",AN5*T5)</f>
        <v/>
      </c>
      <c r="AP5" s="40" t="n"/>
      <c r="AQ5" s="32" t="inlineStr">
        <is>
          <t>Grounded</t>
        </is>
      </c>
      <c r="AR5" s="41" t="n"/>
      <c r="AS5" s="41" t="n"/>
      <c r="AT5" s="42" t="n"/>
      <c r="AU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V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W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X5" s="44" t="inlineStr">
        <is>
          <t>Conservative mid of the live Jun-2026 promo band across 24 listed dinner-round products (899-2,000 THB; cluster at 1,150-1,550): click2gothailand.com top-10 guide (updated 1-Jun-2026); Bangkok Chaophraya Cruise operator site lists 1,550 THB/pax rack. Navier 8-pax product would be drinks/canape-class, not galley-buffet-class, hence mid-band anchor not premium.</t>
        </is>
      </c>
      <c r="AY5" s="44" t="n"/>
    </row>
    <row r="6">
      <c r="A6" s="29" t="inlineStr">
        <is>
          <t>Koh Samui</t>
        </is>
      </c>
      <c r="B6" s="29" t="inlineStr">
        <is>
          <t>Thailand</t>
        </is>
      </c>
      <c r="C6" s="30" t="inlineStr">
        <is>
          <t>Samui Pralarn Pier (Mae Nam) → Koh Phangan (Thong Sala) — pier-exact</t>
        </is>
      </c>
      <c r="D6" s="31" t="n">
        <v>7.5</v>
      </c>
      <c r="E6" s="26" t="n">
        <v>35</v>
      </c>
      <c r="F6" s="32" t="n"/>
      <c r="G6" s="32" t="inlineStr">
        <is>
          <t>T1</t>
        </is>
      </c>
      <c r="H6" s="19" t="n">
        <v>1</v>
      </c>
      <c r="I6" s="33">
        <f>60*D6/cruise_kt</f>
        <v/>
      </c>
      <c r="J6" s="33">
        <f>I6+turn_min+dwell_min</f>
        <v/>
      </c>
      <c r="K6" s="34">
        <f>MIN(15,FLOOR(60*service_hr/J6,1))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450000</v>
      </c>
      <c r="AH6" s="32" t="inlineStr">
        <is>
          <t>T5</t>
        </is>
      </c>
      <c r="AI6" s="32" t="inlineStr">
        <is>
          <t>low-med</t>
        </is>
      </c>
      <c r="AJ6" s="39" t="n">
        <v>0.1</v>
      </c>
      <c r="AK6" s="34">
        <f>IF(AG6="","",AG6*AJ6)</f>
        <v/>
      </c>
      <c r="AL6" s="34">
        <f>IF(OR(AG6="",R6=0),"",MIN(IF(AT6="",9.9E+99,AT6),FLOOR(AK6/R6,1)))</f>
        <v/>
      </c>
      <c r="AM6" s="38">
        <f>IF(AL6="","",AL6*T6)</f>
        <v/>
      </c>
      <c r="AN6" s="36">
        <f>IF(OR(AG6="",R6=0),"",MIN(IF(AT6="",9.9E+99,AT6),AK6/R6))</f>
        <v/>
      </c>
      <c r="AO6" s="38">
        <f>IF(AN6="","",AN6*T6)</f>
        <v/>
      </c>
      <c r="AP6" s="40" t="inlineStr">
        <is>
          <t>rn-db5e83248f9d</t>
        </is>
      </c>
      <c r="AQ6" s="32" t="inlineStr">
        <is>
          <t>Grounded</t>
        </is>
      </c>
      <c r="AR6" s="41" t="n"/>
      <c r="AS6" s="41" t="n"/>
      <c r="AT6" s="42" t="n"/>
      <c r="AU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V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W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X6" s="44" t="n"/>
      <c r="AY6" s="44" t="inlineStr">
        <is>
          <t>SUBSET of rn-db5e83248f9d (do not sum). Lomprayah operates the Pralarn (Mae Nam) terminal with ~4-6 daily fast-cat departures/direction to Thong Sala (lomprayah.com 2026 timetable; ferryadvice.com: Pralarn-&gt;Thong Sala 20 min, THB 300); Lomprayah is the highest-frequency operator on the crossing.</t>
        </is>
      </c>
    </row>
    <row r="7">
      <c r="A7" s="29" t="inlineStr">
        <is>
          <t>Phuket</t>
        </is>
      </c>
      <c r="B7" s="29" t="inlineStr">
        <is>
          <t>Thailand</t>
        </is>
      </c>
      <c r="C7" s="30" t="inlineStr">
        <is>
          <t>Chalong Pier (Ao Chalong) → Chalong Pier (Ao Chalong)</t>
        </is>
      </c>
      <c r="D7" s="31" t="n">
        <v>10</v>
      </c>
      <c r="E7" s="26" t="n">
        <v>35</v>
      </c>
      <c r="F7" s="32" t="inlineStr">
        <is>
          <t>T1</t>
        </is>
      </c>
      <c r="G7" s="32" t="inlineStr">
        <is>
          <t>med</t>
        </is>
      </c>
      <c r="H7" s="19" t="n">
        <v>1</v>
      </c>
      <c r="I7" s="33">
        <f>60*D7/cruise_kt</f>
        <v/>
      </c>
      <c r="J7" s="33">
        <f>I7+turn_min+dwell_min</f>
        <v/>
      </c>
      <c r="K7" s="34">
        <f>MIN(15,FLOOR(60*service_hr/J7,1))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>
        <v>400000</v>
      </c>
      <c r="AH7" s="32" t="n"/>
      <c r="AI7" s="32" t="n"/>
      <c r="AJ7" s="39" t="n">
        <v>0.1</v>
      </c>
      <c r="AK7" s="34">
        <f>IF(AG7="","",AG7*AJ7)</f>
        <v/>
      </c>
      <c r="AL7" s="34">
        <f>IF(OR(AG7="",R7=0),"",MIN(IF(AT7="",9.9E+99,AT7),FLOOR(AK7/R7,1)))</f>
        <v/>
      </c>
      <c r="AM7" s="38">
        <f>IF(AL7="","",AL7*T7)</f>
        <v/>
      </c>
      <c r="AN7" s="36">
        <f>IF(OR(AG7="",R7=0),"",MIN(IF(AT7="",9.9E+99,AT7),AK7/R7))</f>
        <v/>
      </c>
      <c r="AO7" s="38">
        <f>IF(AN7="","",AN7*T7)</f>
        <v/>
      </c>
      <c r="AP7" s="40" t="n"/>
      <c r="AQ7" s="32" t="inlineStr">
        <is>
          <t>Grounded</t>
        </is>
      </c>
      <c r="AR7" s="41" t="n"/>
      <c r="AS7" s="41" t="n"/>
      <c r="AT7" s="42" t="n"/>
      <c r="AU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V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W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X7" s="44" t="inlineStr">
        <is>
          <t>Modal product = shared speedboat Coral Island half/one-day trip ex-Chalong: Love Sea Tour Racha+Coral speedboat 1,200 THB adult (promo 1,050) (loveseatour.com/racha-coral-speed-boat/); JC Tour Coral+snorkel 1,200 THB (jctour-thai.com/coral); Andamarine one-day Racha Yai+Coral 1,250 THB/pax incl. buffet lunch (operator IG, 2026). Premium top of ladder: HYPE join-in day cruise 3,900 THB adult incl. transfer (operator rate sheet via boatingo.com/boats/hype-catamaran/). Anchor = modal speedboat product ~1,250 THB = ~USD 35, NOT the premium cat.</t>
        </is>
      </c>
      <c r="AY7" s="44" t="n"/>
    </row>
    <row r="8">
      <c r="A8" s="29" t="inlineStr">
        <is>
          <t>Koh Samui</t>
        </is>
      </c>
      <c r="B8" s="29" t="inlineStr">
        <is>
          <t>Thailand</t>
        </is>
      </c>
      <c r="C8" s="30" t="inlineStr">
        <is>
          <t>Koh Samui (Bangrak) → Koh Phangan (Thong Sala)</t>
        </is>
      </c>
      <c r="D8" s="31" t="n">
        <v>10.2</v>
      </c>
      <c r="E8" s="26" t="n">
        <v>10</v>
      </c>
      <c r="F8" s="32" t="n"/>
      <c r="G8" s="32" t="inlineStr">
        <is>
          <t>derived_pending_validation</t>
        </is>
      </c>
      <c r="H8" s="19" t="n">
        <v>1</v>
      </c>
      <c r="I8" s="33">
        <f>60*D8/cruise_kt</f>
        <v/>
      </c>
      <c r="J8" s="33">
        <f>I8+turn_min+dwell_min</f>
        <v/>
      </c>
      <c r="K8" s="34">
        <f>MIN(15,FLOOR(60*service_hr/J8,1))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>
        <v>19404</v>
      </c>
      <c r="AH8" s="32" t="n"/>
      <c r="AI8" s="32" t="inlineStr">
        <is>
          <t>derived_pending_validation</t>
        </is>
      </c>
      <c r="AJ8" s="39" t="n">
        <v>0.1</v>
      </c>
      <c r="AK8" s="34">
        <f>IF(AG8="","",AG8*AJ8)</f>
        <v/>
      </c>
      <c r="AL8" s="34">
        <f>IF(OR(AG8="",R8=0),"",MIN(IF(AT8="",9.9E+99,AT8),FLOOR(AK8/R8,1)))</f>
        <v/>
      </c>
      <c r="AM8" s="38">
        <f>IF(AL8="","",AL8*T8)</f>
        <v/>
      </c>
      <c r="AN8" s="36">
        <f>IF(OR(AG8="",R8=0),"",MIN(IF(AT8="",9.9E+99,AT8),AK8/R8))</f>
        <v/>
      </c>
      <c r="AO8" s="38">
        <f>IF(AN8="","",AN8*T8)</f>
        <v/>
      </c>
      <c r="AP8" s="40" t="n"/>
      <c r="AQ8" s="32" t="inlineStr">
        <is>
          <t>Grounded</t>
        </is>
      </c>
      <c r="AR8" s="41" t="n"/>
      <c r="AS8" s="41" t="n"/>
      <c r="AT8" s="42" t="n"/>
      <c r="AU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V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W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X8" s="44" t="inlineStr">
        <is>
          <t>Koh Samui (Bangrak/Maenam) -&gt; Koh Phangan (Thong Sala)</t>
        </is>
      </c>
      <c r="AY8" s="44" t="inlineStr">
        <is>
          <t>Koh Samui (Bangrak/Maenam) -&gt; Koh Phangan (Thong Sala)</t>
        </is>
      </c>
    </row>
    <row r="9">
      <c r="A9" s="29" t="inlineStr">
        <is>
          <t>Phuket</t>
        </is>
      </c>
      <c r="B9" s="29" t="inlineStr">
        <is>
          <t>Thailand</t>
        </is>
      </c>
      <c r="C9" s="30" t="inlineStr">
        <is>
          <t>Ao Po Pier (Ao Po / Ao Por, NE Phuket) → Khao Phing Kan (James Bond Island), Phang Nga Bay</t>
        </is>
      </c>
      <c r="D9" s="31" t="n">
        <v>13.5</v>
      </c>
      <c r="E9" s="26" t="n">
        <v>90</v>
      </c>
      <c r="F9" s="32" t="inlineStr">
        <is>
          <t>T2</t>
        </is>
      </c>
      <c r="G9" s="32" t="inlineStr">
        <is>
          <t>med</t>
        </is>
      </c>
      <c r="H9" s="19" t="n">
        <v>1</v>
      </c>
      <c r="I9" s="33">
        <f>60*D9/cruise_kt</f>
        <v/>
      </c>
      <c r="J9" s="33">
        <f>I9+turn_min+dwell_min</f>
        <v/>
      </c>
      <c r="K9" s="34">
        <f>MIN(15,FLOOR(60*service_hr/J9,1))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20000</v>
      </c>
      <c r="AH9" s="32" t="n"/>
      <c r="AI9" s="32" t="n"/>
      <c r="AJ9" s="39" t="n">
        <v>0.1</v>
      </c>
      <c r="AK9" s="34">
        <f>IF(AG9="","",AG9*AJ9)</f>
        <v/>
      </c>
      <c r="AL9" s="34">
        <f>IF(OR(AG9="",R9=0),"",MIN(IF(AT9="",9.9E+99,AT9),FLOOR(AK9/R9,1)))</f>
        <v/>
      </c>
      <c r="AM9" s="38">
        <f>IF(AL9="","",AL9*T9)</f>
        <v/>
      </c>
      <c r="AN9" s="36">
        <f>IF(OR(AG9="",R9=0),"",MIN(IF(AT9="",9.9E+99,AT9),AK9/R9))</f>
        <v/>
      </c>
      <c r="AO9" s="38">
        <f>IF(AN9="","",AN9*T9)</f>
        <v/>
      </c>
      <c r="AP9" s="40" t="n"/>
      <c r="AQ9" s="32" t="inlineStr">
        <is>
          <t>Grounded</t>
        </is>
      </c>
      <c r="AR9" s="41" t="n"/>
      <c r="AS9" s="41" t="n"/>
      <c r="AT9" s="42" t="n"/>
      <c r="AU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V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W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X9" s="44" t="inlineStr">
        <is>
          <t>John Gray's Hong by Starlight 3,350 THB/pax agent rate (phukettoursdirect.com/hong-by-starlight.html) / USD 108.89 retail (Agoda activities listing); Phuket Sail Tours sunset/day band 2,200-2,800 THB (phuketexpatguide.com operator comparison, 2026); Simba Sea Trips premium small-group products (TripAdvisor-listed, 18-adult cap, award-positioned above mass market). Anchor = conservative mid of the 2,500-3,900 THB premium band ~ USD 90.</t>
        </is>
      </c>
      <c r="AY9" s="44" t="n"/>
    </row>
    <row r="10">
      <c r="A10" s="29" t="inlineStr">
        <is>
          <t>Koh Samui</t>
        </is>
      </c>
      <c r="B10" s="29" t="inlineStr">
        <is>
          <t>Thailand</t>
        </is>
      </c>
      <c r="C10" s="30" t="inlineStr">
        <is>
          <t>Koh Samui (Lipa Noi) → Donsak (Raja Ferry pier)</t>
        </is>
      </c>
      <c r="D10" s="31" t="n">
        <v>14.3</v>
      </c>
      <c r="E10" s="26" t="n">
        <v>15.2</v>
      </c>
      <c r="F10" s="32" t="n"/>
      <c r="G10" s="32" t="inlineStr">
        <is>
          <t>T3</t>
        </is>
      </c>
      <c r="H10" s="19" t="n">
        <v>1</v>
      </c>
      <c r="I10" s="33">
        <f>60*D10/cruise_kt</f>
        <v/>
      </c>
      <c r="J10" s="33">
        <f>I10+turn_min+dwell_min</f>
        <v/>
      </c>
      <c r="K10" s="34">
        <f>MIN(24,FLOOR(60*service_hr/J10,1))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>
        <v>666667</v>
      </c>
      <c r="AH10" s="32" t="inlineStr">
        <is>
          <t>T2</t>
        </is>
      </c>
      <c r="AI10" s="32" t="inlineStr">
        <is>
          <t>med-low</t>
        </is>
      </c>
      <c r="AJ10" s="39" t="n">
        <v>0.1</v>
      </c>
      <c r="AK10" s="34">
        <f>IF(AG10="","",AG10*AJ10)</f>
        <v/>
      </c>
      <c r="AL10" s="34">
        <f>IF(OR(AG10="",R10=0),"",MIN(IF(AT10="",9.9E+99,AT10),FLOOR(AK10/R10,1)))</f>
        <v/>
      </c>
      <c r="AM10" s="38">
        <f>IF(AL10="","",AL10*T10)</f>
        <v/>
      </c>
      <c r="AN10" s="36">
        <f>IF(OR(AG10="",R10=0),"",MIN(IF(AT10="",9.9E+99,AT10),AK10/R10))</f>
        <v/>
      </c>
      <c r="AO10" s="38">
        <f>IF(AN10="","",AN10*T10)</f>
        <v/>
      </c>
      <c r="AP10" s="40" t="n"/>
      <c r="AQ10" s="32" t="inlineStr">
        <is>
          <t>Grounded</t>
        </is>
      </c>
      <c r="AR10" s="41" t="n"/>
      <c r="AS10" s="41" t="n"/>
      <c r="AT10" s="42" t="n"/>
      <c r="AU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V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W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X10" s="44" t="n"/>
      <c r="AY10" s="44" t="inlineStr">
        <is>
          <t>SUBSET of rn-347c44e1d360 (do not sum). Raja Ferry Port (SET-listed, RP) company disclosure: ~1.2M passengers + ~600k vehicles carried in 2017 (+20% over 2016) across Donsak-Lipa Noi (Samui) and Donsak-Phangan routes; ~14 ferries, up to 50 trips/day (RP business plan via Koh Samui News/Samui Times; CreditRiskMonitor profile). RP FY2024 (2567) one-report exists but is a scanned PDF; per-route pax not machine-readable.</t>
        </is>
      </c>
    </row>
    <row r="11">
      <c r="A11" s="29" t="inlineStr">
        <is>
          <t>Koh Samui</t>
        </is>
      </c>
      <c r="B11" s="29" t="inlineStr">
        <is>
          <t>Thailand</t>
        </is>
      </c>
      <c r="C11" s="30" t="inlineStr">
        <is>
          <t>Four Seasons Koh Samui (Laem Yai) → Ang Thong Marine Park (Wua Talap)</t>
        </is>
      </c>
      <c r="D11" s="31" t="n">
        <v>15.3</v>
      </c>
      <c r="E11" s="26" t="n">
        <v>79</v>
      </c>
      <c r="F11" s="32" t="n"/>
      <c r="G11" s="32" t="inlineStr">
        <is>
          <t>T3</t>
        </is>
      </c>
      <c r="H11" s="19" t="n">
        <v>1</v>
      </c>
      <c r="I11" s="33">
        <f>60*D11/cruise_kt</f>
        <v/>
      </c>
      <c r="J11" s="33">
        <f>I11+turn_min+dwell_min</f>
        <v/>
      </c>
      <c r="K11" s="34">
        <f>MIN(15,FLOOR(60*service_hr/J11,1))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>
        <v>300000</v>
      </c>
      <c r="AH11" s="32" t="inlineStr">
        <is>
          <t>T2</t>
        </is>
      </c>
      <c r="AI11" s="32" t="inlineStr">
        <is>
          <t>med-low</t>
        </is>
      </c>
      <c r="AJ11" s="39" t="n">
        <v>0.9</v>
      </c>
      <c r="AK11" s="34">
        <f>IF(AG11="","",AG11*AJ11)</f>
        <v/>
      </c>
      <c r="AL11" s="34">
        <f>IF(OR(AG11="",R11=0),"",MIN(IF(AT11="",9.9E+99,AT11),FLOOR(AK11/R11,1)))</f>
        <v/>
      </c>
      <c r="AM11" s="38">
        <f>IF(AL11="","",AL11*T11)</f>
        <v/>
      </c>
      <c r="AN11" s="36">
        <f>IF(OR(AG11="",R11=0),"",MIN(IF(AT11="",9.9E+99,AT11),AK11/R11))</f>
        <v/>
      </c>
      <c r="AO11" s="38">
        <f>IF(AN11="","",AN11*T11)</f>
        <v/>
      </c>
      <c r="AP11" s="40" t="n"/>
      <c r="AQ11" s="32" t="inlineStr">
        <is>
          <t>Grounded</t>
        </is>
      </c>
      <c r="AR11" s="41" t="n"/>
      <c r="AS11" s="41" t="n"/>
      <c r="AT11" s="42" t="n">
        <v>3</v>
      </c>
      <c r="AU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V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W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X11" s="44" t="n"/>
      <c r="AY11" s="44" t="inlineStr">
        <is>
          <t>Mu Ko Ang Thong National Marine Park: ~160,000 park visitors/yr, ~85% foreign, &gt;THB 40M annual fee revenue (Thai PBS citing park authority, ~2024; DNP visitor-stats system catalog.dnp.go.th is the underlying register - R3-GOLD park-authority class). Park is boat-only and closed annually 1 Nov-15 Dec. Licensed speedboat day tours depart Samui (and Phangan) daily in season.</t>
        </is>
      </c>
    </row>
    <row r="12">
      <c r="A12" s="29" t="inlineStr">
        <is>
          <t>Koh Samui</t>
        </is>
      </c>
      <c r="B12" s="29" t="inlineStr">
        <is>
          <t>Thailand</t>
        </is>
      </c>
      <c r="C12" s="30" t="inlineStr">
        <is>
          <t>Koh Samui (Nathon) → Donsak (Seatran harbour)</t>
        </is>
      </c>
      <c r="D12" s="31" t="n">
        <v>17.9</v>
      </c>
      <c r="E12" s="26" t="n">
        <v>15.2</v>
      </c>
      <c r="F12" s="32" t="n"/>
      <c r="G12" s="32" t="inlineStr">
        <is>
          <t>T3</t>
        </is>
      </c>
      <c r="H12" s="19" t="n">
        <v>1</v>
      </c>
      <c r="I12" s="33">
        <f>60*D12/cruise_kt</f>
        <v/>
      </c>
      <c r="J12" s="33">
        <f>I12+turn_min+dwell_min</f>
        <v/>
      </c>
      <c r="K12" s="34">
        <f>MIN(24,FLOOR(60*service_hr/J12,1))</f>
        <v/>
      </c>
      <c r="L12" s="34">
        <f>ROUND(365*mech_uptime*H12,0)</f>
        <v/>
      </c>
      <c r="M12" s="35">
        <f>mech_uptime</f>
        <v/>
      </c>
      <c r="N12" s="35">
        <f>revleg_sel</f>
        <v/>
      </c>
      <c r="O12" s="34">
        <f>ROUND(K12*L12*revleg_sel,0)</f>
        <v/>
      </c>
      <c r="P12" s="36">
        <f>load_sel</f>
        <v/>
      </c>
      <c r="Q12" s="36">
        <f>pax_cap*P12</f>
        <v/>
      </c>
      <c r="R12" s="34">
        <f>Q12*O12</f>
        <v/>
      </c>
      <c r="S12" s="37">
        <f>E12*discount</f>
        <v/>
      </c>
      <c r="T12" s="38">
        <f>S12*R12</f>
        <v/>
      </c>
      <c r="U12" s="38">
        <f>(battery/range_nm)*D12*O12*VLOOKUP(B12,country_opex,3,FALSE)</f>
        <v/>
      </c>
      <c r="V12" s="38">
        <f>VLOOKUP(B12,country_opex,2,FALSE)*crew_factor</f>
        <v/>
      </c>
      <c r="W12" s="38">
        <f>VLOOKUP(B12,country_opex,5,FALSE)</f>
        <v/>
      </c>
      <c r="X12" s="38">
        <f>maint</f>
        <v/>
      </c>
      <c r="Y12" s="38">
        <f>VLOOKUP(B12,country_opex,7,FALSE)*ins_pct</f>
        <v/>
      </c>
      <c r="Z12" s="38">
        <f>charge_berth</f>
        <v/>
      </c>
      <c r="AA12" s="38">
        <f>U12+V12+W12+X12+Y12+Z12</f>
        <v/>
      </c>
      <c r="AB12" s="38">
        <f>VLOOKUP(B12,country_opex,7,FALSE)/dep_years</f>
        <v/>
      </c>
      <c r="AC12" s="38">
        <f>T12-AA12</f>
        <v/>
      </c>
      <c r="AD12" s="35">
        <f>IF(T12=0,"",AC12/T12)</f>
        <v/>
      </c>
      <c r="AE12" s="36">
        <f>IF(AC12&lt;=0,"",VLOOKUP(B12,country_opex,7,FALSE)/AC12)</f>
        <v/>
      </c>
      <c r="AF12" s="33">
        <f>((D12*O12/diesel_nmpg)*diesel_co2pg-(battery/range_nm)*D12*O12*VLOOKUP(B12,country_opex,4,FALSE))/1000</f>
        <v/>
      </c>
      <c r="AG12" s="31" t="n">
        <v>666667</v>
      </c>
      <c r="AH12" s="32" t="inlineStr">
        <is>
          <t>T5</t>
        </is>
      </c>
      <c r="AI12" s="32" t="inlineStr">
        <is>
          <t>low-med</t>
        </is>
      </c>
      <c r="AJ12" s="39" t="n">
        <v>0.1</v>
      </c>
      <c r="AK12" s="34">
        <f>IF(AG12="","",AG12*AJ12)</f>
        <v/>
      </c>
      <c r="AL12" s="34">
        <f>IF(OR(AG12="",R12=0),"",MIN(IF(AT12="",9.9E+99,AT12),FLOOR(AK12/R12,1)))</f>
        <v/>
      </c>
      <c r="AM12" s="38">
        <f>IF(AL12="","",AL12*T12)</f>
        <v/>
      </c>
      <c r="AN12" s="36">
        <f>IF(OR(AG12="",R12=0),"",MIN(IF(AT12="",9.9E+99,AT12),AK12/R12))</f>
        <v/>
      </c>
      <c r="AO12" s="38">
        <f>IF(AN12="","",AN12*T12)</f>
        <v/>
      </c>
      <c r="AP12" s="40" t="n"/>
      <c r="AQ12" s="32" t="inlineStr">
        <is>
          <t>Grounded</t>
        </is>
      </c>
      <c r="AR12" s="41" t="n"/>
      <c r="AS12" s="41" t="n"/>
      <c r="AT12" s="42" t="n"/>
      <c r="AU12" s="43">
        <f>IF(((S12*pax_cap*load_thin*ROUND(K12*L12*revleg_thin,0))-(((battery/range_nm)*D12*ROUND(K12*L12*revleg_thin,0)*VLOOKUP(B12,country_opex,3,FALSE))+V12+W12+X12+Y12+Z12))&lt;=0,"",VLOOKUP(B12,country_opex,7,FALSE)/((S12*pax_cap*load_thin*ROUND(K12*L12*revleg_thin,0))-(((battery/range_nm)*D12*ROUND(K12*L12*revleg_thin,0)*VLOOKUP(B12,country_opex,3,FALSE))+V12+W12+X12+Y12+Z12)))</f>
        <v/>
      </c>
      <c r="AV12" s="43">
        <f>IF(((S12*pax_cap*load_mid*ROUND(K12*L12*revleg_mid,0))-(((battery/range_nm)*D12*ROUND(K12*L12*revleg_mid,0)*VLOOKUP(B12,country_opex,3,FALSE))+V12+W12+X12+Y12+Z12))&lt;=0,"",VLOOKUP(B12,country_opex,7,FALSE)/((S12*pax_cap*load_mid*ROUND(K12*L12*revleg_mid,0))-(((battery/range_nm)*D12*ROUND(K12*L12*revleg_mid,0)*VLOOKUP(B12,country_opex,3,FALSE))+V12+W12+X12+Y12+Z12)))</f>
        <v/>
      </c>
      <c r="AW12" s="43">
        <f>IF(((S12*pax_cap*load_full*ROUND(K12*L12*revleg_full,0))-(((battery/range_nm)*D12*ROUND(K12*L12*revleg_full,0)*VLOOKUP(B12,country_opex,3,FALSE))+V12+W12+X12+Y12+Z12))&lt;=0,"",VLOOKUP(B12,country_opex,7,FALSE)/((S12*pax_cap*load_full*ROUND(K12*L12*revleg_full,0))-(((battery/range_nm)*D12*ROUND(K12*L12*revleg_full,0)*VLOOKUP(B12,country_opex,3,FALSE))+V12+W12+X12+Y12+Z12)))</f>
        <v/>
      </c>
      <c r="AX12" s="44" t="n"/>
      <c r="AY12" s="44" t="inlineStr">
        <is>
          <t>SUBSET of rn-347c44e1d360 (do not sum). Seatran Ferry: 6 vessels, ~hourly departures 05:00-19:00 each way, 13-16 kt, ~1.5h crossing, ~450-pax + ~70-car capacity per vessel (Tripadvisor operator page; thailandboattickets.com; C9 Hotelworks cited in city brief). No published Seatran annual ridership found.</t>
        </is>
      </c>
    </row>
    <row r="13">
      <c r="A13" s="29" t="inlineStr">
        <is>
          <t>Phuket</t>
        </is>
      </c>
      <c r="B13" s="29" t="inlineStr">
        <is>
          <t>Thailand</t>
        </is>
      </c>
      <c r="C13" s="30" t="inlineStr">
        <is>
          <t>Phuket (Royal Phuket Marina) → Phang Nga Bay / James Bond Island</t>
        </is>
      </c>
      <c r="D13" s="31" t="n">
        <v>20</v>
      </c>
      <c r="E13" s="26" t="n">
        <v>72</v>
      </c>
      <c r="F13" s="32" t="inlineStr">
        <is>
          <t>T3</t>
        </is>
      </c>
      <c r="G13" s="32" t="inlineStr">
        <is>
          <t>med</t>
        </is>
      </c>
      <c r="H13" s="19" t="n">
        <v>1</v>
      </c>
      <c r="I13" s="33">
        <f>60*D13/cruise_kt</f>
        <v/>
      </c>
      <c r="J13" s="33">
        <f>I13+turn_min+dwell_min</f>
        <v/>
      </c>
      <c r="K13" s="34">
        <f>MIN(15,FLOOR(60*service_hr/J13,1))</f>
        <v/>
      </c>
      <c r="L13" s="34">
        <f>ROUND(365*mech_uptime*H13,0)</f>
        <v/>
      </c>
      <c r="M13" s="35">
        <f>mech_uptime</f>
        <v/>
      </c>
      <c r="N13" s="35">
        <f>revleg_sel</f>
        <v/>
      </c>
      <c r="O13" s="34">
        <f>ROUND(K13*L13*revleg_sel,0)</f>
        <v/>
      </c>
      <c r="P13" s="36">
        <f>load_sel</f>
        <v/>
      </c>
      <c r="Q13" s="36">
        <f>pax_cap*P13</f>
        <v/>
      </c>
      <c r="R13" s="34">
        <f>Q13*O13</f>
        <v/>
      </c>
      <c r="S13" s="37">
        <f>E13*discount</f>
        <v/>
      </c>
      <c r="T13" s="38">
        <f>S13*R13</f>
        <v/>
      </c>
      <c r="U13" s="38">
        <f>(battery/range_nm)*D13*O13*VLOOKUP(B13,country_opex,3,FALSE)</f>
        <v/>
      </c>
      <c r="V13" s="38">
        <f>VLOOKUP(B13,country_opex,2,FALSE)*crew_factor</f>
        <v/>
      </c>
      <c r="W13" s="38">
        <f>VLOOKUP(B13,country_opex,5,FALSE)</f>
        <v/>
      </c>
      <c r="X13" s="38">
        <f>maint</f>
        <v/>
      </c>
      <c r="Y13" s="38">
        <f>VLOOKUP(B13,country_opex,7,FALSE)*ins_pct</f>
        <v/>
      </c>
      <c r="Z13" s="38">
        <f>charge_berth</f>
        <v/>
      </c>
      <c r="AA13" s="38">
        <f>U13+V13+W13+X13+Y13+Z13</f>
        <v/>
      </c>
      <c r="AB13" s="38">
        <f>VLOOKUP(B13,country_opex,7,FALSE)/dep_years</f>
        <v/>
      </c>
      <c r="AC13" s="38">
        <f>T13-AA13</f>
        <v/>
      </c>
      <c r="AD13" s="35">
        <f>IF(T13=0,"",AC13/T13)</f>
        <v/>
      </c>
      <c r="AE13" s="36">
        <f>IF(AC13&lt;=0,"",VLOOKUP(B13,country_opex,7,FALSE)/AC13)</f>
        <v/>
      </c>
      <c r="AF13" s="33">
        <f>((D13*O13/diesel_nmpg)*diesel_co2pg-(battery/range_nm)*D13*O13*VLOOKUP(B13,country_opex,4,FALSE))/1000</f>
        <v/>
      </c>
      <c r="AG13" s="31" t="n">
        <v>580000</v>
      </c>
      <c r="AH13" s="32" t="inlineStr">
        <is>
          <t>T2</t>
        </is>
      </c>
      <c r="AI13" s="32" t="inlineStr">
        <is>
          <t>med</t>
        </is>
      </c>
      <c r="AJ13" s="39" t="n">
        <v>0.1</v>
      </c>
      <c r="AK13" s="34">
        <f>IF(AG13="","",AG13*AJ13)</f>
        <v/>
      </c>
      <c r="AL13" s="34">
        <f>IF(OR(AG13="",R13=0),"",MIN(IF(AT13="",9.9E+99,AT13),FLOOR(AK13/R13,1)))</f>
        <v/>
      </c>
      <c r="AM13" s="38">
        <f>IF(AL13="","",AL13*T13)</f>
        <v/>
      </c>
      <c r="AN13" s="36">
        <f>IF(OR(AG13="",R13=0),"",MIN(IF(AT13="",9.9E+99,AT13),AK13/R13))</f>
        <v/>
      </c>
      <c r="AO13" s="38">
        <f>IF(AN13="","",AN13*T13)</f>
        <v/>
      </c>
      <c r="AP13" s="40" t="n"/>
      <c r="AQ13" s="32" t="inlineStr">
        <is>
          <t>Grounded</t>
        </is>
      </c>
      <c r="AR13" s="41" t="n"/>
      <c r="AS13" s="41" t="n"/>
      <c r="AT13" s="42" t="n"/>
      <c r="AU13" s="43">
        <f>IF(((S13*pax_cap*load_thin*ROUND(K13*L13*revleg_thin,0))-(((battery/range_nm)*D13*ROUND(K13*L13*revleg_thin,0)*VLOOKUP(B13,country_opex,3,FALSE))+V13+W13+X13+Y13+Z13))&lt;=0,"",VLOOKUP(B13,country_opex,7,FALSE)/((S13*pax_cap*load_thin*ROUND(K13*L13*revleg_thin,0))-(((battery/range_nm)*D13*ROUND(K13*L13*revleg_thin,0)*VLOOKUP(B13,country_opex,3,FALSE))+V13+W13+X13+Y13+Z13)))</f>
        <v/>
      </c>
      <c r="AV13" s="43">
        <f>IF(((S13*pax_cap*load_mid*ROUND(K13*L13*revleg_mid,0))-(((battery/range_nm)*D13*ROUND(K13*L13*revleg_mid,0)*VLOOKUP(B13,country_opex,3,FALSE))+V13+W13+X13+Y13+Z13))&lt;=0,"",VLOOKUP(B13,country_opex,7,FALSE)/((S13*pax_cap*load_mid*ROUND(K13*L13*revleg_mid,0))-(((battery/range_nm)*D13*ROUND(K13*L13*revleg_mid,0)*VLOOKUP(B13,country_opex,3,FALSE))+V13+W13+X13+Y13+Z13)))</f>
        <v/>
      </c>
      <c r="AW13" s="43">
        <f>IF(((S13*pax_cap*load_full*ROUND(K13*L13*revleg_full,0))-(((battery/range_nm)*D13*ROUND(K13*L13*revleg_full,0)*VLOOKUP(B13,country_opex,3,FALSE))+V13+W13+X13+Y13+Z13))&lt;=0,"",VLOOKUP(B13,country_opex,7,FALSE)/((S13*pax_cap*load_full*ROUND(K13*L13*revleg_full,0))-(((battery/range_nm)*D13*ROUND(K13*L13*revleg_full,0)*VLOOKUP(B13,country_opex,3,FALSE))+V13+W13+X13+Y13+Z13)))</f>
        <v/>
      </c>
      <c r="AX13" s="44" t="inlineStr">
        <is>
          <t>Phuket-&gt;Phang Nga Bay/James Bond Island speedboat day-tour ladder (THB/USD 36): budget longtail ~1,400 THB ($39, phukettoursdirect); standard shared speedboat ~2,500 THB ($69); PREMIUM shared speedboat ~2,600-3,700 THB ($72-103, phiphitours/mythailandtours '$55 low-season' to ~3,700 quoted); private charter speedboat ~29,000-40,900 THB/boat/day (yacht-rental-phuket, phuketdreamcompany) = whole-boat, excluded as overclaim. Premium per-seat anchored ~2,600 THB net of 400 THB park fee = $72.</t>
        </is>
      </c>
      <c r="AY13" s="44" t="inlineStr">
        <is>
          <t>Ao Phang Nga National Park visitors FY2567 (Oct-2023..Sep-2024) = 530,204 (DNP top-10 ranking, #7 by visitors; reported by Prachachat, https://www.prachachat.net/hilight-prachachat/news-1796245, Apr-2025). Park is reachable ONLY by tour boat/longtail/speedboat (no road/air to Khao Phing Kan/Ko Tapu) -&gt; R3-EXCEPTION holds: park arrivals = crossing ridership. DNP also runs e-ticketing at this park (one of 6 pilot parks). Pre-covid FY2019 was ~1M+ (payload note), so FY2024 is the conservative post-covid actual.</t>
        </is>
      </c>
    </row>
    <row r="14">
      <c r="A14" s="29" t="inlineStr">
        <is>
          <t>Phuket</t>
        </is>
      </c>
      <c r="B14" s="29" t="inlineStr">
        <is>
          <t>Thailand</t>
        </is>
      </c>
      <c r="C14" s="30" t="inlineStr">
        <is>
          <t>Phuket → Phi Phi (Tonsai)</t>
        </is>
      </c>
      <c r="D14" s="31" t="n">
        <v>25</v>
      </c>
      <c r="E14" s="26" t="n">
        <v>17.14</v>
      </c>
      <c r="F14" s="32" t="n"/>
      <c r="G14" s="32" t="inlineStr">
        <is>
          <t>derived_pending_validation</t>
        </is>
      </c>
      <c r="H14" s="19" t="n">
        <v>1</v>
      </c>
      <c r="I14" s="33">
        <f>60*D14/cruise_kt</f>
        <v/>
      </c>
      <c r="J14" s="33">
        <f>I14+turn_min+dwell_min</f>
        <v/>
      </c>
      <c r="K14" s="34">
        <f>MIN(15,FLOOR(60*service_hr/J14,1))</f>
        <v/>
      </c>
      <c r="L14" s="34">
        <f>ROUND(365*mech_uptime*H14,0)</f>
        <v/>
      </c>
      <c r="M14" s="35">
        <f>mech_uptime</f>
        <v/>
      </c>
      <c r="N14" s="35">
        <f>revleg_sel</f>
        <v/>
      </c>
      <c r="O14" s="34">
        <f>ROUND(K14*L14*revleg_sel,0)</f>
        <v/>
      </c>
      <c r="P14" s="36">
        <f>load_sel</f>
        <v/>
      </c>
      <c r="Q14" s="36">
        <f>pax_cap*P14</f>
        <v/>
      </c>
      <c r="R14" s="34">
        <f>Q14*O14</f>
        <v/>
      </c>
      <c r="S14" s="37">
        <f>E14*discount</f>
        <v/>
      </c>
      <c r="T14" s="38">
        <f>S14*R14</f>
        <v/>
      </c>
      <c r="U14" s="38">
        <f>(battery/range_nm)*D14*O14*VLOOKUP(B14,country_opex,3,FALSE)</f>
        <v/>
      </c>
      <c r="V14" s="38">
        <f>VLOOKUP(B14,country_opex,2,FALSE)*crew_factor</f>
        <v/>
      </c>
      <c r="W14" s="38">
        <f>VLOOKUP(B14,country_opex,5,FALSE)</f>
        <v/>
      </c>
      <c r="X14" s="38">
        <f>maint</f>
        <v/>
      </c>
      <c r="Y14" s="38">
        <f>VLOOKUP(B14,country_opex,7,FALSE)*ins_pct</f>
        <v/>
      </c>
      <c r="Z14" s="38">
        <f>charge_berth</f>
        <v/>
      </c>
      <c r="AA14" s="38">
        <f>U14+V14+W14+X14+Y14+Z14</f>
        <v/>
      </c>
      <c r="AB14" s="38">
        <f>VLOOKUP(B14,country_opex,7,FALSE)/dep_years</f>
        <v/>
      </c>
      <c r="AC14" s="38">
        <f>T14-AA14</f>
        <v/>
      </c>
      <c r="AD14" s="35">
        <f>IF(T14=0,"",AC14/T14)</f>
        <v/>
      </c>
      <c r="AE14" s="36">
        <f>IF(AC14&lt;=0,"",VLOOKUP(B14,country_opex,7,FALSE)/AC14)</f>
        <v/>
      </c>
      <c r="AF14" s="33">
        <f>((D14*O14/diesel_nmpg)*diesel_co2pg-(battery/range_nm)*D14*O14*VLOOKUP(B14,country_opex,4,FALSE))/1000</f>
        <v/>
      </c>
      <c r="AG14" s="31" t="n">
        <v>98124</v>
      </c>
      <c r="AH14" s="32" t="n"/>
      <c r="AI14" s="32" t="inlineStr">
        <is>
          <t>derived_pending_validation</t>
        </is>
      </c>
      <c r="AJ14" s="39" t="n">
        <v>0.1</v>
      </c>
      <c r="AK14" s="34">
        <f>IF(AG14="","",AG14*AJ14)</f>
        <v/>
      </c>
      <c r="AL14" s="34">
        <f>IF(OR(AG14="",R14=0),"",MIN(IF(AT14="",9.9E+99,AT14),FLOOR(AK14/R14,1)))</f>
        <v/>
      </c>
      <c r="AM14" s="38">
        <f>IF(AL14="","",AL14*T14)</f>
        <v/>
      </c>
      <c r="AN14" s="36">
        <f>IF(OR(AG14="",R14=0),"",MIN(IF(AT14="",9.9E+99,AT14),AK14/R14))</f>
        <v/>
      </c>
      <c r="AO14" s="38">
        <f>IF(AN14="","",AN14*T14)</f>
        <v/>
      </c>
      <c r="AP14" s="40" t="n"/>
      <c r="AQ14" s="32" t="inlineStr">
        <is>
          <t>Grounded</t>
        </is>
      </c>
      <c r="AR14" s="41" t="n"/>
      <c r="AS14" s="41" t="n"/>
      <c r="AT14" s="42" t="n"/>
      <c r="AU14" s="43">
        <f>IF(((S14*pax_cap*load_thin*ROUND(K14*L14*revleg_thin,0))-(((battery/range_nm)*D14*ROUND(K14*L14*revleg_thin,0)*VLOOKUP(B14,country_opex,3,FALSE))+V14+W14+X14+Y14+Z14))&lt;=0,"",VLOOKUP(B14,country_opex,7,FALSE)/((S14*pax_cap*load_thin*ROUND(K14*L14*revleg_thin,0))-(((battery/range_nm)*D14*ROUND(K14*L14*revleg_thin,0)*VLOOKUP(B14,country_opex,3,FALSE))+V14+W14+X14+Y14+Z14)))</f>
        <v/>
      </c>
      <c r="AV14" s="43">
        <f>IF(((S14*pax_cap*load_mid*ROUND(K14*L14*revleg_mid,0))-(((battery/range_nm)*D14*ROUND(K14*L14*revleg_mid,0)*VLOOKUP(B14,country_opex,3,FALSE))+V14+W14+X14+Y14+Z14))&lt;=0,"",VLOOKUP(B14,country_opex,7,FALSE)/((S14*pax_cap*load_mid*ROUND(K14*L14*revleg_mid,0))-(((battery/range_nm)*D14*ROUND(K14*L14*revleg_mid,0)*VLOOKUP(B14,country_opex,3,FALSE))+V14+W14+X14+Y14+Z14)))</f>
        <v/>
      </c>
      <c r="AW14" s="43">
        <f>IF(((S14*pax_cap*load_full*ROUND(K14*L14*revleg_full,0))-(((battery/range_nm)*D14*ROUND(K14*L14*revleg_full,0)*VLOOKUP(B14,country_opex,3,FALSE))+V14+W14+X14+Y14+Z14))&lt;=0,"",VLOOKUP(B14,country_opex,7,FALSE)/((S14*pax_cap*load_full*ROUND(K14*L14*revleg_full,0))-(((battery/range_nm)*D14*ROUND(K14*L14*revleg_full,0)*VLOOKUP(B14,country_opex,3,FALSE))+V14+W14+X14+Y14+Z14)))</f>
        <v/>
      </c>
      <c r="AX14" s="44" t="inlineStr">
        <is>
          <t>Phuket (Rassada Pier) -&gt; Koh Phi Phi (Tonsai)</t>
        </is>
      </c>
      <c r="AY14" s="44" t="inlineStr">
        <is>
          <t>Phuket (Rassada Pier) -&gt; Koh Phi Phi (Tonsai)</t>
        </is>
      </c>
    </row>
    <row r="15">
      <c r="A15" s="29" t="inlineStr">
        <is>
          <t>Koh Samui</t>
        </is>
      </c>
      <c r="B15" s="29" t="inlineStr">
        <is>
          <t>Thailand</t>
        </is>
      </c>
      <c r="C15" s="30" t="inlineStr">
        <is>
          <t>Koh Samui (Bangrak) → Don Sak Ferry Harbour</t>
        </is>
      </c>
      <c r="D15" s="31" t="n">
        <v>28.1</v>
      </c>
      <c r="E15" s="26" t="n">
        <v>15.2</v>
      </c>
      <c r="F15" s="32" t="n"/>
      <c r="G15" s="32" t="inlineStr">
        <is>
          <t>T3</t>
        </is>
      </c>
      <c r="H15" s="19" t="n">
        <v>1</v>
      </c>
      <c r="I15" s="33">
        <f>60*D15/cruise_kt</f>
        <v/>
      </c>
      <c r="J15" s="33">
        <f>I15+turn_min+dwell_min</f>
        <v/>
      </c>
      <c r="K15" s="34">
        <f>MIN(24,FLOOR(60*service_hr/J15,1))</f>
        <v/>
      </c>
      <c r="L15" s="34">
        <f>ROUND(365*mech_uptime*H15,0)</f>
        <v/>
      </c>
      <c r="M15" s="35">
        <f>mech_uptime</f>
        <v/>
      </c>
      <c r="N15" s="35">
        <f>revleg_sel</f>
        <v/>
      </c>
      <c r="O15" s="34">
        <f>ROUND(K15*L15*revleg_sel,0)</f>
        <v/>
      </c>
      <c r="P15" s="36">
        <f>load_sel</f>
        <v/>
      </c>
      <c r="Q15" s="36">
        <f>pax_cap*P15</f>
        <v/>
      </c>
      <c r="R15" s="34">
        <f>Q15*O15</f>
        <v/>
      </c>
      <c r="S15" s="37">
        <f>E15*discount</f>
        <v/>
      </c>
      <c r="T15" s="38">
        <f>S15*R15</f>
        <v/>
      </c>
      <c r="U15" s="38">
        <f>(battery/range_nm)*D15*O15*VLOOKUP(B15,country_opex,3,FALSE)</f>
        <v/>
      </c>
      <c r="V15" s="38">
        <f>VLOOKUP(B15,country_opex,2,FALSE)*crew_factor</f>
        <v/>
      </c>
      <c r="W15" s="38">
        <f>VLOOKUP(B15,country_opex,5,FALSE)</f>
        <v/>
      </c>
      <c r="X15" s="38">
        <f>maint</f>
        <v/>
      </c>
      <c r="Y15" s="38">
        <f>VLOOKUP(B15,country_opex,7,FALSE)*ins_pct</f>
        <v/>
      </c>
      <c r="Z15" s="38">
        <f>charge_berth</f>
        <v/>
      </c>
      <c r="AA15" s="38">
        <f>U15+V15+W15+X15+Y15+Z15</f>
        <v/>
      </c>
      <c r="AB15" s="38">
        <f>VLOOKUP(B15,country_opex,7,FALSE)/dep_years</f>
        <v/>
      </c>
      <c r="AC15" s="38">
        <f>T15-AA15</f>
        <v/>
      </c>
      <c r="AD15" s="35">
        <f>IF(T15=0,"",AC15/T15)</f>
        <v/>
      </c>
      <c r="AE15" s="36">
        <f>IF(AC15&lt;=0,"",VLOOKUP(B15,country_opex,7,FALSE)/AC15)</f>
        <v/>
      </c>
      <c r="AF15" s="33">
        <f>((D15*O15/diesel_nmpg)*diesel_co2pg-(battery/range_nm)*D15*O15*VLOOKUP(B15,country_opex,4,FALSE))/1000</f>
        <v/>
      </c>
      <c r="AG15" s="31" t="n">
        <v>666667</v>
      </c>
      <c r="AH15" s="32" t="inlineStr">
        <is>
          <t>T4</t>
        </is>
      </c>
      <c r="AI15" s="32" t="inlineStr">
        <is>
          <t>med-low</t>
        </is>
      </c>
      <c r="AJ15" s="39" t="n">
        <v>0.1</v>
      </c>
      <c r="AK15" s="34">
        <f>IF(AG15="","",AG15*AJ15)</f>
        <v/>
      </c>
      <c r="AL15" s="34">
        <f>IF(OR(AG15="",R15=0),"",MIN(IF(AT15="",9.9E+99,AT15),FLOOR(AK15/R15,1)))</f>
        <v/>
      </c>
      <c r="AM15" s="38">
        <f>IF(AL15="","",AL15*T15)</f>
        <v/>
      </c>
      <c r="AN15" s="36">
        <f>IF(OR(AG15="",R15=0),"",MIN(IF(AT15="",9.9E+99,AT15),AK15/R15))</f>
        <v/>
      </c>
      <c r="AO15" s="38">
        <f>IF(AN15="","",AN15*T15)</f>
        <v/>
      </c>
      <c r="AP15" s="40" t="n"/>
      <c r="AQ15" s="32" t="inlineStr">
        <is>
          <t>Grounded</t>
        </is>
      </c>
      <c r="AR15" s="41" t="n"/>
      <c r="AS15" s="41" t="n"/>
      <c r="AT15" s="42" t="n"/>
      <c r="AU15" s="43">
        <f>IF(((S15*pax_cap*load_thin*ROUND(K15*L15*revleg_thin,0))-(((battery/range_nm)*D15*ROUND(K15*L15*revleg_thin,0)*VLOOKUP(B15,country_opex,3,FALSE))+V15+W15+X15+Y15+Z15))&lt;=0,"",VLOOKUP(B15,country_opex,7,FALSE)/((S15*pax_cap*load_thin*ROUND(K15*L15*revleg_thin,0))-(((battery/range_nm)*D15*ROUND(K15*L15*revleg_thin,0)*VLOOKUP(B15,country_opex,3,FALSE))+V15+W15+X15+Y15+Z15)))</f>
        <v/>
      </c>
      <c r="AV15" s="43">
        <f>IF(((S15*pax_cap*load_mid*ROUND(K15*L15*revleg_mid,0))-(((battery/range_nm)*D15*ROUND(K15*L15*revleg_mid,0)*VLOOKUP(B15,country_opex,3,FALSE))+V15+W15+X15+Y15+Z15))&lt;=0,"",VLOOKUP(B15,country_opex,7,FALSE)/((S15*pax_cap*load_mid*ROUND(K15*L15*revleg_mid,0))-(((battery/range_nm)*D15*ROUND(K15*L15*revleg_mid,0)*VLOOKUP(B15,country_opex,3,FALSE))+V15+W15+X15+Y15+Z15)))</f>
        <v/>
      </c>
      <c r="AW15" s="43">
        <f>IF(((S15*pax_cap*load_full*ROUND(K15*L15*revleg_full,0))-(((battery/range_nm)*D15*ROUND(K15*L15*revleg_full,0)*VLOOKUP(B15,country_opex,3,FALSE))+V15+W15+X15+Y15+Z15))&lt;=0,"",VLOOKUP(B15,country_opex,7,FALSE)/((S15*pax_cap*load_full*ROUND(K15*L15*revleg_full,0))-(((battery/range_nm)*D15*ROUND(K15*L15*revleg_full,0)*VLOOKUP(B15,country_opex,3,FALSE))+V15+W15+X15+Y15+Z15)))</f>
        <v/>
      </c>
      <c r="AX15" s="44" t="n"/>
      <c r="AY15" s="44" t="inlineStr">
        <is>
          <t>Total Samui&lt;-&gt;Donsak crossing (all operators/piers). Raja Ferry Port (SET: RP) disclosed ~1.2M passengers carried in 2017 (+20% YoY) across its Donsak-Samui(Lipa Noi)/Donsak-Phangan network, with a 1.5M target (Samui Times / Koh Samui News quoting RP business plan; RP IPO-era disclosure ~600k/yr 2014, Nation Thailand). Seatran runs 6 vessels ~hourly 05:00-19:00 Nathon&lt;-&gt;Donsak (Tripadvisor/operator). Mode balance: Samui drew ~3.54M tourists 2023 (Forbes/C9) vs ~1.4M airport arrivals (Samui Airport 2.8M total pax 2024, BAREIT one-report 56-1) - the majority of non-air arrivals cross at Donsak.</t>
        </is>
      </c>
    </row>
    <row r="16">
      <c r="A16" s="29" t="inlineStr">
        <is>
          <t>Koh Samui</t>
        </is>
      </c>
      <c r="B16" s="29" t="inlineStr">
        <is>
          <t>Thailand</t>
        </is>
      </c>
      <c r="C16" s="30" t="inlineStr">
        <is>
          <t>Koh Samui → Koh Tao (Mae Haad)</t>
        </is>
      </c>
      <c r="D16" s="31" t="n">
        <v>35.3</v>
      </c>
      <c r="E16" s="26" t="n">
        <v>24.4</v>
      </c>
      <c r="F16" s="32" t="n"/>
      <c r="G16" s="32" t="inlineStr">
        <is>
          <t>T3</t>
        </is>
      </c>
      <c r="H16" s="19" t="n">
        <v>1</v>
      </c>
      <c r="I16" s="33">
        <f>60*D16/cruise_kt</f>
        <v/>
      </c>
      <c r="J16" s="33">
        <f>I16+turn_min+dwell_min</f>
        <v/>
      </c>
      <c r="K16" s="34">
        <f>MIN(15,FLOOR(60*service_hr/J16,1))</f>
        <v/>
      </c>
      <c r="L16" s="34">
        <f>ROUND(365*mech_uptime*H16,0)</f>
        <v/>
      </c>
      <c r="M16" s="35">
        <f>mech_uptime</f>
        <v/>
      </c>
      <c r="N16" s="35">
        <f>revleg_sel</f>
        <v/>
      </c>
      <c r="O16" s="34">
        <f>ROUND(K16*L16*revleg_sel,0)</f>
        <v/>
      </c>
      <c r="P16" s="36">
        <f>load_sel</f>
        <v/>
      </c>
      <c r="Q16" s="36">
        <f>pax_cap*P16</f>
        <v/>
      </c>
      <c r="R16" s="34">
        <f>Q16*O16</f>
        <v/>
      </c>
      <c r="S16" s="37">
        <f>E16*discount</f>
        <v/>
      </c>
      <c r="T16" s="38">
        <f>S16*R16</f>
        <v/>
      </c>
      <c r="U16" s="38">
        <f>(battery/range_nm)*D16*O16*VLOOKUP(B16,country_opex,3,FALSE)</f>
        <v/>
      </c>
      <c r="V16" s="38">
        <f>VLOOKUP(B16,country_opex,2,FALSE)*crew_factor</f>
        <v/>
      </c>
      <c r="W16" s="38">
        <f>VLOOKUP(B16,country_opex,5,FALSE)</f>
        <v/>
      </c>
      <c r="X16" s="38">
        <f>maint</f>
        <v/>
      </c>
      <c r="Y16" s="38">
        <f>VLOOKUP(B16,country_opex,7,FALSE)*ins_pct</f>
        <v/>
      </c>
      <c r="Z16" s="38">
        <f>charge_berth</f>
        <v/>
      </c>
      <c r="AA16" s="38">
        <f>U16+V16+W16+X16+Y16+Z16</f>
        <v/>
      </c>
      <c r="AB16" s="38">
        <f>VLOOKUP(B16,country_opex,7,FALSE)/dep_years</f>
        <v/>
      </c>
      <c r="AC16" s="38">
        <f>T16-AA16</f>
        <v/>
      </c>
      <c r="AD16" s="35">
        <f>IF(T16=0,"",AC16/T16)</f>
        <v/>
      </c>
      <c r="AE16" s="36">
        <f>IF(AC16&lt;=0,"",VLOOKUP(B16,country_opex,7,FALSE)/AC16)</f>
        <v/>
      </c>
      <c r="AF16" s="33">
        <f>((D16*O16/diesel_nmpg)*diesel_co2pg-(battery/range_nm)*D16*O16*VLOOKUP(B16,country_opex,4,FALSE))/1000</f>
        <v/>
      </c>
      <c r="AG16" s="31" t="n">
        <v>400000</v>
      </c>
      <c r="AH16" s="32" t="inlineStr">
        <is>
          <t>T5</t>
        </is>
      </c>
      <c r="AI16" s="32" t="inlineStr">
        <is>
          <t>med-low</t>
        </is>
      </c>
      <c r="AJ16" s="39" t="n">
        <v>0.1</v>
      </c>
      <c r="AK16" s="34">
        <f>IF(AG16="","",AG16*AJ16)</f>
        <v/>
      </c>
      <c r="AL16" s="34">
        <f>IF(OR(AG16="",R16=0),"",MIN(IF(AT16="",9.9E+99,AT16),FLOOR(AK16/R16,1)))</f>
        <v/>
      </c>
      <c r="AM16" s="38">
        <f>IF(AL16="","",AL16*T16)</f>
        <v/>
      </c>
      <c r="AN16" s="36">
        <f>IF(OR(AG16="",R16=0),"",MIN(IF(AT16="",9.9E+99,AT16),AK16/R16))</f>
        <v/>
      </c>
      <c r="AO16" s="38">
        <f>IF(AN16="","",AN16*T16)</f>
        <v/>
      </c>
      <c r="AP16" s="40" t="n"/>
      <c r="AQ16" s="32" t="inlineStr">
        <is>
          <t>Grounded</t>
        </is>
      </c>
      <c r="AR16" s="41" t="n"/>
      <c r="AS16" s="41" t="n"/>
      <c r="AT16" s="42" t="n"/>
      <c r="AU16" s="43">
        <f>IF(((S16*pax_cap*load_thin*ROUND(K16*L16*revleg_thin,0))-(((battery/range_nm)*D16*ROUND(K16*L16*revleg_thin,0)*VLOOKUP(B16,country_opex,3,FALSE))+V16+W16+X16+Y16+Z16))&lt;=0,"",VLOOKUP(B16,country_opex,7,FALSE)/((S16*pax_cap*load_thin*ROUND(K16*L16*revleg_thin,0))-(((battery/range_nm)*D16*ROUND(K16*L16*revleg_thin,0)*VLOOKUP(B16,country_opex,3,FALSE))+V16+W16+X16+Y16+Z16)))</f>
        <v/>
      </c>
      <c r="AV16" s="43">
        <f>IF(((S16*pax_cap*load_mid*ROUND(K16*L16*revleg_mid,0))-(((battery/range_nm)*D16*ROUND(K16*L16*revleg_mid,0)*VLOOKUP(B16,country_opex,3,FALSE))+V16+W16+X16+Y16+Z16))&lt;=0,"",VLOOKUP(B16,country_opex,7,FALSE)/((S16*pax_cap*load_mid*ROUND(K16*L16*revleg_mid,0))-(((battery/range_nm)*D16*ROUND(K16*L16*revleg_mid,0)*VLOOKUP(B16,country_opex,3,FALSE))+V16+W16+X16+Y16+Z16)))</f>
        <v/>
      </c>
      <c r="AW16" s="43">
        <f>IF(((S16*pax_cap*load_full*ROUND(K16*L16*revleg_full,0))-(((battery/range_nm)*D16*ROUND(K16*L16*revleg_full,0)*VLOOKUP(B16,country_opex,3,FALSE))+V16+W16+X16+Y16+Z16))&lt;=0,"",VLOOKUP(B16,country_opex,7,FALSE)/((S16*pax_cap*load_full*ROUND(K16*L16*revleg_full,0))-(((battery/range_nm)*D16*ROUND(K16*L16*revleg_full,0)*VLOOKUP(B16,country_opex,3,FALSE))+V16+W16+X16+Y16+Z16)))</f>
        <v/>
      </c>
      <c r="AX16" s="44" t="n"/>
      <c r="AY16" s="44" t="inlineStr">
        <is>
          <t>Koh Tao: 666,778 visitors in 2024 (above pre-Covid; record), 327,000 Jan-May 2025, full-year 2025 forecast &gt;700,000 - Koh Tao Tourism Association / TAT figures via Thairath &amp; Daily News (T2 base). Koh Tao is boat-only (no airport, R3-EXCEPTION: arrivals = crossing ridership). Access splits between the Chumphon side (Bangkok route) and the Samui/Phangan side.</t>
        </is>
      </c>
    </row>
    <row r="17">
      <c r="A17" s="29" t="inlineStr">
        <is>
          <t>Phuket</t>
        </is>
      </c>
      <c r="B17" s="29" t="inlineStr">
        <is>
          <t>Thailand</t>
        </is>
      </c>
      <c r="C17" s="30" t="inlineStr">
        <is>
          <t>Phuket → Krabi (Ao Nang)</t>
        </is>
      </c>
      <c r="D17" s="31" t="n">
        <v>40</v>
      </c>
      <c r="E17" s="26" t="n">
        <v>44</v>
      </c>
      <c r="F17" s="32" t="inlineStr">
        <is>
          <t>T3</t>
        </is>
      </c>
      <c r="G17" s="32" t="inlineStr">
        <is>
          <t>med</t>
        </is>
      </c>
      <c r="H17" s="19" t="n">
        <v>1</v>
      </c>
      <c r="I17" s="33">
        <f>60*D17/cruise_kt</f>
        <v/>
      </c>
      <c r="J17" s="33">
        <f>I17+turn_min+dwell_min</f>
        <v/>
      </c>
      <c r="K17" s="34">
        <f>MIN(15,FLOOR(60*service_hr/J17,1))</f>
        <v/>
      </c>
      <c r="L17" s="34">
        <f>ROUND(365*mech_uptime*H17,0)</f>
        <v/>
      </c>
      <c r="M17" s="35">
        <f>mech_uptime</f>
        <v/>
      </c>
      <c r="N17" s="35">
        <f>revleg_sel</f>
        <v/>
      </c>
      <c r="O17" s="34">
        <f>ROUND(K17*L17*revleg_sel,0)</f>
        <v/>
      </c>
      <c r="P17" s="36">
        <f>load_sel</f>
        <v/>
      </c>
      <c r="Q17" s="36">
        <f>pax_cap*P17</f>
        <v/>
      </c>
      <c r="R17" s="34">
        <f>Q17*O17</f>
        <v/>
      </c>
      <c r="S17" s="37">
        <f>E17*discount</f>
        <v/>
      </c>
      <c r="T17" s="38">
        <f>S17*R17</f>
        <v/>
      </c>
      <c r="U17" s="38">
        <f>(battery/range_nm)*D17*O17*VLOOKUP(B17,country_opex,3,FALSE)</f>
        <v/>
      </c>
      <c r="V17" s="38">
        <f>VLOOKUP(B17,country_opex,2,FALSE)*crew_factor</f>
        <v/>
      </c>
      <c r="W17" s="38">
        <f>VLOOKUP(B17,country_opex,5,FALSE)</f>
        <v/>
      </c>
      <c r="X17" s="38">
        <f>maint</f>
        <v/>
      </c>
      <c r="Y17" s="38">
        <f>VLOOKUP(B17,country_opex,7,FALSE)*ins_pct</f>
        <v/>
      </c>
      <c r="Z17" s="38">
        <f>charge_berth</f>
        <v/>
      </c>
      <c r="AA17" s="38">
        <f>U17+V17+W17+X17+Y17+Z17</f>
        <v/>
      </c>
      <c r="AB17" s="38">
        <f>VLOOKUP(B17,country_opex,7,FALSE)/dep_years</f>
        <v/>
      </c>
      <c r="AC17" s="38">
        <f>T17-AA17</f>
        <v/>
      </c>
      <c r="AD17" s="35">
        <f>IF(T17=0,"",AC17/T17)</f>
        <v/>
      </c>
      <c r="AE17" s="36">
        <f>IF(AC17&lt;=0,"",VLOOKUP(B17,country_opex,7,FALSE)/AC17)</f>
        <v/>
      </c>
      <c r="AF17" s="33">
        <f>((D17*O17/diesel_nmpg)*diesel_co2pg-(battery/range_nm)*D17*O17*VLOOKUP(B17,country_opex,4,FALSE))/1000</f>
        <v/>
      </c>
      <c r="AG17" s="31" t="n"/>
      <c r="AH17" s="32" t="n"/>
      <c r="AI17" s="32" t="n"/>
      <c r="AJ17" s="39" t="n">
        <v>0.1</v>
      </c>
      <c r="AK17" s="34">
        <f>IF(AG17="","",AG17*AJ17)</f>
        <v/>
      </c>
      <c r="AL17" s="34">
        <f>IF(OR(AG17="",R17=0),"",MIN(IF(AT17="",9.9E+99,AT17),FLOOR(AK17/R17,1)))</f>
        <v/>
      </c>
      <c r="AM17" s="38">
        <f>IF(AL17="","",AL17*T17)</f>
        <v/>
      </c>
      <c r="AN17" s="36">
        <f>IF(OR(AG17="",R17=0),"",MIN(IF(AT17="",9.9E+99,AT17),AK17/R17))</f>
        <v/>
      </c>
      <c r="AO17" s="38">
        <f>IF(AN17="","",AN17*T17)</f>
        <v/>
      </c>
      <c r="AP17" s="40" t="n"/>
      <c r="AQ17" s="32" t="inlineStr">
        <is>
          <t>Estimated</t>
        </is>
      </c>
      <c r="AR17" s="41" t="n"/>
      <c r="AS17" s="41" t="n"/>
      <c r="AT17" s="42" t="n"/>
      <c r="AU17" s="43">
        <f>IF(((S17*pax_cap*load_thin*ROUND(K17*L17*revleg_thin,0))-(((battery/range_nm)*D17*ROUND(K17*L17*revleg_thin,0)*VLOOKUP(B17,country_opex,3,FALSE))+V17+W17+X17+Y17+Z17))&lt;=0,"",VLOOKUP(B17,country_opex,7,FALSE)/((S17*pax_cap*load_thin*ROUND(K17*L17*revleg_thin,0))-(((battery/range_nm)*D17*ROUND(K17*L17*revleg_thin,0)*VLOOKUP(B17,country_opex,3,FALSE))+V17+W17+X17+Y17+Z17)))</f>
        <v/>
      </c>
      <c r="AV17" s="43">
        <f>IF(((S17*pax_cap*load_mid*ROUND(K17*L17*revleg_mid,0))-(((battery/range_nm)*D17*ROUND(K17*L17*revleg_mid,0)*VLOOKUP(B17,country_opex,3,FALSE))+V17+W17+X17+Y17+Z17))&lt;=0,"",VLOOKUP(B17,country_opex,7,FALSE)/((S17*pax_cap*load_mid*ROUND(K17*L17*revleg_mid,0))-(((battery/range_nm)*D17*ROUND(K17*L17*revleg_mid,0)*VLOOKUP(B17,country_opex,3,FALSE))+V17+W17+X17+Y17+Z17)))</f>
        <v/>
      </c>
      <c r="AW17" s="43">
        <f>IF(((S17*pax_cap*load_full*ROUND(K17*L17*revleg_full,0))-(((battery/range_nm)*D17*ROUND(K17*L17*revleg_full,0)*VLOOKUP(B17,country_opex,3,FALSE))+V17+W17+X17+Y17+Z17))&lt;=0,"",VLOOKUP(B17,country_opex,7,FALSE)/((S17*pax_cap*load_full*ROUND(K17*L17*revleg_full,0))-(((battery/range_nm)*D17*ROUND(K17*L17*revleg_full,0)*VLOOKUP(B17,country_opex,3,FALSE))+V17+W17+X17+Y17+Z17)))</f>
        <v/>
      </c>
      <c r="AX17" s="44" t="inlineStr">
        <is>
          <t>Phuket-&gt;Krabi (Ao Nang) speedboat premium tier ~comparable to Phi Phi route ($44). Krabi-specific demand re-source pending.</t>
        </is>
      </c>
      <c r="AY17" s="44" t="inlineStr">
        <is>
          <t>Phi Phi demand moved to new Phuket-&gt;Phi Phi corridor per Jaideep 2026-06-09. Krabi (Ao Nang) demand to be sourced separately. Until then: estimated via country cascade.</t>
        </is>
      </c>
    </row>
    <row r="18">
      <c r="A18" s="29" t="inlineStr">
        <is>
          <t>Phuket</t>
        </is>
      </c>
      <c r="B18" s="29" t="inlineStr">
        <is>
          <t>Thailand</t>
        </is>
      </c>
      <c r="C18" s="30" t="inlineStr">
        <is>
          <t>Phuket → Similan / Surin Islands</t>
        </is>
      </c>
      <c r="D18" s="31" t="n">
        <v>55</v>
      </c>
      <c r="E18" s="26" t="n">
        <v>80</v>
      </c>
      <c r="F18" s="32" t="inlineStr">
        <is>
          <t>T3</t>
        </is>
      </c>
      <c r="G18" s="32" t="inlineStr">
        <is>
          <t>med</t>
        </is>
      </c>
      <c r="H18" s="19" t="n">
        <v>1</v>
      </c>
      <c r="I18" s="33">
        <f>60*D18/cruise_kt</f>
        <v/>
      </c>
      <c r="J18" s="33">
        <f>I18+turn_min+dwell_min</f>
        <v/>
      </c>
      <c r="K18" s="34">
        <f>MIN(15,FLOOR(60*service_hr/J18,1))</f>
        <v/>
      </c>
      <c r="L18" s="34">
        <f>ROUND(365*mech_uptime*H18,0)</f>
        <v/>
      </c>
      <c r="M18" s="35">
        <f>mech_uptime</f>
        <v/>
      </c>
      <c r="N18" s="35">
        <f>revleg_sel</f>
        <v/>
      </c>
      <c r="O18" s="34">
        <f>ROUND(K18*L18*revleg_sel,0)</f>
        <v/>
      </c>
      <c r="P18" s="36">
        <f>load_sel</f>
        <v/>
      </c>
      <c r="Q18" s="36">
        <f>pax_cap*P18</f>
        <v/>
      </c>
      <c r="R18" s="34">
        <f>Q18*O18</f>
        <v/>
      </c>
      <c r="S18" s="37">
        <f>E18*discount</f>
        <v/>
      </c>
      <c r="T18" s="38">
        <f>S18*R18</f>
        <v/>
      </c>
      <c r="U18" s="38">
        <f>(battery/range_nm)*D18*O18*VLOOKUP(B18,country_opex,3,FALSE)</f>
        <v/>
      </c>
      <c r="V18" s="38">
        <f>VLOOKUP(B18,country_opex,2,FALSE)*crew_factor</f>
        <v/>
      </c>
      <c r="W18" s="38">
        <f>VLOOKUP(B18,country_opex,5,FALSE)</f>
        <v/>
      </c>
      <c r="X18" s="38">
        <f>maint</f>
        <v/>
      </c>
      <c r="Y18" s="38">
        <f>VLOOKUP(B18,country_opex,7,FALSE)*ins_pct</f>
        <v/>
      </c>
      <c r="Z18" s="38">
        <f>charge_berth</f>
        <v/>
      </c>
      <c r="AA18" s="38">
        <f>U18+V18+W18+X18+Y18+Z18</f>
        <v/>
      </c>
      <c r="AB18" s="38">
        <f>VLOOKUP(B18,country_opex,7,FALSE)/dep_years</f>
        <v/>
      </c>
      <c r="AC18" s="38">
        <f>T18-AA18</f>
        <v/>
      </c>
      <c r="AD18" s="35">
        <f>IF(T18=0,"",AC18/T18)</f>
        <v/>
      </c>
      <c r="AE18" s="36">
        <f>IF(AC18&lt;=0,"",VLOOKUP(B18,country_opex,7,FALSE)/AC18)</f>
        <v/>
      </c>
      <c r="AF18" s="33">
        <f>((D18*O18/diesel_nmpg)*diesel_co2pg-(battery/range_nm)*D18*O18*VLOOKUP(B18,country_opex,4,FALSE))/1000</f>
        <v/>
      </c>
      <c r="AG18" s="31" t="n">
        <v>580000</v>
      </c>
      <c r="AH18" s="32" t="inlineStr">
        <is>
          <t>T2</t>
        </is>
      </c>
      <c r="AI18" s="32" t="inlineStr">
        <is>
          <t>low</t>
        </is>
      </c>
      <c r="AJ18" s="39" t="n">
        <v>0.1</v>
      </c>
      <c r="AK18" s="34">
        <f>IF(AG18="","",AG18*AJ18)</f>
        <v/>
      </c>
      <c r="AL18" s="34">
        <f>IF(OR(AG18="",R18=0),"",MIN(IF(AT18="",9.9E+99,AT18),FLOOR(AK18/R18,1)))</f>
        <v/>
      </c>
      <c r="AM18" s="38">
        <f>IF(AL18="","",AL18*T18)</f>
        <v/>
      </c>
      <c r="AN18" s="36">
        <f>IF(OR(AG18="",R18=0),"",MIN(IF(AT18="",9.9E+99,AT18),AK18/R18))</f>
        <v/>
      </c>
      <c r="AO18" s="38">
        <f>IF(AN18="","",AN18*T18)</f>
        <v/>
      </c>
      <c r="AP18" s="40" t="n"/>
      <c r="AQ18" s="32" t="inlineStr">
        <is>
          <t>Grounded</t>
        </is>
      </c>
      <c r="AR18" s="41" t="n"/>
      <c r="AS18" s="41" t="n"/>
      <c r="AT18" s="42" t="n"/>
      <c r="AU18" s="43">
        <f>IF(((S18*pax_cap*load_thin*ROUND(K18*L18*revleg_thin,0))-(((battery/range_nm)*D18*ROUND(K18*L18*revleg_thin,0)*VLOOKUP(B18,country_opex,3,FALSE))+V18+W18+X18+Y18+Z18))&lt;=0,"",VLOOKUP(B18,country_opex,7,FALSE)/((S18*pax_cap*load_thin*ROUND(K18*L18*revleg_thin,0))-(((battery/range_nm)*D18*ROUND(K18*L18*revleg_thin,0)*VLOOKUP(B18,country_opex,3,FALSE))+V18+W18+X18+Y18+Z18)))</f>
        <v/>
      </c>
      <c r="AV18" s="43">
        <f>IF(((S18*pax_cap*load_mid*ROUND(K18*L18*revleg_mid,0))-(((battery/range_nm)*D18*ROUND(K18*L18*revleg_mid,0)*VLOOKUP(B18,country_opex,3,FALSE))+V18+W18+X18+Y18+Z18))&lt;=0,"",VLOOKUP(B18,country_opex,7,FALSE)/((S18*pax_cap*load_mid*ROUND(K18*L18*revleg_mid,0))-(((battery/range_nm)*D18*ROUND(K18*L18*revleg_mid,0)*VLOOKUP(B18,country_opex,3,FALSE))+V18+W18+X18+Y18+Z18)))</f>
        <v/>
      </c>
      <c r="AW18" s="43">
        <f>IF(((S18*pax_cap*load_full*ROUND(K18*L18*revleg_full,0))-(((battery/range_nm)*D18*ROUND(K18*L18*revleg_full,0)*VLOOKUP(B18,country_opex,3,FALSE))+V18+W18+X18+Y18+Z18))&lt;=0,"",VLOOKUP(B18,country_opex,7,FALSE)/((S18*pax_cap*load_full*ROUND(K18*L18*revleg_full,0))-(((battery/range_nm)*D18*ROUND(K18*L18*revleg_full,0)*VLOOKUP(B18,country_opex,3,FALSE))+V18+W18+X18+Y18+Z18)))</f>
        <v/>
      </c>
      <c r="AX18" s="44" t="inlineStr">
        <is>
          <t>Phuket-&gt;Similan/Surin premium shared speedboat day-tour (THB/USD 36): premium catamaran-speedboat tours ~2,500-2,600 THB incl 500 THB park fee+meals from Khao Lak (phiphitours 2,590 THB=$72); Phuket-origin runs higher ~2,900-3,500 THB ($80-97) for the longer 55nm leg. Private charter Phuket-&gt;Similan 50,000-80,000 THB/boat/day (forbesandpartners) = whole-boat, excluded. Premium per-seat anchored ~2,900 THB ($80) net for the longer Phuket origin.</t>
        </is>
      </c>
      <c r="AY18" s="44" t="inlineStr">
        <is>
          <t>Mu Ko Similan NP official visitor statistics (DNP/park clarification, May-2025, via MGR Online https://mgronline.com/uptodate/detail/9680000041761): FY2561(2018)=912,566; FY2562(2019)=676,793; FY2566(2023)=352,701; FY2567(2024)=578,535; FY2568=503,142 as of 30-Apr-2025. Daily cap 3,850 visitors/day (DNP, http://news.dnp.go.th/news/7966). Season: park CLOSED ~May 16 - Oct 14; open season ~212 days/yr (reopened 15-Oct each year, prd.go.th).</t>
        </is>
      </c>
    </row>
    <row r="19">
      <c r="A19" s="45" t="inlineStr">
        <is>
          <t>TOTAL / median</t>
        </is>
      </c>
      <c r="T19" s="46">
        <f>SUM(T4:T18)</f>
        <v/>
      </c>
      <c r="AC19" s="46">
        <f>SUM(AC4:AC18)</f>
        <v/>
      </c>
      <c r="AD19" s="47">
        <f>IF(T19=0,"",AC19/T19)</f>
        <v/>
      </c>
      <c r="AL19" s="48">
        <f>SUM(AL4:AL18)</f>
        <v/>
      </c>
      <c r="AM19" s="46">
        <f>SUM(AM4:AM18)</f>
        <v/>
      </c>
    </row>
    <row r="21">
      <c r="A21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22">
      <c r="A22" s="24" t="inlineStr">
        <is>
          <t>Market</t>
        </is>
      </c>
      <c r="B22" s="24" t="inlineStr">
        <is>
          <t>Fleet basis</t>
        </is>
      </c>
      <c r="C22" s="24" t="inlineStr">
        <is>
          <t>Raw vessels (sum)</t>
        </is>
      </c>
      <c r="D22" s="24" t="inlineStr">
        <is>
          <t>Fleet (rounded once)</t>
        </is>
      </c>
      <c r="E22" s="24" t="inlineStr">
        <is>
          <t>Market rev/yr (raw sum)</t>
        </is>
      </c>
    </row>
    <row r="23">
      <c r="A23" s="25" t="inlineStr">
        <is>
          <t>Bangkok</t>
        </is>
      </c>
      <c r="B23" s="13" t="inlineStr">
        <is>
          <t>network_sum / ceil</t>
        </is>
      </c>
      <c r="C23" s="23">
        <f>SUMIFS(AN4:AN18,A4:A18,"Bangkok",AP4:AP18,"=",AQ4:AQ18,"Grounded")</f>
        <v/>
      </c>
      <c r="D23" s="49">
        <f>IF(C23=0,0,CEILING(C23,1))</f>
        <v/>
      </c>
      <c r="E23" s="50">
        <f>SUMIFS(AO4:AO18,A4:A18,"Bangkok",AP4:AP18,"=",AQ4:AQ18,"Grounded")</f>
        <v/>
      </c>
    </row>
    <row r="24">
      <c r="A24" s="25" t="inlineStr">
        <is>
          <t>Koh Samui</t>
        </is>
      </c>
      <c r="B24" s="13" t="inlineStr">
        <is>
          <t>network_sum / ceil</t>
        </is>
      </c>
      <c r="C24" s="23">
        <f>SUMIFS(AN4:AN18,A4:A18,"Koh Samui",AP4:AP18,"=",AQ4:AQ18,"Grounded")</f>
        <v/>
      </c>
      <c r="D24" s="49">
        <f>IF(C24=0,0,CEILING(C24,1))</f>
        <v/>
      </c>
      <c r="E24" s="50">
        <f>SUMIFS(AO4:AO18,A4:A18,"Koh Samui",AP4:AP18,"=",AQ4:AQ18,"Grounded")</f>
        <v/>
      </c>
    </row>
    <row r="25">
      <c r="A25" s="25" t="inlineStr">
        <is>
          <t>Phuket</t>
        </is>
      </c>
      <c r="B25" s="13" t="inlineStr">
        <is>
          <t>network_sum / ceil</t>
        </is>
      </c>
      <c r="C25" s="23">
        <f>SUMIFS(AN4:AN18,A4:A18,"Phuket",AP4:AP18,"=",AQ4:AQ18,"Grounded")</f>
        <v/>
      </c>
      <c r="D25" s="49">
        <f>IF(C25=0,0,CEILING(C25,1))</f>
        <v/>
      </c>
      <c r="E25" s="50">
        <f>SUMIFS(AO4:AO18,A4:A18,"Phuket",AP4:AP18,"=",AQ4:AQ18,"Grounded")</f>
        <v/>
      </c>
    </row>
    <row r="26">
      <c r="A26" s="45" t="inlineStr">
        <is>
          <t>GROUNDED FLOOR (PUBLISHED)</t>
        </is>
      </c>
      <c r="D26" s="48">
        <f>SUM(D23:D25)</f>
        <v/>
      </c>
      <c r="E26" s="46">
        <f>SUM(E23:E25)</f>
        <v/>
      </c>
    </row>
    <row r="27">
      <c r="A27" s="20" t="inlineStr">
        <is>
          <t>ESTIMATED DEMAND (country-median cascade; held OUT of grounded floor)</t>
        </is>
      </c>
      <c r="D27" s="51">
        <f>SUMIF(AQ4:AQ18,"Estimated",AL4:AL18)</f>
        <v/>
      </c>
      <c r="E27" s="52">
        <f>SUMIF(AQ4:AQ18,"Estimated",AM4:AM18)</f>
        <v/>
      </c>
    </row>
    <row r="28">
      <c r="A28" s="53" t="inlineStr">
        <is>
          <t>Held for Quanta-LR (&gt;70nm, roadmap H2 2026+):</t>
        </is>
      </c>
      <c r="C28" s="54" t="inlineStr">
        <is>
          <t>Phuket → Langkawi (cross-border, regional reach) (107nm)</t>
        </is>
      </c>
    </row>
    <row r="29">
      <c r="C29" s="54" t="inlineStr">
        <is>
          <t>Phuket → Langkawi (cross-border, regional reach) (107nm)</t>
        </is>
      </c>
    </row>
  </sheetData>
  <mergeCells count="2">
    <mergeCell ref="A21:L21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0.0968</v>
      </c>
      <c r="E11" s="14" t="inlineStr">
        <is>
          <t>New-entrant ~10%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grounded-floor corridor market-rev only (Floor bucket = Grounded; cascade-estimated rows held out). Matches growth.py _headline_anchor and deck TAM.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(~10%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(~10%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5" t="inlineStr">
        <is>
          <t>Note</t>
        </is>
      </c>
      <c r="B26" s="56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2026-06-22T16:38:38Z</dcterms:created>
  <dcterms:modified xsi:type="dcterms:W3CDTF">2026-06-22T16:38:38Z</dcterms:modified>
</cp:coreProperties>
</file>