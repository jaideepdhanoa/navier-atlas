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opex'!$A$4:$G$11</definedName>
    <definedName name="som_floor_fleet">'Corridor economics'!$D$132</definedName>
    <definedName name="som_floor_rev">'Corridor economics'!$E$132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Grab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Cambodia</t>
        </is>
      </c>
      <c r="B4" s="26" t="n">
        <v>11000</v>
      </c>
      <c r="C4" s="27" t="n">
        <v>0.15</v>
      </c>
      <c r="D4" s="19" t="n">
        <v>0.6</v>
      </c>
      <c r="E4" s="26" t="n">
        <v>9000</v>
      </c>
      <c r="F4" s="19" t="n">
        <v>0.42</v>
      </c>
      <c r="G4" s="26" t="n">
        <v>600000</v>
      </c>
      <c r="H4" s="14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5">
      <c r="A5" s="25" t="inlineStr">
        <is>
          <t>Indonesia</t>
        </is>
      </c>
      <c r="B5" s="26" t="n">
        <v>12000</v>
      </c>
      <c r="C5" s="27" t="n">
        <v>0.07000000000000001</v>
      </c>
      <c r="D5" s="19" t="n">
        <v>0.75</v>
      </c>
      <c r="E5" s="26" t="n">
        <v>10000</v>
      </c>
      <c r="F5" s="19" t="n">
        <v>0.45</v>
      </c>
      <c r="G5" s="26" t="n">
        <v>600000</v>
      </c>
      <c r="H5" s="14" t="inlineStr">
        <is>
          <t>Blended local crew; ERI pro $23k vs informal local | PLN business IDR 1,114/kWh = $0.07 | Modeled | CAPEX LB-243 US/EU=$900K else $600K</t>
        </is>
      </c>
    </row>
    <row r="6">
      <c r="A6" s="25" t="inlineStr">
        <is>
          <t>Malaysia</t>
        </is>
      </c>
      <c r="B6" s="26" t="n">
        <v>17000</v>
      </c>
      <c r="C6" s="27" t="n">
        <v>0.1</v>
      </c>
      <c r="D6" s="19" t="n">
        <v>0.7</v>
      </c>
      <c r="E6" s="26" t="n">
        <v>11000</v>
      </c>
      <c r="F6" s="19" t="n">
        <v>0.55</v>
      </c>
      <c r="G6" s="26" t="n">
        <v>600000</v>
      </c>
      <c r="H6" s="14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7">
      <c r="A7" s="25" t="inlineStr">
        <is>
          <t>Philippines</t>
        </is>
      </c>
      <c r="B7" s="26" t="n">
        <v>15000</v>
      </c>
      <c r="C7" s="27" t="n">
        <v>0.2</v>
      </c>
      <c r="D7" s="19" t="n">
        <v>0.68</v>
      </c>
      <c r="E7" s="26" t="n">
        <v>10000</v>
      </c>
      <c r="F7" s="19" t="n">
        <v>0.5</v>
      </c>
      <c r="G7" s="26" t="n">
        <v>600000</v>
      </c>
      <c r="H7" s="14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8">
      <c r="A8" s="25" t="inlineStr">
        <is>
          <t>Singapore</t>
        </is>
      </c>
      <c r="B8" s="26" t="n">
        <v>48000</v>
      </c>
      <c r="C8" s="27" t="n">
        <v>0.21</v>
      </c>
      <c r="D8" s="19" t="n">
        <v>0.4</v>
      </c>
      <c r="E8" s="26" t="n">
        <v>20000</v>
      </c>
      <c r="F8" s="19" t="n">
        <v>1</v>
      </c>
      <c r="G8" s="26" t="n">
        <v>600000</v>
      </c>
      <c r="H8" s="14" t="inlineStr">
        <is>
          <t>Modeled SG marine crew ~SGD 4-5k/mo blended | SG regulated tariff 28.1c SGD = $0.21 | SG high-cost berth modeled | CAPEX LB-243 US/EU=$900K else $600K</t>
        </is>
      </c>
    </row>
    <row r="9">
      <c r="A9" s="25" t="inlineStr">
        <is>
          <t>Taiwan</t>
        </is>
      </c>
      <c r="B9" s="26" t="n">
        <v>38000</v>
      </c>
      <c r="C9" s="27" t="n">
        <v>0.18</v>
      </c>
      <c r="D9" s="19" t="n">
        <v>0.46</v>
      </c>
      <c r="E9" s="26" t="n">
        <v>14000</v>
      </c>
      <c r="F9" s="19" t="n">
        <v>0.72</v>
      </c>
      <c r="G9" s="26" t="n">
        <v>600000</v>
      </c>
      <c r="H9" s="14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10">
      <c r="A10" s="25" t="inlineStr">
        <is>
          <t>Thailand</t>
        </is>
      </c>
      <c r="B10" s="26" t="n">
        <v>24000</v>
      </c>
      <c r="C10" s="27" t="n">
        <v>0.116</v>
      </c>
      <c r="D10" s="19" t="n">
        <v>0.5</v>
      </c>
      <c r="E10" s="26" t="n">
        <v>12000</v>
      </c>
      <c r="F10" s="19" t="n">
        <v>0.55</v>
      </c>
      <c r="G10" s="26" t="n">
        <v>600000</v>
      </c>
      <c r="H10" s="14" t="inlineStr">
        <is>
          <t>ERI Thailand boat captain ~876k THB/yr | MEA/PEA business tariff ~4.18 THB/kWh | Modeled Phuket marine ops | CAPEX LB-243 US/EU=$900K else $600K</t>
        </is>
      </c>
    </row>
    <row r="11">
      <c r="A11" s="25" t="inlineStr">
        <is>
          <t>Vietnam</t>
        </is>
      </c>
      <c r="B11" s="26" t="n">
        <v>14000</v>
      </c>
      <c r="C11" s="27" t="n">
        <v>0.12</v>
      </c>
      <c r="D11" s="19" t="n">
        <v>0.66</v>
      </c>
      <c r="E11" s="26" t="n">
        <v>9000</v>
      </c>
      <c r="F11" s="19" t="n">
        <v>0.45</v>
      </c>
      <c r="G11" s="26" t="n">
        <v>600000</v>
      </c>
      <c r="H11" s="14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Grab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Cambodia</t>
        </is>
      </c>
      <c r="B4" s="29" t="inlineStr">
        <is>
          <t>Cambodia</t>
        </is>
      </c>
      <c r="C4" s="30" t="inlineStr">
        <is>
          <t>Sihanoukville Port → Lila Resort / Ream private islands</t>
        </is>
      </c>
      <c r="D4" s="31" t="n">
        <v>7.6</v>
      </c>
      <c r="E4" s="26" t="n">
        <v>30</v>
      </c>
      <c r="F4" s="32" t="inlineStr">
        <is>
          <t>T4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inlineStr">
        <is>
          <t>null</t>
        </is>
      </c>
      <c r="AI4" s="32" t="inlineStr">
        <is>
          <t>null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AY4" s="44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5">
      <c r="A5" s="29" t="inlineStr">
        <is>
          <t>Cambodia</t>
        </is>
      </c>
      <c r="B5" s="29" t="inlineStr">
        <is>
          <t>Cambodia</t>
        </is>
      </c>
      <c r="C5" s="30" t="inlineStr">
        <is>
          <t>Sihanoukville → Koh Ta Kiev / Ream National Park</t>
        </is>
      </c>
      <c r="D5" s="31" t="n">
        <v>8.949999999999999</v>
      </c>
      <c r="E5" s="26" t="n">
        <v>20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inlineStr">
        <is>
          <t>null</t>
        </is>
      </c>
      <c r="AI5" s="32" t="inlineStr">
        <is>
          <t>null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Estimated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AY5" s="44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6">
      <c r="A6" s="29" t="inlineStr">
        <is>
          <t>Cambodia</t>
        </is>
      </c>
      <c r="B6" s="29" t="inlineStr">
        <is>
          <t>Cambodia</t>
        </is>
      </c>
      <c r="C6" s="30" t="inlineStr">
        <is>
          <t>Sihanoukville → Koh Rong Sanloem (Saracen Bay)</t>
        </is>
      </c>
      <c r="D6" s="31" t="n">
        <v>12.87</v>
      </c>
      <c r="E6" s="26" t="n">
        <v>30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100000</v>
      </c>
      <c r="AH6" s="32" t="inlineStr">
        <is>
          <t>T2</t>
        </is>
      </c>
      <c r="AI6" s="32" t="inlineStr">
        <is>
          <t>med</t>
        </is>
      </c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AY6" s="44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7">
      <c r="A7" s="29" t="inlineStr">
        <is>
          <t>Cambodia</t>
        </is>
      </c>
      <c r="B7" s="29" t="inlineStr">
        <is>
          <t>Cambodia</t>
        </is>
      </c>
      <c r="C7" s="30" t="inlineStr">
        <is>
          <t>Koh Rong → Song Saa / Koh Russey</t>
        </is>
      </c>
      <c r="D7" s="31" t="n">
        <v>18.56</v>
      </c>
      <c r="E7" s="26" t="n">
        <v>65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inlineStr">
        <is>
          <t>null</t>
        </is>
      </c>
      <c r="AI7" s="32" t="inlineStr">
        <is>
          <t>null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Estimated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AY7" s="44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8">
      <c r="A8" s="29" t="inlineStr">
        <is>
          <t>Cambodia</t>
        </is>
      </c>
      <c r="B8" s="29" t="inlineStr">
        <is>
          <t>Cambodia</t>
        </is>
      </c>
      <c r="C8" s="30" t="inlineStr">
        <is>
          <t>Sihanoukville → Koh Kong / Cardamom coast</t>
        </is>
      </c>
      <c r="D8" s="31" t="n">
        <v>68.22</v>
      </c>
      <c r="E8" s="26" t="n">
        <v>50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inlineStr">
        <is>
          <t>null</t>
        </is>
      </c>
      <c r="AI8" s="32" t="inlineStr">
        <is>
          <t>null</t>
        </is>
      </c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Estimated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AY8" s="44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9">
      <c r="A9" s="29" t="inlineStr">
        <is>
          <t>Komodo Flores</t>
        </is>
      </c>
      <c r="B9" s="29" t="inlineStr">
        <is>
          <t>Indonesia</t>
        </is>
      </c>
      <c r="C9" s="30" t="inlineStr">
        <is>
          <t>Komodo → Pelabuhan Labuan Bajo</t>
        </is>
      </c>
      <c r="D9" s="31" t="n">
        <v>1.4</v>
      </c>
      <c r="E9" s="26" t="n">
        <v>50</v>
      </c>
      <c r="F9" s="32" t="inlineStr">
        <is>
          <t>T3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MIN(24,FLOOR(60*service_hr/J9,1))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5000</v>
      </c>
      <c r="AH9" s="32" t="inlineStr">
        <is>
          <t>T3</t>
        </is>
      </c>
      <c r="AI9" s="32" t="inlineStr">
        <is>
          <t>med</t>
        </is>
      </c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economics_by_route_id.json</t>
        </is>
      </c>
      <c r="AY9" s="44" t="inlineStr">
        <is>
          <t>gojek-127/route+economics</t>
        </is>
      </c>
    </row>
    <row r="10">
      <c r="A10" s="29" t="inlineStr">
        <is>
          <t>Komodo Flores</t>
        </is>
      </c>
      <c r="B10" s="29" t="inlineStr">
        <is>
          <t>Indonesia</t>
        </is>
      </c>
      <c r="C10" s="30" t="inlineStr">
        <is>
          <t>Komodo → Meruorah Komodo Labuan Bajo</t>
        </is>
      </c>
      <c r="D10" s="31" t="n">
        <v>1.5</v>
      </c>
      <c r="E10" s="26" t="n">
        <v>50</v>
      </c>
      <c r="F10" s="32" t="inlineStr">
        <is>
          <t>T3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MIN(24,FLOOR(60*service_hr/J10,1))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T3</t>
        </is>
      </c>
      <c r="AI10" s="32" t="inlineStr">
        <is>
          <t>med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economics_by_route_id.json</t>
        </is>
      </c>
      <c r="AY10" s="44" t="inlineStr">
        <is>
          <t>gojek-127/route+economics</t>
        </is>
      </c>
    </row>
    <row r="11">
      <c r="A11" s="29" t="inlineStr">
        <is>
          <t>Bali</t>
        </is>
      </c>
      <c r="B11" s="29" t="inlineStr">
        <is>
          <t>Indonesia</t>
        </is>
      </c>
      <c r="C11" s="30" t="inlineStr">
        <is>
          <t>Gili Meno Harbour → Ferry Terminal Gili Trawangan</t>
        </is>
      </c>
      <c r="D11" s="31" t="n">
        <v>2</v>
      </c>
      <c r="E11" s="26" t="n">
        <v>50</v>
      </c>
      <c r="F11" s="32" t="inlineStr">
        <is>
          <t>T3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MIN(24,FLOOR(60*service_hr/J11,1))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5000</v>
      </c>
      <c r="AH11" s="32" t="inlineStr">
        <is>
          <t>T3</t>
        </is>
      </c>
      <c r="AI11" s="32" t="inlineStr">
        <is>
          <t>med</t>
        </is>
      </c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economics_by_route_id.json</t>
        </is>
      </c>
      <c r="AY11" s="44" t="inlineStr">
        <is>
          <t>gojek-127/route+economics</t>
        </is>
      </c>
    </row>
    <row r="12">
      <c r="A12" s="29" t="inlineStr">
        <is>
          <t>Jakarta</t>
        </is>
      </c>
      <c r="B12" s="29" t="inlineStr">
        <is>
          <t>Indonesia</t>
        </is>
      </c>
      <c r="C12" s="30" t="inlineStr">
        <is>
          <t>Pantai Laguna (Ancol Taman Impian) → Pantai Laguna (Ancol Taman Impian)</t>
        </is>
      </c>
      <c r="D12" s="31" t="n">
        <v>2</v>
      </c>
      <c r="E12" s="26" t="n">
        <v>18</v>
      </c>
      <c r="F12" s="32" t="inlineStr">
        <is>
          <t>T1</t>
        </is>
      </c>
      <c r="G12" s="32" t="inlineStr">
        <is>
          <t>high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200000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AY12" s="44" t="n"/>
    </row>
    <row r="13">
      <c r="A13" s="29" t="inlineStr">
        <is>
          <t>Eastern Indonesia</t>
        </is>
      </c>
      <c r="B13" s="29" t="inlineStr">
        <is>
          <t>Indonesia</t>
        </is>
      </c>
      <c r="C13" s="30" t="inlineStr">
        <is>
          <t>Likupang / Manado / Bunaken, North Sulawesi, Indonesia → Likupang North Sulawesi Indonesia</t>
        </is>
      </c>
      <c r="D13" s="31" t="n">
        <v>2.2</v>
      </c>
      <c r="E13" s="26" t="n">
        <v>50</v>
      </c>
      <c r="F13" s="32" t="inlineStr">
        <is>
          <t>T3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5000</v>
      </c>
      <c r="AH13" s="32" t="inlineStr">
        <is>
          <t>T3</t>
        </is>
      </c>
      <c r="AI13" s="32" t="inlineStr">
        <is>
          <t>med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economics_by_route_id.json</t>
        </is>
      </c>
      <c r="AY13" s="44" t="inlineStr">
        <is>
          <t>gojek-127/route+economics</t>
        </is>
      </c>
    </row>
    <row r="14">
      <c r="A14" s="29" t="inlineStr">
        <is>
          <t>Eastern Indonesia</t>
        </is>
      </c>
      <c r="B14" s="29" t="inlineStr">
        <is>
          <t>Indonesia</t>
        </is>
      </c>
      <c r="C14" s="30" t="inlineStr">
        <is>
          <t>Mall → Likupang / Manado / Bunaken, North Sulawesi, Indonesia</t>
        </is>
      </c>
      <c r="D14" s="31" t="n">
        <v>2.5</v>
      </c>
      <c r="E14" s="26" t="n">
        <v>50</v>
      </c>
      <c r="F14" s="32" t="inlineStr">
        <is>
          <t>T3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MIN(24,FLOOR(60*service_hr/J14,1))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5000</v>
      </c>
      <c r="AH14" s="32" t="inlineStr">
        <is>
          <t>T3</t>
        </is>
      </c>
      <c r="AI14" s="32" t="inlineStr">
        <is>
          <t>med</t>
        </is>
      </c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economics_by_route_id.json</t>
        </is>
      </c>
      <c r="AY14" s="44" t="inlineStr">
        <is>
          <t>gojek-127/route+economics</t>
        </is>
      </c>
    </row>
    <row r="15">
      <c r="A15" s="29" t="inlineStr">
        <is>
          <t>Bali</t>
        </is>
      </c>
      <c r="B15" s="29" t="inlineStr">
        <is>
          <t>Indonesia</t>
        </is>
      </c>
      <c r="C15" s="30" t="inlineStr">
        <is>
          <t>Jalan Crystal Bay → Nusa Bahari Lembongan</t>
        </is>
      </c>
      <c r="D15" s="31" t="n">
        <v>2.9</v>
      </c>
      <c r="E15" s="26" t="n">
        <v>50</v>
      </c>
      <c r="F15" s="32" t="inlineStr">
        <is>
          <t>T3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MIN(24,FLOOR(60*service_hr/J15,1))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</v>
      </c>
      <c r="AH15" s="32" t="inlineStr">
        <is>
          <t>T3</t>
        </is>
      </c>
      <c r="AI15" s="32" t="inlineStr">
        <is>
          <t>med</t>
        </is>
      </c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economics_by_route_id.json</t>
        </is>
      </c>
      <c r="AY15" s="44" t="inlineStr">
        <is>
          <t>gojek-127/route+economics</t>
        </is>
      </c>
    </row>
    <row r="16">
      <c r="A16" s="29" t="inlineStr">
        <is>
          <t>Eastern Indonesia</t>
        </is>
      </c>
      <c r="B16" s="29" t="inlineStr">
        <is>
          <t>Indonesia</t>
        </is>
      </c>
      <c r="C16" s="30" t="inlineStr">
        <is>
          <t>Likupang / Manado / Bunaken, North Sulawesi, Indonesia → Likupang North Sulawesi Indonesia</t>
        </is>
      </c>
      <c r="D16" s="31" t="n">
        <v>3</v>
      </c>
      <c r="E16" s="26" t="n">
        <v>50</v>
      </c>
      <c r="F16" s="32" t="inlineStr">
        <is>
          <t>T3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</v>
      </c>
      <c r="AH16" s="32" t="inlineStr">
        <is>
          <t>T3</t>
        </is>
      </c>
      <c r="AI16" s="32" t="inlineStr">
        <is>
          <t>med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economics_by_route_id.json</t>
        </is>
      </c>
      <c r="AY16" s="44" t="inlineStr">
        <is>
          <t>gojek-127/route+economics</t>
        </is>
      </c>
    </row>
    <row r="17">
      <c r="A17" s="29" t="inlineStr">
        <is>
          <t>Eastern Indonesia</t>
        </is>
      </c>
      <c r="B17" s="29" t="inlineStr">
        <is>
          <t>Indonesia</t>
        </is>
      </c>
      <c r="C17" s="30" t="inlineStr">
        <is>
          <t>Likupang / Manado / Bunaken, North Sulawesi, Indonesia → Likupang North Sulawesi Indonesia</t>
        </is>
      </c>
      <c r="D17" s="31" t="n">
        <v>4.3</v>
      </c>
      <c r="E17" s="26" t="n">
        <v>50</v>
      </c>
      <c r="F17" s="32" t="inlineStr">
        <is>
          <t>T3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MIN(24,FLOOR(60*service_hr/J17,1))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5000</v>
      </c>
      <c r="AH17" s="32" t="inlineStr">
        <is>
          <t>T3</t>
        </is>
      </c>
      <c r="AI17" s="32" t="inlineStr">
        <is>
          <t>med</t>
        </is>
      </c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economics_by_route_id.json</t>
        </is>
      </c>
      <c r="AY17" s="44" t="inlineStr">
        <is>
          <t>gojek-127/route+economics</t>
        </is>
      </c>
    </row>
    <row r="18">
      <c r="A18" s="29" t="inlineStr">
        <is>
          <t>Bali</t>
        </is>
      </c>
      <c r="B18" s="29" t="inlineStr">
        <is>
          <t>Indonesia</t>
        </is>
      </c>
      <c r="C18" s="30" t="inlineStr">
        <is>
          <t>Benoa Harbour Cruise Terminal → Benoa Harbour Cruise Terminal</t>
        </is>
      </c>
      <c r="D18" s="31" t="n">
        <v>5</v>
      </c>
      <c r="E18" s="26" t="n">
        <v>85</v>
      </c>
      <c r="F18" s="32" t="inlineStr">
        <is>
          <t>T1</t>
        </is>
      </c>
      <c r="G18" s="32" t="inlineStr">
        <is>
          <t>high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85000</v>
      </c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AY18" s="44" t="n"/>
    </row>
    <row r="19">
      <c r="A19" s="29" t="inlineStr">
        <is>
          <t>Bali</t>
        </is>
      </c>
      <c r="B19" s="29" t="inlineStr">
        <is>
          <t>Indonesia</t>
        </is>
      </c>
      <c r="C19" s="30" t="inlineStr">
        <is>
          <t>Sampalan Harbour → Maruti Port - Nusa Penida</t>
        </is>
      </c>
      <c r="D19" s="31" t="n">
        <v>5.6</v>
      </c>
      <c r="E19" s="26" t="n">
        <v>50</v>
      </c>
      <c r="F19" s="32" t="inlineStr">
        <is>
          <t>T3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MIN(24,FLOOR(60*service_hr/J19,1))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5000</v>
      </c>
      <c r="AH19" s="32" t="inlineStr">
        <is>
          <t>T3</t>
        </is>
      </c>
      <c r="AI19" s="32" t="inlineStr">
        <is>
          <t>med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economics_by_route_id.json</t>
        </is>
      </c>
      <c r="AY19" s="44" t="inlineStr">
        <is>
          <t>gojek-127/route+economics</t>
        </is>
      </c>
    </row>
    <row r="20">
      <c r="A20" s="29" t="inlineStr">
        <is>
          <t>Eastern Indonesia</t>
        </is>
      </c>
      <c r="B20" s="29" t="inlineStr">
        <is>
          <t>Indonesia</t>
        </is>
      </c>
      <c r="C20" s="30" t="inlineStr">
        <is>
          <t>Mall → Likupang / Manado / Bunaken, North Sulawesi, Indonesia</t>
        </is>
      </c>
      <c r="D20" s="31" t="n">
        <v>7.1</v>
      </c>
      <c r="E20" s="26" t="n">
        <v>50</v>
      </c>
      <c r="F20" s="32" t="inlineStr">
        <is>
          <t>T3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MIN(24,FLOOR(60*service_hr/J20,1))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5000</v>
      </c>
      <c r="AH20" s="32" t="inlineStr">
        <is>
          <t>T3</t>
        </is>
      </c>
      <c r="AI20" s="32" t="inlineStr">
        <is>
          <t>med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economics_by_route_id.json</t>
        </is>
      </c>
      <c r="AY20" s="44" t="inlineStr">
        <is>
          <t>gojek-127/route+economics</t>
        </is>
      </c>
    </row>
    <row r="21">
      <c r="A21" s="29" t="inlineStr">
        <is>
          <t>Jakarta</t>
        </is>
      </c>
      <c r="B21" s="29" t="inlineStr">
        <is>
          <t>Indonesia</t>
        </is>
      </c>
      <c r="C21" s="30" t="inlineStr">
        <is>
          <t>Marina Ancol → Thousand Islands — inner ring (Bidadari / Ayer / Onrust)</t>
        </is>
      </c>
      <c r="D21" s="31" t="n">
        <v>7.4</v>
      </c>
      <c r="E21" s="26" t="n">
        <v>11.7</v>
      </c>
      <c r="F21" s="32" t="inlineStr">
        <is>
          <t>T2/T3</t>
        </is>
      </c>
      <c r="G21" s="32" t="inlineStr">
        <is>
          <t>med-high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10000</v>
      </c>
      <c r="AH21" s="32" t="inlineStr">
        <is>
          <t>T2</t>
        </is>
      </c>
      <c r="AI21" s="32" t="inlineStr">
        <is>
          <t>med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AY21" s="44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22">
      <c r="A22" s="29" t="inlineStr">
        <is>
          <t>Bali</t>
        </is>
      </c>
      <c r="B22" s="29" t="inlineStr">
        <is>
          <t>Indonesia</t>
        </is>
      </c>
      <c r="C22" s="30" t="inlineStr">
        <is>
          <t>Sanur Beach Fast Boat Terminal → GoBoat.id - Nelayan Beach Canggu</t>
        </is>
      </c>
      <c r="D22" s="31" t="n">
        <v>7.6</v>
      </c>
      <c r="E22" s="26" t="n">
        <v>85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2900</v>
      </c>
      <c r="AH22" s="32" t="inlineStr">
        <is>
          <t>T2</t>
        </is>
      </c>
      <c r="AI22" s="32" t="inlineStr">
        <is>
          <t>med</t>
        </is>
      </c>
      <c r="AJ22" s="39" t="n">
        <v>0.9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Minor Hotels captive gateway — Avani Seminyak coastal transfer.</t>
        </is>
      </c>
      <c r="AY22" s="44" t="inlineStr">
        <is>
          <t>minor-hotels-bali-flagship-economics-DRAFT.json — Seminyak gateway pool</t>
        </is>
      </c>
    </row>
    <row r="23">
      <c r="A23" s="29" t="inlineStr">
        <is>
          <t>Bali</t>
        </is>
      </c>
      <c r="B23" s="29" t="inlineStr">
        <is>
          <t>Indonesia</t>
        </is>
      </c>
      <c r="C23" s="30" t="inlineStr">
        <is>
          <t>Bali Marina (Benoa) → Six Senses Uluwatu</t>
        </is>
      </c>
      <c r="D23" s="31" t="n">
        <v>7.7</v>
      </c>
      <c r="E23" s="26" t="n">
        <v>85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2900</v>
      </c>
      <c r="AH23" s="32" t="inlineStr">
        <is>
          <t>T2</t>
        </is>
      </c>
      <c r="AI23" s="32" t="inlineStr">
        <is>
          <t>med</t>
        </is>
      </c>
      <c r="AJ23" s="39" t="n">
        <v>0.9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Minor Hotels captive gateway — Anantara Uluwatu Benoa marina transfer.</t>
        </is>
      </c>
      <c r="AY23" s="44" t="inlineStr">
        <is>
          <t>minor-hotels-bali-flagship-economics-DRAFT.json — Uluwatu gateway pool</t>
        </is>
      </c>
    </row>
    <row r="24">
      <c r="A24" s="29" t="inlineStr">
        <is>
          <t>Jakarta</t>
        </is>
      </c>
      <c r="B24" s="29" t="inlineStr">
        <is>
          <t>Indonesia</t>
        </is>
      </c>
      <c r="C24" s="30" t="inlineStr">
        <is>
          <t>Batavia Marina (Sunda Kelapa) → Batavia Marina (Sunda Kelapa)</t>
        </is>
      </c>
      <c r="D24" s="31" t="n">
        <v>8</v>
      </c>
      <c r="E24" s="26" t="n">
        <v>35</v>
      </c>
      <c r="F24" s="32" t="inlineStr">
        <is>
          <t>T1</t>
        </is>
      </c>
      <c r="G24" s="32" t="inlineStr">
        <is>
          <t>high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10000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AY24" s="44" t="n"/>
    </row>
    <row r="25">
      <c r="A25" s="29" t="inlineStr">
        <is>
          <t>Singapore</t>
        </is>
      </c>
      <c r="B25" s="29" t="inlineStr">
        <is>
          <t>Indonesia</t>
        </is>
      </c>
      <c r="C25" s="30" t="inlineStr">
        <is>
          <t>ONE°15 Marina Sentosa Cove → Harbour Bay</t>
        </is>
      </c>
      <c r="D25" s="31" t="n">
        <v>11.2</v>
      </c>
      <c r="E25" s="26" t="n">
        <v>50</v>
      </c>
      <c r="F25" s="32" t="inlineStr">
        <is>
          <t>T3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MIN(24,FLOOR(60*service_hr/J25,1))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5000</v>
      </c>
      <c r="AH25" s="32" t="inlineStr">
        <is>
          <t>T3</t>
        </is>
      </c>
      <c r="AI25" s="32" t="inlineStr">
        <is>
          <t>med</t>
        </is>
      </c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economics_by_route_id.json</t>
        </is>
      </c>
      <c r="AY25" s="44" t="inlineStr">
        <is>
          <t>gojek-127/route+economics</t>
        </is>
      </c>
    </row>
    <row r="26">
      <c r="A26" s="29" t="inlineStr">
        <is>
          <t>Singapore</t>
        </is>
      </c>
      <c r="B26" s="29" t="inlineStr">
        <is>
          <t>Indonesia</t>
        </is>
      </c>
      <c r="C26" s="30" t="inlineStr">
        <is>
          <t>Riau Islands → ONE°15 Marina Sentosa Cove Singapore</t>
        </is>
      </c>
      <c r="D26" s="31" t="n">
        <v>11.9</v>
      </c>
      <c r="E26" s="26" t="n">
        <v>50</v>
      </c>
      <c r="F26" s="32" t="inlineStr">
        <is>
          <t>T3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MIN(24,FLOOR(60*service_hr/J26,1))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5000</v>
      </c>
      <c r="AH26" s="32" t="inlineStr">
        <is>
          <t>T3</t>
        </is>
      </c>
      <c r="AI26" s="32" t="inlineStr">
        <is>
          <t>med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economics_by_route_id.json</t>
        </is>
      </c>
      <c r="AY26" s="44" t="inlineStr">
        <is>
          <t>gojek-127/route+economics</t>
        </is>
      </c>
    </row>
    <row r="27">
      <c r="A27" s="29" t="inlineStr">
        <is>
          <t>Bali</t>
        </is>
      </c>
      <c r="B27" s="29" t="inlineStr">
        <is>
          <t>Indonesia</t>
        </is>
      </c>
      <c r="C27" s="30" t="inlineStr">
        <is>
          <t>Bali (Benoa / Sanur) → Nusa Penida / Lembongan</t>
        </is>
      </c>
      <c r="D27" s="31" t="n">
        <v>13.5</v>
      </c>
      <c r="E27" s="26" t="n">
        <v>60</v>
      </c>
      <c r="F27" s="32" t="inlineStr">
        <is>
          <t>T3</t>
        </is>
      </c>
      <c r="G27" s="32" t="inlineStr">
        <is>
          <t>med-high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1500000</v>
      </c>
      <c r="AH27" s="32" t="inlineStr">
        <is>
          <t>T2</t>
        </is>
      </c>
      <c r="AI27" s="32" t="inlineStr">
        <is>
          <t>med-high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AY27" s="44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28">
      <c r="A28" s="29" t="inlineStr">
        <is>
          <t>Bali</t>
        </is>
      </c>
      <c r="B28" s="29" t="inlineStr">
        <is>
          <t>Indonesia</t>
        </is>
      </c>
      <c r="C28" s="30" t="inlineStr">
        <is>
          <t>Sanur Beach Fast Boat Terminal → Nusa Penida (Toyapakeh / Banjar Nyuh harbour)</t>
        </is>
      </c>
      <c r="D28" s="31" t="n">
        <v>13.5</v>
      </c>
      <c r="E28" s="26" t="n">
        <v>50</v>
      </c>
      <c r="F28" s="32" t="inlineStr">
        <is>
          <t>T3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MIN(24,FLOOR(60*service_hr/J28,1))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</v>
      </c>
      <c r="AH28" s="32" t="inlineStr">
        <is>
          <t>T3</t>
        </is>
      </c>
      <c r="AI28" s="32" t="inlineStr">
        <is>
          <t>med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economics_by_route_id.json</t>
        </is>
      </c>
      <c r="AY28" s="44" t="inlineStr">
        <is>
          <t>gojek-127/route+economics</t>
        </is>
      </c>
    </row>
    <row r="29">
      <c r="A29" s="29" t="inlineStr">
        <is>
          <t>Bali</t>
        </is>
      </c>
      <c r="B29" s="29" t="inlineStr">
        <is>
          <t>Indonesia</t>
        </is>
      </c>
      <c r="C29" s="30" t="inlineStr">
        <is>
          <t>Benoa Harbour Cruise Terminal → Mushroom Bay pontoon / Beach Club (Nusa Lembongan)</t>
        </is>
      </c>
      <c r="D29" s="31" t="n">
        <v>13.6</v>
      </c>
      <c r="E29" s="26" t="n">
        <v>95</v>
      </c>
      <c r="F29" s="32" t="inlineStr">
        <is>
          <t>T1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165000</v>
      </c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AY29" s="44" t="n"/>
    </row>
    <row r="30">
      <c r="A30" s="29" t="inlineStr">
        <is>
          <t>Bali</t>
        </is>
      </c>
      <c r="B30" s="29" t="inlineStr">
        <is>
          <t>Indonesia</t>
        </is>
      </c>
      <c r="C30" s="30" t="inlineStr">
        <is>
          <t>Bali (Canggu) → Uluwatu / Bukit</t>
        </is>
      </c>
      <c r="D30" s="31" t="n">
        <v>16</v>
      </c>
      <c r="E30" s="26" t="n">
        <v>16</v>
      </c>
      <c r="F30" s="32" t="inlineStr">
        <is>
          <t>T1</t>
        </is>
      </c>
      <c r="G30" s="32" t="inlineStr">
        <is>
          <t>med-high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inlineStr">
        <is>
          <t>T5</t>
        </is>
      </c>
      <c r="AI30" s="32" t="inlineStr">
        <is>
          <t>low</t>
        </is>
      </c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Estimated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AY30" s="44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31">
      <c r="A31" s="29" t="inlineStr">
        <is>
          <t>Komodo Flores</t>
        </is>
      </c>
      <c r="B31" s="29" t="inlineStr">
        <is>
          <t>Indonesia</t>
        </is>
      </c>
      <c r="C31" s="30" t="inlineStr">
        <is>
          <t>Komodo → Pink Beach / Pantai Merah anchorage</t>
        </is>
      </c>
      <c r="D31" s="31" t="n">
        <v>23.9</v>
      </c>
      <c r="E31" s="26" t="n">
        <v>50</v>
      </c>
      <c r="F31" s="32" t="inlineStr">
        <is>
          <t>T3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MIN(24,FLOOR(60*service_hr/J31,1))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5000</v>
      </c>
      <c r="AH31" s="32" t="inlineStr">
        <is>
          <t>T3</t>
        </is>
      </c>
      <c r="AI31" s="32" t="inlineStr">
        <is>
          <t>med</t>
        </is>
      </c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Grounded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economics_by_route_id.json</t>
        </is>
      </c>
      <c r="AY31" s="44" t="inlineStr">
        <is>
          <t>gojek-127/route+economics</t>
        </is>
      </c>
    </row>
    <row r="32">
      <c r="A32" s="29" t="inlineStr">
        <is>
          <t>Komodo Flores</t>
        </is>
      </c>
      <c r="B32" s="29" t="inlineStr">
        <is>
          <t>Indonesia</t>
        </is>
      </c>
      <c r="C32" s="30" t="inlineStr">
        <is>
          <t>Komodo → Padar Island Viewing-Platform Pier</t>
        </is>
      </c>
      <c r="D32" s="31" t="n">
        <v>24.4</v>
      </c>
      <c r="E32" s="26" t="n">
        <v>50</v>
      </c>
      <c r="F32" s="32" t="inlineStr">
        <is>
          <t>T3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MIN(24,FLOOR(60*service_hr/J32,1))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5000</v>
      </c>
      <c r="AH32" s="32" t="inlineStr">
        <is>
          <t>T3</t>
        </is>
      </c>
      <c r="AI32" s="32" t="inlineStr">
        <is>
          <t>med</t>
        </is>
      </c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Grounded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economics_by_route_id.json</t>
        </is>
      </c>
      <c r="AY32" s="44" t="inlineStr">
        <is>
          <t>gojek-127/route+economics</t>
        </is>
      </c>
    </row>
    <row r="33">
      <c r="A33" s="29" t="inlineStr">
        <is>
          <t>Komodo Flores</t>
        </is>
      </c>
      <c r="B33" s="29" t="inlineStr">
        <is>
          <t>Indonesia</t>
        </is>
      </c>
      <c r="C33" s="30" t="inlineStr">
        <is>
          <t>Komodo → Komodo Island — Ata Modo village</t>
        </is>
      </c>
      <c r="D33" s="31" t="n">
        <v>24.8</v>
      </c>
      <c r="E33" s="26" t="n">
        <v>50</v>
      </c>
      <c r="F33" s="32" t="inlineStr">
        <is>
          <t>T3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MIN(24,FLOOR(60*service_hr/J33,1))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5000</v>
      </c>
      <c r="AH33" s="32" t="inlineStr">
        <is>
          <t>T3</t>
        </is>
      </c>
      <c r="AI33" s="32" t="inlineStr">
        <is>
          <t>med</t>
        </is>
      </c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Grounded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economics_by_route_id.json</t>
        </is>
      </c>
      <c r="AY33" s="44" t="inlineStr">
        <is>
          <t>gojek-127/route+economics</t>
        </is>
      </c>
    </row>
    <row r="34">
      <c r="A34" s="29" t="inlineStr">
        <is>
          <t>Jakarta</t>
        </is>
      </c>
      <c r="B34" s="29" t="inlineStr">
        <is>
          <t>Indonesia</t>
        </is>
      </c>
      <c r="C34" s="30" t="inlineStr">
        <is>
          <t>Thousand Islands — inner ring → Thousand Islands — outer ring</t>
        </is>
      </c>
      <c r="D34" s="31" t="n">
        <v>28.9</v>
      </c>
      <c r="E34" s="26" t="n">
        <v>16.6</v>
      </c>
      <c r="F34" s="32" t="inlineStr">
        <is>
          <t>T5</t>
        </is>
      </c>
      <c r="G34" s="32" t="inlineStr">
        <is>
          <t>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/>
      <c r="AH34" s="32" t="inlineStr">
        <is>
          <t>T5</t>
        </is>
      </c>
      <c r="AI34" s="32" t="inlineStr">
        <is>
          <t>low</t>
        </is>
      </c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Estimated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AY34" s="44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35">
      <c r="A35" s="29" t="inlineStr">
        <is>
          <t>Jakarta</t>
        </is>
      </c>
      <c r="B35" s="29" t="inlineStr">
        <is>
          <t>Indonesia</t>
        </is>
      </c>
      <c r="C35" s="30" t="inlineStr">
        <is>
          <t>Marina Ancol → Thousand Islands — outer ring (Macan / Pelangi / Putri / Sepa)</t>
        </is>
      </c>
      <c r="D35" s="31" t="n">
        <v>35.9</v>
      </c>
      <c r="E35" s="26" t="n">
        <v>24.5</v>
      </c>
      <c r="F35" s="32" t="inlineStr">
        <is>
          <t>T2/T3</t>
        </is>
      </c>
      <c r="G35" s="32" t="inlineStr">
        <is>
          <t>high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7000</v>
      </c>
      <c r="AH35" s="32" t="inlineStr">
        <is>
          <t>T2</t>
        </is>
      </c>
      <c r="AI35" s="32" t="inlineStr">
        <is>
          <t>med</t>
        </is>
      </c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Grounded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AY35" s="44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36">
      <c r="A36" s="29" t="inlineStr">
        <is>
          <t>Eastern Indonesia</t>
        </is>
      </c>
      <c r="B36" s="29" t="inlineStr">
        <is>
          <t>Indonesia</t>
        </is>
      </c>
      <c r="C36" s="30" t="inlineStr">
        <is>
          <t>Raja Ampat → Waisai Waterfront</t>
        </is>
      </c>
      <c r="D36" s="31" t="n">
        <v>38.7</v>
      </c>
      <c r="E36" s="26" t="n">
        <v>50</v>
      </c>
      <c r="F36" s="32" t="inlineStr">
        <is>
          <t>T3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5000</v>
      </c>
      <c r="AH36" s="32" t="inlineStr">
        <is>
          <t>T3</t>
        </is>
      </c>
      <c r="AI36" s="32" t="inlineStr">
        <is>
          <t>med</t>
        </is>
      </c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Grounded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inlineStr">
        <is>
          <t>economics_by_route_id.json</t>
        </is>
      </c>
      <c r="AY36" s="44" t="inlineStr">
        <is>
          <t>gojek-127/route+economics</t>
        </is>
      </c>
    </row>
    <row r="37">
      <c r="A37" s="29" t="inlineStr">
        <is>
          <t>Eastern Indonesia</t>
        </is>
      </c>
      <c r="B37" s="29" t="inlineStr">
        <is>
          <t>Indonesia</t>
        </is>
      </c>
      <c r="C37" s="30" t="inlineStr">
        <is>
          <t>Raja Ampat → Mioskon Islet</t>
        </is>
      </c>
      <c r="D37" s="31" t="n">
        <v>40</v>
      </c>
      <c r="E37" s="26" t="n">
        <v>50</v>
      </c>
      <c r="F37" s="32" t="inlineStr">
        <is>
          <t>T3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5000</v>
      </c>
      <c r="AH37" s="32" t="inlineStr">
        <is>
          <t>T3</t>
        </is>
      </c>
      <c r="AI37" s="32" t="inlineStr">
        <is>
          <t>med</t>
        </is>
      </c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Grounded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economics_by_route_id.json</t>
        </is>
      </c>
      <c r="AY37" s="44" t="inlineStr">
        <is>
          <t>gojek-127/route+economics</t>
        </is>
      </c>
    </row>
    <row r="38">
      <c r="A38" s="29" t="inlineStr">
        <is>
          <t>Eastern Indonesia</t>
        </is>
      </c>
      <c r="B38" s="29" t="inlineStr">
        <is>
          <t>Indonesia</t>
        </is>
      </c>
      <c r="C38" s="30" t="inlineStr">
        <is>
          <t>Raja Ampat → Mansuar Island South</t>
        </is>
      </c>
      <c r="D38" s="31" t="n">
        <v>41.2</v>
      </c>
      <c r="E38" s="26" t="n">
        <v>50</v>
      </c>
      <c r="F38" s="32" t="inlineStr">
        <is>
          <t>T3</t>
        </is>
      </c>
      <c r="G38" s="32" t="inlineStr">
        <is>
          <t>med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5000</v>
      </c>
      <c r="AH38" s="32" t="inlineStr">
        <is>
          <t>T3</t>
        </is>
      </c>
      <c r="AI38" s="32" t="inlineStr">
        <is>
          <t>med</t>
        </is>
      </c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economics_by_route_id.json</t>
        </is>
      </c>
      <c r="AY38" s="44" t="inlineStr">
        <is>
          <t>gojek-127/route+economics</t>
        </is>
      </c>
    </row>
    <row r="39">
      <c r="A39" s="29" t="inlineStr">
        <is>
          <t>Bali</t>
        </is>
      </c>
      <c r="B39" s="29" t="inlineStr">
        <is>
          <t>Indonesia</t>
        </is>
      </c>
      <c r="C39" s="30" t="inlineStr">
        <is>
          <t>Bali → Gili Islands / Lombok</t>
        </is>
      </c>
      <c r="D39" s="31" t="n">
        <v>45</v>
      </c>
      <c r="E39" s="26" t="n">
        <v>64</v>
      </c>
      <c r="F39" s="32" t="inlineStr">
        <is>
          <t>T3</t>
        </is>
      </c>
      <c r="G39" s="32" t="inlineStr">
        <is>
          <t>med-high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600000</v>
      </c>
      <c r="AH39" s="32" t="inlineStr">
        <is>
          <t>T5</t>
        </is>
      </c>
      <c r="AI39" s="32" t="inlineStr">
        <is>
          <t>low-med</t>
        </is>
      </c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Premium transfer tier, Bali-&gt;Gili Trawangan. Tripadvisor 'Luxury Speedboat Transfer' $64; standard $28-42; budget ~$20; whole-boat private $500-1200.</t>
        </is>
      </c>
      <c r="AY39" s="44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40">
      <c r="A40" s="29" t="inlineStr">
        <is>
          <t>Bali</t>
        </is>
      </c>
      <c r="B40" s="29" t="inlineStr">
        <is>
          <t>Indonesia</t>
        </is>
      </c>
      <c r="C40" s="30" t="inlineStr">
        <is>
          <t>Bali → Lombok</t>
        </is>
      </c>
      <c r="D40" s="31" t="n">
        <v>52.7</v>
      </c>
      <c r="E40" s="26" t="n">
        <v>50</v>
      </c>
      <c r="F40" s="32" t="inlineStr">
        <is>
          <t>T3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5000</v>
      </c>
      <c r="AH40" s="32" t="inlineStr">
        <is>
          <t>T3</t>
        </is>
      </c>
      <c r="AI40" s="32" t="inlineStr">
        <is>
          <t>med</t>
        </is>
      </c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Grounded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economics_by_route_id.json</t>
        </is>
      </c>
      <c r="AY40" s="44" t="inlineStr">
        <is>
          <t>gojek-127/route+economics</t>
        </is>
      </c>
    </row>
    <row r="41">
      <c r="A41" s="29" t="inlineStr">
        <is>
          <t>Bali</t>
        </is>
      </c>
      <c r="B41" s="29" t="inlineStr">
        <is>
          <t>Indonesia</t>
        </is>
      </c>
      <c r="C41" s="30" t="inlineStr">
        <is>
          <t>Bali → Lombok</t>
        </is>
      </c>
      <c r="D41" s="31" t="n">
        <v>55</v>
      </c>
      <c r="E41" s="26" t="n">
        <v>50</v>
      </c>
      <c r="F41" s="32" t="inlineStr">
        <is>
          <t>T3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5000</v>
      </c>
      <c r="AH41" s="32" t="inlineStr">
        <is>
          <t>T3</t>
        </is>
      </c>
      <c r="AI41" s="32" t="inlineStr">
        <is>
          <t>med</t>
        </is>
      </c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Grounded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inlineStr">
        <is>
          <t>economics_by_route_id.json</t>
        </is>
      </c>
      <c r="AY41" s="44" t="inlineStr">
        <is>
          <t>gojek-127/route+economics</t>
        </is>
      </c>
    </row>
    <row r="42">
      <c r="A42" s="29" t="inlineStr">
        <is>
          <t>Bali</t>
        </is>
      </c>
      <c r="B42" s="29" t="inlineStr">
        <is>
          <t>Indonesia</t>
        </is>
      </c>
      <c r="C42" s="30" t="inlineStr">
        <is>
          <t>Lombok → Gili Trawangan main jetty</t>
        </is>
      </c>
      <c r="D42" s="31" t="n">
        <v>62.6</v>
      </c>
      <c r="E42" s="26" t="n">
        <v>50</v>
      </c>
      <c r="F42" s="32" t="inlineStr">
        <is>
          <t>T3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5000</v>
      </c>
      <c r="AH42" s="32" t="inlineStr">
        <is>
          <t>T3</t>
        </is>
      </c>
      <c r="AI42" s="32" t="inlineStr">
        <is>
          <t>med</t>
        </is>
      </c>
      <c r="AJ42" s="39" t="n">
        <v>0.1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Grounded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economics_by_route_id.json</t>
        </is>
      </c>
      <c r="AY42" s="44" t="inlineStr">
        <is>
          <t>gojek-127/route+economics</t>
        </is>
      </c>
    </row>
    <row r="43">
      <c r="A43" s="29" t="inlineStr">
        <is>
          <t>Bali</t>
        </is>
      </c>
      <c r="B43" s="29" t="inlineStr">
        <is>
          <t>Indonesia</t>
        </is>
      </c>
      <c r="C43" s="30" t="inlineStr">
        <is>
          <t>Lombok → Gili Air main jetty</t>
        </is>
      </c>
      <c r="D43" s="31" t="n">
        <v>63.1</v>
      </c>
      <c r="E43" s="26" t="n">
        <v>50</v>
      </c>
      <c r="F43" s="32" t="inlineStr">
        <is>
          <t>T3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5000</v>
      </c>
      <c r="AH43" s="32" t="inlineStr">
        <is>
          <t>T3</t>
        </is>
      </c>
      <c r="AI43" s="32" t="inlineStr">
        <is>
          <t>med</t>
        </is>
      </c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Grounded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inlineStr">
        <is>
          <t>economics_by_route_id.json</t>
        </is>
      </c>
      <c r="AY43" s="44" t="inlineStr">
        <is>
          <t>gojek-127/route+economics</t>
        </is>
      </c>
    </row>
    <row r="44">
      <c r="A44" s="29" t="inlineStr">
        <is>
          <t>Langkawi</t>
        </is>
      </c>
      <c r="B44" s="29" t="inlineStr">
        <is>
          <t>Malaysia</t>
        </is>
      </c>
      <c r="C44" s="30" t="inlineStr">
        <is>
          <t>George Town (Swettenham) → Butterworth (mainland)</t>
        </is>
      </c>
      <c r="D44" s="31" t="n">
        <v>1.62</v>
      </c>
      <c r="E44" s="26" t="n"/>
      <c r="F44" s="32" t="inlineStr">
        <is>
          <t>T1</t>
        </is>
      </c>
      <c r="G44" s="32" t="inlineStr">
        <is>
          <t>high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/>
      <c r="AH44" s="32" t="inlineStr">
        <is>
          <t>T2</t>
        </is>
      </c>
      <c r="AI44" s="32" t="inlineStr">
        <is>
          <t>high</t>
        </is>
      </c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Estimated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inlineStr">
        <is>
          <t>Penang Port public ferry (George Town&lt;-&gt;Butterworth) adult pedestrian fare RM2.00/way (RM1.00 under-12), per penangport.gov.my &amp; 2023 fare notice. RM2 @4.30 = $0.47.</t>
        </is>
      </c>
      <c r="AY44" s="44" t="inlineStr">
        <is>
          <t>Penang ferry service recorded 2.1 million passengers + 747,785 vehicles in 2024 (Wikipedia / Penang Port). New service hit 5M cumulative &lt;2yr (The Star, May 2025).</t>
        </is>
      </c>
    </row>
    <row r="45">
      <c r="A45" s="29" t="inlineStr">
        <is>
          <t>Borneo</t>
        </is>
      </c>
      <c r="B45" s="29" t="inlineStr">
        <is>
          <t>Malaysia</t>
        </is>
      </c>
      <c r="C45" s="30" t="inlineStr">
        <is>
          <t>Kota Kinabalu (Jesselton Point) → Tunku Abdul Rahman park (Gaya / Manukan / Sapi)</t>
        </is>
      </c>
      <c r="D45" s="31" t="n">
        <v>3.16</v>
      </c>
      <c r="E45" s="26" t="n"/>
      <c r="F45" s="32" t="inlineStr">
        <is>
          <t>T3</t>
        </is>
      </c>
      <c r="G45" s="32" t="inlineStr">
        <is>
          <t>med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/>
      <c r="AH45" s="32" t="inlineStr">
        <is>
          <t>T2</t>
        </is>
      </c>
      <c r="AI45" s="32" t="inlineStr">
        <is>
          <t>high</t>
        </is>
      </c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Estimated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AY45" s="44" t="inlineStr">
        <is>
          <t>Sabah Parks Dashboard (dashboard.sabahparks.org.my): Tunku Abdul Rahman Park highest accumulated visitor volume 546,383 (2025); &gt;500k in 2019 (citympvtravel).</t>
        </is>
      </c>
    </row>
    <row r="46">
      <c r="A46" s="29" t="inlineStr">
        <is>
          <t>Borneo</t>
        </is>
      </c>
      <c r="B46" s="29" t="inlineStr">
        <is>
          <t>Malaysia</t>
        </is>
      </c>
      <c r="C46" s="30" t="inlineStr">
        <is>
          <t>Kota Kinabalu (Sutera Harbour) → Gaya Island resorts</t>
        </is>
      </c>
      <c r="D46" s="31" t="n">
        <v>4.29</v>
      </c>
      <c r="E46" s="26" t="n">
        <v>19</v>
      </c>
      <c r="F46" s="32" t="inlineStr">
        <is>
          <t>T1</t>
        </is>
      </c>
      <c r="G46" s="32" t="inlineStr">
        <is>
          <t>high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45000</v>
      </c>
      <c r="AH46" s="32" t="inlineStr">
        <is>
          <t>T5</t>
        </is>
      </c>
      <c r="AI46" s="32" t="inlineStr">
        <is>
          <t>low</t>
        </is>
      </c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Grounded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AY46" s="44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47">
      <c r="A47" s="29" t="inlineStr">
        <is>
          <t>Penang</t>
        </is>
      </c>
      <c r="B47" s="29" t="inlineStr">
        <is>
          <t>Malaysia</t>
        </is>
      </c>
      <c r="C47" s="30" t="inlineStr">
        <is>
          <t>George Town → Batu Ferringhi resort strip</t>
        </is>
      </c>
      <c r="D47" s="31" t="n">
        <v>6.6</v>
      </c>
      <c r="E47" s="26" t="n">
        <v>30</v>
      </c>
      <c r="F47" s="32" t="inlineStr">
        <is>
          <t>T5</t>
        </is>
      </c>
      <c r="G47" s="32" t="inlineStr">
        <is>
          <t>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inlineStr">
        <is>
          <t>T5</t>
        </is>
      </c>
      <c r="AI47" s="32" t="inlineStr">
        <is>
          <t>low</t>
        </is>
      </c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Estimated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AY47" s="44" t="inlineStr">
        <is>
          <t>No boat crossing exists; Batu Ferringhi hotel-strip arrivals come by road. No credible on-water pax pool.</t>
        </is>
      </c>
    </row>
    <row r="48">
      <c r="A48" s="29" t="inlineStr">
        <is>
          <t>Penang</t>
        </is>
      </c>
      <c r="B48" s="29" t="inlineStr">
        <is>
          <t>Malaysia</t>
        </is>
      </c>
      <c r="C48" s="30" t="inlineStr">
        <is>
          <t>Kuah Jetty (Langkawi) → Langkawi geopark island-hop (Dayang Bunting / Payar)</t>
        </is>
      </c>
      <c r="D48" s="31" t="n">
        <v>10</v>
      </c>
      <c r="E48" s="26" t="n">
        <v>20</v>
      </c>
      <c r="F48" s="32" t="inlineStr">
        <is>
          <t>T3</t>
        </is>
      </c>
      <c r="G48" s="32" t="inlineStr">
        <is>
          <t>med-high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400000</v>
      </c>
      <c r="AH48" s="32" t="inlineStr">
        <is>
          <t>T5</t>
        </is>
      </c>
      <c r="AI48" s="32" t="inlineStr">
        <is>
          <t>low</t>
        </is>
      </c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Grounded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AY48" s="44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49">
      <c r="A49" s="29" t="inlineStr">
        <is>
          <t>Penang</t>
        </is>
      </c>
      <c r="B49" s="29" t="inlineStr">
        <is>
          <t>Malaysia</t>
        </is>
      </c>
      <c r="C49" s="30" t="inlineStr">
        <is>
          <t>Kuah Jetty (Langkawi) → Kuala Perlis (mainland)</t>
        </is>
      </c>
      <c r="D49" s="31" t="n">
        <v>16.8</v>
      </c>
      <c r="E49" s="26" t="n">
        <v>10.5</v>
      </c>
      <c r="F49" s="32" t="inlineStr">
        <is>
          <t>T1</t>
        </is>
      </c>
      <c r="G49" s="32" t="inlineStr">
        <is>
          <t>med-high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1600000</v>
      </c>
      <c r="AH49" s="32" t="inlineStr">
        <is>
          <t>T2</t>
        </is>
      </c>
      <c r="AI49" s="32" t="inlineStr">
        <is>
          <t>med</t>
        </is>
      </c>
      <c r="AJ49" s="39" t="n">
        <v>0.1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Grounded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AY49" s="44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50">
      <c r="A50" s="29" t="inlineStr">
        <is>
          <t>Penang</t>
        </is>
      </c>
      <c r="B50" s="29" t="inlineStr">
        <is>
          <t>Malaysia</t>
        </is>
      </c>
      <c r="C50" s="30" t="inlineStr">
        <is>
          <t>Telaga Harbour (Langkawi) → Koh Lipe (Thailand)</t>
        </is>
      </c>
      <c r="D50" s="31" t="n">
        <v>23</v>
      </c>
      <c r="E50" s="26" t="n">
        <v>41.9</v>
      </c>
      <c r="F50" s="32" t="inlineStr">
        <is>
          <t>T3</t>
        </is>
      </c>
      <c r="G50" s="32" t="inlineStr">
        <is>
          <t>high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45000</v>
      </c>
      <c r="AH50" s="32" t="inlineStr">
        <is>
          <t>T5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Grounded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AY50" s="44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51">
      <c r="A51" s="29" t="inlineStr">
        <is>
          <t>Penang</t>
        </is>
      </c>
      <c r="B51" s="29" t="inlineStr">
        <is>
          <t>Malaysia</t>
        </is>
      </c>
      <c r="C51" s="30" t="inlineStr">
        <is>
          <t>Langkawi → Koh Lipe (Thailand)</t>
        </is>
      </c>
      <c r="D51" s="31" t="n">
        <v>24.6</v>
      </c>
      <c r="E51" s="26" t="n">
        <v>37</v>
      </c>
      <c r="F51" s="32" t="inlineStr">
        <is>
          <t>T3</t>
        </is>
      </c>
      <c r="G51" s="32" t="inlineStr">
        <is>
          <t>high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60000</v>
      </c>
      <c r="AH51" s="32" t="inlineStr">
        <is>
          <t>T5</t>
        </is>
      </c>
      <c r="AI51" s="32" t="inlineStr">
        <is>
          <t>low</t>
        </is>
      </c>
      <c r="AJ51" s="39" t="n">
        <v>0.1</v>
      </c>
      <c r="AK51" s="34">
        <f>IF(AG51="","",AG51*AJ51)</f>
        <v/>
      </c>
      <c r="AL51" s="34">
        <f>IF(OR(AG51="",R51=0),"",MIN(IF(AT51="",9.9E+99,AT51),FLOOR(AK51/R51,1)))</f>
        <v/>
      </c>
      <c r="AM51" s="38">
        <f>IF(AL51="","",AL51*T51)</f>
        <v/>
      </c>
      <c r="AN51" s="36">
        <f>IF(OR(AG51="",R51=0),"",MIN(IF(AT51="",9.9E+99,AT51),AK51/R51))</f>
        <v/>
      </c>
      <c r="AO51" s="38">
        <f>IF(AN51="","",AN51*T51)</f>
        <v/>
      </c>
      <c r="AP51" s="40" t="n"/>
      <c r="AQ51" s="32" t="inlineStr">
        <is>
          <t>Grounded</t>
        </is>
      </c>
      <c r="AR51" s="41" t="n"/>
      <c r="AS51" s="41" t="n"/>
      <c r="AT51" s="42" t="n"/>
      <c r="AU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V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W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X51" s="44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AY51" s="44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52">
      <c r="A52" s="29" t="inlineStr">
        <is>
          <t>Penang</t>
        </is>
      </c>
      <c r="B52" s="29" t="inlineStr">
        <is>
          <t>Malaysia</t>
        </is>
      </c>
      <c r="C52" s="30" t="inlineStr">
        <is>
          <t>Kuah Jetty (Langkawi) → Kuala Kedah (mainland)</t>
        </is>
      </c>
      <c r="D52" s="31" t="n">
        <v>27</v>
      </c>
      <c r="E52" s="26" t="n">
        <v>12.8</v>
      </c>
      <c r="F52" s="32" t="inlineStr">
        <is>
          <t>T1</t>
        </is>
      </c>
      <c r="G52" s="32" t="inlineStr">
        <is>
          <t>med-high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1000000</v>
      </c>
      <c r="AH52" s="32" t="inlineStr">
        <is>
          <t>T2</t>
        </is>
      </c>
      <c r="AI52" s="32" t="inlineStr">
        <is>
          <t>med</t>
        </is>
      </c>
      <c r="AJ52" s="39" t="n">
        <v>0.1</v>
      </c>
      <c r="AK52" s="34">
        <f>IF(AG52="","",AG52*AJ52)</f>
        <v/>
      </c>
      <c r="AL52" s="34">
        <f>IF(OR(AG52="",R52=0),"",MIN(IF(AT52="",9.9E+99,AT52),FLOOR(AK52/R52,1)))</f>
        <v/>
      </c>
      <c r="AM52" s="38">
        <f>IF(AL52="","",AL52*T52)</f>
        <v/>
      </c>
      <c r="AN52" s="36">
        <f>IF(OR(AG52="",R52=0),"",MIN(IF(AT52="",9.9E+99,AT52),AK52/R52))</f>
        <v/>
      </c>
      <c r="AO52" s="38">
        <f>IF(AN52="","",AN52*T52)</f>
        <v/>
      </c>
      <c r="AP52" s="40" t="n"/>
      <c r="AQ52" s="32" t="inlineStr">
        <is>
          <t>Grounded</t>
        </is>
      </c>
      <c r="AR52" s="41" t="n"/>
      <c r="AS52" s="41" t="n"/>
      <c r="AT52" s="42" t="n"/>
      <c r="AU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V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W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X52" s="44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AY52" s="44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53">
      <c r="A53" s="29" t="inlineStr">
        <is>
          <t>Borneo</t>
        </is>
      </c>
      <c r="B53" s="29" t="inlineStr">
        <is>
          <t>Malaysia</t>
        </is>
      </c>
      <c r="C53" s="30" t="inlineStr">
        <is>
          <t>Kota Kinabalu → Mantanani Islands</t>
        </is>
      </c>
      <c r="D53" s="31" t="n">
        <v>47.89</v>
      </c>
      <c r="E53" s="26" t="n">
        <v>26</v>
      </c>
      <c r="F53" s="32" t="inlineStr">
        <is>
          <t>T4</t>
        </is>
      </c>
      <c r="G53" s="32" t="inlineStr">
        <is>
          <t>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150000</v>
      </c>
      <c r="AH53" s="32" t="inlineStr">
        <is>
          <t>T2</t>
        </is>
      </c>
      <c r="AI53" s="32" t="inlineStr">
        <is>
          <t>low</t>
        </is>
      </c>
      <c r="AJ53" s="39" t="n">
        <v>0.1</v>
      </c>
      <c r="AK53" s="34">
        <f>IF(AG53="","",AG53*AJ53)</f>
        <v/>
      </c>
      <c r="AL53" s="34">
        <f>IF(OR(AG53="",R53=0),"",MIN(IF(AT53="",9.9E+99,AT53),FLOOR(AK53/R53,1)))</f>
        <v/>
      </c>
      <c r="AM53" s="38">
        <f>IF(AL53="","",AL53*T53)</f>
        <v/>
      </c>
      <c r="AN53" s="36">
        <f>IF(OR(AG53="",R53=0),"",MIN(IF(AT53="",9.9E+99,AT53),AK53/R53))</f>
        <v/>
      </c>
      <c r="AO53" s="38">
        <f>IF(AN53="","",AN53*T53)</f>
        <v/>
      </c>
      <c r="AP53" s="40" t="n"/>
      <c r="AQ53" s="32" t="inlineStr">
        <is>
          <t>Grounded</t>
        </is>
      </c>
      <c r="AR53" s="41" t="n"/>
      <c r="AS53" s="41" t="n"/>
      <c r="AT53" s="42" t="n"/>
      <c r="AU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V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W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X53" s="44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AY53" s="44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54">
      <c r="A54" s="29" t="inlineStr">
        <is>
          <t>Penang</t>
        </is>
      </c>
      <c r="B54" s="29" t="inlineStr">
        <is>
          <t>Malaysia</t>
        </is>
      </c>
      <c r="C54" s="30" t="inlineStr">
        <is>
          <t>Kuah Jetty (Langkawi) → George Town, Penang (Swettenham Pier)</t>
        </is>
      </c>
      <c r="D54" s="31" t="n">
        <v>62</v>
      </c>
      <c r="E54" s="26" t="n">
        <v>17.4</v>
      </c>
      <c r="F54" s="32" t="inlineStr">
        <is>
          <t>T3</t>
        </is>
      </c>
      <c r="G54" s="32" t="inlineStr">
        <is>
          <t>med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/>
      <c r="AH54" s="32" t="inlineStr">
        <is>
          <t>T5</t>
        </is>
      </c>
      <c r="AI54" s="32" t="inlineStr">
        <is>
          <t>low</t>
        </is>
      </c>
      <c r="AJ54" s="39" t="n">
        <v>0.1</v>
      </c>
      <c r="AK54" s="34">
        <f>IF(AG54="","",AG54*AJ54)</f>
        <v/>
      </c>
      <c r="AL54" s="34">
        <f>IF(OR(AG54="",R54=0),"",MIN(IF(AT54="",9.9E+99,AT54),FLOOR(AK54/R54,1)))</f>
        <v/>
      </c>
      <c r="AM54" s="38">
        <f>IF(AL54="","",AL54*T54)</f>
        <v/>
      </c>
      <c r="AN54" s="36">
        <f>IF(OR(AG54="",R54=0),"",MIN(IF(AT54="",9.9E+99,AT54),AK54/R54))</f>
        <v/>
      </c>
      <c r="AO54" s="38">
        <f>IF(AN54="","",AN54*T54)</f>
        <v/>
      </c>
      <c r="AP54" s="40" t="n"/>
      <c r="AQ54" s="32" t="inlineStr">
        <is>
          <t>Estimated</t>
        </is>
      </c>
      <c r="AR54" s="41" t="n"/>
      <c r="AS54" s="41" t="n"/>
      <c r="AT54" s="42" t="n"/>
      <c r="AU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V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W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X54" s="44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AY54" s="44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55">
      <c r="A55" s="29" t="inlineStr">
        <is>
          <t>Penang</t>
        </is>
      </c>
      <c r="B55" s="29" t="inlineStr">
        <is>
          <t>Malaysia</t>
        </is>
      </c>
      <c r="C55" s="30" t="inlineStr">
        <is>
          <t>Penang → Pangkor Island</t>
        </is>
      </c>
      <c r="D55" s="31" t="n">
        <v>66</v>
      </c>
      <c r="E55" s="26" t="n">
        <v>19</v>
      </c>
      <c r="F55" s="32" t="inlineStr">
        <is>
          <t>T1</t>
        </is>
      </c>
      <c r="G55" s="32" t="inlineStr">
        <is>
          <t>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/>
      <c r="AH55" s="32" t="inlineStr">
        <is>
          <t>T4</t>
        </is>
      </c>
      <c r="AI55" s="32" t="inlineStr">
        <is>
          <t>low</t>
        </is>
      </c>
      <c r="AJ55" s="39" t="n">
        <v>0.1</v>
      </c>
      <c r="AK55" s="34">
        <f>IF(AG55="","",AG55*AJ55)</f>
        <v/>
      </c>
      <c r="AL55" s="34">
        <f>IF(OR(AG55="",R55=0),"",MIN(IF(AT55="",9.9E+99,AT55),FLOOR(AK55/R55,1)))</f>
        <v/>
      </c>
      <c r="AM55" s="38">
        <f>IF(AL55="","",AL55*T55)</f>
        <v/>
      </c>
      <c r="AN55" s="36">
        <f>IF(OR(AG55="",R55=0),"",MIN(IF(AT55="",9.9E+99,AT55),AK55/R55))</f>
        <v/>
      </c>
      <c r="AO55" s="38">
        <f>IF(AN55="","",AN55*T55)</f>
        <v/>
      </c>
      <c r="AP55" s="40" t="n"/>
      <c r="AQ55" s="32" t="inlineStr">
        <is>
          <t>Estimated</t>
        </is>
      </c>
      <c r="AR55" s="41" t="n"/>
      <c r="AS55" s="41" t="n"/>
      <c r="AT55" s="42" t="n"/>
      <c r="AU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V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W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X55" s="44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AY55" s="44" t="inlineStr">
        <is>
          <t>Pangkor receives sizeable visitor traffic but via the Lumut/Marina Island crossing, not from Penang (50nm). No direct-Penang pax pool exists.</t>
        </is>
      </c>
    </row>
    <row r="56">
      <c r="A56" s="29" t="inlineStr">
        <is>
          <t>Penang</t>
        </is>
      </c>
      <c r="B56" s="29" t="inlineStr">
        <is>
          <t>Malaysia</t>
        </is>
      </c>
      <c r="C56" s="30" t="inlineStr">
        <is>
          <t>Penang → Langkawi</t>
        </is>
      </c>
      <c r="D56" s="31" t="n">
        <v>66.40000000000001</v>
      </c>
      <c r="E56" s="26" t="n">
        <v>17</v>
      </c>
      <c r="F56" s="32" t="inlineStr">
        <is>
          <t>T4</t>
        </is>
      </c>
      <c r="G56" s="32" t="inlineStr">
        <is>
          <t>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/>
      <c r="AH56" s="32" t="inlineStr">
        <is>
          <t>T4</t>
        </is>
      </c>
      <c r="AI56" s="32" t="inlineStr">
        <is>
          <t>low</t>
        </is>
      </c>
      <c r="AJ56" s="39" t="n">
        <v>0.1</v>
      </c>
      <c r="AK56" s="34">
        <f>IF(AG56="","",AG56*AJ56)</f>
        <v/>
      </c>
      <c r="AL56" s="34">
        <f>IF(OR(AG56="",R56=0),"",MIN(IF(AT56="",9.9E+99,AT56),FLOOR(AK56/R56,1)))</f>
        <v/>
      </c>
      <c r="AM56" s="38">
        <f>IF(AL56="","",AL56*T56)</f>
        <v/>
      </c>
      <c r="AN56" s="36">
        <f>IF(OR(AG56="",R56=0),"",MIN(IF(AT56="",9.9E+99,AT56),AK56/R56))</f>
        <v/>
      </c>
      <c r="AO56" s="38">
        <f>IF(AN56="","",AN56*T56)</f>
        <v/>
      </c>
      <c r="AP56" s="40" t="n"/>
      <c r="AQ56" s="32" t="inlineStr">
        <is>
          <t>Estimated</t>
        </is>
      </c>
      <c r="AR56" s="41" t="n"/>
      <c r="AS56" s="41" t="n"/>
      <c r="AT56" s="42" t="n"/>
      <c r="AU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V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W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X56" s="44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AY56" s="44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57">
      <c r="A57" s="29" t="inlineStr">
        <is>
          <t>Penang</t>
        </is>
      </c>
      <c r="B57" s="29" t="inlineStr">
        <is>
          <t>Malaysia</t>
        </is>
      </c>
      <c r="C57" s="30" t="inlineStr">
        <is>
          <t>Penang → Langkawi</t>
        </is>
      </c>
      <c r="D57" s="31" t="n">
        <v>66.40000000000001</v>
      </c>
      <c r="E57" s="26" t="n">
        <v>17</v>
      </c>
      <c r="F57" s="32" t="inlineStr">
        <is>
          <t>T4</t>
        </is>
      </c>
      <c r="G57" s="32" t="inlineStr">
        <is>
          <t>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/>
      <c r="AH57" s="32" t="inlineStr">
        <is>
          <t>T4</t>
        </is>
      </c>
      <c r="AI57" s="32" t="inlineStr">
        <is>
          <t>low</t>
        </is>
      </c>
      <c r="AJ57" s="39" t="n">
        <v>0.1</v>
      </c>
      <c r="AK57" s="34">
        <f>IF(AG57="","",AG57*AJ57)</f>
        <v/>
      </c>
      <c r="AL57" s="34">
        <f>IF(OR(AG57="",R57=0),"",MIN(IF(AT57="",9.9E+99,AT57),FLOOR(AK57/R57,1)))</f>
        <v/>
      </c>
      <c r="AM57" s="38">
        <f>IF(AL57="","",AL57*T57)</f>
        <v/>
      </c>
      <c r="AN57" s="36">
        <f>IF(OR(AG57="",R57=0),"",MIN(IF(AT57="",9.9E+99,AT57),AK57/R57))</f>
        <v/>
      </c>
      <c r="AO57" s="38">
        <f>IF(AN57="","",AN57*T57)</f>
        <v/>
      </c>
      <c r="AP57" s="40" t="n"/>
      <c r="AQ57" s="32" t="inlineStr">
        <is>
          <t>Estimated</t>
        </is>
      </c>
      <c r="AR57" s="41" t="n"/>
      <c r="AS57" s="41" t="n"/>
      <c r="AT57" s="42" t="n"/>
      <c r="AU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V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W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X57" s="44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AY57" s="44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58">
      <c r="A58" s="29" t="inlineStr">
        <is>
          <t>Philippines</t>
        </is>
      </c>
      <c r="B58" s="29" t="inlineStr">
        <is>
          <t>Philippines</t>
        </is>
      </c>
      <c r="C58" s="30" t="inlineStr">
        <is>
          <t>Caticlan Jetty (Tabipan) → Boracay (Cagban Jetty)</t>
        </is>
      </c>
      <c r="D58" s="31" t="n">
        <v>0.9</v>
      </c>
      <c r="E58" s="26" t="n">
        <v>15</v>
      </c>
      <c r="F58" s="32" t="inlineStr">
        <is>
          <t>T3</t>
        </is>
      </c>
      <c r="G58" s="32" t="inlineStr">
        <is>
          <t>high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4000000</v>
      </c>
      <c r="AH58" s="32" t="inlineStr">
        <is>
          <t>T2</t>
        </is>
      </c>
      <c r="AI58" s="32" t="inlineStr">
        <is>
          <t>high</t>
        </is>
      </c>
      <c r="AJ58" s="39" t="n">
        <v>0.1</v>
      </c>
      <c r="AK58" s="34">
        <f>IF(AG58="","",AG58*AJ58)</f>
        <v/>
      </c>
      <c r="AL58" s="34">
        <f>IF(OR(AG58="",R58=0),"",MIN(IF(AT58="",9.9E+99,AT58),FLOOR(AK58/R58,1)))</f>
        <v/>
      </c>
      <c r="AM58" s="38">
        <f>IF(AL58="","",AL58*T58)</f>
        <v/>
      </c>
      <c r="AN58" s="36">
        <f>IF(OR(AG58="",R58=0),"",MIN(IF(AT58="",9.9E+99,AT58),AK58/R58))</f>
        <v/>
      </c>
      <c r="AO58" s="38">
        <f>IF(AN58="","",AN58*T58)</f>
        <v/>
      </c>
      <c r="AP58" s="40" t="n"/>
      <c r="AQ58" s="32" t="inlineStr">
        <is>
          <t>Grounded</t>
        </is>
      </c>
      <c r="AR58" s="41" t="n"/>
      <c r="AS58" s="41" t="n"/>
      <c r="AT58" s="42" t="n"/>
      <c r="AU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V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W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X58" s="44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AY58" s="44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59">
      <c r="A59" s="29" t="inlineStr">
        <is>
          <t>Philippines</t>
        </is>
      </c>
      <c r="B59" s="29" t="inlineStr">
        <is>
          <t>Philippines</t>
        </is>
      </c>
      <c r="C59" s="30" t="inlineStr">
        <is>
          <t>Boracay (Cagban) → Carabao Island (Lanas Beach)</t>
        </is>
      </c>
      <c r="D59" s="31" t="n">
        <v>5.5</v>
      </c>
      <c r="E59" s="26" t="n">
        <v>11</v>
      </c>
      <c r="F59" s="32" t="inlineStr">
        <is>
          <t>T3</t>
        </is>
      </c>
      <c r="G59" s="32" t="inlineStr">
        <is>
          <t>med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60000</v>
      </c>
      <c r="AH59" s="32" t="inlineStr">
        <is>
          <t>T5</t>
        </is>
      </c>
      <c r="AI59" s="32" t="inlineStr">
        <is>
          <t>low</t>
        </is>
      </c>
      <c r="AJ59" s="39" t="n">
        <v>0.1</v>
      </c>
      <c r="AK59" s="34">
        <f>IF(AG59="","",AG59*AJ59)</f>
        <v/>
      </c>
      <c r="AL59" s="34">
        <f>IF(OR(AG59="",R59=0),"",MIN(IF(AT59="",9.9E+99,AT59),FLOOR(AK59/R59,1)))</f>
        <v/>
      </c>
      <c r="AM59" s="38">
        <f>IF(AL59="","",AL59*T59)</f>
        <v/>
      </c>
      <c r="AN59" s="36">
        <f>IF(OR(AG59="",R59=0),"",MIN(IF(AT59="",9.9E+99,AT59),AK59/R59))</f>
        <v/>
      </c>
      <c r="AO59" s="38">
        <f>IF(AN59="","",AN59*T59)</f>
        <v/>
      </c>
      <c r="AP59" s="40" t="n"/>
      <c r="AQ59" s="32" t="inlineStr">
        <is>
          <t>Grounded</t>
        </is>
      </c>
      <c r="AR59" s="41" t="n"/>
      <c r="AS59" s="41" t="n"/>
      <c r="AT59" s="42" t="n"/>
      <c r="AU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V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W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X59" s="44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AY59" s="44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60">
      <c r="A60" s="29" t="inlineStr">
        <is>
          <t>Philippines</t>
        </is>
      </c>
      <c r="B60" s="29" t="inlineStr">
        <is>
          <t>Philippines</t>
        </is>
      </c>
      <c r="C60" s="30" t="inlineStr">
        <is>
          <t>Boracay (White Beach) → Boracay island-hop loop (Puka / Crocodile Is.)</t>
        </is>
      </c>
      <c r="D60" s="31" t="n">
        <v>6</v>
      </c>
      <c r="E60" s="26" t="n">
        <v>23</v>
      </c>
      <c r="F60" s="32" t="inlineStr">
        <is>
          <t>T3</t>
        </is>
      </c>
      <c r="G60" s="32" t="inlineStr">
        <is>
          <t>med-high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500000</v>
      </c>
      <c r="AH60" s="32" t="inlineStr">
        <is>
          <t>T5</t>
        </is>
      </c>
      <c r="AI60" s="32" t="inlineStr">
        <is>
          <t>low</t>
        </is>
      </c>
      <c r="AJ60" s="39" t="n">
        <v>0.1</v>
      </c>
      <c r="AK60" s="34">
        <f>IF(AG60="","",AG60*AJ60)</f>
        <v/>
      </c>
      <c r="AL60" s="34">
        <f>IF(OR(AG60="",R60=0),"",MIN(IF(AT60="",9.9E+99,AT60),FLOOR(AK60/R60,1)))</f>
        <v/>
      </c>
      <c r="AM60" s="38">
        <f>IF(AL60="","",AL60*T60)</f>
        <v/>
      </c>
      <c r="AN60" s="36">
        <f>IF(OR(AG60="",R60=0),"",MIN(IF(AT60="",9.9E+99,AT60),AK60/R60))</f>
        <v/>
      </c>
      <c r="AO60" s="38">
        <f>IF(AN60="","",AN60*T60)</f>
        <v/>
      </c>
      <c r="AP60" s="40" t="n"/>
      <c r="AQ60" s="32" t="inlineStr">
        <is>
          <t>Grounded</t>
        </is>
      </c>
      <c r="AR60" s="41" t="n"/>
      <c r="AS60" s="41" t="n"/>
      <c r="AT60" s="42" t="n"/>
      <c r="AU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V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W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X60" s="44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AY60" s="44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61">
      <c r="A61" s="29" t="inlineStr">
        <is>
          <t>Philippines</t>
        </is>
      </c>
      <c r="B61" s="29" t="inlineStr">
        <is>
          <t>Philippines</t>
        </is>
      </c>
      <c r="C61" s="30" t="inlineStr">
        <is>
          <t>Manila (Esplanade) → Sangley Point (Cavite)</t>
        </is>
      </c>
      <c r="D61" s="31" t="n">
        <v>8</v>
      </c>
      <c r="E61" s="26" t="n"/>
      <c r="F61" s="32" t="inlineStr">
        <is>
          <t>T2</t>
        </is>
      </c>
      <c r="G61" s="32" t="inlineStr">
        <is>
          <t>low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/>
      <c r="AH61" s="32" t="inlineStr">
        <is>
          <t>T2</t>
        </is>
      </c>
      <c r="AI61" s="32" t="inlineStr">
        <is>
          <t>low</t>
        </is>
      </c>
      <c r="AJ61" s="39" t="n">
        <v>0.1</v>
      </c>
      <c r="AK61" s="34">
        <f>IF(AG61="","",AG61*AJ61)</f>
        <v/>
      </c>
      <c r="AL61" s="34">
        <f>IF(OR(AG61="",R61=0),"",MIN(IF(AT61="",9.9E+99,AT61),FLOOR(AK61/R61,1)))</f>
        <v/>
      </c>
      <c r="AM61" s="38">
        <f>IF(AL61="","",AL61*T61)</f>
        <v/>
      </c>
      <c r="AN61" s="36">
        <f>IF(OR(AG61="",R61=0),"",MIN(IF(AT61="",9.9E+99,AT61),AK61/R61))</f>
        <v/>
      </c>
      <c r="AO61" s="38">
        <f>IF(AN61="","",AN61*T61)</f>
        <v/>
      </c>
      <c r="AP61" s="40" t="n"/>
      <c r="AQ61" s="32" t="inlineStr">
        <is>
          <t>Estimated</t>
        </is>
      </c>
      <c r="AR61" s="41" t="n"/>
      <c r="AS61" s="41" t="n"/>
      <c r="AT61" s="42" t="n"/>
      <c r="AU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V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W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X61" s="44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AY61" s="44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62">
      <c r="A62" s="29" t="inlineStr">
        <is>
          <t>Philippines</t>
        </is>
      </c>
      <c r="B62" s="29" t="inlineStr">
        <is>
          <t>Philippines</t>
        </is>
      </c>
      <c r="C62" s="30" t="inlineStr">
        <is>
          <t>Manila (SM MOA Esplanade) → Camaya Coast / Orion (Bataan)</t>
        </is>
      </c>
      <c r="D62" s="31" t="n">
        <v>22</v>
      </c>
      <c r="E62" s="26" t="n">
        <v>18</v>
      </c>
      <c r="F62" s="32" t="inlineStr">
        <is>
          <t>T3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/>
      <c r="AH62" s="32" t="inlineStr">
        <is>
          <t>T2</t>
        </is>
      </c>
      <c r="AI62" s="32" t="inlineStr">
        <is>
          <t>low</t>
        </is>
      </c>
      <c r="AJ62" s="39" t="n">
        <v>0.1</v>
      </c>
      <c r="AK62" s="34">
        <f>IF(AG62="","",AG62*AJ62)</f>
        <v/>
      </c>
      <c r="AL62" s="34">
        <f>IF(OR(AG62="",R62=0),"",MIN(IF(AT62="",9.9E+99,AT62),FLOOR(AK62/R62,1)))</f>
        <v/>
      </c>
      <c r="AM62" s="38">
        <f>IF(AL62="","",AL62*T62)</f>
        <v/>
      </c>
      <c r="AN62" s="36">
        <f>IF(OR(AG62="",R62=0),"",MIN(IF(AT62="",9.9E+99,AT62),AK62/R62))</f>
        <v/>
      </c>
      <c r="AO62" s="38">
        <f>IF(AN62="","",AN62*T62)</f>
        <v/>
      </c>
      <c r="AP62" s="40" t="n"/>
      <c r="AQ62" s="32" t="inlineStr">
        <is>
          <t>Estimated</t>
        </is>
      </c>
      <c r="AR62" s="41" t="n"/>
      <c r="AS62" s="41" t="n"/>
      <c r="AT62" s="42" t="n"/>
      <c r="AU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V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W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X62" s="44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AY62" s="44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63">
      <c r="A63" s="29" t="inlineStr">
        <is>
          <t>Philippines</t>
        </is>
      </c>
      <c r="B63" s="29" t="inlineStr">
        <is>
          <t>Philippines</t>
        </is>
      </c>
      <c r="C63" s="30" t="inlineStr">
        <is>
          <t>Manila (CCP / Esplanade Seaside) → Corregidor Island</t>
        </is>
      </c>
      <c r="D63" s="31" t="n">
        <v>26</v>
      </c>
      <c r="E63" s="26" t="n">
        <v>50</v>
      </c>
      <c r="F63" s="32" t="inlineStr">
        <is>
          <t>T3</t>
        </is>
      </c>
      <c r="G63" s="32" t="inlineStr">
        <is>
          <t>med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/>
      <c r="AH63" s="32" t="inlineStr">
        <is>
          <t>T2</t>
        </is>
      </c>
      <c r="AI63" s="32" t="inlineStr">
        <is>
          <t>low</t>
        </is>
      </c>
      <c r="AJ63" s="39" t="n">
        <v>0.1</v>
      </c>
      <c r="AK63" s="34">
        <f>IF(AG63="","",AG63*AJ63)</f>
        <v/>
      </c>
      <c r="AL63" s="34">
        <f>IF(OR(AG63="",R63=0),"",MIN(IF(AT63="",9.9E+99,AT63),FLOOR(AK63/R63,1)))</f>
        <v/>
      </c>
      <c r="AM63" s="38">
        <f>IF(AL63="","",AL63*T63)</f>
        <v/>
      </c>
      <c r="AN63" s="36">
        <f>IF(OR(AG63="",R63=0),"",MIN(IF(AT63="",9.9E+99,AT63),AK63/R63))</f>
        <v/>
      </c>
      <c r="AO63" s="38">
        <f>IF(AN63="","",AN63*T63)</f>
        <v/>
      </c>
      <c r="AP63" s="40" t="n"/>
      <c r="AQ63" s="32" t="inlineStr">
        <is>
          <t>Estimated</t>
        </is>
      </c>
      <c r="AR63" s="41" t="n"/>
      <c r="AS63" s="41" t="n"/>
      <c r="AT63" s="42" t="n"/>
      <c r="AU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V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W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X63" s="44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AY63" s="44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64">
      <c r="A64" s="29" t="inlineStr">
        <is>
          <t>Philippines</t>
        </is>
      </c>
      <c r="B64" s="29" t="inlineStr">
        <is>
          <t>Philippines</t>
        </is>
      </c>
      <c r="C64" s="30" t="inlineStr">
        <is>
          <t>Cebu (Mactan) → Bohol / Panglao</t>
        </is>
      </c>
      <c r="D64" s="31" t="n">
        <v>35</v>
      </c>
      <c r="E64" s="26" t="n">
        <v>21</v>
      </c>
      <c r="F64" s="32" t="inlineStr">
        <is>
          <t>T3</t>
        </is>
      </c>
      <c r="G64" s="32" t="inlineStr">
        <is>
          <t>med-high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2000000</v>
      </c>
      <c r="AH64" s="32" t="inlineStr">
        <is>
          <t>T3</t>
        </is>
      </c>
      <c r="AI64" s="32" t="inlineStr">
        <is>
          <t>med</t>
        </is>
      </c>
      <c r="AJ64" s="39" t="n">
        <v>0.1</v>
      </c>
      <c r="AK64" s="34">
        <f>IF(AG64="","",AG64*AJ64)</f>
        <v/>
      </c>
      <c r="AL64" s="34">
        <f>IF(OR(AG64="",R64=0),"",MIN(IF(AT64="",9.9E+99,AT64),FLOOR(AK64/R64,1)))</f>
        <v/>
      </c>
      <c r="AM64" s="38">
        <f>IF(AL64="","",AL64*T64)</f>
        <v/>
      </c>
      <c r="AN64" s="36">
        <f>IF(OR(AG64="",R64=0),"",MIN(IF(AT64="",9.9E+99,AT64),AK64/R64))</f>
        <v/>
      </c>
      <c r="AO64" s="38">
        <f>IF(AN64="","",AN64*T64)</f>
        <v/>
      </c>
      <c r="AP64" s="40" t="n"/>
      <c r="AQ64" s="32" t="inlineStr">
        <is>
          <t>Grounded</t>
        </is>
      </c>
      <c r="AR64" s="41" t="n"/>
      <c r="AS64" s="41" t="n"/>
      <c r="AT64" s="42" t="n"/>
      <c r="AU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V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W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X64" s="44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AY64" s="44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65">
      <c r="A65" s="29" t="inlineStr">
        <is>
          <t>Singapore</t>
        </is>
      </c>
      <c r="B65" s="29" t="inlineStr">
        <is>
          <t>Singapore</t>
        </is>
      </c>
      <c r="C65" s="30" t="inlineStr">
        <is>
          <t>Changi Point → Pulau Ubin (Main Jetty)</t>
        </is>
      </c>
      <c r="D65" s="31" t="n">
        <v>1.2</v>
      </c>
      <c r="E65" s="26" t="n">
        <v>8</v>
      </c>
      <c r="F65" s="32" t="inlineStr">
        <is>
          <t>T2</t>
        </is>
      </c>
      <c r="G65" s="32" t="inlineStr">
        <is>
          <t>med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60000</v>
      </c>
      <c r="AH65" s="32" t="n"/>
      <c r="AI65" s="32" t="n"/>
      <c r="AJ65" s="39" t="n">
        <v>0.25</v>
      </c>
      <c r="AK65" s="34">
        <f>IF(AG65="","",AG65*AJ65)</f>
        <v/>
      </c>
      <c r="AL65" s="34">
        <f>IF(OR(AG65="",R65=0),"",MIN(IF(AT65="",9.9E+99,AT65),FLOOR(AK65/R65,1)))</f>
        <v/>
      </c>
      <c r="AM65" s="38">
        <f>IF(AL65="","",AL65*T65)</f>
        <v/>
      </c>
      <c r="AN65" s="36">
        <f>IF(OR(AG65="",R65=0),"",MIN(IF(AT65="",9.9E+99,AT65),AK65/R65))</f>
        <v/>
      </c>
      <c r="AO65" s="38">
        <f>IF(AN65="","",AN65*T65)</f>
        <v/>
      </c>
      <c r="AP65" s="40" t="n"/>
      <c r="AQ65" s="32" t="inlineStr">
        <is>
          <t>Grounded</t>
        </is>
      </c>
      <c r="AR65" s="41" t="n"/>
      <c r="AS65" s="41" t="n"/>
      <c r="AT65" s="42" t="n"/>
      <c r="AU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V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W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X65" s="44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AY65" s="44" t="n"/>
    </row>
    <row r="66">
      <c r="A66" s="29" t="inlineStr">
        <is>
          <t>Singapore</t>
        </is>
      </c>
      <c r="B66" s="29" t="inlineStr">
        <is>
          <t>Singapore</t>
        </is>
      </c>
      <c r="C66" s="30" t="inlineStr">
        <is>
          <t>Marina Bay → Sentosa / southern islands</t>
        </is>
      </c>
      <c r="D66" s="31" t="n">
        <v>2.6</v>
      </c>
      <c r="E66" s="26" t="n">
        <v>18</v>
      </c>
      <c r="F66" s="32" t="inlineStr">
        <is>
          <t>T3</t>
        </is>
      </c>
      <c r="G66" s="32" t="inlineStr">
        <is>
          <t>med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54000</v>
      </c>
      <c r="AH66" s="32" t="n"/>
      <c r="AI66" s="32" t="n"/>
      <c r="AJ66" s="39" t="n">
        <v>0.25</v>
      </c>
      <c r="AK66" s="34">
        <f>IF(AG66="","",AG66*AJ66)</f>
        <v/>
      </c>
      <c r="AL66" s="34">
        <f>IF(OR(AG66="",R66=0),"",MIN(IF(AT66="",9.9E+99,AT66),FLOOR(AK66/R66,1)))</f>
        <v/>
      </c>
      <c r="AM66" s="38">
        <f>IF(AL66="","",AL66*T66)</f>
        <v/>
      </c>
      <c r="AN66" s="36">
        <f>IF(OR(AG66="",R66=0),"",MIN(IF(AT66="",9.9E+99,AT66),AK66/R66))</f>
        <v/>
      </c>
      <c r="AO66" s="38">
        <f>IF(AN66="","",AN66*T66)</f>
        <v/>
      </c>
      <c r="AP66" s="40" t="n"/>
      <c r="AQ66" s="32" t="inlineStr">
        <is>
          <t>Grounded</t>
        </is>
      </c>
      <c r="AR66" s="41" t="n"/>
      <c r="AS66" s="41" t="n"/>
      <c r="AT66" s="42" t="n"/>
      <c r="AU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V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W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X66" s="44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AY66" s="44" t="n"/>
    </row>
    <row r="67">
      <c r="A67" s="29" t="inlineStr">
        <is>
          <t>Singapore</t>
        </is>
      </c>
      <c r="B67" s="29" t="inlineStr">
        <is>
          <t>Singapore</t>
        </is>
      </c>
      <c r="C67" s="30" t="inlineStr">
        <is>
          <t>Sentosa Cove (ONE15 Marina) → Marina Bay (CBD)</t>
        </is>
      </c>
      <c r="D67" s="31" t="n">
        <v>3.2</v>
      </c>
      <c r="E67" s="26" t="n">
        <v>11</v>
      </c>
      <c r="F67" s="32" t="inlineStr">
        <is>
          <t>T3</t>
        </is>
      </c>
      <c r="G67" s="32" t="inlineStr">
        <is>
          <t>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MIN(24,FLOOR(60*service_hr/J67,1))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8087</v>
      </c>
      <c r="AH67" s="32" t="n"/>
      <c r="AI67" s="32" t="n"/>
      <c r="AJ67" s="39" t="n">
        <v>1</v>
      </c>
      <c r="AK67" s="34">
        <f>IF(AG67="","",AG67*AJ67)</f>
        <v/>
      </c>
      <c r="AL67" s="34">
        <f>IF(OR(AG67="",R67=0),"",MIN(IF(AT67="",9.9E+99,AT67),FLOOR(AK67/R67,1)))</f>
        <v/>
      </c>
      <c r="AM67" s="38">
        <f>IF(AL67="","",AL67*T67)</f>
        <v/>
      </c>
      <c r="AN67" s="36">
        <f>IF(OR(AG67="",R67=0),"",MIN(IF(AT67="",9.9E+99,AT67),AK67/R67))</f>
        <v/>
      </c>
      <c r="AO67" s="38">
        <f>IF(AN67="","",AN67*T67)</f>
        <v/>
      </c>
      <c r="AP67" s="40" t="n"/>
      <c r="AQ67" s="32" t="inlineStr">
        <is>
          <t>Upside tier</t>
        </is>
      </c>
      <c r="AR67" s="41" t="n"/>
      <c r="AS67" s="41" t="inlineStr">
        <is>
          <t>modal_shift_greenfield</t>
        </is>
      </c>
      <c r="AT67" s="42" t="n"/>
      <c r="AU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V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W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X67" s="44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AY67" s="44" t="n"/>
    </row>
    <row r="68">
      <c r="A68" s="29" t="inlineStr">
        <is>
          <t>Singapore</t>
        </is>
      </c>
      <c r="B68" s="29" t="inlineStr">
        <is>
          <t>Singapore</t>
        </is>
      </c>
      <c r="C68" s="30" t="inlineStr">
        <is>
          <t>Greater Southern Waterfront (Keppel Club site) → Marina Bay (CBD)</t>
        </is>
      </c>
      <c r="D68" s="31" t="n">
        <v>3.5</v>
      </c>
      <c r="E68" s="26" t="n">
        <v>18</v>
      </c>
      <c r="F68" s="32" t="inlineStr">
        <is>
          <t>T3</t>
        </is>
      </c>
      <c r="G68" s="32" t="inlineStr">
        <is>
          <t>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MIN(24,FLOOR(60*service_hr/J68,1))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19656</v>
      </c>
      <c r="AH68" s="32" t="n"/>
      <c r="AI68" s="32" t="n"/>
      <c r="AJ68" s="39" t="n">
        <v>1</v>
      </c>
      <c r="AK68" s="34">
        <f>IF(AG68="","",AG68*AJ68)</f>
        <v/>
      </c>
      <c r="AL68" s="34">
        <f>IF(OR(AG68="",R68=0),"",MIN(IF(AT68="",9.9E+99,AT68),FLOOR(AK68/R68,1)))</f>
        <v/>
      </c>
      <c r="AM68" s="38">
        <f>IF(AL68="","",AL68*T68)</f>
        <v/>
      </c>
      <c r="AN68" s="36">
        <f>IF(OR(AG68="",R68=0),"",MIN(IF(AT68="",9.9E+99,AT68),AK68/R68))</f>
        <v/>
      </c>
      <c r="AO68" s="38">
        <f>IF(AN68="","",AN68*T68)</f>
        <v/>
      </c>
      <c r="AP68" s="40" t="n"/>
      <c r="AQ68" s="32" t="inlineStr">
        <is>
          <t>Forward SAM</t>
        </is>
      </c>
      <c r="AR68" s="41" t="inlineStr">
        <is>
          <t>FWD-SAM (2030)</t>
        </is>
      </c>
      <c r="AS68" s="41" t="inlineStr">
        <is>
          <t>modal_shift_greenfield</t>
        </is>
      </c>
      <c r="AT68" s="42" t="n"/>
      <c r="AU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V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W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X68" s="44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AY68" s="44" t="n"/>
    </row>
    <row r="69">
      <c r="A69" s="29" t="inlineStr">
        <is>
          <t>Singapore</t>
        </is>
      </c>
      <c r="B69" s="29" t="inlineStr">
        <is>
          <t>Singapore</t>
        </is>
      </c>
      <c r="C69" s="30" t="inlineStr">
        <is>
          <t>Marina Bay (Bayfront) → Marina Bay (Bayfront)</t>
        </is>
      </c>
      <c r="D69" s="31" t="n">
        <v>4.5</v>
      </c>
      <c r="E69" s="26" t="n">
        <v>21</v>
      </c>
      <c r="F69" s="32" t="inlineStr">
        <is>
          <t>T1</t>
        </is>
      </c>
      <c r="G69" s="32" t="inlineStr">
        <is>
          <t>high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325000</v>
      </c>
      <c r="AH69" s="32" t="n"/>
      <c r="AI69" s="32" t="n"/>
      <c r="AJ69" s="39" t="n">
        <v>0.1</v>
      </c>
      <c r="AK69" s="34">
        <f>IF(AG69="","",AG69*AJ69)</f>
        <v/>
      </c>
      <c r="AL69" s="34">
        <f>IF(OR(AG69="",R69=0),"",MIN(IF(AT69="",9.9E+99,AT69),FLOOR(AK69/R69,1)))</f>
        <v/>
      </c>
      <c r="AM69" s="38">
        <f>IF(AL69="","",AL69*T69)</f>
        <v/>
      </c>
      <c r="AN69" s="36">
        <f>IF(OR(AG69="",R69=0),"",MIN(IF(AT69="",9.9E+99,AT69),AK69/R69))</f>
        <v/>
      </c>
      <c r="AO69" s="38">
        <f>IF(AN69="","",AN69*T69)</f>
        <v/>
      </c>
      <c r="AP69" s="40" t="n"/>
      <c r="AQ69" s="32" t="inlineStr">
        <is>
          <t>Upside tier</t>
        </is>
      </c>
      <c r="AR69" s="41" t="n"/>
      <c r="AS69" s="41" t="inlineStr">
        <is>
          <t>experience_upside</t>
        </is>
      </c>
      <c r="AT69" s="42" t="n"/>
      <c r="AU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V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W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X69" s="44" t="inlineStr">
        <is>
          <t>Same revealed anchor as grounded row: WaterB/SRC S$28 adult loop (ST 17-Mar-2025; SG Culture Pass). Incremental riders assumed to pay the SAME revealed price - no premium invented.</t>
        </is>
      </c>
      <c r="AY69" s="44" t="n"/>
    </row>
    <row r="70">
      <c r="A70" s="29" t="inlineStr">
        <is>
          <t>Singapore</t>
        </is>
      </c>
      <c r="B70" s="29" t="inlineStr">
        <is>
          <t>Singapore</t>
        </is>
      </c>
      <c r="C70" s="30" t="inlineStr">
        <is>
          <t>Clarke Quay (Singapore River) → Clarke Quay (Singapore River)</t>
        </is>
      </c>
      <c r="D70" s="31" t="n">
        <v>5</v>
      </c>
      <c r="E70" s="26" t="n">
        <v>21</v>
      </c>
      <c r="F70" s="32" t="inlineStr">
        <is>
          <t>T1</t>
        </is>
      </c>
      <c r="G70" s="32" t="inlineStr">
        <is>
          <t>high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650000</v>
      </c>
      <c r="AH70" s="32" t="n"/>
      <c r="AI70" s="32" t="n"/>
      <c r="AJ70" s="39" t="n">
        <v>0.1</v>
      </c>
      <c r="AK70" s="34">
        <f>IF(AG70="","",AG70*AJ70)</f>
        <v/>
      </c>
      <c r="AL70" s="34">
        <f>IF(OR(AG70="",R70=0),"",MIN(IF(AT70="",9.9E+99,AT70),FLOOR(AK70/R70,1)))</f>
        <v/>
      </c>
      <c r="AM70" s="38">
        <f>IF(AL70="","",AL70*T70)</f>
        <v/>
      </c>
      <c r="AN70" s="36">
        <f>IF(OR(AG70="",R70=0),"",MIN(IF(AT70="",9.9E+99,AT70),AK70/R70))</f>
        <v/>
      </c>
      <c r="AO70" s="38">
        <f>IF(AN70="","",AN70*T70)</f>
        <v/>
      </c>
      <c r="AP70" s="40" t="n"/>
      <c r="AQ70" s="32" t="inlineStr">
        <is>
          <t>Grounded</t>
        </is>
      </c>
      <c r="AR70" s="41" t="n"/>
      <c r="AS70" s="41" t="n"/>
      <c r="AT70" s="42" t="n"/>
      <c r="AU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V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W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X70" s="44" t="inlineStr">
        <is>
          <t>Actual operator pricing: WaterB river cruise S$28 adult / S$18 child (Straits Times 17-Mar-2025 quoting WaterB; SG Culture Pass listing 'from $25'). SRC pricing comparable (~S$28 adult).</t>
        </is>
      </c>
      <c r="AY70" s="44" t="n"/>
    </row>
    <row r="71">
      <c r="A71" s="29" t="inlineStr">
        <is>
          <t>Singapore</t>
        </is>
      </c>
      <c r="B71" s="29" t="inlineStr">
        <is>
          <t>Singapore</t>
        </is>
      </c>
      <c r="C71" s="30" t="inlineStr">
        <is>
          <t>East Coast → Marina Bay</t>
        </is>
      </c>
      <c r="D71" s="31" t="n">
        <v>5.8</v>
      </c>
      <c r="E71" s="26" t="n">
        <v>18</v>
      </c>
      <c r="F71" s="32" t="inlineStr">
        <is>
          <t>T5</t>
        </is>
      </c>
      <c r="G71" s="32" t="inlineStr">
        <is>
          <t>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MIN(24,FLOOR(60*service_hr/J71,1))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111000</v>
      </c>
      <c r="AH71" s="32" t="n"/>
      <c r="AI71" s="32" t="n"/>
      <c r="AJ71" s="39" t="n">
        <v>0.25</v>
      </c>
      <c r="AK71" s="34">
        <f>IF(AG71="","",AG71*AJ71)</f>
        <v/>
      </c>
      <c r="AL71" s="34">
        <f>IF(OR(AG71="",R71=0),"",MIN(IF(AT71="",9.9E+99,AT71),FLOOR(AK71/R71,1)))</f>
        <v/>
      </c>
      <c r="AM71" s="38">
        <f>IF(AL71="","",AL71*T71)</f>
        <v/>
      </c>
      <c r="AN71" s="36">
        <f>IF(OR(AG71="",R71=0),"",MIN(IF(AT71="",9.9E+99,AT71),AK71/R71))</f>
        <v/>
      </c>
      <c r="AO71" s="38">
        <f>IF(AN71="","",AN71*T71)</f>
        <v/>
      </c>
      <c r="AP71" s="40" t="n"/>
      <c r="AQ71" s="32" t="inlineStr">
        <is>
          <t>Grounded</t>
        </is>
      </c>
      <c r="AR71" s="41" t="n"/>
      <c r="AS71" s="41" t="n"/>
      <c r="AT71" s="42" t="n"/>
      <c r="AU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V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W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X71" s="44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AY71" s="44" t="n"/>
    </row>
    <row r="72">
      <c r="A72" s="29" t="inlineStr">
        <is>
          <t>Singapore</t>
        </is>
      </c>
      <c r="B72" s="29" t="inlineStr">
        <is>
          <t>Singapore</t>
        </is>
      </c>
      <c r="C72" s="30" t="inlineStr">
        <is>
          <t>Marine Parade / East Coast (Central Region increment) → Raffles Place / Marina Bay</t>
        </is>
      </c>
      <c r="D72" s="31" t="n">
        <v>5.8</v>
      </c>
      <c r="E72" s="26" t="n">
        <v>9</v>
      </c>
      <c r="F72" s="32" t="inlineStr">
        <is>
          <t>T3</t>
        </is>
      </c>
      <c r="G72" s="32" t="inlineStr">
        <is>
          <t>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MIN(24,FLOOR(60*service_hr/J72,1))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5003</v>
      </c>
      <c r="AH72" s="32" t="n"/>
      <c r="AI72" s="32" t="n"/>
      <c r="AJ72" s="39" t="n">
        <v>1</v>
      </c>
      <c r="AK72" s="34">
        <f>IF(AG72="","",AG72*AJ72)</f>
        <v/>
      </c>
      <c r="AL72" s="34">
        <f>IF(OR(AG72="",R72=0),"",MIN(IF(AT72="",9.9E+99,AT72),FLOOR(AK72/R72,1)))</f>
        <v/>
      </c>
      <c r="AM72" s="38">
        <f>IF(AL72="","",AL72*T72)</f>
        <v/>
      </c>
      <c r="AN72" s="36">
        <f>IF(OR(AG72="",R72=0),"",MIN(IF(AT72="",9.9E+99,AT72),AK72/R72))</f>
        <v/>
      </c>
      <c r="AO72" s="38">
        <f>IF(AN72="","",AN72*T72)</f>
        <v/>
      </c>
      <c r="AP72" s="40" t="n"/>
      <c r="AQ72" s="32" t="inlineStr">
        <is>
          <t>Upside tier</t>
        </is>
      </c>
      <c r="AR72" s="41" t="n"/>
      <c r="AS72" s="41" t="inlineStr">
        <is>
          <t>modal_shift_greenfield</t>
        </is>
      </c>
      <c r="AT72" s="42" t="n"/>
      <c r="AU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V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W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X72" s="44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AY72" s="44" t="n"/>
    </row>
    <row r="73">
      <c r="A73" s="29" t="inlineStr">
        <is>
          <t>Singapore</t>
        </is>
      </c>
      <c r="B73" s="29" t="inlineStr">
        <is>
          <t>Singapore</t>
        </is>
      </c>
      <c r="C73" s="30" t="inlineStr">
        <is>
          <t>Singapore Marina Network → On-demand water mobility</t>
        </is>
      </c>
      <c r="D73" s="31" t="n">
        <v>8</v>
      </c>
      <c r="E73" s="26" t="n">
        <v>35</v>
      </c>
      <c r="F73" s="32" t="inlineStr">
        <is>
          <t>T2</t>
        </is>
      </c>
      <c r="G73" s="32" t="inlineStr">
        <is>
          <t>med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9900</v>
      </c>
      <c r="AH73" s="32" t="n"/>
      <c r="AI73" s="32" t="n"/>
      <c r="AJ73" s="39" t="n">
        <v>1</v>
      </c>
      <c r="AK73" s="34">
        <f>IF(AG73="","",AG73*AJ73)</f>
        <v/>
      </c>
      <c r="AL73" s="34">
        <f>IF(OR(AG73="",R73=0),"",MIN(IF(AT73="",9.9E+99,AT73),FLOOR(AK73/R73,1)))</f>
        <v/>
      </c>
      <c r="AM73" s="38">
        <f>IF(AL73="","",AL73*T73)</f>
        <v/>
      </c>
      <c r="AN73" s="36">
        <f>IF(OR(AG73="",R73=0),"",MIN(IF(AT73="",9.9E+99,AT73),AK73/R73))</f>
        <v/>
      </c>
      <c r="AO73" s="38">
        <f>IF(AN73="","",AN73*T73)</f>
        <v/>
      </c>
      <c r="AP73" s="40" t="n"/>
      <c r="AQ73" s="32" t="inlineStr">
        <is>
          <t>Grounded</t>
        </is>
      </c>
      <c r="AR73" s="41" t="n"/>
      <c r="AS73" s="41" t="n"/>
      <c r="AT73" s="42" t="n"/>
      <c r="AU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V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W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X73" s="44" t="n"/>
      <c r="AY73" s="44" t="n"/>
    </row>
    <row r="74">
      <c r="A74" s="29" t="inlineStr">
        <is>
          <t>Singapore</t>
        </is>
      </c>
      <c r="B74" s="29" t="inlineStr">
        <is>
          <t>Singapore</t>
        </is>
      </c>
      <c r="C74" s="30" t="inlineStr">
        <is>
          <t>Sentosa / Keppel waterfront → Sentosa / Keppel waterfront</t>
        </is>
      </c>
      <c r="D74" s="31" t="n">
        <v>8</v>
      </c>
      <c r="E74" s="26" t="n">
        <v>95</v>
      </c>
      <c r="F74" s="32" t="inlineStr">
        <is>
          <t>T2</t>
        </is>
      </c>
      <c r="G74" s="32" t="inlineStr">
        <is>
          <t>med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23000</v>
      </c>
      <c r="AH74" s="32" t="n"/>
      <c r="AI74" s="32" t="n"/>
      <c r="AJ74" s="39" t="n">
        <v>0.1</v>
      </c>
      <c r="AK74" s="34">
        <f>IF(AG74="","",AG74*AJ74)</f>
        <v/>
      </c>
      <c r="AL74" s="34">
        <f>IF(OR(AG74="",R74=0),"",MIN(IF(AT74="",9.9E+99,AT74),FLOOR(AK74/R74,1)))</f>
        <v/>
      </c>
      <c r="AM74" s="38">
        <f>IF(AL74="","",AL74*T74)</f>
        <v/>
      </c>
      <c r="AN74" s="36">
        <f>IF(OR(AG74="",R74=0),"",MIN(IF(AT74="",9.9E+99,AT74),AK74/R74))</f>
        <v/>
      </c>
      <c r="AO74" s="38">
        <f>IF(AN74="","",AN74*T74)</f>
        <v/>
      </c>
      <c r="AP74" s="40" t="n"/>
      <c r="AQ74" s="32" t="inlineStr">
        <is>
          <t>Grounded</t>
        </is>
      </c>
      <c r="AR74" s="41" t="n"/>
      <c r="AS74" s="41" t="n"/>
      <c r="AT74" s="42" t="n"/>
      <c r="AU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V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W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X74" s="44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AY74" s="44" t="n"/>
    </row>
    <row r="75">
      <c r="A75" s="29" t="inlineStr">
        <is>
          <t>Singapore</t>
        </is>
      </c>
      <c r="B75" s="29" t="inlineStr">
        <is>
          <t>Singapore</t>
        </is>
      </c>
      <c r="C75" s="30" t="inlineStr">
        <is>
          <t>Jurong / West Coast (West Coast Pier catchment) → HarbourFront / Marina Bay</t>
        </is>
      </c>
      <c r="D75" s="31" t="n">
        <v>9.5</v>
      </c>
      <c r="E75" s="26" t="n">
        <v>10</v>
      </c>
      <c r="F75" s="32" t="inlineStr">
        <is>
          <t>T3</t>
        </is>
      </c>
      <c r="G75" s="32" t="inlineStr">
        <is>
          <t>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MIN(24,FLOOR(60*service_hr/J75,1))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20557</v>
      </c>
      <c r="AH75" s="32" t="n"/>
      <c r="AI75" s="32" t="n"/>
      <c r="AJ75" s="39" t="n">
        <v>1</v>
      </c>
      <c r="AK75" s="34">
        <f>IF(AG75="","",AG75*AJ75)</f>
        <v/>
      </c>
      <c r="AL75" s="34">
        <f>IF(OR(AG75="",R75=0),"",MIN(IF(AT75="",9.9E+99,AT75),FLOOR(AK75/R75,1)))</f>
        <v/>
      </c>
      <c r="AM75" s="38">
        <f>IF(AL75="","",AL75*T75)</f>
        <v/>
      </c>
      <c r="AN75" s="36">
        <f>IF(OR(AG75="",R75=0),"",MIN(IF(AT75="",9.9E+99,AT75),AK75/R75))</f>
        <v/>
      </c>
      <c r="AO75" s="38">
        <f>IF(AN75="","",AN75*T75)</f>
        <v/>
      </c>
      <c r="AP75" s="40" t="n"/>
      <c r="AQ75" s="32" t="inlineStr">
        <is>
          <t>Upside tier</t>
        </is>
      </c>
      <c r="AR75" s="41" t="n"/>
      <c r="AS75" s="41" t="inlineStr">
        <is>
          <t>modal_shift_greenfield</t>
        </is>
      </c>
      <c r="AT75" s="42" t="n"/>
      <c r="AU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V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W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X75" s="44" t="inlineStr">
        <is>
          <t>Greenfield commute (9.5nm). Anchored upper-mid LB-97 commuter band S$8-15/seat; Grab Jurong-&gt;CBD ~S$22-32 peak; MRT EW-line S$2.10. Per-seat premium commute ~half solo ride-hail.</t>
        </is>
      </c>
      <c r="AY75" s="44" t="n"/>
    </row>
    <row r="76">
      <c r="A76" s="29" t="inlineStr">
        <is>
          <t>Cross-Border</t>
        </is>
      </c>
      <c r="B76" s="29" t="inlineStr">
        <is>
          <t>Singapore</t>
        </is>
      </c>
      <c r="C76" s="30" t="inlineStr">
        <is>
          <t>Singapore → Batam (Harbour Bay / Nongsa)</t>
        </is>
      </c>
      <c r="D76" s="31" t="n">
        <v>13</v>
      </c>
      <c r="E76" s="26" t="n">
        <v>57</v>
      </c>
      <c r="F76" s="32" t="inlineStr">
        <is>
          <t>T3</t>
        </is>
      </c>
      <c r="G76" s="32" t="inlineStr">
        <is>
          <t>med-high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350000</v>
      </c>
      <c r="AH76" s="32" t="n"/>
      <c r="AI76" s="32" t="n"/>
      <c r="AJ76" s="39" t="n">
        <v>0.25</v>
      </c>
      <c r="AK76" s="34">
        <f>IF(AG76="","",AG76*AJ76)</f>
        <v/>
      </c>
      <c r="AL76" s="34">
        <f>IF(OR(AG76="",R76=0),"",MIN(IF(AT76="",9.9E+99,AT76),FLOOR(AK76/R76,1)))</f>
        <v/>
      </c>
      <c r="AM76" s="38">
        <f>IF(AL76="","",AL76*T76)</f>
        <v/>
      </c>
      <c r="AN76" s="36">
        <f>IF(OR(AG76="",R76=0),"",MIN(IF(AT76="",9.9E+99,AT76),AK76/R76))</f>
        <v/>
      </c>
      <c r="AO76" s="38">
        <f>IF(AN76="","",AN76*T76)</f>
        <v/>
      </c>
      <c r="AP76" s="40" t="n"/>
      <c r="AQ76" s="32" t="inlineStr">
        <is>
          <t>Grounded</t>
        </is>
      </c>
      <c r="AR76" s="41" t="n"/>
      <c r="AS76" s="41" t="n"/>
      <c r="AT76" s="42" t="n"/>
      <c r="AU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V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W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X76" s="44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AY76" s="44" t="n"/>
    </row>
    <row r="77">
      <c r="A77" s="29" t="inlineStr">
        <is>
          <t>Singapore</t>
        </is>
      </c>
      <c r="B77" s="29" t="inlineStr">
        <is>
          <t>Singapore</t>
        </is>
      </c>
      <c r="C77" s="30" t="inlineStr">
        <is>
          <t>Marina Bay → Changi Point / Pulau Ubin</t>
        </is>
      </c>
      <c r="D77" s="31" t="n">
        <v>14.2</v>
      </c>
      <c r="E77" s="26" t="n">
        <v>28</v>
      </c>
      <c r="F77" s="32" t="inlineStr">
        <is>
          <t>T5</t>
        </is>
      </c>
      <c r="G77" s="32" t="inlineStr">
        <is>
          <t>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30000</v>
      </c>
      <c r="AH77" s="32" t="n"/>
      <c r="AI77" s="32" t="n"/>
      <c r="AJ77" s="39" t="n">
        <v>0.25</v>
      </c>
      <c r="AK77" s="34">
        <f>IF(AG77="","",AG77*AJ77)</f>
        <v/>
      </c>
      <c r="AL77" s="34">
        <f>IF(OR(AG77="",R77=0),"",MIN(IF(AT77="",9.9E+99,AT77),FLOOR(AK77/R77,1)))</f>
        <v/>
      </c>
      <c r="AM77" s="38">
        <f>IF(AL77="","",AL77*T77)</f>
        <v/>
      </c>
      <c r="AN77" s="36">
        <f>IF(OR(AG77="",R77=0),"",MIN(IF(AT77="",9.9E+99,AT77),AK77/R77))</f>
        <v/>
      </c>
      <c r="AO77" s="38">
        <f>IF(AN77="","",AN77*T77)</f>
        <v/>
      </c>
      <c r="AP77" s="40" t="n"/>
      <c r="AQ77" s="32" t="inlineStr">
        <is>
          <t>Grounded</t>
        </is>
      </c>
      <c r="AR77" s="41" t="n"/>
      <c r="AS77" s="41" t="n"/>
      <c r="AT77" s="42" t="n"/>
      <c r="AU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V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W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X77" s="44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AY77" s="44" t="n"/>
    </row>
    <row r="78">
      <c r="A78" s="29" t="inlineStr">
        <is>
          <t>Singapore</t>
        </is>
      </c>
      <c r="B78" s="29" t="inlineStr">
        <is>
          <t>Singapore</t>
        </is>
      </c>
      <c r="C78" s="30" t="inlineStr">
        <is>
          <t>Changi Airport (via Changi Point pier access) → Marina Bay (CBD / hotel belt)</t>
        </is>
      </c>
      <c r="D78" s="31" t="n">
        <v>16</v>
      </c>
      <c r="E78" s="26" t="n">
        <v>30</v>
      </c>
      <c r="F78" s="32" t="inlineStr">
        <is>
          <t>T2</t>
        </is>
      </c>
      <c r="G78" s="32" t="inlineStr">
        <is>
          <t>med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MIN(24,FLOOR(60*service_hr/J78,1))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18370</v>
      </c>
      <c r="AH78" s="32" t="n"/>
      <c r="AI78" s="32" t="n"/>
      <c r="AJ78" s="39" t="n">
        <v>1</v>
      </c>
      <c r="AK78" s="34">
        <f>IF(AG78="","",AG78*AJ78)</f>
        <v/>
      </c>
      <c r="AL78" s="34">
        <f>IF(OR(AG78="",R78=0),"",MIN(IF(AT78="",9.9E+99,AT78),FLOOR(AK78/R78,1)))</f>
        <v/>
      </c>
      <c r="AM78" s="38">
        <f>IF(AL78="","",AL78*T78)</f>
        <v/>
      </c>
      <c r="AN78" s="36">
        <f>IF(OR(AG78="",R78=0),"",MIN(IF(AT78="",9.9E+99,AT78),AK78/R78))</f>
        <v/>
      </c>
      <c r="AO78" s="38">
        <f>IF(AN78="","",AN78*T78)</f>
        <v/>
      </c>
      <c r="AP78" s="40" t="n"/>
      <c r="AQ78" s="32" t="inlineStr">
        <is>
          <t>Upside tier</t>
        </is>
      </c>
      <c r="AR78" s="41" t="n"/>
      <c r="AS78" s="41" t="inlineStr">
        <is>
          <t>modal_shift_greenfield</t>
        </is>
      </c>
      <c r="AT78" s="42" t="n"/>
      <c r="AU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V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W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X78" s="44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AY78" s="44" t="n"/>
    </row>
    <row r="79">
      <c r="A79" s="29" t="inlineStr">
        <is>
          <t>Singapore</t>
        </is>
      </c>
      <c r="B79" s="29" t="inlineStr">
        <is>
          <t>Singapore</t>
        </is>
      </c>
      <c r="C79" s="30" t="inlineStr">
        <is>
          <t>Punggol (Punggol Point / Marina Country Club) → Marina Bay (CBD)</t>
        </is>
      </c>
      <c r="D79" s="31" t="n">
        <v>17</v>
      </c>
      <c r="E79" s="26" t="n">
        <v>11</v>
      </c>
      <c r="F79" s="32" t="inlineStr">
        <is>
          <t>T3</t>
        </is>
      </c>
      <c r="G79" s="32" t="inlineStr">
        <is>
          <t>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MIN(24,FLOOR(60*service_hr/J79,1))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15199</v>
      </c>
      <c r="AH79" s="32" t="n"/>
      <c r="AI79" s="32" t="n"/>
      <c r="AJ79" s="39" t="n">
        <v>1</v>
      </c>
      <c r="AK79" s="34">
        <f>IF(AG79="","",AG79*AJ79)</f>
        <v/>
      </c>
      <c r="AL79" s="34">
        <f>IF(OR(AG79="",R79=0),"",MIN(IF(AT79="",9.9E+99,AT79),FLOOR(AK79/R79,1)))</f>
        <v/>
      </c>
      <c r="AM79" s="38">
        <f>IF(AL79="","",AL79*T79)</f>
        <v/>
      </c>
      <c r="AN79" s="36">
        <f>IF(OR(AG79="",R79=0),"",MIN(IF(AT79="",9.9E+99,AT79),AK79/R79))</f>
        <v/>
      </c>
      <c r="AO79" s="38">
        <f>IF(AN79="","",AN79*T79)</f>
        <v/>
      </c>
      <c r="AP79" s="40" t="n"/>
      <c r="AQ79" s="32" t="inlineStr">
        <is>
          <t>Upside tier</t>
        </is>
      </c>
      <c r="AR79" s="41" t="n"/>
      <c r="AS79" s="41" t="inlineStr">
        <is>
          <t>modal_shift_greenfield</t>
        </is>
      </c>
      <c r="AT79" s="42" t="n"/>
      <c r="AU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V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W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X79" s="44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AY79" s="44" t="n"/>
    </row>
    <row r="80">
      <c r="A80" s="29" t="inlineStr">
        <is>
          <t>Singapore</t>
        </is>
      </c>
      <c r="B80" s="29" t="inlineStr">
        <is>
          <t>Singapore</t>
        </is>
      </c>
      <c r="C80" s="30" t="inlineStr">
        <is>
          <t>Marina South Pier → Pulau Ubin Jetty</t>
        </is>
      </c>
      <c r="D80" s="31" t="n">
        <v>20.45</v>
      </c>
      <c r="E80" s="26" t="n">
        <v>18</v>
      </c>
      <c r="F80" s="32" t="inlineStr">
        <is>
          <t>T3</t>
        </is>
      </c>
      <c r="G80" s="32" t="inlineStr">
        <is>
          <t>med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105000</v>
      </c>
      <c r="AH80" s="32" t="n"/>
      <c r="AI80" s="32" t="n"/>
      <c r="AJ80" s="39" t="n">
        <v>0.25</v>
      </c>
      <c r="AK80" s="34">
        <f>IF(AG80="","",AG80*AJ80)</f>
        <v/>
      </c>
      <c r="AL80" s="34">
        <f>IF(OR(AG80="",R80=0),"",MIN(IF(AT80="",9.9E+99,AT80),FLOOR(AK80/R80,1)))</f>
        <v/>
      </c>
      <c r="AM80" s="38">
        <f>IF(AL80="","",AL80*T80)</f>
        <v/>
      </c>
      <c r="AN80" s="36">
        <f>IF(OR(AG80="",R80=0),"",MIN(IF(AT80="",9.9E+99,AT80),AK80/R80))</f>
        <v/>
      </c>
      <c r="AO80" s="38">
        <f>IF(AN80="","",AN80*T80)</f>
        <v/>
      </c>
      <c r="AP80" s="40" t="n"/>
      <c r="AQ80" s="32" t="inlineStr">
        <is>
          <t>Grounded</t>
        </is>
      </c>
      <c r="AR80" s="41" t="n"/>
      <c r="AS80" s="41" t="n"/>
      <c r="AT80" s="42" t="n"/>
      <c r="AU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V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W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X80" s="44" t="n"/>
      <c r="AY80" s="44" t="n"/>
    </row>
    <row r="81">
      <c r="A81" s="29" t="inlineStr">
        <is>
          <t>Cross-Border</t>
        </is>
      </c>
      <c r="B81" s="29" t="inlineStr">
        <is>
          <t>Singapore</t>
        </is>
      </c>
      <c r="C81" s="30" t="inlineStr">
        <is>
          <t>Singapore → Bintan (Lagoi resort zone)</t>
        </is>
      </c>
      <c r="D81" s="31" t="n">
        <v>21.9</v>
      </c>
      <c r="E81" s="26" t="n">
        <v>69</v>
      </c>
      <c r="F81" s="32" t="inlineStr">
        <is>
          <t>T1</t>
        </is>
      </c>
      <c r="G81" s="32" t="inlineStr">
        <is>
          <t>high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150000</v>
      </c>
      <c r="AH81" s="32" t="n"/>
      <c r="AI81" s="32" t="n"/>
      <c r="AJ81" s="39" t="n">
        <v>0.25</v>
      </c>
      <c r="AK81" s="34">
        <f>IF(AG81="","",AG81*AJ81)</f>
        <v/>
      </c>
      <c r="AL81" s="34">
        <f>IF(OR(AG81="",R81=0),"",MIN(IF(AT81="",9.9E+99,AT81),FLOOR(AK81/R81,1)))</f>
        <v/>
      </c>
      <c r="AM81" s="38">
        <f>IF(AL81="","",AL81*T81)</f>
        <v/>
      </c>
      <c r="AN81" s="36">
        <f>IF(OR(AG81="",R81=0),"",MIN(IF(AT81="",9.9E+99,AT81),AK81/R81))</f>
        <v/>
      </c>
      <c r="AO81" s="38">
        <f>IF(AN81="","",AN81*T81)</f>
        <v/>
      </c>
      <c r="AP81" s="40" t="n"/>
      <c r="AQ81" s="32" t="inlineStr">
        <is>
          <t>Grounded</t>
        </is>
      </c>
      <c r="AR81" s="41" t="n"/>
      <c r="AS81" s="41" t="n"/>
      <c r="AT81" s="42" t="n"/>
      <c r="AU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V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W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X81" s="44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AY81" s="44" t="n"/>
    </row>
    <row r="82">
      <c r="A82" s="29" t="inlineStr">
        <is>
          <t>Cross-Border</t>
        </is>
      </c>
      <c r="B82" s="29" t="inlineStr">
        <is>
          <t>Singapore</t>
        </is>
      </c>
      <c r="C82" s="30" t="inlineStr">
        <is>
          <t>Singapore → Desaru Coast / Johor</t>
        </is>
      </c>
      <c r="D82" s="31" t="n">
        <v>29.5</v>
      </c>
      <c r="E82" s="26" t="n">
        <v>47</v>
      </c>
      <c r="F82" s="32" t="inlineStr">
        <is>
          <t>T3</t>
        </is>
      </c>
      <c r="G82" s="32" t="inlineStr">
        <is>
          <t>med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22500</v>
      </c>
      <c r="AH82" s="32" t="n"/>
      <c r="AI82" s="32" t="n"/>
      <c r="AJ82" s="39" t="n">
        <v>0.25</v>
      </c>
      <c r="AK82" s="34">
        <f>IF(AG82="","",AG82*AJ82)</f>
        <v/>
      </c>
      <c r="AL82" s="34">
        <f>IF(OR(AG82="",R82=0),"",MIN(IF(AT82="",9.9E+99,AT82),FLOOR(AK82/R82,1)))</f>
        <v/>
      </c>
      <c r="AM82" s="38">
        <f>IF(AL82="","",AL82*T82)</f>
        <v/>
      </c>
      <c r="AN82" s="36">
        <f>IF(OR(AG82="",R82=0),"",MIN(IF(AT82="",9.9E+99,AT82),AK82/R82))</f>
        <v/>
      </c>
      <c r="AO82" s="38">
        <f>IF(AN82="","",AN82*T82)</f>
        <v/>
      </c>
      <c r="AP82" s="40" t="n"/>
      <c r="AQ82" s="32" t="inlineStr">
        <is>
          <t>Grounded</t>
        </is>
      </c>
      <c r="AR82" s="41" t="n"/>
      <c r="AS82" s="41" t="n"/>
      <c r="AT82" s="42" t="n"/>
      <c r="AU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V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W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X82" s="44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AY82" s="44" t="n"/>
    </row>
    <row r="83">
      <c r="A83" s="29" t="inlineStr">
        <is>
          <t>Taiwan</t>
        </is>
      </c>
      <c r="B83" s="29" t="inlineStr">
        <is>
          <t>Taiwan</t>
        </is>
      </c>
      <c r="C83" s="30" t="inlineStr">
        <is>
          <t>Magong (Penghu) → Penghu inter-island (Xiyu / Baisha loop)</t>
        </is>
      </c>
      <c r="D83" s="31" t="n">
        <v>12</v>
      </c>
      <c r="E83" s="26" t="n">
        <v>38.7</v>
      </c>
      <c r="F83" s="32" t="inlineStr">
        <is>
          <t>T3</t>
        </is>
      </c>
      <c r="G83" s="32" t="inlineStr">
        <is>
          <t>med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19226</v>
      </c>
      <c r="AH83" s="32" t="inlineStr">
        <is>
          <t>T2</t>
        </is>
      </c>
      <c r="AI83" s="32" t="inlineStr">
        <is>
          <t>low</t>
        </is>
      </c>
      <c r="AJ83" s="39" t="n">
        <v>0.1</v>
      </c>
      <c r="AK83" s="34">
        <f>IF(AG83="","",AG83*AJ83)</f>
        <v/>
      </c>
      <c r="AL83" s="34">
        <f>IF(OR(AG83="",R83=0),"",MIN(IF(AT83="",9.9E+99,AT83),FLOOR(AK83/R83,1)))</f>
        <v/>
      </c>
      <c r="AM83" s="38">
        <f>IF(AL83="","",AL83*T83)</f>
        <v/>
      </c>
      <c r="AN83" s="36">
        <f>IF(OR(AG83="",R83=0),"",MIN(IF(AT83="",9.9E+99,AT83),AK83/R83))</f>
        <v/>
      </c>
      <c r="AO83" s="38">
        <f>IF(AN83="","",AN83*T83)</f>
        <v/>
      </c>
      <c r="AP83" s="40" t="n"/>
      <c r="AQ83" s="32" t="inlineStr">
        <is>
          <t>Grounded</t>
        </is>
      </c>
      <c r="AR83" s="41" t="n"/>
      <c r="AS83" s="41" t="n"/>
      <c r="AT83" s="42" t="n"/>
      <c r="AU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V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W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X83" s="44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AY83" s="44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84">
      <c r="A84" s="29" t="inlineStr">
        <is>
          <t>Taiwan</t>
        </is>
      </c>
      <c r="B84" s="29" t="inlineStr">
        <is>
          <t>Taiwan</t>
        </is>
      </c>
      <c r="C84" s="30" t="inlineStr">
        <is>
          <t>Magong (Penghu) → Penghu outer islands (Qimei / Wang'an)</t>
        </is>
      </c>
      <c r="D84" s="31" t="n">
        <v>23.12</v>
      </c>
      <c r="E84" s="26" t="n">
        <v>15</v>
      </c>
      <c r="F84" s="32" t="inlineStr">
        <is>
          <t>T1</t>
        </is>
      </c>
      <c r="G84" s="32" t="inlineStr">
        <is>
          <t>med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176528</v>
      </c>
      <c r="AH84" s="32" t="inlineStr">
        <is>
          <t>T2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IF(OR(AG84="",R84=0),"",MIN(IF(AT84="",9.9E+99,AT84),FLOOR(AK84/R84,1)))</f>
        <v/>
      </c>
      <c r="AM84" s="38">
        <f>IF(AL84="","",AL84*T84)</f>
        <v/>
      </c>
      <c r="AN84" s="36">
        <f>IF(OR(AG84="",R84=0),"",MIN(IF(AT84="",9.9E+99,AT84),AK84/R84))</f>
        <v/>
      </c>
      <c r="AO84" s="38">
        <f>IF(AN84="","",AN84*T84)</f>
        <v/>
      </c>
      <c r="AP84" s="40" t="n"/>
      <c r="AQ84" s="32" t="inlineStr">
        <is>
          <t>Grounded</t>
        </is>
      </c>
      <c r="AR84" s="41" t="n"/>
      <c r="AS84" s="41" t="n"/>
      <c r="AT84" s="42" t="n"/>
      <c r="AU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V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W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X84" s="44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AY84" s="44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85">
      <c r="A85" s="29" t="inlineStr">
        <is>
          <t>Taiwan</t>
        </is>
      </c>
      <c r="B85" s="29" t="inlineStr">
        <is>
          <t>Taiwan</t>
        </is>
      </c>
      <c r="C85" s="30" t="inlineStr">
        <is>
          <t>Budai (Chiayi) → Magong (Penghu)</t>
        </is>
      </c>
      <c r="D85" s="31" t="n">
        <v>33</v>
      </c>
      <c r="E85" s="26" t="n">
        <v>31.6</v>
      </c>
      <c r="F85" s="32" t="inlineStr">
        <is>
          <t>T1</t>
        </is>
      </c>
      <c r="G85" s="32" t="inlineStr">
        <is>
          <t>med-high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500342</v>
      </c>
      <c r="AH85" s="32" t="inlineStr">
        <is>
          <t>T2</t>
        </is>
      </c>
      <c r="AI85" s="32" t="inlineStr">
        <is>
          <t>high</t>
        </is>
      </c>
      <c r="AJ85" s="39" t="n">
        <v>0.1</v>
      </c>
      <c r="AK85" s="34">
        <f>IF(AG85="","",AG85*AJ85)</f>
        <v/>
      </c>
      <c r="AL85" s="34">
        <f>IF(OR(AG85="",R85=0),"",MIN(IF(AT85="",9.9E+99,AT85),FLOOR(AK85/R85,1)))</f>
        <v/>
      </c>
      <c r="AM85" s="38">
        <f>IF(AL85="","",AL85*T85)</f>
        <v/>
      </c>
      <c r="AN85" s="36">
        <f>IF(OR(AG85="",R85=0),"",MIN(IF(AT85="",9.9E+99,AT85),AK85/R85))</f>
        <v/>
      </c>
      <c r="AO85" s="38">
        <f>IF(AN85="","",AN85*T85)</f>
        <v/>
      </c>
      <c r="AP85" s="40" t="n"/>
      <c r="AQ85" s="32" t="inlineStr">
        <is>
          <t>Grounded</t>
        </is>
      </c>
      <c r="AR85" s="41" t="n"/>
      <c r="AS85" s="41" t="n"/>
      <c r="AT85" s="42" t="n"/>
      <c r="AU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V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W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X85" s="44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AY85" s="44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86">
      <c r="A86" s="29" t="inlineStr">
        <is>
          <t>Bangkok</t>
        </is>
      </c>
      <c r="B86" s="29" t="inlineStr">
        <is>
          <t>Thailand</t>
        </is>
      </c>
      <c r="C86" s="30" t="inlineStr">
        <is>
          <t>Sathorn (Central) Pier → Phra Arthit Pier</t>
        </is>
      </c>
      <c r="D86" s="31" t="n">
        <v>2.9</v>
      </c>
      <c r="E86" s="26" t="n">
        <v>18</v>
      </c>
      <c r="F86" s="32" t="inlineStr">
        <is>
          <t>T1</t>
        </is>
      </c>
      <c r="G86" s="32" t="inlineStr">
        <is>
          <t>high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1100000</v>
      </c>
      <c r="AH86" s="32" t="n"/>
      <c r="AI86" s="32" t="n"/>
      <c r="AJ86" s="39" t="n">
        <v>0.1</v>
      </c>
      <c r="AK86" s="34">
        <f>IF(AG86="","",AG86*AJ86)</f>
        <v/>
      </c>
      <c r="AL86" s="34">
        <f>IF(OR(AG86="",R86=0),"",MIN(IF(AT86="",9.9E+99,AT86),FLOOR(AK86/R86,1)))</f>
        <v/>
      </c>
      <c r="AM86" s="38">
        <f>IF(AL86="","",AL86*T86)</f>
        <v/>
      </c>
      <c r="AN86" s="36">
        <f>IF(OR(AG86="",R86=0),"",MIN(IF(AT86="",9.9E+99,AT86),AK86/R86))</f>
        <v/>
      </c>
      <c r="AO86" s="38">
        <f>IF(AN86="","",AN86*T86)</f>
        <v/>
      </c>
      <c r="AP86" s="40" t="n"/>
      <c r="AQ86" s="32" t="inlineStr">
        <is>
          <t>Grounded</t>
        </is>
      </c>
      <c r="AR86" s="41" t="n"/>
      <c r="AS86" s="41" t="n"/>
      <c r="AT86" s="42" t="n"/>
      <c r="AU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V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W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X86" s="44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AY86" s="44" t="n"/>
    </row>
    <row r="87">
      <c r="A87" s="29" t="inlineStr">
        <is>
          <t>Bangkok</t>
        </is>
      </c>
      <c r="B87" s="29" t="inlineStr">
        <is>
          <t>Thailand</t>
        </is>
      </c>
      <c r="C87" s="30" t="inlineStr">
        <is>
          <t>ICONSIAM Pier (Chao Phraya) → ICONSIAM Pier (Chao Phraya)</t>
        </is>
      </c>
      <c r="D87" s="31" t="n">
        <v>5.3</v>
      </c>
      <c r="E87" s="26" t="n">
        <v>35</v>
      </c>
      <c r="F87" s="32" t="inlineStr">
        <is>
          <t>T2</t>
        </is>
      </c>
      <c r="G87" s="32" t="inlineStr">
        <is>
          <t>med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1200000</v>
      </c>
      <c r="AH87" s="32" t="n"/>
      <c r="AI87" s="32" t="n"/>
      <c r="AJ87" s="39" t="n">
        <v>0.1</v>
      </c>
      <c r="AK87" s="34">
        <f>IF(AG87="","",AG87*AJ87)</f>
        <v/>
      </c>
      <c r="AL87" s="34">
        <f>IF(OR(AG87="",R87=0),"",MIN(IF(AT87="",9.9E+99,AT87),FLOOR(AK87/R87,1)))</f>
        <v/>
      </c>
      <c r="AM87" s="38">
        <f>IF(AL87="","",AL87*T87)</f>
        <v/>
      </c>
      <c r="AN87" s="36">
        <f>IF(OR(AG87="",R87=0),"",MIN(IF(AT87="",9.9E+99,AT87),AK87/R87))</f>
        <v/>
      </c>
      <c r="AO87" s="38">
        <f>IF(AN87="","",AN87*T87)</f>
        <v/>
      </c>
      <c r="AP87" s="40" t="n"/>
      <c r="AQ87" s="32" t="inlineStr">
        <is>
          <t>Grounded</t>
        </is>
      </c>
      <c r="AR87" s="41" t="n"/>
      <c r="AS87" s="41" t="n"/>
      <c r="AT87" s="42" t="n"/>
      <c r="AU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V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W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X87" s="44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AY87" s="44" t="n"/>
    </row>
    <row r="88">
      <c r="A88" s="29" t="inlineStr">
        <is>
          <t>Koh Samui</t>
        </is>
      </c>
      <c r="B88" s="29" t="inlineStr">
        <is>
          <t>Thailand</t>
        </is>
      </c>
      <c r="C88" s="30" t="inlineStr">
        <is>
          <t>Samui Pralarn Pier (Mae Nam) → Koh Phangan (Thong Sala) — pier-exact</t>
        </is>
      </c>
      <c r="D88" s="31" t="n">
        <v>7.5</v>
      </c>
      <c r="E88" s="26" t="n">
        <v>35</v>
      </c>
      <c r="F88" s="32" t="n"/>
      <c r="G88" s="32" t="inlineStr">
        <is>
          <t>T1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450000</v>
      </c>
      <c r="AH88" s="32" t="inlineStr">
        <is>
          <t>T5</t>
        </is>
      </c>
      <c r="AI88" s="32" t="inlineStr">
        <is>
          <t>low-med</t>
        </is>
      </c>
      <c r="AJ88" s="39" t="n">
        <v>0.1</v>
      </c>
      <c r="AK88" s="34">
        <f>IF(AG88="","",AG88*AJ88)</f>
        <v/>
      </c>
      <c r="AL88" s="34">
        <f>IF(OR(AG88="",R88=0),"",MIN(IF(AT88="",9.9E+99,AT88),FLOOR(AK88/R88,1)))</f>
        <v/>
      </c>
      <c r="AM88" s="38">
        <f>IF(AL88="","",AL88*T88)</f>
        <v/>
      </c>
      <c r="AN88" s="36">
        <f>IF(OR(AG88="",R88=0),"",MIN(IF(AT88="",9.9E+99,AT88),AK88/R88))</f>
        <v/>
      </c>
      <c r="AO88" s="38">
        <f>IF(AN88="","",AN88*T88)</f>
        <v/>
      </c>
      <c r="AP88" s="40" t="inlineStr">
        <is>
          <t>rn-db5e83248f9d</t>
        </is>
      </c>
      <c r="AQ88" s="32" t="inlineStr">
        <is>
          <t>Grounded</t>
        </is>
      </c>
      <c r="AR88" s="41" t="n"/>
      <c r="AS88" s="41" t="n"/>
      <c r="AT88" s="42" t="n"/>
      <c r="AU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V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W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X88" s="44" t="n"/>
      <c r="AY88" s="44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89">
      <c r="A89" s="29" t="inlineStr">
        <is>
          <t>Penang</t>
        </is>
      </c>
      <c r="B89" s="29" t="inlineStr">
        <is>
          <t>Thailand</t>
        </is>
      </c>
      <c r="C89" s="30" t="inlineStr">
        <is>
          <t>George Town (Penang) → Batu Ferringhi / Penang Bridge corridor</t>
        </is>
      </c>
      <c r="D89" s="31" t="n">
        <v>8</v>
      </c>
      <c r="E89" s="26" t="n">
        <v>30</v>
      </c>
      <c r="F89" s="32" t="inlineStr">
        <is>
          <t>T5</t>
        </is>
      </c>
      <c r="G89" s="32" t="inlineStr">
        <is>
          <t>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/>
      <c r="AH89" s="32" t="inlineStr">
        <is>
          <t>T5</t>
        </is>
      </c>
      <c r="AI89" s="32" t="inlineStr">
        <is>
          <t>low</t>
        </is>
      </c>
      <c r="AJ89" s="39" t="n">
        <v>0.1</v>
      </c>
      <c r="AK89" s="34">
        <f>IF(AG89="","",AG89*AJ89)</f>
        <v/>
      </c>
      <c r="AL89" s="34">
        <f>IF(OR(AG89="",R89=0),"",MIN(IF(AT89="",9.9E+99,AT89),FLOOR(AK89/R89,1)))</f>
        <v/>
      </c>
      <c r="AM89" s="38">
        <f>IF(AL89="","",AL89*T89)</f>
        <v/>
      </c>
      <c r="AN89" s="36">
        <f>IF(OR(AG89="",R89=0),"",MIN(IF(AT89="",9.9E+99,AT89),AK89/R89))</f>
        <v/>
      </c>
      <c r="AO89" s="38">
        <f>IF(AN89="","",AN89*T89)</f>
        <v/>
      </c>
      <c r="AP89" s="40" t="n"/>
      <c r="AQ89" s="32" t="inlineStr">
        <is>
          <t>Estimated</t>
        </is>
      </c>
      <c r="AR89" s="41" t="n"/>
      <c r="AS89" s="41" t="n"/>
      <c r="AT89" s="42" t="n"/>
      <c r="AU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V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W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X89" s="44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AY89" s="44" t="inlineStr">
        <is>
          <t>No boat crossing exists; Batu Ferringhi hotel-strip arrivals come by road. No credible on-water pax pool.</t>
        </is>
      </c>
    </row>
    <row r="90">
      <c r="A90" s="29" t="inlineStr">
        <is>
          <t>Phuket</t>
        </is>
      </c>
      <c r="B90" s="29" t="inlineStr">
        <is>
          <t>Thailand</t>
        </is>
      </c>
      <c r="C90" s="30" t="inlineStr">
        <is>
          <t>Ao Po Grand Marina → Anantara Layan Phuket Beach Jetty</t>
        </is>
      </c>
      <c r="D90" s="31" t="n">
        <v>9.6</v>
      </c>
      <c r="E90" s="26" t="n">
        <v>100</v>
      </c>
      <c r="F90" s="32" t="inlineStr">
        <is>
          <t>T2</t>
        </is>
      </c>
      <c r="G90" s="32" t="inlineStr">
        <is>
          <t>med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8500</v>
      </c>
      <c r="AH90" s="32" t="inlineStr">
        <is>
          <t>T2</t>
        </is>
      </c>
      <c r="AI90" s="32" t="inlineStr">
        <is>
          <t>med</t>
        </is>
      </c>
      <c r="AJ90" s="39" t="n">
        <v>0.9</v>
      </c>
      <c r="AK90" s="34">
        <f>IF(AG90="","",AG90*AJ90)</f>
        <v/>
      </c>
      <c r="AL90" s="34">
        <f>IF(OR(AG90="",R90=0),"",MIN(IF(AT90="",9.9E+99,AT90),FLOOR(AK90/R90,1)))</f>
        <v/>
      </c>
      <c r="AM90" s="38">
        <f>IF(AL90="","",AL90*T90)</f>
        <v/>
      </c>
      <c r="AN90" s="36">
        <f>IF(OR(AG90="",R90=0),"",MIN(IF(AT90="",9.9E+99,AT90),AK90/R90))</f>
        <v/>
      </c>
      <c r="AO90" s="38">
        <f>IF(AN90="","",AN90*T90)</f>
        <v/>
      </c>
      <c r="AP90" s="40" t="n"/>
      <c r="AQ90" s="32" t="inlineStr">
        <is>
          <t>Grounded</t>
        </is>
      </c>
      <c r="AR90" s="41" t="n"/>
      <c r="AS90" s="41" t="n"/>
      <c r="AT90" s="42" t="n"/>
      <c r="AU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V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W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X90" s="44" t="inlineStr">
        <is>
          <t>Minor Hotels captive gateway — Anantara Layan marina pickup.</t>
        </is>
      </c>
      <c r="AY90" s="44" t="inlineStr">
        <is>
          <t>minor-hotels-phuket-flagship-economics-DRAFT.json — Layan gateway pool</t>
        </is>
      </c>
    </row>
    <row r="91">
      <c r="A91" s="29" t="inlineStr">
        <is>
          <t>Phuket</t>
        </is>
      </c>
      <c r="B91" s="29" t="inlineStr">
        <is>
          <t>Thailand</t>
        </is>
      </c>
      <c r="C91" s="30" t="inlineStr">
        <is>
          <t>Chalong Pier (Ao Chalong) → Chalong Pier (Ao Chalong)</t>
        </is>
      </c>
      <c r="D91" s="31" t="n">
        <v>10</v>
      </c>
      <c r="E91" s="26" t="n">
        <v>35</v>
      </c>
      <c r="F91" s="32" t="inlineStr">
        <is>
          <t>T1</t>
        </is>
      </c>
      <c r="G91" s="32" t="inlineStr">
        <is>
          <t>med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400000</v>
      </c>
      <c r="AH91" s="32" t="n"/>
      <c r="AI91" s="32" t="n"/>
      <c r="AJ91" s="39" t="n">
        <v>0.1</v>
      </c>
      <c r="AK91" s="34">
        <f>IF(AG91="","",AG91*AJ91)</f>
        <v/>
      </c>
      <c r="AL91" s="34">
        <f>IF(OR(AG91="",R91=0),"",MIN(IF(AT91="",9.9E+99,AT91),FLOOR(AK91/R91,1)))</f>
        <v/>
      </c>
      <c r="AM91" s="38">
        <f>IF(AL91="","",AL91*T91)</f>
        <v/>
      </c>
      <c r="AN91" s="36">
        <f>IF(OR(AG91="",R91=0),"",MIN(IF(AT91="",9.9E+99,AT91),AK91/R91))</f>
        <v/>
      </c>
      <c r="AO91" s="38">
        <f>IF(AN91="","",AN91*T91)</f>
        <v/>
      </c>
      <c r="AP91" s="40" t="n"/>
      <c r="AQ91" s="32" t="inlineStr">
        <is>
          <t>Grounded</t>
        </is>
      </c>
      <c r="AR91" s="41" t="n"/>
      <c r="AS91" s="41" t="n"/>
      <c r="AT91" s="42" t="n"/>
      <c r="AU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V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W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X91" s="44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AY91" s="44" t="n"/>
    </row>
    <row r="92">
      <c r="A92" s="29" t="inlineStr">
        <is>
          <t>Koh Samui</t>
        </is>
      </c>
      <c r="B92" s="29" t="inlineStr">
        <is>
          <t>Thailand</t>
        </is>
      </c>
      <c r="C92" s="30" t="inlineStr">
        <is>
          <t>Koh Samui (Bangrak) → Koh Phangan (Thong Sala)</t>
        </is>
      </c>
      <c r="D92" s="31" t="n">
        <v>10.2</v>
      </c>
      <c r="E92" s="26" t="n">
        <v>35</v>
      </c>
      <c r="F92" s="32" t="n"/>
      <c r="G92" s="32" t="inlineStr">
        <is>
          <t>T1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1000000</v>
      </c>
      <c r="AH92" s="32" t="inlineStr">
        <is>
          <t>T4</t>
        </is>
      </c>
      <c r="AI92" s="32" t="inlineStr">
        <is>
          <t>med-low</t>
        </is>
      </c>
      <c r="AJ92" s="39" t="n">
        <v>0.1</v>
      </c>
      <c r="AK92" s="34">
        <f>IF(AG92="","",AG92*AJ92)</f>
        <v/>
      </c>
      <c r="AL92" s="34">
        <f>IF(OR(AG92="",R92=0),"",MIN(IF(AT92="",9.9E+99,AT92),FLOOR(AK92/R92,1)))</f>
        <v/>
      </c>
      <c r="AM92" s="38">
        <f>IF(AL92="","",AL92*T92)</f>
        <v/>
      </c>
      <c r="AN92" s="36">
        <f>IF(OR(AG92="",R92=0),"",MIN(IF(AT92="",9.9E+99,AT92),AK92/R92))</f>
        <v/>
      </c>
      <c r="AO92" s="38">
        <f>IF(AN92="","",AN92*T92)</f>
        <v/>
      </c>
      <c r="AP92" s="40" t="n"/>
      <c r="AQ92" s="32" t="inlineStr">
        <is>
          <t>Grounded</t>
        </is>
      </c>
      <c r="AR92" s="41" t="n"/>
      <c r="AS92" s="41" t="n"/>
      <c r="AT92" s="42" t="n"/>
      <c r="AU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V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W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X92" s="44" t="n"/>
      <c r="AY92" s="44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93">
      <c r="A93" s="29" t="inlineStr">
        <is>
          <t>Phuket</t>
        </is>
      </c>
      <c r="B93" s="29" t="inlineStr">
        <is>
          <t>Thailand</t>
        </is>
      </c>
      <c r="C93" s="30" t="inlineStr">
        <is>
          <t>Ao Po Pier (Ao Po / Ao Por, NE Phuket) → Khao Phing Kan (James Bond Island), Phang Nga Bay</t>
        </is>
      </c>
      <c r="D93" s="31" t="n">
        <v>13.5</v>
      </c>
      <c r="E93" s="26" t="n">
        <v>90</v>
      </c>
      <c r="F93" s="32" t="inlineStr">
        <is>
          <t>T2</t>
        </is>
      </c>
      <c r="G93" s="32" t="inlineStr">
        <is>
          <t>med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20000</v>
      </c>
      <c r="AH93" s="32" t="n"/>
      <c r="AI93" s="32" t="n"/>
      <c r="AJ93" s="39" t="n">
        <v>0.1</v>
      </c>
      <c r="AK93" s="34">
        <f>IF(AG93="","",AG93*AJ93)</f>
        <v/>
      </c>
      <c r="AL93" s="34">
        <f>IF(OR(AG93="",R93=0),"",MIN(IF(AT93="",9.9E+99,AT93),FLOOR(AK93/R93,1)))</f>
        <v/>
      </c>
      <c r="AM93" s="38">
        <f>IF(AL93="","",AL93*T93)</f>
        <v/>
      </c>
      <c r="AN93" s="36">
        <f>IF(OR(AG93="",R93=0),"",MIN(IF(AT93="",9.9E+99,AT93),AK93/R93))</f>
        <v/>
      </c>
      <c r="AO93" s="38">
        <f>IF(AN93="","",AN93*T93)</f>
        <v/>
      </c>
      <c r="AP93" s="40" t="n"/>
      <c r="AQ93" s="32" t="inlineStr">
        <is>
          <t>Grounded</t>
        </is>
      </c>
      <c r="AR93" s="41" t="n"/>
      <c r="AS93" s="41" t="n"/>
      <c r="AT93" s="42" t="n"/>
      <c r="AU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V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W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X93" s="44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AY93" s="44" t="n"/>
    </row>
    <row r="94">
      <c r="A94" s="29" t="inlineStr">
        <is>
          <t>Koh Samui</t>
        </is>
      </c>
      <c r="B94" s="29" t="inlineStr">
        <is>
          <t>Thailand</t>
        </is>
      </c>
      <c r="C94" s="30" t="inlineStr">
        <is>
          <t>Koh Samui (Lipa Noi) → Donsak (Raja Ferry pier)</t>
        </is>
      </c>
      <c r="D94" s="31" t="n">
        <v>14.3</v>
      </c>
      <c r="E94" s="26" t="n">
        <v>15.2</v>
      </c>
      <c r="F94" s="32" t="n"/>
      <c r="G94" s="32" t="inlineStr">
        <is>
          <t>T3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MIN(24,FLOOR(60*service_hr/J94,1))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666667</v>
      </c>
      <c r="AH94" s="32" t="inlineStr">
        <is>
          <t>T2</t>
        </is>
      </c>
      <c r="AI94" s="32" t="inlineStr">
        <is>
          <t>med-low</t>
        </is>
      </c>
      <c r="AJ94" s="39" t="n">
        <v>0.1</v>
      </c>
      <c r="AK94" s="34">
        <f>IF(AG94="","",AG94*AJ94)</f>
        <v/>
      </c>
      <c r="AL94" s="34">
        <f>IF(OR(AG94="",R94=0),"",MIN(IF(AT94="",9.9E+99,AT94),FLOOR(AK94/R94,1)))</f>
        <v/>
      </c>
      <c r="AM94" s="38">
        <f>IF(AL94="","",AL94*T94)</f>
        <v/>
      </c>
      <c r="AN94" s="36">
        <f>IF(OR(AG94="",R94=0),"",MIN(IF(AT94="",9.9E+99,AT94),AK94/R94))</f>
        <v/>
      </c>
      <c r="AO94" s="38">
        <f>IF(AN94="","",AN94*T94)</f>
        <v/>
      </c>
      <c r="AP94" s="40" t="n"/>
      <c r="AQ94" s="32" t="inlineStr">
        <is>
          <t>Grounded</t>
        </is>
      </c>
      <c r="AR94" s="41" t="n"/>
      <c r="AS94" s="41" t="n"/>
      <c r="AT94" s="42" t="n"/>
      <c r="AU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V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W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X94" s="44" t="n"/>
      <c r="AY94" s="44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95">
      <c r="A95" s="29" t="inlineStr">
        <is>
          <t>Koh Samui</t>
        </is>
      </c>
      <c r="B95" s="29" t="inlineStr">
        <is>
          <t>Thailand</t>
        </is>
      </c>
      <c r="C95" s="30" t="inlineStr">
        <is>
          <t>Four Seasons Koh Samui (Laem Yai) → Ang Thong Marine Park (Wua Talap)</t>
        </is>
      </c>
      <c r="D95" s="31" t="n">
        <v>15.3</v>
      </c>
      <c r="E95" s="26" t="n">
        <v>79</v>
      </c>
      <c r="F95" s="32" t="n"/>
      <c r="G95" s="32" t="inlineStr">
        <is>
          <t>T3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MIN(15,FLOOR(60*service_hr/J95,1))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300000</v>
      </c>
      <c r="AH95" s="32" t="inlineStr">
        <is>
          <t>T2</t>
        </is>
      </c>
      <c r="AI95" s="32" t="inlineStr">
        <is>
          <t>med-low</t>
        </is>
      </c>
      <c r="AJ95" s="39" t="n">
        <v>0.9</v>
      </c>
      <c r="AK95" s="34">
        <f>IF(AG95="","",AG95*AJ95)</f>
        <v/>
      </c>
      <c r="AL95" s="34">
        <f>IF(OR(AG95="",R95=0),"",MIN(IF(AT95="",9.9E+99,AT95),FLOOR(AK95/R95,1)))</f>
        <v/>
      </c>
      <c r="AM95" s="38">
        <f>IF(AL95="","",AL95*T95)</f>
        <v/>
      </c>
      <c r="AN95" s="36">
        <f>IF(OR(AG95="",R95=0),"",MIN(IF(AT95="",9.9E+99,AT95),AK95/R95))</f>
        <v/>
      </c>
      <c r="AO95" s="38">
        <f>IF(AN95="","",AN95*T95)</f>
        <v/>
      </c>
      <c r="AP95" s="40" t="n"/>
      <c r="AQ95" s="32" t="inlineStr">
        <is>
          <t>Grounded</t>
        </is>
      </c>
      <c r="AR95" s="41" t="n"/>
      <c r="AS95" s="41" t="n"/>
      <c r="AT95" s="42" t="n">
        <v>3</v>
      </c>
      <c r="AU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V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W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X95" s="44" t="n"/>
      <c r="AY95" s="44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96">
      <c r="A96" s="29" t="inlineStr">
        <is>
          <t>Phuket</t>
        </is>
      </c>
      <c r="B96" s="29" t="inlineStr">
        <is>
          <t>Thailand</t>
        </is>
      </c>
      <c r="C96" s="30" t="inlineStr">
        <is>
          <t>Rassada Pier (Phuket Deep Sea Port) → Manoh Pier (Koh Yao Yai)</t>
        </is>
      </c>
      <c r="D96" s="31" t="n">
        <v>16.9</v>
      </c>
      <c r="E96" s="26" t="n">
        <v>100</v>
      </c>
      <c r="F96" s="32" t="inlineStr">
        <is>
          <t>T2</t>
        </is>
      </c>
      <c r="G96" s="32" t="inlineStr">
        <is>
          <t>med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8500</v>
      </c>
      <c r="AH96" s="32" t="inlineStr">
        <is>
          <t>T2</t>
        </is>
      </c>
      <c r="AI96" s="32" t="inlineStr">
        <is>
          <t>med</t>
        </is>
      </c>
      <c r="AJ96" s="39" t="n">
        <v>0.9</v>
      </c>
      <c r="AK96" s="34">
        <f>IF(AG96="","",AG96*AJ96)</f>
        <v/>
      </c>
      <c r="AL96" s="34">
        <f>IF(OR(AG96="",R96=0),"",MIN(IF(AT96="",9.9E+99,AT96),FLOOR(AK96/R96,1)))</f>
        <v/>
      </c>
      <c r="AM96" s="38">
        <f>IF(AL96="","",AL96*T96)</f>
        <v/>
      </c>
      <c r="AN96" s="36">
        <f>IF(OR(AG96="",R96=0),"",MIN(IF(AT96="",9.9E+99,AT96),AK96/R96))</f>
        <v/>
      </c>
      <c r="AO96" s="38">
        <f>IF(AN96="","",AN96*T96)</f>
        <v/>
      </c>
      <c r="AP96" s="40" t="n"/>
      <c r="AQ96" s="32" t="inlineStr">
        <is>
          <t>Grounded</t>
        </is>
      </c>
      <c r="AR96" s="41" t="n"/>
      <c r="AS96" s="41" t="n"/>
      <c r="AT96" s="42" t="n"/>
      <c r="AU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V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W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X96" s="44" t="inlineStr">
        <is>
          <t>Minor Hotels captive gateway — Anantara Koh Yao Yai boat-only transfer from Phuket.</t>
        </is>
      </c>
      <c r="AY96" s="44" t="inlineStr">
        <is>
          <t>minor-hotels-phuket-flagship-economics-DRAFT.json — Koh Yao Yai captive transfer pool</t>
        </is>
      </c>
    </row>
    <row r="97">
      <c r="A97" s="29" t="inlineStr">
        <is>
          <t>Koh Samui</t>
        </is>
      </c>
      <c r="B97" s="29" t="inlineStr">
        <is>
          <t>Thailand</t>
        </is>
      </c>
      <c r="C97" s="30" t="inlineStr">
        <is>
          <t>Koh Samui (Nathon) → Donsak (Seatran harbour)</t>
        </is>
      </c>
      <c r="D97" s="31" t="n">
        <v>17.9</v>
      </c>
      <c r="E97" s="26" t="n">
        <v>15.2</v>
      </c>
      <c r="F97" s="32" t="n"/>
      <c r="G97" s="32" t="inlineStr">
        <is>
          <t>T3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MIN(24,FLOOR(60*service_hr/J97,1))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666667</v>
      </c>
      <c r="AH97" s="32" t="inlineStr">
        <is>
          <t>T5</t>
        </is>
      </c>
      <c r="AI97" s="32" t="inlineStr">
        <is>
          <t>low-med</t>
        </is>
      </c>
      <c r="AJ97" s="39" t="n">
        <v>0.1</v>
      </c>
      <c r="AK97" s="34">
        <f>IF(AG97="","",AG97*AJ97)</f>
        <v/>
      </c>
      <c r="AL97" s="34">
        <f>IF(OR(AG97="",R97=0),"",MIN(IF(AT97="",9.9E+99,AT97),FLOOR(AK97/R97,1)))</f>
        <v/>
      </c>
      <c r="AM97" s="38">
        <f>IF(AL97="","",AL97*T97)</f>
        <v/>
      </c>
      <c r="AN97" s="36">
        <f>IF(OR(AG97="",R97=0),"",MIN(IF(AT97="",9.9E+99,AT97),AK97/R97))</f>
        <v/>
      </c>
      <c r="AO97" s="38">
        <f>IF(AN97="","",AN97*T97)</f>
        <v/>
      </c>
      <c r="AP97" s="40" t="n"/>
      <c r="AQ97" s="32" t="inlineStr">
        <is>
          <t>Grounded</t>
        </is>
      </c>
      <c r="AR97" s="41" t="n"/>
      <c r="AS97" s="41" t="n"/>
      <c r="AT97" s="42" t="n"/>
      <c r="AU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V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W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X97" s="44" t="n"/>
      <c r="AY97" s="44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98">
      <c r="A98" s="29" t="inlineStr">
        <is>
          <t>Phuket</t>
        </is>
      </c>
      <c r="B98" s="29" t="inlineStr">
        <is>
          <t>Thailand</t>
        </is>
      </c>
      <c r="C98" s="30" t="inlineStr">
        <is>
          <t>Phuket (Royal Phuket Marina) → Phang Nga Bay / James Bond Island</t>
        </is>
      </c>
      <c r="D98" s="31" t="n">
        <v>20</v>
      </c>
      <c r="E98" s="26" t="n">
        <v>72</v>
      </c>
      <c r="F98" s="32" t="inlineStr">
        <is>
          <t>T3</t>
        </is>
      </c>
      <c r="G98" s="32" t="inlineStr">
        <is>
          <t>med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>
        <v>580000</v>
      </c>
      <c r="AH98" s="32" t="inlineStr">
        <is>
          <t>T2</t>
        </is>
      </c>
      <c r="AI98" s="32" t="inlineStr">
        <is>
          <t>med</t>
        </is>
      </c>
      <c r="AJ98" s="39" t="n">
        <v>0.1</v>
      </c>
      <c r="AK98" s="34">
        <f>IF(AG98="","",AG98*AJ98)</f>
        <v/>
      </c>
      <c r="AL98" s="34">
        <f>IF(OR(AG98="",R98=0),"",MIN(IF(AT98="",9.9E+99,AT98),FLOOR(AK98/R98,1)))</f>
        <v/>
      </c>
      <c r="AM98" s="38">
        <f>IF(AL98="","",AL98*T98)</f>
        <v/>
      </c>
      <c r="AN98" s="36">
        <f>IF(OR(AG98="",R98=0),"",MIN(IF(AT98="",9.9E+99,AT98),AK98/R98))</f>
        <v/>
      </c>
      <c r="AO98" s="38">
        <f>IF(AN98="","",AN98*T98)</f>
        <v/>
      </c>
      <c r="AP98" s="40" t="n"/>
      <c r="AQ98" s="32" t="inlineStr">
        <is>
          <t>Grounded</t>
        </is>
      </c>
      <c r="AR98" s="41" t="n"/>
      <c r="AS98" s="41" t="n"/>
      <c r="AT98" s="42" t="n"/>
      <c r="AU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V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W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X98" s="44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AY98" s="44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99">
      <c r="A99" s="29" t="inlineStr">
        <is>
          <t>Phuket</t>
        </is>
      </c>
      <c r="B99" s="29" t="inlineStr">
        <is>
          <t>Thailand</t>
        </is>
      </c>
      <c r="C99" s="30" t="inlineStr">
        <is>
          <t>Phuket → Phi Phi (Tonsai)</t>
        </is>
      </c>
      <c r="D99" s="31" t="n">
        <v>25</v>
      </c>
      <c r="E99" s="26" t="n">
        <v>44</v>
      </c>
      <c r="F99" s="32" t="inlineStr">
        <is>
          <t>T3</t>
        </is>
      </c>
      <c r="G99" s="32" t="inlineStr">
        <is>
          <t>med</t>
        </is>
      </c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1080000</v>
      </c>
      <c r="AH99" s="32" t="inlineStr">
        <is>
          <t>T2</t>
        </is>
      </c>
      <c r="AI99" s="32" t="inlineStr">
        <is>
          <t>med</t>
        </is>
      </c>
      <c r="AJ99" s="39" t="n">
        <v>0.1</v>
      </c>
      <c r="AK99" s="34">
        <f>IF(AG99="","",AG99*AJ99)</f>
        <v/>
      </c>
      <c r="AL99" s="34">
        <f>IF(OR(AG99="",R99=0),"",MIN(IF(AT99="",9.9E+99,AT99),FLOOR(AK99/R99,1)))</f>
        <v/>
      </c>
      <c r="AM99" s="38">
        <f>IF(AL99="","",AL99*T99)</f>
        <v/>
      </c>
      <c r="AN99" s="36">
        <f>IF(OR(AG99="",R99=0),"",MIN(IF(AT99="",9.9E+99,AT99),AK99/R99))</f>
        <v/>
      </c>
      <c r="AO99" s="38">
        <f>IF(AN99="","",AN99*T99)</f>
        <v/>
      </c>
      <c r="AP99" s="40" t="n"/>
      <c r="AQ99" s="32" t="inlineStr">
        <is>
          <t>Grounded</t>
        </is>
      </c>
      <c r="AR99" s="41" t="n"/>
      <c r="AS99" s="41" t="n"/>
      <c r="AT99" s="42" t="n"/>
      <c r="AU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V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W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X99" s="44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AY99" s="44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100">
      <c r="A100" s="29" t="inlineStr">
        <is>
          <t>Koh Samui</t>
        </is>
      </c>
      <c r="B100" s="29" t="inlineStr">
        <is>
          <t>Thailand</t>
        </is>
      </c>
      <c r="C100" s="30" t="inlineStr">
        <is>
          <t>Koh Samui (Bangrak) → Don Sak Ferry Harbour</t>
        </is>
      </c>
      <c r="D100" s="31" t="n">
        <v>28.1</v>
      </c>
      <c r="E100" s="26" t="n">
        <v>15.2</v>
      </c>
      <c r="F100" s="32" t="n"/>
      <c r="G100" s="32" t="inlineStr">
        <is>
          <t>T3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MIN(24,FLOOR(60*service_hr/J100,1))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666667</v>
      </c>
      <c r="AH100" s="32" t="inlineStr">
        <is>
          <t>T4</t>
        </is>
      </c>
      <c r="AI100" s="32" t="inlineStr">
        <is>
          <t>med-low</t>
        </is>
      </c>
      <c r="AJ100" s="39" t="n">
        <v>0.1</v>
      </c>
      <c r="AK100" s="34">
        <f>IF(AG100="","",AG100*AJ100)</f>
        <v/>
      </c>
      <c r="AL100" s="34">
        <f>IF(OR(AG100="",R100=0),"",MIN(IF(AT100="",9.9E+99,AT100),FLOOR(AK100/R100,1)))</f>
        <v/>
      </c>
      <c r="AM100" s="38">
        <f>IF(AL100="","",AL100*T100)</f>
        <v/>
      </c>
      <c r="AN100" s="36">
        <f>IF(OR(AG100="",R100=0),"",MIN(IF(AT100="",9.9E+99,AT100),AK100/R100))</f>
        <v/>
      </c>
      <c r="AO100" s="38">
        <f>IF(AN100="","",AN100*T100)</f>
        <v/>
      </c>
      <c r="AP100" s="40" t="n"/>
      <c r="AQ100" s="32" t="inlineStr">
        <is>
          <t>Grounded</t>
        </is>
      </c>
      <c r="AR100" s="41" t="n"/>
      <c r="AS100" s="41" t="n"/>
      <c r="AT100" s="42" t="n"/>
      <c r="AU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V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W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X100" s="44" t="n"/>
      <c r="AY100" s="44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101">
      <c r="A101" s="29" t="inlineStr">
        <is>
          <t>Koh Samui</t>
        </is>
      </c>
      <c r="B101" s="29" t="inlineStr">
        <is>
          <t>Thailand</t>
        </is>
      </c>
      <c r="C101" s="30" t="inlineStr">
        <is>
          <t>Koh Samui → Koh Tao (Mae Haad)</t>
        </is>
      </c>
      <c r="D101" s="31" t="n">
        <v>35.3</v>
      </c>
      <c r="E101" s="26" t="n">
        <v>24.4</v>
      </c>
      <c r="F101" s="32" t="n"/>
      <c r="G101" s="32" t="inlineStr">
        <is>
          <t>T3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MIN(15,FLOOR(60*service_hr/J101,1))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400000</v>
      </c>
      <c r="AH101" s="32" t="inlineStr">
        <is>
          <t>T5</t>
        </is>
      </c>
      <c r="AI101" s="32" t="inlineStr">
        <is>
          <t>med-low</t>
        </is>
      </c>
      <c r="AJ101" s="39" t="n">
        <v>0.1</v>
      </c>
      <c r="AK101" s="34">
        <f>IF(AG101="","",AG101*AJ101)</f>
        <v/>
      </c>
      <c r="AL101" s="34">
        <f>IF(OR(AG101="",R101=0),"",MIN(IF(AT101="",9.9E+99,AT101),FLOOR(AK101/R101,1)))</f>
        <v/>
      </c>
      <c r="AM101" s="38">
        <f>IF(AL101="","",AL101*T101)</f>
        <v/>
      </c>
      <c r="AN101" s="36">
        <f>IF(OR(AG101="",R101=0),"",MIN(IF(AT101="",9.9E+99,AT101),AK101/R101))</f>
        <v/>
      </c>
      <c r="AO101" s="38">
        <f>IF(AN101="","",AN101*T101)</f>
        <v/>
      </c>
      <c r="AP101" s="40" t="n"/>
      <c r="AQ101" s="32" t="inlineStr">
        <is>
          <t>Grounded</t>
        </is>
      </c>
      <c r="AR101" s="41" t="n"/>
      <c r="AS101" s="41" t="n"/>
      <c r="AT101" s="42" t="n"/>
      <c r="AU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V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W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X101" s="44" t="n"/>
      <c r="AY101" s="44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102">
      <c r="A102" s="29" t="inlineStr">
        <is>
          <t>Phuket</t>
        </is>
      </c>
      <c r="B102" s="29" t="inlineStr">
        <is>
          <t>Thailand</t>
        </is>
      </c>
      <c r="C102" s="30" t="inlineStr">
        <is>
          <t>Manoh Pier (Koh Yao Yai) → Thap Lamu Pier (Similan Gateway)</t>
        </is>
      </c>
      <c r="D102" s="31" t="n">
        <v>35.7</v>
      </c>
      <c r="E102" s="26" t="n">
        <v>100</v>
      </c>
      <c r="F102" s="32" t="inlineStr">
        <is>
          <t>T2</t>
        </is>
      </c>
      <c r="G102" s="32" t="inlineStr">
        <is>
          <t>med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8500</v>
      </c>
      <c r="AH102" s="32" t="inlineStr">
        <is>
          <t>T2</t>
        </is>
      </c>
      <c r="AI102" s="32" t="inlineStr">
        <is>
          <t>med</t>
        </is>
      </c>
      <c r="AJ102" s="39" t="n">
        <v>0.9</v>
      </c>
      <c r="AK102" s="34">
        <f>IF(AG102="","",AG102*AJ102)</f>
        <v/>
      </c>
      <c r="AL102" s="34">
        <f>IF(OR(AG102="",R102=0),"",MIN(IF(AT102="",9.9E+99,AT102),FLOOR(AK102/R102,1)))</f>
        <v/>
      </c>
      <c r="AM102" s="38">
        <f>IF(AL102="","",AL102*T102)</f>
        <v/>
      </c>
      <c r="AN102" s="36">
        <f>IF(OR(AG102="",R102=0),"",MIN(IF(AT102="",9.9E+99,AT102),AK102/R102))</f>
        <v/>
      </c>
      <c r="AO102" s="38">
        <f>IF(AN102="","",AN102*T102)</f>
        <v/>
      </c>
      <c r="AP102" s="40" t="n"/>
      <c r="AQ102" s="32" t="inlineStr">
        <is>
          <t>Grounded</t>
        </is>
      </c>
      <c r="AR102" s="41" t="n"/>
      <c r="AS102" s="41" t="n"/>
      <c r="AT102" s="42" t="n"/>
      <c r="AU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V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W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X102" s="44" t="inlineStr">
        <is>
          <t>Minor Hotels inter-resort hop — Koh Yao Yai ↔ Khao Lak portfolio.</t>
        </is>
      </c>
      <c r="AY102" s="44" t="inlineStr">
        <is>
          <t>minor-hotels-phuket-flagship-economics-DRAFT.json — inter-brand Andaman hop</t>
        </is>
      </c>
    </row>
    <row r="103">
      <c r="A103" s="29" t="inlineStr">
        <is>
          <t>Phuket</t>
        </is>
      </c>
      <c r="B103" s="29" t="inlineStr">
        <is>
          <t>Thailand</t>
        </is>
      </c>
      <c r="C103" s="30" t="inlineStr">
        <is>
          <t>Phuket → Krabi (Ao Nang)</t>
        </is>
      </c>
      <c r="D103" s="31" t="n">
        <v>40</v>
      </c>
      <c r="E103" s="26" t="n">
        <v>44</v>
      </c>
      <c r="F103" s="32" t="inlineStr">
        <is>
          <t>T3</t>
        </is>
      </c>
      <c r="G103" s="32" t="inlineStr">
        <is>
          <t>med</t>
        </is>
      </c>
      <c r="H103" s="19" t="n">
        <v>1</v>
      </c>
      <c r="I103" s="33">
        <f>60*D103/cruise_kt</f>
        <v/>
      </c>
      <c r="J103" s="33">
        <f>I103+turn_min+dwell_min</f>
        <v/>
      </c>
      <c r="K103" s="34">
        <f>MIN(15,FLOOR(60*service_hr/J103,1))</f>
        <v/>
      </c>
      <c r="L103" s="34">
        <f>ROUND(365*mech_uptime*H103,0)</f>
        <v/>
      </c>
      <c r="M103" s="35">
        <f>mech_uptime</f>
        <v/>
      </c>
      <c r="N103" s="35">
        <f>revleg_sel</f>
        <v/>
      </c>
      <c r="O103" s="34">
        <f>ROUND(K103*L103*revleg_sel,0)</f>
        <v/>
      </c>
      <c r="P103" s="36">
        <f>load_sel</f>
        <v/>
      </c>
      <c r="Q103" s="36">
        <f>pax_cap*P103</f>
        <v/>
      </c>
      <c r="R103" s="34">
        <f>Q103*O103</f>
        <v/>
      </c>
      <c r="S103" s="37">
        <f>E103*discount</f>
        <v/>
      </c>
      <c r="T103" s="38">
        <f>S103*R103</f>
        <v/>
      </c>
      <c r="U103" s="38">
        <f>(battery/range_nm)*D103*O103*VLOOKUP(B103,country_opex,3,FALSE)</f>
        <v/>
      </c>
      <c r="V103" s="38">
        <f>VLOOKUP(B103,country_opex,2,FALSE)*crew_factor</f>
        <v/>
      </c>
      <c r="W103" s="38">
        <f>VLOOKUP(B103,country_opex,5,FALSE)</f>
        <v/>
      </c>
      <c r="X103" s="38">
        <f>maint</f>
        <v/>
      </c>
      <c r="Y103" s="38">
        <f>VLOOKUP(B103,country_opex,7,FALSE)*ins_pct</f>
        <v/>
      </c>
      <c r="Z103" s="38">
        <f>charge_berth</f>
        <v/>
      </c>
      <c r="AA103" s="38">
        <f>U103+V103+W103+X103+Y103+Z103</f>
        <v/>
      </c>
      <c r="AB103" s="38">
        <f>VLOOKUP(B103,country_opex,7,FALSE)/dep_years</f>
        <v/>
      </c>
      <c r="AC103" s="38">
        <f>T103-AA103</f>
        <v/>
      </c>
      <c r="AD103" s="35">
        <f>IF(T103=0,"",AC103/T103)</f>
        <v/>
      </c>
      <c r="AE103" s="36">
        <f>IF(AC103&lt;=0,"",VLOOKUP(B103,country_opex,7,FALSE)/AC103)</f>
        <v/>
      </c>
      <c r="AF103" s="33">
        <f>((D103*O103/diesel_nmpg)*diesel_co2pg-(battery/range_nm)*D103*O103*VLOOKUP(B103,country_opex,4,FALSE))/1000</f>
        <v/>
      </c>
      <c r="AG103" s="31" t="n"/>
      <c r="AH103" s="32" t="n"/>
      <c r="AI103" s="32" t="n"/>
      <c r="AJ103" s="39" t="n">
        <v>0.1</v>
      </c>
      <c r="AK103" s="34">
        <f>IF(AG103="","",AG103*AJ103)</f>
        <v/>
      </c>
      <c r="AL103" s="34">
        <f>IF(OR(AG103="",R103=0),"",MIN(IF(AT103="",9.9E+99,AT103),FLOOR(AK103/R103,1)))</f>
        <v/>
      </c>
      <c r="AM103" s="38">
        <f>IF(AL103="","",AL103*T103)</f>
        <v/>
      </c>
      <c r="AN103" s="36">
        <f>IF(OR(AG103="",R103=0),"",MIN(IF(AT103="",9.9E+99,AT103),AK103/R103))</f>
        <v/>
      </c>
      <c r="AO103" s="38">
        <f>IF(AN103="","",AN103*T103)</f>
        <v/>
      </c>
      <c r="AP103" s="40" t="n"/>
      <c r="AQ103" s="32" t="inlineStr">
        <is>
          <t>Estimated</t>
        </is>
      </c>
      <c r="AR103" s="41" t="n"/>
      <c r="AS103" s="41" t="n"/>
      <c r="AT103" s="42" t="n"/>
      <c r="AU103" s="43">
        <f>IF(((S103*pax_cap*load_thin*ROUND(K103*L103*revleg_thin,0))-(((battery/range_nm)*D103*ROUND(K103*L103*revleg_thin,0)*VLOOKUP(B103,country_opex,3,FALSE))+V103+W103+X103+Y103+Z103))&lt;=0,"",VLOOKUP(B103,country_opex,7,FALSE)/((S103*pax_cap*load_thin*ROUND(K103*L103*revleg_thin,0))-(((battery/range_nm)*D103*ROUND(K103*L103*revleg_thin,0)*VLOOKUP(B103,country_opex,3,FALSE))+V103+W103+X103+Y103+Z103)))</f>
        <v/>
      </c>
      <c r="AV103" s="43">
        <f>IF(((S103*pax_cap*load_mid*ROUND(K103*L103*revleg_mid,0))-(((battery/range_nm)*D103*ROUND(K103*L103*revleg_mid,0)*VLOOKUP(B103,country_opex,3,FALSE))+V103+W103+X103+Y103+Z103))&lt;=0,"",VLOOKUP(B103,country_opex,7,FALSE)/((S103*pax_cap*load_mid*ROUND(K103*L103*revleg_mid,0))-(((battery/range_nm)*D103*ROUND(K103*L103*revleg_mid,0)*VLOOKUP(B103,country_opex,3,FALSE))+V103+W103+X103+Y103+Z103)))</f>
        <v/>
      </c>
      <c r="AW103" s="43">
        <f>IF(((S103*pax_cap*load_full*ROUND(K103*L103*revleg_full,0))-(((battery/range_nm)*D103*ROUND(K103*L103*revleg_full,0)*VLOOKUP(B103,country_opex,3,FALSE))+V103+W103+X103+Y103+Z103))&lt;=0,"",VLOOKUP(B103,country_opex,7,FALSE)/((S103*pax_cap*load_full*ROUND(K103*L103*revleg_full,0))-(((battery/range_nm)*D103*ROUND(K103*L103*revleg_full,0)*VLOOKUP(B103,country_opex,3,FALSE))+V103+W103+X103+Y103+Z103)))</f>
        <v/>
      </c>
      <c r="AX103" s="44" t="inlineStr">
        <is>
          <t>Phuket-&gt;Krabi (Ao Nang) speedboat premium tier ~comparable to Phi Phi route ($44). Krabi-specific demand re-source pending.</t>
        </is>
      </c>
      <c r="AY103" s="44" t="inlineStr">
        <is>
          <t>Phi Phi demand moved to new Phuket-&gt;Phi Phi corridor per Jaideep 2026-06-09. Krabi (Ao Nang) demand to be sourced separately. Until then: estimated via country cascade.</t>
        </is>
      </c>
    </row>
    <row r="104">
      <c r="A104" s="29" t="inlineStr">
        <is>
          <t>Phuket</t>
        </is>
      </c>
      <c r="B104" s="29" t="inlineStr">
        <is>
          <t>Thailand</t>
        </is>
      </c>
      <c r="C104" s="30" t="inlineStr">
        <is>
          <t>Phuket → Similan / Surin Islands</t>
        </is>
      </c>
      <c r="D104" s="31" t="n">
        <v>55</v>
      </c>
      <c r="E104" s="26" t="n">
        <v>80</v>
      </c>
      <c r="F104" s="32" t="inlineStr">
        <is>
          <t>T3</t>
        </is>
      </c>
      <c r="G104" s="32" t="inlineStr">
        <is>
          <t>med</t>
        </is>
      </c>
      <c r="H104" s="19" t="n">
        <v>1</v>
      </c>
      <c r="I104" s="33">
        <f>60*D104/cruise_kt</f>
        <v/>
      </c>
      <c r="J104" s="33">
        <f>I104+turn_min+dwell_min</f>
        <v/>
      </c>
      <c r="K104" s="34">
        <f>MIN(15,FLOOR(60*service_hr/J104,1))</f>
        <v/>
      </c>
      <c r="L104" s="34">
        <f>ROUND(365*mech_uptime*H104,0)</f>
        <v/>
      </c>
      <c r="M104" s="35">
        <f>mech_uptime</f>
        <v/>
      </c>
      <c r="N104" s="35">
        <f>revleg_sel</f>
        <v/>
      </c>
      <c r="O104" s="34">
        <f>ROUND(K104*L104*revleg_sel,0)</f>
        <v/>
      </c>
      <c r="P104" s="36">
        <f>load_sel</f>
        <v/>
      </c>
      <c r="Q104" s="36">
        <f>pax_cap*P104</f>
        <v/>
      </c>
      <c r="R104" s="34">
        <f>Q104*O104</f>
        <v/>
      </c>
      <c r="S104" s="37">
        <f>E104*discount</f>
        <v/>
      </c>
      <c r="T104" s="38">
        <f>S104*R104</f>
        <v/>
      </c>
      <c r="U104" s="38">
        <f>(battery/range_nm)*D104*O104*VLOOKUP(B104,country_opex,3,FALSE)</f>
        <v/>
      </c>
      <c r="V104" s="38">
        <f>VLOOKUP(B104,country_opex,2,FALSE)*crew_factor</f>
        <v/>
      </c>
      <c r="W104" s="38">
        <f>VLOOKUP(B104,country_opex,5,FALSE)</f>
        <v/>
      </c>
      <c r="X104" s="38">
        <f>maint</f>
        <v/>
      </c>
      <c r="Y104" s="38">
        <f>VLOOKUP(B104,country_opex,7,FALSE)*ins_pct</f>
        <v/>
      </c>
      <c r="Z104" s="38">
        <f>charge_berth</f>
        <v/>
      </c>
      <c r="AA104" s="38">
        <f>U104+V104+W104+X104+Y104+Z104</f>
        <v/>
      </c>
      <c r="AB104" s="38">
        <f>VLOOKUP(B104,country_opex,7,FALSE)/dep_years</f>
        <v/>
      </c>
      <c r="AC104" s="38">
        <f>T104-AA104</f>
        <v/>
      </c>
      <c r="AD104" s="35">
        <f>IF(T104=0,"",AC104/T104)</f>
        <v/>
      </c>
      <c r="AE104" s="36">
        <f>IF(AC104&lt;=0,"",VLOOKUP(B104,country_opex,7,FALSE)/AC104)</f>
        <v/>
      </c>
      <c r="AF104" s="33">
        <f>((D104*O104/diesel_nmpg)*diesel_co2pg-(battery/range_nm)*D104*O104*VLOOKUP(B104,country_opex,4,FALSE))/1000</f>
        <v/>
      </c>
      <c r="AG104" s="31" t="n">
        <v>580000</v>
      </c>
      <c r="AH104" s="32" t="inlineStr">
        <is>
          <t>T2</t>
        </is>
      </c>
      <c r="AI104" s="32" t="inlineStr">
        <is>
          <t>low</t>
        </is>
      </c>
      <c r="AJ104" s="39" t="n">
        <v>0.1</v>
      </c>
      <c r="AK104" s="34">
        <f>IF(AG104="","",AG104*AJ104)</f>
        <v/>
      </c>
      <c r="AL104" s="34">
        <f>IF(OR(AG104="",R104=0),"",MIN(IF(AT104="",9.9E+99,AT104),FLOOR(AK104/R104,1)))</f>
        <v/>
      </c>
      <c r="AM104" s="38">
        <f>IF(AL104="","",AL104*T104)</f>
        <v/>
      </c>
      <c r="AN104" s="36">
        <f>IF(OR(AG104="",R104=0),"",MIN(IF(AT104="",9.9E+99,AT104),AK104/R104))</f>
        <v/>
      </c>
      <c r="AO104" s="38">
        <f>IF(AN104="","",AN104*T104)</f>
        <v/>
      </c>
      <c r="AP104" s="40" t="n"/>
      <c r="AQ104" s="32" t="inlineStr">
        <is>
          <t>Grounded</t>
        </is>
      </c>
      <c r="AR104" s="41" t="n"/>
      <c r="AS104" s="41" t="n"/>
      <c r="AT104" s="42" t="n"/>
      <c r="AU104" s="43">
        <f>IF(((S104*pax_cap*load_thin*ROUND(K104*L104*revleg_thin,0))-(((battery/range_nm)*D104*ROUND(K104*L104*revleg_thin,0)*VLOOKUP(B104,country_opex,3,FALSE))+V104+W104+X104+Y104+Z104))&lt;=0,"",VLOOKUP(B104,country_opex,7,FALSE)/((S104*pax_cap*load_thin*ROUND(K104*L104*revleg_thin,0))-(((battery/range_nm)*D104*ROUND(K104*L104*revleg_thin,0)*VLOOKUP(B104,country_opex,3,FALSE))+V104+W104+X104+Y104+Z104)))</f>
        <v/>
      </c>
      <c r="AV104" s="43">
        <f>IF(((S104*pax_cap*load_mid*ROUND(K104*L104*revleg_mid,0))-(((battery/range_nm)*D104*ROUND(K104*L104*revleg_mid,0)*VLOOKUP(B104,country_opex,3,FALSE))+V104+W104+X104+Y104+Z104))&lt;=0,"",VLOOKUP(B104,country_opex,7,FALSE)/((S104*pax_cap*load_mid*ROUND(K104*L104*revleg_mid,0))-(((battery/range_nm)*D104*ROUND(K104*L104*revleg_mid,0)*VLOOKUP(B104,country_opex,3,FALSE))+V104+W104+X104+Y104+Z104)))</f>
        <v/>
      </c>
      <c r="AW104" s="43">
        <f>IF(((S104*pax_cap*load_full*ROUND(K104*L104*revleg_full,0))-(((battery/range_nm)*D104*ROUND(K104*L104*revleg_full,0)*VLOOKUP(B104,country_opex,3,FALSE))+V104+W104+X104+Y104+Z104))&lt;=0,"",VLOOKUP(B104,country_opex,7,FALSE)/((S104*pax_cap*load_full*ROUND(K104*L104*revleg_full,0))-(((battery/range_nm)*D104*ROUND(K104*L104*revleg_full,0)*VLOOKUP(B104,country_opex,3,FALSE))+V104+W104+X104+Y104+Z104)))</f>
        <v/>
      </c>
      <c r="AX104" s="44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AY104" s="44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105">
      <c r="A105" s="29" t="inlineStr">
        <is>
          <t>Penang</t>
        </is>
      </c>
      <c r="B105" s="29" t="inlineStr">
        <is>
          <t>Thailand</t>
        </is>
      </c>
      <c r="C105" s="30" t="inlineStr">
        <is>
          <t>Penang (George Town) → Langkawi</t>
        </is>
      </c>
      <c r="D105" s="31" t="n">
        <v>55</v>
      </c>
      <c r="E105" s="26" t="n">
        <v>17</v>
      </c>
      <c r="F105" s="32" t="inlineStr">
        <is>
          <t>T4</t>
        </is>
      </c>
      <c r="G105" s="32" t="inlineStr">
        <is>
          <t>low</t>
        </is>
      </c>
      <c r="H105" s="19" t="n">
        <v>1</v>
      </c>
      <c r="I105" s="33">
        <f>60*D105/cruise_kt</f>
        <v/>
      </c>
      <c r="J105" s="33">
        <f>I105+turn_min+dwell_min</f>
        <v/>
      </c>
      <c r="K105" s="34">
        <f>MIN(15,FLOOR(60*service_hr/J105,1))</f>
        <v/>
      </c>
      <c r="L105" s="34">
        <f>ROUND(365*mech_uptime*H105,0)</f>
        <v/>
      </c>
      <c r="M105" s="35">
        <f>mech_uptime</f>
        <v/>
      </c>
      <c r="N105" s="35">
        <f>revleg_sel</f>
        <v/>
      </c>
      <c r="O105" s="34">
        <f>ROUND(K105*L105*revleg_sel,0)</f>
        <v/>
      </c>
      <c r="P105" s="36">
        <f>load_sel</f>
        <v/>
      </c>
      <c r="Q105" s="36">
        <f>pax_cap*P105</f>
        <v/>
      </c>
      <c r="R105" s="34">
        <f>Q105*O105</f>
        <v/>
      </c>
      <c r="S105" s="37">
        <f>E105*discount</f>
        <v/>
      </c>
      <c r="T105" s="38">
        <f>S105*R105</f>
        <v/>
      </c>
      <c r="U105" s="38">
        <f>(battery/range_nm)*D105*O105*VLOOKUP(B105,country_opex,3,FALSE)</f>
        <v/>
      </c>
      <c r="V105" s="38">
        <f>VLOOKUP(B105,country_opex,2,FALSE)*crew_factor</f>
        <v/>
      </c>
      <c r="W105" s="38">
        <f>VLOOKUP(B105,country_opex,5,FALSE)</f>
        <v/>
      </c>
      <c r="X105" s="38">
        <f>maint</f>
        <v/>
      </c>
      <c r="Y105" s="38">
        <f>VLOOKUP(B105,country_opex,7,FALSE)*ins_pct</f>
        <v/>
      </c>
      <c r="Z105" s="38">
        <f>charge_berth</f>
        <v/>
      </c>
      <c r="AA105" s="38">
        <f>U105+V105+W105+X105+Y105+Z105</f>
        <v/>
      </c>
      <c r="AB105" s="38">
        <f>VLOOKUP(B105,country_opex,7,FALSE)/dep_years</f>
        <v/>
      </c>
      <c r="AC105" s="38">
        <f>T105-AA105</f>
        <v/>
      </c>
      <c r="AD105" s="35">
        <f>IF(T105=0,"",AC105/T105)</f>
        <v/>
      </c>
      <c r="AE105" s="36">
        <f>IF(AC105&lt;=0,"",VLOOKUP(B105,country_opex,7,FALSE)/AC105)</f>
        <v/>
      </c>
      <c r="AF105" s="33">
        <f>((D105*O105/diesel_nmpg)*diesel_co2pg-(battery/range_nm)*D105*O105*VLOOKUP(B105,country_opex,4,FALSE))/1000</f>
        <v/>
      </c>
      <c r="AG105" s="31" t="n"/>
      <c r="AH105" s="32" t="inlineStr">
        <is>
          <t>T4</t>
        </is>
      </c>
      <c r="AI105" s="32" t="inlineStr">
        <is>
          <t>low</t>
        </is>
      </c>
      <c r="AJ105" s="39" t="n">
        <v>0.1</v>
      </c>
      <c r="AK105" s="34">
        <f>IF(AG105="","",AG105*AJ105)</f>
        <v/>
      </c>
      <c r="AL105" s="34">
        <f>IF(OR(AG105="",R105=0),"",MIN(IF(AT105="",9.9E+99,AT105),FLOOR(AK105/R105,1)))</f>
        <v/>
      </c>
      <c r="AM105" s="38">
        <f>IF(AL105="","",AL105*T105)</f>
        <v/>
      </c>
      <c r="AN105" s="36">
        <f>IF(OR(AG105="",R105=0),"",MIN(IF(AT105="",9.9E+99,AT105),AK105/R105))</f>
        <v/>
      </c>
      <c r="AO105" s="38">
        <f>IF(AN105="","",AN105*T105)</f>
        <v/>
      </c>
      <c r="AP105" s="40" t="n"/>
      <c r="AQ105" s="32" t="inlineStr">
        <is>
          <t>Estimated</t>
        </is>
      </c>
      <c r="AR105" s="41" t="n"/>
      <c r="AS105" s="41" t="n"/>
      <c r="AT105" s="42" t="n"/>
      <c r="AU105" s="43">
        <f>IF(((S105*pax_cap*load_thin*ROUND(K105*L105*revleg_thin,0))-(((battery/range_nm)*D105*ROUND(K105*L105*revleg_thin,0)*VLOOKUP(B105,country_opex,3,FALSE))+V105+W105+X105+Y105+Z105))&lt;=0,"",VLOOKUP(B105,country_opex,7,FALSE)/((S105*pax_cap*load_thin*ROUND(K105*L105*revleg_thin,0))-(((battery/range_nm)*D105*ROUND(K105*L105*revleg_thin,0)*VLOOKUP(B105,country_opex,3,FALSE))+V105+W105+X105+Y105+Z105)))</f>
        <v/>
      </c>
      <c r="AV105" s="43">
        <f>IF(((S105*pax_cap*load_mid*ROUND(K105*L105*revleg_mid,0))-(((battery/range_nm)*D105*ROUND(K105*L105*revleg_mid,0)*VLOOKUP(B105,country_opex,3,FALSE))+V105+W105+X105+Y105+Z105))&lt;=0,"",VLOOKUP(B105,country_opex,7,FALSE)/((S105*pax_cap*load_mid*ROUND(K105*L105*revleg_mid,0))-(((battery/range_nm)*D105*ROUND(K105*L105*revleg_mid,0)*VLOOKUP(B105,country_opex,3,FALSE))+V105+W105+X105+Y105+Z105)))</f>
        <v/>
      </c>
      <c r="AW105" s="43">
        <f>IF(((S105*pax_cap*load_full*ROUND(K105*L105*revleg_full,0))-(((battery/range_nm)*D105*ROUND(K105*L105*revleg_full,0)*VLOOKUP(B105,country_opex,3,FALSE))+V105+W105+X105+Y105+Z105))&lt;=0,"",VLOOKUP(B105,country_opex,7,FALSE)/((S105*pax_cap*load_full*ROUND(K105*L105*revleg_full,0))-(((battery/range_nm)*D105*ROUND(K105*L105*revleg_full,0)*VLOOKUP(B105,country_opex,3,FALSE))+V105+W105+X105+Y105+Z105)))</f>
        <v/>
      </c>
      <c r="AX105" s="44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AY105" s="44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106">
      <c r="A106" s="29" t="inlineStr">
        <is>
          <t>Vietnam</t>
        </is>
      </c>
      <c r="B106" s="29" t="inlineStr">
        <is>
          <t>Vietnam</t>
        </is>
      </c>
      <c r="C106" s="30" t="inlineStr">
        <is>
          <t>Da Nang (Han River) → Hoi An / Cham Islands</t>
        </is>
      </c>
      <c r="D106" s="31" t="n">
        <v>12</v>
      </c>
      <c r="E106" s="26" t="n">
        <v>35</v>
      </c>
      <c r="F106" s="32" t="inlineStr">
        <is>
          <t>T3</t>
        </is>
      </c>
      <c r="G106" s="32" t="inlineStr">
        <is>
          <t>med</t>
        </is>
      </c>
      <c r="H106" s="19" t="n">
        <v>1</v>
      </c>
      <c r="I106" s="33">
        <f>60*D106/cruise_kt</f>
        <v/>
      </c>
      <c r="J106" s="33">
        <f>I106+turn_min+dwell_min</f>
        <v/>
      </c>
      <c r="K106" s="34">
        <f>MIN(15,FLOOR(60*service_hr/J106,1))</f>
        <v/>
      </c>
      <c r="L106" s="34">
        <f>ROUND(365*mech_uptime*H106,0)</f>
        <v/>
      </c>
      <c r="M106" s="35">
        <f>mech_uptime</f>
        <v/>
      </c>
      <c r="N106" s="35">
        <f>revleg_sel</f>
        <v/>
      </c>
      <c r="O106" s="34">
        <f>ROUND(K106*L106*revleg_sel,0)</f>
        <v/>
      </c>
      <c r="P106" s="36">
        <f>load_sel</f>
        <v/>
      </c>
      <c r="Q106" s="36">
        <f>pax_cap*P106</f>
        <v/>
      </c>
      <c r="R106" s="34">
        <f>Q106*O106</f>
        <v/>
      </c>
      <c r="S106" s="37">
        <f>E106*discount</f>
        <v/>
      </c>
      <c r="T106" s="38">
        <f>S106*R106</f>
        <v/>
      </c>
      <c r="U106" s="38">
        <f>(battery/range_nm)*D106*O106*VLOOKUP(B106,country_opex,3,FALSE)</f>
        <v/>
      </c>
      <c r="V106" s="38">
        <f>VLOOKUP(B106,country_opex,2,FALSE)*crew_factor</f>
        <v/>
      </c>
      <c r="W106" s="38">
        <f>VLOOKUP(B106,country_opex,5,FALSE)</f>
        <v/>
      </c>
      <c r="X106" s="38">
        <f>maint</f>
        <v/>
      </c>
      <c r="Y106" s="38">
        <f>VLOOKUP(B106,country_opex,7,FALSE)*ins_pct</f>
        <v/>
      </c>
      <c r="Z106" s="38">
        <f>charge_berth</f>
        <v/>
      </c>
      <c r="AA106" s="38">
        <f>U106+V106+W106+X106+Y106+Z106</f>
        <v/>
      </c>
      <c r="AB106" s="38">
        <f>VLOOKUP(B106,country_opex,7,FALSE)/dep_years</f>
        <v/>
      </c>
      <c r="AC106" s="38">
        <f>T106-AA106</f>
        <v/>
      </c>
      <c r="AD106" s="35">
        <f>IF(T106=0,"",AC106/T106)</f>
        <v/>
      </c>
      <c r="AE106" s="36">
        <f>IF(AC106&lt;=0,"",VLOOKUP(B106,country_opex,7,FALSE)/AC106)</f>
        <v/>
      </c>
      <c r="AF106" s="33">
        <f>((D106*O106/diesel_nmpg)*diesel_co2pg-(battery/range_nm)*D106*O106*VLOOKUP(B106,country_opex,4,FALSE))/1000</f>
        <v/>
      </c>
      <c r="AG106" s="31" t="n">
        <v>434000</v>
      </c>
      <c r="AH106" s="32" t="inlineStr">
        <is>
          <t>T2</t>
        </is>
      </c>
      <c r="AI106" s="32" t="inlineStr">
        <is>
          <t>med</t>
        </is>
      </c>
      <c r="AJ106" s="39" t="n">
        <v>0.1</v>
      </c>
      <c r="AK106" s="34">
        <f>IF(AG106="","",AG106*AJ106)</f>
        <v/>
      </c>
      <c r="AL106" s="34">
        <f>IF(OR(AG106="",R106=0),"",MIN(IF(AT106="",9.9E+99,AT106),FLOOR(AK106/R106,1)))</f>
        <v/>
      </c>
      <c r="AM106" s="38">
        <f>IF(AL106="","",AL106*T106)</f>
        <v/>
      </c>
      <c r="AN106" s="36">
        <f>IF(OR(AG106="",R106=0),"",MIN(IF(AT106="",9.9E+99,AT106),AK106/R106))</f>
        <v/>
      </c>
      <c r="AO106" s="38">
        <f>IF(AN106="","",AN106*T106)</f>
        <v/>
      </c>
      <c r="AP106" s="40" t="n"/>
      <c r="AQ106" s="32" t="inlineStr">
        <is>
          <t>Grounded</t>
        </is>
      </c>
      <c r="AR106" s="41" t="n"/>
      <c r="AS106" s="41" t="n"/>
      <c r="AT106" s="42" t="n"/>
      <c r="AU106" s="43">
        <f>IF(((S106*pax_cap*load_thin*ROUND(K106*L106*revleg_thin,0))-(((battery/range_nm)*D106*ROUND(K106*L106*revleg_thin,0)*VLOOKUP(B106,country_opex,3,FALSE))+V106+W106+X106+Y106+Z106))&lt;=0,"",VLOOKUP(B106,country_opex,7,FALSE)/((S106*pax_cap*load_thin*ROUND(K106*L106*revleg_thin,0))-(((battery/range_nm)*D106*ROUND(K106*L106*revleg_thin,0)*VLOOKUP(B106,country_opex,3,FALSE))+V106+W106+X106+Y106+Z106)))</f>
        <v/>
      </c>
      <c r="AV106" s="43">
        <f>IF(((S106*pax_cap*load_mid*ROUND(K106*L106*revleg_mid,0))-(((battery/range_nm)*D106*ROUND(K106*L106*revleg_mid,0)*VLOOKUP(B106,country_opex,3,FALSE))+V106+W106+X106+Y106+Z106))&lt;=0,"",VLOOKUP(B106,country_opex,7,FALSE)/((S106*pax_cap*load_mid*ROUND(K106*L106*revleg_mid,0))-(((battery/range_nm)*D106*ROUND(K106*L106*revleg_mid,0)*VLOOKUP(B106,country_opex,3,FALSE))+V106+W106+X106+Y106+Z106)))</f>
        <v/>
      </c>
      <c r="AW106" s="43">
        <f>IF(((S106*pax_cap*load_full*ROUND(K106*L106*revleg_full,0))-(((battery/range_nm)*D106*ROUND(K106*L106*revleg_full,0)*VLOOKUP(B106,country_opex,3,FALSE))+V106+W106+X106+Y106+Z106))&lt;=0,"",VLOOKUP(B106,country_opex,7,FALSE)/((S106*pax_cap*load_full*ROUND(K106*L106*revleg_full,0))-(((battery/range_nm)*D106*ROUND(K106*L106*revleg_full,0)*VLOOKUP(B106,country_opex,3,FALSE))+V106+W106+X106+Y106+Z106)))</f>
        <v/>
      </c>
      <c r="AX106" s="44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AY106" s="44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107">
      <c r="A107" s="29" t="inlineStr">
        <is>
          <t>Vietnam</t>
        </is>
      </c>
      <c r="B107" s="29" t="inlineStr">
        <is>
          <t>Vietnam</t>
        </is>
      </c>
      <c r="C107" s="30" t="inlineStr">
        <is>
          <t>Ha Long / Tuan Chau → Lan Ha Bay / Cat Ba</t>
        </is>
      </c>
      <c r="D107" s="31" t="n">
        <v>12</v>
      </c>
      <c r="E107" s="26" t="n">
        <v>16</v>
      </c>
      <c r="F107" s="32" t="inlineStr">
        <is>
          <t>T3</t>
        </is>
      </c>
      <c r="G107" s="32" t="inlineStr">
        <is>
          <t>med</t>
        </is>
      </c>
      <c r="H107" s="19" t="n">
        <v>1</v>
      </c>
      <c r="I107" s="33">
        <f>60*D107/cruise_kt</f>
        <v/>
      </c>
      <c r="J107" s="33">
        <f>I107+turn_min+dwell_min</f>
        <v/>
      </c>
      <c r="K107" s="34">
        <f>MIN(15,FLOOR(60*service_hr/J107,1))</f>
        <v/>
      </c>
      <c r="L107" s="34">
        <f>ROUND(365*mech_uptime*H107,0)</f>
        <v/>
      </c>
      <c r="M107" s="35">
        <f>mech_uptime</f>
        <v/>
      </c>
      <c r="N107" s="35">
        <f>revleg_sel</f>
        <v/>
      </c>
      <c r="O107" s="34">
        <f>ROUND(K107*L107*revleg_sel,0)</f>
        <v/>
      </c>
      <c r="P107" s="36">
        <f>load_sel</f>
        <v/>
      </c>
      <c r="Q107" s="36">
        <f>pax_cap*P107</f>
        <v/>
      </c>
      <c r="R107" s="34">
        <f>Q107*O107</f>
        <v/>
      </c>
      <c r="S107" s="37">
        <f>E107*discount</f>
        <v/>
      </c>
      <c r="T107" s="38">
        <f>S107*R107</f>
        <v/>
      </c>
      <c r="U107" s="38">
        <f>(battery/range_nm)*D107*O107*VLOOKUP(B107,country_opex,3,FALSE)</f>
        <v/>
      </c>
      <c r="V107" s="38">
        <f>VLOOKUP(B107,country_opex,2,FALSE)*crew_factor</f>
        <v/>
      </c>
      <c r="W107" s="38">
        <f>VLOOKUP(B107,country_opex,5,FALSE)</f>
        <v/>
      </c>
      <c r="X107" s="38">
        <f>maint</f>
        <v/>
      </c>
      <c r="Y107" s="38">
        <f>VLOOKUP(B107,country_opex,7,FALSE)*ins_pct</f>
        <v/>
      </c>
      <c r="Z107" s="38">
        <f>charge_berth</f>
        <v/>
      </c>
      <c r="AA107" s="38">
        <f>U107+V107+W107+X107+Y107+Z107</f>
        <v/>
      </c>
      <c r="AB107" s="38">
        <f>VLOOKUP(B107,country_opex,7,FALSE)/dep_years</f>
        <v/>
      </c>
      <c r="AC107" s="38">
        <f>T107-AA107</f>
        <v/>
      </c>
      <c r="AD107" s="35">
        <f>IF(T107=0,"",AC107/T107)</f>
        <v/>
      </c>
      <c r="AE107" s="36">
        <f>IF(AC107&lt;=0,"",VLOOKUP(B107,country_opex,7,FALSE)/AC107)</f>
        <v/>
      </c>
      <c r="AF107" s="33">
        <f>((D107*O107/diesel_nmpg)*diesel_co2pg-(battery/range_nm)*D107*O107*VLOOKUP(B107,country_opex,4,FALSE))/1000</f>
        <v/>
      </c>
      <c r="AG107" s="31" t="n">
        <v>350000</v>
      </c>
      <c r="AH107" s="32" t="inlineStr">
        <is>
          <t>T5</t>
        </is>
      </c>
      <c r="AI107" s="32" t="inlineStr">
        <is>
          <t>low-med</t>
        </is>
      </c>
      <c r="AJ107" s="39" t="n">
        <v>0.1</v>
      </c>
      <c r="AK107" s="34">
        <f>IF(AG107="","",AG107*AJ107)</f>
        <v/>
      </c>
      <c r="AL107" s="34">
        <f>IF(OR(AG107="",R107=0),"",MIN(IF(AT107="",9.9E+99,AT107),FLOOR(AK107/R107,1)))</f>
        <v/>
      </c>
      <c r="AM107" s="38">
        <f>IF(AL107="","",AL107*T107)</f>
        <v/>
      </c>
      <c r="AN107" s="36">
        <f>IF(OR(AG107="",R107=0),"",MIN(IF(AT107="",9.9E+99,AT107),AK107/R107))</f>
        <v/>
      </c>
      <c r="AO107" s="38">
        <f>IF(AN107="","",AN107*T107)</f>
        <v/>
      </c>
      <c r="AP107" s="40" t="n"/>
      <c r="AQ107" s="32" t="inlineStr">
        <is>
          <t>Grounded</t>
        </is>
      </c>
      <c r="AR107" s="41" t="n"/>
      <c r="AS107" s="41" t="n"/>
      <c r="AT107" s="42" t="n"/>
      <c r="AU107" s="43">
        <f>IF(((S107*pax_cap*load_thin*ROUND(K107*L107*revleg_thin,0))-(((battery/range_nm)*D107*ROUND(K107*L107*revleg_thin,0)*VLOOKUP(B107,country_opex,3,FALSE))+V107+W107+X107+Y107+Z107))&lt;=0,"",VLOOKUP(B107,country_opex,7,FALSE)/((S107*pax_cap*load_thin*ROUND(K107*L107*revleg_thin,0))-(((battery/range_nm)*D107*ROUND(K107*L107*revleg_thin,0)*VLOOKUP(B107,country_opex,3,FALSE))+V107+W107+X107+Y107+Z107)))</f>
        <v/>
      </c>
      <c r="AV107" s="43">
        <f>IF(((S107*pax_cap*load_mid*ROUND(K107*L107*revleg_mid,0))-(((battery/range_nm)*D107*ROUND(K107*L107*revleg_mid,0)*VLOOKUP(B107,country_opex,3,FALSE))+V107+W107+X107+Y107+Z107))&lt;=0,"",VLOOKUP(B107,country_opex,7,FALSE)/((S107*pax_cap*load_mid*ROUND(K107*L107*revleg_mid,0))-(((battery/range_nm)*D107*ROUND(K107*L107*revleg_mid,0)*VLOOKUP(B107,country_opex,3,FALSE))+V107+W107+X107+Y107+Z107)))</f>
        <v/>
      </c>
      <c r="AW107" s="43">
        <f>IF(((S107*pax_cap*load_full*ROUND(K107*L107*revleg_full,0))-(((battery/range_nm)*D107*ROUND(K107*L107*revleg_full,0)*VLOOKUP(B107,country_opex,3,FALSE))+V107+W107+X107+Y107+Z107))&lt;=0,"",VLOOKUP(B107,country_opex,7,FALSE)/((S107*pax_cap*load_full*ROUND(K107*L107*revleg_full,0))-(((battery/range_nm)*D107*ROUND(K107*L107*revleg_full,0)*VLOOKUP(B107,country_opex,3,FALSE))+V107+W107+X107+Y107+Z107)))</f>
        <v/>
      </c>
      <c r="AX107" s="44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AY107" s="44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108">
      <c r="A108" s="29" t="inlineStr">
        <is>
          <t>Vietnam</t>
        </is>
      </c>
      <c r="B108" s="29" t="inlineStr">
        <is>
          <t>Vietnam</t>
        </is>
      </c>
      <c r="C108" s="30" t="inlineStr">
        <is>
          <t>Phu Quoc (Duong Dong) → An Thoi Archipelago</t>
        </is>
      </c>
      <c r="D108" s="31" t="n">
        <v>12</v>
      </c>
      <c r="E108" s="26" t="n">
        <v>45</v>
      </c>
      <c r="F108" s="32" t="inlineStr">
        <is>
          <t>T3</t>
        </is>
      </c>
      <c r="G108" s="32" t="inlineStr">
        <is>
          <t>med-low</t>
        </is>
      </c>
      <c r="H108" s="19" t="n">
        <v>1</v>
      </c>
      <c r="I108" s="33">
        <f>60*D108/cruise_kt</f>
        <v/>
      </c>
      <c r="J108" s="33">
        <f>I108+turn_min+dwell_min</f>
        <v/>
      </c>
      <c r="K108" s="34">
        <f>MIN(15,FLOOR(60*service_hr/J108,1))</f>
        <v/>
      </c>
      <c r="L108" s="34">
        <f>ROUND(365*mech_uptime*H108,0)</f>
        <v/>
      </c>
      <c r="M108" s="35">
        <f>mech_uptime</f>
        <v/>
      </c>
      <c r="N108" s="35">
        <f>revleg_sel</f>
        <v/>
      </c>
      <c r="O108" s="34">
        <f>ROUND(K108*L108*revleg_sel,0)</f>
        <v/>
      </c>
      <c r="P108" s="36">
        <f>load_sel</f>
        <v/>
      </c>
      <c r="Q108" s="36">
        <f>pax_cap*P108</f>
        <v/>
      </c>
      <c r="R108" s="34">
        <f>Q108*O108</f>
        <v/>
      </c>
      <c r="S108" s="37">
        <f>E108*discount</f>
        <v/>
      </c>
      <c r="T108" s="38">
        <f>S108*R108</f>
        <v/>
      </c>
      <c r="U108" s="38">
        <f>(battery/range_nm)*D108*O108*VLOOKUP(B108,country_opex,3,FALSE)</f>
        <v/>
      </c>
      <c r="V108" s="38">
        <f>VLOOKUP(B108,country_opex,2,FALSE)*crew_factor</f>
        <v/>
      </c>
      <c r="W108" s="38">
        <f>VLOOKUP(B108,country_opex,5,FALSE)</f>
        <v/>
      </c>
      <c r="X108" s="38">
        <f>maint</f>
        <v/>
      </c>
      <c r="Y108" s="38">
        <f>VLOOKUP(B108,country_opex,7,FALSE)*ins_pct</f>
        <v/>
      </c>
      <c r="Z108" s="38">
        <f>charge_berth</f>
        <v/>
      </c>
      <c r="AA108" s="38">
        <f>U108+V108+W108+X108+Y108+Z108</f>
        <v/>
      </c>
      <c r="AB108" s="38">
        <f>VLOOKUP(B108,country_opex,7,FALSE)/dep_years</f>
        <v/>
      </c>
      <c r="AC108" s="38">
        <f>T108-AA108</f>
        <v/>
      </c>
      <c r="AD108" s="35">
        <f>IF(T108=0,"",AC108/T108)</f>
        <v/>
      </c>
      <c r="AE108" s="36">
        <f>IF(AC108&lt;=0,"",VLOOKUP(B108,country_opex,7,FALSE)/AC108)</f>
        <v/>
      </c>
      <c r="AF108" s="33">
        <f>((D108*O108/diesel_nmpg)*diesel_co2pg-(battery/range_nm)*D108*O108*VLOOKUP(B108,country_opex,4,FALSE))/1000</f>
        <v/>
      </c>
      <c r="AG108" s="31" t="n">
        <v>1000000</v>
      </c>
      <c r="AH108" s="32" t="inlineStr">
        <is>
          <t>T5</t>
        </is>
      </c>
      <c r="AI108" s="32" t="inlineStr">
        <is>
          <t>low-med</t>
        </is>
      </c>
      <c r="AJ108" s="39" t="n">
        <v>0.1</v>
      </c>
      <c r="AK108" s="34">
        <f>IF(AG108="","",AG108*AJ108)</f>
        <v/>
      </c>
      <c r="AL108" s="34">
        <f>IF(OR(AG108="",R108=0),"",MIN(IF(AT108="",9.9E+99,AT108),FLOOR(AK108/R108,1)))</f>
        <v/>
      </c>
      <c r="AM108" s="38">
        <f>IF(AL108="","",AL108*T108)</f>
        <v/>
      </c>
      <c r="AN108" s="36">
        <f>IF(OR(AG108="",R108=0),"",MIN(IF(AT108="",9.9E+99,AT108),AK108/R108))</f>
        <v/>
      </c>
      <c r="AO108" s="38">
        <f>IF(AN108="","",AN108*T108)</f>
        <v/>
      </c>
      <c r="AP108" s="40" t="n"/>
      <c r="AQ108" s="32" t="inlineStr">
        <is>
          <t>Grounded</t>
        </is>
      </c>
      <c r="AR108" s="41" t="n"/>
      <c r="AS108" s="41" t="n"/>
      <c r="AT108" s="42" t="n"/>
      <c r="AU108" s="43">
        <f>IF(((S108*pax_cap*load_thin*ROUND(K108*L108*revleg_thin,0))-(((battery/range_nm)*D108*ROUND(K108*L108*revleg_thin,0)*VLOOKUP(B108,country_opex,3,FALSE))+V108+W108+X108+Y108+Z108))&lt;=0,"",VLOOKUP(B108,country_opex,7,FALSE)/((S108*pax_cap*load_thin*ROUND(K108*L108*revleg_thin,0))-(((battery/range_nm)*D108*ROUND(K108*L108*revleg_thin,0)*VLOOKUP(B108,country_opex,3,FALSE))+V108+W108+X108+Y108+Z108)))</f>
        <v/>
      </c>
      <c r="AV108" s="43">
        <f>IF(((S108*pax_cap*load_mid*ROUND(K108*L108*revleg_mid,0))-(((battery/range_nm)*D108*ROUND(K108*L108*revleg_mid,0)*VLOOKUP(B108,country_opex,3,FALSE))+V108+W108+X108+Y108+Z108))&lt;=0,"",VLOOKUP(B108,country_opex,7,FALSE)/((S108*pax_cap*load_mid*ROUND(K108*L108*revleg_mid,0))-(((battery/range_nm)*D108*ROUND(K108*L108*revleg_mid,0)*VLOOKUP(B108,country_opex,3,FALSE))+V108+W108+X108+Y108+Z108)))</f>
        <v/>
      </c>
      <c r="AW108" s="43">
        <f>IF(((S108*pax_cap*load_full*ROUND(K108*L108*revleg_full,0))-(((battery/range_nm)*D108*ROUND(K108*L108*revleg_full,0)*VLOOKUP(B108,country_opex,3,FALSE))+V108+W108+X108+Y108+Z108))&lt;=0,"",VLOOKUP(B108,country_opex,7,FALSE)/((S108*pax_cap*load_full*ROUND(K108*L108*revleg_full,0))-(((battery/range_nm)*D108*ROUND(K108*L108*revleg_full,0)*VLOOKUP(B108,country_opex,3,FALSE))+V108+W108+X108+Y108+Z108)))</f>
        <v/>
      </c>
      <c r="AX108" s="44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AY108" s="44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109">
      <c r="A109" s="29" t="inlineStr">
        <is>
          <t>Vietnam</t>
        </is>
      </c>
      <c r="B109" s="29" t="inlineStr">
        <is>
          <t>Vietnam</t>
        </is>
      </c>
      <c r="C109" s="30" t="inlineStr">
        <is>
          <t>Bach Dang Wharf (Saigon) → Can Gio Mangrove Biosphere</t>
        </is>
      </c>
      <c r="D109" s="31" t="n">
        <v>30</v>
      </c>
      <c r="E109" s="26" t="n">
        <v>65</v>
      </c>
      <c r="F109" s="32" t="inlineStr">
        <is>
          <t>T3</t>
        </is>
      </c>
      <c r="G109" s="32" t="inlineStr">
        <is>
          <t>med-low</t>
        </is>
      </c>
      <c r="H109" s="19" t="n">
        <v>1</v>
      </c>
      <c r="I109" s="33">
        <f>60*D109/cruise_kt</f>
        <v/>
      </c>
      <c r="J109" s="33">
        <f>I109+turn_min+dwell_min</f>
        <v/>
      </c>
      <c r="K109" s="34">
        <f>MIN(15,FLOOR(60*service_hr/J109,1))</f>
        <v/>
      </c>
      <c r="L109" s="34">
        <f>ROUND(365*mech_uptime*H109,0)</f>
        <v/>
      </c>
      <c r="M109" s="35">
        <f>mech_uptime</f>
        <v/>
      </c>
      <c r="N109" s="35">
        <f>revleg_sel</f>
        <v/>
      </c>
      <c r="O109" s="34">
        <f>ROUND(K109*L109*revleg_sel,0)</f>
        <v/>
      </c>
      <c r="P109" s="36">
        <f>load_sel</f>
        <v/>
      </c>
      <c r="Q109" s="36">
        <f>pax_cap*P109</f>
        <v/>
      </c>
      <c r="R109" s="34">
        <f>Q109*O109</f>
        <v/>
      </c>
      <c r="S109" s="37">
        <f>E109*discount</f>
        <v/>
      </c>
      <c r="T109" s="38">
        <f>S109*R109</f>
        <v/>
      </c>
      <c r="U109" s="38">
        <f>(battery/range_nm)*D109*O109*VLOOKUP(B109,country_opex,3,FALSE)</f>
        <v/>
      </c>
      <c r="V109" s="38">
        <f>VLOOKUP(B109,country_opex,2,FALSE)*crew_factor</f>
        <v/>
      </c>
      <c r="W109" s="38">
        <f>VLOOKUP(B109,country_opex,5,FALSE)</f>
        <v/>
      </c>
      <c r="X109" s="38">
        <f>maint</f>
        <v/>
      </c>
      <c r="Y109" s="38">
        <f>VLOOKUP(B109,country_opex,7,FALSE)*ins_pct</f>
        <v/>
      </c>
      <c r="Z109" s="38">
        <f>charge_berth</f>
        <v/>
      </c>
      <c r="AA109" s="38">
        <f>U109+V109+W109+X109+Y109+Z109</f>
        <v/>
      </c>
      <c r="AB109" s="38">
        <f>VLOOKUP(B109,country_opex,7,FALSE)/dep_years</f>
        <v/>
      </c>
      <c r="AC109" s="38">
        <f>T109-AA109</f>
        <v/>
      </c>
      <c r="AD109" s="35">
        <f>IF(T109=0,"",AC109/T109)</f>
        <v/>
      </c>
      <c r="AE109" s="36">
        <f>IF(AC109&lt;=0,"",VLOOKUP(B109,country_opex,7,FALSE)/AC109)</f>
        <v/>
      </c>
      <c r="AF109" s="33">
        <f>((D109*O109/diesel_nmpg)*diesel_co2pg-(battery/range_nm)*D109*O109*VLOOKUP(B109,country_opex,4,FALSE))/1000</f>
        <v/>
      </c>
      <c r="AG109" s="31" t="n"/>
      <c r="AH109" s="32" t="inlineStr">
        <is>
          <t>null</t>
        </is>
      </c>
      <c r="AI109" s="32" t="inlineStr">
        <is>
          <t>null</t>
        </is>
      </c>
      <c r="AJ109" s="39" t="n">
        <v>0.1</v>
      </c>
      <c r="AK109" s="34">
        <f>IF(AG109="","",AG109*AJ109)</f>
        <v/>
      </c>
      <c r="AL109" s="34">
        <f>IF(OR(AG109="",R109=0),"",MIN(IF(AT109="",9.9E+99,AT109),FLOOR(AK109/R109,1)))</f>
        <v/>
      </c>
      <c r="AM109" s="38">
        <f>IF(AL109="","",AL109*T109)</f>
        <v/>
      </c>
      <c r="AN109" s="36">
        <f>IF(OR(AG109="",R109=0),"",MIN(IF(AT109="",9.9E+99,AT109),AK109/R109))</f>
        <v/>
      </c>
      <c r="AO109" s="38">
        <f>IF(AN109="","",AN109*T109)</f>
        <v/>
      </c>
      <c r="AP109" s="40" t="n"/>
      <c r="AQ109" s="32" t="inlineStr">
        <is>
          <t>Estimated</t>
        </is>
      </c>
      <c r="AR109" s="41" t="n"/>
      <c r="AS109" s="41" t="n"/>
      <c r="AT109" s="42" t="n"/>
      <c r="AU109" s="43">
        <f>IF(((S109*pax_cap*load_thin*ROUND(K109*L109*revleg_thin,0))-(((battery/range_nm)*D109*ROUND(K109*L109*revleg_thin,0)*VLOOKUP(B109,country_opex,3,FALSE))+V109+W109+X109+Y109+Z109))&lt;=0,"",VLOOKUP(B109,country_opex,7,FALSE)/((S109*pax_cap*load_thin*ROUND(K109*L109*revleg_thin,0))-(((battery/range_nm)*D109*ROUND(K109*L109*revleg_thin,0)*VLOOKUP(B109,country_opex,3,FALSE))+V109+W109+X109+Y109+Z109)))</f>
        <v/>
      </c>
      <c r="AV109" s="43">
        <f>IF(((S109*pax_cap*load_mid*ROUND(K109*L109*revleg_mid,0))-(((battery/range_nm)*D109*ROUND(K109*L109*revleg_mid,0)*VLOOKUP(B109,country_opex,3,FALSE))+V109+W109+X109+Y109+Z109))&lt;=0,"",VLOOKUP(B109,country_opex,7,FALSE)/((S109*pax_cap*load_mid*ROUND(K109*L109*revleg_mid,0))-(((battery/range_nm)*D109*ROUND(K109*L109*revleg_mid,0)*VLOOKUP(B109,country_opex,3,FALSE))+V109+W109+X109+Y109+Z109)))</f>
        <v/>
      </c>
      <c r="AW109" s="43">
        <f>IF(((S109*pax_cap*load_full*ROUND(K109*L109*revleg_full,0))-(((battery/range_nm)*D109*ROUND(K109*L109*revleg_full,0)*VLOOKUP(B109,country_opex,3,FALSE))+V109+W109+X109+Y109+Z109))&lt;=0,"",VLOOKUP(B109,country_opex,7,FALSE)/((S109*pax_cap*load_full*ROUND(K109*L109*revleg_full,0))-(((battery/range_nm)*D109*ROUND(K109*L109*revleg_full,0)*VLOOKUP(B109,country_opex,3,FALSE))+V109+W109+X109+Y109+Z109)))</f>
        <v/>
      </c>
      <c r="AX109" s="44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AY109" s="44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110">
      <c r="A110" s="29" t="inlineStr">
        <is>
          <t>Vietnam</t>
        </is>
      </c>
      <c r="B110" s="29" t="inlineStr">
        <is>
          <t>Vietnam</t>
        </is>
      </c>
      <c r="C110" s="30" t="inlineStr">
        <is>
          <t>Saigon (Bach Dang) → Vung Tau</t>
        </is>
      </c>
      <c r="D110" s="31" t="n">
        <v>44.7</v>
      </c>
      <c r="E110" s="26" t="n">
        <v>14</v>
      </c>
      <c r="F110" s="32" t="inlineStr">
        <is>
          <t>T3</t>
        </is>
      </c>
      <c r="G110" s="32" t="inlineStr">
        <is>
          <t>med-high</t>
        </is>
      </c>
      <c r="H110" s="19" t="n">
        <v>1</v>
      </c>
      <c r="I110" s="33">
        <f>60*D110/cruise_kt</f>
        <v/>
      </c>
      <c r="J110" s="33">
        <f>I110+turn_min+dwell_min</f>
        <v/>
      </c>
      <c r="K110" s="34">
        <f>MIN(15,FLOOR(60*service_hr/J110,1))</f>
        <v/>
      </c>
      <c r="L110" s="34">
        <f>ROUND(365*mech_uptime*H110,0)</f>
        <v/>
      </c>
      <c r="M110" s="35">
        <f>mech_uptime</f>
        <v/>
      </c>
      <c r="N110" s="35">
        <f>revleg_sel</f>
        <v/>
      </c>
      <c r="O110" s="34">
        <f>ROUND(K110*L110*revleg_sel,0)</f>
        <v/>
      </c>
      <c r="P110" s="36">
        <f>load_sel</f>
        <v/>
      </c>
      <c r="Q110" s="36">
        <f>pax_cap*P110</f>
        <v/>
      </c>
      <c r="R110" s="34">
        <f>Q110*O110</f>
        <v/>
      </c>
      <c r="S110" s="37">
        <f>E110*discount</f>
        <v/>
      </c>
      <c r="T110" s="38">
        <f>S110*R110</f>
        <v/>
      </c>
      <c r="U110" s="38">
        <f>(battery/range_nm)*D110*O110*VLOOKUP(B110,country_opex,3,FALSE)</f>
        <v/>
      </c>
      <c r="V110" s="38">
        <f>VLOOKUP(B110,country_opex,2,FALSE)*crew_factor</f>
        <v/>
      </c>
      <c r="W110" s="38">
        <f>VLOOKUP(B110,country_opex,5,FALSE)</f>
        <v/>
      </c>
      <c r="X110" s="38">
        <f>maint</f>
        <v/>
      </c>
      <c r="Y110" s="38">
        <f>VLOOKUP(B110,country_opex,7,FALSE)*ins_pct</f>
        <v/>
      </c>
      <c r="Z110" s="38">
        <f>charge_berth</f>
        <v/>
      </c>
      <c r="AA110" s="38">
        <f>U110+V110+W110+X110+Y110+Z110</f>
        <v/>
      </c>
      <c r="AB110" s="38">
        <f>VLOOKUP(B110,country_opex,7,FALSE)/dep_years</f>
        <v/>
      </c>
      <c r="AC110" s="38">
        <f>T110-AA110</f>
        <v/>
      </c>
      <c r="AD110" s="35">
        <f>IF(T110=0,"",AC110/T110)</f>
        <v/>
      </c>
      <c r="AE110" s="36">
        <f>IF(AC110&lt;=0,"",VLOOKUP(B110,country_opex,7,FALSE)/AC110)</f>
        <v/>
      </c>
      <c r="AF110" s="33">
        <f>((D110*O110/diesel_nmpg)*diesel_co2pg-(battery/range_nm)*D110*O110*VLOOKUP(B110,country_opex,4,FALSE))/1000</f>
        <v/>
      </c>
      <c r="AG110" s="31" t="n">
        <v>100000</v>
      </c>
      <c r="AH110" s="32" t="inlineStr">
        <is>
          <t>T5</t>
        </is>
      </c>
      <c r="AI110" s="32" t="inlineStr">
        <is>
          <t>low-med</t>
        </is>
      </c>
      <c r="AJ110" s="39" t="n">
        <v>0.1</v>
      </c>
      <c r="AK110" s="34">
        <f>IF(AG110="","",AG110*AJ110)</f>
        <v/>
      </c>
      <c r="AL110" s="34">
        <f>IF(OR(AG110="",R110=0),"",MIN(IF(AT110="",9.9E+99,AT110),FLOOR(AK110/R110,1)))</f>
        <v/>
      </c>
      <c r="AM110" s="38">
        <f>IF(AL110="","",AL110*T110)</f>
        <v/>
      </c>
      <c r="AN110" s="36">
        <f>IF(OR(AG110="",R110=0),"",MIN(IF(AT110="",9.9E+99,AT110),AK110/R110))</f>
        <v/>
      </c>
      <c r="AO110" s="38">
        <f>IF(AN110="","",AN110*T110)</f>
        <v/>
      </c>
      <c r="AP110" s="40" t="n"/>
      <c r="AQ110" s="32" t="inlineStr">
        <is>
          <t>Grounded</t>
        </is>
      </c>
      <c r="AR110" s="41" t="n"/>
      <c r="AS110" s="41" t="n"/>
      <c r="AT110" s="42" t="n"/>
      <c r="AU110" s="43">
        <f>IF(((S110*pax_cap*load_thin*ROUND(K110*L110*revleg_thin,0))-(((battery/range_nm)*D110*ROUND(K110*L110*revleg_thin,0)*VLOOKUP(B110,country_opex,3,FALSE))+V110+W110+X110+Y110+Z110))&lt;=0,"",VLOOKUP(B110,country_opex,7,FALSE)/((S110*pax_cap*load_thin*ROUND(K110*L110*revleg_thin,0))-(((battery/range_nm)*D110*ROUND(K110*L110*revleg_thin,0)*VLOOKUP(B110,country_opex,3,FALSE))+V110+W110+X110+Y110+Z110)))</f>
        <v/>
      </c>
      <c r="AV110" s="43">
        <f>IF(((S110*pax_cap*load_mid*ROUND(K110*L110*revleg_mid,0))-(((battery/range_nm)*D110*ROUND(K110*L110*revleg_mid,0)*VLOOKUP(B110,country_opex,3,FALSE))+V110+W110+X110+Y110+Z110))&lt;=0,"",VLOOKUP(B110,country_opex,7,FALSE)/((S110*pax_cap*load_mid*ROUND(K110*L110*revleg_mid,0))-(((battery/range_nm)*D110*ROUND(K110*L110*revleg_mid,0)*VLOOKUP(B110,country_opex,3,FALSE))+V110+W110+X110+Y110+Z110)))</f>
        <v/>
      </c>
      <c r="AW110" s="43">
        <f>IF(((S110*pax_cap*load_full*ROUND(K110*L110*revleg_full,0))-(((battery/range_nm)*D110*ROUND(K110*L110*revleg_full,0)*VLOOKUP(B110,country_opex,3,FALSE))+V110+W110+X110+Y110+Z110))&lt;=0,"",VLOOKUP(B110,country_opex,7,FALSE)/((S110*pax_cap*load_full*ROUND(K110*L110*revleg_full,0))-(((battery/range_nm)*D110*ROUND(K110*L110*revleg_full,0)*VLOOKUP(B110,country_opex,3,FALSE))+V110+W110+X110+Y110+Z110)))</f>
        <v/>
      </c>
      <c r="AX110" s="44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AY110" s="44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111">
      <c r="A111" s="29" t="inlineStr">
        <is>
          <t>Vietnam</t>
        </is>
      </c>
      <c r="B111" s="29" t="inlineStr">
        <is>
          <t>Vietnam</t>
        </is>
      </c>
      <c r="C111" s="30" t="inlineStr">
        <is>
          <t>Phu Quoc (Bai Vong Port) → Rach Gia (mainland)</t>
        </is>
      </c>
      <c r="D111" s="31" t="n">
        <v>62</v>
      </c>
      <c r="E111" s="26" t="n">
        <v>19</v>
      </c>
      <c r="F111" s="32" t="inlineStr">
        <is>
          <t>T3</t>
        </is>
      </c>
      <c r="G111" s="32" t="inlineStr">
        <is>
          <t>med-high</t>
        </is>
      </c>
      <c r="H111" s="19" t="n">
        <v>1</v>
      </c>
      <c r="I111" s="33">
        <f>60*D111/cruise_kt</f>
        <v/>
      </c>
      <c r="J111" s="33">
        <f>I111+turn_min+dwell_min</f>
        <v/>
      </c>
      <c r="K111" s="34">
        <f>MIN(15,FLOOR(60*service_hr/J111,1))</f>
        <v/>
      </c>
      <c r="L111" s="34">
        <f>ROUND(365*mech_uptime*H111,0)</f>
        <v/>
      </c>
      <c r="M111" s="35">
        <f>mech_uptime</f>
        <v/>
      </c>
      <c r="N111" s="35">
        <f>revleg_sel</f>
        <v/>
      </c>
      <c r="O111" s="34">
        <f>ROUND(K111*L111*revleg_sel,0)</f>
        <v/>
      </c>
      <c r="P111" s="36">
        <f>load_sel</f>
        <v/>
      </c>
      <c r="Q111" s="36">
        <f>pax_cap*P111</f>
        <v/>
      </c>
      <c r="R111" s="34">
        <f>Q111*O111</f>
        <v/>
      </c>
      <c r="S111" s="37">
        <f>E111*discount</f>
        <v/>
      </c>
      <c r="T111" s="38">
        <f>S111*R111</f>
        <v/>
      </c>
      <c r="U111" s="38">
        <f>(battery/range_nm)*D111*O111*VLOOKUP(B111,country_opex,3,FALSE)</f>
        <v/>
      </c>
      <c r="V111" s="38">
        <f>VLOOKUP(B111,country_opex,2,FALSE)*crew_factor</f>
        <v/>
      </c>
      <c r="W111" s="38">
        <f>VLOOKUP(B111,country_opex,5,FALSE)</f>
        <v/>
      </c>
      <c r="X111" s="38">
        <f>maint</f>
        <v/>
      </c>
      <c r="Y111" s="38">
        <f>VLOOKUP(B111,country_opex,7,FALSE)*ins_pct</f>
        <v/>
      </c>
      <c r="Z111" s="38">
        <f>charge_berth</f>
        <v/>
      </c>
      <c r="AA111" s="38">
        <f>U111+V111+W111+X111+Y111+Z111</f>
        <v/>
      </c>
      <c r="AB111" s="38">
        <f>VLOOKUP(B111,country_opex,7,FALSE)/dep_years</f>
        <v/>
      </c>
      <c r="AC111" s="38">
        <f>T111-AA111</f>
        <v/>
      </c>
      <c r="AD111" s="35">
        <f>IF(T111=0,"",AC111/T111)</f>
        <v/>
      </c>
      <c r="AE111" s="36">
        <f>IF(AC111&lt;=0,"",VLOOKUP(B111,country_opex,7,FALSE)/AC111)</f>
        <v/>
      </c>
      <c r="AF111" s="33">
        <f>((D111*O111/diesel_nmpg)*diesel_co2pg-(battery/range_nm)*D111*O111*VLOOKUP(B111,country_opex,4,FALSE))/1000</f>
        <v/>
      </c>
      <c r="AG111" s="31" t="n">
        <v>650000</v>
      </c>
      <c r="AH111" s="32" t="inlineStr">
        <is>
          <t>T2</t>
        </is>
      </c>
      <c r="AI111" s="32" t="inlineStr">
        <is>
          <t>med</t>
        </is>
      </c>
      <c r="AJ111" s="39" t="n">
        <v>0.1</v>
      </c>
      <c r="AK111" s="34">
        <f>IF(AG111="","",AG111*AJ111)</f>
        <v/>
      </c>
      <c r="AL111" s="34">
        <f>IF(OR(AG111="",R111=0),"",MIN(IF(AT111="",9.9E+99,AT111),FLOOR(AK111/R111,1)))</f>
        <v/>
      </c>
      <c r="AM111" s="38">
        <f>IF(AL111="","",AL111*T111)</f>
        <v/>
      </c>
      <c r="AN111" s="36">
        <f>IF(OR(AG111="",R111=0),"",MIN(IF(AT111="",9.9E+99,AT111),AK111/R111))</f>
        <v/>
      </c>
      <c r="AO111" s="38">
        <f>IF(AN111="","",AN111*T111)</f>
        <v/>
      </c>
      <c r="AP111" s="40" t="n"/>
      <c r="AQ111" s="32" t="inlineStr">
        <is>
          <t>Grounded</t>
        </is>
      </c>
      <c r="AR111" s="41" t="n"/>
      <c r="AS111" s="41" t="n"/>
      <c r="AT111" s="42" t="n"/>
      <c r="AU111" s="43">
        <f>IF(((S111*pax_cap*load_thin*ROUND(K111*L111*revleg_thin,0))-(((battery/range_nm)*D111*ROUND(K111*L111*revleg_thin,0)*VLOOKUP(B111,country_opex,3,FALSE))+V111+W111+X111+Y111+Z111))&lt;=0,"",VLOOKUP(B111,country_opex,7,FALSE)/((S111*pax_cap*load_thin*ROUND(K111*L111*revleg_thin,0))-(((battery/range_nm)*D111*ROUND(K111*L111*revleg_thin,0)*VLOOKUP(B111,country_opex,3,FALSE))+V111+W111+X111+Y111+Z111)))</f>
        <v/>
      </c>
      <c r="AV111" s="43">
        <f>IF(((S111*pax_cap*load_mid*ROUND(K111*L111*revleg_mid,0))-(((battery/range_nm)*D111*ROUND(K111*L111*revleg_mid,0)*VLOOKUP(B111,country_opex,3,FALSE))+V111+W111+X111+Y111+Z111))&lt;=0,"",VLOOKUP(B111,country_opex,7,FALSE)/((S111*pax_cap*load_mid*ROUND(K111*L111*revleg_mid,0))-(((battery/range_nm)*D111*ROUND(K111*L111*revleg_mid,0)*VLOOKUP(B111,country_opex,3,FALSE))+V111+W111+X111+Y111+Z111)))</f>
        <v/>
      </c>
      <c r="AW111" s="43">
        <f>IF(((S111*pax_cap*load_full*ROUND(K111*L111*revleg_full,0))-(((battery/range_nm)*D111*ROUND(K111*L111*revleg_full,0)*VLOOKUP(B111,country_opex,3,FALSE))+V111+W111+X111+Y111+Z111))&lt;=0,"",VLOOKUP(B111,country_opex,7,FALSE)/((S111*pax_cap*load_full*ROUND(K111*L111*revleg_full,0))-(((battery/range_nm)*D111*ROUND(K111*L111*revleg_full,0)*VLOOKUP(B111,country_opex,3,FALSE))+V111+W111+X111+Y111+Z111)))</f>
        <v/>
      </c>
      <c r="AX111" s="44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AY111" s="44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112">
      <c r="A112" s="45" t="inlineStr">
        <is>
          <t>TOTAL / median</t>
        </is>
      </c>
      <c r="T112" s="46">
        <f>SUM(T4:T111)</f>
        <v/>
      </c>
      <c r="AC112" s="46">
        <f>SUM(AC4:AC111)</f>
        <v/>
      </c>
      <c r="AD112" s="47">
        <f>IF(T112=0,"",AC112/T112)</f>
        <v/>
      </c>
      <c r="AL112" s="48">
        <f>SUM(AL4:AL111)</f>
        <v/>
      </c>
      <c r="AM112" s="46">
        <f>SUM(AM4:AM111)</f>
        <v/>
      </c>
    </row>
    <row r="114">
      <c r="A114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15">
      <c r="A115" s="24" t="inlineStr">
        <is>
          <t>Market</t>
        </is>
      </c>
      <c r="B115" s="24" t="inlineStr">
        <is>
          <t>Fleet basis</t>
        </is>
      </c>
      <c r="C115" s="24" t="inlineStr">
        <is>
          <t>Raw vessels (sum)</t>
        </is>
      </c>
      <c r="D115" s="24" t="inlineStr">
        <is>
          <t>Fleet (rounded once)</t>
        </is>
      </c>
      <c r="E115" s="24" t="inlineStr">
        <is>
          <t>Market rev/yr (raw sum)</t>
        </is>
      </c>
    </row>
    <row r="116">
      <c r="A116" s="25" t="inlineStr">
        <is>
          <t>Cambodia</t>
        </is>
      </c>
      <c r="B116" s="13" t="inlineStr">
        <is>
          <t>network_sum / ceil</t>
        </is>
      </c>
      <c r="C116" s="23">
        <f>SUMIFS(AN4:AN111,A4:A111,"Cambodia",AP4:AP111,"=",AQ4:AQ111,"Grounded")</f>
        <v/>
      </c>
      <c r="D116" s="49">
        <f>IF(C116=0,0,CEILING(C116,1))</f>
        <v/>
      </c>
      <c r="E116" s="50">
        <f>SUMIFS(AO4:AO111,A4:A111,"Cambodia",AP4:AP111,"=",AQ4:AQ111,"Grounded")</f>
        <v/>
      </c>
    </row>
    <row r="117">
      <c r="A117" s="25" t="inlineStr">
        <is>
          <t>Komodo Flores</t>
        </is>
      </c>
      <c r="B117" s="13" t="inlineStr">
        <is>
          <t>network_sum / ceil</t>
        </is>
      </c>
      <c r="C117" s="23">
        <f>SUMIFS(AN4:AN111,A4:A111,"Komodo Flores",AP4:AP111,"=",AQ4:AQ111,"Grounded")</f>
        <v/>
      </c>
      <c r="D117" s="49">
        <f>IF(C117=0,0,CEILING(C117,1))</f>
        <v/>
      </c>
      <c r="E117" s="50">
        <f>SUMIFS(AO4:AO111,A4:A111,"Komodo Flores",AP4:AP111,"=",AQ4:AQ111,"Grounded")</f>
        <v/>
      </c>
    </row>
    <row r="118">
      <c r="A118" s="25" t="inlineStr">
        <is>
          <t>Bali</t>
        </is>
      </c>
      <c r="B118" s="13" t="inlineStr">
        <is>
          <t>network_sum / ceil</t>
        </is>
      </c>
      <c r="C118" s="23">
        <f>SUMIFS(AN4:AN111,A4:A111,"Bali",AP4:AP111,"=",AQ4:AQ111,"Grounded")</f>
        <v/>
      </c>
      <c r="D118" s="49">
        <f>IF(C118=0,0,CEILING(C118,1))</f>
        <v/>
      </c>
      <c r="E118" s="50">
        <f>SUMIFS(AO4:AO111,A4:A111,"Bali",AP4:AP111,"=",AQ4:AQ111,"Grounded")</f>
        <v/>
      </c>
    </row>
    <row r="119">
      <c r="A119" s="25" t="inlineStr">
        <is>
          <t>Jakarta</t>
        </is>
      </c>
      <c r="B119" s="13" t="inlineStr">
        <is>
          <t>network_sum / ceil</t>
        </is>
      </c>
      <c r="C119" s="23">
        <f>SUMIFS(AN4:AN111,A4:A111,"Jakarta",AP4:AP111,"=",AQ4:AQ111,"Grounded")</f>
        <v/>
      </c>
      <c r="D119" s="49">
        <f>IF(C119=0,0,CEILING(C119,1))</f>
        <v/>
      </c>
      <c r="E119" s="50">
        <f>SUMIFS(AO4:AO111,A4:A111,"Jakarta",AP4:AP111,"=",AQ4:AQ111,"Grounded")</f>
        <v/>
      </c>
    </row>
    <row r="120">
      <c r="A120" s="25" t="inlineStr">
        <is>
          <t>Eastern Indonesia</t>
        </is>
      </c>
      <c r="B120" s="13" t="inlineStr">
        <is>
          <t>network_sum / ceil</t>
        </is>
      </c>
      <c r="C120" s="23">
        <f>SUMIFS(AN4:AN111,A4:A111,"Eastern Indonesia",AP4:AP111,"=",AQ4:AQ111,"Grounded")</f>
        <v/>
      </c>
      <c r="D120" s="49">
        <f>IF(C120=0,0,CEILING(C120,1))</f>
        <v/>
      </c>
      <c r="E120" s="50">
        <f>SUMIFS(AO4:AO111,A4:A111,"Eastern Indonesia",AP4:AP111,"=",AQ4:AQ111,"Grounded")</f>
        <v/>
      </c>
    </row>
    <row r="121">
      <c r="A121" s="25" t="inlineStr">
        <is>
          <t>Singapore</t>
        </is>
      </c>
      <c r="B121" s="13" t="inlineStr">
        <is>
          <t>network_sum / ceil</t>
        </is>
      </c>
      <c r="C121" s="23">
        <f>SUMIFS(AN4:AN111,A4:A111,"Singapore",AP4:AP111,"=",AQ4:AQ111,"Grounded")</f>
        <v/>
      </c>
      <c r="D121" s="49">
        <f>IF(C121=0,0,CEILING(C121,1))</f>
        <v/>
      </c>
      <c r="E121" s="50">
        <f>SUMIFS(AO4:AO111,A4:A111,"Singapore",AP4:AP111,"=",AQ4:AQ111,"Grounded")</f>
        <v/>
      </c>
    </row>
    <row r="122">
      <c r="A122" s="25" t="inlineStr">
        <is>
          <t>Langkawi</t>
        </is>
      </c>
      <c r="B122" s="13" t="inlineStr">
        <is>
          <t>network_sum / ceil</t>
        </is>
      </c>
      <c r="C122" s="23">
        <f>SUMIFS(AN4:AN111,A4:A111,"Langkawi",AP4:AP111,"=",AQ4:AQ111,"Grounded")</f>
        <v/>
      </c>
      <c r="D122" s="49">
        <f>IF(C122=0,0,CEILING(C122,1))</f>
        <v/>
      </c>
      <c r="E122" s="50">
        <f>SUMIFS(AO4:AO111,A4:A111,"Langkawi",AP4:AP111,"=",AQ4:AQ111,"Grounded")</f>
        <v/>
      </c>
    </row>
    <row r="123">
      <c r="A123" s="25" t="inlineStr">
        <is>
          <t>Borneo</t>
        </is>
      </c>
      <c r="B123" s="13" t="inlineStr">
        <is>
          <t>network_sum / ceil</t>
        </is>
      </c>
      <c r="C123" s="23">
        <f>SUMIFS(AN4:AN111,A4:A111,"Borneo",AP4:AP111,"=",AQ4:AQ111,"Grounded")</f>
        <v/>
      </c>
      <c r="D123" s="49">
        <f>IF(C123=0,0,CEILING(C123,1))</f>
        <v/>
      </c>
      <c r="E123" s="50">
        <f>SUMIFS(AO4:AO111,A4:A111,"Borneo",AP4:AP111,"=",AQ4:AQ111,"Grounded")</f>
        <v/>
      </c>
    </row>
    <row r="124">
      <c r="A124" s="25" t="inlineStr">
        <is>
          <t>Penang</t>
        </is>
      </c>
      <c r="B124" s="13" t="inlineStr">
        <is>
          <t>network_sum / ceil</t>
        </is>
      </c>
      <c r="C124" s="23">
        <f>SUMIFS(AN4:AN111,A4:A111,"Penang",AP4:AP111,"=",AQ4:AQ111,"Grounded")</f>
        <v/>
      </c>
      <c r="D124" s="49">
        <f>IF(C124=0,0,CEILING(C124,1))</f>
        <v/>
      </c>
      <c r="E124" s="50">
        <f>SUMIFS(AO4:AO111,A4:A111,"Penang",AP4:AP111,"=",AQ4:AQ111,"Grounded")</f>
        <v/>
      </c>
    </row>
    <row r="125">
      <c r="A125" s="25" t="inlineStr">
        <is>
          <t>Philippines</t>
        </is>
      </c>
      <c r="B125" s="13" t="inlineStr">
        <is>
          <t>network_sum / ceil</t>
        </is>
      </c>
      <c r="C125" s="23">
        <f>SUMIFS(AN4:AN111,A4:A111,"Philippines",AP4:AP111,"=",AQ4:AQ111,"Grounded")</f>
        <v/>
      </c>
      <c r="D125" s="49">
        <f>IF(C125=0,0,CEILING(C125,1))</f>
        <v/>
      </c>
      <c r="E125" s="50">
        <f>SUMIFS(AO4:AO111,A4:A111,"Philippines",AP4:AP111,"=",AQ4:AQ111,"Grounded")</f>
        <v/>
      </c>
    </row>
    <row r="126">
      <c r="A126" s="25" t="inlineStr">
        <is>
          <t>Cross-Border</t>
        </is>
      </c>
      <c r="B126" s="13" t="inlineStr">
        <is>
          <t>network_sum / ceil</t>
        </is>
      </c>
      <c r="C126" s="23">
        <f>SUMIFS(AN4:AN111,A4:A111,"Cross-Border",AP4:AP111,"=",AQ4:AQ111,"Grounded")</f>
        <v/>
      </c>
      <c r="D126" s="49">
        <f>IF(C126=0,0,CEILING(C126,1))</f>
        <v/>
      </c>
      <c r="E126" s="50">
        <f>SUMIFS(AO4:AO111,A4:A111,"Cross-Border",AP4:AP111,"=",AQ4:AQ111,"Grounded")</f>
        <v/>
      </c>
    </row>
    <row r="127">
      <c r="A127" s="25" t="inlineStr">
        <is>
          <t>Taiwan</t>
        </is>
      </c>
      <c r="B127" s="13" t="inlineStr">
        <is>
          <t>network_sum / ceil</t>
        </is>
      </c>
      <c r="C127" s="23">
        <f>SUMIFS(AN4:AN111,A4:A111,"Taiwan",AP4:AP111,"=",AQ4:AQ111,"Grounded")</f>
        <v/>
      </c>
      <c r="D127" s="49">
        <f>IF(C127=0,0,CEILING(C127,1))</f>
        <v/>
      </c>
      <c r="E127" s="50">
        <f>SUMIFS(AO4:AO111,A4:A111,"Taiwan",AP4:AP111,"=",AQ4:AQ111,"Grounded")</f>
        <v/>
      </c>
    </row>
    <row r="128">
      <c r="A128" s="25" t="inlineStr">
        <is>
          <t>Bangkok</t>
        </is>
      </c>
      <c r="B128" s="13" t="inlineStr">
        <is>
          <t>network_sum / ceil</t>
        </is>
      </c>
      <c r="C128" s="23">
        <f>SUMIFS(AN4:AN111,A4:A111,"Bangkok",AP4:AP111,"=",AQ4:AQ111,"Grounded")</f>
        <v/>
      </c>
      <c r="D128" s="49">
        <f>IF(C128=0,0,CEILING(C128,1))</f>
        <v/>
      </c>
      <c r="E128" s="50">
        <f>SUMIFS(AO4:AO111,A4:A111,"Bangkok",AP4:AP111,"=",AQ4:AQ111,"Grounded")</f>
        <v/>
      </c>
    </row>
    <row r="129">
      <c r="A129" s="25" t="inlineStr">
        <is>
          <t>Koh Samui</t>
        </is>
      </c>
      <c r="B129" s="13" t="inlineStr">
        <is>
          <t>network_sum / ceil</t>
        </is>
      </c>
      <c r="C129" s="23">
        <f>SUMIFS(AN4:AN111,A4:A111,"Koh Samui",AP4:AP111,"=",AQ4:AQ111,"Grounded")</f>
        <v/>
      </c>
      <c r="D129" s="49">
        <f>IF(C129=0,0,CEILING(C129,1))</f>
        <v/>
      </c>
      <c r="E129" s="50">
        <f>SUMIFS(AO4:AO111,A4:A111,"Koh Samui",AP4:AP111,"=",AQ4:AQ111,"Grounded")</f>
        <v/>
      </c>
    </row>
    <row r="130">
      <c r="A130" s="25" t="inlineStr">
        <is>
          <t>Phuket</t>
        </is>
      </c>
      <c r="B130" s="13" t="inlineStr">
        <is>
          <t>network_sum / ceil</t>
        </is>
      </c>
      <c r="C130" s="23">
        <f>SUMIFS(AN4:AN111,A4:A111,"Phuket",AP4:AP111,"=",AQ4:AQ111,"Grounded")</f>
        <v/>
      </c>
      <c r="D130" s="49">
        <f>IF(C130=0,0,CEILING(C130,1))</f>
        <v/>
      </c>
      <c r="E130" s="50">
        <f>SUMIFS(AO4:AO111,A4:A111,"Phuket",AP4:AP111,"=",AQ4:AQ111,"Grounded")</f>
        <v/>
      </c>
    </row>
    <row r="131">
      <c r="A131" s="25" t="inlineStr">
        <is>
          <t>Vietnam</t>
        </is>
      </c>
      <c r="B131" s="13" t="inlineStr">
        <is>
          <t>network_sum / ceil</t>
        </is>
      </c>
      <c r="C131" s="23">
        <f>SUMIFS(AN4:AN111,A4:A111,"Vietnam",AP4:AP111,"=",AQ4:AQ111,"Grounded")</f>
        <v/>
      </c>
      <c r="D131" s="49">
        <f>IF(C131=0,0,CEILING(C131,1))</f>
        <v/>
      </c>
      <c r="E131" s="50">
        <f>SUMIFS(AO4:AO111,A4:A111,"Vietnam",AP4:AP111,"=",AQ4:AQ111,"Grounded")</f>
        <v/>
      </c>
    </row>
    <row r="132">
      <c r="A132" s="45" t="inlineStr">
        <is>
          <t>GROUNDED FLOOR (PUBLISHED)</t>
        </is>
      </c>
      <c r="D132" s="48">
        <f>SUM(D116:D131)</f>
        <v/>
      </c>
      <c r="E132" s="46">
        <f>SUM(E116:E131)</f>
        <v/>
      </c>
    </row>
    <row r="133">
      <c r="A133" s="20" t="inlineStr">
        <is>
          <t>ESTIMATED DEMAND (country-median cascade; held OUT of grounded floor)</t>
        </is>
      </c>
      <c r="D133" s="51">
        <f>SUMIF(AQ4:AQ111,"Estimated",AL4:AL111)</f>
        <v/>
      </c>
      <c r="E133" s="52">
        <f>SUMIF(AQ4:AQ111,"Estimated",AM4:AM111)</f>
        <v/>
      </c>
    </row>
    <row r="134">
      <c r="A134" s="20" t="inlineStr">
        <is>
          <t>ESTIMATED UPSIDE (LB-99 modal-shift / experience-upside tiers; held OUT of grounded floor)</t>
        </is>
      </c>
      <c r="D134" s="51">
        <f>SUMIF(AQ4:AQ111,"Upside tier",AL4:AL111)</f>
        <v/>
      </c>
      <c r="E134" s="52">
        <f>SUMIF(AQ4:AQ111,"Upside tier",AM4:AM111)</f>
        <v/>
      </c>
    </row>
    <row r="135">
      <c r="A135" s="20" t="inlineStr">
        <is>
          <t>FORWARD SAM (2030-dated; held OUT of grounded floor)</t>
        </is>
      </c>
      <c r="D135" s="51">
        <f>SUMIF(AQ4:AQ111,"Forward SAM",AL4:AL111)</f>
        <v/>
      </c>
      <c r="E135" s="52">
        <f>SUMIF(AQ4:AQ111,"Forward SAM",AM4:AM111)</f>
        <v/>
      </c>
    </row>
    <row r="137">
      <c r="A137" s="53" t="inlineStr">
        <is>
          <t>Held for Quanta-LR (&gt;70nm, roadmap H2 2026+):</t>
        </is>
      </c>
      <c r="C137" s="54" t="inlineStr">
        <is>
          <t>Singapore (Tanah Merah) → Tioman Island (east-coast Malaysia) (108.6nm)</t>
        </is>
      </c>
    </row>
    <row r="138">
      <c r="C138" s="54" t="inlineStr">
        <is>
          <t>Lombok → Komodo / Labuan Bajo (237nm)</t>
        </is>
      </c>
    </row>
    <row r="139">
      <c r="C139" s="54" t="inlineStr">
        <is>
          <t>Komodo / Labuan Bajo → Sumba (Nihi) (90nm)</t>
        </is>
      </c>
    </row>
    <row r="140">
      <c r="C140" s="54" t="inlineStr">
        <is>
          <t>Lombok → Komodo / Labuan Bajo (237nm)</t>
        </is>
      </c>
    </row>
    <row r="141">
      <c r="C141" s="54" t="inlineStr">
        <is>
          <t>Phuket → Langkawi (cross-border, regional reach) (107nm)</t>
        </is>
      </c>
    </row>
    <row r="142">
      <c r="C142" s="54" t="inlineStr">
        <is>
          <t>Phuket → Langkawi (cross-border, regional reach) (107nm)</t>
        </is>
      </c>
    </row>
    <row r="143">
      <c r="C143" s="54" t="inlineStr">
        <is>
          <t>Manila → Coron (Palawan) (150nm)</t>
        </is>
      </c>
    </row>
    <row r="144">
      <c r="C144" s="54" t="inlineStr">
        <is>
          <t>Cebu → Boracay (90nm)</t>
        </is>
      </c>
    </row>
    <row r="145">
      <c r="C145" s="54" t="inlineStr">
        <is>
          <t>Karimunjawa Archipelago → Jakarta (223.5nm)</t>
        </is>
      </c>
    </row>
    <row r="146">
      <c r="C146" s="54" t="inlineStr">
        <is>
          <t>Kaohsiung → Magong (Penghu) (73.0nm)</t>
        </is>
      </c>
    </row>
    <row r="147">
      <c r="C147" s="54" t="inlineStr">
        <is>
          <t>Padang Bai (Bali east — Pioneer II Bali↔Lombok pointer, NOT LBJ) → Meruorah Komodo Labuan Bajo (261.6nm)</t>
        </is>
      </c>
    </row>
    <row r="148">
      <c r="C148" s="54" t="inlineStr">
        <is>
          <t>Komodo / Labuan Bajo / Flores / Sumba → Sumba (82.9nm)</t>
        </is>
      </c>
    </row>
    <row r="149">
      <c r="C149" s="54" t="inlineStr">
        <is>
          <t>Marina Labuan Bajo → Maumere Port (Lorenz Say) — Kelimutu access (153.3nm)</t>
        </is>
      </c>
    </row>
    <row r="150">
      <c r="C150" s="54" t="inlineStr">
        <is>
          <t>Raja Ampat → Misool (114.6nm)</t>
        </is>
      </c>
    </row>
  </sheetData>
  <mergeCells count="2">
    <mergeCell ref="A114:L11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0.1097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2026-07-06T02:58:39Z</dcterms:created>
  <dcterms:modified xsi:type="dcterms:W3CDTF">2026-07-06T02:58:39Z</dcterms:modified>
</cp:coreProperties>
</file>