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opex'!$A$4:$G$11</definedName>
    <definedName name="som_floor_fleet">'Corridor economics'!$D$102</definedName>
    <definedName name="som_floor_rev">'Corridor economics'!$E$102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Grab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Cambodia</t>
        </is>
      </c>
      <c r="B4" s="26" t="n">
        <v>11000</v>
      </c>
      <c r="C4" s="27" t="n">
        <v>0.15</v>
      </c>
      <c r="D4" s="19" t="n">
        <v>0.6</v>
      </c>
      <c r="E4" s="26" t="n">
        <v>9000</v>
      </c>
      <c r="F4" s="19" t="n">
        <v>0.42</v>
      </c>
      <c r="G4" s="26" t="n">
        <v>600000</v>
      </c>
      <c r="H4" s="14" t="inlineStr">
        <is>
          <t>No clean Cambodia boat-captain salary index. Cambodia wage band sits just below Vietnam/Philippines (lower GDP/capita). Blended 1 commercial tourism-boat captain + local deckhand fully-loaded ~$11k/vessel/yr (captain ~$600-800/mo + deckhand ~$250-350/mo incl on-costs). Below Vietnam $14k / Philippines $15k. | EDC commercial/business tariff. Climatescope 2025: Cambodia avg electricity price ~$137/MWh (2023) -&gt; ~$149/MWh (2024) = ~$0.15/kWh. ERIA: EDC grid tariffs range US cents 9-25/kWh, commercial band ~18-23c historically. GlobalPetrolPrices business ~$0.147/kWh. Among the higher commercial tariffs in SEA (heavy diesel/coal + imports). Anchored $0.15. | Modeled berth+insurance+admin/vessel/yr for Sihanoukville marine ops; ~= Vietnam $9k, below Thailand $12k on lower Cambodia operating costs. | CAPEX LB-243 US/EU=$900K else $600K</t>
        </is>
      </c>
    </row>
    <row r="5">
      <c r="A5" s="25" t="inlineStr">
        <is>
          <t>Indonesia</t>
        </is>
      </c>
      <c r="B5" s="26" t="n">
        <v>12000</v>
      </c>
      <c r="C5" s="27" t="n">
        <v>0.07000000000000001</v>
      </c>
      <c r="D5" s="19" t="n">
        <v>0.75</v>
      </c>
      <c r="E5" s="26" t="n">
        <v>10000</v>
      </c>
      <c r="F5" s="19" t="n">
        <v>0.45</v>
      </c>
      <c r="G5" s="26" t="n">
        <v>600000</v>
      </c>
      <c r="H5" s="14" t="inlineStr">
        <is>
          <t>Blended local crew; ERI pro $23k vs informal local | PLN business IDR 1,114/kWh = $0.07 | Modeled | CAPEX LB-243 US/EU=$900K else $600K</t>
        </is>
      </c>
    </row>
    <row r="6">
      <c r="A6" s="25" t="inlineStr">
        <is>
          <t>Malaysia</t>
        </is>
      </c>
      <c r="B6" s="26" t="n">
        <v>17000</v>
      </c>
      <c r="C6" s="27" t="n">
        <v>0.1</v>
      </c>
      <c r="D6" s="19" t="n">
        <v>0.7</v>
      </c>
      <c r="E6" s="26" t="n">
        <v>11000</v>
      </c>
      <c r="F6" s="19" t="n">
        <v>0.55</v>
      </c>
      <c r="G6" s="26" t="n">
        <v>600000</v>
      </c>
      <c r="H6" s="14" t="inlineStr">
        <is>
          <t>ERI ship captain RM119k/yr (high-side professional); Indeed boat-captain avg RM2,885/mo (~RM35k/yr); Jobstreet Sabah boat captain RM5.5-8k/mo (offshore high-side). Tourism island-boat captain ~RM3-4k/mo + deckhand ~RM1.8-2k/mo, blended fully-loaded (incl EPF/SOCSO) ~RM73k = $17k @4.30. Above Indonesia/PH/VN (higher MY min wage RM1,700), below Thailand $24k. | TNB low-voltage Commercial tariff ~36.5 sen/kWh base; July-2025 restructure base 45.4 sen/kWh; effective all-in commercial (incl AFA/capacity) ~RM0.40-0.45/kWh = $0.09-0.10 @4.30. Sabah SESB similar band. Anchored $0.10. Below Thailand $0.116, above Indonesia $0.07. | Modeled berth+insurance+admin/vessel/yr. Between Thailand ($12k) and PH/Indonesia ($10k); Malaysia marina ops (Sutera Harbour, Telaga, Jesselton) mid-cost. Tagged low. | CAPEX LB-243 US/EU=$900K else $600K</t>
        </is>
      </c>
    </row>
    <row r="7">
      <c r="A7" s="25" t="inlineStr">
        <is>
          <t>Philippines</t>
        </is>
      </c>
      <c r="B7" s="26" t="n">
        <v>15000</v>
      </c>
      <c r="C7" s="27" t="n">
        <v>0.2</v>
      </c>
      <c r="D7" s="19" t="n">
        <v>0.68</v>
      </c>
      <c r="E7" s="26" t="n">
        <v>10000</v>
      </c>
      <c r="F7" s="19" t="n">
        <v>0.5</v>
      </c>
      <c r="G7" s="26" t="n">
        <v>600000</v>
      </c>
      <c r="H7" s="14" t="inlineStr">
        <is>
          <t>ERI SalaryExpert boat captain PH ~PHP825,644/yr (~$14.5k @57). Blended 1 captain + local deckhand (~PHP15-22k/mo, Indeed) for one commercial tourism vessel ~$15k fully-loaded. | Meralco 2025 overall ~PHP11-12.26/kWh (highest tariff in SEA); commercial/general-power class ~PHP11/kWh = ~$0.20 @57. | Modeled berth+insurance+admin/vessel/yr; below Thailand ($12k) on lower PH marine-ops costs. | CAPEX LB-243 US/EU=$900K else $600K</t>
        </is>
      </c>
    </row>
    <row r="8">
      <c r="A8" s="25" t="inlineStr">
        <is>
          <t>Singapore</t>
        </is>
      </c>
      <c r="B8" s="26" t="n">
        <v>48000</v>
      </c>
      <c r="C8" s="27" t="n">
        <v>0.21</v>
      </c>
      <c r="D8" s="19" t="n">
        <v>0.4</v>
      </c>
      <c r="E8" s="26" t="n">
        <v>20000</v>
      </c>
      <c r="F8" s="19" t="n">
        <v>1</v>
      </c>
      <c r="G8" s="26" t="n">
        <v>600000</v>
      </c>
      <c r="H8" s="14" t="inlineStr">
        <is>
          <t>Modeled SG marine crew ~SGD 4-5k/mo blended | SG regulated tariff 28.1c SGD = $0.21 | SG high-cost berth modeled | CAPEX LB-243 US/EU=$900K else $600K</t>
        </is>
      </c>
    </row>
    <row r="9">
      <c r="A9" s="25" t="inlineStr">
        <is>
          <t>Taiwan</t>
        </is>
      </c>
      <c r="B9" s="26" t="n">
        <v>38000</v>
      </c>
      <c r="C9" s="27" t="n">
        <v>0.18</v>
      </c>
      <c r="D9" s="19" t="n">
        <v>0.46</v>
      </c>
      <c r="E9" s="26" t="n">
        <v>14000</v>
      </c>
      <c r="F9" s="19" t="n">
        <v>0.72</v>
      </c>
      <c r="G9" s="26" t="n">
        <v>600000</v>
      </c>
      <c r="H9" s="14" t="inlineStr">
        <is>
          <t>ERI SalaryExpert Taiwan boat captain NT$1,639,415/yr (~$50.8k @32.3, high-side single qualified captain). Blended 1 tourism-boat captain (~NT$55-65k/mo) + deckhand (~NT$35-40k/mo) fully-loaded (incl labor insurance/pension) ~NT$1.23M = ~$38k/vessel/yr. Taiwan is high-income (GDP/cap ~$33k); 2nd-highest wage in set, below Singapore $48k, well above Thailand $24k / SEA $11-17k. | Taipower 2025: industrial NT$4.27/kWh (unchanged, Taipei Times); residential ~NT$3.23 ($0.10); GlobalPetrolPrices business band TWD7.29 ($0.232, Sep 2025). A small tourism boat is on the 表燈營業 (commercial lighting) tariff - the higher band (R7-EXT) - effective blended ~NT$5-6/kWh = ~$0.18 @32.3. Floor industrial $0.13, ceiling commercial-business $0.23. | Modeled berth+insurance+admin/vessel/yr. Taiwan high-income marine ops (Kaohsiung/Penghu/Donggang); above Thailand $12k / Malaysia $11k, below Singapore $20k. Tagged low. | CAPEX LB-243 US/EU=$900K else $600K</t>
        </is>
      </c>
    </row>
    <row r="10">
      <c r="A10" s="25" t="inlineStr">
        <is>
          <t>Thailand</t>
        </is>
      </c>
      <c r="B10" s="26" t="n">
        <v>24000</v>
      </c>
      <c r="C10" s="27" t="n">
        <v>0.116</v>
      </c>
      <c r="D10" s="19" t="n">
        <v>0.5</v>
      </c>
      <c r="E10" s="26" t="n">
        <v>12000</v>
      </c>
      <c r="F10" s="19" t="n">
        <v>0.55</v>
      </c>
      <c r="G10" s="26" t="n">
        <v>600000</v>
      </c>
      <c r="H10" s="14" t="inlineStr">
        <is>
          <t>ERI Thailand boat captain ~876k THB/yr | MEA/PEA business tariff ~4.18 THB/kWh | Modeled Phuket marine ops | CAPEX LB-243 US/EU=$900K else $600K</t>
        </is>
      </c>
    </row>
    <row r="11">
      <c r="A11" s="25" t="inlineStr">
        <is>
          <t>Vietnam</t>
        </is>
      </c>
      <c r="B11" s="26" t="n">
        <v>14000</v>
      </c>
      <c r="C11" s="27" t="n">
        <v>0.12</v>
      </c>
      <c r="D11" s="19" t="n">
        <v>0.66</v>
      </c>
      <c r="E11" s="26" t="n">
        <v>9000</v>
      </c>
      <c r="F11" s="19" t="n">
        <v>0.45</v>
      </c>
      <c r="G11" s="26" t="n">
        <v>600000</v>
      </c>
      <c r="H11" s="14" t="inlineStr">
        <is>
          <t>ERI SalaryExpert Vietnam boat captain avg ~VND 540M/yr (~$21k @26,300, high-side professional). Blended 1 tourism-boat captain + local deckhand realistically lower; Vietnam wage band ~= Philippines/Indonesia. Fully-loaded ~$14k/vessel/yr. | EVN avg retail VND 2,204/kWh ($0.084, May 2025). Commercial/services sector (kinh doanh) pays the HIGHEST tariff band: normal-hour ~VND 3,200/kWh ($0.12), peak up to VND 5,422 ($0.21, VietnamNet 2025). Tourism boat operators are on services tariff -&gt; ~$0.12. | Modeled berth+insurance+admin/vessel/yr. Below Thailand ($12k), ~= Indonesia/Philippines ($10k) on lower Vietnam marine-ops costs.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Grab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Cambodia</t>
        </is>
      </c>
      <c r="B4" s="29" t="inlineStr">
        <is>
          <t>Cambodia</t>
        </is>
      </c>
      <c r="C4" s="30" t="inlineStr">
        <is>
          <t>Sihanoukville Port → Lila Resort / Ream private islands</t>
        </is>
      </c>
      <c r="D4" s="31" t="n">
        <v>7.6</v>
      </c>
      <c r="E4" s="26" t="n">
        <v>30</v>
      </c>
      <c r="F4" s="32" t="inlineStr">
        <is>
          <t>T4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inlineStr">
        <is>
          <t>null</t>
        </is>
      </c>
      <c r="AI4" s="32" t="inlineStr">
        <is>
          <t>null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Premium per-seat resort transfer to a private island near Ream. Comparable ladder on Sihanoukville island crossings: budget island boat $7.50-15/way; private-resort speedboat shared transfer $25-50/pax (Song Saa/Koh Russey class, legendtravelgroup $25-50); private whole-boat speedboat ~$145/seat-equiv (Song Saa private EUR1,334/boat up to 10pax, inventia). No published 'Lila Resort' tariff found; anchored at $30 = premium resort speedboat transfer seat, above budget boats, conservative vs $50 shared-resort high end and well below whole-boat charter.</t>
        </is>
      </c>
      <c r="AX4" s="44" t="inlineStr">
        <is>
          <t>Niche private-island/resort arrival corridor near Ream; no scheduled public ferry and no published annual pax pool for this specific crossing. R2: NULL beats a guess. Per-boat ROI can still stand; only fleet count unknown.</t>
        </is>
      </c>
    </row>
    <row r="5">
      <c r="A5" s="29" t="inlineStr">
        <is>
          <t>Cambodia</t>
        </is>
      </c>
      <c r="B5" s="29" t="inlineStr">
        <is>
          <t>Cambodia</t>
        </is>
      </c>
      <c r="C5" s="30" t="inlineStr">
        <is>
          <t>Sihanoukville → Koh Ta Kiev / Ream National Park</t>
        </is>
      </c>
      <c r="D5" s="31" t="n">
        <v>8.949999999999999</v>
      </c>
      <c r="E5" s="26" t="n">
        <v>20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/>
      <c r="AH5" s="32" t="inlineStr">
        <is>
          <t>null</t>
        </is>
      </c>
      <c r="AI5" s="32" t="inlineStr">
        <is>
          <t>null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Budget/backpacker island. Resort/operator boats from Ream Beach: $7.50/way (Kactus Koh Ta Kiev, bucketlist2life), $10/way ($15 RT, FB/Travelfish), $8 return Ream NP boat. Island-hopping day trip $15-20 incl lunch+snorkel (movetocambodia). Resort airport-to-pier transfers up to $150 (whole-trip, excluded). Premium tier is structurally thin on this commoditised backpacker crossing (cf. Phi Phi); premium per-seat anchored at $20 = upper resort/premium speedboat transfer seat, ~2x the $10 standard boat, conservative vs island-hop $20 bundle.</t>
        </is>
      </c>
      <c r="AX5" s="44" t="inlineStr">
        <is>
          <t>Small backpacker/eco island (a few hundred beds across Koh Ta Kiev camps + Ream NP day-trippers). Boat-only, but NO published annual pax count for the crossing. R2: NULL beats a guess (R3-EXCEPTION would let arrivals=ridership IF a number existed, but none is published).</t>
        </is>
      </c>
    </row>
    <row r="6">
      <c r="A6" s="29" t="inlineStr">
        <is>
          <t>Cambodia</t>
        </is>
      </c>
      <c r="B6" s="29" t="inlineStr">
        <is>
          <t>Cambodia</t>
        </is>
      </c>
      <c r="C6" s="30" t="inlineStr">
        <is>
          <t>Sihanoukville → Koh Rong Sanloem (Saracen Bay)</t>
        </is>
      </c>
      <c r="D6" s="31" t="n">
        <v>12.87</v>
      </c>
      <c r="E6" s="26" t="n">
        <v>30</v>
      </c>
      <c r="F6" s="32" t="inlineStr">
        <is>
          <t>T3</t>
        </is>
      </c>
      <c r="G6" s="32" t="inlineStr">
        <is>
          <t>med</t>
        </is>
      </c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100000</v>
      </c>
      <c r="AH6" s="32" t="inlineStr">
        <is>
          <t>T2</t>
        </is>
      </c>
      <c r="AI6" s="32" t="inlineStr">
        <is>
          <t>med</t>
        </is>
      </c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>Main tourist crossing. Standard high-speed ferry (GTVC, Buva Sea, Island Speed Ferry, Speed Ferry Cambodia) = $25 open-return = ~$12.5/way; single one-way listings $14 (openferry/ferryhopper EUR14). Budget supply boat $5. Hotel-arranged transfer ~$17/pax/way (livinthebigblue). Premium tier = private-resort speedboat / shared luxury transfer $25-50/pax (Song Saa shared $25-50); whole-boat private charter GTVC $750/boat (~$94/seat at 8pax, excluded as overclaim). The scheduled ferries are largely single-class (R5-EXT flavour: thin premium tier), so premium anchored at $30 = resort/premium speedboat transfer seat, ~2x the $14 budget ferry.</t>
        </is>
      </c>
      <c r="AX6" s="44" t="inlineStr">
        <is>
          <t>Koh Rong + Koh Rong Sanloem combined visitor arrivals: 93,700 (2023) -&gt; ~184,600 (2024, 68,257 foreign; Khmer Times/Cambodge Mag) -&gt; ~100,400 in Q1 2025 alone, ~266,000 reported for 2025 (kiripost). R3-EXCEPTION: these islands are BOAT-ONLY (no air/road), so destination arrivals genuinely map to crossing ridership. Koh Rong Sanloem is the quieter sister island; ~40-50% share of the archipelago pool -&gt; ~100k one-way/yr on this crossing. Archipelago total runs 185-266k.</t>
        </is>
      </c>
    </row>
    <row r="7">
      <c r="A7" s="29" t="inlineStr">
        <is>
          <t>Cambodia</t>
        </is>
      </c>
      <c r="B7" s="29" t="inlineStr">
        <is>
          <t>Cambodia</t>
        </is>
      </c>
      <c r="C7" s="30" t="inlineStr">
        <is>
          <t>Koh Rong → Song Saa / Koh Russey</t>
        </is>
      </c>
      <c r="D7" s="31" t="n">
        <v>18.56</v>
      </c>
      <c r="E7" s="26" t="n">
        <v>65</v>
      </c>
      <c r="F7" s="32" t="inlineStr">
        <is>
          <t>T3</t>
        </is>
      </c>
      <c r="G7" s="32" t="inlineStr">
        <is>
          <t>med-low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inlineStr">
        <is>
          <t>null</t>
        </is>
      </c>
      <c r="AI7" s="32" t="inlineStr">
        <is>
          <t>null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Ultra-luxury private-island resort leg (Song Saa Private Island ~27 villas; Alila Villas / Koh Russey Resort). Song Saa shared speedboat transfer $25-50/pax (legendtravelgroup); Song Saa PRIVATE speedboat EUR1,334/boat up to 10pax (inventia) = ~$145/seat-equiv. Koh Russey Resort runs its own boat transfers (15 min from Ream). Premium per-seat anchored at $65 = premium private-resort speedboat seat, above the $50 shared-resort high end, conservative vs the ~$145 whole-boat private charter (excluded as overclaim). Highest-end leg in the Cambodia set, matching the luxury resort-arrival archetype.</t>
        </is>
      </c>
      <c r="AX7" s="44" t="inlineStr">
        <is>
          <t>Tiny luxury-resort arrival pool (Song Saa ~27 villas; Koh Russey ~60 villas). No published annual transfer/pax count, and inter-island luxury legs are bespoke. R2: NULL beats a guess. Strong per-boat fare economics, unknown fleet count.</t>
        </is>
      </c>
    </row>
    <row r="8">
      <c r="A8" s="29" t="inlineStr">
        <is>
          <t>Cambodia</t>
        </is>
      </c>
      <c r="B8" s="29" t="inlineStr">
        <is>
          <t>Cambodia</t>
        </is>
      </c>
      <c r="C8" s="30" t="inlineStr">
        <is>
          <t>Sihanoukville → Koh Kong / Cardamom coast</t>
        </is>
      </c>
      <c r="D8" s="31" t="n">
        <v>68.22</v>
      </c>
      <c r="E8" s="26" t="n">
        <v>50</v>
      </c>
      <c r="F8" s="32" t="inlineStr">
        <is>
          <t>T5</t>
        </is>
      </c>
      <c r="G8" s="32" t="inlineStr">
        <is>
          <t>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inlineStr">
        <is>
          <t>null</t>
        </is>
      </c>
      <c r="AI8" s="32" t="inlineStr">
        <is>
          <t>null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R5 FINDING: no scheduled passenger boat Sihanoukville&lt;-&gt;Koh Kong exists; the old sea service was discontinued and travellers now go by ROAD (NR4/NR48, ~3-4h) only (Cambodia travel groups confirm 'not available, only by road'; Travelfish lists Sihanoukville-Koh Rong but not Koh Kong as a boat route). No premium fast-ferry tier to observe on this 75nm leg. MODELED premium per-seat ~$50, benchmarked off regional premium fast-ferry seats over comparable distance (cf. Vietnam Saigon-&gt;Vung Tau $14 over 60nm is a public fast ferry; a premium leisure/intercity seat over 75nm anchored higher at ~$50). SOURCE NEEDED / cascade candidate.</t>
        </is>
      </c>
      <c r="AX8" s="44" t="inlineStr">
        <is>
          <t>No scheduled boat crossing exists (road only). No on-corridor pax pool to count. R2 (null beats guess) + R5 (no direct premium route is itself a finding -&gt; greenfield/structurally thin intercity leg).</t>
        </is>
      </c>
    </row>
    <row r="9">
      <c r="A9" s="29" t="inlineStr">
        <is>
          <t>Jakarta</t>
        </is>
      </c>
      <c r="B9" s="29" t="inlineStr">
        <is>
          <t>Indonesia</t>
        </is>
      </c>
      <c r="C9" s="30" t="inlineStr">
        <is>
          <t>Pantai Laguna (Ancol Taman Impian) → Pantai Laguna (Ancol Taman Impian)</t>
        </is>
      </c>
      <c r="D9" s="31" t="n">
        <v>2</v>
      </c>
      <c r="E9" s="26" t="n">
        <v>18</v>
      </c>
      <c r="F9" s="32" t="inlineStr">
        <is>
          <t>T1</t>
        </is>
      </c>
      <c r="G9" s="32" t="inlineStr">
        <is>
          <t>high</t>
        </is>
      </c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200000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>[LB-255 PREMIUM RE-FARE: subsidized comparable $1.23 lifted to premium on-demand floor $18.0] Ancol Taman Impian corporate site (korporat.ancol.com, GM Sunarto quote, 17-Jun-2018): Rp20,000/person or Rp200-300k per boat for groups, boats hold ~20 pax. Price STILL Rp20,000 per TikTok rider reviews Oct-2025 ('Naik kapal di Ancol cuma 20rb perorang') - 7-yr price stickiness corroborated, not assumed.</t>
        </is>
      </c>
      <c r="AX9" s="44" t="n"/>
    </row>
    <row r="10">
      <c r="A10" s="29" t="inlineStr">
        <is>
          <t>Bali</t>
        </is>
      </c>
      <c r="B10" s="29" t="inlineStr">
        <is>
          <t>Indonesia</t>
        </is>
      </c>
      <c r="C10" s="30" t="inlineStr">
        <is>
          <t>Benoa Harbour Cruise Terminal → Benoa Harbour Cruise Terminal</t>
        </is>
      </c>
      <c r="D10" s="31" t="n">
        <v>5</v>
      </c>
      <c r="E10" s="26" t="n">
        <v>85</v>
      </c>
      <c r="F10" s="32" t="inlineStr">
        <is>
          <t>T1</t>
        </is>
      </c>
      <c r="G10" s="32" t="inlineStr">
        <is>
          <t>high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85000</v>
      </c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Bali Hai operator page balihaicruises.com/day-trip/sunset-dinner-cruise/: Adult USD 85 (Rp 1.527.000), child USD 65, 'valid until 31 March 2027'. Corroborated by Bounty operator site bountycruises.co.id: Dinner Cruise IDR 1.440.000/pax (~USD 88), and Viator Aristocat Evening Dinner Cruise from USD 112.</t>
        </is>
      </c>
      <c r="AX10" s="44" t="n"/>
    </row>
    <row r="11">
      <c r="A11" s="29" t="inlineStr">
        <is>
          <t>Jakarta</t>
        </is>
      </c>
      <c r="B11" s="29" t="inlineStr">
        <is>
          <t>Indonesia</t>
        </is>
      </c>
      <c r="C11" s="30" t="inlineStr">
        <is>
          <t>Marina Ancol → Thousand Islands — inner ring (Bidadari / Ayer / Onrust)</t>
        </is>
      </c>
      <c r="D11" s="31" t="n">
        <v>7.4</v>
      </c>
      <c r="E11" s="26" t="n">
        <v>11.7</v>
      </c>
      <c r="F11" s="32" t="inlineStr">
        <is>
          <t>T2/T3</t>
        </is>
      </c>
      <c r="G11" s="32" t="inlineStr">
        <is>
          <t>med-high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10000</v>
      </c>
      <c r="AH11" s="32" t="inlineStr">
        <is>
          <t>T2</t>
        </is>
      </c>
      <c r="AI11" s="32" t="inlineStr">
        <is>
          <t>med</t>
        </is>
      </c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>Official Marina Ancol speedboat tariff table (pulauseribu-resorts.com / visitpulauseribu.co.id): Ayer/Bidadari Rp155,000 one-way regular speedboat; budget wooden boat ex-Kaliadem Rp90-110k; private speedboat charter Rp2,400,000/boat (Ayer/Bidadari/Kelor-Onrust) =&gt; ~Rp200-300k/seat. Premium per-seat anchored at ~Rp190,000.</t>
        </is>
      </c>
      <c r="AX11" s="44" t="inlineStr">
        <is>
          <t>Sudin Parekraf Kepulauan Seribu official 2025 category breakdown (via pulauseribu.jakarta.go.id, 11-Jan-2026): total 398,519 visitors (2024: 411,161); resort islands 13,932 (TOP = Bidadari #1, then Putri, Macan); tourism islands 3,575; nature-reserve islands 537. Inner-ring = Bidadari+Ayer resort share (~half of resort pool, Bidadari is #1) + Onrust/Cipir/Kelor historical-park day-trips (pulau wisata/cagar) =&gt; ~10,000/yr.</t>
        </is>
      </c>
    </row>
    <row r="12">
      <c r="A12" s="29" t="inlineStr">
        <is>
          <t>Jakarta</t>
        </is>
      </c>
      <c r="B12" s="29" t="inlineStr">
        <is>
          <t>Indonesia</t>
        </is>
      </c>
      <c r="C12" s="30" t="inlineStr">
        <is>
          <t>Batavia Marina (Sunda Kelapa) → Batavia Marina (Sunda Kelapa)</t>
        </is>
      </c>
      <c r="D12" s="31" t="n">
        <v>8</v>
      </c>
      <c r="E12" s="26" t="n">
        <v>35</v>
      </c>
      <c r="F12" s="32" t="inlineStr">
        <is>
          <t>T1</t>
        </is>
      </c>
      <c r="G12" s="32" t="inlineStr">
        <is>
          <t>high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10000</v>
      </c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Operator site quicksilver-bali.com [QUICKSILVER JAKARTA] 'Quicky Sunset': IDR 570,000/pax (adult=child), incl. welcome drink, buffet dinner, live music, 1.5h sail + 1h dockside (May-2026 departure listing). Corroborated: Traveloka listing Rp499,000 promo / Rp599,000 rack for Quicksilver VI Sunset Cruise. Premium tier: Quicksilver FB 'premium sunset experience' Rp1,250,000/pax; Jakarta Phinisi join-trip $75-95 (Wandernesia).</t>
        </is>
      </c>
      <c r="AX12" s="44" t="n"/>
    </row>
    <row r="13">
      <c r="A13" s="29" t="inlineStr">
        <is>
          <t>Bali</t>
        </is>
      </c>
      <c r="B13" s="29" t="inlineStr">
        <is>
          <t>Indonesia</t>
        </is>
      </c>
      <c r="C13" s="30" t="inlineStr">
        <is>
          <t>Bali (Benoa / Sanur) → Nusa Penida / Lembongan</t>
        </is>
      </c>
      <c r="D13" s="31" t="n">
        <v>13.5</v>
      </c>
      <c r="E13" s="26" t="n">
        <v>60</v>
      </c>
      <c r="F13" s="32" t="inlineStr">
        <is>
          <t>T3</t>
        </is>
      </c>
      <c r="G13" s="32" t="inlineStr">
        <is>
          <t>med-high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1500000</v>
      </c>
      <c r="AH13" s="32" t="inlineStr">
        <is>
          <t>T2</t>
        </is>
      </c>
      <c r="AI13" s="32" t="inlineStr">
        <is>
          <t>med-high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Premium private transfer tier, Sanur-&gt;Nusa Penida. Tripadvisor 'Private and Luxury' $75/adult (bundles tour, excluded as overclaim); Klook Premium Speedboat; standard fast boat $37-40. Anchored at $60 = clean premium point-to-point transfer, conservative vs $75 bundled.</t>
        </is>
      </c>
      <c r="AX13" s="44" t="inlineStr">
        <is>
          <t>Klungkung Tourism Office (Dispar) official levy count, 2025: 1,078,125 visitors to Kawasan Wisata Nusa Penida (1,070,616 adults @ Rp25,000 retribution + 7,509 children @ Rp15,000), PAD Rp 26.88B (NusaBali, 27-Feb-2026, https://www.nusabali.com/berita/214419/tahun-2025-nusa-penida-dikunjungi-1-juta-lebih-wisatawan). 2023 was ~729k (Klungkung); regent's 2026 target 2-2.5M. Levy is collected at island entry -&gt; fee-paying turnstile-grade count (R3-GOLD pattern). Nusa Penida district (incl. Lembongan/Ceningan) is boat-only - no airport, no bridge to Bali -&gt; R3-EXCEPTION: arrivals = crossing ridership.</t>
        </is>
      </c>
    </row>
    <row r="14">
      <c r="A14" s="29" t="inlineStr">
        <is>
          <t>Bali</t>
        </is>
      </c>
      <c r="B14" s="29" t="inlineStr">
        <is>
          <t>Indonesia</t>
        </is>
      </c>
      <c r="C14" s="30" t="inlineStr">
        <is>
          <t>Benoa Harbour Cruise Terminal → Mushroom Bay pontoon / Beach Club (Nusa Lembongan)</t>
        </is>
      </c>
      <c r="D14" s="31" t="n">
        <v>13.6</v>
      </c>
      <c r="E14" s="26" t="n">
        <v>95</v>
      </c>
      <c r="F14" s="32" t="inlineStr">
        <is>
          <t>T1</t>
        </is>
      </c>
      <c r="G14" s="32" t="inlineStr">
        <is>
          <t>med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165000</v>
      </c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>Conservative mid of the live operator/agent ladder: Bali Hai Ultimate Lembongan Day Cruise USD 130 adult rack (T1 operator, valid to 31-Mar-2027); Bounty Day Cruise Nusa Penida Floating Beach Club IDR 2.475.000 (~USD 151, T1 operator); Quicksilver Nusa Penida full package USD 62 adult agent rate (T3 balitrips). Navier 8-pax product would be the premium small-group ride+snorkel slice without the mega-pontoon, hence mid-band anchor not rack.</t>
        </is>
      </c>
      <c r="AX14" s="44" t="n"/>
    </row>
    <row r="15">
      <c r="A15" s="29" t="inlineStr">
        <is>
          <t>Bali</t>
        </is>
      </c>
      <c r="B15" s="29" t="inlineStr">
        <is>
          <t>Indonesia</t>
        </is>
      </c>
      <c r="C15" s="30" t="inlineStr">
        <is>
          <t>Bali (Canggu) → Uluwatu / Bukit</t>
        </is>
      </c>
      <c r="D15" s="31" t="n">
        <v>16</v>
      </c>
      <c r="E15" s="26" t="n">
        <v>16</v>
      </c>
      <c r="F15" s="32" t="inlineStr">
        <is>
          <t>T1</t>
        </is>
      </c>
      <c r="G15" s="32" t="inlineStr">
        <is>
          <t>med-high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/>
      <c r="AH15" s="32" t="inlineStr">
        <is>
          <t>T5</t>
        </is>
      </c>
      <c r="AI15" s="32" t="inlineStr">
        <is>
          <t>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GoBoat.id (operator site + baliholidaysecrets 2026): Canggu(Nelayan Beach)-&gt;Uluwatu(Padang Padang) speedboat IDR 255,000/pax, 35 min. This IS the per-seat boat product (= Navier's ridehail archetype). Single-class. Road alternatives same crossing: GoCar/GrabCar $14-21, Bluebird $18-24, private car transfer $25-35.</t>
        </is>
      </c>
      <c r="AX15" s="44" t="inlineStr">
        <is>
          <t>GoBoat launched ~2024; '370+ daily departures' figure spans ALL its routes (Sanur/Padangbai/Canggu/Uluwatu), not this leg. No published Canggu&lt;-&gt;Uluwatu per-route ridership. Nascent single-class boat-taxi -&gt; NULL beats a guess (R2); freq x capacity (R4) possible once per-route frequency is published. Flag to cascade.</t>
        </is>
      </c>
    </row>
    <row r="16">
      <c r="A16" s="29" t="inlineStr">
        <is>
          <t>Jakarta</t>
        </is>
      </c>
      <c r="B16" s="29" t="inlineStr">
        <is>
          <t>Indonesia</t>
        </is>
      </c>
      <c r="C16" s="30" t="inlineStr">
        <is>
          <t>Thousand Islands — inner ring → Thousand Islands — outer ring</t>
        </is>
      </c>
      <c r="D16" s="31" t="n">
        <v>28.9</v>
      </c>
      <c r="E16" s="26" t="n">
        <v>16.6</v>
      </c>
      <c r="F16" s="32" t="inlineStr">
        <is>
          <t>T5</t>
        </is>
      </c>
      <c r="G16" s="32" t="inlineStr">
        <is>
          <t>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/>
      <c r="AH16" s="32" t="inlineStr">
        <is>
          <t>T5</t>
        </is>
      </c>
      <c r="AI16" s="32" t="inlineStr">
        <is>
          <t>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No scheduled per-seat passenger service runs directly between the inner and outer rings; inter-island hopping is done by charter/private-tour boats. Modeled by distance interpolation on the observed Marina Ancol tariff curve (10nm Rp155k -&gt; 35nm Rp335k); 22nm =&gt; ~Rp270,000.</t>
        </is>
      </c>
      <c r="AX16" s="44" t="inlineStr">
        <is>
          <t>No published count for inter-ring (inner-&gt;outer) crossings. Visitors transit mainland&lt;-&gt;island; scheduled inner-to-outer island-hopping service does not exist as a counted route.</t>
        </is>
      </c>
    </row>
    <row r="17">
      <c r="A17" s="29" t="inlineStr">
        <is>
          <t>Jakarta</t>
        </is>
      </c>
      <c r="B17" s="29" t="inlineStr">
        <is>
          <t>Indonesia</t>
        </is>
      </c>
      <c r="C17" s="30" t="inlineStr">
        <is>
          <t>Marina Ancol → Thousand Islands — outer ring (Macan / Pelangi / Putri / Sepa)</t>
        </is>
      </c>
      <c r="D17" s="31" t="n">
        <v>35.9</v>
      </c>
      <c r="E17" s="26" t="n">
        <v>24.5</v>
      </c>
      <c r="F17" s="32" t="inlineStr">
        <is>
          <t>T2/T3</t>
        </is>
      </c>
      <c r="G17" s="32" t="inlineStr">
        <is>
          <t>high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7000</v>
      </c>
      <c r="AH17" s="32" t="inlineStr">
        <is>
          <t>T2</t>
        </is>
      </c>
      <c r="AI17" s="32" t="inlineStr">
        <is>
          <t>med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Official Marina Ancol tariff table: Pelangi/Sepa/Macan &amp; Kotok/Putri Rp335,000 one-way regular speedboat; Pulau Pantara Rp455,000 one-way; Tokopedia (endangeredstore) Pelangi/Sepa one-way Rp340,000. Resort day/2D1N packages (Sepa Rp1,250,000 one-day incl. transport+lunch+activities; Putri 2D1N Rp1,610,000-2,200,000) include premium boat but are bundles, not pure transfer. Premium per-seat transfer anchored ~Rp400,000.</t>
        </is>
      </c>
      <c r="AX17" s="44" t="inlineStr">
        <is>
          <t>Sudin Parekraf Kepulauan Seribu official 2025: resort islands 13,932 total (Putri #2 and Macan #3 most-visited resorts; plus Pelangi/Sepa/Pantara). Outer-ring resort share modeled at ~7,000/yr (remainder of the 13,932 resort pool after inner-ring Bidadari/Ayer).</t>
        </is>
      </c>
    </row>
    <row r="18">
      <c r="A18" s="29" t="inlineStr">
        <is>
          <t>Bali</t>
        </is>
      </c>
      <c r="B18" s="29" t="inlineStr">
        <is>
          <t>Indonesia</t>
        </is>
      </c>
      <c r="C18" s="30" t="inlineStr">
        <is>
          <t>Bali → Gili Islands / Lombok</t>
        </is>
      </c>
      <c r="D18" s="31" t="n">
        <v>45</v>
      </c>
      <c r="E18" s="26" t="n">
        <v>64</v>
      </c>
      <c r="F18" s="32" t="inlineStr">
        <is>
          <t>T3</t>
        </is>
      </c>
      <c r="G18" s="32" t="inlineStr">
        <is>
          <t>med-high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600000</v>
      </c>
      <c r="AH18" s="32" t="inlineStr">
        <is>
          <t>T5</t>
        </is>
      </c>
      <c r="AI18" s="32" t="inlineStr">
        <is>
          <t>low-med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n"/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Premium transfer tier, Bali-&gt;Gili Trawangan. Tripadvisor 'Luxury Speedboat Transfer' $64; standard $28-42; budget ~$20; whole-boat private $500-1200.</t>
        </is>
      </c>
      <c r="AX18" s="44" t="inlineStr">
        <is>
          <t>No published count for the Bali-origin fast-boat leg specifically. Triangulation anchors: (1) UPTD Pelabuhan Bangsal (Lombok-side public port) recorded 574,107 arrivals to Gili Trawangan (406k) + Gili Air (168k) in 2024 - BPK-audited figure exposing Dispar undercount of 128,774 (Radar Lombok, Aug-2025, https://radarlombok.co.id/bpk-temukan-selisih-besar-data-kunjungan-wisata-gili-pad-berpotensi-bocor-banyak.html) - that is the LOMBOK leg (R3-PIER: different pier), used as magnitude bound; (2) Kab. Lombok Utara 2024 total visitors ~700k (ekbisntb.com, Jan-2025); (3) live operator schedules: daily fast-boat departures from Padangbai, Sanur, Serangan and Amed by Eka Jaya (180 seats, multiple trips/day), BlueWater Express (3x daily peak), Gili Getaway, Semaya One, Wanderlust, Ostina etc. (gilitickets.com, ferryhopper.com, 2025-26 listings).</t>
        </is>
      </c>
    </row>
    <row r="19">
      <c r="A19" s="29" t="inlineStr">
        <is>
          <t>Langkawi</t>
        </is>
      </c>
      <c r="B19" s="29" t="inlineStr">
        <is>
          <t>Malaysia</t>
        </is>
      </c>
      <c r="C19" s="30" t="inlineStr">
        <is>
          <t>George Town (Swettenham) → Butterworth (mainland)</t>
        </is>
      </c>
      <c r="D19" s="31" t="n">
        <v>1.62</v>
      </c>
      <c r="E19" s="26" t="n"/>
      <c r="F19" s="32" t="inlineStr">
        <is>
          <t>T1</t>
        </is>
      </c>
      <c r="G19" s="32" t="inlineStr">
        <is>
          <t>high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/>
      <c r="AH19" s="32" t="inlineStr">
        <is>
          <t>T2</t>
        </is>
      </c>
      <c r="AI19" s="32" t="inlineStr">
        <is>
          <t>high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Penang Port public ferry (George Town&lt;-&gt;Butterworth) adult pedestrian fare RM2.00/way (RM1.00 under-12), per penangport.gov.my &amp; 2023 fare notice. RM2 @4.30 = $0.47.</t>
        </is>
      </c>
      <c r="AX19" s="44" t="inlineStr">
        <is>
          <t>Penang ferry service recorded 2.1 million passengers + 747,785 vehicles in 2024 (Wikipedia / Penang Port). New service hit 5M cumulative &lt;2yr (The Star, May 2025).</t>
        </is>
      </c>
    </row>
    <row r="20">
      <c r="A20" s="29" t="inlineStr">
        <is>
          <t>Borneo</t>
        </is>
      </c>
      <c r="B20" s="29" t="inlineStr">
        <is>
          <t>Malaysia</t>
        </is>
      </c>
      <c r="C20" s="30" t="inlineStr">
        <is>
          <t>Kota Kinabalu (Jesselton Point) → Tunku Abdul Rahman park (Gaya / Manukan / Sapi)</t>
        </is>
      </c>
      <c r="D20" s="31" t="n">
        <v>3.16</v>
      </c>
      <c r="E20" s="26" t="n"/>
      <c r="F20" s="32" t="inlineStr">
        <is>
          <t>T3</t>
        </is>
      </c>
      <c r="G20" s="32" t="inlineStr">
        <is>
          <t>med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/>
      <c r="AH20" s="32" t="inlineStr">
        <is>
          <t>T2</t>
        </is>
      </c>
      <c r="AI20" s="32" t="inlineStr">
        <is>
          <t>high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Jesselton Point speedboat to TAR islands: standard RM23 (one island, return) + RM7.20 terminal fee (Tripadvisor); multi-island RM35-65/pax (Instagram/longbeachsabah RM60+); private charter ~RM200/boat (borneotropical). Premium per-seat one-way ~RM35 = $8.</t>
        </is>
      </c>
      <c r="AX20" s="44" t="inlineStr">
        <is>
          <t>Sabah Parks Dashboard (dashboard.sabahparks.org.my): Tunku Abdul Rahman Park highest accumulated visitor volume 546,383 (2025); &gt;500k in 2019 (citympvtravel).</t>
        </is>
      </c>
    </row>
    <row r="21">
      <c r="A21" s="29" t="inlineStr">
        <is>
          <t>Borneo</t>
        </is>
      </c>
      <c r="B21" s="29" t="inlineStr">
        <is>
          <t>Malaysia</t>
        </is>
      </c>
      <c r="C21" s="30" t="inlineStr">
        <is>
          <t>Kota Kinabalu (Sutera Harbour) → Gaya Island resorts</t>
        </is>
      </c>
      <c r="D21" s="31" t="n">
        <v>4.29</v>
      </c>
      <c r="E21" s="26" t="n">
        <v>19</v>
      </c>
      <c r="F21" s="32" t="inlineStr">
        <is>
          <t>T1</t>
        </is>
      </c>
      <c r="G21" s="32" t="inlineStr">
        <is>
          <t>high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45000</v>
      </c>
      <c r="AH21" s="32" t="inlineStr">
        <is>
          <t>T5</t>
        </is>
      </c>
      <c r="AI21" s="32" t="inlineStr">
        <is>
          <t>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Gaya Island Resort scheduled speedboat transfer MYR160/adult round-trip (Agoda) / MYR172.80 rt (Klook) = ~RM80-86 one-way ($19-20); +RM10/way fuel surcharge (2026); private charter RM500/boat/way. Sutera/STAR Marina jetty origin.</t>
        </is>
      </c>
      <c r="AX21" s="44" t="inlineStr">
        <is>
          <t>Served Gaya luxury resorts (Gaya Island Resort, Bunga Raya, Gayana ~200 villas combined). Modeled guest arrivals ~45k/yr (occupancy x turns). Subset of TAR-park traffic via Sutera Marina.</t>
        </is>
      </c>
    </row>
    <row r="22">
      <c r="A22" s="29" t="inlineStr">
        <is>
          <t>Penang</t>
        </is>
      </c>
      <c r="B22" s="29" t="inlineStr">
        <is>
          <t>Malaysia</t>
        </is>
      </c>
      <c r="C22" s="30" t="inlineStr">
        <is>
          <t>George Town → Batu Ferringhi resort strip</t>
        </is>
      </c>
      <c r="D22" s="31" t="n">
        <v>6.6</v>
      </c>
      <c r="E22" s="26" t="n">
        <v>30</v>
      </c>
      <c r="F22" s="32" t="inlineStr">
        <is>
          <t>T5</t>
        </is>
      </c>
      <c r="G22" s="32" t="inlineStr">
        <is>
          <t>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/>
      <c r="AH22" s="32" t="inlineStr">
        <is>
          <t>T5</t>
        </is>
      </c>
      <c r="AI22" s="32" t="inlineStr">
        <is>
          <t>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No scheduled passenger boat George Town&lt;-&gt;Batu Ferringhi; the resort strip is reached by road along the north coast. Modeled premium per-seat scenic speedboat transfer ~RM130/way ($30) by analogy to short Sabah/Langkawi private-speedboat seats.</t>
        </is>
      </c>
      <c r="AX22" s="44" t="inlineStr">
        <is>
          <t>No boat crossing exists; Batu Ferringhi hotel-strip arrivals come by road. No credible on-water pax pool.</t>
        </is>
      </c>
    </row>
    <row r="23">
      <c r="A23" s="29" t="inlineStr">
        <is>
          <t>Penang</t>
        </is>
      </c>
      <c r="B23" s="29" t="inlineStr">
        <is>
          <t>Malaysia</t>
        </is>
      </c>
      <c r="C23" s="30" t="inlineStr">
        <is>
          <t>Kuah Jetty (Langkawi) → Langkawi geopark island-hop (Dayang Bunting / Payar)</t>
        </is>
      </c>
      <c r="D23" s="31" t="n">
        <v>10</v>
      </c>
      <c r="E23" s="26" t="n">
        <v>20</v>
      </c>
      <c r="F23" s="32" t="inlineStr">
        <is>
          <t>T3</t>
        </is>
      </c>
      <c r="G23" s="32" t="inlineStr">
        <is>
          <t>med-high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400000</v>
      </c>
      <c r="AH23" s="32" t="inlineStr">
        <is>
          <t>T5</t>
        </is>
      </c>
      <c r="AI23" s="32" t="inlineStr">
        <is>
          <t>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Very liquid per-seat market: Klook shared island-hopping speedboat tour (act. 6919, '80K+ booked', 4.4/5, ~4h Dayang Bunting + eagle watching + Beras Basah) ~RM38-65/pax depending on pickup option; editorial range RM36-80/pax standard group (alike.io 2025); Klook PRIVATE 8-seater speedboat tour (act. 33941) US$135.39/boat = $17-23/seat at 6-8 pax. GetYourGuide premium shared tours ~$25-30/pax.</t>
        </is>
      </c>
      <c r="AX23" s="44" t="inlineStr">
        <is>
          <t>LADA official visitor arrivals: 3,215,730 (2025); 2,904,629 (2024) (lada.gov.my). Corroboration of experience liquidity: single Klook shared-tour listing shows 80K+ cumulative bookings; island hopping is Langkawi's signature boat activity (Dayang Bunting geopark + Pulau Payar marine park).</t>
        </is>
      </c>
    </row>
    <row r="24">
      <c r="A24" s="29" t="inlineStr">
        <is>
          <t>Penang</t>
        </is>
      </c>
      <c r="B24" s="29" t="inlineStr">
        <is>
          <t>Malaysia</t>
        </is>
      </c>
      <c r="C24" s="30" t="inlineStr">
        <is>
          <t>Kuah Jetty (Langkawi) → Kuala Perlis (mainland)</t>
        </is>
      </c>
      <c r="D24" s="31" t="n">
        <v>16.8</v>
      </c>
      <c r="E24" s="26" t="n">
        <v>10.5</v>
      </c>
      <c r="F24" s="32" t="inlineStr">
        <is>
          <t>T1</t>
        </is>
      </c>
      <c r="G24" s="32" t="inlineStr">
        <is>
          <t>med-high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1600000</v>
      </c>
      <c r="AH24" s="32" t="inlineStr">
        <is>
          <t>T2</t>
        </is>
      </c>
      <c r="AI24" s="32" t="inlineStr">
        <is>
          <t>med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Langkawi Ferry Line Ventures (operator): non-MyKad adult Kuala Perlis-Langkawi RM45 one-way effective 15 Apr 2026 (The Star/NST/Malay Mail 10 Apr 2026); local MyKad adult RM15 (operator site). Wantas RORO non-Malaysian RM45 (BusOnlineTicket). Operator booking system lists a VIP seat class (MY MASTER 2 VIP) above standard - price unpublished. OTA from RM47 (BusOnlineTicket).</t>
        </is>
      </c>
      <c r="AX24" s="44" t="inlineStr">
        <is>
          <t>LADA official: 2,904,629 Langkawi visitor arrivals 2024; 3,215,730 in 2025 (lada.gov.my, counted at jetty/airport/cruise/yacht touchpoints). LGK airport 2.5M total pax movements 2024 (~1.25M arrivals, Malaysia Airports). Peak window check: 164,612 ferry pax on KP+KK routes in 18 days 16 Jan-2 Feb 2025 (Bernama), of which 51,003 arrivals via Kuala Perlis (~62% of arrivals).</t>
        </is>
      </c>
    </row>
    <row r="25">
      <c r="A25" s="29" t="inlineStr">
        <is>
          <t>Penang</t>
        </is>
      </c>
      <c r="B25" s="29" t="inlineStr">
        <is>
          <t>Malaysia</t>
        </is>
      </c>
      <c r="C25" s="30" t="inlineStr">
        <is>
          <t>Telaga Harbour (Langkawi) → Koh Lipe (Thailand)</t>
        </is>
      </c>
      <c r="D25" s="31" t="n">
        <v>23</v>
      </c>
      <c r="E25" s="26" t="n">
        <v>41.9</v>
      </c>
      <c r="F25" s="32" t="inlineStr">
        <is>
          <t>T3</t>
        </is>
      </c>
      <c r="G25" s="32" t="inlineStr">
        <is>
          <t>high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45000</v>
      </c>
      <c r="AH25" s="32" t="inlineStr">
        <is>
          <t>T5</t>
        </is>
      </c>
      <c r="AI25" s="32" t="inlineStr">
        <is>
          <t>med-low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2025-26 season (Oct 2025-31 May 2026): Telaga Harbour -&gt; Koh Lipe one-way adult RM180 = $41.9 (kohlipeisland.org season fare table; operators Tropical Charters + Bundhaya Speed Boat / Tigerline, ~90 min speedboat); DirectFerries cheapest $42 Koh Lipe-Telaga; ferrygogo 'from RM145' Bundhaya. Koh Lipe -&gt; Langkawi THB1,200-1,400 ($34-40). Tarutao NP fee THB200 paid separately on arrival (NOT in fare - no netting needed).</t>
        </is>
      </c>
      <c r="AX25" s="44" t="inlineStr">
        <is>
          <t>No published crossing count. Schedule (2025-26): core season 1 Nov-14 Apr ~2-3 departures/day (Telaga 2/day + Kuah extras), shoulder Oct + mid-Apr-May 1/day; ~80-100-seat speedboats/fast ferries. Context: Tarutao National Marine Park ~238,000 visitors/yr (park-wide; majority of Koh Lipe traffic arrives via Pak Bara, Thailand - this crossing is the minority international leg).</t>
        </is>
      </c>
    </row>
    <row r="26">
      <c r="A26" s="29" t="inlineStr">
        <is>
          <t>Penang</t>
        </is>
      </c>
      <c r="B26" s="29" t="inlineStr">
        <is>
          <t>Malaysia</t>
        </is>
      </c>
      <c r="C26" s="30" t="inlineStr">
        <is>
          <t>Langkawi → Koh Lipe (Thailand)</t>
        </is>
      </c>
      <c r="D26" s="31" t="n">
        <v>24.6</v>
      </c>
      <c r="E26" s="26" t="n">
        <v>37</v>
      </c>
      <c r="F26" s="32" t="inlineStr">
        <is>
          <t>T3</t>
        </is>
      </c>
      <c r="G26" s="32" t="inlineStr">
        <is>
          <t>high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60000</v>
      </c>
      <c r="AH26" s="32" t="inlineStr">
        <is>
          <t>T5</t>
        </is>
      </c>
      <c r="AI26" s="32" t="inlineStr">
        <is>
          <t>low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Langkawi (Telaga Harbour)-&gt;Koh Lipe international speedboat: RM160 adult one-way (kohlipe.my, agoda-class listings), RM110-180 across operators (Bundhaya/Telaga Terminal; busonlineticket RM110-128, kohlipeisland.org RM180). Plus Thai marine-park 200THB &amp; immigration. RM160 @4.30 = $37.</t>
        </is>
      </c>
      <c r="AX26" s="44" t="inlineStr">
        <is>
          <t>No published crossing-specific count. Koh Lipe receives an estimated low-hundreds-of-thousands seasonal visitors, but the MAJORITY arrive via Pak Bara (Thai mainland), not Langkawi (R3). Modeled Malaysia-side subset ~60k/yr (freq x capacity x ~180 season days, R4).</t>
        </is>
      </c>
    </row>
    <row r="27">
      <c r="A27" s="29" t="inlineStr">
        <is>
          <t>Penang</t>
        </is>
      </c>
      <c r="B27" s="29" t="inlineStr">
        <is>
          <t>Malaysia</t>
        </is>
      </c>
      <c r="C27" s="30" t="inlineStr">
        <is>
          <t>Kuah Jetty (Langkawi) → Kuala Kedah (mainland)</t>
        </is>
      </c>
      <c r="D27" s="31" t="n">
        <v>27</v>
      </c>
      <c r="E27" s="26" t="n">
        <v>12.8</v>
      </c>
      <c r="F27" s="32" t="inlineStr">
        <is>
          <t>T1</t>
        </is>
      </c>
      <c r="G27" s="32" t="inlineStr">
        <is>
          <t>med-high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1000000</v>
      </c>
      <c r="AH27" s="32" t="inlineStr">
        <is>
          <t>T2</t>
        </is>
      </c>
      <c r="AI27" s="32" t="inlineStr">
        <is>
          <t>med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Langkawi Ferry Line Ventures (operator): non-MyKad adult Kuala Kedah-Langkawi RM55 one-way effective 15 Apr 2026 (The Star 10 Apr 2026: 'From Kuala Kedah, fares will be RM55 for adults and RM42 child'); local MyKad adult RM20 (operator site). VIP seat class operates on this route (MY MASTER 2 VIP sailings on operator schedule), price unpublished.</t>
        </is>
      </c>
      <c r="AX27" s="44" t="inlineStr">
        <is>
          <t>Same base as Kuala Perlis leg: LADA 2.90M (2024)/3.22M (2025) arrivals; LGK airport 2.5M movements 2024; Bernama 164,612 ferry pax KP+KK in 18-day Jan-Feb 2025 peak; Kuala Kedah share ~38% of ferry arrivals in that window.</t>
        </is>
      </c>
    </row>
    <row r="28">
      <c r="A28" s="29" t="inlineStr">
        <is>
          <t>Borneo</t>
        </is>
      </c>
      <c r="B28" s="29" t="inlineStr">
        <is>
          <t>Malaysia</t>
        </is>
      </c>
      <c r="C28" s="30" t="inlineStr">
        <is>
          <t>Kota Kinabalu → Mantanani Islands</t>
        </is>
      </c>
      <c r="D28" s="31" t="n">
        <v>47.89</v>
      </c>
      <c r="E28" s="26" t="n">
        <v>26</v>
      </c>
      <c r="F28" s="32" t="inlineStr">
        <is>
          <t>T4</t>
        </is>
      </c>
      <c r="G28" s="32" t="inlineStr">
        <is>
          <t>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150000</v>
      </c>
      <c r="AH28" s="32" t="inlineStr">
        <is>
          <t>T2</t>
        </is>
      </c>
      <c r="AI28" s="32" t="inlineStr">
        <is>
          <t>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Mantanani sold as day-tour packages: MYR245-325 round-trip incl ~60-90min speedboat + lunch + snorkel/dive (Amazing Borneo RM245-325; GetYourGuide ~$58). Stripping activities, premium per-seat one-way transfer modeled ~RM110 = $26.</t>
        </is>
      </c>
      <c r="AX28" s="44" t="inlineStr">
        <is>
          <t>ADB BIMP-EAGA Ecotourism Pilot Project: Mantanani Islands (Nov-2017, https://bimp-eaga.asia/sites/default/files/publications/bimp-eaga-ecotourism-pilot-project-mantanani.pdf): 2016 total ~152,064 visitors = 126,720 day-trippers + ~25k overnight; avg 417 visitors/day, range 10-15 (low day) to 1,000+ (peak); ~5 day visitors per overnight visitor; resort day-trip rates RM180-220 (snorkel) to RM500 (dive) incl. boat. Proposed overnight carrying cap 300/night. Reef Check (reefcheck.org, c.2019): day-trippers grew 50/day (2011) to ~3,000/day peak. Sabah Tourism Board does not publish island-level Mantanani arrivals (sabahtourism.com/statistics is state-level only).</t>
        </is>
      </c>
    </row>
    <row r="29">
      <c r="A29" s="29" t="inlineStr">
        <is>
          <t>Penang</t>
        </is>
      </c>
      <c r="B29" s="29" t="inlineStr">
        <is>
          <t>Malaysia</t>
        </is>
      </c>
      <c r="C29" s="30" t="inlineStr">
        <is>
          <t>Kuah Jetty (Langkawi) → George Town, Penang (Swettenham Pier)</t>
        </is>
      </c>
      <c r="D29" s="31" t="n">
        <v>62</v>
      </c>
      <c r="E29" s="26" t="n">
        <v>17.4</v>
      </c>
      <c r="F29" s="32" t="inlineStr">
        <is>
          <t>T3</t>
        </is>
      </c>
      <c r="G29" s="32" t="inlineStr">
        <is>
          <t>med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/>
      <c r="AH29" s="32" t="inlineStr">
        <is>
          <t>T5</t>
        </is>
      </c>
      <c r="AI29" s="32" t="inlineStr">
        <is>
          <t>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Super Fast Ferry Ventures (restarted the lapsed route post-2023), Kuah Jetty &lt;-&gt; Swettenham Pier, ~3h: BusOnlineTicket 'RM70 per passenger', 3 departures/day each way listed; Easybook RM80 adult / RM60 child; live Klook listing (act. 40908, '100+ booked', dep 08:30 Penang / 15:00 Langkawi). Historical pre-Covid fare RM73.60 (prior R10 record). One 2026 guide (malaysialife.org) claims service has ceased again; Reddit/FB threads 2025-26 mixed.</t>
        </is>
      </c>
      <c r="AX29" s="44" t="inlineStr">
        <is>
          <t>No published ridership for the restarted Penang-Langkawi service; operating status itself conflicted in 2026 (live OTA booking flows vs editorial 'ceased' updates; travelers widely advised to fly ~RM125 or ferry via Kuala Perlis/Kuala Kedah).</t>
        </is>
      </c>
    </row>
    <row r="30">
      <c r="A30" s="29" t="inlineStr">
        <is>
          <t>Penang</t>
        </is>
      </c>
      <c r="B30" s="29" t="inlineStr">
        <is>
          <t>Malaysia</t>
        </is>
      </c>
      <c r="C30" s="30" t="inlineStr">
        <is>
          <t>Penang → Pangkor Island</t>
        </is>
      </c>
      <c r="D30" s="31" t="n">
        <v>66</v>
      </c>
      <c r="E30" s="26" t="n">
        <v>19</v>
      </c>
      <c r="F30" s="32" t="inlineStr">
        <is>
          <t>T1</t>
        </is>
      </c>
      <c r="G30" s="32" t="inlineStr">
        <is>
          <t>low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inlineStr">
        <is>
          <t>T4</t>
        </is>
      </c>
      <c r="AI30" s="32" t="inlineStr">
        <is>
          <t>low</t>
        </is>
      </c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inlineStr">
        <is>
          <t>No direct Penang-&gt;Pangkor boat; Pangkor is served from Lumut/Marina Island (budget public ferry RM10-14/way, easybook/trip.com). Premium per-seat anchor = Pangkor Laut Resort SCHEDULED speedboat MYR160 return = ~RM80/way ($19) (pangkorlautresort.com).</t>
        </is>
      </c>
      <c r="AX30" s="44" t="inlineStr">
        <is>
          <t>Pangkor receives sizeable visitor traffic but via the Lumut/Marina Island crossing, not from Penang (50nm). No direct-Penang pax pool exists.</t>
        </is>
      </c>
    </row>
    <row r="31">
      <c r="A31" s="29" t="inlineStr">
        <is>
          <t>Penang</t>
        </is>
      </c>
      <c r="B31" s="29" t="inlineStr">
        <is>
          <t>Malaysia</t>
        </is>
      </c>
      <c r="C31" s="30" t="inlineStr">
        <is>
          <t>Penang → Langkawi</t>
        </is>
      </c>
      <c r="D31" s="31" t="n">
        <v>66.40000000000001</v>
      </c>
      <c r="E31" s="26" t="n">
        <v>17</v>
      </c>
      <c r="F31" s="32" t="inlineStr">
        <is>
          <t>T4</t>
        </is>
      </c>
      <c r="G31" s="32" t="inlineStr">
        <is>
          <t>low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inlineStr">
        <is>
          <t>T4</t>
        </is>
      </c>
      <c r="AI31" s="32" t="inlineStr">
        <is>
          <t>low</t>
        </is>
      </c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inlineStr">
        <is>
          <t>Penang&lt;-&gt;Langkawi fast-ferry was RM73.60 one-way incl port tax (~3h, Langkawi Ferry Services) BEFORE service was terminated during Covid and NOT replaced (travel-penang-malaysia.com; malaysialife.org 2026: 'no longer operating'; r/penang). RM73.60 @4.30 (2019) = $17.</t>
        </is>
      </c>
      <c r="AX31" s="44" t="inlineStr">
        <is>
          <t>No operating Penang-Langkawi crossing since Covid. Langkawi total visitor arrivals ~750k (LADA, YTD-2026) / ~3.5-4M pre-Covid, but these arrive by AIR or the Kuala Perlis/Kuala Kedah mainland ferries - NOT the Penang crossing (R3).</t>
        </is>
      </c>
    </row>
    <row r="32">
      <c r="A32" s="29" t="inlineStr">
        <is>
          <t>Penang</t>
        </is>
      </c>
      <c r="B32" s="29" t="inlineStr">
        <is>
          <t>Malaysia</t>
        </is>
      </c>
      <c r="C32" s="30" t="inlineStr">
        <is>
          <t>Penang → Langkawi</t>
        </is>
      </c>
      <c r="D32" s="31" t="n">
        <v>66.40000000000001</v>
      </c>
      <c r="E32" s="26" t="n">
        <v>17</v>
      </c>
      <c r="F32" s="32" t="inlineStr">
        <is>
          <t>T4</t>
        </is>
      </c>
      <c r="G32" s="32" t="inlineStr">
        <is>
          <t>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/>
      <c r="AH32" s="32" t="inlineStr">
        <is>
          <t>T4</t>
        </is>
      </c>
      <c r="AI32" s="32" t="inlineStr">
        <is>
          <t>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Penang&lt;-&gt;Langkawi fast-ferry was RM73.60 one-way incl port tax (~3h, Langkawi Ferry Services) BEFORE service was terminated during Covid and NOT replaced (travel-penang-malaysia.com; malaysialife.org 2026: 'no longer operating'; r/penang). RM73.60 @4.30 (2019) = $17.</t>
        </is>
      </c>
      <c r="AX32" s="44" t="inlineStr">
        <is>
          <t>No operating Penang-Langkawi crossing since Covid. Langkawi total visitor arrivals ~750k (LADA, YTD-2026) / ~3.5-4M pre-Covid, but these arrive by AIR or the Kuala Perlis/Kuala Kedah mainland ferries - NOT the Penang crossing (R3).</t>
        </is>
      </c>
    </row>
    <row r="33">
      <c r="A33" s="29" t="inlineStr">
        <is>
          <t>Philippines</t>
        </is>
      </c>
      <c r="B33" s="29" t="inlineStr">
        <is>
          <t>Philippines</t>
        </is>
      </c>
      <c r="C33" s="30" t="inlineStr">
        <is>
          <t>Caticlan Jetty (Tabipan) → Boracay (Cagban Jetty)</t>
        </is>
      </c>
      <c r="D33" s="31" t="n">
        <v>0.9</v>
      </c>
      <c r="E33" s="26" t="n">
        <v>15</v>
      </c>
      <c r="F33" s="32" t="inlineStr">
        <is>
          <t>T3</t>
        </is>
      </c>
      <c r="G33" s="32" t="inlineStr">
        <is>
          <t>high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4000000</v>
      </c>
      <c r="AH33" s="32" t="inlineStr">
        <is>
          <t>T2</t>
        </is>
      </c>
      <c r="AI33" s="32" t="inlineStr">
        <is>
          <t>high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Premium per-seat = speedboat transfer: (1) Expedia live listing 'Speedboat Caticlan to Boracay Transfer (Oneway)' $15/adult, 119 reviews; (2) Viva Boracay Travel: PHP1,600/head ROUNDTRIP speedboat + aircon van airport-hotel incl terminal+environmental fees (~$14/way, FB 2025); (3) MyBoracayGuide 'Executive Speedboat Transfer' from PHP1,800 private incl land legs (5-7min crossing). Budget: public pump boat (banca) PHP50-75/way (+PHP150 terminal +PHP300 environmental fee paid separately); Southwest Tours shared airport-&gt;hotel transfer PHP850 one-way incl boat. Top: helicopter from PHP63,000.</t>
        </is>
      </c>
      <c r="AX33" s="44" t="inlineStr">
        <is>
          <t>Malay Municipal Tourism Office (official): Boracay 2024 arrivals 2.06M (1.77M domestic / 358k foreign / 32k OFW; ta-summary-january-december-2024.pdf via malaytourism FB), 2023 = 2.15M; 2025 slightly up (Manila Standard); 2026 target 2.3M; record Dec 2025 month (PIA).</t>
        </is>
      </c>
    </row>
    <row r="34">
      <c r="A34" s="29" t="inlineStr">
        <is>
          <t>Philippines</t>
        </is>
      </c>
      <c r="B34" s="29" t="inlineStr">
        <is>
          <t>Philippines</t>
        </is>
      </c>
      <c r="C34" s="30" t="inlineStr">
        <is>
          <t>Boracay (Cagban) → Carabao Island (Lanas Beach)</t>
        </is>
      </c>
      <c r="D34" s="31" t="n">
        <v>5.5</v>
      </c>
      <c r="E34" s="26" t="n">
        <v>11</v>
      </c>
      <c r="F34" s="32" t="inlineStr">
        <is>
          <t>T3</t>
        </is>
      </c>
      <c r="G34" s="32" t="inlineStr">
        <is>
          <t>med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60000</v>
      </c>
      <c r="AH34" s="32" t="inlineStr">
        <is>
          <t>T5</t>
        </is>
      </c>
      <c r="AI34" s="32" t="inlineStr">
        <is>
          <t>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Per-seat day-tour market from Boracay: group day tour PHP800-1,500/pax RT incl lunch buffet (joansfootprints.com; Tripadvisor product 'Carabao Island Day Tour From Boracay', 322 reviews, ~PHP950 entrance-with-buffet component cited in reviews; Traveloka/Klook listings live). Budget: public banca PHP100-200/way (~$2-3.5, thecoastalcampaign.com). Charter: private boat Boracay-&gt;Carabao quoted ~US$120 whole-boat (FB Boracay group) - excluded as overclaim (~$15/way/pax at 4-pax occupancy, consistent with per-seat anchor).</t>
        </is>
      </c>
      <c r="AX34" s="44" t="inlineStr">
        <is>
          <t>Carabao Island (San Jose, Romblon) arrivals: 17,000 tourists in 2018 full-year; 30,000 in Q1 2019 alone (San Jose LGU via PNA, pna.gov.ph/articles/1086939, Nov 2019 - 'draws a fair share of visitors from nearby Boracay', 30-min boat ride). No post-Covid official count found.</t>
        </is>
      </c>
    </row>
    <row r="35">
      <c r="A35" s="29" t="inlineStr">
        <is>
          <t>Philippines</t>
        </is>
      </c>
      <c r="B35" s="29" t="inlineStr">
        <is>
          <t>Philippines</t>
        </is>
      </c>
      <c r="C35" s="30" t="inlineStr">
        <is>
          <t>Boracay (White Beach) → Boracay island-hop loop (Puka / Crocodile Is.)</t>
        </is>
      </c>
      <c r="D35" s="31" t="n">
        <v>6</v>
      </c>
      <c r="E35" s="26" t="n">
        <v>23</v>
      </c>
      <c r="F35" s="32" t="inlineStr">
        <is>
          <t>T3</t>
        </is>
      </c>
      <c r="G35" s="32" t="inlineStr">
        <is>
          <t>med-high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500000</v>
      </c>
      <c r="AH35" s="32" t="inlineStr">
        <is>
          <t>T5</t>
        </is>
      </c>
      <c r="AI35" s="32" t="inlineStr">
        <is>
          <t>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Very liquid per-seat group-tour market (Puka/Crocodile Is. loop): joiner basic PHP800-900/pax incl lunch (thepoortraveler.net; IG joiner ads PHP850, 2025-26); premium group tour PHP1,700/pax (myboracayguide.com 'from PHP1700', 5h, snorkeling+Puka+lunch, hotel pickup) and PHP1,750 all-in 3-island + seafood buffet (IG); premium meal upgrade +PHP700 (islanddiariesph.com); private island-hop from ~PHP5,500/pax (FB) / GetYourGuide private - excluded as overclaim.</t>
        </is>
      </c>
      <c r="AX35" s="44" t="inlineStr">
        <is>
          <t>No published island-hop participation share found (searched Malay MTO / DOT / academic surveys). Pool basis = GROSS Boracay arrivals 2.06M/yr (Malay Municipal Tourism Office 2024) - NOT used directly per demand discipline (Samui/Langkawi trap: gross arrivals != tour riders).</t>
        </is>
      </c>
    </row>
    <row r="36">
      <c r="A36" s="29" t="inlineStr">
        <is>
          <t>Philippines</t>
        </is>
      </c>
      <c r="B36" s="29" t="inlineStr">
        <is>
          <t>Philippines</t>
        </is>
      </c>
      <c r="C36" s="30" t="inlineStr">
        <is>
          <t>Manila (Esplanade) → Sangley Point (Cavite)</t>
        </is>
      </c>
      <c r="D36" s="31" t="n">
        <v>8</v>
      </c>
      <c r="E36" s="26" t="n"/>
      <c r="F36" s="32" t="inlineStr">
        <is>
          <t>T2</t>
        </is>
      </c>
      <c r="G36" s="32" t="inlineStr">
        <is>
          <t>low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/>
      <c r="AH36" s="32" t="inlineStr">
        <is>
          <t>T2</t>
        </is>
      </c>
      <c r="AI36" s="32" t="inlineStr">
        <is>
          <t>low</t>
        </is>
      </c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inlineStr">
        <is>
          <t>R5-EXT + R10: Cavite City&lt;-&gt;Manila (Lawton &amp; CCP) ferry launched Dec 2019 by DOTr/MARINA with private operators (Metrostar heritage route); flat single-class commuter fares: regular PHP160, student PHP128, senior PHP114 (thepoortraveler.net 2019; marina.gov.ph). Service lapsed during Covid; as of 2025 DOTr lists a planned Manila (Divisoria)-Cavite 'water jeepney' relaunch (GMA News Aug 2025) - not yet running. No premium/luxury per-seat tier has ever existed on this crossing.</t>
        </is>
      </c>
      <c r="AX36" s="44" t="inlineStr">
        <is>
          <t>No published route ridership: 2019-2020 relaunch died in Covid (free first month, PNA Dec 2019); no MARINA/PPA route-level count found for any operating year; 2025 'water jeepney' route still pre-launch.</t>
        </is>
      </c>
    </row>
    <row r="37">
      <c r="A37" s="29" t="inlineStr">
        <is>
          <t>Philippines</t>
        </is>
      </c>
      <c r="B37" s="29" t="inlineStr">
        <is>
          <t>Philippines</t>
        </is>
      </c>
      <c r="C37" s="30" t="inlineStr">
        <is>
          <t>Manila (SM MOA Esplanade) → Camaya Coast / Orion (Bataan)</t>
        </is>
      </c>
      <c r="D37" s="31" t="n">
        <v>22</v>
      </c>
      <c r="E37" s="26" t="n">
        <v>18</v>
      </c>
      <c r="F37" s="32" t="inlineStr">
        <is>
          <t>T3</t>
        </is>
      </c>
      <c r="G37" s="32" t="inlineStr">
        <is>
          <t>med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MIN(15,FLOOR(60*service_hr/J37,1))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/>
      <c r="AH37" s="32" t="inlineStr">
        <is>
          <t>T2</t>
        </is>
      </c>
      <c r="AI37" s="32" t="inlineStr">
        <is>
          <t>low</t>
        </is>
      </c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inlineStr">
        <is>
          <t>Two real per-seat products: (1) 1Bataan Integrated Transport System (1BITS) public fastcraft Manila CCP&lt;-&gt;Capinpin Orion: PHP499 walk-in / PHP249 online promo per way (lakwatsero.com + 1bataanits.ph, Jun 2025); single class, 108-seat HK-Macau-style fastcraft, 1h30m. (2) Camaya Coast resort scheduled ferry day-tour packages (resort's own ferry, CCP terminal): weekday PHP1,399-1,449/pax, weekend PHP2,399-2,499/pax incl RT ferry + resort day access (FB group rate card 2025); 2026 vlog shows PHP999 day tour w/ ferry. Resort day access alone (own vehicle) = PHP299 (camayacoast.com).</t>
        </is>
      </c>
      <c r="AX37" s="44" t="inlineStr">
        <is>
          <t>PPA 2024 Passenger Statistics Summary (ppa.com.ph qtr_stat, prelim): TMO Orion / OTP Orion = 0 passengers recorded for 2024. 1BITS service is intermittent: relaunched Jun 13 2025 (2 RT/day, 108 seats), suspended again since Nov 2025 until further notice (iamtravelinglight.com note; 1Bataan FB advisories). Camaya Coast resort-ferry volumes unpublished.</t>
        </is>
      </c>
    </row>
    <row r="38">
      <c r="A38" s="29" t="inlineStr">
        <is>
          <t>Philippines</t>
        </is>
      </c>
      <c r="B38" s="29" t="inlineStr">
        <is>
          <t>Philippines</t>
        </is>
      </c>
      <c r="C38" s="30" t="inlineStr">
        <is>
          <t>Manila (CCP / Esplanade Seaside) → Corregidor Island</t>
        </is>
      </c>
      <c r="D38" s="31" t="n">
        <v>26</v>
      </c>
      <c r="E38" s="26" t="n">
        <v>50</v>
      </c>
      <c r="F38" s="32" t="inlineStr">
        <is>
          <t>T3</t>
        </is>
      </c>
      <c r="G38" s="32" t="inlineStr">
        <is>
          <t>med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MIN(15,FLOOR(60*service_hr/J38,1))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/>
      <c r="AH38" s="32" t="inlineStr">
        <is>
          <t>T2</t>
        </is>
      </c>
      <c r="AI38" s="32" t="inlineStr">
        <is>
          <t>low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Travel and Tours Guia Del' Mar launched direct Manila (CCP)-&gt;Corregidor ferry day tour Mar 1 2026 at PHP6,850/pax (RT ferry from CCP + buffet lunch + island entrance + DOT fees; facebook.com/CorregidorIslandTour + Tripadvisor PH forum). Comparison: join-in day tour via Mariveles (Bataan) PHP4,350-4,500/pax (srvtravelservices.rezgo.com PHP4,350; timetravelturtle.com 2026 PHP4,500=$80); 'charter' tour PHP8,500/pax min 75 guests.</t>
        </is>
      </c>
      <c r="AX38" s="44" t="inlineStr">
        <is>
          <t>R10 lapsed-relaunching: Sun Cruises (sole daily operator, ~100k+ visitors/yr pre-Covid) ceased operations May 16 2020 (ABS-CBN). Island access 'fairly patchy' 2020-2025 (timetravelturtle.com); hotel + regular ferry gone. 2026: Guia Del' Mar direct Manila ferry relaunched Mar 1 2026 but on SELECT scheduled dates only (e.g. May 6, Jun 2 sailings advertised), not daily.</t>
        </is>
      </c>
    </row>
    <row r="39">
      <c r="A39" s="29" t="inlineStr">
        <is>
          <t>Philippines</t>
        </is>
      </c>
      <c r="B39" s="29" t="inlineStr">
        <is>
          <t>Philippines</t>
        </is>
      </c>
      <c r="C39" s="30" t="inlineStr">
        <is>
          <t>Cebu (Mactan) → Bohol / Panglao</t>
        </is>
      </c>
      <c r="D39" s="31" t="n">
        <v>35</v>
      </c>
      <c r="E39" s="26" t="n">
        <v>21</v>
      </c>
      <c r="F39" s="32" t="inlineStr">
        <is>
          <t>T3</t>
        </is>
      </c>
      <c r="G39" s="32" t="inlineStr">
        <is>
          <t>med-high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2000000</v>
      </c>
      <c r="AH39" s="32" t="inlineStr">
        <is>
          <t>T3</t>
        </is>
      </c>
      <c r="AI39" s="32" t="inlineStr">
        <is>
          <t>med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Premium per-seat = OceanJet Business Class fast-craft Cebu-&gt;Tagbilaran/Bohol PHP1200 ($21) vs Tourist/Open-Air PHP800 ($14). Corroborated thepinaysolobackpacker 2025 + triphappy 2026 + Klook listings. Whole-boat private charter = overclaim, excluded.</t>
        </is>
      </c>
      <c r="AX39" s="44" t="inlineStr">
        <is>
          <t>(1) Tagbilaran port profile: ~3,400,000 passengers/yr total traffic, all routes (shipnext.com/port/tagbilaran-phtag-phl, c.2024-25; port pax movements are already one-way per convention); Cebu is the dominant route (~70% of fast-craft sailings). (2) JICA Data Collection Survey on Disaster-resilient Feeder Ports (2021, https://openjicareport.jica.go.jp/pdf/12248738.pdf): Bohol sea passengers 'stable at around 1.65 million in recent years... most use Tagbilaran Port and Tubigon Port' (both = Cebu routes). (3) Live operator density: OceanJet ~12-14 round trips/day (300-400 seat fast craft), SuperCat ~5-6 RT/day, Lite Jet - Cebu-Tagbilaran is the Philippines' busiest fast-ferry corridor; pre-covid route commonly cited 2M+/yr. PPA publishes route-level pax (R3-GOLD pattern) but the 2025 PDF (ppa.com.ph qtr_stat) OCR-extracts garbled - exact PMO-Bohol line not retrievable this run; Cebu side sits under Cebu Port Authority (cpa.gov.ph), outside PPA stats.</t>
        </is>
      </c>
    </row>
    <row r="40">
      <c r="A40" s="29" t="inlineStr">
        <is>
          <t>Singapore</t>
        </is>
      </c>
      <c r="B40" s="29" t="inlineStr">
        <is>
          <t>Singapore</t>
        </is>
      </c>
      <c r="C40" s="30" t="inlineStr">
        <is>
          <t>Changi Point → Pulau Ubin (Main Jetty)</t>
        </is>
      </c>
      <c r="D40" s="31" t="n">
        <v>1.2</v>
      </c>
      <c r="E40" s="26" t="n">
        <v>8</v>
      </c>
      <c r="F40" s="32" t="inlineStr">
        <is>
          <t>T2</t>
        </is>
      </c>
      <c r="G40" s="32" t="inlineStr">
        <is>
          <t>med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MIN(15,FLOOR(60*service_hr/J40,1))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60000</v>
      </c>
      <c r="AH40" s="32" t="n"/>
      <c r="AI40" s="32" t="n"/>
      <c r="AJ40" s="39" t="n">
        <v>0.25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/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inlineStr">
        <is>
          <t>Existing bumboat Changi Point-&gt;Pulau Ubin: S$4/pax one-way (NParks official, T1). Modeled premium per-seat at ~2x bumboat (~S$11 = $8) — branded scheduled departures, zero-emission, faster turn. No private charter overclaim. R5-EXT single-class commuter market exists; premium tier is the addressable slice.</t>
        </is>
      </c>
      <c r="AX40" s="44" t="n"/>
    </row>
    <row r="41">
      <c r="A41" s="29" t="inlineStr">
        <is>
          <t>Singapore</t>
        </is>
      </c>
      <c r="B41" s="29" t="inlineStr">
        <is>
          <t>Singapore</t>
        </is>
      </c>
      <c r="C41" s="30" t="inlineStr">
        <is>
          <t>Marina Bay → Sentosa / southern islands</t>
        </is>
      </c>
      <c r="D41" s="31" t="n">
        <v>2.6</v>
      </c>
      <c r="E41" s="26" t="n">
        <v>18</v>
      </c>
      <c r="F41" s="32" t="inlineStr">
        <is>
          <t>T3</t>
        </is>
      </c>
      <c r="G41" s="32" t="inlineStr">
        <is>
          <t>med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MIN(15,FLOOR(60*service_hr/J41,1))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54000</v>
      </c>
      <c r="AH41" s="32" t="n"/>
      <c r="AI41" s="32" t="n"/>
      <c r="AJ41" s="39" t="n">
        <v>0.25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/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inlineStr">
        <is>
          <t>RE-SOURCED for the CORRECT corridor Marina South Pier -&gt; RWS/Sentosa/southern islands (prior record was sourced for a Sentosa-Cove-&gt;Lazarus/Seringat internal hop). Marina South Ferries / Singapore Island Cruise scheduled per-seat from Marina South Pier: budget open-deck island-hopping ferry ~S$18 RT (~$7 one-way) [Klook/islandcruise.com.sg]; per-seat speedboat to RWS/Ola ~$12 one-way / $18 RT (Marina South Ferries water-taxi / GetYourGuide Sentosa speedboat listings); unlimited island-hop pass ~$45/day. Whole-boat private water taxi S$80-130/trip EXCLUDED (charter overclaim). Premium per-seat one-way transfer anchored ~$18 (R1).</t>
        </is>
      </c>
      <c r="AX41" s="44" t="n"/>
    </row>
    <row r="42">
      <c r="A42" s="29" t="inlineStr">
        <is>
          <t>Singapore</t>
        </is>
      </c>
      <c r="B42" s="29" t="inlineStr">
        <is>
          <t>Singapore</t>
        </is>
      </c>
      <c r="C42" s="30" t="inlineStr">
        <is>
          <t>Sentosa Cove (ONE15 Marina) → Marina Bay (CBD)</t>
        </is>
      </c>
      <c r="D42" s="31" t="n">
        <v>3.2</v>
      </c>
      <c r="E42" s="26" t="n">
        <v>11</v>
      </c>
      <c r="F42" s="32" t="inlineStr">
        <is>
          <t>T3</t>
        </is>
      </c>
      <c r="G42" s="32" t="inlineStr">
        <is>
          <t>low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MIN(24,FLOOR(60*service_hr/J42,1))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8087</v>
      </c>
      <c r="AH42" s="32" t="n"/>
      <c r="AI42" s="32" t="n"/>
      <c r="AJ42" s="39" t="n">
        <v>1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inlineStr">
        <is>
          <t>modal_shift_greenfield</t>
        </is>
      </c>
      <c r="AS42" s="42" t="n"/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inlineStr">
        <is>
          <t>Greenfield premium resident hop (3.2nm). Taxi Sentosa Cove-&gt;CBD ~S$15-25 + Sentosa gantry charges + CBD parking S$15-30/day for self-drive. Per-seat water commute at S$15 = taxi parity per seat, wins on peak time + parking avoidance. Top of LB-97 commuter band; premium rider, short distance.</t>
        </is>
      </c>
      <c r="AX42" s="44" t="n"/>
    </row>
    <row r="43">
      <c r="A43" s="29" t="inlineStr">
        <is>
          <t>Singapore</t>
        </is>
      </c>
      <c r="B43" s="29" t="inlineStr">
        <is>
          <t>Singapore</t>
        </is>
      </c>
      <c r="C43" s="30" t="inlineStr">
        <is>
          <t>Greater Southern Waterfront (Keppel Club site) → Marina Bay (CBD)</t>
        </is>
      </c>
      <c r="D43" s="31" t="n">
        <v>3.5</v>
      </c>
      <c r="E43" s="26" t="n">
        <v>18</v>
      </c>
      <c r="F43" s="32" t="inlineStr">
        <is>
          <t>T3</t>
        </is>
      </c>
      <c r="G43" s="32" t="inlineStr">
        <is>
          <t>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MIN(24,FLOOR(60*service_hr/J43,1))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19656</v>
      </c>
      <c r="AH43" s="32" t="n"/>
      <c r="AI43" s="32" t="n"/>
      <c r="AJ43" s="39" t="n">
        <v>1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inlineStr">
        <is>
          <t>FWD-SAM (2030)</t>
        </is>
      </c>
      <c r="AR43" s="41" t="inlineStr">
        <is>
          <t>modal_shift_greenfield</t>
        </is>
      </c>
      <c r="AS43" s="42" t="n"/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inlineStr">
        <is>
          <t>[LB-255 PREMIUM RE-FARE: subsidized comparable $6 lifted to premium on-demand floor $18.0] Short-hop (3.5nm) waterfront commute, HDB-heavy future catchment (6,000 of 9,000 units are public housing) - anchored at FLOOR of LB-97 commuter band S$8-15/seat.</t>
        </is>
      </c>
      <c r="AX43" s="44" t="n"/>
    </row>
    <row r="44">
      <c r="A44" s="29" t="inlineStr">
        <is>
          <t>Singapore</t>
        </is>
      </c>
      <c r="B44" s="29" t="inlineStr">
        <is>
          <t>Singapore</t>
        </is>
      </c>
      <c r="C44" s="30" t="inlineStr">
        <is>
          <t>Marina Bay (Bayfront) → Marina Bay (Bayfront)</t>
        </is>
      </c>
      <c r="D44" s="31" t="n">
        <v>4.5</v>
      </c>
      <c r="E44" s="26" t="n">
        <v>21</v>
      </c>
      <c r="F44" s="32" t="inlineStr">
        <is>
          <t>T1</t>
        </is>
      </c>
      <c r="G44" s="32" t="inlineStr">
        <is>
          <t>high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MIN(15,FLOOR(60*service_hr/J44,1))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325000</v>
      </c>
      <c r="AH44" s="32" t="n"/>
      <c r="AI44" s="32" t="n"/>
      <c r="AJ44" s="39" t="n">
        <v>0.1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inlineStr">
        <is>
          <t>experience_upside</t>
        </is>
      </c>
      <c r="AS44" s="42" t="n"/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inlineStr">
        <is>
          <t>Same revealed anchor as grounded row: WaterB/SRC S$28 adult loop (ST 17-Mar-2025; SG Culture Pass). Incremental riders assumed to pay the SAME revealed price - no premium invented.</t>
        </is>
      </c>
      <c r="AX44" s="44" t="n"/>
    </row>
    <row r="45">
      <c r="A45" s="29" t="inlineStr">
        <is>
          <t>Singapore</t>
        </is>
      </c>
      <c r="B45" s="29" t="inlineStr">
        <is>
          <t>Singapore</t>
        </is>
      </c>
      <c r="C45" s="30" t="inlineStr">
        <is>
          <t>Clarke Quay (Singapore River) → Clarke Quay (Singapore River)</t>
        </is>
      </c>
      <c r="D45" s="31" t="n">
        <v>5</v>
      </c>
      <c r="E45" s="26" t="n">
        <v>21</v>
      </c>
      <c r="F45" s="32" t="inlineStr">
        <is>
          <t>T1</t>
        </is>
      </c>
      <c r="G45" s="32" t="inlineStr">
        <is>
          <t>high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650000</v>
      </c>
      <c r="AH45" s="32" t="n"/>
      <c r="AI45" s="32" t="n"/>
      <c r="AJ45" s="39" t="n">
        <v>0.1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/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inlineStr">
        <is>
          <t>Actual operator pricing: WaterB river cruise S$28 adult / S$18 child (Straits Times 17-Mar-2025 quoting WaterB; SG Culture Pass listing 'from $25'). SRC pricing comparable (~S$28 adult).</t>
        </is>
      </c>
      <c r="AX45" s="44" t="n"/>
    </row>
    <row r="46">
      <c r="A46" s="29" t="inlineStr">
        <is>
          <t>Singapore</t>
        </is>
      </c>
      <c r="B46" s="29" t="inlineStr">
        <is>
          <t>Singapore</t>
        </is>
      </c>
      <c r="C46" s="30" t="inlineStr">
        <is>
          <t>East Coast → Marina Bay</t>
        </is>
      </c>
      <c r="D46" s="31" t="n">
        <v>5.8</v>
      </c>
      <c r="E46" s="26" t="n">
        <v>18</v>
      </c>
      <c r="F46" s="32" t="inlineStr">
        <is>
          <t>T5</t>
        </is>
      </c>
      <c r="G46" s="32" t="inlineStr">
        <is>
          <t>low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MIN(24,FLOOR(60*service_hr/J46,1))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111000</v>
      </c>
      <c r="AH46" s="32" t="n"/>
      <c r="AI46" s="32" t="n"/>
      <c r="AJ46" s="39" t="n">
        <v>0.25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/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inlineStr">
        <is>
          <t>NO commuter ferry exists East Coast-&gt;Marina/CBD — road commute only (ECP). Singapore River taxi (Marina&lt;-&gt;Robertson Quay) is intra-river at S$3-7 (commuter single-class, no premium tier; R5-EXT). Harbour water-taxi is whole-boat charter S$80-130/trip (overclaim). Modeled premium per-seat commute fare anchored at road/Grab parity East Coast-&gt;CBD ~S$24 = ~$18.</t>
        </is>
      </c>
      <c r="AX46" s="44" t="n"/>
    </row>
    <row r="47">
      <c r="A47" s="29" t="inlineStr">
        <is>
          <t>Singapore</t>
        </is>
      </c>
      <c r="B47" s="29" t="inlineStr">
        <is>
          <t>Singapore</t>
        </is>
      </c>
      <c r="C47" s="30" t="inlineStr">
        <is>
          <t>Marine Parade / East Coast (Central Region increment) → Raffles Place / Marina Bay</t>
        </is>
      </c>
      <c r="D47" s="31" t="n">
        <v>5.8</v>
      </c>
      <c r="E47" s="26" t="n">
        <v>9</v>
      </c>
      <c r="F47" s="32" t="inlineStr">
        <is>
          <t>T3</t>
        </is>
      </c>
      <c r="G47" s="32" t="inlineStr">
        <is>
          <t>low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MIN(24,FLOOR(60*service_hr/J47,1))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5003</v>
      </c>
      <c r="AH47" s="32" t="n"/>
      <c r="AI47" s="32" t="n"/>
      <c r="AJ47" s="39" t="n">
        <v>1</v>
      </c>
      <c r="AK47" s="34">
        <f>IF(AG47="","",AG47*AJ47)</f>
        <v/>
      </c>
      <c r="AL47" s="34">
        <f>IF(OR(AG47="",R47=0),"",MIN(IF(AS47="",9.9E+99,AS47),FLOOR(AK47/R47,1)))</f>
        <v/>
      </c>
      <c r="AM47" s="38">
        <f>IF(AL47="","",AL47*T47)</f>
        <v/>
      </c>
      <c r="AN47" s="36">
        <f>IF(OR(AG47="",R47=0),"",MIN(IF(AS47="",9.9E+99,AS47),AK47/R47))</f>
        <v/>
      </c>
      <c r="AO47" s="38">
        <f>IF(AN47="","",AN47*T47)</f>
        <v/>
      </c>
      <c r="AP47" s="40" t="n"/>
      <c r="AQ47" s="41" t="n"/>
      <c r="AR47" s="41" t="inlineStr">
        <is>
          <t>modal_shift_greenfield</t>
        </is>
      </c>
      <c r="AS47" s="42" t="n"/>
      <c r="AT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U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V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W47" s="44" t="inlineStr">
        <is>
          <t>Greenfield commute hop (5.8nm). Anchored mid LB-97 commuter band S$8-15/seat. NOTE: existing row rn-82453f6cb33e on the same water path carries $18 (road-parity/Grab anchor, R14a). This modal-shift row deliberately prices a per-seat commuter tier below the road-parity premium tier - different product tier, recorded to avoid silent fare conflict.</t>
        </is>
      </c>
      <c r="AX47" s="44" t="n"/>
    </row>
    <row r="48">
      <c r="A48" s="29" t="inlineStr">
        <is>
          <t>Singapore</t>
        </is>
      </c>
      <c r="B48" s="29" t="inlineStr">
        <is>
          <t>Singapore</t>
        </is>
      </c>
      <c r="C48" s="30" t="inlineStr">
        <is>
          <t>Singapore Marina Network → On-demand water mobility</t>
        </is>
      </c>
      <c r="D48" s="31" t="n">
        <v>8</v>
      </c>
      <c r="E48" s="26" t="n">
        <v>35</v>
      </c>
      <c r="F48" s="32" t="inlineStr">
        <is>
          <t>T2</t>
        </is>
      </c>
      <c r="G48" s="32" t="inlineStr">
        <is>
          <t>med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MIN(15,FLOOR(60*service_hr/J48,1))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9900</v>
      </c>
      <c r="AH48" s="32" t="n"/>
      <c r="AI48" s="32" t="n"/>
      <c r="AJ48" s="39" t="n">
        <v>1</v>
      </c>
      <c r="AK48" s="34">
        <f>IF(AG48="","",AG48*AJ48)</f>
        <v/>
      </c>
      <c r="AL48" s="34">
        <f>IF(OR(AG48="",R48=0),"",MIN(IF(AS48="",9.9E+99,AS48),FLOOR(AK48/R48,1)))</f>
        <v/>
      </c>
      <c r="AM48" s="38">
        <f>IF(AL48="","",AL48*T48)</f>
        <v/>
      </c>
      <c r="AN48" s="36">
        <f>IF(OR(AG48="",R48=0),"",MIN(IF(AS48="",9.9E+99,AS48),AK48/R48))</f>
        <v/>
      </c>
      <c r="AO48" s="38">
        <f>IF(AN48="","",AN48*T48)</f>
        <v/>
      </c>
      <c r="AP48" s="40" t="n"/>
      <c r="AQ48" s="41" t="n"/>
      <c r="AR48" s="41" t="n"/>
      <c r="AS48" s="42" t="n"/>
      <c r="AT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U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V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W48" s="44" t="n"/>
      <c r="AX48" s="44" t="n"/>
    </row>
    <row r="49">
      <c r="A49" s="29" t="inlineStr">
        <is>
          <t>Singapore</t>
        </is>
      </c>
      <c r="B49" s="29" t="inlineStr">
        <is>
          <t>Singapore</t>
        </is>
      </c>
      <c r="C49" s="30" t="inlineStr">
        <is>
          <t>Sentosa / Keppel waterfront → Sentosa / Keppel waterfront</t>
        </is>
      </c>
      <c r="D49" s="31" t="n">
        <v>8</v>
      </c>
      <c r="E49" s="26" t="n">
        <v>95</v>
      </c>
      <c r="F49" s="32" t="inlineStr">
        <is>
          <t>T2</t>
        </is>
      </c>
      <c r="G49" s="32" t="inlineStr">
        <is>
          <t>med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MIN(15,FLOOR(60*service_hr/J49,1))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23000</v>
      </c>
      <c r="AH49" s="32" t="n"/>
      <c r="AI49" s="32" t="n"/>
      <c r="AJ49" s="39" t="n">
        <v>0.1</v>
      </c>
      <c r="AK49" s="34">
        <f>IF(AG49="","",AG49*AJ49)</f>
        <v/>
      </c>
      <c r="AL49" s="34">
        <f>IF(OR(AG49="",R49=0),"",MIN(IF(AS49="",9.9E+99,AS49),FLOOR(AK49/R49,1)))</f>
        <v/>
      </c>
      <c r="AM49" s="38">
        <f>IF(AL49="","",AL49*T49)</f>
        <v/>
      </c>
      <c r="AN49" s="36">
        <f>IF(OR(AG49="",R49=0),"",MIN(IF(AS49="",9.9E+99,AS49),AK49/R49))</f>
        <v/>
      </c>
      <c r="AO49" s="38">
        <f>IF(AN49="","",AN49*T49)</f>
        <v/>
      </c>
      <c r="AP49" s="40" t="n"/>
      <c r="AQ49" s="41" t="n"/>
      <c r="AR49" s="41" t="n"/>
      <c r="AS49" s="42" t="n"/>
      <c r="AT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U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V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W49" s="44" t="inlineStr">
        <is>
          <t>Anchored at conservative mid of the SG harbor dinner-cruise band S$80-150/seat; Royal Albatross sunset/dinner sails actually list S$150-235/seat (Klook activity 4048 / tallship.com.sg, 2025) - premium recorded in ladder, NOT used as headline. Navier 8-pax product would be drinks/canape-class, not galley-dinner-class, hence mid-band anchor.</t>
        </is>
      </c>
      <c r="AX49" s="44" t="n"/>
    </row>
    <row r="50">
      <c r="A50" s="29" t="inlineStr">
        <is>
          <t>Singapore</t>
        </is>
      </c>
      <c r="B50" s="29" t="inlineStr">
        <is>
          <t>Singapore</t>
        </is>
      </c>
      <c r="C50" s="30" t="inlineStr">
        <is>
          <t>Jurong / West Coast (West Coast Pier catchment) → HarbourFront / Marina Bay</t>
        </is>
      </c>
      <c r="D50" s="31" t="n">
        <v>9.5</v>
      </c>
      <c r="E50" s="26" t="n">
        <v>10</v>
      </c>
      <c r="F50" s="32" t="inlineStr">
        <is>
          <t>T3</t>
        </is>
      </c>
      <c r="G50" s="32" t="inlineStr">
        <is>
          <t>low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MIN(24,FLOOR(60*service_hr/J50,1))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20557</v>
      </c>
      <c r="AH50" s="32" t="n"/>
      <c r="AI50" s="32" t="n"/>
      <c r="AJ50" s="39" t="n">
        <v>1</v>
      </c>
      <c r="AK50" s="34">
        <f>IF(AG50="","",AG50*AJ50)</f>
        <v/>
      </c>
      <c r="AL50" s="34">
        <f>IF(OR(AG50="",R50=0),"",MIN(IF(AS50="",9.9E+99,AS50),FLOOR(AK50/R50,1)))</f>
        <v/>
      </c>
      <c r="AM50" s="38">
        <f>IF(AL50="","",AL50*T50)</f>
        <v/>
      </c>
      <c r="AN50" s="36">
        <f>IF(OR(AG50="",R50=0),"",MIN(IF(AS50="",9.9E+99,AS50),AK50/R50))</f>
        <v/>
      </c>
      <c r="AO50" s="38">
        <f>IF(AN50="","",AN50*T50)</f>
        <v/>
      </c>
      <c r="AP50" s="40" t="n"/>
      <c r="AQ50" s="41" t="n"/>
      <c r="AR50" s="41" t="inlineStr">
        <is>
          <t>modal_shift_greenfield</t>
        </is>
      </c>
      <c r="AS50" s="42" t="n"/>
      <c r="AT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U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V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W50" s="44" t="inlineStr">
        <is>
          <t>Greenfield commute (9.5nm). Anchored upper-mid LB-97 commuter band S$8-15/seat; Grab Jurong-&gt;CBD ~S$22-32 peak; MRT EW-line S$2.10. Per-seat premium commute ~half solo ride-hail.</t>
        </is>
      </c>
      <c r="AX50" s="44" t="n"/>
    </row>
    <row r="51">
      <c r="A51" s="29" t="inlineStr">
        <is>
          <t>Cross-Border</t>
        </is>
      </c>
      <c r="B51" s="29" t="inlineStr">
        <is>
          <t>Singapore</t>
        </is>
      </c>
      <c r="C51" s="30" t="inlineStr">
        <is>
          <t>Singapore → Batam (Harbour Bay / Nongsa)</t>
        </is>
      </c>
      <c r="D51" s="31" t="n">
        <v>13</v>
      </c>
      <c r="E51" s="26" t="n">
        <v>57</v>
      </c>
      <c r="F51" s="32" t="inlineStr">
        <is>
          <t>T3</t>
        </is>
      </c>
      <c r="G51" s="32" t="inlineStr">
        <is>
          <t>med-high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MIN(15,FLOOR(60*service_hr/J51,1))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350000</v>
      </c>
      <c r="AH51" s="32" t="n"/>
      <c r="AI51" s="32" t="n"/>
      <c r="AJ51" s="39" t="n">
        <v>0.25</v>
      </c>
      <c r="AK51" s="34">
        <f>IF(AG51="","",AG51*AJ51)</f>
        <v/>
      </c>
      <c r="AL51" s="34">
        <f>IF(OR(AG51="",R51=0),"",MIN(IF(AS51="",9.9E+99,AS51),FLOOR(AK51/R51,1)))</f>
        <v/>
      </c>
      <c r="AM51" s="38">
        <f>IF(AL51="","",AL51*T51)</f>
        <v/>
      </c>
      <c r="AN51" s="36">
        <f>IF(OR(AG51="",R51=0),"",MIN(IF(AS51="",9.9E+99,AS51),AK51/R51))</f>
        <v/>
      </c>
      <c r="AO51" s="38">
        <f>IF(AN51="","",AN51*T51)</f>
        <v/>
      </c>
      <c r="AP51" s="40" t="n"/>
      <c r="AQ51" s="41" t="n"/>
      <c r="AR51" s="41" t="n"/>
      <c r="AS51" s="42" t="n"/>
      <c r="AT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U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V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W51" s="44" t="inlineStr">
        <is>
          <t>Fare ladder Singapore↔Batam: budget SGD28 (Sindo, HarbourFront→Batam Centre); standard SGD40-43 (BatamFast/Majestic, Batam Centre/Harbour Bay); PREMIUM resort-transfer SGD~73 (BatamFast Tanah Merah→Nongsapura serving Nongsa premium resort zone: Montigo, Turi Beach — real bookings Lemon8 ~SGD73, Rome2Rio Rp430k-650k, DirectFerries from SGD33-35).</t>
        </is>
      </c>
      <c r="AX51" s="44" t="n"/>
    </row>
    <row r="52">
      <c r="A52" s="29" t="inlineStr">
        <is>
          <t>Singapore</t>
        </is>
      </c>
      <c r="B52" s="29" t="inlineStr">
        <is>
          <t>Singapore</t>
        </is>
      </c>
      <c r="C52" s="30" t="inlineStr">
        <is>
          <t>Marina Bay → Changi Point / Pulau Ubin</t>
        </is>
      </c>
      <c r="D52" s="31" t="n">
        <v>14.2</v>
      </c>
      <c r="E52" s="26" t="n">
        <v>28</v>
      </c>
      <c r="F52" s="32" t="inlineStr">
        <is>
          <t>T5</t>
        </is>
      </c>
      <c r="G52" s="32" t="inlineStr">
        <is>
          <t>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MIN(15,FLOOR(60*service_hr/J52,1))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30000</v>
      </c>
      <c r="AH52" s="32" t="n"/>
      <c r="AI52" s="32" t="n"/>
      <c r="AJ52" s="39" t="n">
        <v>0.25</v>
      </c>
      <c r="AK52" s="34">
        <f>IF(AG52="","",AG52*AJ52)</f>
        <v/>
      </c>
      <c r="AL52" s="34">
        <f>IF(OR(AG52="",R52=0),"",MIN(IF(AS52="",9.9E+99,AS52),FLOOR(AK52/R52,1)))</f>
        <v/>
      </c>
      <c r="AM52" s="38">
        <f>IF(AL52="","",AL52*T52)</f>
        <v/>
      </c>
      <c r="AN52" s="36">
        <f>IF(OR(AG52="",R52=0),"",MIN(IF(AS52="",9.9E+99,AS52),AK52/R52))</f>
        <v/>
      </c>
      <c r="AO52" s="38">
        <f>IF(AN52="","",AN52*T52)</f>
        <v/>
      </c>
      <c r="AP52" s="40" t="n"/>
      <c r="AQ52" s="41" t="n"/>
      <c r="AR52" s="41" t="n"/>
      <c r="AS52" s="42" t="n"/>
      <c r="AT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U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V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W52" s="44" t="inlineStr">
        <is>
          <t>Only existing boat is the Changi Point-&gt;Pulau Ubin bumboat: S$4/pax one-way (NParks official, T1) — budget single-class, no premium tier. No direct Marina Bay-&gt;Changi/Ubin boat (14nm long leg is greenfield). Private Ubin boat tours/charters $91-297/group = whole-boat (overclaim). Modeled premium per-seat one-way for the 14nm Marina Bay hop ~$28 (above bumboat budget, below charter).</t>
        </is>
      </c>
      <c r="AX52" s="44" t="n"/>
    </row>
    <row r="53">
      <c r="A53" s="29" t="inlineStr">
        <is>
          <t>Singapore</t>
        </is>
      </c>
      <c r="B53" s="29" t="inlineStr">
        <is>
          <t>Singapore</t>
        </is>
      </c>
      <c r="C53" s="30" t="inlineStr">
        <is>
          <t>Changi Airport (via Changi Point pier access) → Marina Bay (CBD / hotel belt)</t>
        </is>
      </c>
      <c r="D53" s="31" t="n">
        <v>16</v>
      </c>
      <c r="E53" s="26" t="n">
        <v>30</v>
      </c>
      <c r="F53" s="32" t="inlineStr">
        <is>
          <t>T2</t>
        </is>
      </c>
      <c r="G53" s="32" t="inlineStr">
        <is>
          <t>med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MIN(24,FLOOR(60*service_hr/J53,1))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18370</v>
      </c>
      <c r="AH53" s="32" t="n"/>
      <c r="AI53" s="32" t="n"/>
      <c r="AJ53" s="39" t="n">
        <v>1</v>
      </c>
      <c r="AK53" s="34">
        <f>IF(AG53="","",AG53*AJ53)</f>
        <v/>
      </c>
      <c r="AL53" s="34">
        <f>IF(OR(AG53="",R53=0),"",MIN(IF(AS53="",9.9E+99,AS53),FLOOR(AK53/R53,1)))</f>
        <v/>
      </c>
      <c r="AM53" s="38">
        <f>IF(AL53="","",AL53*T53)</f>
        <v/>
      </c>
      <c r="AN53" s="36">
        <f>IF(OR(AG53="",R53=0),"",MIN(IF(AS53="",9.9E+99,AS53),AK53/R53))</f>
        <v/>
      </c>
      <c r="AO53" s="38">
        <f>IF(AN53="","",AN53*T53)</f>
        <v/>
      </c>
      <c r="AP53" s="40" t="n"/>
      <c r="AQ53" s="41" t="n"/>
      <c r="AR53" s="41" t="inlineStr">
        <is>
          <t>modal_shift_greenfield</t>
        </is>
      </c>
      <c r="AS53" s="42" t="n"/>
      <c r="AT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U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V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W53" s="44" t="inlineStr">
        <is>
          <t>Anchored within LB-97 premium band S$35-50/seat: metered taxi Changi-&gt;Marina Bay S$20-35 / US$19-24 fastest mode (Rome2Rio 2025; limofahr 2023 range SGD20-65 with surcharges); booked private transfer from US$29.65 for 2 pax i.e. ~S$40+/vehicle (Klook airport-transfer listings 2025). Per-seat premium water arrival at S$40 = above solo taxi, at booked-limo parity - priced for experience, not parity (corridor loses on raw time).</t>
        </is>
      </c>
      <c r="AX53" s="44" t="n"/>
    </row>
    <row r="54">
      <c r="A54" s="29" t="inlineStr">
        <is>
          <t>Singapore</t>
        </is>
      </c>
      <c r="B54" s="29" t="inlineStr">
        <is>
          <t>Singapore</t>
        </is>
      </c>
      <c r="C54" s="30" t="inlineStr">
        <is>
          <t>Punggol (Punggol Point / Marina Country Club) → Marina Bay (CBD)</t>
        </is>
      </c>
      <c r="D54" s="31" t="n">
        <v>17</v>
      </c>
      <c r="E54" s="26" t="n">
        <v>11</v>
      </c>
      <c r="F54" s="32" t="inlineStr">
        <is>
          <t>T3</t>
        </is>
      </c>
      <c r="G54" s="32" t="inlineStr">
        <is>
          <t>low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MIN(24,FLOOR(60*service_hr/J54,1))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15199</v>
      </c>
      <c r="AH54" s="32" t="n"/>
      <c r="AI54" s="32" t="n"/>
      <c r="AJ54" s="39" t="n">
        <v>1</v>
      </c>
      <c r="AK54" s="34">
        <f>IF(AG54="","",AG54*AJ54)</f>
        <v/>
      </c>
      <c r="AL54" s="34">
        <f>IF(OR(AG54="",R54=0),"",MIN(IF(AS54="",9.9E+99,AS54),FLOOR(AK54/R54,1)))</f>
        <v/>
      </c>
      <c r="AM54" s="38">
        <f>IF(AL54="","",AL54*T54)</f>
        <v/>
      </c>
      <c r="AN54" s="36">
        <f>IF(OR(AG54="",R54=0),"",MIN(IF(AS54="",9.9E+99,AS54),AK54/R54))</f>
        <v/>
      </c>
      <c r="AO54" s="38">
        <f>IF(AN54="","",AN54*T54)</f>
        <v/>
      </c>
      <c r="AP54" s="40" t="n"/>
      <c r="AQ54" s="41" t="n"/>
      <c r="AR54" s="41" t="inlineStr">
        <is>
          <t>modal_shift_greenfield</t>
        </is>
      </c>
      <c r="AS54" s="42" t="n"/>
      <c r="AT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U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V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W54" s="44" t="inlineStr">
        <is>
          <t>NO water service exists Punggol-&gt;CBD (greenfield). Anchored at top of LB-97 commuter band (S$8-15/seat): 17nm is the longest modal-shift run; Grab/taxi Punggol-&gt;CBD ~S$28-40 peak (ride-hail apps, 2025); MRT NE-line S$2.20. Per-seat premium commute positioned ~half of solo ride-hail, ~7x MRT.</t>
        </is>
      </c>
      <c r="AX54" s="44" t="n"/>
    </row>
    <row r="55">
      <c r="A55" s="29" t="inlineStr">
        <is>
          <t>Singapore</t>
        </is>
      </c>
      <c r="B55" s="29" t="inlineStr">
        <is>
          <t>Singapore</t>
        </is>
      </c>
      <c r="C55" s="30" t="inlineStr">
        <is>
          <t>Marina South Pier → Pulau Ubin Jetty</t>
        </is>
      </c>
      <c r="D55" s="31" t="n">
        <v>20.45</v>
      </c>
      <c r="E55" s="26" t="n">
        <v>18</v>
      </c>
      <c r="F55" s="32" t="inlineStr">
        <is>
          <t>T3</t>
        </is>
      </c>
      <c r="G55" s="32" t="inlineStr">
        <is>
          <t>med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MIN(15,FLOOR(60*service_hr/J55,1))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105000</v>
      </c>
      <c r="AH55" s="32" t="n"/>
      <c r="AI55" s="32" t="n"/>
      <c r="AJ55" s="39" t="n">
        <v>0.25</v>
      </c>
      <c r="AK55" s="34">
        <f>IF(AG55="","",AG55*AJ55)</f>
        <v/>
      </c>
      <c r="AL55" s="34">
        <f>IF(OR(AG55="",R55=0),"",MIN(IF(AS55="",9.9E+99,AS55),FLOOR(AK55/R55,1)))</f>
        <v/>
      </c>
      <c r="AM55" s="38">
        <f>IF(AL55="","",AL55*T55)</f>
        <v/>
      </c>
      <c r="AN55" s="36">
        <f>IF(OR(AG55="",R55=0),"",MIN(IF(AS55="",9.9E+99,AS55),AK55/R55))</f>
        <v/>
      </c>
      <c r="AO55" s="38">
        <f>IF(AN55="","",AN55*T55)</f>
        <v/>
      </c>
      <c r="AP55" s="40" t="n"/>
      <c r="AQ55" s="41" t="n"/>
      <c r="AR55" s="41" t="n"/>
      <c r="AS55" s="42" t="n"/>
      <c r="AT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U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V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W55" s="44" t="n"/>
      <c r="AX55" s="44" t="n"/>
    </row>
    <row r="56">
      <c r="A56" s="29" t="inlineStr">
        <is>
          <t>Cross-Border</t>
        </is>
      </c>
      <c r="B56" s="29" t="inlineStr">
        <is>
          <t>Singapore</t>
        </is>
      </c>
      <c r="C56" s="30" t="inlineStr">
        <is>
          <t>Singapore → Bintan (Lagoi resort zone)</t>
        </is>
      </c>
      <c r="D56" s="31" t="n">
        <v>21.9</v>
      </c>
      <c r="E56" s="26" t="n">
        <v>69</v>
      </c>
      <c r="F56" s="32" t="inlineStr">
        <is>
          <t>T1</t>
        </is>
      </c>
      <c r="G56" s="32" t="inlineStr">
        <is>
          <t>high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MIN(15,FLOOR(60*service_hr/J56,1))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150000</v>
      </c>
      <c r="AH56" s="32" t="n"/>
      <c r="AI56" s="32" t="n"/>
      <c r="AJ56" s="39" t="n">
        <v>0.25</v>
      </c>
      <c r="AK56" s="34">
        <f>IF(AG56="","",AG56*AJ56)</f>
        <v/>
      </c>
      <c r="AL56" s="34">
        <f>IF(OR(AG56="",R56=0),"",MIN(IF(AS56="",9.9E+99,AS56),FLOOR(AK56/R56,1)))</f>
        <v/>
      </c>
      <c r="AM56" s="38">
        <f>IF(AL56="","",AL56*T56)</f>
        <v/>
      </c>
      <c r="AN56" s="36">
        <f>IF(OR(AG56="",R56=0),"",MIN(IF(AS56="",9.9E+99,AS56),AK56/R56))</f>
        <v/>
      </c>
      <c r="AO56" s="38">
        <f>IF(AN56="","",AN56*T56)</f>
        <v/>
      </c>
      <c r="AP56" s="40" t="n"/>
      <c r="AQ56" s="41" t="n"/>
      <c r="AR56" s="41" t="n"/>
      <c r="AS56" s="42" t="n"/>
      <c r="AT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U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V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W56" s="44" t="inlineStr">
        <is>
          <t>Bintan Resort Ferries (BRF, official) Tanah Merah↔Bandar Bentan Telani (Lagoi resort zone), fares eff. 12 Mar 2026: Economy one-way SGD62 adult; EMERALD CLASS one-way SGD89 adult (premium per-seat tier, incl levies). 3rd-party budget listings from SGD53. Charter = 180-270 pax whole vessel (excluded, R1).</t>
        </is>
      </c>
      <c r="AX56" s="44" t="n"/>
    </row>
    <row r="57">
      <c r="A57" s="29" t="inlineStr">
        <is>
          <t>Cross-Border</t>
        </is>
      </c>
      <c r="B57" s="29" t="inlineStr">
        <is>
          <t>Singapore</t>
        </is>
      </c>
      <c r="C57" s="30" t="inlineStr">
        <is>
          <t>Singapore → Desaru Coast / Johor</t>
        </is>
      </c>
      <c r="D57" s="31" t="n">
        <v>29.5</v>
      </c>
      <c r="E57" s="26" t="n">
        <v>47</v>
      </c>
      <c r="F57" s="32" t="inlineStr">
        <is>
          <t>T3</t>
        </is>
      </c>
      <c r="G57" s="32" t="inlineStr">
        <is>
          <t>med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MIN(15,FLOOR(60*service_hr/J57,1))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22500</v>
      </c>
      <c r="AH57" s="32" t="n"/>
      <c r="AI57" s="32" t="n"/>
      <c r="AJ57" s="39" t="n">
        <v>0.25</v>
      </c>
      <c r="AK57" s="34">
        <f>IF(AG57="","",AG57*AJ57)</f>
        <v/>
      </c>
      <c r="AL57" s="34">
        <f>IF(OR(AG57="",R57=0),"",MIN(IF(AS57="",9.9E+99,AS57),FLOOR(AK57/R57,1)))</f>
        <v/>
      </c>
      <c r="AM57" s="38">
        <f>IF(AL57="","",AL57*T57)</f>
        <v/>
      </c>
      <c r="AN57" s="36">
        <f>IF(OR(AG57="",R57=0),"",MIN(IF(AS57="",9.9E+99,AS57),AK57/R57))</f>
        <v/>
      </c>
      <c r="AO57" s="38">
        <f>IF(AN57="","",AN57*T57)</f>
        <v/>
      </c>
      <c r="AP57" s="40" t="n"/>
      <c r="AQ57" s="41" t="n"/>
      <c r="AR57" s="41" t="n"/>
      <c r="AS57" s="42" t="n"/>
      <c r="AT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U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V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W57" s="44" t="inlineStr">
        <is>
          <t>Tanah Merah↔Desaru Coast ferry (BatamFast). Fare ladder: promo/budget SGD26 (busonlineticket); standard one-way SGD50 (Traveloka); full published one-way ~SGD58-70 (redBus 'from SGD70', instarem breakdown base SGD68). Single operator, essentially single-class fast ferry serving Desaru Coast luxury resorts (One&amp;Only, Anantara, Westin). Whole-vessel charter excluded (150-338 pax ferries).</t>
        </is>
      </c>
      <c r="AX57" s="44" t="n"/>
    </row>
    <row r="58">
      <c r="A58" s="29" t="inlineStr">
        <is>
          <t>Taiwan</t>
        </is>
      </c>
      <c r="B58" s="29" t="inlineStr">
        <is>
          <t>Taiwan</t>
        </is>
      </c>
      <c r="C58" s="30" t="inlineStr">
        <is>
          <t>Magong (Penghu) → Penghu inter-island (Xiyu / Baisha loop)</t>
        </is>
      </c>
      <c r="D58" s="31" t="n">
        <v>12</v>
      </c>
      <c r="E58" s="26" t="n">
        <v>38.7</v>
      </c>
      <c r="F58" s="32" t="inlineStr">
        <is>
          <t>T3</t>
        </is>
      </c>
      <c r="G58" s="32" t="inlineStr">
        <is>
          <t>med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MIN(15,FLOOR(60*service_hr/J58,1))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19226</v>
      </c>
      <c r="AH58" s="32" t="inlineStr">
        <is>
          <t>T2</t>
        </is>
      </c>
      <c r="AI58" s="32" t="inlineStr">
        <is>
          <t>low</t>
        </is>
      </c>
      <c r="AJ58" s="39" t="n">
        <v>0.1</v>
      </c>
      <c r="AK58" s="34">
        <f>IF(AG58="","",AG58*AJ58)</f>
        <v/>
      </c>
      <c r="AL58" s="34">
        <f>IF(OR(AG58="",R58=0),"",MIN(IF(AS58="",9.9E+99,AS58),FLOOR(AK58/R58,1)))</f>
        <v/>
      </c>
      <c r="AM58" s="38">
        <f>IF(AL58="","",AL58*T58)</f>
        <v/>
      </c>
      <c r="AN58" s="36">
        <f>IF(OR(AG58="",R58=0),"",MIN(IF(AS58="",9.9E+99,AS58),AK58/R58))</f>
        <v/>
      </c>
      <c r="AO58" s="38">
        <f>IF(AN58="","",AN58*T58)</f>
        <v/>
      </c>
      <c r="AP58" s="40" t="n"/>
      <c r="AQ58" s="41" t="n"/>
      <c r="AR58" s="41" t="n"/>
      <c r="AS58" s="42" t="n"/>
      <c r="AT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U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V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W58" s="44" t="inlineStr">
        <is>
          <t>Liquid per-seat island-hop market on Klook/KKday/agencies: Penghu North-Sea island-hopping day cruise (北海跳島一日遊 - cross-sea bridge, Tiejian islet seabird cruise, Jibei landing; Xinyang speedboat from Guangzheng pier) NT$1,250-1,300/pax (play88go/Klook 55995); East-Sea day tours (員貝/澎澎灘, lobster/oyster experience) ~NT$1,000-1,300 (KKday); KKday 澎湖跳島一日遊 from NT$1,300. Transport-only floor: Chikan(Baisha)-Jibei speedboat NT$450 RT (~NT$225/leg, seasonal, Qifeng/New North Sea boats); bundles boat+scooter+activity NT$599-759 (ezpenghu).</t>
        </is>
      </c>
      <c r="AX58" s="44" t="inlineStr">
        <is>
          <t>Penghu County Govt / Tourism Administration scenic-stats bulletin (DGBAS form 20702-01-01, Dec-2025 cumulative): North Sea Visitor Center &amp; surrounds (北海遊客中心及周邊地區, Chikan/Baisha - departure point for Jibei/Mudou north-sea boats) 19,226 visitors in 2025. CAVEAT: center under reconstruction since Oct-2023 (services moved to Houliao temporary center) -&gt; material under-count; trade sources describe 'thousands daily' into Jibei in peak season historically.</t>
        </is>
      </c>
    </row>
    <row r="59">
      <c r="A59" s="29" t="inlineStr">
        <is>
          <t>Taiwan</t>
        </is>
      </c>
      <c r="B59" s="29" t="inlineStr">
        <is>
          <t>Taiwan</t>
        </is>
      </c>
      <c r="C59" s="30" t="inlineStr">
        <is>
          <t>Magong (Penghu) → Penghu outer islands (Qimei / Wang'an)</t>
        </is>
      </c>
      <c r="D59" s="31" t="n">
        <v>23.12</v>
      </c>
      <c r="E59" s="26" t="n">
        <v>15</v>
      </c>
      <c r="F59" s="32" t="inlineStr">
        <is>
          <t>T1</t>
        </is>
      </c>
      <c r="G59" s="32" t="inlineStr">
        <is>
          <t>med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MIN(15,FLOOR(60*service_hr/J59,1))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>
        <v>176528</v>
      </c>
      <c r="AH59" s="32" t="inlineStr">
        <is>
          <t>T2</t>
        </is>
      </c>
      <c r="AI59" s="32" t="inlineStr">
        <is>
          <t>med-low</t>
        </is>
      </c>
      <c r="AJ59" s="39" t="n">
        <v>0.1</v>
      </c>
      <c r="AK59" s="34">
        <f>IF(AG59="","",AG59*AJ59)</f>
        <v/>
      </c>
      <c r="AL59" s="34">
        <f>IF(OR(AG59="",R59=0),"",MIN(IF(AS59="",9.9E+99,AS59),FLOOR(AK59/R59,1)))</f>
        <v/>
      </c>
      <c r="AM59" s="38">
        <f>IF(AL59="","",AL59*T59)</f>
        <v/>
      </c>
      <c r="AN59" s="36">
        <f>IF(OR(AG59="",R59=0),"",MIN(IF(AS59="",9.9E+99,AS59),AK59/R59))</f>
        <v/>
      </c>
      <c r="AO59" s="38">
        <f>IF(AN59="","",AN59*T59)</f>
        <v/>
      </c>
      <c r="AP59" s="40" t="n"/>
      <c r="AQ59" s="41" t="n"/>
      <c r="AR59" s="41" t="n"/>
      <c r="AS59" s="42" t="n"/>
      <c r="AT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U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V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W59" s="44" t="inlineStr">
        <is>
          <t>Penghu NSA / 公車處 official one-way fares: Magong-&gt;Qimei NT$437/person, Magong-&gt;Wang'an NT$272/person (public 交通船). Private fast 快艇 / island-hop day tours run NT$709-900 incl scooter (ezpenghu, EIT, goplay). Premium per-seat fast-boat transfer on the 18nm Magong-&gt;Qimei leg ~NT$485 (~$15).</t>
        </is>
      </c>
      <c r="AX59" s="44" t="inlineStr">
        <is>
          <t>Penghu County Govt / Tourism Administration scenic-stats monthly bulletin (DGBAS form 20702-01-01, Dec-2025 cumulative): South Sea Visitor Center &amp; surrounds (南海遊客中心及周邊地區 - the Magong departure terminal for all Qimei/Wang'an/Tongpan/Hujing tourist boats) 176,528 visitors in 2025. Cross-refs same table: Wang'an scenic area 20,054, Qimei scenic area 10,808 (on-island spot counters, likely under-count). Historic: South Sea VC ~393k/yr in 2014 (county bulletin 104-04) - pool roughly halved over a decade.</t>
        </is>
      </c>
    </row>
    <row r="60">
      <c r="A60" s="29" t="inlineStr">
        <is>
          <t>Taiwan</t>
        </is>
      </c>
      <c r="B60" s="29" t="inlineStr">
        <is>
          <t>Taiwan</t>
        </is>
      </c>
      <c r="C60" s="30" t="inlineStr">
        <is>
          <t>Budai (Chiayi) → Magong (Penghu)</t>
        </is>
      </c>
      <c r="D60" s="31" t="n">
        <v>33</v>
      </c>
      <c r="E60" s="26" t="n">
        <v>31.6</v>
      </c>
      <c r="F60" s="32" t="inlineStr">
        <is>
          <t>T1</t>
        </is>
      </c>
      <c r="G60" s="32" t="inlineStr">
        <is>
          <t>med-high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MIN(15,FLOOR(60*service_hr/J60,1))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500342</v>
      </c>
      <c r="AH60" s="32" t="inlineStr">
        <is>
          <t>T2</t>
        </is>
      </c>
      <c r="AI60" s="32" t="inlineStr">
        <is>
          <t>high</t>
        </is>
      </c>
      <c r="AJ60" s="39" t="n">
        <v>0.1</v>
      </c>
      <c r="AK60" s="34">
        <f>IF(AG60="","",AG60*AJ60)</f>
        <v/>
      </c>
      <c r="AL60" s="34">
        <f>IF(OR(AG60="",R60=0),"",MIN(IF(AS60="",9.9E+99,AS60),FLOOR(AK60/R60,1)))</f>
        <v/>
      </c>
      <c r="AM60" s="38">
        <f>IF(AL60="","",AL60*T60)</f>
        <v/>
      </c>
      <c r="AN60" s="36">
        <f>IF(OR(AG60="",R60=0),"",MIN(IF(AS60="",9.9E+99,AS60),AK60/R60))</f>
        <v/>
      </c>
      <c r="AO60" s="38">
        <f>IF(AN60="","",AN60*T60)</f>
        <v/>
      </c>
      <c r="AP60" s="40" t="n"/>
      <c r="AQ60" s="41" t="n"/>
      <c r="AR60" s="41" t="n"/>
      <c r="AS60" s="42" t="n"/>
      <c r="AT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U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V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W60" s="44" t="inlineStr">
        <is>
          <t>Baili Shipping (百麗航運/Pescadores Ferry, 'Clouded Leopard 雲豹' &amp; 'Blue Magpie 藍鵲' fast catamarans) official 2026 (ROC115) tariff, pescadoresferry.com.tw: BUSINESS class (商務艙) Budai-&gt;Magong NT$1,020 one-way (RT NT$2,340 list / NT$1,989 web); economy NT$850 one-way (RT NT$1,950/NT$1,658). Joint fleet (All Star 滿天星, Triumph 凱旋, Taiji Star 太吉之星) standard single-class NT$1,000 one-way, 80-90 min (Penghu NSA English fare page, trip.com, taijistar.com.tw). KKday/Klook live listings from NT$730+.</t>
        </is>
      </c>
      <c r="AX60" s="44" t="inlineStr">
        <is>
          <t>Taiwan International Ports Corp (TIPC) Budai Harbor Office official counts - Budai port passengers are ~all Budai-Magong domestic ferry: 2025 season 500,342 in/out pax (udn citing TIPC); 2024 season 523,772 (LTN); 2023 record 619,000+ (MOTC press: 'historic high 61.9萬人次'); pre-Covid 2019 590,158 (TIPC kh.twport.com.tw table). TIPC 2036 forecast 594k/yr.</t>
        </is>
      </c>
    </row>
    <row r="61">
      <c r="A61" s="29" t="inlineStr">
        <is>
          <t>Bangkok</t>
        </is>
      </c>
      <c r="B61" s="29" t="inlineStr">
        <is>
          <t>Thailand</t>
        </is>
      </c>
      <c r="C61" s="30" t="inlineStr">
        <is>
          <t>Sathorn (Central) Pier → Phra Arthit Pier</t>
        </is>
      </c>
      <c r="D61" s="31" t="n">
        <v>2.9</v>
      </c>
      <c r="E61" s="26" t="n">
        <v>18</v>
      </c>
      <c r="F61" s="32" t="inlineStr">
        <is>
          <t>T1</t>
        </is>
      </c>
      <c r="G61" s="32" t="inlineStr">
        <is>
          <t>high</t>
        </is>
      </c>
      <c r="H61" s="19" t="n">
        <v>1</v>
      </c>
      <c r="I61" s="33">
        <f>60*D61/cruise_kt</f>
        <v/>
      </c>
      <c r="J61" s="33">
        <f>I61+turn_min+dwell_min</f>
        <v/>
      </c>
      <c r="K61" s="34">
        <f>MIN(15,FLOOR(60*service_hr/J61,1))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1100000</v>
      </c>
      <c r="AH61" s="32" t="n"/>
      <c r="AI61" s="32" t="n"/>
      <c r="AJ61" s="39" t="n">
        <v>0.1</v>
      </c>
      <c r="AK61" s="34">
        <f>IF(AG61="","",AG61*AJ61)</f>
        <v/>
      </c>
      <c r="AL61" s="34">
        <f>IF(OR(AG61="",R61=0),"",MIN(IF(AS61="",9.9E+99,AS61),FLOOR(AK61/R61,1)))</f>
        <v/>
      </c>
      <c r="AM61" s="38">
        <f>IF(AL61="","",AL61*T61)</f>
        <v/>
      </c>
      <c r="AN61" s="36">
        <f>IF(OR(AG61="",R61=0),"",MIN(IF(AS61="",9.9E+99,AS61),AK61/R61))</f>
        <v/>
      </c>
      <c r="AO61" s="38">
        <f>IF(AN61="","",AN61*T61)</f>
        <v/>
      </c>
      <c r="AP61" s="40" t="n"/>
      <c r="AQ61" s="41" t="n"/>
      <c r="AR61" s="41" t="n"/>
      <c r="AS61" s="42" t="n"/>
      <c r="AT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U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V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W61" s="44" t="inlineStr">
        <is>
          <t>[LB-255 PREMIUM RE-FARE: subsidized comparable $4.4 lifted to premium on-demand floor $18.0] Operator site chaophrayatouristboat.com/tourist_boat: 'All Day River Pass 150 Baht from normal price 225 Baht'; single-journey 40 THB (from 45). Booth price 150 THB corroborated by TripAdvisor review Oct-2025.</t>
        </is>
      </c>
      <c r="AX61" s="44" t="n"/>
    </row>
    <row r="62">
      <c r="A62" s="29" t="inlineStr">
        <is>
          <t>Bangkok</t>
        </is>
      </c>
      <c r="B62" s="29" t="inlineStr">
        <is>
          <t>Thailand</t>
        </is>
      </c>
      <c r="C62" s="30" t="inlineStr">
        <is>
          <t>ICONSIAM Pier (Chao Phraya) → ICONSIAM Pier (Chao Phraya)</t>
        </is>
      </c>
      <c r="D62" s="31" t="n">
        <v>5.3</v>
      </c>
      <c r="E62" s="26" t="n">
        <v>35</v>
      </c>
      <c r="F62" s="32" t="inlineStr">
        <is>
          <t>T2</t>
        </is>
      </c>
      <c r="G62" s="32" t="inlineStr">
        <is>
          <t>med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MIN(15,FLOOR(60*service_hr/J62,1))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>
        <v>1200000</v>
      </c>
      <c r="AH62" s="32" t="n"/>
      <c r="AI62" s="32" t="n"/>
      <c r="AJ62" s="39" t="n">
        <v>0.1</v>
      </c>
      <c r="AK62" s="34">
        <f>IF(AG62="","",AG62*AJ62)</f>
        <v/>
      </c>
      <c r="AL62" s="34">
        <f>IF(OR(AG62="",R62=0),"",MIN(IF(AS62="",9.9E+99,AS62),FLOOR(AK62/R62,1)))</f>
        <v/>
      </c>
      <c r="AM62" s="38">
        <f>IF(AL62="","",AL62*T62)</f>
        <v/>
      </c>
      <c r="AN62" s="36">
        <f>IF(OR(AG62="",R62=0),"",MIN(IF(AS62="",9.9E+99,AS62),AK62/R62))</f>
        <v/>
      </c>
      <c r="AO62" s="38">
        <f>IF(AN62="","",AN62*T62)</f>
        <v/>
      </c>
      <c r="AP62" s="40" t="n"/>
      <c r="AQ62" s="41" t="n"/>
      <c r="AR62" s="41" t="n"/>
      <c r="AS62" s="42" t="n"/>
      <c r="AT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U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V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W62" s="44" t="inlineStr">
        <is>
          <t>Conservative mid of the live Jun-2026 promo band across 24 listed dinner-round products (899-2,000 THB; cluster at 1,150-1,550): click2gothailand.com top-10 guide (updated 1-Jun-2026); Bangkok Chaophraya Cruise operator site lists 1,550 THB/pax rack. Navier 8-pax product would be drinks/canape-class, not galley-buffet-class, hence mid-band anchor not premium.</t>
        </is>
      </c>
      <c r="AX62" s="44" t="n"/>
    </row>
    <row r="63">
      <c r="A63" s="29" t="inlineStr">
        <is>
          <t>Koh Samui</t>
        </is>
      </c>
      <c r="B63" s="29" t="inlineStr">
        <is>
          <t>Thailand</t>
        </is>
      </c>
      <c r="C63" s="30" t="inlineStr">
        <is>
          <t>Samui Pralarn Pier (Mae Nam) → Koh Phangan (Thong Sala) — pier-exact</t>
        </is>
      </c>
      <c r="D63" s="31" t="n">
        <v>7.5</v>
      </c>
      <c r="E63" s="26" t="n">
        <v>35</v>
      </c>
      <c r="F63" s="32" t="n"/>
      <c r="G63" s="32" t="inlineStr">
        <is>
          <t>T1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MIN(15,FLOOR(60*service_hr/J63,1))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450000</v>
      </c>
      <c r="AH63" s="32" t="inlineStr">
        <is>
          <t>T5</t>
        </is>
      </c>
      <c r="AI63" s="32" t="inlineStr">
        <is>
          <t>low-med</t>
        </is>
      </c>
      <c r="AJ63" s="39" t="n">
        <v>0.1</v>
      </c>
      <c r="AK63" s="34">
        <f>IF(AG63="","",AG63*AJ63)</f>
        <v/>
      </c>
      <c r="AL63" s="34">
        <f>IF(OR(AG63="",R63=0),"",MIN(IF(AS63="",9.9E+99,AS63),FLOOR(AK63/R63,1)))</f>
        <v/>
      </c>
      <c r="AM63" s="38">
        <f>IF(AL63="","",AL63*T63)</f>
        <v/>
      </c>
      <c r="AN63" s="36">
        <f>IF(OR(AG63="",R63=0),"",MIN(IF(AS63="",9.9E+99,AS63),AK63/R63))</f>
        <v/>
      </c>
      <c r="AO63" s="38">
        <f>IF(AN63="","",AN63*T63)</f>
        <v/>
      </c>
      <c r="AP63" s="40" t="inlineStr">
        <is>
          <t>rn-db5e83248f9d</t>
        </is>
      </c>
      <c r="AQ63" s="41" t="n"/>
      <c r="AR63" s="41" t="n"/>
      <c r="AS63" s="42" t="n"/>
      <c r="AT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U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V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W63" s="44" t="n"/>
      <c r="AX63" s="44" t="inlineStr">
        <is>
          <t>SUBSET of rn-db5e83248f9d (do not sum). Lomprayah operates the Pralarn (Mae Nam) terminal with ~4-6 daily fast-cat departures/direction to Thong Sala (lomprayah.com 2026 timetable; ferryadvice.com: Pralarn-&gt;Thong Sala 20 min, THB 300); Lomprayah is the highest-frequency operator on the crossing.</t>
        </is>
      </c>
    </row>
    <row r="64">
      <c r="A64" s="29" t="inlineStr">
        <is>
          <t>Penang</t>
        </is>
      </c>
      <c r="B64" s="29" t="inlineStr">
        <is>
          <t>Thailand</t>
        </is>
      </c>
      <c r="C64" s="30" t="inlineStr">
        <is>
          <t>George Town (Penang) → Batu Ferringhi / Penang Bridge corridor</t>
        </is>
      </c>
      <c r="D64" s="31" t="n">
        <v>8</v>
      </c>
      <c r="E64" s="26" t="n">
        <v>30</v>
      </c>
      <c r="F64" s="32" t="inlineStr">
        <is>
          <t>T5</t>
        </is>
      </c>
      <c r="G64" s="32" t="inlineStr">
        <is>
          <t>low</t>
        </is>
      </c>
      <c r="H64" s="19" t="n">
        <v>1</v>
      </c>
      <c r="I64" s="33">
        <f>60*D64/cruise_kt</f>
        <v/>
      </c>
      <c r="J64" s="33">
        <f>I64+turn_min+dwell_min</f>
        <v/>
      </c>
      <c r="K64" s="34">
        <f>MIN(15,FLOOR(60*service_hr/J64,1))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/>
      <c r="AH64" s="32" t="inlineStr">
        <is>
          <t>T5</t>
        </is>
      </c>
      <c r="AI64" s="32" t="inlineStr">
        <is>
          <t>low</t>
        </is>
      </c>
      <c r="AJ64" s="39" t="n">
        <v>0.1</v>
      </c>
      <c r="AK64" s="34">
        <f>IF(AG64="","",AG64*AJ64)</f>
        <v/>
      </c>
      <c r="AL64" s="34">
        <f>IF(OR(AG64="",R64=0),"",MIN(IF(AS64="",9.9E+99,AS64),FLOOR(AK64/R64,1)))</f>
        <v/>
      </c>
      <c r="AM64" s="38">
        <f>IF(AL64="","",AL64*T64)</f>
        <v/>
      </c>
      <c r="AN64" s="36">
        <f>IF(OR(AG64="",R64=0),"",MIN(IF(AS64="",9.9E+99,AS64),AK64/R64))</f>
        <v/>
      </c>
      <c r="AO64" s="38">
        <f>IF(AN64="","",AN64*T64)</f>
        <v/>
      </c>
      <c r="AP64" s="40" t="n"/>
      <c r="AQ64" s="41" t="n"/>
      <c r="AR64" s="41" t="n"/>
      <c r="AS64" s="42" t="n"/>
      <c r="AT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U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V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W64" s="44" t="inlineStr">
        <is>
          <t>No scheduled passenger boat George Town&lt;-&gt;Batu Ferringhi; the resort strip is reached by road along the north coast. Modeled premium per-seat scenic speedboat transfer ~RM130/way ($30) by analogy to short Sabah/Langkawi private-speedboat seats.</t>
        </is>
      </c>
      <c r="AX64" s="44" t="inlineStr">
        <is>
          <t>No boat crossing exists; Batu Ferringhi hotel-strip arrivals come by road. No credible on-water pax pool.</t>
        </is>
      </c>
    </row>
    <row r="65">
      <c r="A65" s="29" t="inlineStr">
        <is>
          <t>Phuket</t>
        </is>
      </c>
      <c r="B65" s="29" t="inlineStr">
        <is>
          <t>Thailand</t>
        </is>
      </c>
      <c r="C65" s="30" t="inlineStr">
        <is>
          <t>Chalong Pier (Ao Chalong) → Chalong Pier (Ao Chalong)</t>
        </is>
      </c>
      <c r="D65" s="31" t="n">
        <v>10</v>
      </c>
      <c r="E65" s="26" t="n">
        <v>35</v>
      </c>
      <c r="F65" s="32" t="inlineStr">
        <is>
          <t>T1</t>
        </is>
      </c>
      <c r="G65" s="32" t="inlineStr">
        <is>
          <t>med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MIN(15,FLOOR(60*service_hr/J65,1))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>
        <v>400000</v>
      </c>
      <c r="AH65" s="32" t="n"/>
      <c r="AI65" s="32" t="n"/>
      <c r="AJ65" s="39" t="n">
        <v>0.1</v>
      </c>
      <c r="AK65" s="34">
        <f>IF(AG65="","",AG65*AJ65)</f>
        <v/>
      </c>
      <c r="AL65" s="34">
        <f>IF(OR(AG65="",R65=0),"",MIN(IF(AS65="",9.9E+99,AS65),FLOOR(AK65/R65,1)))</f>
        <v/>
      </c>
      <c r="AM65" s="38">
        <f>IF(AL65="","",AL65*T65)</f>
        <v/>
      </c>
      <c r="AN65" s="36">
        <f>IF(OR(AG65="",R65=0),"",MIN(IF(AS65="",9.9E+99,AS65),AK65/R65))</f>
        <v/>
      </c>
      <c r="AO65" s="38">
        <f>IF(AN65="","",AN65*T65)</f>
        <v/>
      </c>
      <c r="AP65" s="40" t="n"/>
      <c r="AQ65" s="41" t="n"/>
      <c r="AR65" s="41" t="n"/>
      <c r="AS65" s="42" t="n"/>
      <c r="AT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U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V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W65" s="44" t="inlineStr">
        <is>
          <t>Modal product = shared speedboat Coral Island half/one-day trip ex-Chalong: Love Sea Tour Racha+Coral speedboat 1,200 THB adult (promo 1,050) (loveseatour.com/racha-coral-speed-boat/); JC Tour Coral+snorkel 1,200 THB (jctour-thai.com/coral); Andamarine one-day Racha Yai+Coral 1,250 THB/pax incl. buffet lunch (operator IG, 2026). Premium top of ladder: HYPE join-in day cruise 3,900 THB adult incl. transfer (operator rate sheet via boatingo.com/boats/hype-catamaran/). Anchor = modal speedboat product ~1,250 THB = ~USD 35, NOT the premium cat.</t>
        </is>
      </c>
      <c r="AX65" s="44" t="n"/>
    </row>
    <row r="66">
      <c r="A66" s="29" t="inlineStr">
        <is>
          <t>Koh Samui</t>
        </is>
      </c>
      <c r="B66" s="29" t="inlineStr">
        <is>
          <t>Thailand</t>
        </is>
      </c>
      <c r="C66" s="30" t="inlineStr">
        <is>
          <t>Koh Samui (Bangrak) → Koh Phangan (Thong Sala)</t>
        </is>
      </c>
      <c r="D66" s="31" t="n">
        <v>10.2</v>
      </c>
      <c r="E66" s="26" t="n">
        <v>35</v>
      </c>
      <c r="F66" s="32" t="n"/>
      <c r="G66" s="32" t="inlineStr">
        <is>
          <t>T1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MIN(15,FLOOR(60*service_hr/J66,1))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>
        <v>1000000</v>
      </c>
      <c r="AH66" s="32" t="inlineStr">
        <is>
          <t>T4</t>
        </is>
      </c>
      <c r="AI66" s="32" t="inlineStr">
        <is>
          <t>med-low</t>
        </is>
      </c>
      <c r="AJ66" s="39" t="n">
        <v>0.1</v>
      </c>
      <c r="AK66" s="34">
        <f>IF(AG66="","",AG66*AJ66)</f>
        <v/>
      </c>
      <c r="AL66" s="34">
        <f>IF(OR(AG66="",R66=0),"",MIN(IF(AS66="",9.9E+99,AS66),FLOOR(AK66/R66,1)))</f>
        <v/>
      </c>
      <c r="AM66" s="38">
        <f>IF(AL66="","",AL66*T66)</f>
        <v/>
      </c>
      <c r="AN66" s="36">
        <f>IF(OR(AG66="",R66=0),"",MIN(IF(AS66="",9.9E+99,AS66),AK66/R66))</f>
        <v/>
      </c>
      <c r="AO66" s="38">
        <f>IF(AN66="","",AN66*T66)</f>
        <v/>
      </c>
      <c r="AP66" s="40" t="n"/>
      <c r="AQ66" s="41" t="n"/>
      <c r="AR66" s="41" t="n"/>
      <c r="AS66" s="42" t="n"/>
      <c r="AT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U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V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W66" s="44" t="n"/>
      <c r="AX66" s="44" t="inlineStr">
        <is>
          <t>Koh Phangan receives ~1M visitors/yr, ~75% (~825,000) for the Full Moon Party (ThaiJo peer-reviewed research article citing official figures, 2024-era; kohphangancity.go.th municipal plan ~2,000 visitors/day baseline). Trio cross-check: &gt;1M tourists entered Tao-Phangan-Samui in Q1-2024 alone (MGR Online / TAT + Koh Tao Tourism Business Association). Full Moon Party draws 20,000-40,000/event (adventureinyou/41n8, 2025). Phangan has NO airport - boat-only island (R3-EXCEPTION: arrivals = crossing ridership).</t>
        </is>
      </c>
    </row>
    <row r="67">
      <c r="A67" s="29" t="inlineStr">
        <is>
          <t>Phuket</t>
        </is>
      </c>
      <c r="B67" s="29" t="inlineStr">
        <is>
          <t>Thailand</t>
        </is>
      </c>
      <c r="C67" s="30" t="inlineStr">
        <is>
          <t>Ao Po Pier (Ao Po / Ao Por, NE Phuket) → Khao Phing Kan (James Bond Island), Phang Nga Bay</t>
        </is>
      </c>
      <c r="D67" s="31" t="n">
        <v>13.5</v>
      </c>
      <c r="E67" s="26" t="n">
        <v>90</v>
      </c>
      <c r="F67" s="32" t="inlineStr">
        <is>
          <t>T2</t>
        </is>
      </c>
      <c r="G67" s="32" t="inlineStr">
        <is>
          <t>med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MIN(15,FLOOR(60*service_hr/J67,1))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20000</v>
      </c>
      <c r="AH67" s="32" t="n"/>
      <c r="AI67" s="32" t="n"/>
      <c r="AJ67" s="39" t="n">
        <v>0.1</v>
      </c>
      <c r="AK67" s="34">
        <f>IF(AG67="","",AG67*AJ67)</f>
        <v/>
      </c>
      <c r="AL67" s="34">
        <f>IF(OR(AG67="",R67=0),"",MIN(IF(AS67="",9.9E+99,AS67),FLOOR(AK67/R67,1)))</f>
        <v/>
      </c>
      <c r="AM67" s="38">
        <f>IF(AL67="","",AL67*T67)</f>
        <v/>
      </c>
      <c r="AN67" s="36">
        <f>IF(OR(AG67="",R67=0),"",MIN(IF(AS67="",9.9E+99,AS67),AK67/R67))</f>
        <v/>
      </c>
      <c r="AO67" s="38">
        <f>IF(AN67="","",AN67*T67)</f>
        <v/>
      </c>
      <c r="AP67" s="40" t="n"/>
      <c r="AQ67" s="41" t="n"/>
      <c r="AR67" s="41" t="n"/>
      <c r="AS67" s="42" t="n"/>
      <c r="AT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U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V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W67" s="44" t="inlineStr">
        <is>
          <t>John Gray's Hong by Starlight 3,350 THB/pax agent rate (phukettoursdirect.com/hong-by-starlight.html) / USD 108.89 retail (Agoda activities listing); Phuket Sail Tours sunset/day band 2,200-2,800 THB (phuketexpatguide.com operator comparison, 2026); Simba Sea Trips premium small-group products (TripAdvisor-listed, 18-adult cap, award-positioned above mass market). Anchor = conservative mid of the 2,500-3,900 THB premium band ~ USD 90.</t>
        </is>
      </c>
      <c r="AX67" s="44" t="n"/>
    </row>
    <row r="68">
      <c r="A68" s="29" t="inlineStr">
        <is>
          <t>Koh Samui</t>
        </is>
      </c>
      <c r="B68" s="29" t="inlineStr">
        <is>
          <t>Thailand</t>
        </is>
      </c>
      <c r="C68" s="30" t="inlineStr">
        <is>
          <t>Koh Samui (Lipa Noi) → Donsak (Raja Ferry pier)</t>
        </is>
      </c>
      <c r="D68" s="31" t="n">
        <v>14.3</v>
      </c>
      <c r="E68" s="26" t="n">
        <v>15.2</v>
      </c>
      <c r="F68" s="32" t="n"/>
      <c r="G68" s="32" t="inlineStr">
        <is>
          <t>T3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MIN(24,FLOOR(60*service_hr/J68,1))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666667</v>
      </c>
      <c r="AH68" s="32" t="inlineStr">
        <is>
          <t>T2</t>
        </is>
      </c>
      <c r="AI68" s="32" t="inlineStr">
        <is>
          <t>med-low</t>
        </is>
      </c>
      <c r="AJ68" s="39" t="n">
        <v>0.1</v>
      </c>
      <c r="AK68" s="34">
        <f>IF(AG68="","",AG68*AJ68)</f>
        <v/>
      </c>
      <c r="AL68" s="34">
        <f>IF(OR(AG68="",R68=0),"",MIN(IF(AS68="",9.9E+99,AS68),FLOOR(AK68/R68,1)))</f>
        <v/>
      </c>
      <c r="AM68" s="38">
        <f>IF(AL68="","",AL68*T68)</f>
        <v/>
      </c>
      <c r="AN68" s="36">
        <f>IF(OR(AG68="",R68=0),"",MIN(IF(AS68="",9.9E+99,AS68),AK68/R68))</f>
        <v/>
      </c>
      <c r="AO68" s="38">
        <f>IF(AN68="","",AN68*T68)</f>
        <v/>
      </c>
      <c r="AP68" s="40" t="n"/>
      <c r="AQ68" s="41" t="n"/>
      <c r="AR68" s="41" t="n"/>
      <c r="AS68" s="42" t="n"/>
      <c r="AT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U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V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W68" s="44" t="n"/>
      <c r="AX68" s="44" t="inlineStr">
        <is>
          <t>SUBSET of rn-347c44e1d360 (do not sum). Raja Ferry Port (SET-listed, RP) company disclosure: ~1.2M passengers + ~600k vehicles carried in 2017 (+20% over 2016) across Donsak-Lipa Noi (Samui) and Donsak-Phangan routes; ~14 ferries, up to 50 trips/day (RP business plan via Koh Samui News/Samui Times; CreditRiskMonitor profile). RP FY2024 (2567) one-report exists but is a scanned PDF; per-route pax not machine-readable.</t>
        </is>
      </c>
    </row>
    <row r="69">
      <c r="A69" s="29" t="inlineStr">
        <is>
          <t>Koh Samui</t>
        </is>
      </c>
      <c r="B69" s="29" t="inlineStr">
        <is>
          <t>Thailand</t>
        </is>
      </c>
      <c r="C69" s="30" t="inlineStr">
        <is>
          <t>Four Seasons Koh Samui (Laem Yai) → Ang Thong Marine Park (Wua Talap)</t>
        </is>
      </c>
      <c r="D69" s="31" t="n">
        <v>15.3</v>
      </c>
      <c r="E69" s="26" t="n">
        <v>79</v>
      </c>
      <c r="F69" s="32" t="n"/>
      <c r="G69" s="32" t="inlineStr">
        <is>
          <t>T3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MIN(15,FLOOR(60*service_hr/J69,1))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>
        <v>300000</v>
      </c>
      <c r="AH69" s="32" t="inlineStr">
        <is>
          <t>T2</t>
        </is>
      </c>
      <c r="AI69" s="32" t="inlineStr">
        <is>
          <t>med-low</t>
        </is>
      </c>
      <c r="AJ69" s="39" t="n">
        <v>0.9</v>
      </c>
      <c r="AK69" s="34">
        <f>IF(AG69="","",AG69*AJ69)</f>
        <v/>
      </c>
      <c r="AL69" s="34">
        <f>IF(OR(AG69="",R69=0),"",MIN(IF(AS69="",9.9E+99,AS69),FLOOR(AK69/R69,1)))</f>
        <v/>
      </c>
      <c r="AM69" s="38">
        <f>IF(AL69="","",AL69*T69)</f>
        <v/>
      </c>
      <c r="AN69" s="36">
        <f>IF(OR(AG69="",R69=0),"",MIN(IF(AS69="",9.9E+99,AS69),AK69/R69))</f>
        <v/>
      </c>
      <c r="AO69" s="38">
        <f>IF(AN69="","",AN69*T69)</f>
        <v/>
      </c>
      <c r="AP69" s="40" t="n"/>
      <c r="AQ69" s="41" t="n"/>
      <c r="AR69" s="41" t="n"/>
      <c r="AS69" s="42" t="n">
        <v>3</v>
      </c>
      <c r="AT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U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V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W69" s="44" t="n"/>
      <c r="AX69" s="44" t="inlineStr">
        <is>
          <t>Mu Ko Ang Thong National Marine Park: ~160,000 park visitors/yr, ~85% foreign, &gt;THB 40M annual fee revenue (Thai PBS citing park authority, ~2024; DNP visitor-stats system catalog.dnp.go.th is the underlying register - R3-GOLD park-authority class). Park is boat-only and closed annually 1 Nov-15 Dec. Licensed speedboat day tours depart Samui (and Phangan) daily in season.</t>
        </is>
      </c>
    </row>
    <row r="70">
      <c r="A70" s="29" t="inlineStr">
        <is>
          <t>Koh Samui</t>
        </is>
      </c>
      <c r="B70" s="29" t="inlineStr">
        <is>
          <t>Thailand</t>
        </is>
      </c>
      <c r="C70" s="30" t="inlineStr">
        <is>
          <t>Koh Samui (Nathon) → Donsak (Seatran harbour)</t>
        </is>
      </c>
      <c r="D70" s="31" t="n">
        <v>17.9</v>
      </c>
      <c r="E70" s="26" t="n">
        <v>15.2</v>
      </c>
      <c r="F70" s="32" t="n"/>
      <c r="G70" s="32" t="inlineStr">
        <is>
          <t>T3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MIN(24,FLOOR(60*service_hr/J70,1))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666667</v>
      </c>
      <c r="AH70" s="32" t="inlineStr">
        <is>
          <t>T5</t>
        </is>
      </c>
      <c r="AI70" s="32" t="inlineStr">
        <is>
          <t>low-med</t>
        </is>
      </c>
      <c r="AJ70" s="39" t="n">
        <v>0.1</v>
      </c>
      <c r="AK70" s="34">
        <f>IF(AG70="","",AG70*AJ70)</f>
        <v/>
      </c>
      <c r="AL70" s="34">
        <f>IF(OR(AG70="",R70=0),"",MIN(IF(AS70="",9.9E+99,AS70),FLOOR(AK70/R70,1)))</f>
        <v/>
      </c>
      <c r="AM70" s="38">
        <f>IF(AL70="","",AL70*T70)</f>
        <v/>
      </c>
      <c r="AN70" s="36">
        <f>IF(OR(AG70="",R70=0),"",MIN(IF(AS70="",9.9E+99,AS70),AK70/R70))</f>
        <v/>
      </c>
      <c r="AO70" s="38">
        <f>IF(AN70="","",AN70*T70)</f>
        <v/>
      </c>
      <c r="AP70" s="40" t="n"/>
      <c r="AQ70" s="41" t="n"/>
      <c r="AR70" s="41" t="n"/>
      <c r="AS70" s="42" t="n"/>
      <c r="AT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U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V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W70" s="44" t="n"/>
      <c r="AX70" s="44" t="inlineStr">
        <is>
          <t>SUBSET of rn-347c44e1d360 (do not sum). Seatran Ferry: 6 vessels, ~hourly departures 05:00-19:00 each way, 13-16 kt, ~1.5h crossing, ~450-pax + ~70-car capacity per vessel (Tripadvisor operator page; thailandboattickets.com; C9 Hotelworks cited in city brief). No published Seatran annual ridership found.</t>
        </is>
      </c>
    </row>
    <row r="71">
      <c r="A71" s="29" t="inlineStr">
        <is>
          <t>Phuket</t>
        </is>
      </c>
      <c r="B71" s="29" t="inlineStr">
        <is>
          <t>Thailand</t>
        </is>
      </c>
      <c r="C71" s="30" t="inlineStr">
        <is>
          <t>Phuket (Royal Phuket Marina) → Phang Nga Bay / James Bond Island</t>
        </is>
      </c>
      <c r="D71" s="31" t="n">
        <v>20</v>
      </c>
      <c r="E71" s="26" t="n">
        <v>72</v>
      </c>
      <c r="F71" s="32" t="inlineStr">
        <is>
          <t>T3</t>
        </is>
      </c>
      <c r="G71" s="32" t="inlineStr">
        <is>
          <t>med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MIN(15,FLOOR(60*service_hr/J71,1))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>
        <v>580000</v>
      </c>
      <c r="AH71" s="32" t="inlineStr">
        <is>
          <t>T2</t>
        </is>
      </c>
      <c r="AI71" s="32" t="inlineStr">
        <is>
          <t>med</t>
        </is>
      </c>
      <c r="AJ71" s="39" t="n">
        <v>0.1</v>
      </c>
      <c r="AK71" s="34">
        <f>IF(AG71="","",AG71*AJ71)</f>
        <v/>
      </c>
      <c r="AL71" s="34">
        <f>IF(OR(AG71="",R71=0),"",MIN(IF(AS71="",9.9E+99,AS71),FLOOR(AK71/R71,1)))</f>
        <v/>
      </c>
      <c r="AM71" s="38">
        <f>IF(AL71="","",AL71*T71)</f>
        <v/>
      </c>
      <c r="AN71" s="36">
        <f>IF(OR(AG71="",R71=0),"",MIN(IF(AS71="",9.9E+99,AS71),AK71/R71))</f>
        <v/>
      </c>
      <c r="AO71" s="38">
        <f>IF(AN71="","",AN71*T71)</f>
        <v/>
      </c>
      <c r="AP71" s="40" t="n"/>
      <c r="AQ71" s="41" t="n"/>
      <c r="AR71" s="41" t="n"/>
      <c r="AS71" s="42" t="n"/>
      <c r="AT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U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V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W71" s="44" t="inlineStr">
        <is>
          <t>Phuket-&gt;Phang Nga Bay/James Bond Island speedboat day-tour ladder (THB/USD 36): budget longtail ~1,400 THB ($39, phukettoursdirect); standard shared speedboat ~2,500 THB ($69); PREMIUM shared speedboat ~2,600-3,700 THB ($72-103, phiphitours/mythailandtours '$55 low-season' to ~3,700 quoted); private charter speedboat ~29,000-40,900 THB/boat/day (yacht-rental-phuket, phuketdreamcompany) = whole-boat, excluded as overclaim. Premium per-seat anchored ~2,600 THB net of 400 THB park fee = $72.</t>
        </is>
      </c>
      <c r="AX71" s="44" t="inlineStr">
        <is>
          <t>Ao Phang Nga National Park visitors FY2567 (Oct-2023..Sep-2024) = 530,204 (DNP top-10 ranking, #7 by visitors; reported by Prachachat, https://www.prachachat.net/hilight-prachachat/news-1796245, Apr-2025). Park is reachable ONLY by tour boat/longtail/speedboat (no road/air to Khao Phing Kan/Ko Tapu) -&gt; R3-EXCEPTION holds: park arrivals = crossing ridership. DNP also runs e-ticketing at this park (one of 6 pilot parks). Pre-covid FY2019 was ~1M+ (payload note), so FY2024 is the conservative post-covid actual.</t>
        </is>
      </c>
    </row>
    <row r="72">
      <c r="A72" s="29" t="inlineStr">
        <is>
          <t>Phuket</t>
        </is>
      </c>
      <c r="B72" s="29" t="inlineStr">
        <is>
          <t>Thailand</t>
        </is>
      </c>
      <c r="C72" s="30" t="inlineStr">
        <is>
          <t>Phuket → Phi Phi (Tonsai)</t>
        </is>
      </c>
      <c r="D72" s="31" t="n">
        <v>25</v>
      </c>
      <c r="E72" s="26" t="n">
        <v>44</v>
      </c>
      <c r="F72" s="32" t="inlineStr">
        <is>
          <t>T3</t>
        </is>
      </c>
      <c r="G72" s="32" t="inlineStr">
        <is>
          <t>med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MIN(15,FLOOR(60*service_hr/J72,1))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>
        <v>1080000</v>
      </c>
      <c r="AH72" s="32" t="inlineStr">
        <is>
          <t>T2</t>
        </is>
      </c>
      <c r="AI72" s="32" t="inlineStr">
        <is>
          <t>med</t>
        </is>
      </c>
      <c r="AJ72" s="39" t="n">
        <v>0.1</v>
      </c>
      <c r="AK72" s="34">
        <f>IF(AG72="","",AG72*AJ72)</f>
        <v/>
      </c>
      <c r="AL72" s="34">
        <f>IF(OR(AG72="",R72=0),"",MIN(IF(AS72="",9.9E+99,AS72),FLOOR(AK72/R72,1)))</f>
        <v/>
      </c>
      <c r="AM72" s="38">
        <f>IF(AL72="","",AL72*T72)</f>
        <v/>
      </c>
      <c r="AN72" s="36">
        <f>IF(OR(AG72="",R72=0),"",MIN(IF(AS72="",9.9E+99,AS72),AK72/R72))</f>
        <v/>
      </c>
      <c r="AO72" s="38">
        <f>IF(AN72="","",AN72*T72)</f>
        <v/>
      </c>
      <c r="AP72" s="40" t="n"/>
      <c r="AQ72" s="41" t="n"/>
      <c r="AR72" s="41" t="n"/>
      <c r="AS72" s="42" t="n"/>
      <c r="AT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U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V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W72" s="44" t="inlineStr">
        <is>
          <t>Premium private-speedboat tier Phuket-&gt;Phi Phi. Private speedboat ~1,595 THB/pax (phiphitours) = $44; VIP transfer oddly ~$22 (commoditized); budget 650-700 THB ($18-19). Note: this corridor's premium tier is structurally low (mass tourist route).</t>
        </is>
      </c>
      <c r="AX72" s="44" t="inlineStr">
        <is>
          <t>Hat Noppharat Thara - Mu Ko Phi Phi NP visitors FY2567 (Oct-2023..Sep-2024) = 1,153,515, #2 nationally by visitors and #1 by revenue (THB 629,893,547) (DNP statistics via Prachachat, https://www.prachachat.net/hilight-prachachat/news-1796245, Apr-2025). FY2566 (2023) was 1,449,246 (DNP top-10, Thai press). Phi Phi islands are boat-only (no airport/road) -&gt; R3-EXCEPTION holds for the island portion; BUT the NP unit also includes the MAINLAND Hat Noppharat Thara beach section (Krabi) -&gt; R3-RESORT-SUBSET strip applied.</t>
        </is>
      </c>
    </row>
    <row r="73">
      <c r="A73" s="29" t="inlineStr">
        <is>
          <t>Koh Samui</t>
        </is>
      </c>
      <c r="B73" s="29" t="inlineStr">
        <is>
          <t>Thailand</t>
        </is>
      </c>
      <c r="C73" s="30" t="inlineStr">
        <is>
          <t>Koh Samui (Bangrak) → Don Sak Ferry Harbour</t>
        </is>
      </c>
      <c r="D73" s="31" t="n">
        <v>28.1</v>
      </c>
      <c r="E73" s="26" t="n">
        <v>15.2</v>
      </c>
      <c r="F73" s="32" t="n"/>
      <c r="G73" s="32" t="inlineStr">
        <is>
          <t>T3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MIN(24,FLOOR(60*service_hr/J73,1))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>
        <v>666667</v>
      </c>
      <c r="AH73" s="32" t="inlineStr">
        <is>
          <t>T4</t>
        </is>
      </c>
      <c r="AI73" s="32" t="inlineStr">
        <is>
          <t>med-low</t>
        </is>
      </c>
      <c r="AJ73" s="39" t="n">
        <v>0.1</v>
      </c>
      <c r="AK73" s="34">
        <f>IF(AG73="","",AG73*AJ73)</f>
        <v/>
      </c>
      <c r="AL73" s="34">
        <f>IF(OR(AG73="",R73=0),"",MIN(IF(AS73="",9.9E+99,AS73),FLOOR(AK73/R73,1)))</f>
        <v/>
      </c>
      <c r="AM73" s="38">
        <f>IF(AL73="","",AL73*T73)</f>
        <v/>
      </c>
      <c r="AN73" s="36">
        <f>IF(OR(AG73="",R73=0),"",MIN(IF(AS73="",9.9E+99,AS73),AK73/R73))</f>
        <v/>
      </c>
      <c r="AO73" s="38">
        <f>IF(AN73="","",AN73*T73)</f>
        <v/>
      </c>
      <c r="AP73" s="40" t="n"/>
      <c r="AQ73" s="41" t="n"/>
      <c r="AR73" s="41" t="n"/>
      <c r="AS73" s="42" t="n"/>
      <c r="AT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U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V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W73" s="44" t="n"/>
      <c r="AX73" s="44" t="inlineStr">
        <is>
          <t>Total Samui&lt;-&gt;Donsak crossing (all operators/piers). Raja Ferry Port (SET: RP) disclosed ~1.2M passengers carried in 2017 (+20% YoY) across its Donsak-Samui(Lipa Noi)/Donsak-Phangan network, with a 1.5M target (Samui Times / Koh Samui News quoting RP business plan; RP IPO-era disclosure ~600k/yr 2014, Nation Thailand). Seatran runs 6 vessels ~hourly 05:00-19:00 Nathon&lt;-&gt;Donsak (Tripadvisor/operator). Mode balance: Samui drew ~3.54M tourists 2023 (Forbes/C9) vs ~1.4M airport arrivals (Samui Airport 2.8M total pax 2024, BAREIT one-report 56-1) - the majority of non-air arrivals cross at Donsak.</t>
        </is>
      </c>
    </row>
    <row r="74">
      <c r="A74" s="29" t="inlineStr">
        <is>
          <t>Koh Samui</t>
        </is>
      </c>
      <c r="B74" s="29" t="inlineStr">
        <is>
          <t>Thailand</t>
        </is>
      </c>
      <c r="C74" s="30" t="inlineStr">
        <is>
          <t>Koh Samui → Koh Tao (Mae Haad)</t>
        </is>
      </c>
      <c r="D74" s="31" t="n">
        <v>35.3</v>
      </c>
      <c r="E74" s="26" t="n">
        <v>24.4</v>
      </c>
      <c r="F74" s="32" t="n"/>
      <c r="G74" s="32" t="inlineStr">
        <is>
          <t>T3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MIN(15,FLOOR(60*service_hr/J74,1))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400000</v>
      </c>
      <c r="AH74" s="32" t="inlineStr">
        <is>
          <t>T5</t>
        </is>
      </c>
      <c r="AI74" s="32" t="inlineStr">
        <is>
          <t>med-low</t>
        </is>
      </c>
      <c r="AJ74" s="39" t="n">
        <v>0.1</v>
      </c>
      <c r="AK74" s="34">
        <f>IF(AG74="","",AG74*AJ74)</f>
        <v/>
      </c>
      <c r="AL74" s="34">
        <f>IF(OR(AG74="",R74=0),"",MIN(IF(AS74="",9.9E+99,AS74),FLOOR(AK74/R74,1)))</f>
        <v/>
      </c>
      <c r="AM74" s="38">
        <f>IF(AL74="","",AL74*T74)</f>
        <v/>
      </c>
      <c r="AN74" s="36">
        <f>IF(OR(AG74="",R74=0),"",MIN(IF(AS74="",9.9E+99,AS74),AK74/R74))</f>
        <v/>
      </c>
      <c r="AO74" s="38">
        <f>IF(AN74="","",AN74*T74)</f>
        <v/>
      </c>
      <c r="AP74" s="40" t="n"/>
      <c r="AQ74" s="41" t="n"/>
      <c r="AR74" s="41" t="n"/>
      <c r="AS74" s="42" t="n"/>
      <c r="AT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U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V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W74" s="44" t="n"/>
      <c r="AX74" s="44" t="inlineStr">
        <is>
          <t>Koh Tao: 666,778 visitors in 2024 (above pre-Covid; record), 327,000 Jan-May 2025, full-year 2025 forecast &gt;700,000 - Koh Tao Tourism Association / TAT figures via Thairath &amp; Daily News (T2 base). Koh Tao is boat-only (no airport, R3-EXCEPTION: arrivals = crossing ridership). Access splits between the Chumphon side (Bangkok route) and the Samui/Phangan side.</t>
        </is>
      </c>
    </row>
    <row r="75">
      <c r="A75" s="29" t="inlineStr">
        <is>
          <t>Phuket</t>
        </is>
      </c>
      <c r="B75" s="29" t="inlineStr">
        <is>
          <t>Thailand</t>
        </is>
      </c>
      <c r="C75" s="30" t="inlineStr">
        <is>
          <t>Phuket → Krabi (Ao Nang)</t>
        </is>
      </c>
      <c r="D75" s="31" t="n">
        <v>40</v>
      </c>
      <c r="E75" s="26" t="n">
        <v>44</v>
      </c>
      <c r="F75" s="32" t="inlineStr">
        <is>
          <t>T3</t>
        </is>
      </c>
      <c r="G75" s="32" t="inlineStr">
        <is>
          <t>med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MIN(15,FLOOR(60*service_hr/J75,1))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/>
      <c r="AH75" s="32" t="n"/>
      <c r="AI75" s="32" t="n"/>
      <c r="AJ75" s="39" t="n">
        <v>0.1</v>
      </c>
      <c r="AK75" s="34">
        <f>IF(AG75="","",AG75*AJ75)</f>
        <v/>
      </c>
      <c r="AL75" s="34">
        <f>IF(OR(AG75="",R75=0),"",MIN(IF(AS75="",9.9E+99,AS75),FLOOR(AK75/R75,1)))</f>
        <v/>
      </c>
      <c r="AM75" s="38">
        <f>IF(AL75="","",AL75*T75)</f>
        <v/>
      </c>
      <c r="AN75" s="36">
        <f>IF(OR(AG75="",R75=0),"",MIN(IF(AS75="",9.9E+99,AS75),AK75/R75))</f>
        <v/>
      </c>
      <c r="AO75" s="38">
        <f>IF(AN75="","",AN75*T75)</f>
        <v/>
      </c>
      <c r="AP75" s="40" t="n"/>
      <c r="AQ75" s="41" t="n"/>
      <c r="AR75" s="41" t="n"/>
      <c r="AS75" s="42" t="n"/>
      <c r="AT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U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V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W75" s="44" t="inlineStr">
        <is>
          <t>Phuket-&gt;Krabi (Ao Nang) speedboat premium tier ~comparable to Phi Phi route ($44). Krabi-specific demand re-source pending.</t>
        </is>
      </c>
      <c r="AX75" s="44" t="inlineStr">
        <is>
          <t>Phi Phi demand moved to new Phuket-&gt;Phi Phi corridor per Jaideep 2026-06-09. Krabi (Ao Nang) demand to be sourced separately. Until then: estimated via country cascade.</t>
        </is>
      </c>
    </row>
    <row r="76">
      <c r="A76" s="29" t="inlineStr">
        <is>
          <t>Phuket</t>
        </is>
      </c>
      <c r="B76" s="29" t="inlineStr">
        <is>
          <t>Thailand</t>
        </is>
      </c>
      <c r="C76" s="30" t="inlineStr">
        <is>
          <t>Phuket → Similan / Surin Islands</t>
        </is>
      </c>
      <c r="D76" s="31" t="n">
        <v>55</v>
      </c>
      <c r="E76" s="26" t="n">
        <v>80</v>
      </c>
      <c r="F76" s="32" t="inlineStr">
        <is>
          <t>T3</t>
        </is>
      </c>
      <c r="G76" s="32" t="inlineStr">
        <is>
          <t>med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MIN(15,FLOOR(60*service_hr/J76,1))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>
        <v>580000</v>
      </c>
      <c r="AH76" s="32" t="inlineStr">
        <is>
          <t>T2</t>
        </is>
      </c>
      <c r="AI76" s="32" t="inlineStr">
        <is>
          <t>low</t>
        </is>
      </c>
      <c r="AJ76" s="39" t="n">
        <v>0.1</v>
      </c>
      <c r="AK76" s="34">
        <f>IF(AG76="","",AG76*AJ76)</f>
        <v/>
      </c>
      <c r="AL76" s="34">
        <f>IF(OR(AG76="",R76=0),"",MIN(IF(AS76="",9.9E+99,AS76),FLOOR(AK76/R76,1)))</f>
        <v/>
      </c>
      <c r="AM76" s="38">
        <f>IF(AL76="","",AL76*T76)</f>
        <v/>
      </c>
      <c r="AN76" s="36">
        <f>IF(OR(AG76="",R76=0),"",MIN(IF(AS76="",9.9E+99,AS76),AK76/R76))</f>
        <v/>
      </c>
      <c r="AO76" s="38">
        <f>IF(AN76="","",AN76*T76)</f>
        <v/>
      </c>
      <c r="AP76" s="40" t="n"/>
      <c r="AQ76" s="41" t="n"/>
      <c r="AR76" s="41" t="n"/>
      <c r="AS76" s="42" t="n"/>
      <c r="AT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U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V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W76" s="44" t="inlineStr">
        <is>
          <t>Phuket-&gt;Similan/Surin premium shared speedboat day-tour (THB/USD 36): premium catamaran-speedboat tours ~2,500-2,600 THB incl 500 THB park fee+meals from Khao Lak (phiphitours 2,590 THB=$72); Phuket-origin runs higher ~2,900-3,500 THB ($80-97) for the longer 55nm leg. Private charter Phuket-&gt;Similan 50,000-80,000 THB/boat/day (forbesandpartners) = whole-boat, excluded. Premium per-seat anchored ~2,900 THB ($80) net for the longer Phuket origin.</t>
        </is>
      </c>
      <c r="AX76" s="44" t="inlineStr">
        <is>
          <t>Mu Ko Similan NP official visitor statistics (DNP/park clarification, May-2025, via MGR Online https://mgronline.com/uptodate/detail/9680000041761): FY2561(2018)=912,566; FY2562(2019)=676,793; FY2566(2023)=352,701; FY2567(2024)=578,535; FY2568=503,142 as of 30-Apr-2025. Daily cap 3,850 visitors/day (DNP, http://news.dnp.go.th/news/7966). Season: park CLOSED ~May 16 - Oct 14; open season ~212 days/yr (reopened 15-Oct each year, prd.go.th).</t>
        </is>
      </c>
    </row>
    <row r="77">
      <c r="A77" s="29" t="inlineStr">
        <is>
          <t>Penang</t>
        </is>
      </c>
      <c r="B77" s="29" t="inlineStr">
        <is>
          <t>Thailand</t>
        </is>
      </c>
      <c r="C77" s="30" t="inlineStr">
        <is>
          <t>Penang (George Town) → Langkawi</t>
        </is>
      </c>
      <c r="D77" s="31" t="n">
        <v>55</v>
      </c>
      <c r="E77" s="26" t="n">
        <v>17</v>
      </c>
      <c r="F77" s="32" t="inlineStr">
        <is>
          <t>T4</t>
        </is>
      </c>
      <c r="G77" s="32" t="inlineStr">
        <is>
          <t>low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MIN(15,FLOOR(60*service_hr/J77,1))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/>
      <c r="AH77" s="32" t="inlineStr">
        <is>
          <t>T4</t>
        </is>
      </c>
      <c r="AI77" s="32" t="inlineStr">
        <is>
          <t>low</t>
        </is>
      </c>
      <c r="AJ77" s="39" t="n">
        <v>0.1</v>
      </c>
      <c r="AK77" s="34">
        <f>IF(AG77="","",AG77*AJ77)</f>
        <v/>
      </c>
      <c r="AL77" s="34">
        <f>IF(OR(AG77="",R77=0),"",MIN(IF(AS77="",9.9E+99,AS77),FLOOR(AK77/R77,1)))</f>
        <v/>
      </c>
      <c r="AM77" s="38">
        <f>IF(AL77="","",AL77*T77)</f>
        <v/>
      </c>
      <c r="AN77" s="36">
        <f>IF(OR(AG77="",R77=0),"",MIN(IF(AS77="",9.9E+99,AS77),AK77/R77))</f>
        <v/>
      </c>
      <c r="AO77" s="38">
        <f>IF(AN77="","",AN77*T77)</f>
        <v/>
      </c>
      <c r="AP77" s="40" t="n"/>
      <c r="AQ77" s="41" t="n"/>
      <c r="AR77" s="41" t="n"/>
      <c r="AS77" s="42" t="n"/>
      <c r="AT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U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V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W77" s="44" t="inlineStr">
        <is>
          <t>Penang&lt;-&gt;Langkawi fast-ferry was RM73.60 one-way incl port tax (~3h, Langkawi Ferry Services) BEFORE service was terminated during Covid and NOT replaced (travel-penang-malaysia.com; malaysialife.org 2026: 'no longer operating'; r/penang). RM73.60 @4.30 (2019) = $17.</t>
        </is>
      </c>
      <c r="AX77" s="44" t="inlineStr">
        <is>
          <t>No operating Penang-Langkawi crossing since Covid. Langkawi total visitor arrivals ~750k (LADA, YTD-2026) / ~3.5-4M pre-Covid, but these arrive by AIR or the Kuala Perlis/Kuala Kedah mainland ferries - NOT the Penang crossing (R3).</t>
        </is>
      </c>
    </row>
    <row r="78">
      <c r="A78" s="29" t="inlineStr">
        <is>
          <t>Vietnam</t>
        </is>
      </c>
      <c r="B78" s="29" t="inlineStr">
        <is>
          <t>Vietnam</t>
        </is>
      </c>
      <c r="C78" s="30" t="inlineStr">
        <is>
          <t>Da Nang (Han River) → Hoi An / Cham Islands</t>
        </is>
      </c>
      <c r="D78" s="31" t="n">
        <v>12</v>
      </c>
      <c r="E78" s="26" t="n">
        <v>35</v>
      </c>
      <c r="F78" s="32" t="inlineStr">
        <is>
          <t>T3</t>
        </is>
      </c>
      <c r="G78" s="32" t="inlineStr">
        <is>
          <t>med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MIN(15,FLOOR(60*service_hr/J78,1))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>
        <v>434000</v>
      </c>
      <c r="AH78" s="32" t="inlineStr">
        <is>
          <t>T2</t>
        </is>
      </c>
      <c r="AI78" s="32" t="inlineStr">
        <is>
          <t>med</t>
        </is>
      </c>
      <c r="AJ78" s="39" t="n">
        <v>0.1</v>
      </c>
      <c r="AK78" s="34">
        <f>IF(AG78="","",AG78*AJ78)</f>
        <v/>
      </c>
      <c r="AL78" s="34">
        <f>IF(OR(AG78="",R78=0),"",MIN(IF(AS78="",9.9E+99,AS78),FLOOR(AK78/R78,1)))</f>
        <v/>
      </c>
      <c r="AM78" s="38">
        <f>IF(AL78="","",AL78*T78)</f>
        <v/>
      </c>
      <c r="AN78" s="36">
        <f>IF(OR(AG78="",R78=0),"",MIN(IF(AS78="",9.9E+99,AS78),AK78/R78))</f>
        <v/>
      </c>
      <c r="AO78" s="38">
        <f>IF(AN78="","",AN78*T78)</f>
        <v/>
      </c>
      <c r="AP78" s="40" t="n"/>
      <c r="AQ78" s="41" t="n"/>
      <c r="AR78" s="41" t="n"/>
      <c r="AS78" s="42" t="n"/>
      <c r="AT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U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V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W78" s="44" t="inlineStr">
        <is>
          <t>Da Nang/Hoi An -&gt; Cu Lao Cham (Cham Islands). Local wooden ferry 70,000 VND ($2.7); tourist speedboat transfer 500,000-600,000 VND ($19-23); bundled day tour 650,000 VND ($24.7) to Tripadvisor speedboat tours $53-56 (incl lunch/snorkel); private speedboat $195/boat. Premium per-seat transfer anchored at ~$35 (premium speedboat point-to-point, above standard $23, conservative vs $56 bundled tour, excludes whole-boat charter).</t>
        </is>
      </c>
      <c r="AX78" s="44" t="inlineStr">
        <is>
          <t>Cu Lao Cham visitors 2024: ~217,000 (~600/day avg) per VNAT/Quang Nam (vietnamtourism.gov.vn/post/61674, 2025). 2025 season: &gt;269,000 (nhandan.vn/cu-lao-cham-vien-ngoc-tho-dang-duoc-mai-giua-post918502.html) -&gt; 538k one-way upside. Pre-covid 2016: ~300,000 (laodong.vn 713091); daily cap ~3,000 debated. Holiday peak: ~21,000 in 5 days 30/4-1/5 2025 (baochinhphu.vn 102255646). 140 vessels (mostly speedboats) licensed on the national inland waterway Cua Dai-Cu Lao Cham (baotayninh.vn 36220).</t>
        </is>
      </c>
    </row>
    <row r="79">
      <c r="A79" s="29" t="inlineStr">
        <is>
          <t>Vietnam</t>
        </is>
      </c>
      <c r="B79" s="29" t="inlineStr">
        <is>
          <t>Vietnam</t>
        </is>
      </c>
      <c r="C79" s="30" t="inlineStr">
        <is>
          <t>Ha Long / Tuan Chau → Lan Ha Bay / Cat Ba</t>
        </is>
      </c>
      <c r="D79" s="31" t="n">
        <v>12</v>
      </c>
      <c r="E79" s="26" t="n">
        <v>16</v>
      </c>
      <c r="F79" s="32" t="inlineStr">
        <is>
          <t>T3</t>
        </is>
      </c>
      <c r="G79" s="32" t="inlineStr">
        <is>
          <t>med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MIN(15,FLOOR(60*service_hr/J79,1))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>
        <v>350000</v>
      </c>
      <c r="AH79" s="32" t="inlineStr">
        <is>
          <t>T5</t>
        </is>
      </c>
      <c r="AI79" s="32" t="inlineStr">
        <is>
          <t>low-med</t>
        </is>
      </c>
      <c r="AJ79" s="39" t="n">
        <v>0.1</v>
      </c>
      <c r="AK79" s="34">
        <f>IF(AG79="","",AG79*AJ79)</f>
        <v/>
      </c>
      <c r="AL79" s="34">
        <f>IF(OR(AG79="",R79=0),"",MIN(IF(AS79="",9.9E+99,AS79),FLOOR(AK79/R79,1)))</f>
        <v/>
      </c>
      <c r="AM79" s="38">
        <f>IF(AL79="","",AL79*T79)</f>
        <v/>
      </c>
      <c r="AN79" s="36">
        <f>IF(OR(AG79="",R79=0),"",MIN(IF(AS79="",9.9E+99,AS79),AK79/R79))</f>
        <v/>
      </c>
      <c r="AO79" s="38">
        <f>IF(AN79="","",AN79*T79)</f>
        <v/>
      </c>
      <c r="AP79" s="40" t="n"/>
      <c r="AQ79" s="41" t="n"/>
      <c r="AR79" s="41" t="n"/>
      <c r="AS79" s="42" t="n"/>
      <c r="AT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U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V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W79" s="44" t="inlineStr">
        <is>
          <t>Tuan Chau/Ha Long -&gt; Cat Ba / Lan Ha Bay. Slow car-ferry 60,000-80,000 VND ($2.4-3); tourist speedboat 250,000-350,000 VND ($9.5-13.3, ~13-pax craft). Premium per-seat anchored at ~$16 (premium/private Lan Ha speedboat transfer point, above the ~$12.5 standard speedboat). No business-class ferry tier on this short crossing.</t>
        </is>
      </c>
      <c r="AX79" s="44" t="inlineStr">
        <is>
          <t>ADJACENT MEGA-POOLS (cited, then EXCLUDED per R3): Ha Long Bay sightseeing ~3.1M luot 2024 (1.9M intl; BQL Vinh Ha Long via laodong/halongbay.com.vn p/352) and 3.4M+ 2025 - these are in-bay loop cruises, not the Tuan Chau-&gt;Cat Ba crossing. Cat Ba 3,675,000 visitors 2024 / 4.5M 2025 (vietnamtourism.gov.vn/post/62981; baophutho.vn 244997) - ~all arrive via the HAI PHONG side (Got/Dong Bai ferry, road, Cat Hai-Phu Long cable car), R3-LAND exclude. ON-CORRIDOR: Tuan Chau&lt;-&gt;Gia Luan (Cat Ba) car ferry, 5 RT/day scheduled (up to 15 peak), 75,000 VND foot pax (vietnamcoracle.com tuan-chau-cat-ba-island-ferry; catbaexpress.com 2026) - ridership unpublished. Overnight-on-bay cruise guests ~434,000 luot luu tru (BQL via thuonghieucongluan.com.vn a236498, 2023), a slice of which transits Tuan Chau-&gt;Lan Ha.</t>
        </is>
      </c>
    </row>
    <row r="80">
      <c r="A80" s="29" t="inlineStr">
        <is>
          <t>Vietnam</t>
        </is>
      </c>
      <c r="B80" s="29" t="inlineStr">
        <is>
          <t>Vietnam</t>
        </is>
      </c>
      <c r="C80" s="30" t="inlineStr">
        <is>
          <t>Phu Quoc (Duong Dong) → An Thoi Archipelago</t>
        </is>
      </c>
      <c r="D80" s="31" t="n">
        <v>12</v>
      </c>
      <c r="E80" s="26" t="n">
        <v>45</v>
      </c>
      <c r="F80" s="32" t="inlineStr">
        <is>
          <t>T3</t>
        </is>
      </c>
      <c r="G80" s="32" t="inlineStr">
        <is>
          <t>med-low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MIN(15,FLOOR(60*service_hr/J80,1))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1000000</v>
      </c>
      <c r="AH80" s="32" t="inlineStr">
        <is>
          <t>T5</t>
        </is>
      </c>
      <c r="AI80" s="32" t="inlineStr">
        <is>
          <t>low-med</t>
        </is>
      </c>
      <c r="AJ80" s="39" t="n">
        <v>0.1</v>
      </c>
      <c r="AK80" s="34">
        <f>IF(AG80="","",AG80*AJ80)</f>
        <v/>
      </c>
      <c r="AL80" s="34">
        <f>IF(OR(AG80="",R80=0),"",MIN(IF(AS80="",9.9E+99,AS80),FLOOR(AK80/R80,1)))</f>
        <v/>
      </c>
      <c r="AM80" s="38">
        <f>IF(AL80="","",AL80*T80)</f>
        <v/>
      </c>
      <c r="AN80" s="36">
        <f>IF(OR(AG80="",R80=0),"",MIN(IF(AS80="",9.9E+99,AS80),AK80/R80))</f>
        <v/>
      </c>
      <c r="AO80" s="38">
        <f>IF(AN80="","",AN80*T80)</f>
        <v/>
      </c>
      <c r="AP80" s="40" t="n"/>
      <c r="AQ80" s="41" t="n"/>
      <c r="AR80" s="41" t="n"/>
      <c r="AS80" s="42" t="n"/>
      <c r="AT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U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V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W80" s="44" t="inlineStr">
        <is>
          <t>Phu Quoc -&gt; An Thoi archipelago island-hopping by speedboat. Klook/operator 3-4 island speedboat tours $25-64/pax (John's Tours cable-car + 4 islands $64 USD-priced); private speedboat to 3 islands ~$195/boat. Premium per-seat anchored at ~$45 (premium speedboat island-hop seat, conservative vs $64 bundled-with-cablecar, excludes whole-boat charter). Note: An Thoi transfer is sold as a tour, so this is a tour-bundled proxy for a pure transfer.</t>
        </is>
      </c>
      <c r="AX80" s="44" t="inlineStr">
        <is>
          <t>Base pool: Phu Quoc 7.6M visitors 2025 (SKG 2025 HOSE annual report citing tourism dept, cdn.24hmoney.vn 17-Apr-2026 PDF; cross-check: An Giang Tourism Dept ~7.1M in 10mo-2025, nld.com.vn 196251117141314421); 2024: ~3.97M by Jul (vietnamtourism.gov.vn). The 3-5-island An Thoi canoe/speedboat tour (Hon May Rut, Gam Ghi, Mong Tay, Hon Thom) is THE staple Phu Quoc activity, sold universally (KKday, phuquoctrip, Klook; ~USD 35-50 incl cable-car combos). An Thoi islands are boat-only (R3-EXCEPTION). SUBSTITUTION: Sun World Hon Thom cable car (world's longest oversea, Duong Dong-adjacent An Thoi-&gt;Hon Thom) - developer capacity claim ~3,500 pax/hr (~6.9M/yr theoretical); ACTUALS UNPUBLISHED ('luong khach ky luc' marketing only, sungroupcatba/sunworld.vn) - capacity claim NOT used as demand.</t>
        </is>
      </c>
    </row>
    <row r="81">
      <c r="A81" s="29" t="inlineStr">
        <is>
          <t>Vietnam</t>
        </is>
      </c>
      <c r="B81" s="29" t="inlineStr">
        <is>
          <t>Vietnam</t>
        </is>
      </c>
      <c r="C81" s="30" t="inlineStr">
        <is>
          <t>Bach Dang Wharf (Saigon) → Can Gio Mangrove Biosphere</t>
        </is>
      </c>
      <c r="D81" s="31" t="n">
        <v>30</v>
      </c>
      <c r="E81" s="26" t="n">
        <v>65</v>
      </c>
      <c r="F81" s="32" t="inlineStr">
        <is>
          <t>T3</t>
        </is>
      </c>
      <c r="G81" s="32" t="inlineStr">
        <is>
          <t>med-low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MIN(15,FLOOR(60*service_hr/J81,1))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/>
      <c r="AH81" s="32" t="inlineStr">
        <is>
          <t>null</t>
        </is>
      </c>
      <c r="AI81" s="32" t="inlineStr">
        <is>
          <t>null</t>
        </is>
      </c>
      <c r="AJ81" s="39" t="n">
        <v>0.1</v>
      </c>
      <c r="AK81" s="34">
        <f>IF(AG81="","",AG81*AJ81)</f>
        <v/>
      </c>
      <c r="AL81" s="34">
        <f>IF(OR(AG81="",R81=0),"",MIN(IF(AS81="",9.9E+99,AS81),FLOOR(AK81/R81,1)))</f>
        <v/>
      </c>
      <c r="AM81" s="38">
        <f>IF(AL81="","",AL81*T81)</f>
        <v/>
      </c>
      <c r="AN81" s="36">
        <f>IF(OR(AG81="",R81=0),"",MIN(IF(AS81="",9.9E+99,AS81),AK81/R81))</f>
        <v/>
      </c>
      <c r="AO81" s="38">
        <f>IF(AN81="","",AN81*T81)</f>
        <v/>
      </c>
      <c r="AP81" s="40" t="n"/>
      <c r="AQ81" s="41" t="n"/>
      <c r="AR81" s="41" t="n"/>
      <c r="AS81" s="42" t="n"/>
      <c r="AT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U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V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W81" s="44" t="inlineStr">
        <is>
          <t>Saigon -&gt; Can Gio Mangrove Biosphere. No scheduled public boat; visitors go by ROAD + Binh Khanh car-ferry. Premium boat product = Les Rives luxury-speedboat day tour 3,099,000 VND ($118 bundled w/ lunch+guide); private Vam Sat tour $129; small-group road+boat $38; local Vam Sat speedboat ~$26/6pax. Premium per-seat transfer anchored at ~$65 (luxury speedboat de-bundled from tour). R5 finding: near-greenfield premium-boat corridor (no scheduled crossing) -&gt; cascade candidate.</t>
        </is>
      </c>
      <c r="AX81" s="44" t="inlineStr">
        <is>
          <t>NO scheduled boat crossing Saigon&lt;-&gt;Can Gio exists; Can Gio visitors arrive by road + Binh Khanh car-ferry. Premium speedboat is a niche luxury tour only. No credible annual on-corridor pax pool. R2 (null beats guess) + R5 (no direct premium route is itself a finding).</t>
        </is>
      </c>
    </row>
    <row r="82">
      <c r="A82" s="29" t="inlineStr">
        <is>
          <t>Vietnam</t>
        </is>
      </c>
      <c r="B82" s="29" t="inlineStr">
        <is>
          <t>Vietnam</t>
        </is>
      </c>
      <c r="C82" s="30" t="inlineStr">
        <is>
          <t>Saigon (Bach Dang) → Vung Tau</t>
        </is>
      </c>
      <c r="D82" s="31" t="n">
        <v>44.7</v>
      </c>
      <c r="E82" s="26" t="n">
        <v>14</v>
      </c>
      <c r="F82" s="32" t="inlineStr">
        <is>
          <t>T3</t>
        </is>
      </c>
      <c r="G82" s="32" t="inlineStr">
        <is>
          <t>med-high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MIN(15,FLOOR(60*service_hr/J82,1))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>
        <v>100000</v>
      </c>
      <c r="AH82" s="32" t="inlineStr">
        <is>
          <t>T5</t>
        </is>
      </c>
      <c r="AI82" s="32" t="inlineStr">
        <is>
          <t>low-med</t>
        </is>
      </c>
      <c r="AJ82" s="39" t="n">
        <v>0.1</v>
      </c>
      <c r="AK82" s="34">
        <f>IF(AG82="","",AG82*AJ82)</f>
        <v/>
      </c>
      <c r="AL82" s="34">
        <f>IF(OR(AG82="",R82=0),"",MIN(IF(AS82="",9.9E+99,AS82),FLOOR(AK82/R82,1)))</f>
        <v/>
      </c>
      <c r="AM82" s="38">
        <f>IF(AL82="","",AL82*T82)</f>
        <v/>
      </c>
      <c r="AN82" s="36">
        <f>IF(OR(AG82="",R82=0),"",MIN(IF(AS82="",9.9E+99,AS82),AK82/R82))</f>
        <v/>
      </c>
      <c r="AO82" s="38">
        <f>IF(AN82="","",AN82*T82)</f>
        <v/>
      </c>
      <c r="AP82" s="40" t="n"/>
      <c r="AQ82" s="41" t="n"/>
      <c r="AR82" s="41" t="n"/>
      <c r="AS82" s="42" t="n"/>
      <c r="AT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U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V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W82" s="44" t="inlineStr">
        <is>
          <t>Greenlines DP high-speed ferry Saigon-&gt;Vung Tau, single fast-craft class: standard ~320,000 VND ($12.2), advance promo 260,000-290,000 VND ($9.9-11). No business/VIP sub-tier on this route; the fast ferry IS the premium option vs the 2.5h highway bus. Private whole-boat day charter ($205, Tripadvisor) excluded as overclaim. Premium per-seat anchored at ~$14.</t>
        </is>
      </c>
      <c r="AX82" s="44" t="inlineStr">
        <is>
          <t>CURRENT: GreenlinesDP is sole operator (Bach Dang-&gt;Tac Suat Can Gio-&gt;Ho May Vung Tau, since 2018; 4-8 trips/day, 10-12 weekend; VnExpress 06-May-2025 vnexpress.net/tau-cao-toc-tu-trung-tam-tp-hcm-di-vung-tau-dung-chay-4882184.html). Service DISRUPTED May-2025 (Bach Dang Pier 2 returned for Thu Thiem pedestrian-bridge construction); resumed/expanded by Jul-2025 incl. new 07:00 daily sailing from 28-Jul-2025 (vovgiaothong.vn d46090, 2025). HISTORIC CEILING: hydrofoil era 1996-2016 peaked ~500,000 luot khach/yr with 21 vessels (Vina Express + Petro Express + Greenlines; baoxaydung.vn 17-Nov-2016 xin-gia-han-tau-canh-ngam-tphcm-vung-tau-den-2020-192176776.htm, T2); post-2014-fire loads fell to ~40%, fleet 14-&gt;4, hydrofoils terminated end-2016 (znews.vn post710155). Highway/bus mega-flow NOT poolable (R3-LAND).</t>
        </is>
      </c>
    </row>
    <row r="83">
      <c r="A83" s="29" t="inlineStr">
        <is>
          <t>Vietnam</t>
        </is>
      </c>
      <c r="B83" s="29" t="inlineStr">
        <is>
          <t>Vietnam</t>
        </is>
      </c>
      <c r="C83" s="30" t="inlineStr">
        <is>
          <t>Phu Quoc (Bai Vong Port) → Rach Gia (mainland)</t>
        </is>
      </c>
      <c r="D83" s="31" t="n">
        <v>62</v>
      </c>
      <c r="E83" s="26" t="n">
        <v>19</v>
      </c>
      <c r="F83" s="32" t="inlineStr">
        <is>
          <t>T3</t>
        </is>
      </c>
      <c r="G83" s="32" t="inlineStr">
        <is>
          <t>med-high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MIN(15,FLOOR(60*service_hr/J83,1))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650000</v>
      </c>
      <c r="AH83" s="32" t="inlineStr">
        <is>
          <t>T2</t>
        </is>
      </c>
      <c r="AI83" s="32" t="inlineStr">
        <is>
          <t>med</t>
        </is>
      </c>
      <c r="AJ83" s="39" t="n">
        <v>0.1</v>
      </c>
      <c r="AK83" s="34">
        <f>IF(AG83="","",AG83*AJ83)</f>
        <v/>
      </c>
      <c r="AL83" s="34">
        <f>IF(OR(AG83="",R83=0),"",MIN(IF(AS83="",9.9E+99,AS83),FLOOR(AK83/R83,1)))</f>
        <v/>
      </c>
      <c r="AM83" s="38">
        <f>IF(AL83="","",AL83*T83)</f>
        <v/>
      </c>
      <c r="AN83" s="36">
        <f>IF(OR(AG83="",R83=0),"",MIN(IF(AS83="",9.9E+99,AS83),AK83/R83))</f>
        <v/>
      </c>
      <c r="AO83" s="38">
        <f>IF(AN83="","",AN83*T83)</f>
        <v/>
      </c>
      <c r="AP83" s="40" t="n"/>
      <c r="AQ83" s="41" t="n"/>
      <c r="AR83" s="41" t="n"/>
      <c r="AS83" s="42" t="n"/>
      <c r="AT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U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V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W83" s="44" t="inlineStr">
        <is>
          <t>Phu Quoc &lt;-&gt; Rach Gia high-speed ferry. Superdong VIP class 500,000 VND ($19); standard adult 315,000-350,000 VND ($12-13.3); Phu Quoc Express ~340,000 VND ($12.9). Clean published premium tier = Superdong VIP -&gt; anchor $19. Corroborated: Vinpearl (VIP 500k / adult 315k), phuquocislandguide (adult 350k).</t>
        </is>
      </c>
      <c r="AX83" s="44" t="inlineStr">
        <is>
          <t>R3-GOLD pattern (listed-company disclosure): Superdong-Kien Giang (HOSE: SKG) 2025 annual report (cdn.24hmoney.vn/upload/file/2026-2/2026-04-17/no-name-1776366287.pdf) discloses per-route revenue: Rach Gia-Phu Quoc = VND 113.857bn (29.88% of 2024) -&gt; VND 122.001bn (28.91% of 2025), gross profit VND 36.2bn 2025; 3 dedicated vessels (Superdong VII, X, XI). SKG fleet-wide carries &gt;1.5M pax/yr (SKG company materials via studocu/MBS). Adult one-way fare RG-PQ ~VND 340,000-360,000 (superdong.com.vn 2025). Competitor Phu Quoc Express operates same route with larger (~300-seat) craft; route described as 2-operator (MBS/nguoiquansat SKG initiation PDF, 2023). Fare war on PQ routes ongoing (vnexpress.net 5008109, Q4-2025).</t>
        </is>
      </c>
    </row>
    <row r="84">
      <c r="A84" s="45" t="inlineStr">
        <is>
          <t>TOTAL / median</t>
        </is>
      </c>
      <c r="T84" s="46">
        <f>SUM(T4:T83)</f>
        <v/>
      </c>
      <c r="AC84" s="46">
        <f>SUM(AC4:AC83)</f>
        <v/>
      </c>
      <c r="AD84" s="47">
        <f>IF(T84=0,"",AC84/T84)</f>
        <v/>
      </c>
      <c r="AL84" s="48">
        <f>SUM(AL4:AL83)</f>
        <v/>
      </c>
      <c r="AM84" s="46">
        <f>SUM(AM4:AM83)</f>
        <v/>
      </c>
    </row>
    <row r="86">
      <c r="A86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87">
      <c r="A87" s="24" t="inlineStr">
        <is>
          <t>Market</t>
        </is>
      </c>
      <c r="B87" s="24" t="inlineStr">
        <is>
          <t>Fleet basis</t>
        </is>
      </c>
      <c r="C87" s="24" t="inlineStr">
        <is>
          <t>Raw vessels (sum)</t>
        </is>
      </c>
      <c r="D87" s="24" t="inlineStr">
        <is>
          <t>Fleet (rounded once)</t>
        </is>
      </c>
      <c r="E87" s="24" t="inlineStr">
        <is>
          <t>Market rev/yr (raw sum)</t>
        </is>
      </c>
    </row>
    <row r="88">
      <c r="A88" s="25" t="inlineStr">
        <is>
          <t>Cambodia</t>
        </is>
      </c>
      <c r="B88" s="13" t="inlineStr">
        <is>
          <t>network_sum / ceil</t>
        </is>
      </c>
      <c r="C88" s="23">
        <f>SUMIFS(AN4:AN83,A4:A83,"Cambodia",AP4:AP83,"=",AQ4:AQ83,"=",AR4:AR83,"=")</f>
        <v/>
      </c>
      <c r="D88" s="49">
        <f>IF(C88=0,0,CEILING(C88,1))</f>
        <v/>
      </c>
      <c r="E88" s="50">
        <f>SUMIFS(AO4:AO83,A4:A83,"Cambodia",AP4:AP83,"=",AQ4:AQ83,"=",AR4:AR83,"=")</f>
        <v/>
      </c>
    </row>
    <row r="89">
      <c r="A89" s="25" t="inlineStr">
        <is>
          <t>Jakarta</t>
        </is>
      </c>
      <c r="B89" s="13" t="inlineStr">
        <is>
          <t>network_sum / ceil</t>
        </is>
      </c>
      <c r="C89" s="23">
        <f>SUMIFS(AN4:AN83,A4:A83,"Jakarta",AP4:AP83,"=",AQ4:AQ83,"=",AR4:AR83,"=")</f>
        <v/>
      </c>
      <c r="D89" s="49">
        <f>IF(C89=0,0,CEILING(C89,1))</f>
        <v/>
      </c>
      <c r="E89" s="50">
        <f>SUMIFS(AO4:AO83,A4:A83,"Jakarta",AP4:AP83,"=",AQ4:AQ83,"=",AR4:AR83,"=")</f>
        <v/>
      </c>
    </row>
    <row r="90">
      <c r="A90" s="25" t="inlineStr">
        <is>
          <t>Bali</t>
        </is>
      </c>
      <c r="B90" s="13" t="inlineStr">
        <is>
          <t>network_sum / ceil</t>
        </is>
      </c>
      <c r="C90" s="23">
        <f>SUMIFS(AN4:AN83,A4:A83,"Bali",AP4:AP83,"=",AQ4:AQ83,"=",AR4:AR83,"=")</f>
        <v/>
      </c>
      <c r="D90" s="49">
        <f>IF(C90=0,0,CEILING(C90,1))</f>
        <v/>
      </c>
      <c r="E90" s="50">
        <f>SUMIFS(AO4:AO83,A4:A83,"Bali",AP4:AP83,"=",AQ4:AQ83,"=",AR4:AR83,"=")</f>
        <v/>
      </c>
    </row>
    <row r="91">
      <c r="A91" s="25" t="inlineStr">
        <is>
          <t>Langkawi</t>
        </is>
      </c>
      <c r="B91" s="13" t="inlineStr">
        <is>
          <t>network_sum / ceil</t>
        </is>
      </c>
      <c r="C91" s="23">
        <f>SUMIFS(AN4:AN83,A4:A83,"Langkawi",AP4:AP83,"=",AQ4:AQ83,"=",AR4:AR83,"=")</f>
        <v/>
      </c>
      <c r="D91" s="49">
        <f>IF(C91=0,0,CEILING(C91,1))</f>
        <v/>
      </c>
      <c r="E91" s="50">
        <f>SUMIFS(AO4:AO83,A4:A83,"Langkawi",AP4:AP83,"=",AQ4:AQ83,"=",AR4:AR83,"=")</f>
        <v/>
      </c>
    </row>
    <row r="92">
      <c r="A92" s="25" t="inlineStr">
        <is>
          <t>Borneo</t>
        </is>
      </c>
      <c r="B92" s="13" t="inlineStr">
        <is>
          <t>network_sum / ceil</t>
        </is>
      </c>
      <c r="C92" s="23">
        <f>SUMIFS(AN4:AN83,A4:A83,"Borneo",AP4:AP83,"=",AQ4:AQ83,"=",AR4:AR83,"=")</f>
        <v/>
      </c>
      <c r="D92" s="49">
        <f>IF(C92=0,0,CEILING(C92,1))</f>
        <v/>
      </c>
      <c r="E92" s="50">
        <f>SUMIFS(AO4:AO83,A4:A83,"Borneo",AP4:AP83,"=",AQ4:AQ83,"=",AR4:AR83,"=")</f>
        <v/>
      </c>
    </row>
    <row r="93">
      <c r="A93" s="25" t="inlineStr">
        <is>
          <t>Penang</t>
        </is>
      </c>
      <c r="B93" s="13" t="inlineStr">
        <is>
          <t>network_sum / ceil</t>
        </is>
      </c>
      <c r="C93" s="23">
        <f>SUMIFS(AN4:AN83,A4:A83,"Penang",AP4:AP83,"=",AQ4:AQ83,"=",AR4:AR83,"=")</f>
        <v/>
      </c>
      <c r="D93" s="49">
        <f>IF(C93=0,0,CEILING(C93,1))</f>
        <v/>
      </c>
      <c r="E93" s="50">
        <f>SUMIFS(AO4:AO83,A4:A83,"Penang",AP4:AP83,"=",AQ4:AQ83,"=",AR4:AR83,"=")</f>
        <v/>
      </c>
    </row>
    <row r="94">
      <c r="A94" s="25" t="inlineStr">
        <is>
          <t>Philippines</t>
        </is>
      </c>
      <c r="B94" s="13" t="inlineStr">
        <is>
          <t>network_sum / ceil</t>
        </is>
      </c>
      <c r="C94" s="23">
        <f>SUMIFS(AN4:AN83,A4:A83,"Philippines",AP4:AP83,"=",AQ4:AQ83,"=",AR4:AR83,"=")</f>
        <v/>
      </c>
      <c r="D94" s="49">
        <f>IF(C94=0,0,CEILING(C94,1))</f>
        <v/>
      </c>
      <c r="E94" s="50">
        <f>SUMIFS(AO4:AO83,A4:A83,"Philippines",AP4:AP83,"=",AQ4:AQ83,"=",AR4:AR83,"=")</f>
        <v/>
      </c>
    </row>
    <row r="95">
      <c r="A95" s="25" t="inlineStr">
        <is>
          <t>Singapore</t>
        </is>
      </c>
      <c r="B95" s="13" t="inlineStr">
        <is>
          <t>network_sum / ceil</t>
        </is>
      </c>
      <c r="C95" s="23">
        <f>SUMIFS(AN4:AN83,A4:A83,"Singapore",AP4:AP83,"=",AQ4:AQ83,"=",AR4:AR83,"=")</f>
        <v/>
      </c>
      <c r="D95" s="49">
        <f>IF(C95=0,0,CEILING(C95,1))</f>
        <v/>
      </c>
      <c r="E95" s="50">
        <f>SUMIFS(AO4:AO83,A4:A83,"Singapore",AP4:AP83,"=",AQ4:AQ83,"=",AR4:AR83,"=")</f>
        <v/>
      </c>
    </row>
    <row r="96">
      <c r="A96" s="25" t="inlineStr">
        <is>
          <t>Cross-Border</t>
        </is>
      </c>
      <c r="B96" s="13" t="inlineStr">
        <is>
          <t>network_sum / ceil</t>
        </is>
      </c>
      <c r="C96" s="23">
        <f>SUMIFS(AN4:AN83,A4:A83,"Cross-Border",AP4:AP83,"=",AQ4:AQ83,"=",AR4:AR83,"=")</f>
        <v/>
      </c>
      <c r="D96" s="49">
        <f>IF(C96=0,0,CEILING(C96,1))</f>
        <v/>
      </c>
      <c r="E96" s="50">
        <f>SUMIFS(AO4:AO83,A4:A83,"Cross-Border",AP4:AP83,"=",AQ4:AQ83,"=",AR4:AR83,"=")</f>
        <v/>
      </c>
    </row>
    <row r="97">
      <c r="A97" s="25" t="inlineStr">
        <is>
          <t>Taiwan</t>
        </is>
      </c>
      <c r="B97" s="13" t="inlineStr">
        <is>
          <t>network_sum / ceil</t>
        </is>
      </c>
      <c r="C97" s="23">
        <f>SUMIFS(AN4:AN83,A4:A83,"Taiwan",AP4:AP83,"=",AQ4:AQ83,"=",AR4:AR83,"=")</f>
        <v/>
      </c>
      <c r="D97" s="49">
        <f>IF(C97=0,0,CEILING(C97,1))</f>
        <v/>
      </c>
      <c r="E97" s="50">
        <f>SUMIFS(AO4:AO83,A4:A83,"Taiwan",AP4:AP83,"=",AQ4:AQ83,"=",AR4:AR83,"=")</f>
        <v/>
      </c>
    </row>
    <row r="98">
      <c r="A98" s="25" t="inlineStr">
        <is>
          <t>Bangkok</t>
        </is>
      </c>
      <c r="B98" s="13" t="inlineStr">
        <is>
          <t>network_sum / ceil</t>
        </is>
      </c>
      <c r="C98" s="23">
        <f>SUMIFS(AN4:AN83,A4:A83,"Bangkok",AP4:AP83,"=",AQ4:AQ83,"=",AR4:AR83,"=")</f>
        <v/>
      </c>
      <c r="D98" s="49">
        <f>IF(C98=0,0,CEILING(C98,1))</f>
        <v/>
      </c>
      <c r="E98" s="50">
        <f>SUMIFS(AO4:AO83,A4:A83,"Bangkok",AP4:AP83,"=",AQ4:AQ83,"=",AR4:AR83,"=")</f>
        <v/>
      </c>
    </row>
    <row r="99">
      <c r="A99" s="25" t="inlineStr">
        <is>
          <t>Koh Samui</t>
        </is>
      </c>
      <c r="B99" s="13" t="inlineStr">
        <is>
          <t>network_sum / ceil</t>
        </is>
      </c>
      <c r="C99" s="23">
        <f>SUMIFS(AN4:AN83,A4:A83,"Koh Samui",AP4:AP83,"=",AQ4:AQ83,"=",AR4:AR83,"=")</f>
        <v/>
      </c>
      <c r="D99" s="49">
        <f>IF(C99=0,0,CEILING(C99,1))</f>
        <v/>
      </c>
      <c r="E99" s="50">
        <f>SUMIFS(AO4:AO83,A4:A83,"Koh Samui",AP4:AP83,"=",AQ4:AQ83,"=",AR4:AR83,"=")</f>
        <v/>
      </c>
    </row>
    <row r="100">
      <c r="A100" s="25" t="inlineStr">
        <is>
          <t>Phuket</t>
        </is>
      </c>
      <c r="B100" s="13" t="inlineStr">
        <is>
          <t>network_sum / ceil</t>
        </is>
      </c>
      <c r="C100" s="23">
        <f>SUMIFS(AN4:AN83,A4:A83,"Phuket",AP4:AP83,"=",AQ4:AQ83,"=",AR4:AR83,"=")</f>
        <v/>
      </c>
      <c r="D100" s="49">
        <f>IF(C100=0,0,CEILING(C100,1))</f>
        <v/>
      </c>
      <c r="E100" s="50">
        <f>SUMIFS(AO4:AO83,A4:A83,"Phuket",AP4:AP83,"=",AQ4:AQ83,"=",AR4:AR83,"=")</f>
        <v/>
      </c>
    </row>
    <row r="101">
      <c r="A101" s="25" t="inlineStr">
        <is>
          <t>Vietnam</t>
        </is>
      </c>
      <c r="B101" s="13" t="inlineStr">
        <is>
          <t>network_sum / ceil</t>
        </is>
      </c>
      <c r="C101" s="23">
        <f>SUMIFS(AN4:AN83,A4:A83,"Vietnam",AP4:AP83,"=",AQ4:AQ83,"=",AR4:AR83,"=")</f>
        <v/>
      </c>
      <c r="D101" s="49">
        <f>IF(C101=0,0,CEILING(C101,1))</f>
        <v/>
      </c>
      <c r="E101" s="50">
        <f>SUMIFS(AO4:AO83,A4:A83,"Vietnam",AP4:AP83,"=",AQ4:AQ83,"=",AR4:AR83,"=")</f>
        <v/>
      </c>
    </row>
    <row r="102">
      <c r="A102" s="45" t="inlineStr">
        <is>
          <t>GROUNDED FLOOR (PUBLISHED)</t>
        </is>
      </c>
      <c r="D102" s="48">
        <f>SUM(D88:D101)</f>
        <v/>
      </c>
      <c r="E102" s="46">
        <f>SUM(E88:E101)</f>
        <v/>
      </c>
    </row>
    <row r="103">
      <c r="A103" s="20" t="inlineStr">
        <is>
          <t>ESTIMATED UPSIDE (LB-99 modal-shift / experience-upside tiers; held OUT of grounded floor)</t>
        </is>
      </c>
      <c r="D103" s="51">
        <f>SUMIF(AR4:AR83,"&lt;&gt;",AL4:AL83)</f>
        <v/>
      </c>
      <c r="E103" s="52">
        <f>SUMIF(AR4:AR83,"&lt;&gt;",AM4:AM83)</f>
        <v/>
      </c>
    </row>
    <row r="104">
      <c r="A104" s="20" t="inlineStr">
        <is>
          <t>FORWARD SAM (2030-dated; held OUT of grounded floor)</t>
        </is>
      </c>
      <c r="D104" s="51">
        <f>SUMIF(AQ4:AQ83,"&lt;&gt;",AL4:AL83)</f>
        <v/>
      </c>
      <c r="E104" s="52">
        <f>SUMIF(AQ4:AQ83,"&lt;&gt;",AM4:AM83)</f>
        <v/>
      </c>
    </row>
    <row r="106">
      <c r="A106" s="53" t="inlineStr">
        <is>
          <t>Held for Quanta-LR (&gt;70nm, roadmap H2 2026+):</t>
        </is>
      </c>
      <c r="C106" s="54" t="inlineStr">
        <is>
          <t>Singapore (Tanah Merah) → Tioman Island (east-coast Malaysia) (108.6nm)</t>
        </is>
      </c>
    </row>
    <row r="107">
      <c r="C107" s="54" t="inlineStr">
        <is>
          <t>Lombok → Komodo / Labuan Bajo (237nm)</t>
        </is>
      </c>
    </row>
    <row r="108">
      <c r="C108" s="54" t="inlineStr">
        <is>
          <t>Komodo / Labuan Bajo → Sumba (Nihi) (90nm)</t>
        </is>
      </c>
    </row>
    <row r="109">
      <c r="C109" s="54" t="inlineStr">
        <is>
          <t>Lombok → Komodo / Labuan Bajo (237nm)</t>
        </is>
      </c>
    </row>
    <row r="110">
      <c r="C110" s="54" t="inlineStr">
        <is>
          <t>Phuket → Langkawi (cross-border, regional reach) (107nm)</t>
        </is>
      </c>
    </row>
    <row r="111">
      <c r="C111" s="54" t="inlineStr">
        <is>
          <t>Phuket → Langkawi (cross-border, regional reach) (107nm)</t>
        </is>
      </c>
    </row>
    <row r="112">
      <c r="C112" s="54" t="inlineStr">
        <is>
          <t>Manila → Coron (Palawan) (150nm)</t>
        </is>
      </c>
    </row>
    <row r="113">
      <c r="C113" s="54" t="inlineStr">
        <is>
          <t>Cebu → Boracay (90nm)</t>
        </is>
      </c>
    </row>
    <row r="114">
      <c r="C114" s="54" t="inlineStr">
        <is>
          <t>Kaohsiung → Magong (Penghu) (73.0nm)</t>
        </is>
      </c>
    </row>
  </sheetData>
  <mergeCells count="2">
    <mergeCell ref="A86:L86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0.1067</v>
      </c>
      <c r="E11" s="14" t="inlineStr">
        <is>
          <t>New-entrant ~11%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(~11%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(~11%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2026-06-22T00:41:12Z</dcterms:created>
  <dcterms:modified xsi:type="dcterms:W3CDTF">2026-06-22T00:41:13Z</dcterms:modified>
</cp:coreProperties>
</file>