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opex'!$A$4:$G$11</definedName>
    <definedName name="som_floor_fleet">'Corridor economics'!$D$102</definedName>
    <definedName name="som_floor_rev">'Corridor economics'!$E$102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Cambodia</t>
        </is>
      </c>
      <c r="B4" s="26" t="n">
        <v>11000</v>
      </c>
      <c r="C4" s="27" t="n">
        <v>0.15</v>
      </c>
      <c r="D4" s="19" t="n">
        <v>0.6</v>
      </c>
      <c r="E4" s="26" t="n">
        <v>9000</v>
      </c>
      <c r="F4" s="19" t="n">
        <v>0.42</v>
      </c>
      <c r="G4" s="26" t="n">
        <v>600000</v>
      </c>
      <c r="H4" s="14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5">
      <c r="A5" s="25" t="inlineStr">
        <is>
          <t>Indonesia</t>
        </is>
      </c>
      <c r="B5" s="26" t="n">
        <v>12000</v>
      </c>
      <c r="C5" s="27" t="n">
        <v>0.07000000000000001</v>
      </c>
      <c r="D5" s="19" t="n">
        <v>0.75</v>
      </c>
      <c r="E5" s="26" t="n">
        <v>10000</v>
      </c>
      <c r="F5" s="19" t="n">
        <v>0.45</v>
      </c>
      <c r="G5" s="26" t="n">
        <v>600000</v>
      </c>
      <c r="H5" s="14" t="inlineStr">
        <is>
          <t>Blended local crew; ERI pro $23k vs informal local | PLN business IDR 1,114/kWh = $0.07 | Modeled | CAPEX LB-243 US/EU=$900K else $600K</t>
        </is>
      </c>
    </row>
    <row r="6">
      <c r="A6" s="25" t="inlineStr">
        <is>
          <t>Malaysia</t>
        </is>
      </c>
      <c r="B6" s="26" t="n">
        <v>17000</v>
      </c>
      <c r="C6" s="27" t="n">
        <v>0.1</v>
      </c>
      <c r="D6" s="19" t="n">
        <v>0.7</v>
      </c>
      <c r="E6" s="26" t="n">
        <v>11000</v>
      </c>
      <c r="F6" s="19" t="n">
        <v>0.55</v>
      </c>
      <c r="G6" s="26" t="n">
        <v>600000</v>
      </c>
      <c r="H6" s="14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7">
      <c r="A7" s="25" t="inlineStr">
        <is>
          <t>Philippines</t>
        </is>
      </c>
      <c r="B7" s="26" t="n">
        <v>15000</v>
      </c>
      <c r="C7" s="27" t="n">
        <v>0.2</v>
      </c>
      <c r="D7" s="19" t="n">
        <v>0.68</v>
      </c>
      <c r="E7" s="26" t="n">
        <v>10000</v>
      </c>
      <c r="F7" s="19" t="n">
        <v>0.5</v>
      </c>
      <c r="G7" s="26" t="n">
        <v>600000</v>
      </c>
      <c r="H7" s="14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8">
      <c r="A8" s="25" t="inlineStr">
        <is>
          <t>Singapore</t>
        </is>
      </c>
      <c r="B8" s="26" t="n">
        <v>48000</v>
      </c>
      <c r="C8" s="27" t="n">
        <v>0.21</v>
      </c>
      <c r="D8" s="19" t="n">
        <v>0.4</v>
      </c>
      <c r="E8" s="26" t="n">
        <v>20000</v>
      </c>
      <c r="F8" s="19" t="n">
        <v>1</v>
      </c>
      <c r="G8" s="26" t="n">
        <v>600000</v>
      </c>
      <c r="H8" s="14" t="inlineStr">
        <is>
          <t>Modeled SG marine crew ~SGD 4-5k/mo blended | SG regulated tariff 28.1c SGD = $0.21 | SG high-cost berth modeled | CAPEX LB-243 US/EU=$900K else $600K</t>
        </is>
      </c>
    </row>
    <row r="9">
      <c r="A9" s="25" t="inlineStr">
        <is>
          <t>Taiwan</t>
        </is>
      </c>
      <c r="B9" s="26" t="n">
        <v>38000</v>
      </c>
      <c r="C9" s="27" t="n">
        <v>0.18</v>
      </c>
      <c r="D9" s="19" t="n">
        <v>0.46</v>
      </c>
      <c r="E9" s="26" t="n">
        <v>14000</v>
      </c>
      <c r="F9" s="19" t="n">
        <v>0.72</v>
      </c>
      <c r="G9" s="26" t="n">
        <v>600000</v>
      </c>
      <c r="H9" s="14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10">
      <c r="A10" s="25" t="inlineStr">
        <is>
          <t>Thailand</t>
        </is>
      </c>
      <c r="B10" s="26" t="n">
        <v>24000</v>
      </c>
      <c r="C10" s="27" t="n">
        <v>0.116</v>
      </c>
      <c r="D10" s="19" t="n">
        <v>0.5</v>
      </c>
      <c r="E10" s="26" t="n">
        <v>12000</v>
      </c>
      <c r="F10" s="19" t="n">
        <v>0.55</v>
      </c>
      <c r="G10" s="26" t="n">
        <v>600000</v>
      </c>
      <c r="H10" s="14" t="inlineStr">
        <is>
          <t>ERI Thailand boat captain ~876k THB/yr | MEA/PEA business tariff ~4.18 THB/kWh | Modeled Phuket marine ops | CAPEX LB-243 US/EU=$900K else $600K</t>
        </is>
      </c>
    </row>
    <row r="11">
      <c r="A11" s="25" t="inlineStr">
        <is>
          <t>Vietnam</t>
        </is>
      </c>
      <c r="B11" s="26" t="n">
        <v>14000</v>
      </c>
      <c r="C11" s="27" t="n">
        <v>0.12</v>
      </c>
      <c r="D11" s="19" t="n">
        <v>0.66</v>
      </c>
      <c r="E11" s="26" t="n">
        <v>9000</v>
      </c>
      <c r="F11" s="19" t="n">
        <v>0.45</v>
      </c>
      <c r="G11" s="26" t="n">
        <v>600000</v>
      </c>
      <c r="H11" s="14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Grab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Cambodia</t>
        </is>
      </c>
      <c r="B4" s="29" t="inlineStr">
        <is>
          <t>Cambodia</t>
        </is>
      </c>
      <c r="C4" s="30" t="inlineStr">
        <is>
          <t>Sihanoukville Port → Lila Resort / Ream private islands</t>
        </is>
      </c>
      <c r="D4" s="31" t="n">
        <v>7.6</v>
      </c>
      <c r="E4" s="26" t="n">
        <v>30</v>
      </c>
      <c r="F4" s="32" t="inlineStr">
        <is>
          <t>T4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null</t>
        </is>
      </c>
      <c r="AI4" s="32" t="inlineStr">
        <is>
          <t>null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AX4" s="44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5">
      <c r="A5" s="29" t="inlineStr">
        <is>
          <t>Cambodia</t>
        </is>
      </c>
      <c r="B5" s="29" t="inlineStr">
        <is>
          <t>Cambodia</t>
        </is>
      </c>
      <c r="C5" s="30" t="inlineStr">
        <is>
          <t>Sihanoukville → Koh Ta Kiev / Ream National Park</t>
        </is>
      </c>
      <c r="D5" s="31" t="n">
        <v>8.949999999999999</v>
      </c>
      <c r="E5" s="26" t="n">
        <v>20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inlineStr">
        <is>
          <t>null</t>
        </is>
      </c>
      <c r="AI5" s="32" t="inlineStr">
        <is>
          <t>null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AX5" s="44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6">
      <c r="A6" s="29" t="inlineStr">
        <is>
          <t>Cambodia</t>
        </is>
      </c>
      <c r="B6" s="29" t="inlineStr">
        <is>
          <t>Cambodia</t>
        </is>
      </c>
      <c r="C6" s="30" t="inlineStr">
        <is>
          <t>Sihanoukville → Koh Rong Sanloem (Saracen Bay)</t>
        </is>
      </c>
      <c r="D6" s="31" t="n">
        <v>12.87</v>
      </c>
      <c r="E6" s="26" t="n">
        <v>30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100000</v>
      </c>
      <c r="AH6" s="32" t="inlineStr">
        <is>
          <t>T2</t>
        </is>
      </c>
      <c r="AI6" s="32" t="inlineStr">
        <is>
          <t>med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AX6" s="44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7">
      <c r="A7" s="29" t="inlineStr">
        <is>
          <t>Cambodia</t>
        </is>
      </c>
      <c r="B7" s="29" t="inlineStr">
        <is>
          <t>Cambodia</t>
        </is>
      </c>
      <c r="C7" s="30" t="inlineStr">
        <is>
          <t>Koh Rong → Song Saa / Koh Russey</t>
        </is>
      </c>
      <c r="D7" s="31" t="n">
        <v>18.56</v>
      </c>
      <c r="E7" s="26" t="n">
        <v>65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inlineStr">
        <is>
          <t>null</t>
        </is>
      </c>
      <c r="AI7" s="32" t="inlineStr">
        <is>
          <t>null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AX7" s="44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8">
      <c r="A8" s="29" t="inlineStr">
        <is>
          <t>Cambodia</t>
        </is>
      </c>
      <c r="B8" s="29" t="inlineStr">
        <is>
          <t>Cambodia</t>
        </is>
      </c>
      <c r="C8" s="30" t="inlineStr">
        <is>
          <t>Sihanoukville → Koh Kong / Cardamom coast</t>
        </is>
      </c>
      <c r="D8" s="31" t="n">
        <v>68.22</v>
      </c>
      <c r="E8" s="26" t="n">
        <v>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inlineStr">
        <is>
          <t>null</t>
        </is>
      </c>
      <c r="AI8" s="32" t="inlineStr">
        <is>
          <t>null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AX8" s="44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9">
      <c r="A9" s="29" t="inlineStr">
        <is>
          <t>Jakarta</t>
        </is>
      </c>
      <c r="B9" s="29" t="inlineStr">
        <is>
          <t>Indonesia</t>
        </is>
      </c>
      <c r="C9" s="30" t="inlineStr">
        <is>
          <t>Pantai Laguna (Ancol Taman Impian) → Pantai Laguna (Ancol Taman Impian)</t>
        </is>
      </c>
      <c r="D9" s="31" t="n">
        <v>2</v>
      </c>
      <c r="E9" s="26" t="n">
        <v>18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200000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AX9" s="44" t="n"/>
    </row>
    <row r="10">
      <c r="A10" s="29" t="inlineStr">
        <is>
          <t>Bali</t>
        </is>
      </c>
      <c r="B10" s="29" t="inlineStr">
        <is>
          <t>Indonesia</t>
        </is>
      </c>
      <c r="C10" s="30" t="inlineStr">
        <is>
          <t>Benoa Harbour Cruise Terminal → Benoa Harbour Cruise Terminal</t>
        </is>
      </c>
      <c r="D10" s="31" t="n">
        <v>5</v>
      </c>
      <c r="E10" s="26" t="n">
        <v>85</v>
      </c>
      <c r="F10" s="32" t="inlineStr">
        <is>
          <t>T1</t>
        </is>
      </c>
      <c r="G10" s="32" t="inlineStr">
        <is>
          <t>high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85000</v>
      </c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AX10" s="44" t="n"/>
    </row>
    <row r="11">
      <c r="A11" s="29" t="inlineStr">
        <is>
          <t>Jakarta</t>
        </is>
      </c>
      <c r="B11" s="29" t="inlineStr">
        <is>
          <t>Indonesia</t>
        </is>
      </c>
      <c r="C11" s="30" t="inlineStr">
        <is>
          <t>Marina Ancol → Thousand Islands — inner ring (Bidadari / Ayer / Onrust)</t>
        </is>
      </c>
      <c r="D11" s="31" t="n">
        <v>7.4</v>
      </c>
      <c r="E11" s="26" t="n">
        <v>11.7</v>
      </c>
      <c r="F11" s="32" t="inlineStr">
        <is>
          <t>T2/T3</t>
        </is>
      </c>
      <c r="G11" s="32" t="inlineStr">
        <is>
          <t>med-high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10000</v>
      </c>
      <c r="AH11" s="32" t="inlineStr">
        <is>
          <t>T2</t>
        </is>
      </c>
      <c r="AI11" s="32" t="inlineStr">
        <is>
          <t>med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AX11" s="44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12">
      <c r="A12" s="29" t="inlineStr">
        <is>
          <t>Jakarta</t>
        </is>
      </c>
      <c r="B12" s="29" t="inlineStr">
        <is>
          <t>Indonesia</t>
        </is>
      </c>
      <c r="C12" s="30" t="inlineStr">
        <is>
          <t>Batavia Marina (Sunda Kelapa) → Batavia Marina (Sunda Kelapa)</t>
        </is>
      </c>
      <c r="D12" s="31" t="n">
        <v>8</v>
      </c>
      <c r="E12" s="26" t="n">
        <v>35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10000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AX12" s="44" t="n"/>
    </row>
    <row r="13">
      <c r="A13" s="29" t="inlineStr">
        <is>
          <t>Bali</t>
        </is>
      </c>
      <c r="B13" s="29" t="inlineStr">
        <is>
          <t>Indonesia</t>
        </is>
      </c>
      <c r="C13" s="30" t="inlineStr">
        <is>
          <t>Bali (Benoa / Sanur) → Nusa Penida / Lembongan</t>
        </is>
      </c>
      <c r="D13" s="31" t="n">
        <v>13.5</v>
      </c>
      <c r="E13" s="26" t="n">
        <v>60</v>
      </c>
      <c r="F13" s="32" t="inlineStr">
        <is>
          <t>T3</t>
        </is>
      </c>
      <c r="G13" s="32" t="inlineStr">
        <is>
          <t>med-high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1500000</v>
      </c>
      <c r="AH13" s="32" t="inlineStr">
        <is>
          <t>T2</t>
        </is>
      </c>
      <c r="AI13" s="32" t="inlineStr">
        <is>
          <t>med-high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AX13" s="44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14">
      <c r="A14" s="29" t="inlineStr">
        <is>
          <t>Bali</t>
        </is>
      </c>
      <c r="B14" s="29" t="inlineStr">
        <is>
          <t>Indonesia</t>
        </is>
      </c>
      <c r="C14" s="30" t="inlineStr">
        <is>
          <t>Benoa Harbour Cruise Terminal → Mushroom Bay pontoon / Beach Club (Nusa Lembongan)</t>
        </is>
      </c>
      <c r="D14" s="31" t="n">
        <v>13.6</v>
      </c>
      <c r="E14" s="26" t="n">
        <v>95</v>
      </c>
      <c r="F14" s="32" t="inlineStr">
        <is>
          <t>T1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165000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AX14" s="44" t="n"/>
    </row>
    <row r="15">
      <c r="A15" s="29" t="inlineStr">
        <is>
          <t>Bali</t>
        </is>
      </c>
      <c r="B15" s="29" t="inlineStr">
        <is>
          <t>Indonesia</t>
        </is>
      </c>
      <c r="C15" s="30" t="inlineStr">
        <is>
          <t>Bali (Canggu) → Uluwatu / Bukit</t>
        </is>
      </c>
      <c r="D15" s="31" t="n">
        <v>16</v>
      </c>
      <c r="E15" s="26" t="n">
        <v>16</v>
      </c>
      <c r="F15" s="32" t="inlineStr">
        <is>
          <t>T1</t>
        </is>
      </c>
      <c r="G15" s="32" t="inlineStr">
        <is>
          <t>med-high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inlineStr">
        <is>
          <t>T5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AX15" s="44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16">
      <c r="A16" s="29" t="inlineStr">
        <is>
          <t>Jakarta</t>
        </is>
      </c>
      <c r="B16" s="29" t="inlineStr">
        <is>
          <t>Indonesia</t>
        </is>
      </c>
      <c r="C16" s="30" t="inlineStr">
        <is>
          <t>Thousand Islands — inner ring → Thousand Islands — outer ring</t>
        </is>
      </c>
      <c r="D16" s="31" t="n">
        <v>28.9</v>
      </c>
      <c r="E16" s="26" t="n">
        <v>16.6</v>
      </c>
      <c r="F16" s="32" t="inlineStr">
        <is>
          <t>T5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inlineStr">
        <is>
          <t>T5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AX16" s="44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17">
      <c r="A17" s="29" t="inlineStr">
        <is>
          <t>Jakarta</t>
        </is>
      </c>
      <c r="B17" s="29" t="inlineStr">
        <is>
          <t>Indonesia</t>
        </is>
      </c>
      <c r="C17" s="30" t="inlineStr">
        <is>
          <t>Marina Ancol → Thousand Islands — outer ring (Macan / Pelangi / Putri / Sepa)</t>
        </is>
      </c>
      <c r="D17" s="31" t="n">
        <v>35.9</v>
      </c>
      <c r="E17" s="26" t="n">
        <v>24.5</v>
      </c>
      <c r="F17" s="32" t="inlineStr">
        <is>
          <t>T2/T3</t>
        </is>
      </c>
      <c r="G17" s="32" t="inlineStr">
        <is>
          <t>high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7000</v>
      </c>
      <c r="AH17" s="32" t="inlineStr">
        <is>
          <t>T2</t>
        </is>
      </c>
      <c r="AI17" s="32" t="inlineStr">
        <is>
          <t>med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AX17" s="44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18">
      <c r="A18" s="29" t="inlineStr">
        <is>
          <t>Bali</t>
        </is>
      </c>
      <c r="B18" s="29" t="inlineStr">
        <is>
          <t>Indonesia</t>
        </is>
      </c>
      <c r="C18" s="30" t="inlineStr">
        <is>
          <t>Bali → Gili Islands / Lombok</t>
        </is>
      </c>
      <c r="D18" s="31" t="n">
        <v>45</v>
      </c>
      <c r="E18" s="26" t="n">
        <v>64</v>
      </c>
      <c r="F18" s="32" t="inlineStr">
        <is>
          <t>T3</t>
        </is>
      </c>
      <c r="G18" s="32" t="inlineStr">
        <is>
          <t>med-high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600000</v>
      </c>
      <c r="AH18" s="32" t="inlineStr">
        <is>
          <t>T5</t>
        </is>
      </c>
      <c r="AI18" s="32" t="inlineStr">
        <is>
          <t>low-med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transfer tier, Bali-&gt;Gili Trawangan. Tripadvisor 'Luxury Speedboat Transfer' $64; standard $28-42; budget ~$20; whole-boat private $500-1200.</t>
        </is>
      </c>
      <c r="AX18" s="44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19">
      <c r="A19" s="29" t="inlineStr">
        <is>
          <t>Langkawi</t>
        </is>
      </c>
      <c r="B19" s="29" t="inlineStr">
        <is>
          <t>Malaysia</t>
        </is>
      </c>
      <c r="C19" s="30" t="inlineStr">
        <is>
          <t>George Town (Swettenham) → Butterworth (mainland)</t>
        </is>
      </c>
      <c r="D19" s="31" t="n">
        <v>1.62</v>
      </c>
      <c r="E19" s="26" t="n"/>
      <c r="F19" s="32" t="inlineStr">
        <is>
          <t>T1</t>
        </is>
      </c>
      <c r="G19" s="32" t="inlineStr">
        <is>
          <t>high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inlineStr">
        <is>
          <t>T2</t>
        </is>
      </c>
      <c r="AI19" s="32" t="inlineStr">
        <is>
          <t>high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Penang Port public ferry (George Town&lt;-&gt;Butterworth) adult pedestrian fare RM2.00/way (RM1.00 under-12), per penangport.gov.my &amp; 2023 fare notice. RM2 @4.30 = $0.47.</t>
        </is>
      </c>
      <c r="AX19" s="44" t="inlineStr">
        <is>
          <t>Penang ferry service recorded 2.1 million passengers + 747,785 vehicles in 2024 (Wikipedia / Penang Port). New service hit 5M cumulative &lt;2yr (The Star, May 2025).</t>
        </is>
      </c>
    </row>
    <row r="20">
      <c r="A20" s="29" t="inlineStr">
        <is>
          <t>Borneo</t>
        </is>
      </c>
      <c r="B20" s="29" t="inlineStr">
        <is>
          <t>Malaysia</t>
        </is>
      </c>
      <c r="C20" s="30" t="inlineStr">
        <is>
          <t>Kota Kinabalu (Jesselton Point) → Tunku Abdul Rahman park (Gaya / Manukan / Sapi)</t>
        </is>
      </c>
      <c r="D20" s="31" t="n">
        <v>3.16</v>
      </c>
      <c r="E20" s="26" t="n"/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inlineStr">
        <is>
          <t>T2</t>
        </is>
      </c>
      <c r="AI20" s="32" t="inlineStr">
        <is>
          <t>high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AX20" s="44" t="inlineStr">
        <is>
          <t>Sabah Parks Dashboard (dashboard.sabahparks.org.my): Tunku Abdul Rahman Park highest accumulated visitor volume 546,383 (2025); &gt;500k in 2019 (citympvtravel).</t>
        </is>
      </c>
    </row>
    <row r="21">
      <c r="A21" s="29" t="inlineStr">
        <is>
          <t>Borneo</t>
        </is>
      </c>
      <c r="B21" s="29" t="inlineStr">
        <is>
          <t>Malaysia</t>
        </is>
      </c>
      <c r="C21" s="30" t="inlineStr">
        <is>
          <t>Kota Kinabalu (Sutera Harbour) → Gaya Island resorts</t>
        </is>
      </c>
      <c r="D21" s="31" t="n">
        <v>4.29</v>
      </c>
      <c r="E21" s="26" t="n">
        <v>19</v>
      </c>
      <c r="F21" s="32" t="inlineStr">
        <is>
          <t>T1</t>
        </is>
      </c>
      <c r="G21" s="32" t="inlineStr">
        <is>
          <t>high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45000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AX21" s="44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2">
      <c r="A22" s="29" t="inlineStr">
        <is>
          <t>Penang</t>
        </is>
      </c>
      <c r="B22" s="29" t="inlineStr">
        <is>
          <t>Malaysia</t>
        </is>
      </c>
      <c r="C22" s="30" t="inlineStr">
        <is>
          <t>George Town → Batu Ferringhi resort strip</t>
        </is>
      </c>
      <c r="D22" s="31" t="n">
        <v>6.6</v>
      </c>
      <c r="E22" s="26" t="n">
        <v>30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X22" s="44" t="inlineStr">
        <is>
          <t>No boat crossing exists; Batu Ferringhi hotel-strip arrivals come by road. No credible on-water pax pool.</t>
        </is>
      </c>
    </row>
    <row r="23">
      <c r="A23" s="29" t="inlineStr">
        <is>
          <t>Penang</t>
        </is>
      </c>
      <c r="B23" s="29" t="inlineStr">
        <is>
          <t>Malaysia</t>
        </is>
      </c>
      <c r="C23" s="30" t="inlineStr">
        <is>
          <t>Kuah Jetty (Langkawi) → Langkawi geopark island-hop (Dayang Bunting / Payar)</t>
        </is>
      </c>
      <c r="D23" s="31" t="n">
        <v>10</v>
      </c>
      <c r="E23" s="26" t="n">
        <v>20</v>
      </c>
      <c r="F23" s="32" t="inlineStr">
        <is>
          <t>T3</t>
        </is>
      </c>
      <c r="G23" s="32" t="inlineStr">
        <is>
          <t>med-high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400000</v>
      </c>
      <c r="AH23" s="32" t="inlineStr">
        <is>
          <t>T5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AX23" s="44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4">
      <c r="A24" s="29" t="inlineStr">
        <is>
          <t>Penang</t>
        </is>
      </c>
      <c r="B24" s="29" t="inlineStr">
        <is>
          <t>Malaysia</t>
        </is>
      </c>
      <c r="C24" s="30" t="inlineStr">
        <is>
          <t>Kuah Jetty (Langkawi) → Kuala Perlis (mainland)</t>
        </is>
      </c>
      <c r="D24" s="31" t="n">
        <v>16.8</v>
      </c>
      <c r="E24" s="26" t="n">
        <v>10.5</v>
      </c>
      <c r="F24" s="32" t="inlineStr">
        <is>
          <t>T1</t>
        </is>
      </c>
      <c r="G24" s="32" t="inlineStr">
        <is>
          <t>med-high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1600000</v>
      </c>
      <c r="AH24" s="32" t="inlineStr">
        <is>
          <t>T2</t>
        </is>
      </c>
      <c r="AI24" s="32" t="inlineStr">
        <is>
          <t>med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AX24" s="44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5">
      <c r="A25" s="29" t="inlineStr">
        <is>
          <t>Penang</t>
        </is>
      </c>
      <c r="B25" s="29" t="inlineStr">
        <is>
          <t>Malaysia</t>
        </is>
      </c>
      <c r="C25" s="30" t="inlineStr">
        <is>
          <t>Telaga Harbour (Langkawi) → Koh Lipe (Thailand)</t>
        </is>
      </c>
      <c r="D25" s="31" t="n">
        <v>23</v>
      </c>
      <c r="E25" s="26" t="n">
        <v>41.9</v>
      </c>
      <c r="F25" s="32" t="inlineStr">
        <is>
          <t>T3</t>
        </is>
      </c>
      <c r="G25" s="32" t="inlineStr">
        <is>
          <t>high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45000</v>
      </c>
      <c r="AH25" s="32" t="inlineStr">
        <is>
          <t>T5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AX25" s="44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6">
      <c r="A26" s="29" t="inlineStr">
        <is>
          <t>Penang</t>
        </is>
      </c>
      <c r="B26" s="29" t="inlineStr">
        <is>
          <t>Malaysia</t>
        </is>
      </c>
      <c r="C26" s="30" t="inlineStr">
        <is>
          <t>Langkawi → Koh Lipe (Thailand)</t>
        </is>
      </c>
      <c r="D26" s="31" t="n">
        <v>24.6</v>
      </c>
      <c r="E26" s="26" t="n">
        <v>37</v>
      </c>
      <c r="F26" s="32" t="inlineStr">
        <is>
          <t>T3</t>
        </is>
      </c>
      <c r="G26" s="32" t="inlineStr">
        <is>
          <t>high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60000</v>
      </c>
      <c r="AH26" s="32" t="inlineStr">
        <is>
          <t>T5</t>
        </is>
      </c>
      <c r="AI26" s="32" t="inlineStr">
        <is>
          <t>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AX26" s="44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7">
      <c r="A27" s="29" t="inlineStr">
        <is>
          <t>Penang</t>
        </is>
      </c>
      <c r="B27" s="29" t="inlineStr">
        <is>
          <t>Malaysia</t>
        </is>
      </c>
      <c r="C27" s="30" t="inlineStr">
        <is>
          <t>Kuah Jetty (Langkawi) → Kuala Kedah (mainland)</t>
        </is>
      </c>
      <c r="D27" s="31" t="n">
        <v>27</v>
      </c>
      <c r="E27" s="26" t="n">
        <v>12.8</v>
      </c>
      <c r="F27" s="32" t="inlineStr">
        <is>
          <t>T1</t>
        </is>
      </c>
      <c r="G27" s="32" t="inlineStr">
        <is>
          <t>med-high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1000000</v>
      </c>
      <c r="AH27" s="32" t="inlineStr">
        <is>
          <t>T2</t>
        </is>
      </c>
      <c r="AI27" s="32" t="inlineStr">
        <is>
          <t>med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AX27" s="44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8">
      <c r="A28" s="29" t="inlineStr">
        <is>
          <t>Borneo</t>
        </is>
      </c>
      <c r="B28" s="29" t="inlineStr">
        <is>
          <t>Malaysia</t>
        </is>
      </c>
      <c r="C28" s="30" t="inlineStr">
        <is>
          <t>Kota Kinabalu → Mantanani Islands</t>
        </is>
      </c>
      <c r="D28" s="31" t="n">
        <v>47.89</v>
      </c>
      <c r="E28" s="26" t="n">
        <v>26</v>
      </c>
      <c r="F28" s="32" t="inlineStr">
        <is>
          <t>T4</t>
        </is>
      </c>
      <c r="G28" s="32" t="inlineStr">
        <is>
          <t>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150000</v>
      </c>
      <c r="AH28" s="32" t="inlineStr">
        <is>
          <t>T2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AX28" s="44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9">
      <c r="A29" s="29" t="inlineStr">
        <is>
          <t>Penang</t>
        </is>
      </c>
      <c r="B29" s="29" t="inlineStr">
        <is>
          <t>Malaysia</t>
        </is>
      </c>
      <c r="C29" s="30" t="inlineStr">
        <is>
          <t>Kuah Jetty (Langkawi) → George Town, Penang (Swettenham Pier)</t>
        </is>
      </c>
      <c r="D29" s="31" t="n">
        <v>62</v>
      </c>
      <c r="E29" s="26" t="n">
        <v>17.4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inlineStr">
        <is>
          <t>T5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AX29" s="44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0">
      <c r="A30" s="29" t="inlineStr">
        <is>
          <t>Penang</t>
        </is>
      </c>
      <c r="B30" s="29" t="inlineStr">
        <is>
          <t>Malaysia</t>
        </is>
      </c>
      <c r="C30" s="30" t="inlineStr">
        <is>
          <t>Penang → Pangkor Island</t>
        </is>
      </c>
      <c r="D30" s="31" t="n">
        <v>66</v>
      </c>
      <c r="E30" s="26" t="n">
        <v>19</v>
      </c>
      <c r="F30" s="32" t="inlineStr">
        <is>
          <t>T1</t>
        </is>
      </c>
      <c r="G30" s="32" t="inlineStr">
        <is>
          <t>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inlineStr">
        <is>
          <t>T4</t>
        </is>
      </c>
      <c r="AI30" s="32" t="inlineStr">
        <is>
          <t>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AX30" s="44" t="inlineStr">
        <is>
          <t>Pangkor receives sizeable visitor traffic but via the Lumut/Marina Island crossing, not from Penang (50nm). No direct-Penang pax pool exists.</t>
        </is>
      </c>
    </row>
    <row r="31">
      <c r="A31" s="29" t="inlineStr">
        <is>
          <t>Penang</t>
        </is>
      </c>
      <c r="B31" s="29" t="inlineStr">
        <is>
          <t>Malaysia</t>
        </is>
      </c>
      <c r="C31" s="30" t="inlineStr">
        <is>
          <t>Penang → Langkawi</t>
        </is>
      </c>
      <c r="D31" s="31" t="n">
        <v>66.40000000000001</v>
      </c>
      <c r="E31" s="26" t="n">
        <v>17</v>
      </c>
      <c r="F31" s="32" t="inlineStr">
        <is>
          <t>T4</t>
        </is>
      </c>
      <c r="G31" s="32" t="inlineStr">
        <is>
          <t>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T4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31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2">
      <c r="A32" s="29" t="inlineStr">
        <is>
          <t>Penang</t>
        </is>
      </c>
      <c r="B32" s="29" t="inlineStr">
        <is>
          <t>Malaysia</t>
        </is>
      </c>
      <c r="C32" s="30" t="inlineStr">
        <is>
          <t>Penang → Langkawi</t>
        </is>
      </c>
      <c r="D32" s="31" t="n">
        <v>66.40000000000001</v>
      </c>
      <c r="E32" s="26" t="n">
        <v>17</v>
      </c>
      <c r="F32" s="32" t="inlineStr">
        <is>
          <t>T4</t>
        </is>
      </c>
      <c r="G32" s="32" t="inlineStr">
        <is>
          <t>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inlineStr">
        <is>
          <t>T4</t>
        </is>
      </c>
      <c r="AI32" s="32" t="inlineStr">
        <is>
          <t>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32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3">
      <c r="A33" s="29" t="inlineStr">
        <is>
          <t>Philippines</t>
        </is>
      </c>
      <c r="B33" s="29" t="inlineStr">
        <is>
          <t>Philippines</t>
        </is>
      </c>
      <c r="C33" s="30" t="inlineStr">
        <is>
          <t>Caticlan Jetty (Tabipan) → Boracay (Cagban Jetty)</t>
        </is>
      </c>
      <c r="D33" s="31" t="n">
        <v>0.9</v>
      </c>
      <c r="E33" s="26" t="n">
        <v>15</v>
      </c>
      <c r="F33" s="32" t="inlineStr">
        <is>
          <t>T3</t>
        </is>
      </c>
      <c r="G33" s="32" t="inlineStr">
        <is>
          <t>high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4000000</v>
      </c>
      <c r="AH33" s="32" t="inlineStr">
        <is>
          <t>T2</t>
        </is>
      </c>
      <c r="AI33" s="32" t="inlineStr">
        <is>
          <t>high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AX33" s="44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4">
      <c r="A34" s="29" t="inlineStr">
        <is>
          <t>Philippines</t>
        </is>
      </c>
      <c r="B34" s="29" t="inlineStr">
        <is>
          <t>Philippines</t>
        </is>
      </c>
      <c r="C34" s="30" t="inlineStr">
        <is>
          <t>Boracay (Cagban) → Carabao Island (Lanas Beach)</t>
        </is>
      </c>
      <c r="D34" s="31" t="n">
        <v>5.5</v>
      </c>
      <c r="E34" s="26" t="n">
        <v>11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60000</v>
      </c>
      <c r="AH34" s="32" t="inlineStr">
        <is>
          <t>T5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AX34" s="44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5">
      <c r="A35" s="29" t="inlineStr">
        <is>
          <t>Philippines</t>
        </is>
      </c>
      <c r="B35" s="29" t="inlineStr">
        <is>
          <t>Philippines</t>
        </is>
      </c>
      <c r="C35" s="30" t="inlineStr">
        <is>
          <t>Boracay (White Beach) → Boracay island-hop loop (Puka / Crocodile Is.)</t>
        </is>
      </c>
      <c r="D35" s="31" t="n">
        <v>6</v>
      </c>
      <c r="E35" s="26" t="n">
        <v>23</v>
      </c>
      <c r="F35" s="32" t="inlineStr">
        <is>
          <t>T3</t>
        </is>
      </c>
      <c r="G35" s="32" t="inlineStr">
        <is>
          <t>med-high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500000</v>
      </c>
      <c r="AH35" s="32" t="inlineStr">
        <is>
          <t>T5</t>
        </is>
      </c>
      <c r="AI35" s="32" t="inlineStr">
        <is>
          <t>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AX35" s="44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6">
      <c r="A36" s="29" t="inlineStr">
        <is>
          <t>Philippines</t>
        </is>
      </c>
      <c r="B36" s="29" t="inlineStr">
        <is>
          <t>Philippines</t>
        </is>
      </c>
      <c r="C36" s="30" t="inlineStr">
        <is>
          <t>Manila (Esplanade) → Sangley Point (Cavite)</t>
        </is>
      </c>
      <c r="D36" s="31" t="n">
        <v>8</v>
      </c>
      <c r="E36" s="26" t="n"/>
      <c r="F36" s="32" t="inlineStr">
        <is>
          <t>T2</t>
        </is>
      </c>
      <c r="G36" s="32" t="inlineStr">
        <is>
          <t>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inlineStr">
        <is>
          <t>T2</t>
        </is>
      </c>
      <c r="AI36" s="32" t="inlineStr">
        <is>
          <t>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AX36" s="44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7">
      <c r="A37" s="29" t="inlineStr">
        <is>
          <t>Philippines</t>
        </is>
      </c>
      <c r="B37" s="29" t="inlineStr">
        <is>
          <t>Philippines</t>
        </is>
      </c>
      <c r="C37" s="30" t="inlineStr">
        <is>
          <t>Manila (SM MOA Esplanade) → Camaya Coast / Orion (Bataan)</t>
        </is>
      </c>
      <c r="D37" s="31" t="n">
        <v>22</v>
      </c>
      <c r="E37" s="26" t="n">
        <v>18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T2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AX37" s="44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8">
      <c r="A38" s="29" t="inlineStr">
        <is>
          <t>Philippines</t>
        </is>
      </c>
      <c r="B38" s="29" t="inlineStr">
        <is>
          <t>Philippines</t>
        </is>
      </c>
      <c r="C38" s="30" t="inlineStr">
        <is>
          <t>Manila (CCP / Esplanade Seaside) → Corregidor Island</t>
        </is>
      </c>
      <c r="D38" s="31" t="n">
        <v>26</v>
      </c>
      <c r="E38" s="26" t="n">
        <v>50</v>
      </c>
      <c r="F38" s="32" t="inlineStr">
        <is>
          <t>T3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T2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AX38" s="44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9">
      <c r="A39" s="29" t="inlineStr">
        <is>
          <t>Philippines</t>
        </is>
      </c>
      <c r="B39" s="29" t="inlineStr">
        <is>
          <t>Philippines</t>
        </is>
      </c>
      <c r="C39" s="30" t="inlineStr">
        <is>
          <t>Cebu (Mactan) → Bohol / Panglao</t>
        </is>
      </c>
      <c r="D39" s="31" t="n">
        <v>35</v>
      </c>
      <c r="E39" s="26" t="n">
        <v>21</v>
      </c>
      <c r="F39" s="32" t="inlineStr">
        <is>
          <t>T3</t>
        </is>
      </c>
      <c r="G39" s="32" t="inlineStr">
        <is>
          <t>med-high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2000000</v>
      </c>
      <c r="AH39" s="32" t="inlineStr">
        <is>
          <t>T3</t>
        </is>
      </c>
      <c r="AI39" s="32" t="inlineStr">
        <is>
          <t>med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AX39" s="44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40">
      <c r="A40" s="29" t="inlineStr">
        <is>
          <t>Singapore</t>
        </is>
      </c>
      <c r="B40" s="29" t="inlineStr">
        <is>
          <t>Singapore</t>
        </is>
      </c>
      <c r="C40" s="30" t="inlineStr">
        <is>
          <t>Changi Point → Pulau Ubin (Main Jetty)</t>
        </is>
      </c>
      <c r="D40" s="31" t="n">
        <v>1.2</v>
      </c>
      <c r="E40" s="26" t="n">
        <v>8</v>
      </c>
      <c r="F40" s="32" t="inlineStr">
        <is>
          <t>T2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60000</v>
      </c>
      <c r="AH40" s="32" t="n"/>
      <c r="AI40" s="32" t="n"/>
      <c r="AJ40" s="39" t="n">
        <v>0.25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AX40" s="44" t="n"/>
    </row>
    <row r="41">
      <c r="A41" s="29" t="inlineStr">
        <is>
          <t>Singapore</t>
        </is>
      </c>
      <c r="B41" s="29" t="inlineStr">
        <is>
          <t>Singapore</t>
        </is>
      </c>
      <c r="C41" s="30" t="inlineStr">
        <is>
          <t>Marina Bay → Sentosa / southern islands</t>
        </is>
      </c>
      <c r="D41" s="31" t="n">
        <v>2.6</v>
      </c>
      <c r="E41" s="26" t="n">
        <v>18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54000</v>
      </c>
      <c r="AH41" s="32" t="n"/>
      <c r="AI41" s="32" t="n"/>
      <c r="AJ41" s="39" t="n">
        <v>0.25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AX41" s="44" t="n"/>
    </row>
    <row r="42">
      <c r="A42" s="29" t="inlineStr">
        <is>
          <t>Singapore</t>
        </is>
      </c>
      <c r="B42" s="29" t="inlineStr">
        <is>
          <t>Singapore</t>
        </is>
      </c>
      <c r="C42" s="30" t="inlineStr">
        <is>
          <t>Sentosa Cove (ONE15 Marina) → Marina Bay (CBD)</t>
        </is>
      </c>
      <c r="D42" s="31" t="n">
        <v>3.2</v>
      </c>
      <c r="E42" s="26" t="n">
        <v>11</v>
      </c>
      <c r="F42" s="32" t="inlineStr">
        <is>
          <t>T3</t>
        </is>
      </c>
      <c r="G42" s="32" t="inlineStr">
        <is>
          <t>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MIN(24,FLOOR(60*service_hr/J42,1))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8087</v>
      </c>
      <c r="AH42" s="32" t="n"/>
      <c r="AI42" s="32" t="n"/>
      <c r="AJ42" s="39" t="n">
        <v>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inlineStr">
        <is>
          <t>modal_shift_greenfield</t>
        </is>
      </c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AX42" s="44" t="n"/>
    </row>
    <row r="43">
      <c r="A43" s="29" t="inlineStr">
        <is>
          <t>Singapore</t>
        </is>
      </c>
      <c r="B43" s="29" t="inlineStr">
        <is>
          <t>Singapore</t>
        </is>
      </c>
      <c r="C43" s="30" t="inlineStr">
        <is>
          <t>Greater Southern Waterfront (Keppel Club site) → Marina Bay (CBD)</t>
        </is>
      </c>
      <c r="D43" s="31" t="n">
        <v>3.5</v>
      </c>
      <c r="E43" s="26" t="n">
        <v>18</v>
      </c>
      <c r="F43" s="32" t="inlineStr">
        <is>
          <t>T3</t>
        </is>
      </c>
      <c r="G43" s="32" t="inlineStr">
        <is>
          <t>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19656</v>
      </c>
      <c r="AH43" s="32" t="n"/>
      <c r="AI43" s="32" t="n"/>
      <c r="AJ43" s="39" t="n">
        <v>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inlineStr">
        <is>
          <t>FWD-SAM (2030)</t>
        </is>
      </c>
      <c r="AR43" s="41" t="inlineStr">
        <is>
          <t>modal_shift_greenfield</t>
        </is>
      </c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AX43" s="44" t="n"/>
    </row>
    <row r="44">
      <c r="A44" s="29" t="inlineStr">
        <is>
          <t>Singapore</t>
        </is>
      </c>
      <c r="B44" s="29" t="inlineStr">
        <is>
          <t>Singapore</t>
        </is>
      </c>
      <c r="C44" s="30" t="inlineStr">
        <is>
          <t>Marina Bay (Bayfront) → Marina Bay (Bayfront)</t>
        </is>
      </c>
      <c r="D44" s="31" t="n">
        <v>4.5</v>
      </c>
      <c r="E44" s="26" t="n">
        <v>21</v>
      </c>
      <c r="F44" s="32" t="inlineStr">
        <is>
          <t>T1</t>
        </is>
      </c>
      <c r="G44" s="32" t="inlineStr">
        <is>
          <t>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325000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inlineStr">
        <is>
          <t>experience_upside</t>
        </is>
      </c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Same revealed anchor as grounded row: WaterB/SRC S$28 adult loop (ST 17-Mar-2025; SG Culture Pass). Incremental riders assumed to pay the SAME revealed price - no premium invented.</t>
        </is>
      </c>
      <c r="AX44" s="44" t="n"/>
    </row>
    <row r="45">
      <c r="A45" s="29" t="inlineStr">
        <is>
          <t>Singapore</t>
        </is>
      </c>
      <c r="B45" s="29" t="inlineStr">
        <is>
          <t>Singapore</t>
        </is>
      </c>
      <c r="C45" s="30" t="inlineStr">
        <is>
          <t>Clarke Quay (Singapore River) → Clarke Quay (Singapore River)</t>
        </is>
      </c>
      <c r="D45" s="31" t="n">
        <v>5</v>
      </c>
      <c r="E45" s="26" t="n">
        <v>21</v>
      </c>
      <c r="F45" s="32" t="inlineStr">
        <is>
          <t>T1</t>
        </is>
      </c>
      <c r="G45" s="32" t="inlineStr">
        <is>
          <t>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650000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Actual operator pricing: WaterB river cruise S$28 adult / S$18 child (Straits Times 17-Mar-2025 quoting WaterB; SG Culture Pass listing 'from $25'). SRC pricing comparable (~S$28 adult).</t>
        </is>
      </c>
      <c r="AX45" s="44" t="n"/>
    </row>
    <row r="46">
      <c r="A46" s="29" t="inlineStr">
        <is>
          <t>Singapore</t>
        </is>
      </c>
      <c r="B46" s="29" t="inlineStr">
        <is>
          <t>Singapore</t>
        </is>
      </c>
      <c r="C46" s="30" t="inlineStr">
        <is>
          <t>East Coast → Marina Bay</t>
        </is>
      </c>
      <c r="D46" s="31" t="n">
        <v>5.8</v>
      </c>
      <c r="E46" s="26" t="n">
        <v>18</v>
      </c>
      <c r="F46" s="32" t="inlineStr">
        <is>
          <t>T5</t>
        </is>
      </c>
      <c r="G46" s="32" t="inlineStr">
        <is>
          <t>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MIN(24,FLOOR(60*service_hr/J46,1))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111000</v>
      </c>
      <c r="AH46" s="32" t="n"/>
      <c r="AI46" s="32" t="n"/>
      <c r="AJ46" s="39" t="n">
        <v>0.25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AX46" s="44" t="n"/>
    </row>
    <row r="47">
      <c r="A47" s="29" t="inlineStr">
        <is>
          <t>Singapore</t>
        </is>
      </c>
      <c r="B47" s="29" t="inlineStr">
        <is>
          <t>Singapore</t>
        </is>
      </c>
      <c r="C47" s="30" t="inlineStr">
        <is>
          <t>Marine Parade / East Coast (Central Region increment) → Raffles Place / Marina Bay</t>
        </is>
      </c>
      <c r="D47" s="31" t="n">
        <v>5.8</v>
      </c>
      <c r="E47" s="26" t="n">
        <v>9</v>
      </c>
      <c r="F47" s="32" t="inlineStr">
        <is>
          <t>T3</t>
        </is>
      </c>
      <c r="G47" s="32" t="inlineStr">
        <is>
          <t>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5003</v>
      </c>
      <c r="AH47" s="32" t="n"/>
      <c r="AI47" s="32" t="n"/>
      <c r="AJ47" s="39" t="n">
        <v>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inlineStr">
        <is>
          <t>modal_shift_greenfield</t>
        </is>
      </c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AX47" s="44" t="n"/>
    </row>
    <row r="48">
      <c r="A48" s="29" t="inlineStr">
        <is>
          <t>Singapore</t>
        </is>
      </c>
      <c r="B48" s="29" t="inlineStr">
        <is>
          <t>Singapore</t>
        </is>
      </c>
      <c r="C48" s="30" t="inlineStr">
        <is>
          <t>Singapore Marina Network → On-demand water mobility</t>
        </is>
      </c>
      <c r="D48" s="31" t="n">
        <v>8</v>
      </c>
      <c r="E48" s="26" t="n">
        <v>35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9900</v>
      </c>
      <c r="AH48" s="32" t="n"/>
      <c r="AI48" s="32" t="n"/>
      <c r="AJ48" s="39" t="n">
        <v>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Singapore</t>
        </is>
      </c>
      <c r="B49" s="29" t="inlineStr">
        <is>
          <t>Singapore</t>
        </is>
      </c>
      <c r="C49" s="30" t="inlineStr">
        <is>
          <t>Sentosa / Keppel waterfront → Sentosa / Keppel waterfront</t>
        </is>
      </c>
      <c r="D49" s="31" t="n">
        <v>8</v>
      </c>
      <c r="E49" s="26" t="n">
        <v>95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23000</v>
      </c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AX49" s="44" t="n"/>
    </row>
    <row r="50">
      <c r="A50" s="29" t="inlineStr">
        <is>
          <t>Singapore</t>
        </is>
      </c>
      <c r="B50" s="29" t="inlineStr">
        <is>
          <t>Singapore</t>
        </is>
      </c>
      <c r="C50" s="30" t="inlineStr">
        <is>
          <t>Jurong / West Coast (West Coast Pier catchment) → HarbourFront / Marina Bay</t>
        </is>
      </c>
      <c r="D50" s="31" t="n">
        <v>9.5</v>
      </c>
      <c r="E50" s="26" t="n">
        <v>10</v>
      </c>
      <c r="F50" s="32" t="inlineStr">
        <is>
          <t>T3</t>
        </is>
      </c>
      <c r="G50" s="32" t="inlineStr">
        <is>
          <t>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MIN(24,FLOOR(60*service_hr/J50,1))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20557</v>
      </c>
      <c r="AH50" s="32" t="n"/>
      <c r="AI50" s="32" t="n"/>
      <c r="AJ50" s="39" t="n">
        <v>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inlineStr">
        <is>
          <t>modal_shift_greenfield</t>
        </is>
      </c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Greenfield commute (9.5nm). Anchored upper-mid LB-97 commuter band S$8-15/seat; Grab Jurong-&gt;CBD ~S$22-32 peak; MRT EW-line S$2.10. Per-seat premium commute ~half solo ride-hail.</t>
        </is>
      </c>
      <c r="AX50" s="44" t="n"/>
    </row>
    <row r="51">
      <c r="A51" s="29" t="inlineStr">
        <is>
          <t>Cross-Border</t>
        </is>
      </c>
      <c r="B51" s="29" t="inlineStr">
        <is>
          <t>Singapore</t>
        </is>
      </c>
      <c r="C51" s="30" t="inlineStr">
        <is>
          <t>Singapore → Batam (Harbour Bay / Nongsa)</t>
        </is>
      </c>
      <c r="D51" s="31" t="n">
        <v>13</v>
      </c>
      <c r="E51" s="26" t="n">
        <v>57</v>
      </c>
      <c r="F51" s="32" t="inlineStr">
        <is>
          <t>T3</t>
        </is>
      </c>
      <c r="G51" s="32" t="inlineStr">
        <is>
          <t>med-high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350000</v>
      </c>
      <c r="AH51" s="32" t="n"/>
      <c r="AI51" s="32" t="n"/>
      <c r="AJ51" s="39" t="n">
        <v>0.25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AX51" s="44" t="n"/>
    </row>
    <row r="52">
      <c r="A52" s="29" t="inlineStr">
        <is>
          <t>Singapore</t>
        </is>
      </c>
      <c r="B52" s="29" t="inlineStr">
        <is>
          <t>Singapore</t>
        </is>
      </c>
      <c r="C52" s="30" t="inlineStr">
        <is>
          <t>Marina Bay → Changi Point / Pulau Ubin</t>
        </is>
      </c>
      <c r="D52" s="31" t="n">
        <v>14.2</v>
      </c>
      <c r="E52" s="26" t="n">
        <v>28</v>
      </c>
      <c r="F52" s="32" t="inlineStr">
        <is>
          <t>T5</t>
        </is>
      </c>
      <c r="G52" s="32" t="inlineStr">
        <is>
          <t>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30000</v>
      </c>
      <c r="AH52" s="32" t="n"/>
      <c r="AI52" s="32" t="n"/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AX52" s="44" t="n"/>
    </row>
    <row r="53">
      <c r="A53" s="29" t="inlineStr">
        <is>
          <t>Singapore</t>
        </is>
      </c>
      <c r="B53" s="29" t="inlineStr">
        <is>
          <t>Singapore</t>
        </is>
      </c>
      <c r="C53" s="30" t="inlineStr">
        <is>
          <t>Changi Airport (via Changi Point pier access) → Marina Bay (CBD / hotel belt)</t>
        </is>
      </c>
      <c r="D53" s="31" t="n">
        <v>16</v>
      </c>
      <c r="E53" s="26" t="n">
        <v>30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MIN(24,FLOOR(60*service_hr/J53,1))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18370</v>
      </c>
      <c r="AH53" s="32" t="n"/>
      <c r="AI53" s="32" t="n"/>
      <c r="AJ53" s="39" t="n">
        <v>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inlineStr">
        <is>
          <t>modal_shift_greenfield</t>
        </is>
      </c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AX53" s="44" t="n"/>
    </row>
    <row r="54">
      <c r="A54" s="29" t="inlineStr">
        <is>
          <t>Singapore</t>
        </is>
      </c>
      <c r="B54" s="29" t="inlineStr">
        <is>
          <t>Singapore</t>
        </is>
      </c>
      <c r="C54" s="30" t="inlineStr">
        <is>
          <t>Punggol (Punggol Point / Marina Country Club) → Marina Bay (CBD)</t>
        </is>
      </c>
      <c r="D54" s="31" t="n">
        <v>17</v>
      </c>
      <c r="E54" s="26" t="n">
        <v>11</v>
      </c>
      <c r="F54" s="32" t="inlineStr">
        <is>
          <t>T3</t>
        </is>
      </c>
      <c r="G54" s="32" t="inlineStr">
        <is>
          <t>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MIN(24,FLOOR(60*service_hr/J54,1))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15199</v>
      </c>
      <c r="AH54" s="32" t="n"/>
      <c r="AI54" s="32" t="n"/>
      <c r="AJ54" s="39" t="n">
        <v>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inlineStr">
        <is>
          <t>modal_shift_greenfield</t>
        </is>
      </c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AX54" s="44" t="n"/>
    </row>
    <row r="55">
      <c r="A55" s="29" t="inlineStr">
        <is>
          <t>Singapore</t>
        </is>
      </c>
      <c r="B55" s="29" t="inlineStr">
        <is>
          <t>Singapore</t>
        </is>
      </c>
      <c r="C55" s="30" t="inlineStr">
        <is>
          <t>Marina South Pier → Pulau Ubin Jetty</t>
        </is>
      </c>
      <c r="D55" s="31" t="n">
        <v>20.45</v>
      </c>
      <c r="E55" s="26" t="n">
        <v>18</v>
      </c>
      <c r="F55" s="32" t="inlineStr">
        <is>
          <t>T3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105000</v>
      </c>
      <c r="AH55" s="32" t="n"/>
      <c r="AI55" s="32" t="n"/>
      <c r="AJ55" s="39" t="n">
        <v>0.25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Cross-Border</t>
        </is>
      </c>
      <c r="B56" s="29" t="inlineStr">
        <is>
          <t>Singapore</t>
        </is>
      </c>
      <c r="C56" s="30" t="inlineStr">
        <is>
          <t>Singapore → Bintan (Lagoi resort zone)</t>
        </is>
      </c>
      <c r="D56" s="31" t="n">
        <v>21.9</v>
      </c>
      <c r="E56" s="26" t="n">
        <v>69</v>
      </c>
      <c r="F56" s="32" t="inlineStr">
        <is>
          <t>T1</t>
        </is>
      </c>
      <c r="G56" s="32" t="inlineStr">
        <is>
          <t>high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150000</v>
      </c>
      <c r="AH56" s="32" t="n"/>
      <c r="AI56" s="32" t="n"/>
      <c r="AJ56" s="39" t="n">
        <v>0.25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AX56" s="44" t="n"/>
    </row>
    <row r="57">
      <c r="A57" s="29" t="inlineStr">
        <is>
          <t>Cross-Border</t>
        </is>
      </c>
      <c r="B57" s="29" t="inlineStr">
        <is>
          <t>Singapore</t>
        </is>
      </c>
      <c r="C57" s="30" t="inlineStr">
        <is>
          <t>Singapore → Desaru Coast / Johor</t>
        </is>
      </c>
      <c r="D57" s="31" t="n">
        <v>29.5</v>
      </c>
      <c r="E57" s="26" t="n">
        <v>47</v>
      </c>
      <c r="F57" s="32" t="inlineStr">
        <is>
          <t>T3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22500</v>
      </c>
      <c r="AH57" s="32" t="n"/>
      <c r="AI57" s="32" t="n"/>
      <c r="AJ57" s="39" t="n">
        <v>0.25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AX57" s="44" t="n"/>
    </row>
    <row r="58">
      <c r="A58" s="29" t="inlineStr">
        <is>
          <t>Taiwan</t>
        </is>
      </c>
      <c r="B58" s="29" t="inlineStr">
        <is>
          <t>Taiwan</t>
        </is>
      </c>
      <c r="C58" s="30" t="inlineStr">
        <is>
          <t>Magong (Penghu) → Penghu inter-island (Xiyu / Baisha loop)</t>
        </is>
      </c>
      <c r="D58" s="31" t="n">
        <v>12</v>
      </c>
      <c r="E58" s="26" t="n">
        <v>38.7</v>
      </c>
      <c r="F58" s="32" t="inlineStr">
        <is>
          <t>T3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19226</v>
      </c>
      <c r="AH58" s="32" t="inlineStr">
        <is>
          <t>T2</t>
        </is>
      </c>
      <c r="AI58" s="32" t="inlineStr">
        <is>
          <t>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AX58" s="44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59">
      <c r="A59" s="29" t="inlineStr">
        <is>
          <t>Taiwan</t>
        </is>
      </c>
      <c r="B59" s="29" t="inlineStr">
        <is>
          <t>Taiwan</t>
        </is>
      </c>
      <c r="C59" s="30" t="inlineStr">
        <is>
          <t>Magong (Penghu) → Penghu outer islands (Qimei / Wang'an)</t>
        </is>
      </c>
      <c r="D59" s="31" t="n">
        <v>23.12</v>
      </c>
      <c r="E59" s="26" t="n">
        <v>15</v>
      </c>
      <c r="F59" s="32" t="inlineStr">
        <is>
          <t>T1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176528</v>
      </c>
      <c r="AH59" s="32" t="inlineStr">
        <is>
          <t>T2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AX59" s="44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60">
      <c r="A60" s="29" t="inlineStr">
        <is>
          <t>Taiwan</t>
        </is>
      </c>
      <c r="B60" s="29" t="inlineStr">
        <is>
          <t>Taiwan</t>
        </is>
      </c>
      <c r="C60" s="30" t="inlineStr">
        <is>
          <t>Budai (Chiayi) → Magong (Penghu)</t>
        </is>
      </c>
      <c r="D60" s="31" t="n">
        <v>33</v>
      </c>
      <c r="E60" s="26" t="n">
        <v>31.6</v>
      </c>
      <c r="F60" s="32" t="inlineStr">
        <is>
          <t>T1</t>
        </is>
      </c>
      <c r="G60" s="32" t="inlineStr">
        <is>
          <t>med-high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500342</v>
      </c>
      <c r="AH60" s="32" t="inlineStr">
        <is>
          <t>T2</t>
        </is>
      </c>
      <c r="AI60" s="32" t="inlineStr">
        <is>
          <t>high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AX60" s="44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61">
      <c r="A61" s="29" t="inlineStr">
        <is>
          <t>Bangkok</t>
        </is>
      </c>
      <c r="B61" s="29" t="inlineStr">
        <is>
          <t>Thailand</t>
        </is>
      </c>
      <c r="C61" s="30" t="inlineStr">
        <is>
          <t>Sathorn (Central) Pier → Phra Arthit Pier</t>
        </is>
      </c>
      <c r="D61" s="31" t="n">
        <v>2.9</v>
      </c>
      <c r="E61" s="26" t="n">
        <v>18</v>
      </c>
      <c r="F61" s="32" t="inlineStr">
        <is>
          <t>T1</t>
        </is>
      </c>
      <c r="G61" s="32" t="inlineStr">
        <is>
          <t>high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1100000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AX61" s="44" t="n"/>
    </row>
    <row r="62">
      <c r="A62" s="29" t="inlineStr">
        <is>
          <t>Bangkok</t>
        </is>
      </c>
      <c r="B62" s="29" t="inlineStr">
        <is>
          <t>Thailand</t>
        </is>
      </c>
      <c r="C62" s="30" t="inlineStr">
        <is>
          <t>ICONSIAM Pier (Chao Phraya) → ICONSIAM Pier (Chao Phraya)</t>
        </is>
      </c>
      <c r="D62" s="31" t="n">
        <v>5.3</v>
      </c>
      <c r="E62" s="26" t="n">
        <v>35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1200000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X62" s="44" t="n"/>
    </row>
    <row r="63">
      <c r="A63" s="29" t="inlineStr">
        <is>
          <t>Koh Samui</t>
        </is>
      </c>
      <c r="B63" s="29" t="inlineStr">
        <is>
          <t>Thailand</t>
        </is>
      </c>
      <c r="C63" s="30" t="inlineStr">
        <is>
          <t>Samui Pralarn Pier (Mae Nam) → Koh Phangan (Thong Sala) — pier-exact</t>
        </is>
      </c>
      <c r="D63" s="31" t="n">
        <v>7.5</v>
      </c>
      <c r="E63" s="26" t="n">
        <v>35</v>
      </c>
      <c r="F63" s="32" t="n"/>
      <c r="G63" s="32" t="inlineStr">
        <is>
          <t>T1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450000</v>
      </c>
      <c r="AH63" s="32" t="inlineStr">
        <is>
          <t>T5</t>
        </is>
      </c>
      <c r="AI63" s="32" t="inlineStr">
        <is>
          <t>low-med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inlineStr">
        <is>
          <t>rn-db5e83248f9d</t>
        </is>
      </c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n"/>
      <c r="AX63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64">
      <c r="A64" s="29" t="inlineStr">
        <is>
          <t>Penang</t>
        </is>
      </c>
      <c r="B64" s="29" t="inlineStr">
        <is>
          <t>Thailand</t>
        </is>
      </c>
      <c r="C64" s="30" t="inlineStr">
        <is>
          <t>George Town (Penang) → Batu Ferringhi / Penang Bridge corridor</t>
        </is>
      </c>
      <c r="D64" s="31" t="n">
        <v>8</v>
      </c>
      <c r="E64" s="26" t="n">
        <v>30</v>
      </c>
      <c r="F64" s="32" t="inlineStr">
        <is>
          <t>T5</t>
        </is>
      </c>
      <c r="G64" s="32" t="inlineStr">
        <is>
          <t>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inlineStr">
        <is>
          <t>T5</t>
        </is>
      </c>
      <c r="AI64" s="32" t="inlineStr">
        <is>
          <t>low</t>
        </is>
      </c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X64" s="44" t="inlineStr">
        <is>
          <t>No boat crossing exists; Batu Ferringhi hotel-strip arrivals come by road. No credible on-water pax pool.</t>
        </is>
      </c>
    </row>
    <row r="65">
      <c r="A65" s="29" t="inlineStr">
        <is>
          <t>Phuket</t>
        </is>
      </c>
      <c r="B65" s="29" t="inlineStr">
        <is>
          <t>Thailand</t>
        </is>
      </c>
      <c r="C65" s="30" t="inlineStr">
        <is>
          <t>Chalong Pier (Ao Chalong) → Chalong Pier (Ao Chalong)</t>
        </is>
      </c>
      <c r="D65" s="31" t="n">
        <v>10</v>
      </c>
      <c r="E65" s="26" t="n">
        <v>35</v>
      </c>
      <c r="F65" s="32" t="inlineStr">
        <is>
          <t>T1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400000</v>
      </c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X65" s="44" t="n"/>
    </row>
    <row r="66">
      <c r="A66" s="29" t="inlineStr">
        <is>
          <t>Koh Samui</t>
        </is>
      </c>
      <c r="B66" s="29" t="inlineStr">
        <is>
          <t>Thailand</t>
        </is>
      </c>
      <c r="C66" s="30" t="inlineStr">
        <is>
          <t>Koh Samui (Bangrak) → Koh Phangan (Thong Sala)</t>
        </is>
      </c>
      <c r="D66" s="31" t="n">
        <v>10.2</v>
      </c>
      <c r="E66" s="26" t="n">
        <v>35</v>
      </c>
      <c r="F66" s="32" t="n"/>
      <c r="G66" s="32" t="inlineStr">
        <is>
          <t>T1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1000000</v>
      </c>
      <c r="AH66" s="32" t="inlineStr">
        <is>
          <t>T4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n"/>
      <c r="AX66" s="44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67">
      <c r="A67" s="29" t="inlineStr">
        <is>
          <t>Phuket</t>
        </is>
      </c>
      <c r="B67" s="29" t="inlineStr">
        <is>
          <t>Thailand</t>
        </is>
      </c>
      <c r="C67" s="30" t="inlineStr">
        <is>
          <t>Ao Po Pier (Ao Po / Ao Por, NE Phuket) → Khao Phing Kan (James Bond Island), Phang Nga Bay</t>
        </is>
      </c>
      <c r="D67" s="31" t="n">
        <v>13.5</v>
      </c>
      <c r="E67" s="26" t="n">
        <v>90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20000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X67" s="44" t="n"/>
    </row>
    <row r="68">
      <c r="A68" s="29" t="inlineStr">
        <is>
          <t>Koh Samui</t>
        </is>
      </c>
      <c r="B68" s="29" t="inlineStr">
        <is>
          <t>Thailand</t>
        </is>
      </c>
      <c r="C68" s="30" t="inlineStr">
        <is>
          <t>Koh Samui (Lipa Noi) → Donsak (Raja Ferry pier)</t>
        </is>
      </c>
      <c r="D68" s="31" t="n">
        <v>14.3</v>
      </c>
      <c r="E68" s="26" t="n">
        <v>15.2</v>
      </c>
      <c r="F68" s="32" t="n"/>
      <c r="G68" s="32" t="inlineStr">
        <is>
          <t>T3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666667</v>
      </c>
      <c r="AH68" s="32" t="inlineStr">
        <is>
          <t>T2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n"/>
      <c r="AX68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69">
      <c r="A69" s="29" t="inlineStr">
        <is>
          <t>Koh Samui</t>
        </is>
      </c>
      <c r="B69" s="29" t="inlineStr">
        <is>
          <t>Thailand</t>
        </is>
      </c>
      <c r="C69" s="30" t="inlineStr">
        <is>
          <t>Four Seasons Koh Samui (Laem Yai) → Ang Thong Marine Park (Wua Talap)</t>
        </is>
      </c>
      <c r="D69" s="31" t="n">
        <v>15.3</v>
      </c>
      <c r="E69" s="26" t="n">
        <v>79</v>
      </c>
      <c r="F69" s="32" t="n"/>
      <c r="G69" s="32" t="inlineStr">
        <is>
          <t>T3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300000</v>
      </c>
      <c r="AH69" s="32" t="inlineStr">
        <is>
          <t>T2</t>
        </is>
      </c>
      <c r="AI69" s="32" t="inlineStr">
        <is>
          <t>med-low</t>
        </is>
      </c>
      <c r="AJ69" s="39" t="n">
        <v>0.9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>
        <v>3</v>
      </c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n"/>
      <c r="AX69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70">
      <c r="A70" s="29" t="inlineStr">
        <is>
          <t>Koh Samui</t>
        </is>
      </c>
      <c r="B70" s="29" t="inlineStr">
        <is>
          <t>Thailand</t>
        </is>
      </c>
      <c r="C70" s="30" t="inlineStr">
        <is>
          <t>Koh Samui (Nathon) → Donsak (Seatran harbour)</t>
        </is>
      </c>
      <c r="D70" s="31" t="n">
        <v>17.9</v>
      </c>
      <c r="E70" s="26" t="n">
        <v>15.2</v>
      </c>
      <c r="F70" s="32" t="n"/>
      <c r="G70" s="32" t="inlineStr">
        <is>
          <t>T3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666667</v>
      </c>
      <c r="AH70" s="32" t="inlineStr">
        <is>
          <t>T5</t>
        </is>
      </c>
      <c r="AI70" s="32" t="inlineStr">
        <is>
          <t>low-med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n"/>
      <c r="AX70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71">
      <c r="A71" s="29" t="inlineStr">
        <is>
          <t>Phuket</t>
        </is>
      </c>
      <c r="B71" s="29" t="inlineStr">
        <is>
          <t>Thailand</t>
        </is>
      </c>
      <c r="C71" s="30" t="inlineStr">
        <is>
          <t>Phuket (Royal Phuket Marina) → Phang Nga Bay / James Bond Island</t>
        </is>
      </c>
      <c r="D71" s="31" t="n">
        <v>20</v>
      </c>
      <c r="E71" s="26" t="n">
        <v>72</v>
      </c>
      <c r="F71" s="32" t="inlineStr">
        <is>
          <t>T3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580000</v>
      </c>
      <c r="AH71" s="32" t="inlineStr">
        <is>
          <t>T2</t>
        </is>
      </c>
      <c r="AI71" s="32" t="inlineStr">
        <is>
          <t>med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X71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72">
      <c r="A72" s="29" t="inlineStr">
        <is>
          <t>Phuket</t>
        </is>
      </c>
      <c r="B72" s="29" t="inlineStr">
        <is>
          <t>Thailand</t>
        </is>
      </c>
      <c r="C72" s="30" t="inlineStr">
        <is>
          <t>Phuket → Phi Phi (Tonsai)</t>
        </is>
      </c>
      <c r="D72" s="31" t="n">
        <v>25</v>
      </c>
      <c r="E72" s="26" t="n">
        <v>44</v>
      </c>
      <c r="F72" s="32" t="inlineStr">
        <is>
          <t>T3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1080000</v>
      </c>
      <c r="AH72" s="32" t="inlineStr">
        <is>
          <t>T2</t>
        </is>
      </c>
      <c r="AI72" s="32" t="inlineStr">
        <is>
          <t>med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AX72" s="44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73">
      <c r="A73" s="29" t="inlineStr">
        <is>
          <t>Koh Samui</t>
        </is>
      </c>
      <c r="B73" s="29" t="inlineStr">
        <is>
          <t>Thailand</t>
        </is>
      </c>
      <c r="C73" s="30" t="inlineStr">
        <is>
          <t>Koh Samui (Bangrak) → Don Sak Ferry Harbour</t>
        </is>
      </c>
      <c r="D73" s="31" t="n">
        <v>28.1</v>
      </c>
      <c r="E73" s="26" t="n">
        <v>15.2</v>
      </c>
      <c r="F73" s="32" t="n"/>
      <c r="G73" s="32" t="inlineStr">
        <is>
          <t>T3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MIN(24,FLOOR(60*service_hr/J73,1))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666667</v>
      </c>
      <c r="AH73" s="32" t="inlineStr">
        <is>
          <t>T4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n"/>
      <c r="AX73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74">
      <c r="A74" s="29" t="inlineStr">
        <is>
          <t>Koh Samui</t>
        </is>
      </c>
      <c r="B74" s="29" t="inlineStr">
        <is>
          <t>Thailand</t>
        </is>
      </c>
      <c r="C74" s="30" t="inlineStr">
        <is>
          <t>Koh Samui → Koh Tao (Mae Haad)</t>
        </is>
      </c>
      <c r="D74" s="31" t="n">
        <v>35.3</v>
      </c>
      <c r="E74" s="26" t="n">
        <v>24.4</v>
      </c>
      <c r="F74" s="32" t="n"/>
      <c r="G74" s="32" t="inlineStr">
        <is>
          <t>T3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400000</v>
      </c>
      <c r="AH74" s="32" t="inlineStr">
        <is>
          <t>T5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75">
      <c r="A75" s="29" t="inlineStr">
        <is>
          <t>Phuket</t>
        </is>
      </c>
      <c r="B75" s="29" t="inlineStr">
        <is>
          <t>Thailand</t>
        </is>
      </c>
      <c r="C75" s="30" t="inlineStr">
        <is>
          <t>Phuket → Krabi (Ao Nang)</t>
        </is>
      </c>
      <c r="D75" s="31" t="n">
        <v>40</v>
      </c>
      <c r="E75" s="26" t="n">
        <v>44</v>
      </c>
      <c r="F75" s="32" t="inlineStr">
        <is>
          <t>T3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Phuket-&gt;Krabi (Ao Nang) speedboat premium tier ~comparable to Phi Phi route ($44). Krabi-specific demand re-source pending.</t>
        </is>
      </c>
      <c r="AX75" s="44" t="inlineStr">
        <is>
          <t>Phi Phi demand moved to new Phuket-&gt;Phi Phi corridor per Jaideep 2026-06-09. Krabi (Ao Nang) demand to be sourced separately. Until then: estimated via country cascade.</t>
        </is>
      </c>
    </row>
    <row r="76">
      <c r="A76" s="29" t="inlineStr">
        <is>
          <t>Phuket</t>
        </is>
      </c>
      <c r="B76" s="29" t="inlineStr">
        <is>
          <t>Thailand</t>
        </is>
      </c>
      <c r="C76" s="30" t="inlineStr">
        <is>
          <t>Phuket → Similan / Surin Islands</t>
        </is>
      </c>
      <c r="D76" s="31" t="n">
        <v>55</v>
      </c>
      <c r="E76" s="26" t="n">
        <v>80</v>
      </c>
      <c r="F76" s="32" t="inlineStr">
        <is>
          <t>T3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580000</v>
      </c>
      <c r="AH76" s="32" t="inlineStr">
        <is>
          <t>T2</t>
        </is>
      </c>
      <c r="AI76" s="32" t="inlineStr">
        <is>
          <t>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X76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77">
      <c r="A77" s="29" t="inlineStr">
        <is>
          <t>Penang</t>
        </is>
      </c>
      <c r="B77" s="29" t="inlineStr">
        <is>
          <t>Thailand</t>
        </is>
      </c>
      <c r="C77" s="30" t="inlineStr">
        <is>
          <t>Penang (George Town) → Langkawi</t>
        </is>
      </c>
      <c r="D77" s="31" t="n">
        <v>55</v>
      </c>
      <c r="E77" s="26" t="n">
        <v>17</v>
      </c>
      <c r="F77" s="32" t="inlineStr">
        <is>
          <t>T4</t>
        </is>
      </c>
      <c r="G77" s="32" t="inlineStr">
        <is>
          <t>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inlineStr">
        <is>
          <t>T4</t>
        </is>
      </c>
      <c r="AI77" s="32" t="inlineStr">
        <is>
          <t>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77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78">
      <c r="A78" s="29" t="inlineStr">
        <is>
          <t>Vietnam</t>
        </is>
      </c>
      <c r="B78" s="29" t="inlineStr">
        <is>
          <t>Vietnam</t>
        </is>
      </c>
      <c r="C78" s="30" t="inlineStr">
        <is>
          <t>Da Nang (Han River) → Hoi An / Cham Islands</t>
        </is>
      </c>
      <c r="D78" s="31" t="n">
        <v>12</v>
      </c>
      <c r="E78" s="26" t="n">
        <v>35</v>
      </c>
      <c r="F78" s="32" t="inlineStr">
        <is>
          <t>T3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434000</v>
      </c>
      <c r="AH78" s="32" t="inlineStr">
        <is>
          <t>T2</t>
        </is>
      </c>
      <c r="AI78" s="32" t="inlineStr">
        <is>
          <t>med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AX78" s="44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79">
      <c r="A79" s="29" t="inlineStr">
        <is>
          <t>Vietnam</t>
        </is>
      </c>
      <c r="B79" s="29" t="inlineStr">
        <is>
          <t>Vietnam</t>
        </is>
      </c>
      <c r="C79" s="30" t="inlineStr">
        <is>
          <t>Ha Long / Tuan Chau → Lan Ha Bay / Cat Ba</t>
        </is>
      </c>
      <c r="D79" s="31" t="n">
        <v>12</v>
      </c>
      <c r="E79" s="26" t="n">
        <v>16</v>
      </c>
      <c r="F79" s="32" t="inlineStr">
        <is>
          <t>T3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350000</v>
      </c>
      <c r="AH79" s="32" t="inlineStr">
        <is>
          <t>T5</t>
        </is>
      </c>
      <c r="AI79" s="32" t="inlineStr">
        <is>
          <t>low-med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AX79" s="44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80">
      <c r="A80" s="29" t="inlineStr">
        <is>
          <t>Vietnam</t>
        </is>
      </c>
      <c r="B80" s="29" t="inlineStr">
        <is>
          <t>Vietnam</t>
        </is>
      </c>
      <c r="C80" s="30" t="inlineStr">
        <is>
          <t>Phu Quoc (Duong Dong) → An Thoi Archipelago</t>
        </is>
      </c>
      <c r="D80" s="31" t="n">
        <v>12</v>
      </c>
      <c r="E80" s="26" t="n">
        <v>45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1000000</v>
      </c>
      <c r="AH80" s="32" t="inlineStr">
        <is>
          <t>T5</t>
        </is>
      </c>
      <c r="AI80" s="32" t="inlineStr">
        <is>
          <t>low-med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AX80" s="44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81">
      <c r="A81" s="29" t="inlineStr">
        <is>
          <t>Vietnam</t>
        </is>
      </c>
      <c r="B81" s="29" t="inlineStr">
        <is>
          <t>Vietnam</t>
        </is>
      </c>
      <c r="C81" s="30" t="inlineStr">
        <is>
          <t>Bach Dang Wharf (Saigon) → Can Gio Mangrove Biosphere</t>
        </is>
      </c>
      <c r="D81" s="31" t="n">
        <v>30</v>
      </c>
      <c r="E81" s="26" t="n">
        <v>65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inlineStr">
        <is>
          <t>null</t>
        </is>
      </c>
      <c r="AI81" s="32" t="inlineStr">
        <is>
          <t>null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AX81" s="44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82">
      <c r="A82" s="29" t="inlineStr">
        <is>
          <t>Vietnam</t>
        </is>
      </c>
      <c r="B82" s="29" t="inlineStr">
        <is>
          <t>Vietnam</t>
        </is>
      </c>
      <c r="C82" s="30" t="inlineStr">
        <is>
          <t>Saigon (Bach Dang) → Vung Tau</t>
        </is>
      </c>
      <c r="D82" s="31" t="n">
        <v>44.7</v>
      </c>
      <c r="E82" s="26" t="n">
        <v>14</v>
      </c>
      <c r="F82" s="32" t="inlineStr">
        <is>
          <t>T3</t>
        </is>
      </c>
      <c r="G82" s="32" t="inlineStr">
        <is>
          <t>med-high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100000</v>
      </c>
      <c r="AH82" s="32" t="inlineStr">
        <is>
          <t>T5</t>
        </is>
      </c>
      <c r="AI82" s="32" t="inlineStr">
        <is>
          <t>low-med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AX82" s="44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83">
      <c r="A83" s="29" t="inlineStr">
        <is>
          <t>Vietnam</t>
        </is>
      </c>
      <c r="B83" s="29" t="inlineStr">
        <is>
          <t>Vietnam</t>
        </is>
      </c>
      <c r="C83" s="30" t="inlineStr">
        <is>
          <t>Phu Quoc (Bai Vong Port) → Rach Gia (mainland)</t>
        </is>
      </c>
      <c r="D83" s="31" t="n">
        <v>62</v>
      </c>
      <c r="E83" s="26" t="n">
        <v>19</v>
      </c>
      <c r="F83" s="32" t="inlineStr">
        <is>
          <t>T3</t>
        </is>
      </c>
      <c r="G83" s="32" t="inlineStr">
        <is>
          <t>med-high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650000</v>
      </c>
      <c r="AH83" s="32" t="inlineStr">
        <is>
          <t>T2</t>
        </is>
      </c>
      <c r="AI83" s="32" t="inlineStr">
        <is>
          <t>med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AX83" s="44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84">
      <c r="A84" s="45" t="inlineStr">
        <is>
          <t>TOTAL / median</t>
        </is>
      </c>
      <c r="T84" s="46">
        <f>SUM(T4:T83)</f>
        <v/>
      </c>
      <c r="AC84" s="46">
        <f>SUM(AC4:AC83)</f>
        <v/>
      </c>
      <c r="AD84" s="47">
        <f>IF(T84=0,"",AC84/T84)</f>
        <v/>
      </c>
      <c r="AL84" s="48">
        <f>SUM(AL4:AL83)</f>
        <v/>
      </c>
      <c r="AM84" s="46">
        <f>SUM(AM4:AM83)</f>
        <v/>
      </c>
    </row>
    <row r="86">
      <c r="A8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87">
      <c r="A87" s="24" t="inlineStr">
        <is>
          <t>Market</t>
        </is>
      </c>
      <c r="B87" s="24" t="inlineStr">
        <is>
          <t>Fleet basis</t>
        </is>
      </c>
      <c r="C87" s="24" t="inlineStr">
        <is>
          <t>Raw vessels (sum)</t>
        </is>
      </c>
      <c r="D87" s="24" t="inlineStr">
        <is>
          <t>Fleet (rounded once)</t>
        </is>
      </c>
      <c r="E87" s="24" t="inlineStr">
        <is>
          <t>Market rev/yr (raw sum)</t>
        </is>
      </c>
    </row>
    <row r="88">
      <c r="A88" s="25" t="inlineStr">
        <is>
          <t>Cambodia</t>
        </is>
      </c>
      <c r="B88" s="13" t="inlineStr">
        <is>
          <t>network_sum / ceil</t>
        </is>
      </c>
      <c r="C88" s="23">
        <f>SUMIFS(AN4:AN83,A4:A83,"Cambodia",AP4:AP83,"=",AQ4:AQ83,"=",AR4:AR83,"=")</f>
        <v/>
      </c>
      <c r="D88" s="49">
        <f>IF(C88=0,0,CEILING(C88,1))</f>
        <v/>
      </c>
      <c r="E88" s="50">
        <f>SUMIFS(AO4:AO83,A4:A83,"Cambodia",AP4:AP83,"=",AQ4:AQ83,"=",AR4:AR83,"=")</f>
        <v/>
      </c>
    </row>
    <row r="89">
      <c r="A89" s="25" t="inlineStr">
        <is>
          <t>Jakarta</t>
        </is>
      </c>
      <c r="B89" s="13" t="inlineStr">
        <is>
          <t>network_sum / ceil</t>
        </is>
      </c>
      <c r="C89" s="23">
        <f>SUMIFS(AN4:AN83,A4:A83,"Jakarta",AP4:AP83,"=",AQ4:AQ83,"=",AR4:AR83,"=")</f>
        <v/>
      </c>
      <c r="D89" s="49">
        <f>IF(C89=0,0,CEILING(C89,1))</f>
        <v/>
      </c>
      <c r="E89" s="50">
        <f>SUMIFS(AO4:AO83,A4:A83,"Jakarta",AP4:AP83,"=",AQ4:AQ83,"=",AR4:AR83,"=")</f>
        <v/>
      </c>
    </row>
    <row r="90">
      <c r="A90" s="25" t="inlineStr">
        <is>
          <t>Bali</t>
        </is>
      </c>
      <c r="B90" s="13" t="inlineStr">
        <is>
          <t>network_sum / ceil</t>
        </is>
      </c>
      <c r="C90" s="23">
        <f>SUMIFS(AN4:AN83,A4:A83,"Bali",AP4:AP83,"=",AQ4:AQ83,"=",AR4:AR83,"=")</f>
        <v/>
      </c>
      <c r="D90" s="49">
        <f>IF(C90=0,0,CEILING(C90,1))</f>
        <v/>
      </c>
      <c r="E90" s="50">
        <f>SUMIFS(AO4:AO83,A4:A83,"Bali",AP4:AP83,"=",AQ4:AQ83,"=",AR4:AR83,"=")</f>
        <v/>
      </c>
    </row>
    <row r="91">
      <c r="A91" s="25" t="inlineStr">
        <is>
          <t>Langkawi</t>
        </is>
      </c>
      <c r="B91" s="13" t="inlineStr">
        <is>
          <t>network_sum / ceil</t>
        </is>
      </c>
      <c r="C91" s="23">
        <f>SUMIFS(AN4:AN83,A4:A83,"Langkawi",AP4:AP83,"=",AQ4:AQ83,"=",AR4:AR83,"=")</f>
        <v/>
      </c>
      <c r="D91" s="49">
        <f>IF(C91=0,0,CEILING(C91,1))</f>
        <v/>
      </c>
      <c r="E91" s="50">
        <f>SUMIFS(AO4:AO83,A4:A83,"Langkawi",AP4:AP83,"=",AQ4:AQ83,"=",AR4:AR83,"=")</f>
        <v/>
      </c>
    </row>
    <row r="92">
      <c r="A92" s="25" t="inlineStr">
        <is>
          <t>Borneo</t>
        </is>
      </c>
      <c r="B92" s="13" t="inlineStr">
        <is>
          <t>network_sum / ceil</t>
        </is>
      </c>
      <c r="C92" s="23">
        <f>SUMIFS(AN4:AN83,A4:A83,"Borneo",AP4:AP83,"=",AQ4:AQ83,"=",AR4:AR83,"=")</f>
        <v/>
      </c>
      <c r="D92" s="49">
        <f>IF(C92=0,0,CEILING(C92,1))</f>
        <v/>
      </c>
      <c r="E92" s="50">
        <f>SUMIFS(AO4:AO83,A4:A83,"Borneo",AP4:AP83,"=",AQ4:AQ83,"=",AR4:AR83,"=")</f>
        <v/>
      </c>
    </row>
    <row r="93">
      <c r="A93" s="25" t="inlineStr">
        <is>
          <t>Penang</t>
        </is>
      </c>
      <c r="B93" s="13" t="inlineStr">
        <is>
          <t>network_sum / ceil</t>
        </is>
      </c>
      <c r="C93" s="23">
        <f>SUMIFS(AN4:AN83,A4:A83,"Penang",AP4:AP83,"=",AQ4:AQ83,"=",AR4:AR83,"=")</f>
        <v/>
      </c>
      <c r="D93" s="49">
        <f>IF(C93=0,0,CEILING(C93,1))</f>
        <v/>
      </c>
      <c r="E93" s="50">
        <f>SUMIFS(AO4:AO83,A4:A83,"Penang",AP4:AP83,"=",AQ4:AQ83,"=",AR4:AR83,"=")</f>
        <v/>
      </c>
    </row>
    <row r="94">
      <c r="A94" s="25" t="inlineStr">
        <is>
          <t>Philippines</t>
        </is>
      </c>
      <c r="B94" s="13" t="inlineStr">
        <is>
          <t>network_sum / ceil</t>
        </is>
      </c>
      <c r="C94" s="23">
        <f>SUMIFS(AN4:AN83,A4:A83,"Philippines",AP4:AP83,"=",AQ4:AQ83,"=",AR4:AR83,"=")</f>
        <v/>
      </c>
      <c r="D94" s="49">
        <f>IF(C94=0,0,CEILING(C94,1))</f>
        <v/>
      </c>
      <c r="E94" s="50">
        <f>SUMIFS(AO4:AO83,A4:A83,"Philippines",AP4:AP83,"=",AQ4:AQ83,"=",AR4:AR83,"=")</f>
        <v/>
      </c>
    </row>
    <row r="95">
      <c r="A95" s="25" t="inlineStr">
        <is>
          <t>Singapore</t>
        </is>
      </c>
      <c r="B95" s="13" t="inlineStr">
        <is>
          <t>network_sum / ceil</t>
        </is>
      </c>
      <c r="C95" s="23">
        <f>SUMIFS(AN4:AN83,A4:A83,"Singapore",AP4:AP83,"=",AQ4:AQ83,"=",AR4:AR83,"=")</f>
        <v/>
      </c>
      <c r="D95" s="49">
        <f>IF(C95=0,0,CEILING(C95,1))</f>
        <v/>
      </c>
      <c r="E95" s="50">
        <f>SUMIFS(AO4:AO83,A4:A83,"Singapore",AP4:AP83,"=",AQ4:AQ83,"=",AR4:AR83,"=")</f>
        <v/>
      </c>
    </row>
    <row r="96">
      <c r="A96" s="25" t="inlineStr">
        <is>
          <t>Cross-Border</t>
        </is>
      </c>
      <c r="B96" s="13" t="inlineStr">
        <is>
          <t>network_sum / ceil</t>
        </is>
      </c>
      <c r="C96" s="23">
        <f>SUMIFS(AN4:AN83,A4:A83,"Cross-Border",AP4:AP83,"=",AQ4:AQ83,"=",AR4:AR83,"=")</f>
        <v/>
      </c>
      <c r="D96" s="49">
        <f>IF(C96=0,0,CEILING(C96,1))</f>
        <v/>
      </c>
      <c r="E96" s="50">
        <f>SUMIFS(AO4:AO83,A4:A83,"Cross-Border",AP4:AP83,"=",AQ4:AQ83,"=",AR4:AR83,"=")</f>
        <v/>
      </c>
    </row>
    <row r="97">
      <c r="A97" s="25" t="inlineStr">
        <is>
          <t>Taiwan</t>
        </is>
      </c>
      <c r="B97" s="13" t="inlineStr">
        <is>
          <t>network_sum / ceil</t>
        </is>
      </c>
      <c r="C97" s="23">
        <f>SUMIFS(AN4:AN83,A4:A83,"Taiwan",AP4:AP83,"=",AQ4:AQ83,"=",AR4:AR83,"=")</f>
        <v/>
      </c>
      <c r="D97" s="49">
        <f>IF(C97=0,0,CEILING(C97,1))</f>
        <v/>
      </c>
      <c r="E97" s="50">
        <f>SUMIFS(AO4:AO83,A4:A83,"Taiwan",AP4:AP83,"=",AQ4:AQ83,"=",AR4:AR83,"=")</f>
        <v/>
      </c>
    </row>
    <row r="98">
      <c r="A98" s="25" t="inlineStr">
        <is>
          <t>Bangkok</t>
        </is>
      </c>
      <c r="B98" s="13" t="inlineStr">
        <is>
          <t>network_sum / ceil</t>
        </is>
      </c>
      <c r="C98" s="23">
        <f>SUMIFS(AN4:AN83,A4:A83,"Bangkok",AP4:AP83,"=",AQ4:AQ83,"=",AR4:AR83,"=")</f>
        <v/>
      </c>
      <c r="D98" s="49">
        <f>IF(C98=0,0,CEILING(C98,1))</f>
        <v/>
      </c>
      <c r="E98" s="50">
        <f>SUMIFS(AO4:AO83,A4:A83,"Bangkok",AP4:AP83,"=",AQ4:AQ83,"=",AR4:AR83,"=")</f>
        <v/>
      </c>
    </row>
    <row r="99">
      <c r="A99" s="25" t="inlineStr">
        <is>
          <t>Koh Samui</t>
        </is>
      </c>
      <c r="B99" s="13" t="inlineStr">
        <is>
          <t>network_sum / ceil</t>
        </is>
      </c>
      <c r="C99" s="23">
        <f>SUMIFS(AN4:AN83,A4:A83,"Koh Samui",AP4:AP83,"=",AQ4:AQ83,"=",AR4:AR83,"=")</f>
        <v/>
      </c>
      <c r="D99" s="49">
        <f>IF(C99=0,0,CEILING(C99,1))</f>
        <v/>
      </c>
      <c r="E99" s="50">
        <f>SUMIFS(AO4:AO83,A4:A83,"Koh Samui",AP4:AP83,"=",AQ4:AQ83,"=",AR4:AR83,"=")</f>
        <v/>
      </c>
    </row>
    <row r="100">
      <c r="A100" s="25" t="inlineStr">
        <is>
          <t>Phuket</t>
        </is>
      </c>
      <c r="B100" s="13" t="inlineStr">
        <is>
          <t>network_sum / ceil</t>
        </is>
      </c>
      <c r="C100" s="23">
        <f>SUMIFS(AN4:AN83,A4:A83,"Phuket",AP4:AP83,"=",AQ4:AQ83,"=",AR4:AR83,"=")</f>
        <v/>
      </c>
      <c r="D100" s="49">
        <f>IF(C100=0,0,CEILING(C100,1))</f>
        <v/>
      </c>
      <c r="E100" s="50">
        <f>SUMIFS(AO4:AO83,A4:A83,"Phuket",AP4:AP83,"=",AQ4:AQ83,"=",AR4:AR83,"=")</f>
        <v/>
      </c>
    </row>
    <row r="101">
      <c r="A101" s="25" t="inlineStr">
        <is>
          <t>Vietnam</t>
        </is>
      </c>
      <c r="B101" s="13" t="inlineStr">
        <is>
          <t>network_sum / ceil</t>
        </is>
      </c>
      <c r="C101" s="23">
        <f>SUMIFS(AN4:AN83,A4:A83,"Vietnam",AP4:AP83,"=",AQ4:AQ83,"=",AR4:AR83,"=")</f>
        <v/>
      </c>
      <c r="D101" s="49">
        <f>IF(C101=0,0,CEILING(C101,1))</f>
        <v/>
      </c>
      <c r="E101" s="50">
        <f>SUMIFS(AO4:AO83,A4:A83,"Vietnam",AP4:AP83,"=",AQ4:AQ83,"=",AR4:AR83,"=")</f>
        <v/>
      </c>
    </row>
    <row r="102">
      <c r="A102" s="45" t="inlineStr">
        <is>
          <t>GROUNDED FLOOR (PUBLISHED)</t>
        </is>
      </c>
      <c r="D102" s="48">
        <f>SUM(D88:D101)</f>
        <v/>
      </c>
      <c r="E102" s="46">
        <f>SUM(E88:E101)</f>
        <v/>
      </c>
    </row>
    <row r="103">
      <c r="A103" s="20" t="inlineStr">
        <is>
          <t>ESTIMATED UPSIDE (LB-99 modal-shift / experience-upside tiers; held OUT of grounded floor)</t>
        </is>
      </c>
      <c r="D103" s="51">
        <f>SUMIF(AR4:AR83,"&lt;&gt;",AL4:AL83)</f>
        <v/>
      </c>
      <c r="E103" s="52">
        <f>SUMIF(AR4:AR83,"&lt;&gt;",AM4:AM83)</f>
        <v/>
      </c>
    </row>
    <row r="104">
      <c r="A104" s="20" t="inlineStr">
        <is>
          <t>FORWARD SAM (2030-dated; held OUT of grounded floor)</t>
        </is>
      </c>
      <c r="D104" s="51">
        <f>SUMIF(AQ4:AQ83,"&lt;&gt;",AL4:AL83)</f>
        <v/>
      </c>
      <c r="E104" s="52">
        <f>SUMIF(AQ4:AQ83,"&lt;&gt;",AM4:AM83)</f>
        <v/>
      </c>
    </row>
    <row r="106">
      <c r="A106" s="53" t="inlineStr">
        <is>
          <t>Held for Quanta-LR (&gt;70nm, roadmap H2 2026+):</t>
        </is>
      </c>
      <c r="C106" s="54" t="inlineStr">
        <is>
          <t>Singapore (Tanah Merah) → Tioman Island (east-coast Malaysia) (108.6nm)</t>
        </is>
      </c>
    </row>
    <row r="107">
      <c r="C107" s="54" t="inlineStr">
        <is>
          <t>Lombok → Komodo / Labuan Bajo (237nm)</t>
        </is>
      </c>
    </row>
    <row r="108">
      <c r="C108" s="54" t="inlineStr">
        <is>
          <t>Komodo / Labuan Bajo → Sumba (Nihi) (90nm)</t>
        </is>
      </c>
    </row>
    <row r="109">
      <c r="C109" s="54" t="inlineStr">
        <is>
          <t>Lombok → Komodo / Labuan Bajo (237nm)</t>
        </is>
      </c>
    </row>
    <row r="110">
      <c r="C110" s="54" t="inlineStr">
        <is>
          <t>Phuket → Langkawi (cross-border, regional reach) (107nm)</t>
        </is>
      </c>
    </row>
    <row r="111">
      <c r="C111" s="54" t="inlineStr">
        <is>
          <t>Phuket → Langkawi (cross-border, regional reach) (107nm)</t>
        </is>
      </c>
    </row>
    <row r="112">
      <c r="C112" s="54" t="inlineStr">
        <is>
          <t>Manila → Coron (Palawan) (150nm)</t>
        </is>
      </c>
    </row>
    <row r="113">
      <c r="C113" s="54" t="inlineStr">
        <is>
          <t>Cebu → Boracay (90nm)</t>
        </is>
      </c>
    </row>
    <row r="114">
      <c r="C114" s="54" t="inlineStr">
        <is>
          <t>Kaohsiung → Magong (Penghu) (73.0nm)</t>
        </is>
      </c>
    </row>
  </sheetData>
  <mergeCells count="2">
    <mergeCell ref="A86:L8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0.1067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2026-06-22T01:17:09Z</dcterms:created>
  <dcterms:modified xsi:type="dcterms:W3CDTF">2026-06-22T01:17:09Z</dcterms:modified>
</cp:coreProperties>
</file>