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economics'!$D$17</definedName>
    <definedName name="som_floor_rev">'Corridor economics'!$E$17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Caribbean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Singapore</t>
        </is>
      </c>
      <c r="B4" s="26" t="n">
        <v>48000</v>
      </c>
      <c r="C4" s="27" t="n">
        <v>0.21</v>
      </c>
      <c r="D4" s="19" t="n">
        <v>0.4</v>
      </c>
      <c r="E4" s="26" t="n">
        <v>20000</v>
      </c>
      <c r="F4" s="19" t="n">
        <v>1</v>
      </c>
      <c r="G4" s="26" t="n">
        <v>600000</v>
      </c>
      <c r="H4" s="14" t="inlineStr">
        <is>
          <t>Modeled SG marine crew ~SGD 4-5k/mo blended | SG regulated tariff 28.1c SGD = $0.21 | SG high-cost berth modeled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Caribbean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Caribbean</t>
        </is>
      </c>
      <c r="B4" s="29" t="inlineStr">
        <is>
          <t>Singapore</t>
        </is>
      </c>
      <c r="C4" s="30" t="inlineStr">
        <is>
          <t>Kralendijk Town Pier (Bonaire) → Klein Bonaire dive transfer (Bonaire National Marine Park)</t>
        </is>
      </c>
      <c r="D4" s="31" t="n">
        <v>2</v>
      </c>
      <c r="E4" s="26" t="n">
        <v>30</v>
      </c>
      <c r="F4" s="32" t="inlineStr">
        <is>
          <t>T5</t>
        </is>
      </c>
      <c r="G4" s="32" t="inlineStr">
        <is>
          <t>low</t>
        </is>
      </c>
      <c r="H4" s="19" t="n">
        <v>0.92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27418</v>
      </c>
      <c r="AH4" s="32" t="inlineStr">
        <is>
          <t>T4</t>
        </is>
      </c>
      <c r="AI4" s="32" t="inlineStr">
        <is>
          <t>med</t>
        </is>
      </c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MODELED dive-transfer band (Klein Bonaire). To be finalized in cascade.</t>
        </is>
      </c>
      <c r="AY4" s="44" t="inlineStr">
        <is>
          <t>bonaire dive transfer pool</t>
        </is>
      </c>
    </row>
    <row r="5">
      <c r="A5" s="29" t="inlineStr">
        <is>
          <t>Caribbean</t>
        </is>
      </c>
      <c r="B5" s="29" t="inlineStr">
        <is>
          <t>Singapore</t>
        </is>
      </c>
      <c r="C5" s="30" t="inlineStr">
        <is>
          <t>Kralendijk Town Pier (Bonaire) → Harbour Village Marina / dive-resort jetty cluster (Bonaire)</t>
        </is>
      </c>
      <c r="D5" s="31" t="n">
        <v>2</v>
      </c>
      <c r="E5" s="26" t="n">
        <v>28</v>
      </c>
      <c r="F5" s="32" t="inlineStr">
        <is>
          <t>T5</t>
        </is>
      </c>
      <c r="G5" s="32" t="inlineStr">
        <is>
          <t>low</t>
        </is>
      </c>
      <c r="H5" s="19" t="n">
        <v>0.92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53850</v>
      </c>
      <c r="AH5" s="32" t="inlineStr">
        <is>
          <t>T4</t>
        </is>
      </c>
      <c r="AI5" s="32" t="inlineStr">
        <is>
          <t>med</t>
        </is>
      </c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MODELED short town/cruise→dive-resort transfer. To be finalized in cascade.</t>
        </is>
      </c>
      <c r="AY5" s="44" t="inlineStr">
        <is>
          <t>bonaire cruise → dive-resort cluster</t>
        </is>
      </c>
    </row>
    <row r="6">
      <c r="A6" s="29" t="inlineStr">
        <is>
          <t>Caribbean</t>
        </is>
      </c>
      <c r="B6" s="29" t="inlineStr">
        <is>
          <t>Singapore</t>
        </is>
      </c>
      <c r="C6" s="30" t="inlineStr">
        <is>
          <t>Queen Beatrix Airport waterfront (Aruba) → Palm Beach resort strip (Aruba)</t>
        </is>
      </c>
      <c r="D6" s="31" t="n">
        <v>5</v>
      </c>
      <c r="E6" s="26" t="n">
        <v>45</v>
      </c>
      <c r="F6" s="32" t="inlineStr">
        <is>
          <t>T5</t>
        </is>
      </c>
      <c r="G6" s="32" t="inlineStr">
        <is>
          <t>low</t>
        </is>
      </c>
      <c r="H6" s="19" t="n">
        <v>0.9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216000</v>
      </c>
      <c r="AH6" s="32" t="inlineStr">
        <is>
          <t>T4</t>
        </is>
      </c>
      <c r="AI6" s="32" t="inlineStr">
        <is>
          <t>med</t>
        </is>
      </c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MODELED premium air→resort transfer band. To be finalized in cascade.</t>
        </is>
      </c>
      <c r="AY6" s="44" t="inlineStr">
        <is>
          <t>aruba airport → resort</t>
        </is>
      </c>
    </row>
    <row r="7">
      <c r="A7" s="29" t="inlineStr">
        <is>
          <t>Caribbean</t>
        </is>
      </c>
      <c r="B7" s="29" t="inlineStr">
        <is>
          <t>Singapore</t>
        </is>
      </c>
      <c r="C7" s="30" t="inlineStr">
        <is>
          <t>Oranjestad Cruise Terminal (Aruba) → Palm Beach resort strip (Aruba)</t>
        </is>
      </c>
      <c r="D7" s="31" t="n">
        <v>6</v>
      </c>
      <c r="E7" s="26" t="n">
        <v>40</v>
      </c>
      <c r="F7" s="32" t="inlineStr">
        <is>
          <t>T5</t>
        </is>
      </c>
      <c r="G7" s="32" t="inlineStr">
        <is>
          <t>low</t>
        </is>
      </c>
      <c r="H7" s="19" t="n">
        <v>0.9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102000</v>
      </c>
      <c r="AH7" s="32" t="inlineStr">
        <is>
          <t>T4</t>
        </is>
      </c>
      <c r="AI7" s="32" t="inlineStr">
        <is>
          <t>med</t>
        </is>
      </c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MODELED premium cruise-shore / resort transfer band. To be finalized in cascade.</t>
        </is>
      </c>
      <c r="AY7" s="44" t="inlineStr">
        <is>
          <t>aruba cruise → resort strip</t>
        </is>
      </c>
    </row>
    <row r="8">
      <c r="A8" s="29" t="inlineStr">
        <is>
          <t>Caribbean</t>
        </is>
      </c>
      <c r="B8" s="29" t="inlineStr">
        <is>
          <t>Singapore</t>
        </is>
      </c>
      <c r="C8" s="30" t="inlineStr">
        <is>
          <t>Willemstad / Sint Anna Bay (Curaçao) → Spanish Water / Jan Thiel resort &amp; leisure cluster (Curaçao)</t>
        </is>
      </c>
      <c r="D8" s="31" t="n">
        <v>7</v>
      </c>
      <c r="E8" s="26" t="n">
        <v>40</v>
      </c>
      <c r="F8" s="32" t="inlineStr">
        <is>
          <t>T5</t>
        </is>
      </c>
      <c r="G8" s="32" t="inlineStr">
        <is>
          <t>low</t>
        </is>
      </c>
      <c r="H8" s="19" t="n">
        <v>0.9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83489</v>
      </c>
      <c r="AH8" s="32" t="inlineStr">
        <is>
          <t>T4</t>
        </is>
      </c>
      <c r="AI8" s="32" t="inlineStr">
        <is>
          <t>med</t>
        </is>
      </c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MODELED premium cruise/town→resort transfer band. To be finalized in cascade.</t>
        </is>
      </c>
      <c r="AY8" s="44" t="inlineStr">
        <is>
          <t>curacao cruise → resort cluster</t>
        </is>
      </c>
    </row>
    <row r="9">
      <c r="A9" s="29" t="inlineStr">
        <is>
          <t>Caribbean</t>
        </is>
      </c>
      <c r="B9" s="29" t="inlineStr">
        <is>
          <t>Singapore</t>
        </is>
      </c>
      <c r="C9" s="30" t="inlineStr">
        <is>
          <t>Hato (Curaçao Int'l) airport waterfront → Spanish Water / Jan Thiel resort cluster (Curaçao)</t>
        </is>
      </c>
      <c r="D9" s="31" t="n">
        <v>10</v>
      </c>
      <c r="E9" s="26" t="n">
        <v>50</v>
      </c>
      <c r="F9" s="32" t="inlineStr">
        <is>
          <t>T5</t>
        </is>
      </c>
      <c r="G9" s="32" t="inlineStr">
        <is>
          <t>low</t>
        </is>
      </c>
      <c r="H9" s="19" t="n">
        <v>0.9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84029</v>
      </c>
      <c r="AH9" s="32" t="inlineStr">
        <is>
          <t>T4</t>
        </is>
      </c>
      <c r="AI9" s="32" t="inlineStr">
        <is>
          <t>med</t>
        </is>
      </c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MODELED premium air→resort transfer band. To be finalized in cascade.</t>
        </is>
      </c>
      <c r="AY9" s="44" t="inlineStr">
        <is>
          <t>curacao airport → south-coast resorts</t>
        </is>
      </c>
    </row>
    <row r="10">
      <c r="A10" s="29" t="inlineStr">
        <is>
          <t>Caribbean</t>
        </is>
      </c>
      <c r="B10" s="29" t="inlineStr">
        <is>
          <t>Singapore</t>
        </is>
      </c>
      <c r="C10" s="30" t="inlineStr">
        <is>
          <t>Curaçao (Spanish Water / Caracasbaai) → Klein Curaçao day-trip jetty</t>
        </is>
      </c>
      <c r="D10" s="31" t="n">
        <v>15</v>
      </c>
      <c r="E10" s="26" t="n">
        <v>110</v>
      </c>
      <c r="F10" s="32" t="inlineStr">
        <is>
          <t>T5</t>
        </is>
      </c>
      <c r="G10" s="32" t="inlineStr">
        <is>
          <t>low</t>
        </is>
      </c>
      <c r="H10" s="19" t="n">
        <v>0.6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5000</v>
      </c>
      <c r="AH10" s="32" t="inlineStr">
        <is>
          <t>T4</t>
        </is>
      </c>
      <c r="AI10" s="32" t="inlineStr">
        <is>
          <t>med</t>
        </is>
      </c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Estimated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MODELED premium seasonal excursion. To be finalized in cascade with season_days.</t>
        </is>
      </c>
      <c r="AY10" s="44" t="inlineStr">
        <is>
          <t>ABC broad-footprint default slice</t>
        </is>
      </c>
    </row>
    <row r="11">
      <c r="A11" s="29" t="inlineStr">
        <is>
          <t>Caribbean</t>
        </is>
      </c>
      <c r="B11" s="29" t="inlineStr">
        <is>
          <t>Singapore</t>
        </is>
      </c>
      <c r="C11" s="30" t="inlineStr">
        <is>
          <t>Curaçao (Spanish Water / Caracasbaai) → Bonaire (Kralendijk town pier)</t>
        </is>
      </c>
      <c r="D11" s="31" t="n">
        <v>38</v>
      </c>
      <c r="E11" s="26" t="n">
        <v>75</v>
      </c>
      <c r="F11" s="32" t="inlineStr">
        <is>
          <t>T4</t>
        </is>
      </c>
      <c r="G11" s="32" t="inlineStr">
        <is>
          <t>low-med</t>
        </is>
      </c>
      <c r="H11" s="19" t="n">
        <v>0.85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55480</v>
      </c>
      <c r="AH11" s="32" t="inlineStr">
        <is>
          <t>T4</t>
        </is>
      </c>
      <c r="AI11" s="32" t="inlineStr">
        <is>
          <t>med</t>
        </is>
      </c>
      <c r="AJ11" s="39" t="n">
        <v>0.1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Grounded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MODELED against the live Divi Divi/EZ Air Curaçao↔Bonaire one-way fare band (~$90-130); sea transfer priced below air. To be finalized in cascade.</t>
        </is>
      </c>
      <c r="AY11" s="44" t="inlineStr">
        <is>
          <t>inter_island_air_substitution_pool Curaçao↔Bonaire high-frequency turboprop</t>
        </is>
      </c>
    </row>
    <row r="12">
      <c r="A12" s="45" t="inlineStr">
        <is>
          <t>TOTAL / median</t>
        </is>
      </c>
      <c r="T12" s="46">
        <f>SUM(T4:T11)</f>
        <v/>
      </c>
      <c r="AC12" s="46">
        <f>SUM(AC4:AC11)</f>
        <v/>
      </c>
      <c r="AD12" s="47">
        <f>IF(T12=0,"",AC12/T12)</f>
        <v/>
      </c>
      <c r="AL12" s="48">
        <f>SUM(AL4:AL11)</f>
        <v/>
      </c>
      <c r="AM12" s="46">
        <f>SUM(AM4:AM11)</f>
        <v/>
      </c>
    </row>
    <row r="14">
      <c r="A14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5">
      <c r="A15" s="24" t="inlineStr">
        <is>
          <t>Market</t>
        </is>
      </c>
      <c r="B15" s="24" t="inlineStr">
        <is>
          <t>Fleet basis</t>
        </is>
      </c>
      <c r="C15" s="24" t="inlineStr">
        <is>
          <t>Raw vessels (sum)</t>
        </is>
      </c>
      <c r="D15" s="24" t="inlineStr">
        <is>
          <t>Fleet (rounded once)</t>
        </is>
      </c>
      <c r="E15" s="24" t="inlineStr">
        <is>
          <t>Market rev/yr (raw sum)</t>
        </is>
      </c>
    </row>
    <row r="16">
      <c r="A16" s="25" t="inlineStr">
        <is>
          <t>Caribbean</t>
        </is>
      </c>
      <c r="B16" s="13" t="inlineStr">
        <is>
          <t>island-hopping-network / phase-cap</t>
        </is>
      </c>
      <c r="C16" s="13" t="inlineStr">
        <is>
          <t>—</t>
        </is>
      </c>
      <c r="D16" s="49">
        <f>SUMIFS(AL4:AL11,A4:A11,"Caribbean",AP4:AP11,"=",AQ4:AQ11,"Grounded")</f>
        <v/>
      </c>
      <c r="E16" s="50">
        <f>SUMIFS(AM4:AM11,A4:A11,"Caribbean",AP4:AP11,"=",AQ4:AQ11,"Grounded")</f>
        <v/>
      </c>
    </row>
    <row r="17">
      <c r="A17" s="45" t="inlineStr">
        <is>
          <t>GROUNDED FLOOR (PUBLISHED)</t>
        </is>
      </c>
      <c r="D17" s="48">
        <f>SUM(D16:D16)</f>
        <v/>
      </c>
      <c r="E17" s="46">
        <f>SUM(E16:E16)</f>
        <v/>
      </c>
    </row>
    <row r="18">
      <c r="A18" s="20" t="inlineStr">
        <is>
          <t>ESTIMATED DEMAND (country-median cascade; held OUT of grounded floor)</t>
        </is>
      </c>
      <c r="D18" s="51">
        <f>SUMIF(AQ4:AQ11,"Estimated",AL4:AL11)</f>
        <v/>
      </c>
      <c r="E18" s="52">
        <f>SUMIF(AQ4:AQ11,"Estimated",AM4:AM11)</f>
        <v/>
      </c>
    </row>
  </sheetData>
  <mergeCells count="2">
    <mergeCell ref="A14:L14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0.5101</v>
      </c>
      <c r="C6" s="39" t="n">
        <v>0.5101</v>
      </c>
      <c r="D6" s="39" t="n">
        <v>0.5601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0.5101</v>
      </c>
      <c r="E11" s="14" t="inlineStr">
        <is>
          <t>Captive sole-operator capture (~51%) that builds the published floor; M_today = floor ÷ this = the true corridor spend pool.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(~51%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(~51%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3" t="inlineStr">
        <is>
          <t>Note</t>
        </is>
      </c>
      <c r="B26" s="54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2026-06-24T02:59:00Z</dcterms:created>
  <dcterms:modified xsi:type="dcterms:W3CDTF">2026-06-24T02:59:00Z</dcterms:modified>
</cp:coreProperties>
</file>