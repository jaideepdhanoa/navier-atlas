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economics'!$D$16</definedName>
    <definedName name="som_floor_rev">'Corridor economics'!$E$16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Red-Sea-Global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Saudi Arabia</t>
        </is>
      </c>
      <c r="B4" s="26" t="n">
        <v>42000</v>
      </c>
      <c r="C4" s="27" t="n">
        <v>0.074</v>
      </c>
      <c r="D4" s="19" t="n">
        <v>0.57</v>
      </c>
      <c r="E4" s="26" t="n">
        <v>18000</v>
      </c>
      <c r="F4" s="19" t="n">
        <v>0.68</v>
      </c>
      <c r="G4" s="26" t="n">
        <v>600000</v>
      </c>
      <c r="H4" s="14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Red-Sea-Global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Saudi – Red Sea (Resort)</t>
        </is>
      </c>
      <c r="B4" s="29" t="inlineStr">
        <is>
          <t>Saudi Arabia</t>
        </is>
      </c>
      <c r="C4" s="30" t="inlineStr">
        <is>
          <t>Jeddah Corniche → Jeddah Central (PIF waterfront)</t>
        </is>
      </c>
      <c r="D4" s="31" t="n">
        <v>2.4</v>
      </c>
      <c r="E4" s="26" t="n">
        <v>60</v>
      </c>
      <c r="F4" s="32" t="inlineStr">
        <is>
          <t>T5</t>
        </is>
      </c>
      <c r="G4" s="32" t="inlineStr">
        <is>
          <t>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inlineStr">
        <is>
          <t>T5</t>
        </is>
      </c>
      <c r="AI4" s="32" t="inlineStr">
        <is>
          <t>low</t>
        </is>
      </c>
      <c r="AJ4" s="39" t="n">
        <v>0.9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X4" s="44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</row>
    <row r="5">
      <c r="A5" s="29" t="inlineStr">
        <is>
          <t>Saudi – Red Sea (Resort)</t>
        </is>
      </c>
      <c r="B5" s="29" t="inlineStr">
        <is>
          <t>Saudi Arabia</t>
        </is>
      </c>
      <c r="C5" s="30" t="inlineStr">
        <is>
          <t>Outer-island resort → Outer-island resort cluster (Nujuma / Jumeirah / St Regis)</t>
        </is>
      </c>
      <c r="D5" s="31" t="n">
        <v>9.699999999999999</v>
      </c>
      <c r="E5" s="26" t="n">
        <v>125</v>
      </c>
      <c r="F5" s="32" t="inlineStr">
        <is>
          <t>T5</t>
        </is>
      </c>
      <c r="G5" s="32" t="inlineStr">
        <is>
          <t>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150000</v>
      </c>
      <c r="AH5" s="32" t="inlineStr">
        <is>
          <t>T5</t>
        </is>
      </c>
      <c r="AI5" s="32" t="inlineStr">
        <is>
          <t>low</t>
        </is>
      </c>
      <c r="AJ5" s="39" t="n">
        <v>0.9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inlineStr">
        <is>
          <t>FWD-SAM (2030)</t>
        </is>
      </c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X5" s="44" t="inlineStr">
        <is>
          <t>Subset of RSG 1M/yr visitor cap doing outer-island-to-outer-island hops (not the main arrival leg). Modeled ~15% of the 1M pool ~150k. Speculative which guests hop islands; R2 borderline.</t>
        </is>
      </c>
    </row>
    <row r="6">
      <c r="A6" s="29" t="inlineStr">
        <is>
          <t>Saudi – Red Sea (Resort)</t>
        </is>
      </c>
      <c r="B6" s="29" t="inlineStr">
        <is>
          <t>Saudi Arabia</t>
        </is>
      </c>
      <c r="C6" s="30" t="inlineStr">
        <is>
          <t>Shura Island Marina → Outer-island resorts (St Regis / Nujuma / Shebara)</t>
        </is>
      </c>
      <c r="D6" s="31" t="n">
        <v>11.5</v>
      </c>
      <c r="E6" s="26" t="n">
        <v>175</v>
      </c>
      <c r="F6" s="32" t="inlineStr">
        <is>
          <t>T5</t>
        </is>
      </c>
      <c r="G6" s="32" t="inlineStr">
        <is>
          <t>low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500000</v>
      </c>
      <c r="AH6" s="32" t="inlineStr">
        <is>
          <t>T2</t>
        </is>
      </c>
      <c r="AI6" s="32" t="inlineStr">
        <is>
          <t>low-med</t>
        </is>
      </c>
      <c r="AJ6" s="39" t="n">
        <v>0.9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inlineStr">
        <is>
          <t>FWD-SAM (2030)</t>
        </is>
      </c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X6" s="44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</row>
    <row r="7">
      <c r="A7" s="29" t="inlineStr">
        <is>
          <t>Saudi – Red Sea (Resort)</t>
        </is>
      </c>
      <c r="B7" s="29" t="inlineStr">
        <is>
          <t>Saudi Arabia</t>
        </is>
      </c>
      <c r="C7" s="30" t="inlineStr">
        <is>
          <t>Jeddah Corniche → Jeddah Yacht Club &amp; Marina</t>
        </is>
      </c>
      <c r="D7" s="31" t="n">
        <v>12</v>
      </c>
      <c r="E7" s="26" t="n"/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0.9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n"/>
      <c r="AX7" s="44" t="n"/>
    </row>
    <row r="8">
      <c r="A8" s="29" t="inlineStr">
        <is>
          <t>Saudi – Red Sea (Resort)</t>
        </is>
      </c>
      <c r="B8" s="29" t="inlineStr">
        <is>
          <t>Saudi Arabia</t>
        </is>
      </c>
      <c r="C8" s="30" t="inlineStr">
        <is>
          <t>Khobar / Dammam (Eastern Province) → Manama, Bahrain</t>
        </is>
      </c>
      <c r="D8" s="31" t="n">
        <v>18.6</v>
      </c>
      <c r="E8" s="26" t="n">
        <v>80</v>
      </c>
      <c r="F8" s="32" t="inlineStr">
        <is>
          <t>T5</t>
        </is>
      </c>
      <c r="G8" s="32" t="inlineStr">
        <is>
          <t>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330000</v>
      </c>
      <c r="AH8" s="32" t="inlineStr">
        <is>
          <t>T3</t>
        </is>
      </c>
      <c r="AI8" s="32" t="inlineStr">
        <is>
          <t>low</t>
        </is>
      </c>
      <c r="AJ8" s="39" t="n">
        <v>0.9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X8" s="44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</row>
    <row r="9">
      <c r="A9" s="29" t="inlineStr">
        <is>
          <t>Saudi – Red Sea (Resort)</t>
        </is>
      </c>
      <c r="B9" s="29" t="inlineStr">
        <is>
          <t>Saudi Arabia</t>
        </is>
      </c>
      <c r="C9" s="30" t="inlineStr">
        <is>
          <t>The Red Sea → AMAALA (Triple Bay)</t>
        </is>
      </c>
      <c r="D9" s="31" t="n">
        <v>29.4</v>
      </c>
      <c r="E9" s="26" t="n">
        <v>250</v>
      </c>
      <c r="F9" s="32" t="inlineStr">
        <is>
          <t>T5</t>
        </is>
      </c>
      <c r="G9" s="32" t="inlineStr">
        <is>
          <t>low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500000</v>
      </c>
      <c r="AH9" s="32" t="inlineStr">
        <is>
          <t>T4</t>
        </is>
      </c>
      <c r="AI9" s="32" t="inlineStr">
        <is>
          <t>low</t>
        </is>
      </c>
      <c r="AJ9" s="39" t="n">
        <v>0.9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X9" s="44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</row>
    <row r="10">
      <c r="A10" s="29" t="inlineStr">
        <is>
          <t>Saudi – Red Sea (Resort)</t>
        </is>
      </c>
      <c r="B10" s="29" t="inlineStr">
        <is>
          <t>Saudi Arabia</t>
        </is>
      </c>
      <c r="C10" s="30" t="inlineStr">
        <is>
          <t>NEOM — Sindalah → Magna / Oxagon coast</t>
        </is>
      </c>
      <c r="D10" s="31" t="n">
        <v>30.8</v>
      </c>
      <c r="E10" s="26" t="n">
        <v>120</v>
      </c>
      <c r="F10" s="32" t="inlineStr">
        <is>
          <t>T5</t>
        </is>
      </c>
      <c r="G10" s="32" t="inlineStr">
        <is>
          <t>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250000</v>
      </c>
      <c r="AH10" s="32" t="inlineStr">
        <is>
          <t>T2</t>
        </is>
      </c>
      <c r="AI10" s="32" t="inlineStr">
        <is>
          <t>low</t>
        </is>
      </c>
      <c r="AJ10" s="39" t="n">
        <v>0.9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Sindalah is an ultra-premium yachting island (413-440 hotel rooms, 86-berth marina). NEOM inter-zone premium per-seat transfer modeled on Maldives/yacht-hub premium speedboat tier -&gt; $120.</t>
        </is>
      </c>
      <c r="AX10" s="44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</row>
    <row r="11">
      <c r="A11" s="45" t="inlineStr">
        <is>
          <t>TOTAL / median</t>
        </is>
      </c>
      <c r="T11" s="46">
        <f>SUM(T4:T10)</f>
        <v/>
      </c>
      <c r="AC11" s="46">
        <f>SUM(AC4:AC10)</f>
        <v/>
      </c>
      <c r="AD11" s="47">
        <f>IF(T11=0,"",AC11/T11)</f>
        <v/>
      </c>
      <c r="AL11" s="48">
        <f>SUM(AL4:AL10)</f>
        <v/>
      </c>
      <c r="AM11" s="46">
        <f>SUM(AM4:AM10)</f>
        <v/>
      </c>
    </row>
    <row r="13">
      <c r="A13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4">
      <c r="A14" s="24" t="inlineStr">
        <is>
          <t>Market</t>
        </is>
      </c>
      <c r="B14" s="24" t="inlineStr">
        <is>
          <t>Fleet basis</t>
        </is>
      </c>
      <c r="C14" s="24" t="inlineStr">
        <is>
          <t>Raw vessels (sum)</t>
        </is>
      </c>
      <c r="D14" s="24" t="inlineStr">
        <is>
          <t>Fleet (rounded once)</t>
        </is>
      </c>
      <c r="E14" s="24" t="inlineStr">
        <is>
          <t>Market rev/yr (raw sum)</t>
        </is>
      </c>
    </row>
    <row r="15">
      <c r="A15" s="25" t="inlineStr">
        <is>
          <t>Saudi – Red Sea (Resort)</t>
        </is>
      </c>
      <c r="B15" s="13" t="inlineStr">
        <is>
          <t>per_corridor_floor</t>
        </is>
      </c>
      <c r="C15" s="13" t="inlineStr">
        <is>
          <t>—</t>
        </is>
      </c>
      <c r="D15" s="49">
        <f>SUMIFS(AL4:AL10,A4:A10,"Saudi – Red Sea (Resort)",AP4:AP10,"=",AQ4:AQ10,"=",AR4:AR10,"=")</f>
        <v/>
      </c>
      <c r="E15" s="50">
        <f>SUMIFS(AM4:AM10,A4:A10,"Saudi – Red Sea (Resort)",AP4:AP10,"=",AQ4:AQ10,"=",AR4:AR10,"=")</f>
        <v/>
      </c>
    </row>
    <row r="16">
      <c r="A16" s="45" t="inlineStr">
        <is>
          <t>GROUNDED FLOOR (PUBLISHED)</t>
        </is>
      </c>
      <c r="D16" s="48">
        <f>SUM(D15:D15)</f>
        <v/>
      </c>
      <c r="E16" s="46">
        <f>SUM(E15:E15)</f>
        <v/>
      </c>
    </row>
    <row r="17">
      <c r="A17" s="20" t="inlineStr">
        <is>
          <t>FORWARD SAM (2030-dated; held OUT of grounded floor)</t>
        </is>
      </c>
      <c r="D17" s="51">
        <f>SUMIF(AQ4:AQ10,"&lt;&gt;",AL4:AL10)</f>
        <v/>
      </c>
      <c r="E17" s="52">
        <f>SUMIF(AQ4:AQ10,"&lt;&gt;",AM4:AM10)</f>
        <v/>
      </c>
    </row>
    <row r="19">
      <c r="A19" s="53" t="inlineStr">
        <is>
          <t>Held for Quanta-LR (&gt;70nm, roadmap H2 2026+):</t>
        </is>
      </c>
      <c r="C19" s="54" t="inlineStr">
        <is>
          <t>Shura Island hub → AMAALA (Triple Bay) (82.9nm)</t>
        </is>
      </c>
    </row>
    <row r="20">
      <c r="C20" s="54" t="inlineStr">
        <is>
          <t>Jeddah → NEOM (Sindalah) (463.9nm)</t>
        </is>
      </c>
    </row>
    <row r="21">
      <c r="C21" s="54" t="inlineStr">
        <is>
          <t>Jeddah gateway → The Red Sea archipelago (275.5nm)</t>
        </is>
      </c>
    </row>
    <row r="22">
      <c r="C22" s="54" t="inlineStr">
        <is>
          <t>The Red Sea → NEOM (Sindalah) / Jeddah gateway (196.9nm)</t>
        </is>
      </c>
    </row>
  </sheetData>
  <mergeCells count="2">
    <mergeCell ref="A13:L1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0.8934</v>
      </c>
      <c r="C6" s="39" t="n">
        <v>0.8934</v>
      </c>
      <c r="D6" s="39" t="n">
        <v>0.9434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0.8934</v>
      </c>
      <c r="E11" s="14" t="inlineStr">
        <is>
          <t>Captive sole-operator capture (~89%) that builds the published floor; M_today = floor ÷ this = the true corridor spend pool.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(~89%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(~89%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2026-06-22T00:41:48Z</dcterms:created>
  <dcterms:modified xsi:type="dcterms:W3CDTF">2026-06-22T00:41:48Z</dcterms:modified>
</cp:coreProperties>
</file>