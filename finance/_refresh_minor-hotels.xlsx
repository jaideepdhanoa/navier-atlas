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opex'!$A$4:$G$7</definedName>
    <definedName name="som_floor_fleet">'Corridor economics'!$D$55</definedName>
    <definedName name="som_floor_rev">'Corridor economics'!$E$55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Minor-Hotels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Singapore</t>
        </is>
      </c>
      <c r="B5" s="26" t="n">
        <v>48000</v>
      </c>
      <c r="C5" s="27" t="n">
        <v>0.21</v>
      </c>
      <c r="D5" s="19" t="n">
        <v>0.4</v>
      </c>
      <c r="E5" s="26" t="n">
        <v>20000</v>
      </c>
      <c r="F5" s="19" t="n">
        <v>1</v>
      </c>
      <c r="G5" s="26" t="n">
        <v>600000</v>
      </c>
      <c r="H5" s="14" t="inlineStr">
        <is>
          <t>Modeled SG marine crew ~SGD 4-5k/mo blended | SG regulated tariff 28.1c SGD = $0.21 | SG high-cost berth modeled | CAPEX LB-243 US/EU=$900K else $600K</t>
        </is>
      </c>
    </row>
    <row r="6">
      <c r="A6" s="25" t="inlineStr">
        <is>
          <t>Thailand</t>
        </is>
      </c>
      <c r="B6" s="26" t="n">
        <v>24000</v>
      </c>
      <c r="C6" s="27" t="n">
        <v>0.116</v>
      </c>
      <c r="D6" s="19" t="n">
        <v>0.5</v>
      </c>
      <c r="E6" s="26" t="n">
        <v>12000</v>
      </c>
      <c r="F6" s="19" t="n">
        <v>0.55</v>
      </c>
      <c r="G6" s="26" t="n">
        <v>600000</v>
      </c>
      <c r="H6" s="14" t="inlineStr">
        <is>
          <t>ERI Thailand boat captain ~876k THB/yr | MEA/PEA business tariff ~4.18 THB/kWh | Modeled Phuket marine ops | CAPEX LB-243 US/EU=$900K else $600K</t>
        </is>
      </c>
    </row>
    <row r="7">
      <c r="A7" s="25" t="inlineStr">
        <is>
          <t>United Arab Emirates</t>
        </is>
      </c>
      <c r="B7" s="26" t="n">
        <v>40000</v>
      </c>
      <c r="C7" s="27" t="n">
        <v>0.08500000000000001</v>
      </c>
      <c r="D7" s="19" t="n">
        <v>0.4</v>
      </c>
      <c r="E7" s="26" t="n">
        <v>22000</v>
      </c>
      <c r="F7" s="19" t="n">
        <v>0.74</v>
      </c>
      <c r="G7" s="26" t="n">
        <v>600000</v>
      </c>
      <c r="H7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5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Minor-Hotels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Bali</t>
        </is>
      </c>
      <c r="B4" s="29" t="inlineStr">
        <is>
          <t>Indonesia</t>
        </is>
      </c>
      <c r="C4" s="30" t="inlineStr">
        <is>
          <t>Sanur Beach Fast Boat Terminal → GoBoat.id - Nelayan Beach Canggu</t>
        </is>
      </c>
      <c r="D4" s="31" t="n">
        <v>7.6</v>
      </c>
      <c r="E4" s="26" t="n">
        <v>85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2919</v>
      </c>
      <c r="AH4" s="32" t="inlineStr">
        <is>
          <t>T2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minor-hotels/bali grounded floor</t>
        </is>
      </c>
      <c r="AY4" s="44" t="inlineStr">
        <is>
          <t>minor-hotels/bali grounded floor</t>
        </is>
      </c>
    </row>
    <row r="5">
      <c r="A5" s="29" t="inlineStr">
        <is>
          <t>Bali</t>
        </is>
      </c>
      <c r="B5" s="29" t="inlineStr">
        <is>
          <t>Indonesia</t>
        </is>
      </c>
      <c r="C5" s="30" t="inlineStr">
        <is>
          <t>Bali Marina (Benoa) → Six Senses Uluwatu</t>
        </is>
      </c>
      <c r="D5" s="31" t="n">
        <v>7.7</v>
      </c>
      <c r="E5" s="26" t="n">
        <v>85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2919</v>
      </c>
      <c r="AH5" s="32" t="inlineStr">
        <is>
          <t>T2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minor-hotels/bali grounded floor</t>
        </is>
      </c>
      <c r="AY5" s="44" t="inlineStr">
        <is>
          <t>minor-hotels/bali grounded floor</t>
        </is>
      </c>
    </row>
    <row r="6">
      <c r="A6" s="29" t="inlineStr">
        <is>
          <t>Bali</t>
        </is>
      </c>
      <c r="B6" s="29" t="inlineStr">
        <is>
          <t>Indonesia</t>
        </is>
      </c>
      <c r="C6" s="30" t="inlineStr">
        <is>
          <t>Bali (Benoa / Sanur) → Nusa Penida / Lembongan</t>
        </is>
      </c>
      <c r="D6" s="31" t="n">
        <v>13.5</v>
      </c>
      <c r="E6" s="26" t="n">
        <v>85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2918</v>
      </c>
      <c r="AH6" s="32" t="inlineStr">
        <is>
          <t>T2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minor-hotels/bali grounded floor</t>
        </is>
      </c>
      <c r="AY6" s="44" t="inlineStr">
        <is>
          <t>minor-hotels/bali grounded floor</t>
        </is>
      </c>
    </row>
    <row r="7">
      <c r="A7" s="29" t="inlineStr">
        <is>
          <t>Uae Wider</t>
        </is>
      </c>
      <c r="B7" s="29" t="inlineStr">
        <is>
          <t>Singapore</t>
        </is>
      </c>
      <c r="C7" s="30" t="inlineStr">
        <is>
          <t>Abu Dhabi: Marina Bay 1 → Desert Hydra Dragonboat Team ️</t>
        </is>
      </c>
      <c r="D7" s="31" t="n">
        <v>0.4</v>
      </c>
      <c r="E7" s="26" t="n">
        <v>150</v>
      </c>
      <c r="F7" s="32" t="inlineStr">
        <is>
          <t>T5</t>
        </is>
      </c>
      <c r="G7" s="32" t="inlineStr">
        <is>
          <t>low-med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667</v>
      </c>
      <c r="AH7" s="32" t="inlineStr">
        <is>
          <t>T4</t>
        </is>
      </c>
      <c r="AI7" s="32" t="inlineStr">
        <is>
          <t>low-med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Minor Hotels — UAE wider property-throughput floor (Phase-2)</t>
        </is>
      </c>
      <c r="AY7" s="44" t="inlineStr">
        <is>
          <t>Minor Hotels — UAE wider property-throughput floor (Phase-2)</t>
        </is>
      </c>
    </row>
    <row r="8">
      <c r="A8" s="29" t="inlineStr">
        <is>
          <t>Uae Wider</t>
        </is>
      </c>
      <c r="B8" s="29" t="inlineStr">
        <is>
          <t>Singapore</t>
        </is>
      </c>
      <c r="C8" s="30" t="inlineStr">
        <is>
          <t>Ras Al Khaimah: Anantara Mina Al Arab Ras Al Khaimah Resort jetty → InterContinental Ras Al Khaimah Mina Al Arab Resort &amp; Spa jetty</t>
        </is>
      </c>
      <c r="D8" s="31" t="n">
        <v>0.6</v>
      </c>
      <c r="E8" s="26" t="n">
        <v>150</v>
      </c>
      <c r="F8" s="32" t="inlineStr">
        <is>
          <t>T5</t>
        </is>
      </c>
      <c r="G8" s="32" t="inlineStr">
        <is>
          <t>low-med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667</v>
      </c>
      <c r="AH8" s="32" t="inlineStr">
        <is>
          <t>T4</t>
        </is>
      </c>
      <c r="AI8" s="32" t="inlineStr">
        <is>
          <t>low-med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 Hotels — UAE wider property-throughput floor (Phase-2)</t>
        </is>
      </c>
      <c r="AY8" s="44" t="inlineStr">
        <is>
          <t>Minor Hotels — UAE wider property-throughput floor (Phase-2)</t>
        </is>
      </c>
    </row>
    <row r="9">
      <c r="A9" s="29" t="inlineStr">
        <is>
          <t>Thailand Gulf</t>
        </is>
      </c>
      <c r="B9" s="29" t="inlineStr">
        <is>
          <t>Singapore</t>
        </is>
      </c>
      <c r="C9" s="30" t="inlineStr">
        <is>
          <t>Koh Samui: Centara Reserve Samui → Vana Belle Koh Samui</t>
        </is>
      </c>
      <c r="D9" s="31" t="n">
        <v>0.9</v>
      </c>
      <c r="E9" s="26" t="n">
        <v>85</v>
      </c>
      <c r="F9" s="32" t="inlineStr">
        <is>
          <t>T5</t>
        </is>
      </c>
      <c r="G9" s="32" t="inlineStr">
        <is>
          <t>low-med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1814</v>
      </c>
      <c r="AH9" s="32" t="inlineStr">
        <is>
          <t>T4</t>
        </is>
      </c>
      <c r="AI9" s="32" t="inlineStr">
        <is>
          <t>low-med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Minor Hotels — Thailand Gulf property-throughput floor (Phase-2)</t>
        </is>
      </c>
      <c r="AY9" s="44" t="inlineStr">
        <is>
          <t>Minor Hotels — Thailand Gulf property-throughput floor (Phase-2)</t>
        </is>
      </c>
    </row>
    <row r="10">
      <c r="A10" s="29" t="inlineStr">
        <is>
          <t>Uae Wider</t>
        </is>
      </c>
      <c r="B10" s="29" t="inlineStr">
        <is>
          <t>Singapore</t>
        </is>
      </c>
      <c r="C10" s="30" t="inlineStr">
        <is>
          <t>Ras Al Khaimah: Mina Al Arab marina / lagoon basin → InterContinental Ras Al Khaimah Mina Al Arab Resort &amp; Spa jetty</t>
        </is>
      </c>
      <c r="D10" s="31" t="n">
        <v>0.9</v>
      </c>
      <c r="E10" s="26" t="n">
        <v>150</v>
      </c>
      <c r="F10" s="32" t="inlineStr">
        <is>
          <t>T5</t>
        </is>
      </c>
      <c r="G10" s="32" t="inlineStr">
        <is>
          <t>low-med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667</v>
      </c>
      <c r="AH10" s="32" t="inlineStr">
        <is>
          <t>T4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Minor Hotels — UAE wider property-throughput floor (Phase-2)</t>
        </is>
      </c>
      <c r="AY10" s="44" t="inlineStr">
        <is>
          <t>Minor Hotels — UAE wider property-throughput floor (Phase-2)</t>
        </is>
      </c>
    </row>
    <row r="11">
      <c r="A11" s="29" t="inlineStr">
        <is>
          <t>Uae Wider</t>
        </is>
      </c>
      <c r="B11" s="29" t="inlineStr">
        <is>
          <t>Singapore</t>
        </is>
      </c>
      <c r="C11" s="30" t="inlineStr">
        <is>
          <t>Ras Al Khaimah: Anantara Mina Al Arab Ras Al Khaimah Resort jetty → Mina Al Arab marina / lagoon basin</t>
        </is>
      </c>
      <c r="D11" s="31" t="n">
        <v>0.9</v>
      </c>
      <c r="E11" s="26" t="n">
        <v>150</v>
      </c>
      <c r="F11" s="32" t="inlineStr">
        <is>
          <t>T5</t>
        </is>
      </c>
      <c r="G11" s="32" t="inlineStr">
        <is>
          <t>low-med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667</v>
      </c>
      <c r="AH11" s="32" t="inlineStr">
        <is>
          <t>T4</t>
        </is>
      </c>
      <c r="AI11" s="32" t="inlineStr">
        <is>
          <t>low-med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Minor Hotels — UAE wider property-throughput floor (Phase-2)</t>
        </is>
      </c>
      <c r="AY11" s="44" t="inlineStr">
        <is>
          <t>Minor Hotels — UAE wider property-throughput floor (Phase-2)</t>
        </is>
      </c>
    </row>
    <row r="12">
      <c r="A12" s="29" t="inlineStr">
        <is>
          <t>Uae Wider</t>
        </is>
      </c>
      <c r="B12" s="29" t="inlineStr">
        <is>
          <t>Singapore</t>
        </is>
      </c>
      <c r="C12" s="30" t="inlineStr">
        <is>
          <t>Sharjah: Al Khan Lagoon mouth → Sharjah Boat Slider Ramp</t>
        </is>
      </c>
      <c r="D12" s="31" t="n">
        <v>1</v>
      </c>
      <c r="E12" s="26" t="n">
        <v>150</v>
      </c>
      <c r="F12" s="32" t="inlineStr">
        <is>
          <t>T5</t>
        </is>
      </c>
      <c r="G12" s="32" t="inlineStr">
        <is>
          <t>low-med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667</v>
      </c>
      <c r="AH12" s="32" t="inlineStr">
        <is>
          <t>T4</t>
        </is>
      </c>
      <c r="AI12" s="32" t="inlineStr">
        <is>
          <t>low-med</t>
        </is>
      </c>
      <c r="AJ12" s="39" t="n">
        <v>0.9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Minor Hotels — UAE wider property-throughput floor (Phase-2)</t>
        </is>
      </c>
      <c r="AY12" s="44" t="inlineStr">
        <is>
          <t>Minor Hotels — UAE wider property-throughput floor (Phase-2)</t>
        </is>
      </c>
    </row>
    <row r="13">
      <c r="A13" s="29" t="inlineStr">
        <is>
          <t>Uae Wider</t>
        </is>
      </c>
      <c r="B13" s="29" t="inlineStr">
        <is>
          <t>Singapore</t>
        </is>
      </c>
      <c r="C13" s="30" t="inlineStr">
        <is>
          <t>Sharjah: Sharjah Boat Slider Ramp → Sharjah Maritime Museum berth</t>
        </is>
      </c>
      <c r="D13" s="31" t="n">
        <v>1.1</v>
      </c>
      <c r="E13" s="26" t="n">
        <v>150</v>
      </c>
      <c r="F13" s="32" t="inlineStr">
        <is>
          <t>T5</t>
        </is>
      </c>
      <c r="G13" s="32" t="inlineStr">
        <is>
          <t>low-med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667</v>
      </c>
      <c r="AH13" s="32" t="inlineStr">
        <is>
          <t>T4</t>
        </is>
      </c>
      <c r="AI13" s="32" t="inlineStr">
        <is>
          <t>low-med</t>
        </is>
      </c>
      <c r="AJ13" s="39" t="n">
        <v>0.9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Minor Hotels — UAE wider property-throughput floor (Phase-2)</t>
        </is>
      </c>
      <c r="AY13" s="44" t="inlineStr">
        <is>
          <t>Minor Hotels — UAE wider property-throughput floor (Phase-2)</t>
        </is>
      </c>
    </row>
    <row r="14">
      <c r="A14" s="29" t="inlineStr">
        <is>
          <t>Thailand Gulf</t>
        </is>
      </c>
      <c r="B14" s="29" t="inlineStr">
        <is>
          <t>Singapore</t>
        </is>
      </c>
      <c r="C14" s="30" t="inlineStr">
        <is>
          <t>Koh Samui: Anantara Bophut Koh Samui → W Koh Samui</t>
        </is>
      </c>
      <c r="D14" s="31" t="n">
        <v>1.2</v>
      </c>
      <c r="E14" s="26" t="n">
        <v>85</v>
      </c>
      <c r="F14" s="32" t="inlineStr">
        <is>
          <t>T5</t>
        </is>
      </c>
      <c r="G14" s="32" t="inlineStr">
        <is>
          <t>low-med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1814</v>
      </c>
      <c r="AH14" s="32" t="inlineStr">
        <is>
          <t>T4</t>
        </is>
      </c>
      <c r="AI14" s="32" t="inlineStr">
        <is>
          <t>low-med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Minor Hotels — Thailand Gulf property-throughput floor (Phase-2)</t>
        </is>
      </c>
      <c r="AY14" s="44" t="inlineStr">
        <is>
          <t>Minor Hotels — Thailand Gulf property-throughput floor (Phase-2)</t>
        </is>
      </c>
    </row>
    <row r="15">
      <c r="A15" s="29" t="inlineStr">
        <is>
          <t>Thailand Gulf</t>
        </is>
      </c>
      <c r="B15" s="29" t="inlineStr">
        <is>
          <t>Singapore</t>
        </is>
      </c>
      <c r="C15" s="30" t="inlineStr">
        <is>
          <t>Koh Samui: Bophut Fisherman's Village Pier → W Koh Samui</t>
        </is>
      </c>
      <c r="D15" s="31" t="n">
        <v>1.2</v>
      </c>
      <c r="E15" s="26" t="n">
        <v>85</v>
      </c>
      <c r="F15" s="32" t="inlineStr">
        <is>
          <t>T5</t>
        </is>
      </c>
      <c r="G15" s="32" t="inlineStr">
        <is>
          <t>low-med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1814</v>
      </c>
      <c r="AH15" s="32" t="inlineStr">
        <is>
          <t>T4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— Thailand Gulf property-throughput floor (Phase-2)</t>
        </is>
      </c>
      <c r="AY15" s="44" t="inlineStr">
        <is>
          <t>Minor Hotels — Thailand Gulf property-throughput floor (Phase-2)</t>
        </is>
      </c>
    </row>
    <row r="16">
      <c r="A16" s="29" t="inlineStr">
        <is>
          <t>Uae Wider</t>
        </is>
      </c>
      <c r="B16" s="29" t="inlineStr">
        <is>
          <t>Singapore</t>
        </is>
      </c>
      <c r="C16" s="30" t="inlineStr">
        <is>
          <t>Sharjah: Sharjah Marine Club / Khalid Lagoon Marina → Sharjah Ladies Club beach jetty</t>
        </is>
      </c>
      <c r="D16" s="31" t="n">
        <v>1.5</v>
      </c>
      <c r="E16" s="26" t="n">
        <v>150</v>
      </c>
      <c r="F16" s="32" t="inlineStr">
        <is>
          <t>T5</t>
        </is>
      </c>
      <c r="G16" s="32" t="inlineStr">
        <is>
          <t>low-med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667</v>
      </c>
      <c r="AH16" s="32" t="inlineStr">
        <is>
          <t>T4</t>
        </is>
      </c>
      <c r="AI16" s="32" t="inlineStr">
        <is>
          <t>low-med</t>
        </is>
      </c>
      <c r="AJ16" s="39" t="n">
        <v>0.9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Minor Hotels — UAE wider property-throughput floor (Phase-2)</t>
        </is>
      </c>
      <c r="AY16" s="44" t="inlineStr">
        <is>
          <t>Minor Hotels — UAE wider property-throughput floor (Phase-2)</t>
        </is>
      </c>
    </row>
    <row r="17">
      <c r="A17" s="29" t="inlineStr">
        <is>
          <t>Uae Wider</t>
        </is>
      </c>
      <c r="B17" s="29" t="inlineStr">
        <is>
          <t>Singapore</t>
        </is>
      </c>
      <c r="C17" s="30" t="inlineStr">
        <is>
          <t>Sharjah: Marina Medical Center → Al Bait Sharjah (GHM) waterfront</t>
        </is>
      </c>
      <c r="D17" s="31" t="n">
        <v>1.5</v>
      </c>
      <c r="E17" s="26" t="n">
        <v>150</v>
      </c>
      <c r="F17" s="32" t="inlineStr">
        <is>
          <t>T5</t>
        </is>
      </c>
      <c r="G17" s="32" t="inlineStr">
        <is>
          <t>low-med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667</v>
      </c>
      <c r="AH17" s="32" t="inlineStr">
        <is>
          <t>T4</t>
        </is>
      </c>
      <c r="AI17" s="32" t="inlineStr">
        <is>
          <t>low-med</t>
        </is>
      </c>
      <c r="AJ17" s="39" t="n">
        <v>0.9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Minor Hotels — UAE wider property-throughput floor (Phase-2)</t>
        </is>
      </c>
      <c r="AY17" s="44" t="inlineStr">
        <is>
          <t>Minor Hotels — UAE wider property-throughput floor (Phase-2)</t>
        </is>
      </c>
    </row>
    <row r="18">
      <c r="A18" s="29" t="inlineStr">
        <is>
          <t>Thailand Gulf</t>
        </is>
      </c>
      <c r="B18" s="29" t="inlineStr">
        <is>
          <t>Singapore</t>
        </is>
      </c>
      <c r="C18" s="30" t="inlineStr">
        <is>
          <t>Koh Samui → Six Senses Samui</t>
        </is>
      </c>
      <c r="D18" s="31" t="n">
        <v>1.8</v>
      </c>
      <c r="E18" s="26" t="n">
        <v>85</v>
      </c>
      <c r="F18" s="32" t="inlineStr">
        <is>
          <t>T5</t>
        </is>
      </c>
      <c r="G18" s="32" t="inlineStr">
        <is>
          <t>low-med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1814</v>
      </c>
      <c r="AH18" s="32" t="inlineStr">
        <is>
          <t>T4</t>
        </is>
      </c>
      <c r="AI18" s="32" t="inlineStr">
        <is>
          <t>low-med</t>
        </is>
      </c>
      <c r="AJ18" s="39" t="n">
        <v>0.9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Minor Hotels — Thailand Gulf property-throughput floor (Phase-2)</t>
        </is>
      </c>
      <c r="AY18" s="44" t="inlineStr">
        <is>
          <t>Minor Hotels — Thailand Gulf property-throughput floor (Phase-2)</t>
        </is>
      </c>
    </row>
    <row r="19">
      <c r="A19" s="29" t="inlineStr">
        <is>
          <t>Uae Wider</t>
        </is>
      </c>
      <c r="B19" s="29" t="inlineStr">
        <is>
          <t>Singapore</t>
        </is>
      </c>
      <c r="C19" s="30" t="inlineStr">
        <is>
          <t>Abu Dhabi: Work ,China harbour project → Desert Hydra Dragonboat Team ️</t>
        </is>
      </c>
      <c r="D19" s="31" t="n">
        <v>1.9</v>
      </c>
      <c r="E19" s="26" t="n">
        <v>150</v>
      </c>
      <c r="F19" s="32" t="inlineStr">
        <is>
          <t>T5</t>
        </is>
      </c>
      <c r="G19" s="32" t="inlineStr">
        <is>
          <t>low-med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666</v>
      </c>
      <c r="AH19" s="32" t="inlineStr">
        <is>
          <t>T4</t>
        </is>
      </c>
      <c r="AI19" s="32" t="inlineStr">
        <is>
          <t>low-med</t>
        </is>
      </c>
      <c r="AJ19" s="39" t="n">
        <v>0.9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Minor Hotels — UAE wider property-throughput floor (Phase-2)</t>
        </is>
      </c>
      <c r="AY19" s="44" t="inlineStr">
        <is>
          <t>Minor Hotels — UAE wider property-throughput floor (Phase-2)</t>
        </is>
      </c>
    </row>
    <row r="20">
      <c r="A20" s="29" t="inlineStr">
        <is>
          <t>Thailand Gulf</t>
        </is>
      </c>
      <c r="B20" s="29" t="inlineStr">
        <is>
          <t>Singapore</t>
        </is>
      </c>
      <c r="C20" s="30" t="inlineStr">
        <is>
          <t>Koh Samui: Maenam Beach → Anantara Bophut Koh Samui</t>
        </is>
      </c>
      <c r="D20" s="31" t="n">
        <v>2.1</v>
      </c>
      <c r="E20" s="26" t="n">
        <v>85</v>
      </c>
      <c r="F20" s="32" t="inlineStr">
        <is>
          <t>T5</t>
        </is>
      </c>
      <c r="G20" s="32" t="inlineStr">
        <is>
          <t>low-med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1814</v>
      </c>
      <c r="AH20" s="32" t="inlineStr">
        <is>
          <t>T4</t>
        </is>
      </c>
      <c r="AI20" s="32" t="inlineStr">
        <is>
          <t>low-med</t>
        </is>
      </c>
      <c r="AJ20" s="39" t="n">
        <v>0.9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Minor Hotels — Thailand Gulf property-throughput floor (Phase-2)</t>
        </is>
      </c>
      <c r="AY20" s="44" t="inlineStr">
        <is>
          <t>Minor Hotels — Thailand Gulf property-throughput floor (Phase-2)</t>
        </is>
      </c>
    </row>
    <row r="21">
      <c r="A21" s="29" t="inlineStr">
        <is>
          <t>Thailand Gulf</t>
        </is>
      </c>
      <c r="B21" s="29" t="inlineStr">
        <is>
          <t>Singapore</t>
        </is>
      </c>
      <c r="C21" s="30" t="inlineStr">
        <is>
          <t>Koh Samui: Banyan Tree Koh Samui → Le Méridien Koh Samui</t>
        </is>
      </c>
      <c r="D21" s="31" t="n">
        <v>2.1</v>
      </c>
      <c r="E21" s="26" t="n">
        <v>85</v>
      </c>
      <c r="F21" s="32" t="inlineStr">
        <is>
          <t>T5</t>
        </is>
      </c>
      <c r="G21" s="32" t="inlineStr">
        <is>
          <t>low-med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1813</v>
      </c>
      <c r="AH21" s="32" t="inlineStr">
        <is>
          <t>T4</t>
        </is>
      </c>
      <c r="AI21" s="32" t="inlineStr">
        <is>
          <t>low-med</t>
        </is>
      </c>
      <c r="AJ21" s="39" t="n">
        <v>0.9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Minor Hotels — Thailand Gulf property-throughput floor (Phase-2)</t>
        </is>
      </c>
      <c r="AY21" s="44" t="inlineStr">
        <is>
          <t>Minor Hotels — Thailand Gulf property-throughput floor (Phase-2)</t>
        </is>
      </c>
    </row>
    <row r="22">
      <c r="A22" s="29" t="inlineStr">
        <is>
          <t>Uae Wider</t>
        </is>
      </c>
      <c r="B22" s="29" t="inlineStr">
        <is>
          <t>Singapore</t>
        </is>
      </c>
      <c r="C22" s="30" t="inlineStr">
        <is>
          <t>Abu Dhabi: China Harbour Site office -Mid Island Parkway 1C Project → Desert Hydra Dragonboat Team ️</t>
        </is>
      </c>
      <c r="D22" s="31" t="n">
        <v>2.2</v>
      </c>
      <c r="E22" s="26" t="n">
        <v>150</v>
      </c>
      <c r="F22" s="32" t="inlineStr">
        <is>
          <t>T5</t>
        </is>
      </c>
      <c r="G22" s="32" t="inlineStr">
        <is>
          <t>low-med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666</v>
      </c>
      <c r="AH22" s="32" t="inlineStr">
        <is>
          <t>T4</t>
        </is>
      </c>
      <c r="AI22" s="32" t="inlineStr">
        <is>
          <t>low-med</t>
        </is>
      </c>
      <c r="AJ22" s="39" t="n">
        <v>0.9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Minor Hotels — UAE wider property-throughput floor (Phase-2)</t>
        </is>
      </c>
      <c r="AY22" s="44" t="inlineStr">
        <is>
          <t>Minor Hotels — UAE wider property-throughput floor (Phase-2)</t>
        </is>
      </c>
    </row>
    <row r="23">
      <c r="A23" s="29" t="inlineStr">
        <is>
          <t>Uae Wider</t>
        </is>
      </c>
      <c r="B23" s="29" t="inlineStr">
        <is>
          <t>Singapore</t>
        </is>
      </c>
      <c r="C23" s="30" t="inlineStr">
        <is>
          <t>Ras Al Khaimah: The Cove Rotana Resort jetty → Anantara Mina Al Arab Ras Al Khaimah Resort jetty</t>
        </is>
      </c>
      <c r="D23" s="31" t="n">
        <v>2.2</v>
      </c>
      <c r="E23" s="26" t="n">
        <v>150</v>
      </c>
      <c r="F23" s="32" t="inlineStr">
        <is>
          <t>T5</t>
        </is>
      </c>
      <c r="G23" s="32" t="inlineStr">
        <is>
          <t>low-med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666</v>
      </c>
      <c r="AH23" s="32" t="inlineStr">
        <is>
          <t>T4</t>
        </is>
      </c>
      <c r="AI23" s="32" t="inlineStr">
        <is>
          <t>low-med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— UAE wider property-throughput floor (Phase-2)</t>
        </is>
      </c>
      <c r="AY23" s="44" t="inlineStr">
        <is>
          <t>Minor Hotels — UAE wider property-throughput floor (Phase-2)</t>
        </is>
      </c>
    </row>
    <row r="24">
      <c r="A24" s="29" t="inlineStr">
        <is>
          <t>Thailand Gulf</t>
        </is>
      </c>
      <c r="B24" s="29" t="inlineStr">
        <is>
          <t>Singapore</t>
        </is>
      </c>
      <c r="C24" s="30" t="inlineStr">
        <is>
          <t>Koh Samui → Samui N</t>
        </is>
      </c>
      <c r="D24" s="31" t="n">
        <v>2.3</v>
      </c>
      <c r="E24" s="26" t="n">
        <v>85</v>
      </c>
      <c r="F24" s="32" t="inlineStr">
        <is>
          <t>T5</t>
        </is>
      </c>
      <c r="G24" s="32" t="inlineStr">
        <is>
          <t>low-med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1813</v>
      </c>
      <c r="AH24" s="32" t="inlineStr">
        <is>
          <t>T4</t>
        </is>
      </c>
      <c r="AI24" s="32" t="inlineStr">
        <is>
          <t>low-med</t>
        </is>
      </c>
      <c r="AJ24" s="39" t="n">
        <v>0.9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Minor Hotels — Thailand Gulf property-throughput floor (Phase-2)</t>
        </is>
      </c>
      <c r="AY24" s="44" t="inlineStr">
        <is>
          <t>Minor Hotels — Thailand Gulf property-throughput floor (Phase-2)</t>
        </is>
      </c>
    </row>
    <row r="25">
      <c r="A25" s="29" t="inlineStr">
        <is>
          <t>Uae Wider</t>
        </is>
      </c>
      <c r="B25" s="29" t="inlineStr">
        <is>
          <t>Singapore</t>
        </is>
      </c>
      <c r="C25" s="30" t="inlineStr">
        <is>
          <t>Sharjah: Marina 2 Ajman Corniche → Sharjah Marine Club / Khalid Lagoon Marina</t>
        </is>
      </c>
      <c r="D25" s="31" t="n">
        <v>2.3</v>
      </c>
      <c r="E25" s="26" t="n">
        <v>150</v>
      </c>
      <c r="F25" s="32" t="inlineStr">
        <is>
          <t>T5</t>
        </is>
      </c>
      <c r="G25" s="32" t="inlineStr">
        <is>
          <t>low-med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666</v>
      </c>
      <c r="AH25" s="32" t="inlineStr">
        <is>
          <t>T4</t>
        </is>
      </c>
      <c r="AI25" s="32" t="inlineStr">
        <is>
          <t>low-med</t>
        </is>
      </c>
      <c r="AJ25" s="39" t="n">
        <v>0.9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Minor Hotels — UAE wider property-throughput floor (Phase-2)</t>
        </is>
      </c>
      <c r="AY25" s="44" t="inlineStr">
        <is>
          <t>Minor Hotels — UAE wider property-throughput floor (Phase-2)</t>
        </is>
      </c>
    </row>
    <row r="26">
      <c r="A26" s="29" t="inlineStr">
        <is>
          <t>Thailand Gulf</t>
        </is>
      </c>
      <c r="B26" s="29" t="inlineStr">
        <is>
          <t>Singapore</t>
        </is>
      </c>
      <c r="C26" s="30" t="inlineStr">
        <is>
          <t>Koh Samui → Anantara Lawana Koh Samui</t>
        </is>
      </c>
      <c r="D26" s="31" t="n">
        <v>2.6</v>
      </c>
      <c r="E26" s="26" t="n">
        <v>85</v>
      </c>
      <c r="F26" s="32" t="inlineStr">
        <is>
          <t>T5</t>
        </is>
      </c>
      <c r="G26" s="32" t="inlineStr">
        <is>
          <t>low-med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1814</v>
      </c>
      <c r="AH26" s="32" t="inlineStr">
        <is>
          <t>T4</t>
        </is>
      </c>
      <c r="AI26" s="32" t="inlineStr">
        <is>
          <t>low-med</t>
        </is>
      </c>
      <c r="AJ26" s="39" t="n">
        <v>0.9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Minor Hotels — Thailand Gulf property-throughput floor (Phase-2)</t>
        </is>
      </c>
      <c r="AY26" s="44" t="inlineStr">
        <is>
          <t>Minor Hotels — Thailand Gulf property-throughput floor (Phase-2)</t>
        </is>
      </c>
    </row>
    <row r="27">
      <c r="A27" s="29" t="inlineStr">
        <is>
          <t>Thailand Gulf</t>
        </is>
      </c>
      <c r="B27" s="29" t="inlineStr">
        <is>
          <t>Singapore</t>
        </is>
      </c>
      <c r="C27" s="30" t="inlineStr">
        <is>
          <t>Koh Samui → Anantara Bophut Koh Samui</t>
        </is>
      </c>
      <c r="D27" s="31" t="n">
        <v>2.6</v>
      </c>
      <c r="E27" s="26" t="n">
        <v>85</v>
      </c>
      <c r="F27" s="32" t="inlineStr">
        <is>
          <t>T5</t>
        </is>
      </c>
      <c r="G27" s="32" t="inlineStr">
        <is>
          <t>low-med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1814</v>
      </c>
      <c r="AH27" s="32" t="inlineStr">
        <is>
          <t>T4</t>
        </is>
      </c>
      <c r="AI27" s="32" t="inlineStr">
        <is>
          <t>low-med</t>
        </is>
      </c>
      <c r="AJ27" s="39" t="n">
        <v>0.9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Minor Hotels — Thailand Gulf property-throughput floor (Phase-2)</t>
        </is>
      </c>
      <c r="AY27" s="44" t="inlineStr">
        <is>
          <t>Minor Hotels — Thailand Gulf property-throughput floor (Phase-2)</t>
        </is>
      </c>
    </row>
    <row r="28">
      <c r="A28" s="29" t="inlineStr">
        <is>
          <t>Thailand Gulf</t>
        </is>
      </c>
      <c r="B28" s="29" t="inlineStr">
        <is>
          <t>Singapore</t>
        </is>
      </c>
      <c r="C28" s="30" t="inlineStr">
        <is>
          <t>Koh Samui → Samui N</t>
        </is>
      </c>
      <c r="D28" s="31" t="n">
        <v>2.7</v>
      </c>
      <c r="E28" s="26" t="n">
        <v>85</v>
      </c>
      <c r="F28" s="32" t="inlineStr">
        <is>
          <t>T5</t>
        </is>
      </c>
      <c r="G28" s="32" t="inlineStr">
        <is>
          <t>low-med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1813</v>
      </c>
      <c r="AH28" s="32" t="inlineStr">
        <is>
          <t>T4</t>
        </is>
      </c>
      <c r="AI28" s="32" t="inlineStr">
        <is>
          <t>low-med</t>
        </is>
      </c>
      <c r="AJ28" s="39" t="n">
        <v>0.9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Minor Hotels — Thailand Gulf property-throughput floor (Phase-2)</t>
        </is>
      </c>
      <c r="AY28" s="44" t="inlineStr">
        <is>
          <t>Minor Hotels — Thailand Gulf property-throughput floor (Phase-2)</t>
        </is>
      </c>
    </row>
    <row r="29">
      <c r="A29" s="29" t="inlineStr">
        <is>
          <t>Thailand Gulf</t>
        </is>
      </c>
      <c r="B29" s="29" t="inlineStr">
        <is>
          <t>Singapore</t>
        </is>
      </c>
      <c r="C29" s="30" t="inlineStr">
        <is>
          <t>Koh Samui: Centara Reserve Samui → Anantara Lawana Koh Samui</t>
        </is>
      </c>
      <c r="D29" s="31" t="n">
        <v>3.2</v>
      </c>
      <c r="E29" s="26" t="n">
        <v>85</v>
      </c>
      <c r="F29" s="32" t="inlineStr">
        <is>
          <t>T5</t>
        </is>
      </c>
      <c r="G29" s="32" t="inlineStr">
        <is>
          <t>low-med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1814</v>
      </c>
      <c r="AH29" s="32" t="inlineStr">
        <is>
          <t>T4</t>
        </is>
      </c>
      <c r="AI29" s="32" t="inlineStr">
        <is>
          <t>low-med</t>
        </is>
      </c>
      <c r="AJ29" s="39" t="n">
        <v>0.9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Minor Hotels — Thailand Gulf property-throughput floor (Phase-2)</t>
        </is>
      </c>
      <c r="AY29" s="44" t="inlineStr">
        <is>
          <t>Minor Hotels — Thailand Gulf property-throughput floor (Phase-2)</t>
        </is>
      </c>
    </row>
    <row r="30">
      <c r="A30" s="29" t="inlineStr">
        <is>
          <t>Maldives</t>
        </is>
      </c>
      <c r="B30" s="29" t="inlineStr">
        <is>
          <t>Singapore</t>
        </is>
      </c>
      <c r="C30" s="30" t="inlineStr">
        <is>
          <t>Kudahuvadhoo Airport, Dhaalu → Niyama Private Islands (Dhaalu)</t>
        </is>
      </c>
      <c r="D30" s="31" t="n">
        <v>4.7</v>
      </c>
      <c r="E30" s="26" t="n">
        <v>120</v>
      </c>
      <c r="F30" s="32" t="inlineStr">
        <is>
          <t>T5</t>
        </is>
      </c>
      <c r="G30" s="32" t="inlineStr">
        <is>
          <t>low-med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4000</v>
      </c>
      <c r="AH30" s="32" t="inlineStr">
        <is>
          <t>T4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Minor Hotels — Maldives property-throughput floor (Phase-2)</t>
        </is>
      </c>
      <c r="AY30" s="44" t="inlineStr">
        <is>
          <t>Minor Hotels — Maldives property-throughput floor (Phase-2)</t>
        </is>
      </c>
    </row>
    <row r="31">
      <c r="A31" s="29" t="inlineStr">
        <is>
          <t>Maldives</t>
        </is>
      </c>
      <c r="B31" s="29" t="inlineStr">
        <is>
          <t>Singapore</t>
        </is>
      </c>
      <c r="C31" s="30" t="inlineStr">
        <is>
          <t>Maafaru Airport, Noonu → Siyam World (Dhigurah, Noonu)</t>
        </is>
      </c>
      <c r="D31" s="31" t="n">
        <v>10</v>
      </c>
      <c r="E31" s="26" t="n">
        <v>120</v>
      </c>
      <c r="F31" s="32" t="inlineStr">
        <is>
          <t>T5</t>
        </is>
      </c>
      <c r="G31" s="32" t="inlineStr">
        <is>
          <t>low-med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4000</v>
      </c>
      <c r="AH31" s="32" t="inlineStr">
        <is>
          <t>T4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Minor Hotels — Maldives property-throughput floor (Phase-2)</t>
        </is>
      </c>
      <c r="AY31" s="44" t="inlineStr">
        <is>
          <t>Minor Hotels — Maldives property-throughput floor (Phase-2)</t>
        </is>
      </c>
    </row>
    <row r="32">
      <c r="A32" s="29" t="inlineStr">
        <is>
          <t>Maldives</t>
        </is>
      </c>
      <c r="B32" s="29" t="inlineStr">
        <is>
          <t>Singapore</t>
        </is>
      </c>
      <c r="C32" s="30" t="inlineStr">
        <is>
          <t>Dharavandhoo Airport, Baa → Anantara Kihavah (Baa)</t>
        </is>
      </c>
      <c r="D32" s="31" t="n">
        <v>11.8</v>
      </c>
      <c r="E32" s="26" t="n">
        <v>120</v>
      </c>
      <c r="F32" s="32" t="inlineStr">
        <is>
          <t>T5</t>
        </is>
      </c>
      <c r="G32" s="32" t="inlineStr">
        <is>
          <t>low-med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4000</v>
      </c>
      <c r="AH32" s="32" t="inlineStr">
        <is>
          <t>T4</t>
        </is>
      </c>
      <c r="AI32" s="32" t="inlineStr">
        <is>
          <t>low-med</t>
        </is>
      </c>
      <c r="AJ32" s="39" t="n">
        <v>0.9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Minor Hotels — Maldives property-throughput floor (Phase-2)</t>
        </is>
      </c>
      <c r="AY32" s="44" t="inlineStr">
        <is>
          <t>Minor Hotels — Maldives property-throughput floor (Phase-2)</t>
        </is>
      </c>
    </row>
    <row r="33">
      <c r="A33" s="29" t="inlineStr">
        <is>
          <t>Maldives</t>
        </is>
      </c>
      <c r="B33" s="29" t="inlineStr">
        <is>
          <t>Singapore</t>
        </is>
      </c>
      <c r="C33" s="30" t="inlineStr">
        <is>
          <t>Soneva Fushi (Kunfunadhoo, Baa) → Anantara Kihavah (Baa)</t>
        </is>
      </c>
      <c r="D33" s="31" t="n">
        <v>13.3</v>
      </c>
      <c r="E33" s="26" t="n">
        <v>120</v>
      </c>
      <c r="F33" s="32" t="inlineStr">
        <is>
          <t>T5</t>
        </is>
      </c>
      <c r="G33" s="32" t="inlineStr">
        <is>
          <t>low-med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4000</v>
      </c>
      <c r="AH33" s="32" t="inlineStr">
        <is>
          <t>T4</t>
        </is>
      </c>
      <c r="AI33" s="32" t="inlineStr">
        <is>
          <t>low-med</t>
        </is>
      </c>
      <c r="AJ33" s="39" t="n">
        <v>0.9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Minor Hotels — Maldives property-throughput floor (Phase-2)</t>
        </is>
      </c>
      <c r="AY33" s="44" t="inlineStr">
        <is>
          <t>Minor Hotels — Maldives property-throughput floor (Phase-2)</t>
        </is>
      </c>
    </row>
    <row r="34">
      <c r="A34" s="29" t="inlineStr">
        <is>
          <t>Thailand Gulf</t>
        </is>
      </c>
      <c r="B34" s="29" t="inlineStr">
        <is>
          <t>Singapore</t>
        </is>
      </c>
      <c r="C34" s="30" t="inlineStr">
        <is>
          <t>Koh Samui → Anantara Rasananda Koh Phangan</t>
        </is>
      </c>
      <c r="D34" s="31" t="n">
        <v>14.5</v>
      </c>
      <c r="E34" s="26" t="n">
        <v>85</v>
      </c>
      <c r="F34" s="32" t="inlineStr">
        <is>
          <t>T5</t>
        </is>
      </c>
      <c r="G34" s="32" t="inlineStr">
        <is>
          <t>low-med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1814</v>
      </c>
      <c r="AH34" s="32" t="inlineStr">
        <is>
          <t>T4</t>
        </is>
      </c>
      <c r="AI34" s="32" t="inlineStr">
        <is>
          <t>low-med</t>
        </is>
      </c>
      <c r="AJ34" s="39" t="n">
        <v>0.9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Minor Hotels — Thailand Gulf property-throughput floor (Phase-2)</t>
        </is>
      </c>
      <c r="AY34" s="44" t="inlineStr">
        <is>
          <t>Minor Hotels — Thailand Gulf property-throughput floor (Phase-2)</t>
        </is>
      </c>
    </row>
    <row r="35">
      <c r="A35" s="29" t="inlineStr">
        <is>
          <t>Maldives</t>
        </is>
      </c>
      <c r="B35" s="29" t="inlineStr">
        <is>
          <t>Singapore</t>
        </is>
      </c>
      <c r="C35" s="30" t="inlineStr">
        <is>
          <t>Malé: Velana Seaplane → Constance Halaveli</t>
        </is>
      </c>
      <c r="D35" s="31" t="n">
        <v>37.7</v>
      </c>
      <c r="E35" s="26" t="n">
        <v>120</v>
      </c>
      <c r="F35" s="32" t="inlineStr">
        <is>
          <t>T5</t>
        </is>
      </c>
      <c r="G35" s="32" t="inlineStr">
        <is>
          <t>low-med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4000</v>
      </c>
      <c r="AH35" s="32" t="inlineStr">
        <is>
          <t>T4</t>
        </is>
      </c>
      <c r="AI35" s="32" t="inlineStr">
        <is>
          <t>low-med</t>
        </is>
      </c>
      <c r="AJ35" s="39" t="n">
        <v>0.9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Minor Hotels — Maldives property-throughput floor (Phase-2)</t>
        </is>
      </c>
      <c r="AY35" s="44" t="inlineStr">
        <is>
          <t>Minor Hotels — Maldives property-throughput floor (Phase-2)</t>
        </is>
      </c>
    </row>
    <row r="36">
      <c r="A36" s="29" t="inlineStr">
        <is>
          <t>Phuket</t>
        </is>
      </c>
      <c r="B36" s="29" t="inlineStr">
        <is>
          <t>Thailand</t>
        </is>
      </c>
      <c r="C36" s="30" t="inlineStr">
        <is>
          <t>Ao Po Grand Marina → Anantara Layan Phuket Beach Jetty</t>
        </is>
      </c>
      <c r="D36" s="31" t="n">
        <v>9.6</v>
      </c>
      <c r="E36" s="26" t="n">
        <v>100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8591</v>
      </c>
      <c r="AH36" s="32" t="inlineStr">
        <is>
          <t>T2</t>
        </is>
      </c>
      <c r="AI36" s="32" t="inlineStr">
        <is>
          <t>med</t>
        </is>
      </c>
      <c r="AJ36" s="39" t="n">
        <v>0.9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minor-hotels/phuket-phang-nga grounded floor</t>
        </is>
      </c>
      <c r="AY36" s="44" t="inlineStr">
        <is>
          <t>minor-hotels/phuket-phang-nga grounded floor</t>
        </is>
      </c>
    </row>
    <row r="37">
      <c r="A37" s="29" t="inlineStr">
        <is>
          <t>Phuket</t>
        </is>
      </c>
      <c r="B37" s="29" t="inlineStr">
        <is>
          <t>Thailand</t>
        </is>
      </c>
      <c r="C37" s="30" t="inlineStr">
        <is>
          <t>Rassada Pier (Phuket Deep Sea Port) → Manoh Pier (Koh Yao Yai)</t>
        </is>
      </c>
      <c r="D37" s="31" t="n">
        <v>16.9</v>
      </c>
      <c r="E37" s="26" t="n">
        <v>100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8591</v>
      </c>
      <c r="AH37" s="32" t="inlineStr">
        <is>
          <t>T2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minor-hotels/phuket-phang-nga grounded floor</t>
        </is>
      </c>
      <c r="AY37" s="44" t="inlineStr">
        <is>
          <t>minor-hotels/phuket-phang-nga grounded floor</t>
        </is>
      </c>
    </row>
    <row r="38">
      <c r="A38" s="29" t="inlineStr">
        <is>
          <t>Phuket</t>
        </is>
      </c>
      <c r="B38" s="29" t="inlineStr">
        <is>
          <t>Thailand</t>
        </is>
      </c>
      <c r="C38" s="30" t="inlineStr">
        <is>
          <t>Phuket (Royal Phuket Marina) → Phang Nga Bay / James Bond Island</t>
        </is>
      </c>
      <c r="D38" s="31" t="n">
        <v>20</v>
      </c>
      <c r="E38" s="26" t="n">
        <v>100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8591</v>
      </c>
      <c r="AH38" s="32" t="inlineStr">
        <is>
          <t>T2</t>
        </is>
      </c>
      <c r="AI38" s="32" t="inlineStr">
        <is>
          <t>med</t>
        </is>
      </c>
      <c r="AJ38" s="39" t="n">
        <v>0.9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minor-hotels/phuket-phang-nga grounded floor</t>
        </is>
      </c>
      <c r="AY38" s="44" t="inlineStr">
        <is>
          <t>minor-hotels/phuket-phang-nga grounded floor</t>
        </is>
      </c>
    </row>
    <row r="39">
      <c r="A39" s="29" t="inlineStr">
        <is>
          <t>Phuket</t>
        </is>
      </c>
      <c r="B39" s="29" t="inlineStr">
        <is>
          <t>Thailand</t>
        </is>
      </c>
      <c r="C39" s="30" t="inlineStr">
        <is>
          <t>Phuket → Phi Phi (Tonsai)</t>
        </is>
      </c>
      <c r="D39" s="31" t="n">
        <v>25</v>
      </c>
      <c r="E39" s="26" t="n">
        <v>100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8591</v>
      </c>
      <c r="AH39" s="32" t="inlineStr">
        <is>
          <t>T2</t>
        </is>
      </c>
      <c r="AI39" s="32" t="inlineStr">
        <is>
          <t>med</t>
        </is>
      </c>
      <c r="AJ39" s="39" t="n">
        <v>0.9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minor-hotels/phuket-phang-nga grounded floor</t>
        </is>
      </c>
      <c r="AY39" s="44" t="inlineStr">
        <is>
          <t>minor-hotels/phuket-phang-nga grounded floor</t>
        </is>
      </c>
    </row>
    <row r="40">
      <c r="A40" s="29" t="inlineStr">
        <is>
          <t>Phuket</t>
        </is>
      </c>
      <c r="B40" s="29" t="inlineStr">
        <is>
          <t>Thailand</t>
        </is>
      </c>
      <c r="C40" s="30" t="inlineStr">
        <is>
          <t>Manoh Pier (Koh Yao Yai) → Thap Lamu Pier (Similan Gateway)</t>
        </is>
      </c>
      <c r="D40" s="31" t="n">
        <v>35.7</v>
      </c>
      <c r="E40" s="26" t="n">
        <v>100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8591</v>
      </c>
      <c r="AH40" s="32" t="inlineStr">
        <is>
          <t>T2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minor-hotels/phuket-phang-nga grounded floor</t>
        </is>
      </c>
      <c r="AY40" s="44" t="inlineStr">
        <is>
          <t>minor-hotels/phuket-phang-nga grounded floor</t>
        </is>
      </c>
    </row>
    <row r="41">
      <c r="A41" s="29" t="inlineStr">
        <is>
          <t>Phuket</t>
        </is>
      </c>
      <c r="B41" s="29" t="inlineStr">
        <is>
          <t>Thailand</t>
        </is>
      </c>
      <c r="C41" s="30" t="inlineStr">
        <is>
          <t>Phuket → Krabi (Ao Nang)</t>
        </is>
      </c>
      <c r="D41" s="31" t="n">
        <v>40</v>
      </c>
      <c r="E41" s="26" t="n">
        <v>100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8590</v>
      </c>
      <c r="AH41" s="32" t="inlineStr">
        <is>
          <t>T2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minor-hotels/phuket-phang-nga grounded floor</t>
        </is>
      </c>
      <c r="AY41" s="44" t="inlineStr">
        <is>
          <t>minor-hotels/phuket-phang-nga grounded floor</t>
        </is>
      </c>
    </row>
    <row r="42">
      <c r="A42" s="29" t="inlineStr">
        <is>
          <t>Palm Jumeirah</t>
        </is>
      </c>
      <c r="B42" s="29" t="inlineStr">
        <is>
          <t>United Arab Emirates</t>
        </is>
      </c>
      <c r="C42" s="30" t="inlineStr">
        <is>
          <t>Palm Jumeirah Marina West → Atlantis The Palm Jetty</t>
        </is>
      </c>
      <c r="D42" s="31" t="n">
        <v>1.3</v>
      </c>
      <c r="E42" s="26" t="n">
        <v>150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13897</v>
      </c>
      <c r="AH42" s="32" t="inlineStr">
        <is>
          <t>T2</t>
        </is>
      </c>
      <c r="AI42" s="32" t="inlineStr">
        <is>
          <t>med</t>
        </is>
      </c>
      <c r="AJ42" s="39" t="n">
        <v>0.9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minor-hotels/palm-jumeirah grounded floor</t>
        </is>
      </c>
      <c r="AY42" s="44" t="inlineStr">
        <is>
          <t>minor-hotels/palm-jumeirah grounded floor</t>
        </is>
      </c>
    </row>
    <row r="43">
      <c r="A43" s="29" t="inlineStr">
        <is>
          <t>Palm Jumeirah</t>
        </is>
      </c>
      <c r="B43" s="29" t="inlineStr">
        <is>
          <t>United Arab Emirates</t>
        </is>
      </c>
      <c r="C43" s="30" t="inlineStr">
        <is>
          <t>Dubai Harbour Marina → Palm Jumeirah Marina West</t>
        </is>
      </c>
      <c r="D43" s="31" t="n">
        <v>2.1</v>
      </c>
      <c r="E43" s="26" t="n">
        <v>150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13897</v>
      </c>
      <c r="AH43" s="32" t="inlineStr">
        <is>
          <t>T2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minor-hotels/palm-jumeirah grounded floor</t>
        </is>
      </c>
      <c r="AY43" s="44" t="inlineStr">
        <is>
          <t>minor-hotels/palm-jumeirah grounded floor</t>
        </is>
      </c>
    </row>
    <row r="44">
      <c r="A44" s="29" t="inlineStr">
        <is>
          <t>Palm Jumeirah</t>
        </is>
      </c>
      <c r="B44" s="29" t="inlineStr">
        <is>
          <t>United Arab Emirates</t>
        </is>
      </c>
      <c r="C44" s="30" t="inlineStr">
        <is>
          <t>Dubai Harbour Marina → Anantara The Palm Dubai Jetty</t>
        </is>
      </c>
      <c r="D44" s="31" t="n">
        <v>3.4</v>
      </c>
      <c r="E44" s="26" t="n">
        <v>150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13897</v>
      </c>
      <c r="AH44" s="32" t="inlineStr">
        <is>
          <t>T2</t>
        </is>
      </c>
      <c r="AI44" s="32" t="inlineStr">
        <is>
          <t>med</t>
        </is>
      </c>
      <c r="AJ44" s="39" t="n">
        <v>0.9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minor-hotels/palm-jumeirah grounded floor</t>
        </is>
      </c>
      <c r="AY44" s="44" t="inlineStr">
        <is>
          <t>minor-hotels/palm-jumeirah grounded floor</t>
        </is>
      </c>
    </row>
    <row r="45">
      <c r="A45" s="45" t="inlineStr">
        <is>
          <t>TOTAL / median</t>
        </is>
      </c>
      <c r="T45" s="46">
        <f>SUM(T4:T44)</f>
        <v/>
      </c>
      <c r="AC45" s="46">
        <f>SUM(AC4:AC44)</f>
        <v/>
      </c>
      <c r="AD45" s="47">
        <f>IF(T45=0,"",AC45/T45)</f>
        <v/>
      </c>
      <c r="AL45" s="48">
        <f>SUM(AL4:AL44)</f>
        <v/>
      </c>
      <c r="AM45" s="46">
        <f>SUM(AM4:AM44)</f>
        <v/>
      </c>
    </row>
    <row r="47">
      <c r="A47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8">
      <c r="A48" s="24" t="inlineStr">
        <is>
          <t>Market</t>
        </is>
      </c>
      <c r="B48" s="24" t="inlineStr">
        <is>
          <t>Fleet basis</t>
        </is>
      </c>
      <c r="C48" s="24" t="inlineStr">
        <is>
          <t>Raw vessels (sum)</t>
        </is>
      </c>
      <c r="D48" s="24" t="inlineStr">
        <is>
          <t>Fleet (rounded once)</t>
        </is>
      </c>
      <c r="E48" s="24" t="inlineStr">
        <is>
          <t>Market rev/yr (raw sum)</t>
        </is>
      </c>
    </row>
    <row r="49">
      <c r="A49" s="25" t="inlineStr">
        <is>
          <t>Bali</t>
        </is>
      </c>
      <c r="B49" s="13" t="inlineStr">
        <is>
          <t>network_sum / ceil</t>
        </is>
      </c>
      <c r="C49" s="23">
        <f>SUMIFS(AN4:AN44,A4:A44,"Bali",AP4:AP44,"=",AQ4:AQ44,"Grounded")</f>
        <v/>
      </c>
      <c r="D49" s="49">
        <f>IF(C49=0,0,CEILING(C49,1))</f>
        <v/>
      </c>
      <c r="E49" s="50">
        <f>SUMIFS(AO4:AO44,A4:A44,"Bali",AP4:AP44,"=",AQ4:AQ44,"Grounded")</f>
        <v/>
      </c>
    </row>
    <row r="50">
      <c r="A50" s="25" t="inlineStr">
        <is>
          <t>Uae Wider</t>
        </is>
      </c>
      <c r="B50" s="13" t="inlineStr">
        <is>
          <t>network_sum / ceil</t>
        </is>
      </c>
      <c r="C50" s="23">
        <f>SUMIFS(AN4:AN44,A4:A44,"Uae Wider",AP4:AP44,"=",AQ4:AQ44,"Grounded")</f>
        <v/>
      </c>
      <c r="D50" s="49">
        <f>IF(C50=0,0,CEILING(C50,1))</f>
        <v/>
      </c>
      <c r="E50" s="50">
        <f>SUMIFS(AO4:AO44,A4:A44,"Uae Wider",AP4:AP44,"=",AQ4:AQ44,"Grounded")</f>
        <v/>
      </c>
    </row>
    <row r="51">
      <c r="A51" s="25" t="inlineStr">
        <is>
          <t>Thailand Gulf</t>
        </is>
      </c>
      <c r="B51" s="13" t="inlineStr">
        <is>
          <t>network_sum / ceil</t>
        </is>
      </c>
      <c r="C51" s="23">
        <f>SUMIFS(AN4:AN44,A4:A44,"Thailand Gulf",AP4:AP44,"=",AQ4:AQ44,"Grounded")</f>
        <v/>
      </c>
      <c r="D51" s="49">
        <f>IF(C51=0,0,CEILING(C51,1))</f>
        <v/>
      </c>
      <c r="E51" s="50">
        <f>SUMIFS(AO4:AO44,A4:A44,"Thailand Gulf",AP4:AP44,"=",AQ4:AQ44,"Grounded")</f>
        <v/>
      </c>
    </row>
    <row r="52">
      <c r="A52" s="25" t="inlineStr">
        <is>
          <t>Maldives</t>
        </is>
      </c>
      <c r="B52" s="13" t="inlineStr">
        <is>
          <t>network_sum / ceil</t>
        </is>
      </c>
      <c r="C52" s="23">
        <f>SUMIFS(AN4:AN44,A4:A44,"Maldives",AP4:AP44,"=",AQ4:AQ44,"Grounded")</f>
        <v/>
      </c>
      <c r="D52" s="49">
        <f>IF(C52=0,0,CEILING(C52,1))</f>
        <v/>
      </c>
      <c r="E52" s="50">
        <f>SUMIFS(AO4:AO44,A4:A44,"Maldives",AP4:AP44,"=",AQ4:AQ44,"Grounded")</f>
        <v/>
      </c>
    </row>
    <row r="53">
      <c r="A53" s="25" t="inlineStr">
        <is>
          <t>Phuket</t>
        </is>
      </c>
      <c r="B53" s="13" t="inlineStr">
        <is>
          <t>network_sum / ceil</t>
        </is>
      </c>
      <c r="C53" s="23">
        <f>SUMIFS(AN4:AN44,A4:A44,"Phuket",AP4:AP44,"=",AQ4:AQ44,"Grounded")</f>
        <v/>
      </c>
      <c r="D53" s="49">
        <f>IF(C53=0,0,CEILING(C53,1))</f>
        <v/>
      </c>
      <c r="E53" s="50">
        <f>SUMIFS(AO4:AO44,A4:A44,"Phuket",AP4:AP44,"=",AQ4:AQ44,"Grounded")</f>
        <v/>
      </c>
    </row>
    <row r="54">
      <c r="A54" s="25" t="inlineStr">
        <is>
          <t>Palm Jumeirah</t>
        </is>
      </c>
      <c r="B54" s="13" t="inlineStr">
        <is>
          <t>network_sum / ceil</t>
        </is>
      </c>
      <c r="C54" s="23">
        <f>SUMIFS(AN4:AN44,A4:A44,"Palm Jumeirah",AP4:AP44,"=",AQ4:AQ44,"Grounded")</f>
        <v/>
      </c>
      <c r="D54" s="49">
        <f>IF(C54=0,0,CEILING(C54,1))</f>
        <v/>
      </c>
      <c r="E54" s="50">
        <f>SUMIFS(AO4:AO44,A4:A44,"Palm Jumeirah",AP4:AP44,"=",AQ4:AQ44,"Grounded")</f>
        <v/>
      </c>
    </row>
    <row r="55">
      <c r="A55" s="45" t="inlineStr">
        <is>
          <t>GROUNDED FLOOR (PUBLISHED)</t>
        </is>
      </c>
      <c r="D55" s="48">
        <f>SUM(D49:D54)</f>
        <v/>
      </c>
      <c r="E55" s="46">
        <f>SUM(E49:E54)</f>
        <v/>
      </c>
    </row>
  </sheetData>
  <mergeCells count="2">
    <mergeCell ref="A47:L47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0.9</v>
      </c>
      <c r="C6" s="39" t="n">
        <v>0.9</v>
      </c>
      <c r="D6" s="39" t="n">
        <v>0.95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0.9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2026-06-24T16:29:10Z</dcterms:created>
  <dcterms:modified xsi:type="dcterms:W3CDTF">2026-06-24T16:29:10Z</dcterms:modified>
</cp:coreProperties>
</file>