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opex'!$A$4:$G$6</definedName>
    <definedName name="som_floor_fleet">'Corridor economics'!$D$17</definedName>
    <definedName name="som_floor_rev">'Corridor economics'!$E$17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Minor-Hotels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Indonesia</t>
        </is>
      </c>
      <c r="B4" s="26" t="n">
        <v>12000</v>
      </c>
      <c r="C4" s="27" t="n">
        <v>0.07000000000000001</v>
      </c>
      <c r="D4" s="19" t="n">
        <v>0.75</v>
      </c>
      <c r="E4" s="26" t="n">
        <v>10000</v>
      </c>
      <c r="F4" s="19" t="n">
        <v>0.45</v>
      </c>
      <c r="G4" s="26" t="n">
        <v>600000</v>
      </c>
      <c r="H4" s="14" t="inlineStr">
        <is>
          <t>Blended local crew; ERI pro $23k vs informal local | PLN business IDR 1,114/kWh = $0.07 | Modeled | CAPEX LB-243 US/EU=$900K else $600K</t>
        </is>
      </c>
    </row>
    <row r="5">
      <c r="A5" s="25" t="inlineStr">
        <is>
          <t>Thailand</t>
        </is>
      </c>
      <c r="B5" s="26" t="n">
        <v>24000</v>
      </c>
      <c r="C5" s="27" t="n">
        <v>0.116</v>
      </c>
      <c r="D5" s="19" t="n">
        <v>0.5</v>
      </c>
      <c r="E5" s="26" t="n">
        <v>12000</v>
      </c>
      <c r="F5" s="19" t="n">
        <v>0.55</v>
      </c>
      <c r="G5" s="26" t="n">
        <v>600000</v>
      </c>
      <c r="H5" s="14" t="inlineStr">
        <is>
          <t>ERI Thailand boat captain ~876k THB/yr | MEA/PEA business tariff ~4.18 THB/kWh | Modeled Phuket marine ops | CAPEX LB-243 US/EU=$900K else $600K</t>
        </is>
      </c>
    </row>
    <row r="6">
      <c r="A6" s="25" t="inlineStr">
        <is>
          <t>United Arab Emirates</t>
        </is>
      </c>
      <c r="B6" s="26" t="n">
        <v>40000</v>
      </c>
      <c r="C6" s="27" t="n">
        <v>0.08500000000000001</v>
      </c>
      <c r="D6" s="19" t="n">
        <v>0.4</v>
      </c>
      <c r="E6" s="26" t="n">
        <v>22000</v>
      </c>
      <c r="F6" s="19" t="n">
        <v>0.74</v>
      </c>
      <c r="G6" s="26" t="n">
        <v>600000</v>
      </c>
      <c r="H6" s="14" t="inlineStr">
        <is>
          <t>GCC expat marine crew (Dubai). Dubai yacht-group ads: captain AED 5,000-10,000/mo, deckhand AED 2,000-3,500/mo; Morgan &amp; Mallet GCC guide captain $4,200-7,200/mo, deckhand $1,550-2,300/mo. Blended 1 commercial tourism-boat captain (~AED 8,000/mo ~$2,180) + deckhand (~AED 3,000/mo ~$817) fully-loaded incl visa/accommodation/insurance ~= ~$40k/vessel/yr @AED 3.6725. High-income GCC; between Saudi $42k and Bahrain $36k. | DEWA commercial slab tariff AED 0.23/0.28/0.32 per kWh + ~6 fils fuel surcharge (DEWA 2025); utilitybilluae.com business band AED 0.20-0.38/kWh. Effective commercial ~AED 0.30-0.33 = ~$0.082-0.090 @AED 3.6725. Abu Dhabi (ADDC) commercial cheaper. Blended UAE commercial ~$0.085. Subsidized like other GCC but above Saudi $0.074. | Modeled berth+insurance+admin/vessel/yr. Dubai premium marinas (Dubai Marina, Dubai Harbour, Bluewaters) are among the most expensive GCC marine ops; above Saudi $18k and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Minor-Hotels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Bali</t>
        </is>
      </c>
      <c r="B4" s="29" t="inlineStr">
        <is>
          <t>Indonesia</t>
        </is>
      </c>
      <c r="C4" s="30" t="inlineStr">
        <is>
          <t>Bali (Benoa / Sanur) → Nusa Penida / Lembongan</t>
        </is>
      </c>
      <c r="D4" s="31" t="n">
        <v>13.5</v>
      </c>
      <c r="E4" s="26" t="n">
        <v>85</v>
      </c>
      <c r="F4" s="32" t="inlineStr">
        <is>
          <t>T2</t>
        </is>
      </c>
      <c r="G4" s="32" t="inlineStr">
        <is>
          <t>med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8756</v>
      </c>
      <c r="AH4" s="32" t="inlineStr">
        <is>
          <t>T2</t>
        </is>
      </c>
      <c r="AI4" s="32" t="inlineStr">
        <is>
          <t>med</t>
        </is>
      </c>
      <c r="AJ4" s="39" t="n">
        <v>0.9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Grounded</t>
        </is>
      </c>
      <c r="AR4" s="41" t="n"/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inlineStr">
        <is>
          <t>minor-hotels/bali grounded floor</t>
        </is>
      </c>
      <c r="AY4" s="44" t="inlineStr">
        <is>
          <t>minor-hotels/bali grounded floor</t>
        </is>
      </c>
    </row>
    <row r="5">
      <c r="A5" s="29" t="inlineStr">
        <is>
          <t>Phuket</t>
        </is>
      </c>
      <c r="B5" s="29" t="inlineStr">
        <is>
          <t>Thailand</t>
        </is>
      </c>
      <c r="C5" s="30" t="inlineStr">
        <is>
          <t>Phuket (Royal Phuket Marina) → Phang Nga Bay / James Bond Island</t>
        </is>
      </c>
      <c r="D5" s="31" t="n">
        <v>20</v>
      </c>
      <c r="E5" s="26" t="n">
        <v>100</v>
      </c>
      <c r="F5" s="32" t="inlineStr">
        <is>
          <t>T2</t>
        </is>
      </c>
      <c r="G5" s="32" t="inlineStr">
        <is>
          <t>med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17182</v>
      </c>
      <c r="AH5" s="32" t="inlineStr">
        <is>
          <t>T2</t>
        </is>
      </c>
      <c r="AI5" s="32" t="inlineStr">
        <is>
          <t>med</t>
        </is>
      </c>
      <c r="AJ5" s="39" t="n">
        <v>0.9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Grounded</t>
        </is>
      </c>
      <c r="AR5" s="41" t="n"/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inlineStr">
        <is>
          <t>minor-hotels/phuket-phang-nga grounded floor</t>
        </is>
      </c>
      <c r="AY5" s="44" t="inlineStr">
        <is>
          <t>minor-hotels/phuket-phang-nga grounded floor</t>
        </is>
      </c>
    </row>
    <row r="6">
      <c r="A6" s="29" t="inlineStr">
        <is>
          <t>Phuket</t>
        </is>
      </c>
      <c r="B6" s="29" t="inlineStr">
        <is>
          <t>Thailand</t>
        </is>
      </c>
      <c r="C6" s="30" t="inlineStr">
        <is>
          <t>Phuket → Krabi (Ao Nang)</t>
        </is>
      </c>
      <c r="D6" s="31" t="n">
        <v>40</v>
      </c>
      <c r="E6" s="26" t="n">
        <v>100</v>
      </c>
      <c r="F6" s="32" t="inlineStr">
        <is>
          <t>T2</t>
        </is>
      </c>
      <c r="G6" s="32" t="inlineStr">
        <is>
          <t>med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17182</v>
      </c>
      <c r="AH6" s="32" t="inlineStr">
        <is>
          <t>T2</t>
        </is>
      </c>
      <c r="AI6" s="32" t="inlineStr">
        <is>
          <t>med</t>
        </is>
      </c>
      <c r="AJ6" s="39" t="n">
        <v>0.9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n"/>
      <c r="AQ6" s="32" t="inlineStr">
        <is>
          <t>Grounded</t>
        </is>
      </c>
      <c r="AR6" s="41" t="n"/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inlineStr">
        <is>
          <t>minor-hotels/phuket-phang-nga grounded floor</t>
        </is>
      </c>
      <c r="AY6" s="44" t="inlineStr">
        <is>
          <t>minor-hotels/phuket-phang-nga grounded floor</t>
        </is>
      </c>
    </row>
    <row r="7">
      <c r="A7" s="29" t="inlineStr">
        <is>
          <t>Palm Jumeirah</t>
        </is>
      </c>
      <c r="B7" s="29" t="inlineStr">
        <is>
          <t>United Arab Emirates</t>
        </is>
      </c>
      <c r="C7" s="30" t="inlineStr">
        <is>
          <t>Palm Jumeirah Marina West → Atlantis The Palm Jetty</t>
        </is>
      </c>
      <c r="D7" s="31" t="n">
        <v>1.3</v>
      </c>
      <c r="E7" s="26" t="n">
        <v>150</v>
      </c>
      <c r="F7" s="32" t="inlineStr">
        <is>
          <t>T2</t>
        </is>
      </c>
      <c r="G7" s="32" t="inlineStr">
        <is>
          <t>med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13897</v>
      </c>
      <c r="AH7" s="32" t="inlineStr">
        <is>
          <t>T2</t>
        </is>
      </c>
      <c r="AI7" s="32" t="inlineStr">
        <is>
          <t>med</t>
        </is>
      </c>
      <c r="AJ7" s="39" t="n">
        <v>0.9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n"/>
      <c r="AQ7" s="32" t="inlineStr">
        <is>
          <t>Grounded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inlineStr">
        <is>
          <t>minor-hotels/palm-jumeirah grounded floor</t>
        </is>
      </c>
      <c r="AY7" s="44" t="inlineStr">
        <is>
          <t>minor-hotels/palm-jumeirah grounded floor</t>
        </is>
      </c>
    </row>
    <row r="8">
      <c r="A8" s="29" t="inlineStr">
        <is>
          <t>Palm Jumeirah</t>
        </is>
      </c>
      <c r="B8" s="29" t="inlineStr">
        <is>
          <t>United Arab Emirates</t>
        </is>
      </c>
      <c r="C8" s="30" t="inlineStr">
        <is>
          <t>Dubai Harbour Marina → Palm Jumeirah Marina West</t>
        </is>
      </c>
      <c r="D8" s="31" t="n">
        <v>2.1</v>
      </c>
      <c r="E8" s="26" t="n">
        <v>150</v>
      </c>
      <c r="F8" s="32" t="inlineStr">
        <is>
          <t>T2</t>
        </is>
      </c>
      <c r="G8" s="32" t="inlineStr">
        <is>
          <t>med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13897</v>
      </c>
      <c r="AH8" s="32" t="inlineStr">
        <is>
          <t>T2</t>
        </is>
      </c>
      <c r="AI8" s="32" t="inlineStr">
        <is>
          <t>med</t>
        </is>
      </c>
      <c r="AJ8" s="39" t="n">
        <v>0.9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Grounded</t>
        </is>
      </c>
      <c r="AR8" s="41" t="n"/>
      <c r="AS8" s="41" t="n"/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inlineStr">
        <is>
          <t>minor-hotels/palm-jumeirah grounded floor</t>
        </is>
      </c>
      <c r="AY8" s="44" t="inlineStr">
        <is>
          <t>minor-hotels/palm-jumeirah grounded floor</t>
        </is>
      </c>
    </row>
    <row r="9">
      <c r="A9" s="29" t="inlineStr">
        <is>
          <t>Palm Jumeirah</t>
        </is>
      </c>
      <c r="B9" s="29" t="inlineStr">
        <is>
          <t>United Arab Emirates</t>
        </is>
      </c>
      <c r="C9" s="30" t="inlineStr">
        <is>
          <t>Dubai Harbour Marina → Nikki Beach Resort Pearl Jumeirah Jetty</t>
        </is>
      </c>
      <c r="D9" s="31" t="n">
        <v>11.9</v>
      </c>
      <c r="E9" s="26" t="n">
        <v>150</v>
      </c>
      <c r="F9" s="32" t="inlineStr">
        <is>
          <t>T2</t>
        </is>
      </c>
      <c r="G9" s="32" t="inlineStr">
        <is>
          <t>med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13897</v>
      </c>
      <c r="AH9" s="32" t="inlineStr">
        <is>
          <t>T2</t>
        </is>
      </c>
      <c r="AI9" s="32" t="inlineStr">
        <is>
          <t>med</t>
        </is>
      </c>
      <c r="AJ9" s="39" t="n">
        <v>0.9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Grounded</t>
        </is>
      </c>
      <c r="AR9" s="41" t="n"/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inlineStr">
        <is>
          <t>minor-hotels/palm-jumeirah grounded floor</t>
        </is>
      </c>
      <c r="AY9" s="44" t="inlineStr">
        <is>
          <t>minor-hotels/palm-jumeirah grounded floor</t>
        </is>
      </c>
    </row>
    <row r="10">
      <c r="A10" s="45" t="inlineStr">
        <is>
          <t>TOTAL / median</t>
        </is>
      </c>
      <c r="T10" s="46">
        <f>SUM(T4:T9)</f>
        <v/>
      </c>
      <c r="AC10" s="46">
        <f>SUM(AC4:AC9)</f>
        <v/>
      </c>
      <c r="AD10" s="47">
        <f>IF(T10=0,"",AC10/T10)</f>
        <v/>
      </c>
      <c r="AL10" s="48">
        <f>SUM(AL4:AL9)</f>
        <v/>
      </c>
      <c r="AM10" s="46">
        <f>SUM(AM4:AM9)</f>
        <v/>
      </c>
    </row>
    <row r="12">
      <c r="A12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3">
      <c r="A13" s="24" t="inlineStr">
        <is>
          <t>Market</t>
        </is>
      </c>
      <c r="B13" s="24" t="inlineStr">
        <is>
          <t>Fleet basis</t>
        </is>
      </c>
      <c r="C13" s="24" t="inlineStr">
        <is>
          <t>Raw vessels (sum)</t>
        </is>
      </c>
      <c r="D13" s="24" t="inlineStr">
        <is>
          <t>Fleet (rounded once)</t>
        </is>
      </c>
      <c r="E13" s="24" t="inlineStr">
        <is>
          <t>Market rev/yr (raw sum)</t>
        </is>
      </c>
    </row>
    <row r="14">
      <c r="A14" s="25" t="inlineStr">
        <is>
          <t>Bali</t>
        </is>
      </c>
      <c r="B14" s="13" t="inlineStr">
        <is>
          <t>network_sum / ceil</t>
        </is>
      </c>
      <c r="C14" s="23">
        <f>SUMIFS(AN4:AN9,A4:A9,"Bali",AP4:AP9,"=",AQ4:AQ9,"Grounded")</f>
        <v/>
      </c>
      <c r="D14" s="49">
        <f>IF(C14=0,0,CEILING(C14,1))</f>
        <v/>
      </c>
      <c r="E14" s="50">
        <f>SUMIFS(AO4:AO9,A4:A9,"Bali",AP4:AP9,"=",AQ4:AQ9,"Grounded")</f>
        <v/>
      </c>
    </row>
    <row r="15">
      <c r="A15" s="25" t="inlineStr">
        <is>
          <t>Phuket</t>
        </is>
      </c>
      <c r="B15" s="13" t="inlineStr">
        <is>
          <t>network_sum / ceil</t>
        </is>
      </c>
      <c r="C15" s="23">
        <f>SUMIFS(AN4:AN9,A4:A9,"Phuket",AP4:AP9,"=",AQ4:AQ9,"Grounded")</f>
        <v/>
      </c>
      <c r="D15" s="49">
        <f>IF(C15=0,0,CEILING(C15,1))</f>
        <v/>
      </c>
      <c r="E15" s="50">
        <f>SUMIFS(AO4:AO9,A4:A9,"Phuket",AP4:AP9,"=",AQ4:AQ9,"Grounded")</f>
        <v/>
      </c>
    </row>
    <row r="16">
      <c r="A16" s="25" t="inlineStr">
        <is>
          <t>Palm Jumeirah</t>
        </is>
      </c>
      <c r="B16" s="13" t="inlineStr">
        <is>
          <t>network_sum / ceil</t>
        </is>
      </c>
      <c r="C16" s="23">
        <f>SUMIFS(AN4:AN9,A4:A9,"Palm Jumeirah",AP4:AP9,"=",AQ4:AQ9,"Grounded")</f>
        <v/>
      </c>
      <c r="D16" s="49">
        <f>IF(C16=0,0,CEILING(C16,1))</f>
        <v/>
      </c>
      <c r="E16" s="50">
        <f>SUMIFS(AO4:AO9,A4:A9,"Palm Jumeirah",AP4:AP9,"=",AQ4:AQ9,"Grounded")</f>
        <v/>
      </c>
    </row>
    <row r="17">
      <c r="A17" s="45" t="inlineStr">
        <is>
          <t>GROUNDED FLOOR (PUBLISHED)</t>
        </is>
      </c>
      <c r="D17" s="48">
        <f>SUM(D14:D16)</f>
        <v/>
      </c>
      <c r="E17" s="46">
        <f>SUM(E14:E16)</f>
        <v/>
      </c>
    </row>
    <row r="19">
      <c r="A19" s="51" t="inlineStr">
        <is>
          <t>Held for Quanta-LR (&gt;70nm, roadmap H2 2026+):</t>
        </is>
      </c>
      <c r="C19" s="52" t="inlineStr">
        <is>
          <t>Phuket → Langkawi (cross-border, regional reach) (107nm)</t>
        </is>
      </c>
    </row>
  </sheetData>
  <mergeCells count="2">
    <mergeCell ref="A1:L1"/>
    <mergeCell ref="A12:L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0.9</v>
      </c>
      <c r="C6" s="39" t="n">
        <v>0.9</v>
      </c>
      <c r="D6" s="39" t="n">
        <v>0.95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0.9</v>
      </c>
      <c r="E11" s="14" t="inlineStr">
        <is>
          <t>Captive sole-operator capture (~90%) that builds the published floor; M_today = floor ÷ this = the true corridor spend pool.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(~90%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(~90%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3" t="inlineStr">
        <is>
          <t>Note</t>
        </is>
      </c>
      <c r="B26" s="54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2026-06-22T17:39:59Z</dcterms:created>
  <dcterms:modified xsi:type="dcterms:W3CDTF">2026-06-22T17:39:59Z</dcterms:modified>
</cp:coreProperties>
</file>