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economics'!$D$11</definedName>
    <definedName name="som_floor_rev">'Corridor economics'!$E$11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Four-Seasons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hospitality N30 list = $1M, region-independent — see Country opex tab col G)</t>
        </is>
      </c>
      <c r="B8" s="15" t="n">
        <v>1000000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Maldives</t>
        </is>
      </c>
      <c r="B4" s="26" t="n">
        <v>27000</v>
      </c>
      <c r="C4" s="27" t="n">
        <v>0.3</v>
      </c>
      <c r="D4" s="19" t="n">
        <v>0.72</v>
      </c>
      <c r="E4" s="26" t="n">
        <v>16000</v>
      </c>
      <c r="F4" s="19" t="n">
        <v>0.63</v>
      </c>
      <c r="G4" s="26" t="n">
        <v>1000000</v>
      </c>
      <c r="H4" s="14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LB-260 hospitality N30 list = $1M (region-independent)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Four-Seasons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Four Seasons</t>
        </is>
      </c>
      <c r="B4" s="29" t="inlineStr">
        <is>
          <t>Maldives</t>
        </is>
      </c>
      <c r="C4" s="30" t="inlineStr">
        <is>
          <t>Dharavandhoo Airport, Baa → Four Seasons Landaa Giraavaru (Baa)</t>
        </is>
      </c>
      <c r="D4" s="31" t="n">
        <v>9.5</v>
      </c>
      <c r="E4" s="26" t="n">
        <v>200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7693</v>
      </c>
      <c r="AH4" s="32" t="inlineStr">
        <is>
          <t>T5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>
        <v>5</v>
      </c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5">
      <c r="A5" s="29" t="inlineStr">
        <is>
          <t>Four Seasons</t>
        </is>
      </c>
      <c r="B5" s="29" t="inlineStr">
        <is>
          <t>Maldives</t>
        </is>
      </c>
      <c r="C5" s="30" t="inlineStr">
        <is>
          <t>Soneva Fushi (Kunfunadhoo, Baa) → Four Seasons Landaa Giraavaru (Baa)</t>
        </is>
      </c>
      <c r="D5" s="31" t="n">
        <v>11.7</v>
      </c>
      <c r="E5" s="26" t="n">
        <v>175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inlineStr">
        <is>
          <t>null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Y5" s="44" t="inlineStr">
        <is>
          <t>NULL — pure inter-resort island-hop; no grounded crossing pool (R2). Geometry only.</t>
        </is>
      </c>
    </row>
    <row r="6">
      <c r="A6" s="45" t="inlineStr">
        <is>
          <t>TOTAL / median</t>
        </is>
      </c>
      <c r="T6" s="46">
        <f>SUM(T4:T5)</f>
        <v/>
      </c>
      <c r="AC6" s="46">
        <f>SUM(AC4:AC5)</f>
        <v/>
      </c>
      <c r="AD6" s="47">
        <f>IF(T6=0,"",AC6/T6)</f>
        <v/>
      </c>
      <c r="AL6" s="48">
        <f>SUM(AL4:AL5)</f>
        <v/>
      </c>
      <c r="AM6" s="46">
        <f>SUM(AM4:AM5)</f>
        <v/>
      </c>
    </row>
    <row r="8">
      <c r="A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">
      <c r="A9" s="24" t="inlineStr">
        <is>
          <t>Market</t>
        </is>
      </c>
      <c r="B9" s="24" t="inlineStr">
        <is>
          <t>Fleet basis</t>
        </is>
      </c>
      <c r="C9" s="24" t="inlineStr">
        <is>
          <t>Raw vessels (sum)</t>
        </is>
      </c>
      <c r="D9" s="24" t="inlineStr">
        <is>
          <t>Fleet (rounded once)</t>
        </is>
      </c>
      <c r="E9" s="24" t="inlineStr">
        <is>
          <t>Market rev/yr (raw sum)</t>
        </is>
      </c>
    </row>
    <row r="10">
      <c r="A10" s="25" t="inlineStr">
        <is>
          <t>Four Seasons</t>
        </is>
      </c>
      <c r="B10" s="13" t="inlineStr">
        <is>
          <t>network_sum / ceil</t>
        </is>
      </c>
      <c r="C10" s="23">
        <f>SUMIFS(AN4:AN5,A4:A5,"Four Seasons",AP4:AP5,"=",AQ4:AQ5,"Grounded")</f>
        <v/>
      </c>
      <c r="D10" s="49">
        <f>IF(C10=0,0,CEILING(C10,1))</f>
        <v/>
      </c>
      <c r="E10" s="50">
        <f>SUMIFS(AO4:AO5,A4:A5,"Four Seasons",AP4:AP5,"=",AQ4:AQ5,"Grounded")</f>
        <v/>
      </c>
    </row>
    <row r="11">
      <c r="A11" s="45" t="inlineStr">
        <is>
          <t>GROUNDED FLOOR (PUBLISHED)</t>
        </is>
      </c>
      <c r="D11" s="48">
        <f>SUM(D10:D10)</f>
        <v/>
      </c>
      <c r="E11" s="46">
        <f>SUM(E10:E10)</f>
        <v/>
      </c>
    </row>
    <row r="12">
      <c r="A12" s="20" t="inlineStr">
        <is>
          <t>ESTIMATED DEMAND (country-median cascade; held OUT of grounded floor)</t>
        </is>
      </c>
      <c r="D12" s="51">
        <f>SUMIF(AQ4:AQ5,"Estimated",AL4:AL5)</f>
        <v/>
      </c>
      <c r="E12" s="52">
        <f>SUMIF(AQ4:AQ5,"Estimated",AM4:AM5)</f>
        <v/>
      </c>
    </row>
  </sheetData>
  <mergeCells count="2">
    <mergeCell ref="A8:L8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0.9</v>
      </c>
      <c r="C6" s="39" t="n">
        <v>0.9</v>
      </c>
      <c r="D6" s="39" t="n">
        <v>0.95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0.9</v>
      </c>
      <c r="E11" s="14" t="inlineStr">
        <is>
          <t>Captive sole-operator capture (~90%)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2026-07-06T02:58:37Z</dcterms:created>
  <dcterms:modified xsi:type="dcterms:W3CDTF">2026-07-06T02:58:37Z</dcterms:modified>
</cp:coreProperties>
</file>