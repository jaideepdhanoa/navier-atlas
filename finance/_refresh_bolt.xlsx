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opex'!$A$4:$G$21</definedName>
    <definedName name="som_floor_fleet">'Corridor economics'!$D$228</definedName>
    <definedName name="som_floor_rev">'Corridor economics'!$E$228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Bolt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Croatia</t>
        </is>
      </c>
      <c r="B4" s="26" t="n">
        <v>28000</v>
      </c>
      <c r="C4" s="27" t="n">
        <v>0.15</v>
      </c>
      <c r="D4" s="19" t="n">
        <v>0.2</v>
      </c>
      <c r="E4" s="26" t="n">
        <v>16000</v>
      </c>
      <c r="F4" s="19" t="n">
        <v>0.6</v>
      </c>
      <c r="G4" s="26" t="n">
        <v>900000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Cyprus</t>
        </is>
      </c>
      <c r="B5" s="26" t="n">
        <v>34000</v>
      </c>
      <c r="C5" s="27" t="n">
        <v>0.26</v>
      </c>
      <c r="D5" s="19" t="n">
        <v>0.6</v>
      </c>
      <c r="E5" s="26" t="n">
        <v>22000</v>
      </c>
      <c r="F5" s="19" t="n">
        <v>0.72</v>
      </c>
      <c r="G5" s="26" t="n">
        <v>900000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Estonia</t>
        </is>
      </c>
      <c r="B7" s="26" t="n">
        <v>30000</v>
      </c>
      <c r="C7" s="27" t="n">
        <v>0.16</v>
      </c>
      <c r="D7" s="19" t="n">
        <v>0.45</v>
      </c>
      <c r="E7" s="26" t="n">
        <v>14000</v>
      </c>
      <c r="F7" s="19" t="n">
        <v>0.65</v>
      </c>
      <c r="G7" s="26" t="n">
        <v>900000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Finland</t>
        </is>
      </c>
      <c r="B8" s="26" t="n">
        <v>55000</v>
      </c>
      <c r="C8" s="27" t="n">
        <v>0.14</v>
      </c>
      <c r="D8" s="19" t="n">
        <v>0.08</v>
      </c>
      <c r="E8" s="26" t="n">
        <v>18000</v>
      </c>
      <c r="F8" s="19" t="n">
        <v>1.15</v>
      </c>
      <c r="G8" s="26" t="n">
        <v>900000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France</t>
        </is>
      </c>
      <c r="B9" s="26" t="n">
        <v>55000</v>
      </c>
      <c r="C9" s="27" t="n">
        <v>0.2</v>
      </c>
      <c r="D9" s="19" t="n">
        <v>0.06</v>
      </c>
      <c r="E9" s="26" t="n">
        <v>30000</v>
      </c>
      <c r="F9" s="19" t="n">
        <v>1.15</v>
      </c>
      <c r="G9" s="26" t="n">
        <v>900000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Greece</t>
        </is>
      </c>
      <c r="B10" s="26" t="n">
        <v>32000</v>
      </c>
      <c r="C10" s="27" t="n">
        <v>0.19</v>
      </c>
      <c r="D10" s="19" t="n">
        <v>0.4</v>
      </c>
      <c r="E10" s="26" t="n">
        <v>18000</v>
      </c>
      <c r="F10" s="19" t="n">
        <v>0.7</v>
      </c>
      <c r="G10" s="26" t="n">
        <v>900000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Ireland</t>
        </is>
      </c>
      <c r="B11" s="26" t="n">
        <v>55000</v>
      </c>
      <c r="C11" s="27" t="n">
        <v>0.27</v>
      </c>
      <c r="D11" s="19" t="n">
        <v>0.33</v>
      </c>
      <c r="E11" s="26" t="n">
        <v>22000</v>
      </c>
      <c r="F11" s="19" t="n">
        <v>1.15</v>
      </c>
      <c r="G11" s="26" t="n">
        <v>900000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Israel</t>
        </is>
      </c>
      <c r="B12" s="26" t="n">
        <v>50000</v>
      </c>
      <c r="C12" s="27" t="n">
        <v>0.16</v>
      </c>
      <c r="D12" s="19" t="n">
        <v>0.55</v>
      </c>
      <c r="E12" s="26" t="n">
        <v>20000</v>
      </c>
      <c r="F12" s="19" t="n">
        <v>1.05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Italy</t>
        </is>
      </c>
      <c r="B13" s="26" t="n">
        <v>48000</v>
      </c>
      <c r="C13" s="27" t="n">
        <v>0.28</v>
      </c>
      <c r="D13" s="19" t="n">
        <v>0.33</v>
      </c>
      <c r="E13" s="26" t="n">
        <v>26000</v>
      </c>
      <c r="F13" s="19" t="n">
        <v>1</v>
      </c>
      <c r="G13" s="26" t="n">
        <v>900000</v>
      </c>
      <c r="H13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4">
      <c r="A14" s="25" t="inlineStr">
        <is>
          <t>Lebanon</t>
        </is>
      </c>
      <c r="B14" s="26" t="n">
        <v>20000</v>
      </c>
      <c r="C14" s="27" t="n">
        <v>0.2</v>
      </c>
      <c r="D14" s="19" t="n">
        <v>0.6</v>
      </c>
      <c r="E14" s="26" t="n">
        <v>12000</v>
      </c>
      <c r="F14" s="19" t="n">
        <v>0.45</v>
      </c>
      <c r="G14" s="26" t="n">
        <v>600000</v>
      </c>
      <c r="H1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5">
      <c r="A15" s="25" t="inlineStr">
        <is>
          <t>Portugal</t>
        </is>
      </c>
      <c r="B15" s="26" t="n">
        <v>30000</v>
      </c>
      <c r="C15" s="27" t="n">
        <v>0.18</v>
      </c>
      <c r="D15" s="19" t="n">
        <v>0.2</v>
      </c>
      <c r="E15" s="26" t="n">
        <v>16000</v>
      </c>
      <c r="F15" s="19" t="n">
        <v>0.65</v>
      </c>
      <c r="G15" s="26" t="n">
        <v>900000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Qatar</t>
        </is>
      </c>
      <c r="B16" s="26" t="n">
        <v>43000</v>
      </c>
      <c r="C16" s="27" t="n">
        <v>0.036</v>
      </c>
      <c r="D16" s="19" t="n">
        <v>0.49</v>
      </c>
      <c r="E16" s="26" t="n">
        <v>20000</v>
      </c>
      <c r="F16" s="19" t="n">
        <v>0.7</v>
      </c>
      <c r="G16" s="26" t="n">
        <v>600000</v>
      </c>
      <c r="H16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7">
      <c r="A17" s="25" t="inlineStr">
        <is>
          <t>Romania</t>
        </is>
      </c>
      <c r="B17" s="26" t="n">
        <v>22000</v>
      </c>
      <c r="C17" s="27" t="n">
        <v>0.16</v>
      </c>
      <c r="D17" s="19" t="n">
        <v>0.26</v>
      </c>
      <c r="E17" s="26" t="n">
        <v>12000</v>
      </c>
      <c r="F17" s="19" t="n">
        <v>0.5</v>
      </c>
      <c r="G17" s="26" t="n">
        <v>900000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Saudi Arabia</t>
        </is>
      </c>
      <c r="B18" s="26" t="n">
        <v>42000</v>
      </c>
      <c r="C18" s="27" t="n">
        <v>0.074</v>
      </c>
      <c r="D18" s="19" t="n">
        <v>0.57</v>
      </c>
      <c r="E18" s="26" t="n">
        <v>18000</v>
      </c>
      <c r="F18" s="19" t="n">
        <v>0.68</v>
      </c>
      <c r="G18" s="26" t="n">
        <v>600000</v>
      </c>
      <c r="H18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9">
      <c r="A19" s="25" t="inlineStr">
        <is>
          <t>Spain</t>
        </is>
      </c>
      <c r="B19" s="26" t="n">
        <v>38000</v>
      </c>
      <c r="C19" s="27" t="n">
        <v>0.18</v>
      </c>
      <c r="D19" s="19" t="n">
        <v>0.19</v>
      </c>
      <c r="E19" s="26" t="n">
        <v>20000</v>
      </c>
      <c r="F19" s="19" t="n">
        <v>0.8</v>
      </c>
      <c r="G19" s="26" t="n">
        <v>900000</v>
      </c>
      <c r="H1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0">
      <c r="A20" s="25" t="inlineStr">
        <is>
          <t>Sweden</t>
        </is>
      </c>
      <c r="B20" s="26" t="n">
        <v>58000</v>
      </c>
      <c r="C20" s="27" t="n">
        <v>0.13</v>
      </c>
      <c r="D20" s="19" t="n">
        <v>0.04</v>
      </c>
      <c r="E20" s="26" t="n">
        <v>22000</v>
      </c>
      <c r="F20" s="19" t="n">
        <v>1.2</v>
      </c>
      <c r="G20" s="26" t="n">
        <v>900000</v>
      </c>
      <c r="H2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21">
      <c r="A21" s="25" t="inlineStr">
        <is>
          <t>United Arab Emirates</t>
        </is>
      </c>
      <c r="B21" s="26" t="n">
        <v>40000</v>
      </c>
      <c r="C21" s="27" t="n">
        <v>0.08500000000000001</v>
      </c>
      <c r="D21" s="19" t="n">
        <v>0.4</v>
      </c>
      <c r="E21" s="26" t="n">
        <v>22000</v>
      </c>
      <c r="F21" s="19" t="n">
        <v>0.74</v>
      </c>
      <c r="G21" s="26" t="n">
        <v>600000</v>
      </c>
      <c r="H21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Bolt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Bolt Croatia</t>
        </is>
      </c>
      <c r="B4" s="29" t="inlineStr">
        <is>
          <t>Croatia</t>
        </is>
      </c>
      <c r="C4" s="30" t="inlineStr">
        <is>
          <t>Split → Trogir (via Čiovo)</t>
        </is>
      </c>
      <c r="D4" s="31" t="n">
        <v>8</v>
      </c>
      <c r="E4" s="26" t="n">
        <v>10.8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MIN(24,FLOOR(60*service_hr/J4,1))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PREMIUM/scheduled per-seat: Bura Line Split-&gt;Trogir EUR 10 adult (60 min). EUR 10 x 1.08 = $10.8.</t>
        </is>
      </c>
      <c r="AX4" s="44" t="n"/>
    </row>
    <row r="5">
      <c r="A5" s="29" t="inlineStr">
        <is>
          <t>Bolt Croatia</t>
        </is>
      </c>
      <c r="B5" s="29" t="inlineStr">
        <is>
          <t>Croatia</t>
        </is>
      </c>
      <c r="C5" s="30" t="inlineStr">
        <is>
          <t>Dubrovnik → Elaphiti Islands (Lopud / Šipan / Koločep)</t>
        </is>
      </c>
      <c r="D5" s="31" t="n">
        <v>8</v>
      </c>
      <c r="E5" s="26" t="n">
        <v>45.4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/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inlineStr">
        <is>
          <t>PREMIUM tier: half-day Elaphiti speedboat/day-trip per-seat EUR 35-50 (machupicchu.org/getyourguide listings); midpoint ~EUR 42 x 1.08 = $45.4. (This is the tourist premium tier; the Jadrolinija local line is the commuter floor below.)</t>
        </is>
      </c>
      <c r="AX5" s="44" t="n"/>
    </row>
    <row r="6">
      <c r="A6" s="29" t="inlineStr">
        <is>
          <t>Bolt Croatia</t>
        </is>
      </c>
      <c r="B6" s="29" t="inlineStr">
        <is>
          <t>Croatia</t>
        </is>
      </c>
      <c r="C6" s="30" t="inlineStr">
        <is>
          <t>Split → Šolta (Rogač)</t>
        </is>
      </c>
      <c r="D6" s="31" t="n">
        <v>9</v>
      </c>
      <c r="E6" s="26" t="n">
        <v>7.6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/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Split-Rogač is a commuter island line with no separate premium tourist catamaran tier -&gt; premium ~= scheduled fare. Jadrolinija catamaran/ferry adult ~EUR 5.70-7; modeled ~EUR 7 x 1.08 = $7.6 (LOW premium spread; essentially a commuter corridor).</t>
        </is>
      </c>
      <c r="AX6" s="44" t="n"/>
    </row>
    <row r="7">
      <c r="A7" s="29" t="inlineStr">
        <is>
          <t>Bolt Croatia</t>
        </is>
      </c>
      <c r="B7" s="29" t="inlineStr">
        <is>
          <t>Croatia</t>
        </is>
      </c>
      <c r="C7" s="30" t="inlineStr">
        <is>
          <t>Dubrovnik → Cavtat</t>
        </is>
      </c>
      <c r="D7" s="31" t="n">
        <v>9</v>
      </c>
      <c r="E7" s="26" t="n">
        <v>10.8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179000</v>
      </c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Scheduled water-taxi/boat Dubrovnik&lt;-&gt;Cavtat ~EUR 9-10 one-way (regular service via Mlini/Srebreno). EUR 10 x 1.08 = $10.8.</t>
        </is>
      </c>
      <c r="AX7" s="44" t="n"/>
    </row>
    <row r="8">
      <c r="A8" s="29" t="inlineStr">
        <is>
          <t>Bolt Croatia</t>
        </is>
      </c>
      <c r="B8" s="29" t="inlineStr">
        <is>
          <t>Croatia</t>
        </is>
      </c>
      <c r="C8" s="30" t="inlineStr">
        <is>
          <t>Dubrovnik Airport (Čilipi) → Dubrovnik / Cavtat (resort transfer)</t>
        </is>
      </c>
      <c r="D8" s="31" t="n">
        <v>10</v>
      </c>
      <c r="E8" s="26" t="n"/>
      <c r="F8" s="32" t="n"/>
      <c r="G8" s="32" t="n"/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/>
      <c r="AH8" s="32" t="n"/>
      <c r="AI8" s="32" t="n"/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Bolt Croatia</t>
        </is>
      </c>
      <c r="B9" s="29" t="inlineStr">
        <is>
          <t>Croatia</t>
        </is>
      </c>
      <c r="C9" s="30" t="inlineStr">
        <is>
          <t>Split → Brač (Bol)</t>
        </is>
      </c>
      <c r="D9" s="31" t="n">
        <v>12</v>
      </c>
      <c r="E9" s="26" t="n">
        <v>23.5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400000</v>
      </c>
      <c r="AH9" s="32" t="n"/>
      <c r="AI9" s="32" t="n"/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PREMIUM tier: seasonal fast catamaran Split-&gt;Bol adult EUR 20-23 (Jadrolinija Split-Bol-Jelsa EUR 20; Krilo/Jadrolinija from EUR 23). Midpoint ~EUR 21.7 x 1.08 = $23.5.</t>
        </is>
      </c>
      <c r="AX9" s="44" t="n"/>
    </row>
    <row r="10">
      <c r="A10" s="29" t="inlineStr">
        <is>
          <t>Bolt Croatia</t>
        </is>
      </c>
      <c r="B10" s="29" t="inlineStr">
        <is>
          <t>Croatia</t>
        </is>
      </c>
      <c r="C10" s="30" t="inlineStr">
        <is>
          <t>Split Airport (Resnik / Trogir) → Split / Brač / Hvar (resort &amp; island transfer)</t>
        </is>
      </c>
      <c r="D10" s="31" t="n">
        <v>12</v>
      </c>
      <c r="E10" s="26" t="n">
        <v>27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/>
      <c r="AH10" s="32" t="n"/>
      <c r="AI10" s="32" t="n"/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Charter-divided per-seat: private speedboat Split Airport-&gt;island ~EUR 250/boat for up to ~10-12 pax (GetMyBoat) -&gt; ~EUR 25/seat x 1.08 = $27.0. (Premium transfer product, not a scheduled liner.)</t>
        </is>
      </c>
      <c r="AX10" s="44" t="n"/>
    </row>
    <row r="11">
      <c r="A11" s="29" t="inlineStr">
        <is>
          <t>Bolt Croatia</t>
        </is>
      </c>
      <c r="B11" s="29" t="inlineStr">
        <is>
          <t>Croatia</t>
        </is>
      </c>
      <c r="C11" s="30" t="inlineStr">
        <is>
          <t>Zadar (Murter / Biograd gateway) → Kornati National Park</t>
        </is>
      </c>
      <c r="D11" s="31" t="n">
        <v>20</v>
      </c>
      <c r="E11" s="26" t="n">
        <v>75.59999999999999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110000</v>
      </c>
      <c r="AH11" s="32" t="n"/>
      <c r="AI11" s="32" t="n"/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PREMIUM tier: full-day Kornati boat excursion per-seat ~EUR 70 (typical EUR 60-90, often incl. NP entry + lunch) from Zadar/Murter/Biograd. EUR 70 x 1.08 = $75.6. NOTE: this bundles park entry + sometimes lunch, so it overstates a pure point-to-point fast-craft seat; no scheduled liner exists to Kornati.</t>
        </is>
      </c>
      <c r="AX11" s="44" t="n"/>
    </row>
    <row r="12">
      <c r="A12" s="29" t="inlineStr">
        <is>
          <t>Bolt Croatia</t>
        </is>
      </c>
      <c r="B12" s="29" t="inlineStr">
        <is>
          <t>Croatia</t>
        </is>
      </c>
      <c r="C12" s="30" t="inlineStr">
        <is>
          <t>Split → Hvar</t>
        </is>
      </c>
      <c r="D12" s="31" t="n">
        <v>22</v>
      </c>
      <c r="E12" s="26" t="n">
        <v>27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550000</v>
      </c>
      <c r="AH12" s="32" t="n"/>
      <c r="AI12" s="32" t="n"/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PREMIUM tier: scheduled fast tourist catamaran Split-&gt;Hvar Town adult ~EUR 25 (Kapetan Luka 'Krilo', TP Line, Adriatic Fast Ferries, Jadrolinija fast cat). EUR 25 x 1.08 = $27.0.</t>
        </is>
      </c>
      <c r="AX12" s="44" t="n"/>
    </row>
    <row r="13">
      <c r="A13" s="29" t="inlineStr">
        <is>
          <t>Bolt Croatia</t>
        </is>
      </c>
      <c r="B13" s="29" t="inlineStr">
        <is>
          <t>Croatia</t>
        </is>
      </c>
      <c r="C13" s="30" t="inlineStr">
        <is>
          <t>Dubrovnik → Mljet (Polače / Sobra)</t>
        </is>
      </c>
      <c r="D13" s="31" t="n">
        <v>22</v>
      </c>
      <c r="E13" s="26" t="n">
        <v>21.6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125000</v>
      </c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inlineStr">
        <is>
          <t>PREMIUM tier: TP Line/Krilo catamaran Dubrovnik-&gt;Polače peak adult ~EUR 20 (summer range to EUR 20). EUR 20 x 1.08 = $21.6.</t>
        </is>
      </c>
      <c r="AX13" s="44" t="n"/>
    </row>
    <row r="14">
      <c r="A14" s="29" t="inlineStr">
        <is>
          <t>Bolt Croatia</t>
        </is>
      </c>
      <c r="B14" s="29" t="inlineStr">
        <is>
          <t>Croatia</t>
        </is>
      </c>
      <c r="C14" s="30" t="inlineStr">
        <is>
          <t>Hvar (Hvar Town) → Korčula (Korčula Town)</t>
        </is>
      </c>
      <c r="D14" s="31" t="n">
        <v>30</v>
      </c>
      <c r="E14" s="26" t="n">
        <v>27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/>
      <c r="AH14" s="32" t="n"/>
      <c r="AI14" s="32" t="n"/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PREMIUM tier: Krilo/Kapetan Luka &amp; TP Line catamaran Hvar-&gt;Korčula top foot fare ~EUR 25 (range EUR 5.84-25). EUR 25 x 1.08 = $27.0.</t>
        </is>
      </c>
      <c r="AX14" s="44" t="n"/>
    </row>
    <row r="15">
      <c r="A15" s="29" t="inlineStr">
        <is>
          <t>Bolt Croatia</t>
        </is>
      </c>
      <c r="B15" s="29" t="inlineStr">
        <is>
          <t>Croatia</t>
        </is>
      </c>
      <c r="C15" s="30" t="inlineStr">
        <is>
          <t>Split → Vis</t>
        </is>
      </c>
      <c r="D15" s="31" t="n">
        <v>31</v>
      </c>
      <c r="E15" s="26" t="n">
        <v>30.2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46000</v>
      </c>
      <c r="AH15" s="32" t="n"/>
      <c r="AI15" s="32" t="n"/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PREMIUM tier: Kapetan Luka 'Krilo'/Jadrolinija fast catamaran Split-&gt;Vis, top foot fare ~EUR 28 (range EUR 6.50-28). EUR 28 x 1.08 = $30.2.</t>
        </is>
      </c>
      <c r="AX15" s="44" t="n"/>
    </row>
    <row r="16">
      <c r="A16" s="29" t="inlineStr">
        <is>
          <t>Bolt Croatia</t>
        </is>
      </c>
      <c r="B16" s="29" t="inlineStr">
        <is>
          <t>Croatia</t>
        </is>
      </c>
      <c r="C16" s="30" t="inlineStr">
        <is>
          <t>Split → Korčula (Korčula Town)</t>
        </is>
      </c>
      <c r="D16" s="31" t="n">
        <v>40</v>
      </c>
      <c r="E16" s="26" t="n">
        <v>32.4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MIN(15,FLOOR(60*service_hr/J16,1))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183000</v>
      </c>
      <c r="AH16" s="32" t="n"/>
      <c r="AI16" s="32" t="n"/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PREMIUM tier: high-season fast catamaran Split-&gt;Korčula adult up to EUR 30 (Krilo/TP Line). EUR 30 x 1.08 = $32.4.</t>
        </is>
      </c>
      <c r="AX16" s="44" t="n"/>
    </row>
    <row r="17">
      <c r="A17" s="29" t="inlineStr">
        <is>
          <t>Bolt Croatia</t>
        </is>
      </c>
      <c r="B17" s="29" t="inlineStr">
        <is>
          <t>Croatia</t>
        </is>
      </c>
      <c r="C17" s="30" t="inlineStr">
        <is>
          <t>Dubrovnik → Kotor (Montenegro)</t>
        </is>
      </c>
      <c r="D17" s="31" t="n">
        <v>40</v>
      </c>
      <c r="E17" s="26" t="n"/>
      <c r="F17" s="32" t="n"/>
      <c r="G17" s="32" t="n"/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Bolt Croatia</t>
        </is>
      </c>
      <c r="B18" s="29" t="inlineStr">
        <is>
          <t>Croatia</t>
        </is>
      </c>
      <c r="C18" s="30" t="inlineStr">
        <is>
          <t>Dubrovnik → Korčula (Korčula Town)</t>
        </is>
      </c>
      <c r="D18" s="31" t="n">
        <v>47</v>
      </c>
      <c r="E18" s="26" t="n">
        <v>32.4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MIN(15,FLOOR(60*service_hr/J18,1))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PREMIUM tier: high-season catamaran Dubrovnik-&gt;Korčula adult up to EUR 30 (TP Line/Krilo). EUR 30 x 1.08 = $32.4.</t>
        </is>
      </c>
      <c r="AX18" s="44" t="n"/>
    </row>
    <row r="19">
      <c r="A19" s="29" t="inlineStr">
        <is>
          <t>Bolt Cyprus</t>
        </is>
      </c>
      <c r="B19" s="29" t="inlineStr">
        <is>
          <t>Cyprus</t>
        </is>
      </c>
      <c r="C19" s="30" t="inlineStr">
        <is>
          <t>Ayia Napa → Protaras</t>
        </is>
      </c>
      <c r="D19" s="31" t="n">
        <v>7</v>
      </c>
      <c r="E19" s="26" t="n">
        <v>32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MIN(24,FLOOR(60*service_hr/J19,1))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PREMIUM tier (sea analogue) = scheduled Ayia Napa/Protaras Cape Greco cruise per-seat ~EUR 30/pax (~$32); semi-private EUR 99/pax (MedCruises) as charter context.</t>
        </is>
      </c>
      <c r="AX19" s="44" t="n"/>
    </row>
    <row r="20">
      <c r="A20" s="29" t="inlineStr">
        <is>
          <t>Bolt Cyprus</t>
        </is>
      </c>
      <c r="B20" s="29" t="inlineStr">
        <is>
          <t>Cyprus</t>
        </is>
      </c>
      <c r="C20" s="30" t="inlineStr">
        <is>
          <t>Paphos Airport (PFO) → Paphos resorts (Coral Bay)</t>
        </is>
      </c>
      <c r="D20" s="31" t="n">
        <v>12</v>
      </c>
      <c r="E20" s="26" t="n">
        <v>32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MIN(15,FLOOR(60*service_hr/J20,1))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40000</v>
      </c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tier (sea analogue) = Paphos Harbour scheduled sea-cruise / glass-bottom-boat per-seat ~EUR 30/pax (~$32); premium shared road transfer PFO&lt;-&gt;Paphos ~EUR 20-30 as cross-check.</t>
        </is>
      </c>
      <c r="AX20" s="44" t="n"/>
    </row>
    <row r="21">
      <c r="A21" s="29" t="inlineStr">
        <is>
          <t>Bolt Cyprus</t>
        </is>
      </c>
      <c r="B21" s="29" t="inlineStr">
        <is>
          <t>Cyprus</t>
        </is>
      </c>
      <c r="C21" s="30" t="inlineStr">
        <is>
          <t>Larnaca → Ayia Napa</t>
        </is>
      </c>
      <c r="D21" s="31" t="n">
        <v>19</v>
      </c>
      <c r="E21" s="26" t="n">
        <v>32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tier (sea analogue) = scheduled Ayia Napa leisure sea-cruise per-seat EUR 25-35/pax (e.g. 'The Cyprus Boat' EUR 25-35; loveayianapa cruise EUR 20); EUR 30 mid x 1.08 = ~$32/seat. Semi-private charter EUR 99/pax (MedCruises) recorded as charter context, not the modeled tier.</t>
        </is>
      </c>
      <c r="AX21" s="44" t="n"/>
    </row>
    <row r="22">
      <c r="A22" s="29" t="inlineStr">
        <is>
          <t>Bolt Cyprus</t>
        </is>
      </c>
      <c r="B22" s="29" t="inlineStr">
        <is>
          <t>Cyprus</t>
        </is>
      </c>
      <c r="C22" s="30" t="inlineStr">
        <is>
          <t>Larnaca Airport (LCA) → Ayia Napa</t>
        </is>
      </c>
      <c r="D22" s="31" t="n">
        <v>20</v>
      </c>
      <c r="E22" s="26" t="n">
        <v>38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28000</v>
      </c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PREMIUM tier = premium shared airport transfer LCA&lt;-&gt;Ayia Napa EUR 30-40 each way (Rome2Rio 'fastest, EUR 30-40, 41 min'); EUR 35 mid x 1.08 = ~$38/seat. Closest road analogue to a premium per-seat sea transfer.</t>
        </is>
      </c>
      <c r="AX22" s="44" t="n"/>
    </row>
    <row r="23">
      <c r="A23" s="29" t="inlineStr">
        <is>
          <t>Bolt Cyprus</t>
        </is>
      </c>
      <c r="B23" s="29" t="inlineStr">
        <is>
          <t>Cyprus</t>
        </is>
      </c>
      <c r="C23" s="30" t="inlineStr">
        <is>
          <t>Larnaca → Protaras</t>
        </is>
      </c>
      <c r="D23" s="31" t="n">
        <v>23</v>
      </c>
      <c r="E23" s="26" t="n">
        <v>32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PREMIUM tier (sea analogue) = Protaras/Ayia Napa scheduled sea-cruise per-seat ~EUR 30/pax (~$32). Yellow Boat Cruises / semi-private EUR 99 as charter context.</t>
        </is>
      </c>
      <c r="AX23" s="44" t="n"/>
    </row>
    <row r="24">
      <c r="A24" s="29" t="inlineStr">
        <is>
          <t>Bolt Cyprus</t>
        </is>
      </c>
      <c r="B24" s="29" t="inlineStr">
        <is>
          <t>Cyprus</t>
        </is>
      </c>
      <c r="C24" s="30" t="inlineStr">
        <is>
          <t>Limassol Marina → Larnaca Marina</t>
        </is>
      </c>
      <c r="D24" s="31" t="n">
        <v>35</v>
      </c>
      <c r="E24" s="26" t="n">
        <v>38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99000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inlineStr">
        <is>
          <t>modal_shift_greenfield</t>
        </is>
      </c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premium shared airport/city transfer Limassol&lt;-&gt;Larnaca ~EUR 30-40 each way (Rome2Rio), EUR 35 mid x 1.08 = ~$38/seat. Closest road analogue to a premium per-seat sea shuttle; magnitude matches the Dubai $40.8 RTA convention. No scheduled-marine fare exists (no water-taxi/ferry line).</t>
        </is>
      </c>
      <c r="AX24" s="44" t="n"/>
    </row>
    <row r="25">
      <c r="A25" s="29" t="inlineStr">
        <is>
          <t>Bolt Cyprus</t>
        </is>
      </c>
      <c r="B25" s="29" t="inlineStr">
        <is>
          <t>Cyprus</t>
        </is>
      </c>
      <c r="C25" s="30" t="inlineStr">
        <is>
          <t>Larnaca Airport (LCA) → Limassol</t>
        </is>
      </c>
      <c r="D25" s="31" t="n">
        <v>35</v>
      </c>
      <c r="E25" s="26" t="n">
        <v>38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= premium shared airport transfer LCA&lt;-&gt;Limassol EUR 30-40 each way (Rome2Rio), ~$38/seat. Same anchor as the Limassol-&gt;Larnaca corridor.</t>
        </is>
      </c>
      <c r="AX25" s="44" t="n"/>
    </row>
    <row r="26">
      <c r="A26" s="29" t="inlineStr">
        <is>
          <t>Bolt Cyprus</t>
        </is>
      </c>
      <c r="B26" s="29" t="inlineStr">
        <is>
          <t>Cyprus</t>
        </is>
      </c>
      <c r="C26" s="30" t="inlineStr">
        <is>
          <t>Limassol → Paphos</t>
        </is>
      </c>
      <c r="D26" s="31" t="n">
        <v>40</v>
      </c>
      <c r="E26" s="26" t="n">
        <v>20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PREMIUM tier (road analogue) = private taxi/transfer Limassol&lt;-&gt;Paphos EUR 70-80/car divided ~4 pax (~EUR 18-20/seat) and shared shuttle EUR 10-18/pax; EUR 18.5 mid x 1.08 = ~$20/seat. No scheduled-marine fare exists.</t>
        </is>
      </c>
      <c r="AX26" s="44" t="n"/>
    </row>
    <row r="27">
      <c r="A27" s="29" t="inlineStr">
        <is>
          <t>Bolt Cyprus</t>
        </is>
      </c>
      <c r="B27" s="29" t="inlineStr">
        <is>
          <t>Cyprus</t>
        </is>
      </c>
      <c r="C27" s="30" t="inlineStr">
        <is>
          <t>Limassol → Ayia Napa</t>
        </is>
      </c>
      <c r="D27" s="31" t="n">
        <v>52</v>
      </c>
      <c r="E27" s="26" t="n">
        <v>38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MIN(24,FLOOR(60*service_hr/J27,1))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/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PREMIUM tier (sea analogue, distance-scaled) = ~EUR 35/pax (~$38), between the Ayia Napa cruise tier (EUR 30) and a longer-haul premium; indicative given no scheduled service. Private long transfer Limassol-&gt;Ayia Napa ~EUR 100-120/car as charter context.</t>
        </is>
      </c>
      <c r="AX27" s="44" t="n"/>
    </row>
    <row r="28">
      <c r="A28" s="29" t="inlineStr">
        <is>
          <t>Bolt Egypt</t>
        </is>
      </c>
      <c r="B28" s="29" t="inlineStr">
        <is>
          <t>Egypt</t>
        </is>
      </c>
      <c r="C28" s="30" t="inlineStr">
        <is>
          <t>El Gouna (internal lagoon) → El Gouna Downtown / Abu Tig</t>
        </is>
      </c>
      <c r="D28" s="31" t="n">
        <v>2</v>
      </c>
      <c r="E28" s="26" t="n">
        <v>18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/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8" s="44" t="n"/>
    </row>
    <row r="29">
      <c r="A29" s="29" t="inlineStr">
        <is>
          <t>Bolt Egypt</t>
        </is>
      </c>
      <c r="B29" s="29" t="inlineStr">
        <is>
          <t>Egypt</t>
        </is>
      </c>
      <c r="C29" s="30" t="inlineStr">
        <is>
          <t>Cairo - Maadi → Cairo - Zamalek / Downtown</t>
        </is>
      </c>
      <c r="D29" s="31" t="n">
        <v>6</v>
      </c>
      <c r="E29" s="26" t="n">
        <v>18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MIN(24,FLOOR(60*service_hr/J29,1))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/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9" s="44" t="n"/>
    </row>
    <row r="30">
      <c r="A30" s="29" t="inlineStr">
        <is>
          <t>Bolt Egypt</t>
        </is>
      </c>
      <c r="B30" s="29" t="inlineStr">
        <is>
          <t>Egypt</t>
        </is>
      </c>
      <c r="C30" s="30" t="inlineStr">
        <is>
          <t>Hurghada → Giftun Island (Orange Bay / Mahmya)</t>
        </is>
      </c>
      <c r="D30" s="31" t="n">
        <v>9</v>
      </c>
      <c r="E30" s="26" t="n">
        <v>32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MIN(15,FLOOR(60*service_hr/J30,1))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1204586</v>
      </c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30" s="44" t="n"/>
    </row>
    <row r="31">
      <c r="A31" s="29" t="inlineStr">
        <is>
          <t>Bolt Egypt</t>
        </is>
      </c>
      <c r="B31" s="29" t="inlineStr">
        <is>
          <t>Egypt</t>
        </is>
      </c>
      <c r="C31" s="30" t="inlineStr">
        <is>
          <t>Hurghada → Sahl Hasheesh</t>
        </is>
      </c>
      <c r="D31" s="31" t="n">
        <v>10</v>
      </c>
      <c r="E31" s="26" t="n">
        <v>40.8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n"/>
      <c r="AI31" s="32" t="n"/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PREMIUM tier proxy = Dubai RTA convention $40.8/seat (same premium resort-transfer tier as El Gouna). No Egypt-native scheduled water-taxi fare on this leg published.</t>
        </is>
      </c>
      <c r="AX31" s="44" t="n"/>
    </row>
    <row r="32">
      <c r="A32" s="29" t="inlineStr">
        <is>
          <t>Bolt Egypt</t>
        </is>
      </c>
      <c r="B32" s="29" t="inlineStr">
        <is>
          <t>Egypt</t>
        </is>
      </c>
      <c r="C32" s="30" t="inlineStr">
        <is>
          <t>Greater Cairo - Maspero (Downtown) → Greater Cairo - Warraq / El Qanater</t>
        </is>
      </c>
      <c r="D32" s="31" t="n">
        <v>13</v>
      </c>
      <c r="E32" s="26" t="n">
        <v>18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32" s="44" t="n"/>
    </row>
    <row r="33">
      <c r="A33" s="29" t="inlineStr">
        <is>
          <t>Bolt Egypt</t>
        </is>
      </c>
      <c r="B33" s="29" t="inlineStr">
        <is>
          <t>Egypt</t>
        </is>
      </c>
      <c r="C33" s="30" t="inlineStr">
        <is>
          <t>Hurghada → El Gouna</t>
        </is>
      </c>
      <c r="D33" s="31" t="n">
        <v>14</v>
      </c>
      <c r="E33" s="26" t="n">
        <v>40.8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10402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inlineStr">
        <is>
          <t>modal_shift_greenfield</t>
        </is>
      </c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33" s="44" t="n"/>
    </row>
    <row r="34">
      <c r="A34" s="29" t="inlineStr">
        <is>
          <t>Bolt Egypt</t>
        </is>
      </c>
      <c r="B34" s="29" t="inlineStr">
        <is>
          <t>Egypt</t>
        </is>
      </c>
      <c r="C34" s="30" t="inlineStr">
        <is>
          <t>Sharm El Sheikh → Ras Mohammed / Tiran reefs</t>
        </is>
      </c>
      <c r="D34" s="31" t="n">
        <v>16</v>
      </c>
      <c r="E34" s="26" t="n">
        <v>50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50000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 tier = VIP/premium Ras Mohammed + White Island boat sea-trip ~$52/adult (Tripadvisor VIP boat); standard scheduled boat day-trips from EUR 24 (~$26). Modeled premium tier ~$50.</t>
        </is>
      </c>
      <c r="AX34" s="44" t="n"/>
    </row>
    <row r="35">
      <c r="A35" s="29" t="inlineStr">
        <is>
          <t>Bolt Egypt</t>
        </is>
      </c>
      <c r="B35" s="29" t="inlineStr">
        <is>
          <t>Egypt</t>
        </is>
      </c>
      <c r="C35" s="30" t="inlineStr">
        <is>
          <t>Hurghada → Soma Bay</t>
        </is>
      </c>
      <c r="D35" s="31" t="n">
        <v>25</v>
      </c>
      <c r="E35" s="26" t="n">
        <v>40.8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MIN(15,FLOOR(60*service_hr/J35,1))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6935</v>
      </c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 tier proxy = Dubai RTA convention $40.8/seat (premium resort-transfer tier). No scheduled Egypt-native marine fare on this leg.</t>
        </is>
      </c>
      <c r="AX35" s="44" t="n"/>
    </row>
    <row r="36">
      <c r="A36" s="29" t="inlineStr">
        <is>
          <t>Bolt Egypt</t>
        </is>
      </c>
      <c r="B36" s="29" t="inlineStr">
        <is>
          <t>Egypt</t>
        </is>
      </c>
      <c r="C36" s="30" t="inlineStr">
        <is>
          <t>Sharm El Sheikh → Dahab</t>
        </is>
      </c>
      <c r="D36" s="31" t="n">
        <v>28</v>
      </c>
      <c r="E36" s="26" t="n">
        <v>15</v>
      </c>
      <c r="F36" s="32" t="inlineStr">
        <is>
          <t>T2</t>
        </is>
      </c>
      <c r="G36" s="32" t="inlineStr">
        <is>
          <t>med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/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6" s="44" t="n"/>
    </row>
    <row r="37">
      <c r="A37" s="29" t="inlineStr">
        <is>
          <t>Bolt Egypt</t>
        </is>
      </c>
      <c r="B37" s="29" t="inlineStr">
        <is>
          <t>Egypt</t>
        </is>
      </c>
      <c r="C37" s="30" t="inlineStr">
        <is>
          <t>Hurghada / El Gouna → Sharm El Sheikh</t>
        </is>
      </c>
      <c r="D37" s="31" t="n">
        <v>49.8</v>
      </c>
      <c r="E37" s="26" t="n">
        <v>110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MIN(15,FLOOR(60*service_hr/J37,1))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/>
      <c r="AH37" s="32" t="inlineStr">
        <is>
          <t>T5</t>
        </is>
      </c>
      <c r="AI37" s="32" t="inlineStr">
        <is>
          <t>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inlineStr">
        <is>
          <t>modal_shift_greenfield</t>
        </is>
      </c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Kept from prior registry = $110/seat (historic fast-ferry premium fare level / cross-gulf premium tier). FLAG: legacy/aspirational - no active service.</t>
        </is>
      </c>
      <c r="AX37" s="44" t="inlineStr">
        <is>
          <t>tourism</t>
        </is>
      </c>
    </row>
    <row r="38">
      <c r="A38" s="29" t="inlineStr">
        <is>
          <t>Bolt Estonia</t>
        </is>
      </c>
      <c r="B38" s="29" t="inlineStr">
        <is>
          <t>Estonia</t>
        </is>
      </c>
      <c r="C38" s="30" t="inlineStr">
        <is>
          <t>Tallinn Old City Harbour → Pirita Marina</t>
        </is>
      </c>
      <c r="D38" s="31" t="n">
        <v>4.5</v>
      </c>
      <c r="E38" s="26" t="n"/>
      <c r="F38" s="32" t="inlineStr">
        <is>
          <t>T5</t>
        </is>
      </c>
      <c r="G38" s="32" t="inlineStr">
        <is>
          <t>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/>
      <c r="AH38" s="32" t="inlineStr">
        <is>
          <t>T5</t>
        </is>
      </c>
      <c r="AI38" s="32" t="inlineStr">
        <is>
          <t>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TBD — Tier-B headline placeholder</t>
        </is>
      </c>
      <c r="AX38" s="44" t="inlineStr">
        <is>
          <t>TBD — Tier-B headline placeholder</t>
        </is>
      </c>
    </row>
    <row r="39">
      <c r="A39" s="29" t="inlineStr">
        <is>
          <t>Bolt Estonia</t>
        </is>
      </c>
      <c r="B39" s="29" t="inlineStr">
        <is>
          <t>Estonia</t>
        </is>
      </c>
      <c r="C39" s="30" t="inlineStr">
        <is>
          <t>Tallinn → Prangli</t>
        </is>
      </c>
      <c r="D39" s="31" t="n">
        <v>5</v>
      </c>
      <c r="E39" s="26" t="n">
        <v>6.5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MIN(15,FLOOR(60*service_hr/J39,1))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4500</v>
      </c>
      <c r="AH39" s="32" t="n"/>
      <c r="AI39" s="32" t="inlineStr">
        <is>
          <t>med</t>
        </is>
      </c>
      <c r="AJ39" s="39" t="n">
        <v>0.25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Wrango ferry Leppneeme&lt;-&gt;Kelnase adult EUR 6 one-way (Viimsi municipality). EUR 6 x 1.08 = $6.5.</t>
        </is>
      </c>
      <c r="AX39" s="44" t="n"/>
    </row>
    <row r="40">
      <c r="A40" s="29" t="inlineStr">
        <is>
          <t>Bolt Estonia</t>
        </is>
      </c>
      <c r="B40" s="29" t="inlineStr">
        <is>
          <t>Estonia</t>
        </is>
      </c>
      <c r="C40" s="30" t="inlineStr">
        <is>
          <t>Tallinn → Viimsi</t>
        </is>
      </c>
      <c r="D40" s="31" t="n">
        <v>5</v>
      </c>
      <c r="E40" s="26" t="n"/>
      <c r="F40" s="32" t="n"/>
      <c r="G40" s="32" t="n"/>
      <c r="H40" s="19" t="n">
        <v>1</v>
      </c>
      <c r="I40" s="33">
        <f>60*D40/cruise_kt</f>
        <v/>
      </c>
      <c r="J40" s="33">
        <f>I40+turn_min+dwell_min</f>
        <v/>
      </c>
      <c r="K40" s="34">
        <f>MIN(24,FLOOR(60*service_hr/J40,1))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n"/>
      <c r="AI40" s="32" t="n"/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Bolt Estonia</t>
        </is>
      </c>
      <c r="B41" s="29" t="inlineStr">
        <is>
          <t>Estonia</t>
        </is>
      </c>
      <c r="C41" s="30" t="inlineStr">
        <is>
          <t>Tallinn → Kakumäe</t>
        </is>
      </c>
      <c r="D41" s="31" t="n">
        <v>6</v>
      </c>
      <c r="E41" s="26" t="n"/>
      <c r="F41" s="32" t="n"/>
      <c r="G41" s="32" t="n"/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Bolt Estonia</t>
        </is>
      </c>
      <c r="B42" s="29" t="inlineStr">
        <is>
          <t>Estonia</t>
        </is>
      </c>
      <c r="C42" s="30" t="inlineStr">
        <is>
          <t>Tallinn → Aegna</t>
        </is>
      </c>
      <c r="D42" s="31" t="n">
        <v>7</v>
      </c>
      <c r="E42" s="26" t="n">
        <v>6.5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3300</v>
      </c>
      <c r="AH42" s="32" t="n"/>
      <c r="AI42" s="32" t="inlineStr">
        <is>
          <t>med</t>
        </is>
      </c>
      <c r="AJ42" s="39" t="n">
        <v>0.25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Sunlines Tallinn-&gt;Aegna adult scheduled fare ~EUR 6 one-way (Rome2Rio cites EUR 5; FB users ~EUR 8 round-trip). EUR 6 x 1.08 = $6.5. No premium fast-craft tier exists above this on so short a hop.</t>
        </is>
      </c>
      <c r="AX42" s="44" t="n"/>
    </row>
    <row r="43">
      <c r="A43" s="29" t="inlineStr">
        <is>
          <t>Bolt Estonia</t>
        </is>
      </c>
      <c r="B43" s="29" t="inlineStr">
        <is>
          <t>Estonia</t>
        </is>
      </c>
      <c r="C43" s="30" t="inlineStr">
        <is>
          <t>Tallinn → Naissaar</t>
        </is>
      </c>
      <c r="D43" s="31" t="n">
        <v>11</v>
      </c>
      <c r="E43" s="26" t="n">
        <v>10.8</v>
      </c>
      <c r="F43" s="32" t="inlineStr">
        <is>
          <t>T2</t>
        </is>
      </c>
      <c r="G43" s="32" t="inlineStr">
        <is>
          <t>med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MIN(15,FLOOR(60*service_hr/J43,1))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50000</v>
      </c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inlineStr">
        <is>
          <t>Sunlines 'Strande' (300 pax) adult scheduled fare EUR 10 one-way / EUR 20 round-trip, departing Linnahall 11:00. EUR 10 x 1.08 = $10.8.</t>
        </is>
      </c>
      <c r="AX43" s="44" t="n"/>
    </row>
    <row r="44">
      <c r="A44" s="29" t="inlineStr">
        <is>
          <t>Bolt Estonia</t>
        </is>
      </c>
      <c r="B44" s="29" t="inlineStr">
        <is>
          <t>Estonia</t>
        </is>
      </c>
      <c r="C44" s="30" t="inlineStr">
        <is>
          <t>Tallinn → Helsinki</t>
        </is>
      </c>
      <c r="D44" s="31" t="n">
        <v>43</v>
      </c>
      <c r="E44" s="26" t="n">
        <v>27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750000</v>
      </c>
      <c r="AH44" s="32" t="n"/>
      <c r="AI44" s="32" t="inlineStr">
        <is>
          <t>med</t>
        </is>
      </c>
      <c r="AJ44" s="39" t="n">
        <v>0.25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walk-up fast-ferry seat ~EUR 25 (range EUR 18-35 by season/operator/advance; Tallink Megastar/MyStar, Viking from EUR 18, Eckero). EUR 25 x 1.08 = $27.0.</t>
        </is>
      </c>
      <c r="AX44" s="44" t="n"/>
    </row>
    <row r="45">
      <c r="A45" s="29" t="inlineStr">
        <is>
          <t>Bolt Finland</t>
        </is>
      </c>
      <c r="B45" s="29" t="inlineStr">
        <is>
          <t>Finland</t>
        </is>
      </c>
      <c r="C45" s="30" t="inlineStr">
        <is>
          <t>Helsinki → Lonna</t>
        </is>
      </c>
      <c r="D45" s="31" t="n">
        <v>1.2</v>
      </c>
      <c r="E45" s="26" t="n">
        <v>8.640000000000001</v>
      </c>
      <c r="F45" s="32" t="inlineStr">
        <is>
          <t>T2</t>
        </is>
      </c>
      <c r="G45" s="32" t="inlineStr">
        <is>
          <t>med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/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inlineStr">
        <is>
          <t>JT-Line Kauppatori-&gt;Lonna adult fare EUR 8 (Rome2Rio; 10 min). EUR 8 x 1.08 = $8.64.</t>
        </is>
      </c>
      <c r="AX45" s="44" t="n"/>
    </row>
    <row r="46">
      <c r="A46" s="29" t="inlineStr">
        <is>
          <t>Bolt Finland</t>
        </is>
      </c>
      <c r="B46" s="29" t="inlineStr">
        <is>
          <t>Finland</t>
        </is>
      </c>
      <c r="C46" s="30" t="inlineStr">
        <is>
          <t>Helsinki Market Square → Suomenlinna</t>
        </is>
      </c>
      <c r="D46" s="31" t="n">
        <v>1.5</v>
      </c>
      <c r="E46" s="26" t="n">
        <v>8.640000000000001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1000000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leisure tier: JT-Line-style adult archipelago ferry seat ~EUR 8 (the comparable premium per-seat on the Helsinki island web; JT-Line ran a Market Square-&gt;Suomenlinna waterbus at this tier until 2022). EUR 8 x 1.08 = $8.64.</t>
        </is>
      </c>
      <c r="AX46" s="44" t="n"/>
    </row>
    <row r="47">
      <c r="A47" s="29" t="inlineStr">
        <is>
          <t>Bolt Finland</t>
        </is>
      </c>
      <c r="B47" s="29" t="inlineStr">
        <is>
          <t>Finland</t>
        </is>
      </c>
      <c r="C47" s="30" t="inlineStr">
        <is>
          <t>Helsinki → Pihlajasaari</t>
        </is>
      </c>
      <c r="D47" s="31" t="n">
        <v>1.5</v>
      </c>
      <c r="E47" s="26" t="n">
        <v>8.640000000000001</v>
      </c>
      <c r="F47" s="32" t="inlineStr">
        <is>
          <t>T2</t>
        </is>
      </c>
      <c r="G47" s="32" t="inlineStr">
        <is>
          <t>med</t>
        </is>
      </c>
      <c r="H47" s="19" t="n">
        <v>1</v>
      </c>
      <c r="I47" s="33">
        <f>60*D47/cruise_kt</f>
        <v/>
      </c>
      <c r="J47" s="33">
        <f>I47+turn_min+dwell_min</f>
        <v/>
      </c>
      <c r="K47" s="34">
        <f>MIN(15,FLOOR(60*service_hr/J47,1))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inlineStr">
        <is>
          <t>JT-Line adult ferry seat EUR 8 (Summer 2026; EUR 9 quoted 2024). EUR 8 x 1.08 = $8.64.</t>
        </is>
      </c>
      <c r="AX47" s="44" t="n"/>
    </row>
    <row r="48">
      <c r="A48" s="29" t="inlineStr">
        <is>
          <t>Bolt Finland</t>
        </is>
      </c>
      <c r="B48" s="29" t="inlineStr">
        <is>
          <t>Finland</t>
        </is>
      </c>
      <c r="C48" s="30" t="inlineStr">
        <is>
          <t>Helsinki → Korkeasaari (Zoo island)</t>
        </is>
      </c>
      <c r="D48" s="31" t="n">
        <v>2</v>
      </c>
      <c r="E48" s="26" t="n">
        <v>8.640000000000001</v>
      </c>
      <c r="F48" s="32" t="inlineStr">
        <is>
          <t>T2</t>
        </is>
      </c>
      <c r="G48" s="32" t="inlineStr">
        <is>
          <t>med</t>
        </is>
      </c>
      <c r="H48" s="19" t="n">
        <v>1</v>
      </c>
      <c r="I48" s="33">
        <f>60*D48/cruise_kt</f>
        <v/>
      </c>
      <c r="J48" s="33">
        <f>I48+turn_min+dwell_min</f>
        <v/>
      </c>
      <c r="K48" s="34">
        <f>MIN(15,FLOOR(60*service_hr/J48,1))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>
        <v>500000</v>
      </c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inlineStr">
        <is>
          <t>Seasonal Market Square-&gt;Korkeasaari ferry adult seat ~EUR 8 (archipelago leisure tier; zoo admission separate). EUR 8 x 1.08 = $8.64.</t>
        </is>
      </c>
      <c r="AX48" s="44" t="n"/>
    </row>
    <row r="49">
      <c r="A49" s="29" t="inlineStr">
        <is>
          <t>Bolt Finland</t>
        </is>
      </c>
      <c r="B49" s="29" t="inlineStr">
        <is>
          <t>Finland</t>
        </is>
      </c>
      <c r="C49" s="30" t="inlineStr">
        <is>
          <t>Helsinki → Kruunuvuorenranta (Laajasalo)</t>
        </is>
      </c>
      <c r="D49" s="31" t="n">
        <v>2</v>
      </c>
      <c r="E49" s="26" t="n">
        <v>18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MIN(24,FLOOR(60*service_hr/J49,1))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[LB-255 PREMIUM RE-FARE: subsidized comparable $3.56 lifted to premium on-demand floor $18.0] HSL AB-zone single EUR 3.30 (the route is a public-transit substitute; no premium scheduled tier exists). EUR 3.30 x 1.08 = $3.56. Recorded as commuter-grade.</t>
        </is>
      </c>
      <c r="AX49" s="44" t="n"/>
    </row>
    <row r="50">
      <c r="A50" s="29" t="inlineStr">
        <is>
          <t>Bolt Finland</t>
        </is>
      </c>
      <c r="B50" s="29" t="inlineStr">
        <is>
          <t>Finland</t>
        </is>
      </c>
      <c r="C50" s="30" t="inlineStr">
        <is>
          <t>Helsinki → Vallisaari</t>
        </is>
      </c>
      <c r="D50" s="31" t="n">
        <v>2.5</v>
      </c>
      <c r="E50" s="26" t="n">
        <v>8.640000000000001</v>
      </c>
      <c r="F50" s="32" t="inlineStr">
        <is>
          <t>T2</t>
        </is>
      </c>
      <c r="G50" s="32" t="inlineStr">
        <is>
          <t>med</t>
        </is>
      </c>
      <c r="H50" s="19" t="n">
        <v>1</v>
      </c>
      <c r="I50" s="33">
        <f>60*D50/cruise_kt</f>
        <v/>
      </c>
      <c r="J50" s="33">
        <f>I50+turn_min+dwell_min</f>
        <v/>
      </c>
      <c r="K50" s="34">
        <f>MIN(15,FLOOR(60*service_hr/J50,1))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500000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inlineStr">
        <is>
          <t>JT-Line adult island ferry seat ~EUR 8 (2026 island-hop tariff; EUR 9 quoted 2024). EUR 8 x 1.08 = $8.64.</t>
        </is>
      </c>
      <c r="AX50" s="44" t="n"/>
    </row>
    <row r="51">
      <c r="A51" s="29" t="inlineStr">
        <is>
          <t>Bolt Finland</t>
        </is>
      </c>
      <c r="B51" s="29" t="inlineStr">
        <is>
          <t>Finland</t>
        </is>
      </c>
      <c r="C51" s="30" t="inlineStr">
        <is>
          <t>Helsinki → Porvoo</t>
        </is>
      </c>
      <c r="D51" s="31" t="n">
        <v>26</v>
      </c>
      <c r="E51" s="26" t="n"/>
      <c r="F51" s="32" t="n"/>
      <c r="G51" s="32" t="n"/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/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n"/>
      <c r="AX51" s="44" t="n"/>
    </row>
    <row r="52">
      <c r="A52" s="29" t="inlineStr">
        <is>
          <t>Bolt Finland</t>
        </is>
      </c>
      <c r="B52" s="29" t="inlineStr">
        <is>
          <t>Finland</t>
        </is>
      </c>
      <c r="C52" s="30" t="inlineStr">
        <is>
          <t>Helsinki → Tallinn</t>
        </is>
      </c>
      <c r="D52" s="31" t="n">
        <v>43</v>
      </c>
      <c r="E52" s="26" t="n">
        <v>27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MIN(15,FLOOR(60*service_hr/J52,1))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750000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PREMIUM tier: standard adult walk-up fast-ferry seat ~EUR 25 (range EUR 18-35 by season/operator/advance; Tallink Megastar/MyStar, Viking from EUR 18, Eckero). EUR 25 x 1.08 = $27.0.</t>
        </is>
      </c>
      <c r="AX52" s="44" t="n"/>
    </row>
    <row r="53">
      <c r="A53" s="29" t="inlineStr">
        <is>
          <t>Bolt France Riviera</t>
        </is>
      </c>
      <c r="B53" s="29" t="inlineStr">
        <is>
          <t>France</t>
        </is>
      </c>
      <c r="C53" s="30" t="inlineStr">
        <is>
          <t>Cannes → Ile Sainte-Marguerite (Iles de Lerins)</t>
        </is>
      </c>
      <c r="D53" s="31" t="n">
        <v>1.5</v>
      </c>
      <c r="E53" s="26" t="n">
        <v>10.3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scheduled per-seat: Trans Cote d'Azur Cannes&lt;-&gt;Sainte-Marguerite navette EUR 19.00 adult RT (2026, all year) = ~EUR 9.5 one-way x 1.08 = ~$10.3. (Short hop, so the premium tier itself is inexpensive.)</t>
        </is>
      </c>
      <c r="AX53" s="44" t="n"/>
    </row>
    <row r="54">
      <c r="A54" s="29" t="inlineStr">
        <is>
          <t>Bolt France Riviera</t>
        </is>
      </c>
      <c r="B54" s="29" t="inlineStr">
        <is>
          <t>France</t>
        </is>
      </c>
      <c r="C54" s="30" t="inlineStr">
        <is>
          <t>Menton → Monaco</t>
        </is>
      </c>
      <c r="D54" s="31" t="n">
        <v>4</v>
      </c>
      <c r="E54" s="26" t="n"/>
      <c r="F54" s="32" t="n"/>
      <c r="G54" s="32" t="n"/>
      <c r="H54" s="19" t="n">
        <v>1</v>
      </c>
      <c r="I54" s="33">
        <f>60*D54/cruise_kt</f>
        <v/>
      </c>
      <c r="J54" s="33">
        <f>I54+turn_min+dwell_min</f>
        <v/>
      </c>
      <c r="K54" s="34">
        <f>MIN(24,FLOOR(60*service_hr/J54,1))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>
        <v>110565</v>
      </c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n"/>
      <c r="AX54" s="44" t="n"/>
    </row>
    <row r="55">
      <c r="A55" s="29" t="inlineStr">
        <is>
          <t>Bolt France Riviera</t>
        </is>
      </c>
      <c r="B55" s="29" t="inlineStr">
        <is>
          <t>France</t>
        </is>
      </c>
      <c r="C55" s="30" t="inlineStr">
        <is>
          <t>Villefranche-sur-Mer → Monaco</t>
        </is>
      </c>
      <c r="D55" s="31" t="n">
        <v>5</v>
      </c>
      <c r="E55" s="26" t="n"/>
      <c r="F55" s="32" t="n"/>
      <c r="G55" s="32" t="n"/>
      <c r="H55" s="19" t="n">
        <v>1</v>
      </c>
      <c r="I55" s="33">
        <f>60*D55/cruise_kt</f>
        <v/>
      </c>
      <c r="J55" s="33">
        <f>I55+turn_min+dwell_min</f>
        <v/>
      </c>
      <c r="K55" s="34">
        <f>MIN(24,FLOOR(60*service_hr/J55,1))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n"/>
      <c r="AX55" s="44" t="n"/>
    </row>
    <row r="56">
      <c r="A56" s="29" t="inlineStr">
        <is>
          <t>Bolt France Riviera</t>
        </is>
      </c>
      <c r="B56" s="29" t="inlineStr">
        <is>
          <t>France</t>
        </is>
      </c>
      <c r="C56" s="30" t="inlineStr">
        <is>
          <t>Antibes → Cannes</t>
        </is>
      </c>
      <c r="D56" s="31" t="n">
        <v>6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>
        <v>136595</v>
      </c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Bolt France Riviera</t>
        </is>
      </c>
      <c r="B57" s="29" t="inlineStr">
        <is>
          <t>France</t>
        </is>
      </c>
      <c r="C57" s="30" t="inlineStr">
        <is>
          <t>Nice → Monaco</t>
        </is>
      </c>
      <c r="D57" s="31" t="n">
        <v>6.5</v>
      </c>
      <c r="E57" s="26" t="n">
        <v>26.7</v>
      </c>
      <c r="F57" s="32" t="inlineStr">
        <is>
          <t>T2</t>
        </is>
      </c>
      <c r="G57" s="32" t="inlineStr">
        <is>
          <t>med</t>
        </is>
      </c>
      <c r="H57" s="19" t="n">
        <v>1</v>
      </c>
      <c r="I57" s="33">
        <f>60*D57/cruise_kt</f>
        <v/>
      </c>
      <c r="J57" s="33">
        <f>I57+turn_min+dwell_min</f>
        <v/>
      </c>
      <c r="K57" s="34">
        <f>MIN(24,FLOOR(60*service_hr/J57,1))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>
        <v>368966</v>
      </c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inlineStr">
        <is>
          <t>PREMIUM scheduled per-seat: Trans Cote d'Azur scheduled catamaran Nice-&gt;Monaco WITH landing at Port Hercule, EUR 49.50 adult round-trip (2026) = ~EUR 24.75 one-way x 1.08 = ~$26.7. (Their no-landing 'Promenade Nice-Monaco' is EUR 39.50 RT; the EUR 49.50 escale fare is the true point-to-point analog.)</t>
        </is>
      </c>
      <c r="AX57" s="44" t="n"/>
    </row>
    <row r="58">
      <c r="A58" s="29" t="inlineStr">
        <is>
          <t>Bolt France Riviera</t>
        </is>
      </c>
      <c r="B58" s="29" t="inlineStr">
        <is>
          <t>France</t>
        </is>
      </c>
      <c r="C58" s="30" t="inlineStr">
        <is>
          <t>Nice Airport → Monaco</t>
        </is>
      </c>
      <c r="D58" s="31" t="n">
        <v>6.7</v>
      </c>
      <c r="E58" s="26" t="n">
        <v>210.6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MIN(15,FLOOR(60*service_hr/J58,1))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>
        <v>79000</v>
      </c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inlineStr">
        <is>
          <t>modal_shift_greenfield</t>
        </is>
      </c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 = scheduled by-the-seat helicopter Nice Airport&lt;-&gt;Monaco, EUR 195/seat (Blade &amp; Monacair regular line, 7-min flight, ~every 30 min, year-round). EUR 195 x 1.08 = ~$210.6. This is the helicopter-alternative anchor (corridor has NO scheduled boat today). A Navier fast sea-shuttle would price well below this (~$30-60 band), expanding the pool.</t>
        </is>
      </c>
      <c r="AX58" s="44" t="n"/>
    </row>
    <row r="59">
      <c r="A59" s="29" t="inlineStr">
        <is>
          <t>Bolt France Riviera</t>
        </is>
      </c>
      <c r="B59" s="29" t="inlineStr">
        <is>
          <t>France</t>
        </is>
      </c>
      <c r="C59" s="30" t="inlineStr">
        <is>
          <t>Nice Airport → Cannes</t>
        </is>
      </c>
      <c r="D59" s="31" t="n">
        <v>9</v>
      </c>
      <c r="E59" s="26" t="n"/>
      <c r="F59" s="32" t="n"/>
      <c r="G59" s="32" t="n"/>
      <c r="H59" s="19" t="n">
        <v>1</v>
      </c>
      <c r="I59" s="33">
        <f>60*D59/cruise_kt</f>
        <v/>
      </c>
      <c r="J59" s="33">
        <f>I59+turn_min+dwell_min</f>
        <v/>
      </c>
      <c r="K59" s="34">
        <f>MIN(15,FLOOR(60*service_hr/J59,1))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n"/>
      <c r="AX59" s="44" t="n"/>
    </row>
    <row r="60">
      <c r="A60" s="29" t="inlineStr">
        <is>
          <t>Bolt France Riviera</t>
        </is>
      </c>
      <c r="B60" s="29" t="inlineStr">
        <is>
          <t>France</t>
        </is>
      </c>
      <c r="C60" s="30" t="inlineStr">
        <is>
          <t>Nice → Cannes</t>
        </is>
      </c>
      <c r="D60" s="31" t="n">
        <v>13</v>
      </c>
      <c r="E60" s="26" t="n">
        <v>26.7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>
        <v>224880</v>
      </c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COMPARABLE premium per-seat (no scheduled boat on this exact O-D today): Trans Cote d'Azur Riviera catamaran tier, anchored to the same operator's Nice-&gt;Monaco-with-landing EUR 49.50 RT (~$26.7 one-way). Conservative -- Nice-Cannes is ~2x the distance of Nice-Monaco, so a true scheduled fare would likely be higher (cf. Cannes-&gt;Saint-Tropez EUR 71 RT for 25 nm).</t>
        </is>
      </c>
      <c r="AX60" s="44" t="n"/>
    </row>
    <row r="61">
      <c r="A61" s="29" t="inlineStr">
        <is>
          <t>Bolt France Riviera</t>
        </is>
      </c>
      <c r="B61" s="29" t="inlineStr">
        <is>
          <t>France</t>
        </is>
      </c>
      <c r="C61" s="30" t="inlineStr">
        <is>
          <t>Monaco → Sanremo</t>
        </is>
      </c>
      <c r="D61" s="31" t="n">
        <v>13</v>
      </c>
      <c r="E61" s="26" t="n"/>
      <c r="F61" s="32" t="n"/>
      <c r="G61" s="32" t="n"/>
      <c r="H61" s="19" t="n">
        <v>1</v>
      </c>
      <c r="I61" s="33">
        <f>60*D61/cruise_kt</f>
        <v/>
      </c>
      <c r="J61" s="33">
        <f>I61+turn_min+dwell_min</f>
        <v/>
      </c>
      <c r="K61" s="34">
        <f>MIN(15,FLOOR(60*service_hr/J61,1))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>
        <v>4748</v>
      </c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n"/>
      <c r="AX61" s="44" t="n"/>
    </row>
    <row r="62">
      <c r="A62" s="29" t="inlineStr">
        <is>
          <t>Bolt France Riviera</t>
        </is>
      </c>
      <c r="B62" s="29" t="inlineStr">
        <is>
          <t>France</t>
        </is>
      </c>
      <c r="C62" s="30" t="inlineStr">
        <is>
          <t>Cannes → Saint-Tropez</t>
        </is>
      </c>
      <c r="D62" s="31" t="n">
        <v>25</v>
      </c>
      <c r="E62" s="26" t="n">
        <v>38.3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MIN(15,FLOOR(60*service_hr/J62,1))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>
        <v>32000</v>
      </c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Trans Cote d'Azur scheduled fast catamaran Cannes&lt;-&gt;Saint-Tropez EUR 71 adult RT (2026) = ~EUR 35.5 one-way x 1.08 = ~$38.3.</t>
        </is>
      </c>
      <c r="AX62" s="44" t="n"/>
    </row>
    <row r="63">
      <c r="A63" s="29" t="inlineStr">
        <is>
          <t>Bolt France Riviera</t>
        </is>
      </c>
      <c r="B63" s="29" t="inlineStr">
        <is>
          <t>France</t>
        </is>
      </c>
      <c r="C63" s="30" t="inlineStr">
        <is>
          <t>Nice → Saint-Tropez</t>
        </is>
      </c>
      <c r="D63" s="31" t="n">
        <v>32</v>
      </c>
      <c r="E63" s="26" t="n">
        <v>45.4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MIN(15,FLOOR(60*service_hr/J63,1))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>
        <v>32000</v>
      </c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Trans Cote d'Azur scheduled catamaran Nice&lt;-&gt;Saint-Tropez EUR 84 adult RT (2026) = ~EUR 42 one-way x 1.08 = ~$45.4 (higher than the Cannes route, reflecting the longer leg).</t>
        </is>
      </c>
      <c r="AX63" s="44" t="n"/>
    </row>
    <row r="64">
      <c r="A64" s="29" t="inlineStr">
        <is>
          <t>Bolt Greece</t>
        </is>
      </c>
      <c r="B64" s="29" t="inlineStr">
        <is>
          <t>Greece</t>
        </is>
      </c>
      <c r="C64" s="30" t="inlineStr">
        <is>
          <t>Mykonos Town → Delos</t>
        </is>
      </c>
      <c r="D64" s="31" t="n">
        <v>3.5</v>
      </c>
      <c r="E64" s="26" t="n">
        <v>54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MIN(15,FLOOR(60*service_hr/J64,1))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>
        <v>120000</v>
      </c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scheduled per-seat = guided half-day boat tour ~EUR 50 (~$54, delostours.gr / Tripadvisor); EUR 79 all-in incl. ferry+entry+guide (archaeology-travel). The modeling tier uses the EUR 50 guided per-seat.</t>
        </is>
      </c>
      <c r="AX64" s="44" t="n"/>
    </row>
    <row r="65">
      <c r="A65" s="29" t="inlineStr">
        <is>
          <t>Bolt Greece</t>
        </is>
      </c>
      <c r="B65" s="29" t="inlineStr">
        <is>
          <t>Greece</t>
        </is>
      </c>
      <c r="C65" s="30" t="inlineStr">
        <is>
          <t>Glyfada (Athens Riviera) → Vouliagmeni (Astir resort cluster)</t>
        </is>
      </c>
      <c r="D65" s="31" t="n">
        <v>5</v>
      </c>
      <c r="E65" s="26" t="n"/>
      <c r="F65" s="32" t="n"/>
      <c r="G65" s="32" t="n"/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n"/>
      <c r="AX65" s="44" t="n"/>
    </row>
    <row r="66">
      <c r="A66" s="29" t="inlineStr">
        <is>
          <t>Bolt Greece</t>
        </is>
      </c>
      <c r="B66" s="29" t="inlineStr">
        <is>
          <t>Greece</t>
        </is>
      </c>
      <c r="C66" s="30" t="inlineStr">
        <is>
          <t>Naxos → Paros</t>
        </is>
      </c>
      <c r="D66" s="31" t="n">
        <v>6</v>
      </c>
      <c r="E66" s="26" t="n">
        <v>33.5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MIN(15,FLOOR(60*service_hr/J66,1))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scheduled per-seat = fast-ferry Naxos-&gt;Paros ~EUR 31 one-way (AFerry foot-passenger from GBP 27 ~ EUR 31; ~$33.5). Short hop, so cheaper conventional options exist below.</t>
        </is>
      </c>
      <c r="AX66" s="44" t="n"/>
    </row>
    <row r="67">
      <c r="A67" s="29" t="inlineStr">
        <is>
          <t>Bolt Greece</t>
        </is>
      </c>
      <c r="B67" s="29" t="inlineStr">
        <is>
          <t>Greece</t>
        </is>
      </c>
      <c r="C67" s="30" t="inlineStr">
        <is>
          <t>Athens (Piraeus) → Glyfada (Athens Riviera)</t>
        </is>
      </c>
      <c r="D67" s="31" t="n">
        <v>8</v>
      </c>
      <c r="E67" s="26" t="n"/>
      <c r="F67" s="32" t="n"/>
      <c r="G67" s="32" t="n"/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>
        <v>949000</v>
      </c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n"/>
      <c r="AX67" s="44" t="n"/>
    </row>
    <row r="68">
      <c r="A68" s="29" t="inlineStr">
        <is>
          <t>Bolt Greece</t>
        </is>
      </c>
      <c r="B68" s="29" t="inlineStr">
        <is>
          <t>Greece</t>
        </is>
      </c>
      <c r="C68" s="30" t="inlineStr">
        <is>
          <t>Athens (Piraeus) → Aegina</t>
        </is>
      </c>
      <c r="D68" s="31" t="n">
        <v>17</v>
      </c>
      <c r="E68" s="26" t="n">
        <v>14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MIN(15,FLOOR(60*service_hr/J68,1))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>
        <v>1000000</v>
      </c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scheduled per-seat = Aegean Flying Dolphins hydrofoil Piraeus-&gt;Aegina EUR 13.00 one-way (2026, ~$14.0). Faster Hellenic Seaways high-speed cat runs ~EUR 18 on the same route. (Slow Saronic Ferries conventional ferry is the cheaper floor below.)</t>
        </is>
      </c>
      <c r="AX68" s="44" t="n"/>
    </row>
    <row r="69">
      <c r="A69" s="29" t="inlineStr">
        <is>
          <t>Bolt Greece</t>
        </is>
      </c>
      <c r="B69" s="29" t="inlineStr">
        <is>
          <t>Greece</t>
        </is>
      </c>
      <c r="C69" s="30" t="inlineStr">
        <is>
          <t>Santorini (Thira) → Ios</t>
        </is>
      </c>
      <c r="D69" s="31" t="n">
        <v>17</v>
      </c>
      <c r="E69" s="26" t="n">
        <v>54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MIN(15,FLOOR(60*service_hr/J69,1))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/>
      <c r="AH69" s="32" t="n"/>
      <c r="AI69" s="32" t="n"/>
      <c r="AJ69" s="39" t="n">
        <v>0.1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scheduled per-seat = fast-ferry Santorini-&gt;Ios ~EUR 50 one-way (range to EUR 69.7; ~$54). Up to 7 daily crossings year-round.</t>
        </is>
      </c>
      <c r="AX69" s="44" t="n"/>
    </row>
    <row r="70">
      <c r="A70" s="29" t="inlineStr">
        <is>
          <t>Bolt Greece</t>
        </is>
      </c>
      <c r="B70" s="29" t="inlineStr">
        <is>
          <t>Greece</t>
        </is>
      </c>
      <c r="C70" s="30" t="inlineStr">
        <is>
          <t>Athens (Piraeus) → Agistri (Saronic)</t>
        </is>
      </c>
      <c r="D70" s="31" t="n">
        <v>18</v>
      </c>
      <c r="E70" s="26" t="n">
        <v>14.6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MIN(15,FLOOR(60*service_hr/J70,1))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scheduled per-seat = Aegean Flying Dolphins Piraeus-&gt;Agistri (Myli) EUR 13.50 one-way (2026, ~$14.6).</t>
        </is>
      </c>
      <c r="AX70" s="44" t="n"/>
    </row>
    <row r="71">
      <c r="A71" s="29" t="inlineStr">
        <is>
          <t>Bolt Greece</t>
        </is>
      </c>
      <c r="B71" s="29" t="inlineStr">
        <is>
          <t>Greece</t>
        </is>
      </c>
      <c r="C71" s="30" t="inlineStr">
        <is>
          <t>Mykonos → Paros</t>
        </is>
      </c>
      <c r="D71" s="31" t="n">
        <v>22</v>
      </c>
      <c r="E71" s="26" t="n">
        <v>54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MIN(15,FLOOR(60*service_hr/J71,1))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scheduled per-seat = Seajets/fast-ferry Mykonos-&gt;Paros ~EUR 50 one-way (range EUR 36-66; ~$54).</t>
        </is>
      </c>
      <c r="AX71" s="44" t="n"/>
    </row>
    <row r="72">
      <c r="A72" s="29" t="inlineStr">
        <is>
          <t>Bolt Greece</t>
        </is>
      </c>
      <c r="B72" s="29" t="inlineStr">
        <is>
          <t>Greece</t>
        </is>
      </c>
      <c r="C72" s="30" t="inlineStr">
        <is>
          <t>Rhodes → Marmaris (Turkey)</t>
        </is>
      </c>
      <c r="D72" s="31" t="n">
        <v>22</v>
      </c>
      <c r="E72" s="26" t="n"/>
      <c r="F72" s="32" t="n"/>
      <c r="G72" s="32" t="n"/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n"/>
      <c r="AX72" s="44" t="n"/>
    </row>
    <row r="73">
      <c r="A73" s="29" t="inlineStr">
        <is>
          <t>Bolt Greece</t>
        </is>
      </c>
      <c r="B73" s="29" t="inlineStr">
        <is>
          <t>Greece</t>
        </is>
      </c>
      <c r="C73" s="30" t="inlineStr">
        <is>
          <t>Athens (Piraeus) → Poros (Saronic)</t>
        </is>
      </c>
      <c r="D73" s="31" t="n">
        <v>27</v>
      </c>
      <c r="E73" s="26" t="n">
        <v>18.4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MIN(15,FLOOR(60*service_hr/J73,1))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/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scheduled per-seat = Hellenic Seaways fast craft Piraeus-&gt;Poros EUR 17.00 one-way (~$18.4).</t>
        </is>
      </c>
      <c r="AX73" s="44" t="n"/>
    </row>
    <row r="74">
      <c r="A74" s="29" t="inlineStr">
        <is>
          <t>Bolt Greece</t>
        </is>
      </c>
      <c r="B74" s="29" t="inlineStr">
        <is>
          <t>Greece</t>
        </is>
      </c>
      <c r="C74" s="30" t="inlineStr">
        <is>
          <t>Mykonos → Naxos</t>
        </is>
      </c>
      <c r="D74" s="31" t="n">
        <v>28</v>
      </c>
      <c r="E74" s="26" t="n">
        <v>54</v>
      </c>
      <c r="F74" s="32" t="inlineStr">
        <is>
          <t>T2</t>
        </is>
      </c>
      <c r="G74" s="32" t="inlineStr">
        <is>
          <t>med</t>
        </is>
      </c>
      <c r="H74" s="19" t="n">
        <v>1</v>
      </c>
      <c r="I74" s="33">
        <f>60*D74/cruise_kt</f>
        <v/>
      </c>
      <c r="J74" s="33">
        <f>I74+turn_min+dwell_min</f>
        <v/>
      </c>
      <c r="K74" s="34">
        <f>MIN(15,FLOOR(60*service_hr/J74,1))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inlineStr">
        <is>
          <t>PREMIUM scheduled per-seat = Seajets/fast-ferry Mykonos-&gt;Naxos ~EUR 50 one-way (~$54), in line with the Mykonos-&gt;Paros tier (similar distance). Approximate.</t>
        </is>
      </c>
      <c r="AX74" s="44" t="n"/>
    </row>
    <row r="75">
      <c r="A75" s="29" t="inlineStr">
        <is>
          <t>Bolt Greece</t>
        </is>
      </c>
      <c r="B75" s="29" t="inlineStr">
        <is>
          <t>Greece</t>
        </is>
      </c>
      <c r="C75" s="30" t="inlineStr">
        <is>
          <t>Athens → Hydra (Saronic)</t>
        </is>
      </c>
      <c r="D75" s="31" t="n">
        <v>30</v>
      </c>
      <c r="E75" s="26" t="n">
        <v>43.2</v>
      </c>
      <c r="F75" s="32" t="inlineStr">
        <is>
          <t>T2</t>
        </is>
      </c>
      <c r="G75" s="32" t="inlineStr">
        <is>
          <t>med</t>
        </is>
      </c>
      <c r="H75" s="19" t="n">
        <v>1</v>
      </c>
      <c r="I75" s="33">
        <f>60*D75/cruise_kt</f>
        <v/>
      </c>
      <c r="J75" s="33">
        <f>I75+turn_min+dwell_min</f>
        <v/>
      </c>
      <c r="K75" s="34">
        <f>MIN(15,FLOOR(60*service_hr/J75,1))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inlineStr">
        <is>
          <t>T5</t>
        </is>
      </c>
      <c r="AI75" s="32" t="inlineStr">
        <is>
          <t>low</t>
        </is>
      </c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inlineStr">
        <is>
          <t>PREMIUM scheduled per-seat = Hellenic Seaways high-speed catamaran (Flying Cat) Piraeus-&gt;Hydra EUR 40 each way (~$43.2). Hydra has NO slow car-ferry (no cars), so the fast-ferry ticket IS the premium scheduled tier and the correct Navier modeling fare.</t>
        </is>
      </c>
      <c r="AX75" s="44" t="inlineStr"/>
    </row>
    <row r="76">
      <c r="A76" s="29" t="inlineStr">
        <is>
          <t>Bolt Greece</t>
        </is>
      </c>
      <c r="B76" s="29" t="inlineStr">
        <is>
          <t>Greece</t>
        </is>
      </c>
      <c r="C76" s="30" t="inlineStr">
        <is>
          <t>Athens (Piraeus) → Spetses (Saronic)</t>
        </is>
      </c>
      <c r="D76" s="31" t="n">
        <v>50</v>
      </c>
      <c r="E76" s="26" t="n">
        <v>37.8</v>
      </c>
      <c r="F76" s="32" t="inlineStr">
        <is>
          <t>T2</t>
        </is>
      </c>
      <c r="G76" s="32" t="inlineStr">
        <is>
          <t>med</t>
        </is>
      </c>
      <c r="H76" s="19" t="n">
        <v>1</v>
      </c>
      <c r="I76" s="33">
        <f>60*D76/cruise_kt</f>
        <v/>
      </c>
      <c r="J76" s="33">
        <f>I76+turn_min+dwell_min</f>
        <v/>
      </c>
      <c r="K76" s="34">
        <f>MIN(15,FLOOR(60*service_hr/J76,1))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inlineStr">
        <is>
          <t>PREMIUM scheduled per-seat = Hellenic Seaways Flying Cat Piraeus-&gt;Spetses ~EUR 35 one-way (~$37.8); Spetses sits beyond Hydra (EUR 40) on the same Flying Cat line, so this is an approximate lower bound. Labeled approximate.</t>
        </is>
      </c>
      <c r="AX76" s="44" t="n"/>
    </row>
    <row r="77">
      <c r="A77" s="29" t="inlineStr">
        <is>
          <t>Bolt Greece</t>
        </is>
      </c>
      <c r="B77" s="29" t="inlineStr">
        <is>
          <t>Greece</t>
        </is>
      </c>
      <c r="C77" s="30" t="inlineStr">
        <is>
          <t>Naxos → Santorini (Thira)</t>
        </is>
      </c>
      <c r="D77" s="31" t="n">
        <v>50</v>
      </c>
      <c r="E77" s="26" t="n">
        <v>54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scheduled per-seat = fast-ferry Naxos-&gt;Santorini ~EUR 50 one-way (~$54); standard fast-ferry tier on the central-to-southern Cyclades leg. Approximate.</t>
        </is>
      </c>
      <c r="AX77" s="44" t="n"/>
    </row>
    <row r="78">
      <c r="A78" s="29" t="inlineStr">
        <is>
          <t>Bolt Ireland</t>
        </is>
      </c>
      <c r="B78" s="29" t="inlineStr">
        <is>
          <t>Ireland</t>
        </is>
      </c>
      <c r="C78" s="30" t="inlineStr">
        <is>
          <t>Dalkey → Dalkey Island</t>
        </is>
      </c>
      <c r="D78" s="31" t="n">
        <v>0.3</v>
      </c>
      <c r="E78" s="26" t="n">
        <v>10.8</v>
      </c>
      <c r="F78" s="32" t="inlineStr">
        <is>
          <t>T2</t>
        </is>
      </c>
      <c r="G78" s="32" t="inlineStr">
        <is>
          <t>med</t>
        </is>
      </c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inlineStr">
        <is>
          <t>Ken the Ferryman EUR 10 per person (the operating fare to Dalkey Island). EUR 10 x 1.08 = $10.80.</t>
        </is>
      </c>
      <c r="AX78" s="44" t="n"/>
    </row>
    <row r="79">
      <c r="A79" s="29" t="inlineStr">
        <is>
          <t>Bolt Ireland</t>
        </is>
      </c>
      <c r="B79" s="29" t="inlineStr">
        <is>
          <t>Ireland</t>
        </is>
      </c>
      <c r="C79" s="30" t="inlineStr">
        <is>
          <t>Howth → Ireland's Eye</t>
        </is>
      </c>
      <c r="D79" s="31" t="n">
        <v>1</v>
      </c>
      <c r="E79" s="26" t="n">
        <v>32.4</v>
      </c>
      <c r="F79" s="32" t="inlineStr">
        <is>
          <t>T2</t>
        </is>
      </c>
      <c r="G79" s="32" t="inlineStr">
        <is>
          <t>med</t>
        </is>
      </c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inlineStr">
        <is>
          <t>Ireland's Eye Ferries / Howth Cliff Cruises adult EUR 30 return incl. island landing (the operating product). EUR 30 x 1.08 = $32.40. One-way equivalent ~$16.20.</t>
        </is>
      </c>
      <c r="AX79" s="44" t="n"/>
    </row>
    <row r="80">
      <c r="A80" s="29" t="inlineStr">
        <is>
          <t>Bolt Ireland</t>
        </is>
      </c>
      <c r="B80" s="29" t="inlineStr">
        <is>
          <t>Ireland</t>
        </is>
      </c>
      <c r="C80" s="30" t="inlineStr">
        <is>
          <t>Dublin Docklands → Dún Laoghaire</t>
        </is>
      </c>
      <c r="D80" s="31" t="n">
        <v>6.5</v>
      </c>
      <c r="E80" s="26" t="n">
        <v>32.4</v>
      </c>
      <c r="F80" s="32" t="inlineStr">
        <is>
          <t>T2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MIN(24,FLOOR(60*service_hr/J80,1))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n"/>
      <c r="AI80" s="32" t="n"/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Dublin Bay Cruises one-way leisure seat Dublin City-&gt;Dun Laoghaire EUR 30 (premium scheduled water tier; the reverse Dun Laoghaire-&gt;Dublin City morning leg is EUR 15). EUR 30 x 1.08 = $32.40.</t>
        </is>
      </c>
      <c r="AX80" s="44" t="n"/>
    </row>
    <row r="81">
      <c r="A81" s="29" t="inlineStr">
        <is>
          <t>Bolt Ireland</t>
        </is>
      </c>
      <c r="B81" s="29" t="inlineStr">
        <is>
          <t>Ireland</t>
        </is>
      </c>
      <c r="C81" s="30" t="inlineStr">
        <is>
          <t>Dublin City (Docklands) → Howth</t>
        </is>
      </c>
      <c r="D81" s="31" t="n">
        <v>7</v>
      </c>
      <c r="E81" s="26" t="n">
        <v>43.2</v>
      </c>
      <c r="F81" s="32" t="inlineStr">
        <is>
          <t>T2</t>
        </is>
      </c>
      <c r="G81" s="32" t="inlineStr">
        <is>
          <t>med</t>
        </is>
      </c>
      <c r="H81" s="19" t="n">
        <v>1</v>
      </c>
      <c r="I81" s="33">
        <f>60*D81/cruise_kt</f>
        <v/>
      </c>
      <c r="J81" s="33">
        <f>I81+turn_min+dwell_min</f>
        <v/>
      </c>
      <c r="K81" s="34">
        <f>MIN(24,FLOOR(60*service_hr/J81,1))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>
        <v>46800</v>
      </c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inlineStr">
        <is>
          <t>Dublin Bay Cruises one-way Dublin City-&gt;Howth (via Dun Laoghaire) EUR 40 (premium scheduled water tier). EUR 40 x 1.08 = $43.20.</t>
        </is>
      </c>
      <c r="AX81" s="44" t="n"/>
    </row>
    <row r="82">
      <c r="A82" s="29" t="inlineStr">
        <is>
          <t>Bolt Ireland</t>
        </is>
      </c>
      <c r="B82" s="29" t="inlineStr">
        <is>
          <t>Ireland</t>
        </is>
      </c>
      <c r="C82" s="30" t="inlineStr">
        <is>
          <t>Dun Laoghaire → Howth</t>
        </is>
      </c>
      <c r="D82" s="31" t="n">
        <v>7</v>
      </c>
      <c r="E82" s="26" t="n">
        <v>30.24</v>
      </c>
      <c r="F82" s="32" t="inlineStr">
        <is>
          <t>T2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MIN(24,FLOOR(60*service_hr/J82,1))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/>
      <c r="AH82" s="32" t="n"/>
      <c r="AI82" s="32" t="n"/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Dublin Bay Cruises one-way Dun Laoghaire&lt;-&gt;Howth EUR 28 per seat (scheduled scenic water tier). EUR 28 x 1.08 = $30.24.</t>
        </is>
      </c>
      <c r="AX82" s="44" t="n"/>
    </row>
    <row r="83">
      <c r="A83" s="29" t="inlineStr">
        <is>
          <t>Bolt Ireland</t>
        </is>
      </c>
      <c r="B83" s="29" t="inlineStr">
        <is>
          <t>Ireland</t>
        </is>
      </c>
      <c r="C83" s="30" t="inlineStr">
        <is>
          <t>Dublin City (Docklands) → Dalkey / Killiney</t>
        </is>
      </c>
      <c r="D83" s="31" t="n">
        <v>9</v>
      </c>
      <c r="E83" s="26" t="n">
        <v>32.4</v>
      </c>
      <c r="F83" s="32" t="inlineStr">
        <is>
          <t>T2</t>
        </is>
      </c>
      <c r="G83" s="32" t="inlineStr">
        <is>
          <t>med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MIN(24,FLOOR(60*service_hr/J83,1))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/>
      <c r="AH83" s="32" t="n"/>
      <c r="AI83" s="32" t="n"/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PROXY: no direct scheduled water service Dublin City-&gt;Dalkey today; using the Dublin Bay Cruises southern-leg leisure seat ~EUR 30 (comparable distance/scenic premium) as the per-seat anchor. EUR 30 x 1.08 = $32.40. Flagged as a proxy, not a directly-quoted Dalkey fare.</t>
        </is>
      </c>
      <c r="AX83" s="44" t="n"/>
    </row>
    <row r="84">
      <c r="A84" s="29" t="inlineStr">
        <is>
          <t>Bolt Ireland</t>
        </is>
      </c>
      <c r="B84" s="29" t="inlineStr">
        <is>
          <t>Ireland</t>
        </is>
      </c>
      <c r="C84" s="30" t="inlineStr">
        <is>
          <t>Dublin Port → Holyhead (Wales)</t>
        </is>
      </c>
      <c r="D84" s="31" t="n">
        <v>67</v>
      </c>
      <c r="E84" s="26" t="n">
        <v>48.6</v>
      </c>
      <c r="F84" s="32" t="inlineStr">
        <is>
          <t>T2</t>
        </is>
      </c>
      <c r="G84" s="32" t="inlineStr">
        <is>
          <t>med</t>
        </is>
      </c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inlineStr">
        <is>
          <t>Foot-passenger one-way fare from ~EUR 42-45 (Stena Line / Irish Ferries, Dublin&lt;-&gt;Holyhead; Direct Ferries quotes 'from ~$42'). Using ~EUR 45 x 1.08 = $48.60. Premium/Club lounge tiers run higher.</t>
        </is>
      </c>
      <c r="AX84" s="44" t="n"/>
    </row>
    <row r="85">
      <c r="A85" s="29" t="inlineStr">
        <is>
          <t>Bolt Israel</t>
        </is>
      </c>
      <c r="B85" s="29" t="inlineStr">
        <is>
          <t>Israel</t>
        </is>
      </c>
      <c r="C85" s="30" t="inlineStr">
        <is>
          <t>Tel Aviv → Jaffa (Old Jaffa Port)</t>
        </is>
      </c>
      <c r="D85" s="31" t="n">
        <v>2.2</v>
      </c>
      <c r="E85" s="26" t="n">
        <v>130</v>
      </c>
      <c r="F85" s="32" t="inlineStr">
        <is>
          <t>T2</t>
        </is>
      </c>
      <c r="G85" s="32" t="inlineStr">
        <is>
          <t>med</t>
        </is>
      </c>
      <c r="H85" s="19" t="n">
        <v>1</v>
      </c>
      <c r="I85" s="33">
        <f>60*D85/cruise_kt</f>
        <v/>
      </c>
      <c r="J85" s="33">
        <f>I85+turn_min+dwell_min</f>
        <v/>
      </c>
      <c r="K85" s="34">
        <f>MIN(24,FLOOR(60*service_hr/J85,1))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85" s="44" t="n"/>
    </row>
    <row r="86">
      <c r="A86" s="29" t="inlineStr">
        <is>
          <t>Bolt Israel</t>
        </is>
      </c>
      <c r="B86" s="29" t="inlineStr">
        <is>
          <t>Israel</t>
        </is>
      </c>
      <c r="C86" s="30" t="inlineStr">
        <is>
          <t>Haifa → Akko (Acre)</t>
        </is>
      </c>
      <c r="D86" s="31" t="n">
        <v>6.8</v>
      </c>
      <c r="E86" s="26" t="n">
        <v>11</v>
      </c>
      <c r="F86" s="32" t="inlineStr">
        <is>
          <t>T2</t>
        </is>
      </c>
      <c r="G86" s="32" t="inlineStr">
        <is>
          <t>med</t>
        </is>
      </c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>
        <v>1500000</v>
      </c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86" s="44" t="n"/>
    </row>
    <row r="87">
      <c r="A87" s="29" t="inlineStr">
        <is>
          <t>Bolt Israel</t>
        </is>
      </c>
      <c r="B87" s="29" t="inlineStr">
        <is>
          <t>Israel</t>
        </is>
      </c>
      <c r="C87" s="30" t="inlineStr">
        <is>
          <t>Tel Aviv Marina → Herzliya Marina</t>
        </is>
      </c>
      <c r="D87" s="31" t="n">
        <v>7</v>
      </c>
      <c r="E87" s="26" t="n">
        <v>130</v>
      </c>
      <c r="F87" s="32" t="inlineStr">
        <is>
          <t>T2</t>
        </is>
      </c>
      <c r="G87" s="32" t="inlineStr">
        <is>
          <t>med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>
        <v>234753</v>
      </c>
      <c r="AH87" s="32" t="n"/>
      <c r="AI87" s="32" t="n"/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87" s="44" t="n"/>
    </row>
    <row r="88">
      <c r="A88" s="29" t="inlineStr">
        <is>
          <t>Bolt Israel</t>
        </is>
      </c>
      <c r="B88" s="29" t="inlineStr">
        <is>
          <t>Israel</t>
        </is>
      </c>
      <c r="C88" s="30" t="inlineStr">
        <is>
          <t>Herzliya → Netanya</t>
        </is>
      </c>
      <c r="D88" s="31" t="n">
        <v>10.4</v>
      </c>
      <c r="E88" s="26" t="n">
        <v>130</v>
      </c>
      <c r="F88" s="32" t="inlineStr">
        <is>
          <t>T2</t>
        </is>
      </c>
      <c r="G88" s="32" t="inlineStr">
        <is>
          <t>med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MIN(24,FLOOR(60*service_hr/J88,1))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/>
      <c r="AH88" s="32" t="n"/>
      <c r="AI88" s="32" t="n"/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PREMIUM/excursion proxy: Tel Aviv-area shared skyline cruise ~$130/person (GetYourGuide, 2026); no scheduled service on this leg.</t>
        </is>
      </c>
      <c r="AX88" s="44" t="n"/>
    </row>
    <row r="89">
      <c r="A89" s="29" t="inlineStr">
        <is>
          <t>Bolt Israel</t>
        </is>
      </c>
      <c r="B89" s="29" t="inlineStr">
        <is>
          <t>Israel</t>
        </is>
      </c>
      <c r="C89" s="30" t="inlineStr">
        <is>
          <t>Ashdod → Ashkelon</t>
        </is>
      </c>
      <c r="D89" s="31" t="n">
        <v>10.4</v>
      </c>
      <c r="E89" s="26" t="n"/>
      <c r="F89" s="32" t="n"/>
      <c r="G89" s="32" t="n"/>
      <c r="H89" s="19" t="n">
        <v>1</v>
      </c>
      <c r="I89" s="33">
        <f>60*D89/cruise_kt</f>
        <v/>
      </c>
      <c r="J89" s="33">
        <f>I89+turn_min+dwell_min</f>
        <v/>
      </c>
      <c r="K89" s="34">
        <f>MIN(24,FLOOR(60*service_hr/J89,1))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142310</v>
      </c>
      <c r="AH89" s="32" t="n"/>
      <c r="AI89" s="32" t="n"/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n"/>
      <c r="AX89" s="44" t="n"/>
    </row>
    <row r="90">
      <c r="A90" s="29" t="inlineStr">
        <is>
          <t>Bolt Israel</t>
        </is>
      </c>
      <c r="B90" s="29" t="inlineStr">
        <is>
          <t>Israel</t>
        </is>
      </c>
      <c r="C90" s="30" t="inlineStr">
        <is>
          <t>Tel Aviv → Netanya</t>
        </is>
      </c>
      <c r="D90" s="31" t="n">
        <v>15.1</v>
      </c>
      <c r="E90" s="26" t="n">
        <v>130</v>
      </c>
      <c r="F90" s="32" t="inlineStr">
        <is>
          <t>T2</t>
        </is>
      </c>
      <c r="G90" s="32" t="inlineStr">
        <is>
          <t>med</t>
        </is>
      </c>
      <c r="H90" s="19" t="n">
        <v>1</v>
      </c>
      <c r="I90" s="33">
        <f>60*D90/cruise_kt</f>
        <v/>
      </c>
      <c r="J90" s="33">
        <f>I90+turn_min+dwell_min</f>
        <v/>
      </c>
      <c r="K90" s="34">
        <f>MIN(24,FLOOR(60*service_hr/J90,1))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>
        <v>168015</v>
      </c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90" s="44" t="n"/>
    </row>
    <row r="91">
      <c r="A91" s="29" t="inlineStr">
        <is>
          <t>Bolt Israel</t>
        </is>
      </c>
      <c r="B91" s="29" t="inlineStr">
        <is>
          <t>Israel</t>
        </is>
      </c>
      <c r="C91" s="30" t="inlineStr">
        <is>
          <t>Tel Aviv → Ashdod</t>
        </is>
      </c>
      <c r="D91" s="31" t="n">
        <v>16.9</v>
      </c>
      <c r="E91" s="26" t="n">
        <v>130</v>
      </c>
      <c r="F91" s="32" t="inlineStr">
        <is>
          <t>T2</t>
        </is>
      </c>
      <c r="G91" s="32" t="inlineStr">
        <is>
          <t>med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MIN(24,FLOOR(60*service_hr/J91,1))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143443</v>
      </c>
      <c r="AH91" s="32" t="n"/>
      <c r="AI91" s="32" t="n"/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PREMIUM/excursion proxy: Tel Aviv Marina shared skyline cruise ~$130/person (GetYourGuide, 2026). No scheduled TLV-Ashdod water service.</t>
        </is>
      </c>
      <c r="AX91" s="44" t="n"/>
    </row>
    <row r="92">
      <c r="A92" s="29" t="inlineStr">
        <is>
          <t>Bolt Israel</t>
        </is>
      </c>
      <c r="B92" s="29" t="inlineStr">
        <is>
          <t>Israel</t>
        </is>
      </c>
      <c r="C92" s="30" t="inlineStr">
        <is>
          <t>Tel Aviv → Haifa</t>
        </is>
      </c>
      <c r="D92" s="31" t="n">
        <v>45.6</v>
      </c>
      <c r="E92" s="26" t="n">
        <v>130</v>
      </c>
      <c r="F92" s="32" t="inlineStr">
        <is>
          <t>T2</t>
        </is>
      </c>
      <c r="G92" s="32" t="inlineStr">
        <is>
          <t>med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MIN(24,FLOOR(60*service_hr/J92,1))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201092</v>
      </c>
      <c r="AH92" s="32" t="n"/>
      <c r="AI92" s="32" t="n"/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92" s="44" t="n"/>
    </row>
    <row r="93">
      <c r="A93" s="29" t="inlineStr">
        <is>
          <t>Bolt Italy</t>
        </is>
      </c>
      <c r="B93" s="29" t="inlineStr">
        <is>
          <t>Italy</t>
        </is>
      </c>
      <c r="C93" s="30" t="inlineStr">
        <is>
          <t>Venice → Lido</t>
        </is>
      </c>
      <c r="D93" s="31" t="n">
        <v>1.5</v>
      </c>
      <c r="E93" s="26" t="n">
        <v>27</v>
      </c>
      <c r="F93" s="32" t="inlineStr">
        <is>
          <t>T2</t>
        </is>
      </c>
      <c r="G93" s="32" t="inlineStr">
        <is>
          <t>med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/>
      <c r="AH93" s="32" t="n"/>
      <c r="AI93" s="32" t="n"/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PREMIUM tourist tier = ACTV day travelcard EUR 25 (~$27) (covers the Lido lines); premium water-taxi tier higher. Navier models the premium tier, not the EUR 9.50 single.</t>
        </is>
      </c>
      <c r="AX93" s="44" t="n"/>
    </row>
    <row r="94">
      <c r="A94" s="29" t="inlineStr">
        <is>
          <t>Bolt Italy</t>
        </is>
      </c>
      <c r="B94" s="29" t="inlineStr">
        <is>
          <t>Italy</t>
        </is>
      </c>
      <c r="C94" s="30" t="inlineStr">
        <is>
          <t>San Marco → Murano / Burano</t>
        </is>
      </c>
      <c r="D94" s="31" t="n">
        <v>2</v>
      </c>
      <c r="E94" s="26" t="n">
        <v>27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>
        <v>1500000</v>
      </c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PREMIUM tourist tier = ACTV day travelcard EUR 25 (valid for the Lido/Murano/Burano island lines) x 1.08 = ~$27 -- the realistic per-tourist fare for the island circuit. Higher premium = shared/private water-taxi tier (cf. EUR 39/person shared, motoscafo EUR 80-120/boat). Navier models the premium water-mobility tier, not the EUR 9.50 single.</t>
        </is>
      </c>
      <c r="AX94" s="44" t="n"/>
    </row>
    <row r="95">
      <c r="A95" s="29" t="inlineStr">
        <is>
          <t>Bolt Italy</t>
        </is>
      </c>
      <c r="B95" s="29" t="inlineStr">
        <is>
          <t>Italy</t>
        </is>
      </c>
      <c r="C95" s="30" t="inlineStr">
        <is>
          <t>Santa Margherita Ligure → Portofino</t>
        </is>
      </c>
      <c r="D95" s="31" t="n">
        <v>2</v>
      </c>
      <c r="E95" s="26" t="n">
        <v>11.9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MIN(24,FLOOR(60*service_hr/J95,1))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>
        <v>200000</v>
      </c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PREMIUM scheduled per-seat: Servizio Marittimo del Tigullio Santa Margherita-&gt;Portofino EUR 11 one-way (Rome2Rio) x 1.08 = ~$11.9. Short hop.</t>
        </is>
      </c>
      <c r="AX95" s="44" t="n"/>
    </row>
    <row r="96">
      <c r="A96" s="29" t="inlineStr">
        <is>
          <t>Bolt Italy</t>
        </is>
      </c>
      <c r="B96" s="29" t="inlineStr">
        <is>
          <t>Italy</t>
        </is>
      </c>
      <c r="C96" s="30" t="inlineStr">
        <is>
          <t>Positano → Amalfi</t>
        </is>
      </c>
      <c r="D96" s="31" t="n">
        <v>4</v>
      </c>
      <c r="E96" s="26" t="n">
        <v>11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MIN(24,FLOOR(60*service_hr/J96,1))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200000</v>
      </c>
      <c r="AH96" s="32" t="n"/>
      <c r="AI96" s="32" t="n"/>
      <c r="AJ96" s="39" t="n">
        <v>0.1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PREMIUM scheduled per-seat: Travelmar fast ferry Positano&lt;-&gt;Amalfi ~EUR 10 one-way (Ferryhopper/Omio from EUR 10; Direct Ferries avg ~$35 incl. peak/longer) x 1.08 = ~$11. Short hop, so the premium tier itself is inexpensive.</t>
        </is>
      </c>
      <c r="AX96" s="44" t="n"/>
    </row>
    <row r="97">
      <c r="A97" s="29" t="inlineStr">
        <is>
          <t>Bolt Italy</t>
        </is>
      </c>
      <c r="B97" s="29" t="inlineStr">
        <is>
          <t>Italy</t>
        </is>
      </c>
      <c r="C97" s="30" t="inlineStr">
        <is>
          <t>Venice Marco Polo → San Marco</t>
        </is>
      </c>
      <c r="D97" s="31" t="n">
        <v>4.2</v>
      </c>
      <c r="E97" s="26" t="n">
        <v>42</v>
      </c>
      <c r="F97" s="32" t="inlineStr">
        <is>
          <t>T2</t>
        </is>
      </c>
      <c r="G97" s="32" t="inlineStr">
        <is>
          <t>med</t>
        </is>
      </c>
      <c r="H97" s="19" t="n">
        <v>1</v>
      </c>
      <c r="I97" s="33">
        <f>60*D97/cruise_kt</f>
        <v/>
      </c>
      <c r="J97" s="33">
        <f>I97+turn_min+dwell_min</f>
        <v/>
      </c>
      <c r="K97" s="34">
        <f>MIN(15,FLOOR(60*service_hr/J97,1))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>
        <v>1777500</v>
      </c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inlineStr">
        <is>
          <t>PREMIUM per-seat = shared water taxi ~EUR 39/person (~$42) (Dubai RTA water-taxi convention, NOT the cheap Alilaguna). Private motoscafo Marco Polo-&gt;San Marco area EUR 120-140/boat divided across a party. (Unchanged from prior file; corroborated.)</t>
        </is>
      </c>
      <c r="AX97" s="44" t="n"/>
    </row>
    <row r="98">
      <c r="A98" s="29" t="inlineStr">
        <is>
          <t>Bolt Italy</t>
        </is>
      </c>
      <c r="B98" s="29" t="inlineStr">
        <is>
          <t>Italy</t>
        </is>
      </c>
      <c r="C98" s="30" t="inlineStr">
        <is>
          <t>Capri → Positano</t>
        </is>
      </c>
      <c r="D98" s="31" t="n">
        <v>9</v>
      </c>
      <c r="E98" s="26" t="n">
        <v>31</v>
      </c>
      <c r="F98" s="32" t="inlineStr">
        <is>
          <t>T2</t>
        </is>
      </c>
      <c r="G98" s="32" t="inlineStr">
        <is>
          <t>med</t>
        </is>
      </c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inlineStr">
        <is>
          <t>PREMIUM scheduled per-seat: Capri-&gt;Positano fast ferry from ~EUR 28-29 one-way (positano.com / capri.com) x 1.08 = ~$31.</t>
        </is>
      </c>
      <c r="AX98" s="44" t="n"/>
    </row>
    <row r="99">
      <c r="A99" s="29" t="inlineStr">
        <is>
          <t>Bolt Italy</t>
        </is>
      </c>
      <c r="B99" s="29" t="inlineStr">
        <is>
          <t>Italy</t>
        </is>
      </c>
      <c r="C99" s="30" t="inlineStr">
        <is>
          <t>Sorrento → Capri</t>
        </is>
      </c>
      <c r="D99" s="31" t="n">
        <v>9.5</v>
      </c>
      <c r="E99" s="26" t="n">
        <v>28</v>
      </c>
      <c r="F99" s="32" t="inlineStr">
        <is>
          <t>T2</t>
        </is>
      </c>
      <c r="G99" s="32" t="inlineStr">
        <is>
          <t>med</t>
        </is>
      </c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575000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inlineStr">
        <is>
          <t>PREMIUM scheduled per-seat = NLG/SNAV/Gescab fast hydrofoil Sorrento-&gt;Capri EUR 21 one-way (EUR 19 year-round 'IR') + EUR 5 Capri landing = ~EUR 26 x 1.08 = ~$28. (Unchanged from prior file; corroborated NLG tariffs.)</t>
        </is>
      </c>
      <c r="AX99" s="44" t="n"/>
    </row>
    <row r="100">
      <c r="A100" s="29" t="inlineStr">
        <is>
          <t>Bolt Italy</t>
        </is>
      </c>
      <c r="B100" s="29" t="inlineStr">
        <is>
          <t>Italy</t>
        </is>
      </c>
      <c r="C100" s="30" t="inlineStr">
        <is>
          <t>Naples → Procida</t>
        </is>
      </c>
      <c r="D100" s="31" t="n">
        <v>12</v>
      </c>
      <c r="E100" s="26" t="n">
        <v>22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240000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scheduled per-seat = Caremar/SNAV hydrofoil Napoli(Beverello)-&gt;Procida ~EUR 19-22 one-way (visitprocida.com EUR 19-22; ferryhopper EUR 21.90) x 1.08 = ~$22.</t>
        </is>
      </c>
      <c r="AX100" s="44" t="n"/>
    </row>
    <row r="101">
      <c r="A101" s="29" t="inlineStr">
        <is>
          <t>Bolt Italy</t>
        </is>
      </c>
      <c r="B101" s="29" t="inlineStr">
        <is>
          <t>Italy</t>
        </is>
      </c>
      <c r="C101" s="30" t="inlineStr">
        <is>
          <t>Como → Bellagio</t>
        </is>
      </c>
      <c r="D101" s="31" t="n">
        <v>14</v>
      </c>
      <c r="E101" s="26" t="n">
        <v>13</v>
      </c>
      <c r="F101" s="32" t="inlineStr">
        <is>
          <t>T2</t>
        </is>
      </c>
      <c r="G101" s="32" t="inlineStr">
        <is>
          <t>med</t>
        </is>
      </c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112000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inlineStr">
        <is>
          <t>PREMIUM tier context: Navigazione Laghi 'Escursione Como-Bellagio' EUR 24 adult round-trip (ordinary boat) = ~EUR 12 one-way x 1.08 = ~$13. The fast hydrofoil ('servizio rapido') carries a supplement above this, so $13 is a conservative one-way premium anchor.</t>
        </is>
      </c>
      <c r="AX101" s="44" t="n"/>
    </row>
    <row r="102">
      <c r="A102" s="29" t="inlineStr">
        <is>
          <t>Bolt Italy</t>
        </is>
      </c>
      <c r="B102" s="29" t="inlineStr">
        <is>
          <t>Italy</t>
        </is>
      </c>
      <c r="C102" s="30" t="inlineStr">
        <is>
          <t>Amalfi → Capri</t>
        </is>
      </c>
      <c r="D102" s="31" t="n">
        <v>16</v>
      </c>
      <c r="E102" s="26" t="n">
        <v>33</v>
      </c>
      <c r="F102" s="32" t="inlineStr">
        <is>
          <t>T2</t>
        </is>
      </c>
      <c r="G102" s="32" t="inlineStr">
        <is>
          <t>med</t>
        </is>
      </c>
      <c r="H102" s="19" t="n">
        <v>1</v>
      </c>
      <c r="I102" s="33">
        <f>60*D102/cruise_kt</f>
        <v/>
      </c>
      <c r="J102" s="33">
        <f>I102+turn_min+dwell_min</f>
        <v/>
      </c>
      <c r="K102" s="34">
        <f>MIN(15,FLOOR(60*service_hr/J102,1))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138000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inlineStr">
        <is>
          <t>PREMIUM scheduled per-seat: Amalfi-&gt;Capri fast ferry ~EUR 26-28 one-way (capri.com) + EUR 5 Capri landing = ~EUR 31-33 x 1.08 = ~$33.</t>
        </is>
      </c>
      <c r="AX102" s="44" t="n"/>
    </row>
    <row r="103">
      <c r="A103" s="29" t="inlineStr">
        <is>
          <t>Bolt Italy</t>
        </is>
      </c>
      <c r="B103" s="29" t="inlineStr">
        <is>
          <t>Italy</t>
        </is>
      </c>
      <c r="C103" s="30" t="inlineStr">
        <is>
          <t>Naples → Sorrento</t>
        </is>
      </c>
      <c r="D103" s="31" t="n">
        <v>16</v>
      </c>
      <c r="E103" s="26" t="n"/>
      <c r="F103" s="32" t="n"/>
      <c r="G103" s="32" t="n"/>
      <c r="H103" s="19" t="n">
        <v>1</v>
      </c>
      <c r="I103" s="33">
        <f>60*D103/cruise_kt</f>
        <v/>
      </c>
      <c r="J103" s="33">
        <f>I103+turn_min+dwell_min</f>
        <v/>
      </c>
      <c r="K103" s="34">
        <f>MIN(24,FLOOR(60*service_hr/J103,1))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>
        <v>200000</v>
      </c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n"/>
      <c r="AX103" s="44" t="n"/>
    </row>
    <row r="104">
      <c r="A104" s="29" t="inlineStr">
        <is>
          <t>Bolt Italy</t>
        </is>
      </c>
      <c r="B104" s="29" t="inlineStr">
        <is>
          <t>Italy</t>
        </is>
      </c>
      <c r="C104" s="30" t="inlineStr">
        <is>
          <t>Naples → Capri</t>
        </is>
      </c>
      <c r="D104" s="31" t="n">
        <v>17</v>
      </c>
      <c r="E104" s="26" t="n">
        <v>32</v>
      </c>
      <c r="F104" s="32" t="inlineStr">
        <is>
          <t>T2</t>
        </is>
      </c>
      <c r="G104" s="32" t="inlineStr">
        <is>
          <t>med</t>
        </is>
      </c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1265000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inlineStr">
        <is>
          <t>PREMIUM scheduled per-seat: NLG/SNAV/Caremar fast aliscafo Napoli(Beverello)-&gt;Capri ~EUR 25 one-way + EUR 5 Capri landing contribution (Apr-Oct) = ~EUR 30 x 1.08 = ~$32. (Ferryhopper shows Naples-Capri from ~EUR 20; aliscafo tier ~EUR 23-27.)</t>
        </is>
      </c>
      <c r="AX104" s="44" t="n"/>
    </row>
    <row r="105">
      <c r="A105" s="29" t="inlineStr">
        <is>
          <t>Bolt Italy</t>
        </is>
      </c>
      <c r="B105" s="29" t="inlineStr">
        <is>
          <t>Italy</t>
        </is>
      </c>
      <c r="C105" s="30" t="inlineStr">
        <is>
          <t>Naples → Ischia</t>
        </is>
      </c>
      <c r="D105" s="31" t="n">
        <v>18</v>
      </c>
      <c r="E105" s="26" t="n">
        <v>25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MIN(15,FLOOR(60*service_hr/J105,1))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675000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scheduled per-seat = Alilauro/Caremar fast aliscafo Napoli(Beverello)-&gt;Ischia ~EUR 22-23 one-way (Alilauro EUR 22.20; Caremar EUR 20.40) x 1.08 = ~$25. (No island landing fee like Capri.)</t>
        </is>
      </c>
      <c r="AX105" s="44" t="n"/>
    </row>
    <row r="106">
      <c r="A106" s="29" t="inlineStr">
        <is>
          <t>Bolt Italy</t>
        </is>
      </c>
      <c r="B106" s="29" t="inlineStr">
        <is>
          <t>Italy</t>
        </is>
      </c>
      <c r="C106" s="30" t="inlineStr">
        <is>
          <t>Portofino → Cinque Terre</t>
        </is>
      </c>
      <c r="D106" s="31" t="n">
        <v>22</v>
      </c>
      <c r="E106" s="26" t="n">
        <v>37.8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MIN(15,FLOOR(60*service_hr/J106,1))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40000</v>
      </c>
      <c r="AH106" s="32" t="n"/>
      <c r="AI106" s="32" t="n"/>
      <c r="AJ106" s="39" t="n">
        <v>0.1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PREMIUM scheduled per-seat: Golfo Paradiso Portofino-&gt;Cinque Terre EUR 35 one-way (A/R EUR 50) x 1.08 = ~$37.8.</t>
        </is>
      </c>
      <c r="AX106" s="44" t="n"/>
    </row>
    <row r="107">
      <c r="A107" s="29" t="inlineStr">
        <is>
          <t>Bolt Lebanon</t>
        </is>
      </c>
      <c r="B107" s="29" t="inlineStr">
        <is>
          <t>Lebanon</t>
        </is>
      </c>
      <c r="C107" s="30" t="inlineStr">
        <is>
          <t>Jounieh → Byblos (Jbeil)</t>
        </is>
      </c>
      <c r="D107" s="31" t="n">
        <v>8.4</v>
      </c>
      <c r="E107" s="26" t="n">
        <v>55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/>
      <c r="AH107" s="32" t="n"/>
      <c r="AI107" s="32" t="n"/>
      <c r="AJ107" s="39" t="n">
        <v>0.1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PREMIUM/excursion proxy: shared Lebanese-coast sea cruise ~$55/seat (Zingy Ride). No scheduled service.</t>
        </is>
      </c>
      <c r="AX107" s="44" t="n"/>
    </row>
    <row r="108">
      <c r="A108" s="29" t="inlineStr">
        <is>
          <t>Bolt Lebanon</t>
        </is>
      </c>
      <c r="B108" s="29" t="inlineStr">
        <is>
          <t>Lebanon</t>
        </is>
      </c>
      <c r="C108" s="30" t="inlineStr">
        <is>
          <t>Beirut Marina (Zaitunay Bay) → Jounieh</t>
        </is>
      </c>
      <c r="D108" s="31" t="n">
        <v>11</v>
      </c>
      <c r="E108" s="26" t="n">
        <v>55</v>
      </c>
      <c r="F108" s="32" t="inlineStr">
        <is>
          <t>T2</t>
        </is>
      </c>
      <c r="G108" s="32" t="inlineStr">
        <is>
          <t>med</t>
        </is>
      </c>
      <c r="H108" s="19" t="n">
        <v>1</v>
      </c>
      <c r="I108" s="33">
        <f>60*D108/cruise_kt</f>
        <v/>
      </c>
      <c r="J108" s="33">
        <f>I108+turn_min+dwell_min</f>
        <v/>
      </c>
      <c r="K108" s="34">
        <f>MIN(15,FLOOR(60*service_hr/J108,1))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6132000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inlineStr">
        <is>
          <t>PREMIUM/excursion proxy: scheduled SHARED Lebanese-coast sea cruise ~$50-60/person (Zingy Ride 'Lebanon Boat Trips' Beirut&lt;-&gt;Jounieh-Port route, $50/pax min 15 pax / $60/pax min 12 pax), midpoint ~$55/seat. No scheduled point-to-point water taxi exists, so this shared-cruise per-seat is the closest sourceable premium comparable - an EXCURSION fare, not a transfer fare; a true commuter shuttle seat would price below this. Charter context: Admiral Yachting Jounieh Bay ~$800/5h; semi-luxury boat $500 (1-8 pax).</t>
        </is>
      </c>
      <c r="AX108" s="44" t="n"/>
    </row>
    <row r="109">
      <c r="A109" s="29" t="inlineStr">
        <is>
          <t>Bolt Lebanon</t>
        </is>
      </c>
      <c r="B109" s="29" t="inlineStr">
        <is>
          <t>Lebanon</t>
        </is>
      </c>
      <c r="C109" s="30" t="inlineStr">
        <is>
          <t>Beirut → Byblos (Jbeil)</t>
        </is>
      </c>
      <c r="D109" s="31" t="n">
        <v>15</v>
      </c>
      <c r="E109" s="26" t="n">
        <v>55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/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PREMIUM/excursion proxy: shared Lebanese-coast sea cruise ~$55/seat (Zingy Ride). Byblos-specific charter context: GetYourGuide Byblos boat/yacht rental from $350/group up to 10 (~$35/seat). No scheduled service on this leg.</t>
        </is>
      </c>
      <c r="AX109" s="44" t="n"/>
    </row>
    <row r="110">
      <c r="A110" s="29" t="inlineStr">
        <is>
          <t>Bolt Lebanon</t>
        </is>
      </c>
      <c r="B110" s="29" t="inlineStr">
        <is>
          <t>Lebanon</t>
        </is>
      </c>
      <c r="C110" s="30" t="inlineStr">
        <is>
          <t>Beirut → Sidon (Saida)</t>
        </is>
      </c>
      <c r="D110" s="31" t="n">
        <v>22</v>
      </c>
      <c r="E110" s="26" t="n">
        <v>55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2207520</v>
      </c>
      <c r="AH110" s="32" t="n"/>
      <c r="AI110" s="32" t="n"/>
      <c r="AJ110" s="39" t="n">
        <v>0.1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PREMIUM/excursion proxy (generic): shared Lebanese-coast sea cruise ~$55/seat (Zingy Ride) used as the only sourceable premium per-seat; no Sidon-specific scheduled cruise was sourced and the affluent-north cruise fare may overstate the lower-tourism south -&gt; treat as a soft proxy.</t>
        </is>
      </c>
      <c r="AX110" s="44" t="n"/>
    </row>
    <row r="111">
      <c r="A111" s="29" t="inlineStr">
        <is>
          <t>Bolt Lebanon</t>
        </is>
      </c>
      <c r="B111" s="29" t="inlineStr">
        <is>
          <t>Lebanon</t>
        </is>
      </c>
      <c r="C111" s="30" t="inlineStr">
        <is>
          <t>Beirut → Tripoli (El Mina)</t>
        </is>
      </c>
      <c r="D111" s="31" t="n">
        <v>36.5</v>
      </c>
      <c r="E111" s="26" t="n"/>
      <c r="F111" s="32" t="n"/>
      <c r="G111" s="32" t="n"/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n"/>
      <c r="AX111" s="44" t="n"/>
    </row>
    <row r="112">
      <c r="A112" s="29" t="inlineStr">
        <is>
          <t>Bolt Portugal</t>
        </is>
      </c>
      <c r="B112" s="29" t="inlineStr">
        <is>
          <t>Portugal</t>
        </is>
      </c>
      <c r="C112" s="30" t="inlineStr">
        <is>
          <t>Porto (Cais da Ribeira) → Vila Nova de Gaia (Cais de Gaia)</t>
        </is>
      </c>
      <c r="D112" s="31" t="n">
        <v>0.2</v>
      </c>
      <c r="E112" s="26" t="n">
        <v>17.8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MIN(15,FLOOR(60*service_hr/J112,1))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>
        <v>1200000</v>
      </c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PREMIUM tourist tier: the standard Douro '6 Bridges' panoramic cruise per-seat is ~EUR 15-18 (Tomaz do Douro / Portugal by Wine / GetYourGuide), ~50 min -&gt; ~$17.8.</t>
        </is>
      </c>
      <c r="AX112" s="44" t="n"/>
    </row>
    <row r="113">
      <c r="A113" s="29" t="inlineStr">
        <is>
          <t>Bolt Portugal</t>
        </is>
      </c>
      <c r="B113" s="29" t="inlineStr">
        <is>
          <t>Portugal</t>
        </is>
      </c>
      <c r="C113" s="30" t="inlineStr">
        <is>
          <t>Vila Real de Santo Antonio (Portugal) → Ayamonte (Spain)</t>
        </is>
      </c>
      <c r="D113" s="31" t="n">
        <v>0.8</v>
      </c>
      <c r="E113" s="26" t="n">
        <v>18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[LB-255 PREMIUM RE-FARE: subsidized comparable $5.0 lifted to premium on-demand floor $18.0] Scheduled cross-border ferry fare EUR 2-7 one-way (Rome2Rio / TFG) -&gt; mid ~$5.</t>
        </is>
      </c>
      <c r="AX113" s="44" t="n"/>
    </row>
    <row r="114">
      <c r="A114" s="29" t="inlineStr">
        <is>
          <t>Bolt Portugal</t>
        </is>
      </c>
      <c r="B114" s="29" t="inlineStr">
        <is>
          <t>Portugal</t>
        </is>
      </c>
      <c r="C114" s="30" t="inlineStr">
        <is>
          <t>Lagos → Ponta da Piedade</t>
        </is>
      </c>
      <c r="D114" s="31" t="n">
        <v>1.2</v>
      </c>
      <c r="E114" s="26" t="n">
        <v>24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PREMIUM tier: standard Ponta da Piedade grotto boat trip ~EUR 20-25 per seat (Tripadvisor/GetYourGuide; ~$20-25) -&gt; ~$24.</t>
        </is>
      </c>
      <c r="AX114" s="44" t="n"/>
    </row>
    <row r="115">
      <c r="A115" s="29" t="inlineStr">
        <is>
          <t>Bolt Portugal</t>
        </is>
      </c>
      <c r="B115" s="29" t="inlineStr">
        <is>
          <t>Portugal</t>
        </is>
      </c>
      <c r="C115" s="30" t="inlineStr">
        <is>
          <t>Cais do Sodré (Lisbon) → Cacilhas (Almada)</t>
        </is>
      </c>
      <c r="D115" s="31" t="n">
        <v>1.5</v>
      </c>
      <c r="E115" s="26" t="n">
        <v>18</v>
      </c>
      <c r="F115" s="32" t="inlineStr">
        <is>
          <t>T2</t>
        </is>
      </c>
      <c r="G115" s="32" t="inlineStr">
        <is>
          <t>med</t>
        </is>
      </c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>
        <v>750337</v>
      </c>
      <c r="AH115" s="32" t="n"/>
      <c r="AI115" s="32" t="inlineStr">
        <is>
          <t>med</t>
        </is>
      </c>
      <c r="AJ115" s="39" t="n">
        <v>0.25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inlineStr">
        <is>
          <t>[LB-255 PREMIUM RE-FARE: subsidized comparable $1.62 lifted to premium on-demand floor $18.0] Public-transit adult single (bilhete simples) Cacilhas/Cais do Sodre = EUR 1.50 (TTSL 2024 tariff table) x1.08 = ~$1.62. NOT a premium tier -- a Navier electric-hydrofoil premium seat would price above this public fare.</t>
        </is>
      </c>
      <c r="AX115" s="44" t="n"/>
    </row>
    <row r="116">
      <c r="A116" s="29" t="inlineStr">
        <is>
          <t>Bolt Portugal</t>
        </is>
      </c>
      <c r="B116" s="29" t="inlineStr">
        <is>
          <t>Portugal</t>
        </is>
      </c>
      <c r="C116" s="30" t="inlineStr">
        <is>
          <t>Belem (Lisbon) → Trafaria / Porto Brandao (Almada)</t>
        </is>
      </c>
      <c r="D116" s="31" t="n">
        <v>2.4</v>
      </c>
      <c r="E116" s="26" t="n">
        <v>18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MIN(24,FLOOR(60*service_hr/J116,1))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>
        <v>38706</v>
      </c>
      <c r="AH116" s="32" t="n"/>
      <c r="AI116" s="32" t="inlineStr">
        <is>
          <t>med</t>
        </is>
      </c>
      <c r="AJ116" s="39" t="n">
        <v>0.25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[LB-255 PREMIUM RE-FARE: subsidized comparable $1.57 lifted to premium on-demand floor $18.0] Public-transit adult single Trafaria/Porto Brandao/Belem = EUR 1.45 (TTSL 2024 tariff) x1.08 = ~$1.57.</t>
        </is>
      </c>
      <c r="AX116" s="44" t="n"/>
    </row>
    <row r="117">
      <c r="A117" s="29" t="inlineStr">
        <is>
          <t>Bolt Portugal</t>
        </is>
      </c>
      <c r="B117" s="29" t="inlineStr">
        <is>
          <t>Portugal</t>
        </is>
      </c>
      <c r="C117" s="30" t="inlineStr">
        <is>
          <t>Olhao → Culatra / Farol</t>
        </is>
      </c>
      <c r="D117" s="31" t="n">
        <v>2.7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PREMIUM tier: Ria Formosa island-hopping tour Olhao -&gt; Farol/Culatra/Armona ~EUR 25-30 per seat (GetYourGuide) -&gt; ~$30.</t>
        </is>
      </c>
      <c r="AX117" s="44" t="n"/>
    </row>
    <row r="118">
      <c r="A118" s="29" t="inlineStr">
        <is>
          <t>Bolt Portugal</t>
        </is>
      </c>
      <c r="B118" s="29" t="inlineStr">
        <is>
          <t>Portugal</t>
        </is>
      </c>
      <c r="C118" s="30" t="inlineStr">
        <is>
          <t>Faro → Ilha Deserta (Barreta)</t>
        </is>
      </c>
      <c r="D118" s="31" t="n">
        <v>3</v>
      </c>
      <c r="E118" s="26" t="n">
        <v>30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PREMIUM tier: solar/eco boat tour Faro -&gt; Ilha Deserta ~EUR 28-30 per seat (GetYourGuide / Animaris / Lands eco boat tours) -&gt; ~$30.</t>
        </is>
      </c>
      <c r="AX118" s="44" t="n"/>
    </row>
    <row r="119">
      <c r="A119" s="29" t="inlineStr">
        <is>
          <t>Bolt Portugal</t>
        </is>
      </c>
      <c r="B119" s="29" t="inlineStr">
        <is>
          <t>Portugal</t>
        </is>
      </c>
      <c r="C119" s="30" t="inlineStr">
        <is>
          <t>Cais do Sodre (Lisbon) → Seixal</t>
        </is>
      </c>
      <c r="D119" s="31" t="n">
        <v>4.6</v>
      </c>
      <c r="E119" s="26" t="n">
        <v>18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>
        <v>183931</v>
      </c>
      <c r="AH119" s="32" t="n"/>
      <c r="AI119" s="32" t="inlineStr">
        <is>
          <t>med</t>
        </is>
      </c>
      <c r="AJ119" s="39" t="n">
        <v>0.25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[LB-255 PREMIUM RE-FARE: subsidized comparable $3.02 lifted to premium on-demand floor $18.0] Public-transit adult single Seixal/Cais do Sodre = EUR 2.80 (TTSL 2024 tariff) x1.08 = ~$3.02.</t>
        </is>
      </c>
      <c r="AX119" s="44" t="n"/>
    </row>
    <row r="120">
      <c r="A120" s="29" t="inlineStr">
        <is>
          <t>Bolt Portugal</t>
        </is>
      </c>
      <c r="B120" s="29" t="inlineStr">
        <is>
          <t>Portugal</t>
        </is>
      </c>
      <c r="C120" s="30" t="inlineStr">
        <is>
          <t>Terreiro do Paco (Lisbon) → Barreiro</t>
        </is>
      </c>
      <c r="D120" s="31" t="n">
        <v>5</v>
      </c>
      <c r="E120" s="26" t="n">
        <v>18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MIN(24,FLOOR(60*service_hr/J120,1))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>
        <v>1777523</v>
      </c>
      <c r="AH120" s="32" t="n"/>
      <c r="AI120" s="32" t="inlineStr">
        <is>
          <t>med</t>
        </is>
      </c>
      <c r="AJ120" s="39" t="n">
        <v>0.25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[LB-255 PREMIUM RE-FARE: subsidized comparable $3.02 lifted to premium on-demand floor $18.0] Public-transit adult single Barreiro/Terreiro do Paco = EUR 2.80 (TTSL 2024 tariff) x1.08 = ~$3.02.</t>
        </is>
      </c>
      <c r="AX120" s="44" t="n"/>
    </row>
    <row r="121">
      <c r="A121" s="29" t="inlineStr">
        <is>
          <t>Bolt Portugal</t>
        </is>
      </c>
      <c r="B121" s="29" t="inlineStr">
        <is>
          <t>Portugal</t>
        </is>
      </c>
      <c r="C121" s="30" t="inlineStr">
        <is>
          <t>Portimao → Benagil</t>
        </is>
      </c>
      <c r="D121" s="31" t="n">
        <v>6</v>
      </c>
      <c r="E121" s="26" t="n">
        <v>45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/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PREMIUM tier: Benagil + Marinha boat tour from Portimao ~EUR 35-50 per seat (GetYourGuide ~$40-50; private/luxury much higher) -&gt; ~$45.</t>
        </is>
      </c>
      <c r="AX121" s="44" t="n"/>
    </row>
    <row r="122">
      <c r="A122" s="29" t="inlineStr">
        <is>
          <t>Bolt Portugal</t>
        </is>
      </c>
      <c r="B122" s="29" t="inlineStr">
        <is>
          <t>Portugal</t>
        </is>
      </c>
      <c r="C122" s="30" t="inlineStr">
        <is>
          <t>Cais do Sodre (Lisbon) → Montijo</t>
        </is>
      </c>
      <c r="D122" s="31" t="n">
        <v>8.1</v>
      </c>
      <c r="E122" s="26" t="n">
        <v>18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MIN(24,FLOOR(60*service_hr/J122,1))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168383</v>
      </c>
      <c r="AH122" s="32" t="n"/>
      <c r="AI122" s="32" t="inlineStr">
        <is>
          <t>med</t>
        </is>
      </c>
      <c r="AJ122" s="39" t="n">
        <v>0.25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[LB-255 PREMIUM RE-FARE: subsidized comparable $3.4 lifted to premium on-demand floor $18.0] Public-transit adult single Montijo/Cais do Sodre = EUR 3.15 (TTSL 2024 tariff) x1.08 = ~$3.40.</t>
        </is>
      </c>
      <c r="AX122" s="44" t="n"/>
    </row>
    <row r="123">
      <c r="A123" s="29" t="inlineStr">
        <is>
          <t>Bolt Portugal</t>
        </is>
      </c>
      <c r="B123" s="29" t="inlineStr">
        <is>
          <t>Portugal</t>
        </is>
      </c>
      <c r="C123" s="30" t="inlineStr">
        <is>
          <t>Cais do Sodre (Lisbon) → Cascais</t>
        </is>
      </c>
      <c r="D123" s="31" t="n">
        <v>13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MIN(24,FLOOR(60*service_hr/J123,1))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>
        <v>1020000</v>
      </c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Bolt Qatar</t>
        </is>
      </c>
      <c r="B124" s="29" t="inlineStr">
        <is>
          <t>Qatar</t>
        </is>
      </c>
      <c r="C124" s="30" t="inlineStr">
        <is>
          <t>Lusail Marina → The Pearl</t>
        </is>
      </c>
      <c r="D124" s="31" t="n">
        <v>3.5</v>
      </c>
      <c r="E124" s="26" t="n"/>
      <c r="F124" s="32" t="n"/>
      <c r="G124" s="32" t="n"/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n"/>
      <c r="AX124" s="44" t="n"/>
    </row>
    <row r="125">
      <c r="A125" s="29" t="inlineStr">
        <is>
          <t>Bolt Qatar</t>
        </is>
      </c>
      <c r="B125" s="29" t="inlineStr">
        <is>
          <t>Qatar</t>
        </is>
      </c>
      <c r="C125" s="30" t="inlineStr">
        <is>
          <t>Doha Corniche → The Pearl</t>
        </is>
      </c>
      <c r="D125" s="31" t="n">
        <v>4</v>
      </c>
      <c r="E125" s="26" t="n"/>
      <c r="F125" s="32" t="n"/>
      <c r="G125" s="32" t="n"/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n"/>
      <c r="AX125" s="44" t="n"/>
    </row>
    <row r="126">
      <c r="A126" s="29" t="inlineStr">
        <is>
          <t>Bolt Qatar</t>
        </is>
      </c>
      <c r="B126" s="29" t="inlineStr">
        <is>
          <t>Qatar</t>
        </is>
      </c>
      <c r="C126" s="30" t="inlineStr">
        <is>
          <t>The Pearl-Qatar (Marsa Arabia) → Doha Corniche / Old Doha Port</t>
        </is>
      </c>
      <c r="D126" s="31" t="n">
        <v>4.4</v>
      </c>
      <c r="E126" s="26" t="n">
        <v>10.99</v>
      </c>
      <c r="F126" s="32" t="inlineStr">
        <is>
          <t>T3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MIN(15,FLOOR(60*service_hr/J126,1))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>
        <v>50000</v>
      </c>
      <c r="AH126" s="32" t="inlineStr">
        <is>
          <t>T5</t>
        </is>
      </c>
      <c r="AI126" s="32" t="inlineStr">
        <is>
          <t>low</t>
        </is>
      </c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126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127">
      <c r="A127" s="29" t="inlineStr">
        <is>
          <t>Bolt Qatar</t>
        </is>
      </c>
      <c r="B127" s="29" t="inlineStr">
        <is>
          <t>Qatar</t>
        </is>
      </c>
      <c r="C127" s="30" t="inlineStr">
        <is>
          <t>Doha → Banana Island</t>
        </is>
      </c>
      <c r="D127" s="31" t="n">
        <v>4.5</v>
      </c>
      <c r="E127" s="26" t="n"/>
      <c r="F127" s="32" t="n"/>
      <c r="G127" s="32" t="n"/>
      <c r="H127" s="19" t="n">
        <v>1</v>
      </c>
      <c r="I127" s="33">
        <f>60*D127/cruise_kt</f>
        <v/>
      </c>
      <c r="J127" s="33">
        <f>I127+turn_min+dwell_min</f>
        <v/>
      </c>
      <c r="K127" s="34">
        <f>MIN(15,FLOOR(60*service_hr/J127,1))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n"/>
      <c r="AX127" s="44" t="n"/>
    </row>
    <row r="128">
      <c r="A128" s="29" t="inlineStr">
        <is>
          <t>Bolt Qatar</t>
        </is>
      </c>
      <c r="B128" s="29" t="inlineStr">
        <is>
          <t>Qatar</t>
        </is>
      </c>
      <c r="C128" s="30" t="inlineStr">
        <is>
          <t>Doha (Al Shyoukh Terminal) → Banana Island Resort (Anantara)</t>
        </is>
      </c>
      <c r="D128" s="31" t="n">
        <v>4.9</v>
      </c>
      <c r="E128" s="26" t="n">
        <v>27.5</v>
      </c>
      <c r="F128" s="32" t="inlineStr">
        <is>
          <t>T3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>
        <v>85000</v>
      </c>
      <c r="AH128" s="32" t="inlineStr">
        <is>
          <t>T4</t>
        </is>
      </c>
      <c r="AI128" s="32" t="inlineStr">
        <is>
          <t>med-low</t>
        </is>
      </c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128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129">
      <c r="A129" s="29" t="inlineStr">
        <is>
          <t>Bolt Qatar</t>
        </is>
      </c>
      <c r="B129" s="29" t="inlineStr">
        <is>
          <t>Qatar</t>
        </is>
      </c>
      <c r="C129" s="30" t="inlineStr">
        <is>
          <t>West Bay / Corniche (Doha) → Lusail Marina &amp; Place Vendôme</t>
        </is>
      </c>
      <c r="D129" s="31" t="n">
        <v>6.3</v>
      </c>
      <c r="E129" s="26" t="n">
        <v>16</v>
      </c>
      <c r="F129" s="32" t="inlineStr">
        <is>
          <t>T5</t>
        </is>
      </c>
      <c r="G129" s="32" t="inlineStr">
        <is>
          <t>low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>
        <v>75000</v>
      </c>
      <c r="AH129" s="32" t="inlineStr">
        <is>
          <t>T5</t>
        </is>
      </c>
      <c r="AI129" s="32" t="inlineStr">
        <is>
          <t>low</t>
        </is>
      </c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129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130">
      <c r="A130" s="29" t="inlineStr">
        <is>
          <t>Bolt Qatar</t>
        </is>
      </c>
      <c r="B130" s="29" t="inlineStr">
        <is>
          <t>Qatar</t>
        </is>
      </c>
      <c r="C130" s="30" t="inlineStr">
        <is>
          <t>Doha → Lusail Marina</t>
        </is>
      </c>
      <c r="D130" s="31" t="n">
        <v>6.5</v>
      </c>
      <c r="E130" s="26" t="n"/>
      <c r="F130" s="32" t="n"/>
      <c r="G130" s="32" t="n"/>
      <c r="H130" s="19" t="n">
        <v>1</v>
      </c>
      <c r="I130" s="33">
        <f>60*D130/cruise_kt</f>
        <v/>
      </c>
      <c r="J130" s="33">
        <f>I130+turn_min+dwell_min</f>
        <v/>
      </c>
      <c r="K130" s="34">
        <f>MIN(15,FLOOR(60*service_hr/J130,1))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n"/>
      <c r="AX130" s="44" t="n"/>
    </row>
    <row r="131">
      <c r="A131" s="29" t="inlineStr">
        <is>
          <t>Bolt Qatar</t>
        </is>
      </c>
      <c r="B131" s="29" t="inlineStr">
        <is>
          <t>Qatar</t>
        </is>
      </c>
      <c r="C131" s="30" t="inlineStr">
        <is>
          <t>Al Wakrah → Banana Island</t>
        </is>
      </c>
      <c r="D131" s="31" t="n">
        <v>9.5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MIN(15,FLOOR(60*service_hr/J131,1))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Bolt Qatar</t>
        </is>
      </c>
      <c r="B132" s="29" t="inlineStr">
        <is>
          <t>Qatar</t>
        </is>
      </c>
      <c r="C132" s="30" t="inlineStr">
        <is>
          <t>Doha → Al Wakrah Marina</t>
        </is>
      </c>
      <c r="D132" s="31" t="n">
        <v>11</v>
      </c>
      <c r="E132" s="26" t="n"/>
      <c r="F132" s="32" t="n"/>
      <c r="G132" s="32" t="n"/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n"/>
      <c r="AX132" s="44" t="n"/>
    </row>
    <row r="133">
      <c r="A133" s="29" t="inlineStr">
        <is>
          <t>Bolt Romania</t>
        </is>
      </c>
      <c r="B133" s="29" t="inlineStr">
        <is>
          <t>Romania</t>
        </is>
      </c>
      <c r="C133" s="30" t="inlineStr">
        <is>
          <t>Constanța → Mamaia</t>
        </is>
      </c>
      <c r="D133" s="31" t="n">
        <v>5</v>
      </c>
      <c r="E133" s="26" t="n">
        <v>13</v>
      </c>
      <c r="F133" s="32" t="inlineStr">
        <is>
          <t>T2</t>
        </is>
      </c>
      <c r="G133" s="32" t="inlineStr">
        <is>
          <t>med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MIN(15,FLOOR(60*service_hr/J133,1))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17806</v>
      </c>
      <c r="AH133" s="32" t="n"/>
      <c r="AI133" s="32" t="n"/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PREMIUM tier: charter-divided per-seat ~60 RON (Portul Tomis Condor/Tomis/Euphoria group sea charters 400-1400 RON per group / ~10-12 pax). 60 RON / 4.6 = ~$13.0. No scheduled premium fast-shuttle exists today on this hop.</t>
        </is>
      </c>
      <c r="AX133" s="44" t="n"/>
    </row>
    <row r="134">
      <c r="A134" s="29" t="inlineStr">
        <is>
          <t>Bolt Romania</t>
        </is>
      </c>
      <c r="B134" s="29" t="inlineStr">
        <is>
          <t>Romania</t>
        </is>
      </c>
      <c r="C134" s="30" t="inlineStr">
        <is>
          <t>Constanta → Eforie Nord</t>
        </is>
      </c>
      <c r="D134" s="31" t="n">
        <v>8</v>
      </c>
      <c r="E134" s="26" t="n">
        <v>13</v>
      </c>
      <c r="F134" s="32" t="inlineStr">
        <is>
          <t>T2</t>
        </is>
      </c>
      <c r="G134" s="32" t="inlineStr">
        <is>
          <t>med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14736</v>
      </c>
      <c r="AH134" s="32" t="n"/>
      <c r="AI134" s="32" t="n"/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Coast premium per-seat ~60 RON (charter-divided). ~$13.0.</t>
        </is>
      </c>
      <c r="AX134" s="44" t="n"/>
    </row>
    <row r="135">
      <c r="A135" s="29" t="inlineStr">
        <is>
          <t>Bolt Romania</t>
        </is>
      </c>
      <c r="B135" s="29" t="inlineStr">
        <is>
          <t>Romania</t>
        </is>
      </c>
      <c r="C135" s="30" t="inlineStr">
        <is>
          <t>Constanta → Navodari (Mamaia Nord)</t>
        </is>
      </c>
      <c r="D135" s="31" t="n">
        <v>9</v>
      </c>
      <c r="E135" s="26" t="n">
        <v>13</v>
      </c>
      <c r="F135" s="32" t="inlineStr">
        <is>
          <t>T2</t>
        </is>
      </c>
      <c r="G135" s="32" t="inlineStr">
        <is>
          <t>med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/>
      <c r="AH135" s="32" t="n"/>
      <c r="AI135" s="32" t="n"/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Same coast premium per-seat ~60 RON (charter-divided). ~$13.0.</t>
        </is>
      </c>
      <c r="AX135" s="44" t="n"/>
    </row>
    <row r="136">
      <c r="A136" s="29" t="inlineStr">
        <is>
          <t>Bolt Romania</t>
        </is>
      </c>
      <c r="B136" s="29" t="inlineStr">
        <is>
          <t>Romania</t>
        </is>
      </c>
      <c r="C136" s="30" t="inlineStr">
        <is>
          <t>Constanta → Costinesti</t>
        </is>
      </c>
      <c r="D136" s="31" t="n">
        <v>15</v>
      </c>
      <c r="E136" s="26" t="n">
        <v>13</v>
      </c>
      <c r="F136" s="32" t="inlineStr">
        <is>
          <t>T2</t>
        </is>
      </c>
      <c r="G136" s="32" t="inlineStr">
        <is>
          <t>med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7894</v>
      </c>
      <c r="AH136" s="32" t="n"/>
      <c r="AI136" s="32" t="n"/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Coast premium per-seat ~60 RON (charter-divided). ~$13.0.</t>
        </is>
      </c>
      <c r="AX136" s="44" t="n"/>
    </row>
    <row r="137">
      <c r="A137" s="29" t="inlineStr">
        <is>
          <t>Bolt Romania</t>
        </is>
      </c>
      <c r="B137" s="29" t="inlineStr">
        <is>
          <t>Romania</t>
        </is>
      </c>
      <c r="C137" s="30" t="inlineStr">
        <is>
          <t>Bucharest → Snagov</t>
        </is>
      </c>
      <c r="D137" s="31" t="n">
        <v>19</v>
      </c>
      <c r="E137" s="26" t="n"/>
      <c r="F137" s="32" t="n"/>
      <c r="G137" s="32" t="n"/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/>
      <c r="AH137" s="32" t="n"/>
      <c r="AI137" s="32" t="n"/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n"/>
      <c r="AX137" s="44" t="n"/>
    </row>
    <row r="138">
      <c r="A138" s="29" t="inlineStr">
        <is>
          <t>Bolt Romania</t>
        </is>
      </c>
      <c r="B138" s="29" t="inlineStr">
        <is>
          <t>Romania</t>
        </is>
      </c>
      <c r="C138" s="30" t="inlineStr">
        <is>
          <t>Mangalia → Balchik (Bulgaria)</t>
        </is>
      </c>
      <c r="D138" s="31" t="n">
        <v>22</v>
      </c>
      <c r="E138" s="26" t="n"/>
      <c r="F138" s="32" t="n"/>
      <c r="G138" s="32" t="n"/>
      <c r="H138" s="19" t="n">
        <v>1</v>
      </c>
      <c r="I138" s="33">
        <f>60*D138/cruise_kt</f>
        <v/>
      </c>
      <c r="J138" s="33">
        <f>I138+turn_min+dwell_min</f>
        <v/>
      </c>
      <c r="K138" s="34">
        <f>MIN(15,FLOOR(60*service_hr/J138,1))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/>
      <c r="AH138" s="32" t="n"/>
      <c r="AI138" s="32" t="n"/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n"/>
      <c r="AX138" s="44" t="n"/>
    </row>
    <row r="139">
      <c r="A139" s="29" t="inlineStr">
        <is>
          <t>Bolt Romania</t>
        </is>
      </c>
      <c r="B139" s="29" t="inlineStr">
        <is>
          <t>Romania</t>
        </is>
      </c>
      <c r="C139" s="30" t="inlineStr">
        <is>
          <t>Constanta → Mangalia</t>
        </is>
      </c>
      <c r="D139" s="31" t="n">
        <v>23</v>
      </c>
      <c r="E139" s="26" t="n">
        <v>13</v>
      </c>
      <c r="F139" s="32" t="inlineStr">
        <is>
          <t>T2</t>
        </is>
      </c>
      <c r="G139" s="32" t="inlineStr">
        <is>
          <t>med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7017</v>
      </c>
      <c r="AH139" s="32" t="n"/>
      <c r="AI139" s="32" t="n"/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Coast premium per-seat ~60 RON (charter-divided). ~$13.0. (Longer leg could justify a higher seat; unsourced -&gt; hold at coast anchor.)</t>
        </is>
      </c>
      <c r="AX139" s="44" t="n"/>
    </row>
    <row r="140">
      <c r="A140" s="29" t="inlineStr">
        <is>
          <t>Bolt Romania</t>
        </is>
      </c>
      <c r="B140" s="29" t="inlineStr">
        <is>
          <t>Romania</t>
        </is>
      </c>
      <c r="C140" s="30" t="inlineStr">
        <is>
          <t>Tulcea → Crisan</t>
        </is>
      </c>
      <c r="D140" s="31" t="n">
        <v>23</v>
      </c>
      <c r="E140" s="26" t="n">
        <v>10.9</v>
      </c>
      <c r="F140" s="32" t="inlineStr">
        <is>
          <t>T2</t>
        </is>
      </c>
      <c r="G140" s="32" t="inlineStr">
        <is>
          <t>med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MIN(15,FLOOR(60*service_hr/J140,1))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/>
      <c r="AH140" s="32" t="n"/>
      <c r="AI140" s="32" t="n"/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Navrom clasica Tulcea-Crisan 50 RON (official table). 50 / 4.6 = ~$10.9.</t>
        </is>
      </c>
      <c r="AX140" s="44" t="n"/>
    </row>
    <row r="141">
      <c r="A141" s="29" t="inlineStr">
        <is>
          <t>Bolt Romania</t>
        </is>
      </c>
      <c r="B141" s="29" t="inlineStr">
        <is>
          <t>Romania</t>
        </is>
      </c>
      <c r="C141" s="30" t="inlineStr">
        <is>
          <t>Tulcea → Sfantu Gheorghe</t>
        </is>
      </c>
      <c r="D141" s="31" t="n">
        <v>30</v>
      </c>
      <c r="E141" s="26" t="n">
        <v>13</v>
      </c>
      <c r="F141" s="32" t="inlineStr">
        <is>
          <t>T2</t>
        </is>
      </c>
      <c r="G141" s="32" t="inlineStr">
        <is>
          <t>med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MIN(15,FLOOR(60*service_hr/J141,1))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/>
      <c r="AH141" s="32" t="n"/>
      <c r="AI141" s="32" t="n"/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Estimated ~60 RON (comparable arm length to Sulina; Navrom Sfantu Gheorghe fare not in the scraped Sulina-arm table). ~$13.0 — UNCONFIRMED, flag.</t>
        </is>
      </c>
      <c r="AX141" s="44" t="n"/>
    </row>
    <row r="142">
      <c r="A142" s="29" t="inlineStr">
        <is>
          <t>Bolt Romania</t>
        </is>
      </c>
      <c r="B142" s="29" t="inlineStr">
        <is>
          <t>Romania</t>
        </is>
      </c>
      <c r="C142" s="30" t="inlineStr">
        <is>
          <t>Tulcea → Periprava</t>
        </is>
      </c>
      <c r="D142" s="31" t="n">
        <v>33</v>
      </c>
      <c r="E142" s="26" t="n"/>
      <c r="F142" s="32" t="n"/>
      <c r="G142" s="32" t="n"/>
      <c r="H142" s="19" t="n">
        <v>1</v>
      </c>
      <c r="I142" s="33">
        <f>60*D142/cruise_kt</f>
        <v/>
      </c>
      <c r="J142" s="33">
        <f>I142+turn_min+dwell_min</f>
        <v/>
      </c>
      <c r="K142" s="34">
        <f>MIN(15,FLOOR(60*service_hr/J142,1))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/>
      <c r="AH142" s="32" t="n"/>
      <c r="AI142" s="32" t="n"/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n"/>
      <c r="AX142" s="44" t="n"/>
    </row>
    <row r="143">
      <c r="A143" s="29" t="inlineStr">
        <is>
          <t>Bolt Romania</t>
        </is>
      </c>
      <c r="B143" s="29" t="inlineStr">
        <is>
          <t>Romania</t>
        </is>
      </c>
      <c r="C143" s="30" t="inlineStr">
        <is>
          <t>Tulcea → Sulina</t>
        </is>
      </c>
      <c r="D143" s="31" t="n">
        <v>34</v>
      </c>
      <c r="E143" s="26" t="n">
        <v>15.2</v>
      </c>
      <c r="F143" s="32" t="inlineStr">
        <is>
          <t>T2</t>
        </is>
      </c>
      <c r="G143" s="32" t="inlineStr">
        <is>
          <t>med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MIN(15,FLOOR(60*service_hr/J143,1))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165000</v>
      </c>
      <c r="AH143" s="32" t="n"/>
      <c r="AI143" s="32" t="n"/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PREMIUM tier: Navrom Delta 'semirapida' (fast catamaran) Tulcea-Sulina ~70 RON adult (Radio Romania, 2025). 70 / 4.6 = ~$15.2. 'Clasica' slow ferry ~60-66 RON ($13.0-14.3) is the standard tier (official Navrom table: 66 RON).</t>
        </is>
      </c>
      <c r="AX143" s="44" t="n"/>
    </row>
    <row r="144">
      <c r="A144" s="29" t="inlineStr">
        <is>
          <t>Bolt Ksa Commercial</t>
        </is>
      </c>
      <c r="B144" s="29" t="inlineStr">
        <is>
          <t>Saudi Arabia</t>
        </is>
      </c>
      <c r="C144" s="30" t="inlineStr">
        <is>
          <t>Jeddah Corniche → Jeddah Central (PIF waterfront)</t>
        </is>
      </c>
      <c r="D144" s="31" t="n">
        <v>2.4</v>
      </c>
      <c r="E144" s="26" t="n">
        <v>60</v>
      </c>
      <c r="F144" s="32" t="inlineStr">
        <is>
          <t>T5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MIN(15,FLOOR(60*service_hr/J144,1))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/>
      <c r="AH144" s="32" t="inlineStr">
        <is>
          <t>T5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144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145">
      <c r="A145" s="29" t="inlineStr">
        <is>
          <t>Bolt Ksa Commercial</t>
        </is>
      </c>
      <c r="B145" s="29" t="inlineStr">
        <is>
          <t>Saudi Arabia</t>
        </is>
      </c>
      <c r="C145" s="30" t="inlineStr">
        <is>
          <t>Outer-island resort → Outer-island resort cluster (Nujuma / Jumeirah / St Regis)</t>
        </is>
      </c>
      <c r="D145" s="31" t="n">
        <v>9.699999999999999</v>
      </c>
      <c r="E145" s="26" t="n">
        <v>125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MIN(15,FLOOR(60*service_hr/J145,1))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150000</v>
      </c>
      <c r="AH145" s="32" t="inlineStr">
        <is>
          <t>T5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145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146">
      <c r="A146" s="29" t="inlineStr">
        <is>
          <t>Bolt Ksa Commercial</t>
        </is>
      </c>
      <c r="B146" s="29" t="inlineStr">
        <is>
          <t>Saudi Arabia</t>
        </is>
      </c>
      <c r="C146" s="30" t="inlineStr">
        <is>
          <t>Shura Island Marina → Outer-island resorts (St Regis / Nujuma / Shebara)</t>
        </is>
      </c>
      <c r="D146" s="31" t="n">
        <v>11.5</v>
      </c>
      <c r="E146" s="26" t="n">
        <v>175</v>
      </c>
      <c r="F146" s="32" t="inlineStr">
        <is>
          <t>T5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MIN(15,FLOOR(60*service_hr/J146,1))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500000</v>
      </c>
      <c r="AH146" s="32" t="inlineStr">
        <is>
          <t>T2</t>
        </is>
      </c>
      <c r="AI146" s="32" t="inlineStr">
        <is>
          <t>low-med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146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147">
      <c r="A147" s="29" t="inlineStr">
        <is>
          <t>Bolt Ksa Commercial</t>
        </is>
      </c>
      <c r="B147" s="29" t="inlineStr">
        <is>
          <t>Saudi Arabia</t>
        </is>
      </c>
      <c r="C147" s="30" t="inlineStr">
        <is>
          <t>Jeddah Corniche → Jeddah Yacht Club &amp; Marina</t>
        </is>
      </c>
      <c r="D147" s="31" t="n">
        <v>12</v>
      </c>
      <c r="E147" s="26" t="n"/>
      <c r="F147" s="32" t="n"/>
      <c r="G147" s="32" t="n"/>
      <c r="H147" s="19" t="n">
        <v>1</v>
      </c>
      <c r="I147" s="33">
        <f>60*D147/cruise_kt</f>
        <v/>
      </c>
      <c r="J147" s="33">
        <f>I147+turn_min+dwell_min</f>
        <v/>
      </c>
      <c r="K147" s="34">
        <f>MIN(15,FLOOR(60*service_hr/J147,1))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/>
      <c r="AH147" s="32" t="n"/>
      <c r="AI147" s="32" t="n"/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n"/>
      <c r="AX147" s="44" t="n"/>
    </row>
    <row r="148">
      <c r="A148" s="29" t="inlineStr">
        <is>
          <t>Bolt Ksa Commercial</t>
        </is>
      </c>
      <c r="B148" s="29" t="inlineStr">
        <is>
          <t>Saudi Arabia</t>
        </is>
      </c>
      <c r="C148" s="30" t="inlineStr">
        <is>
          <t>Khobar / Dammam (Eastern Province) → Manama, Bahrain</t>
        </is>
      </c>
      <c r="D148" s="31" t="n">
        <v>18.6</v>
      </c>
      <c r="E148" s="26" t="n">
        <v>80</v>
      </c>
      <c r="F148" s="32" t="inlineStr">
        <is>
          <t>T5</t>
        </is>
      </c>
      <c r="G148" s="32" t="inlineStr">
        <is>
          <t>low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MIN(15,FLOOR(60*service_hr/J148,1))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330000</v>
      </c>
      <c r="AH148" s="32" t="inlineStr">
        <is>
          <t>T3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148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149">
      <c r="A149" s="29" t="inlineStr">
        <is>
          <t>Bolt Ksa Commercial</t>
        </is>
      </c>
      <c r="B149" s="29" t="inlineStr">
        <is>
          <t>Saudi Arabia</t>
        </is>
      </c>
      <c r="C149" s="30" t="inlineStr">
        <is>
          <t>The Red Sea → AMAALA (Triple Bay)</t>
        </is>
      </c>
      <c r="D149" s="31" t="n">
        <v>29.4</v>
      </c>
      <c r="E149" s="26" t="n">
        <v>250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MIN(15,FLOOR(60*service_hr/J149,1))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500000</v>
      </c>
      <c r="AH149" s="32" t="inlineStr">
        <is>
          <t>T4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149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150">
      <c r="A150" s="29" t="inlineStr">
        <is>
          <t>Bolt Ksa Commercial</t>
        </is>
      </c>
      <c r="B150" s="29" t="inlineStr">
        <is>
          <t>Saudi Arabia</t>
        </is>
      </c>
      <c r="C150" s="30" t="inlineStr">
        <is>
          <t>NEOM — Sindalah → Magna / Oxagon coast</t>
        </is>
      </c>
      <c r="D150" s="31" t="n">
        <v>30.8</v>
      </c>
      <c r="E150" s="26" t="n">
        <v>120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MIN(15,FLOOR(60*service_hr/J150,1))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250000</v>
      </c>
      <c r="AH150" s="32" t="inlineStr">
        <is>
          <t>T2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150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151">
      <c r="A151" s="29" t="inlineStr">
        <is>
          <t>Bolt Spain</t>
        </is>
      </c>
      <c r="B151" s="29" t="inlineStr">
        <is>
          <t>Spain</t>
        </is>
      </c>
      <c r="C151" s="30" t="inlineStr">
        <is>
          <t>L'Estartit → Illes Medes</t>
        </is>
      </c>
      <c r="D151" s="31" t="n">
        <v>0.8</v>
      </c>
      <c r="E151" s="26" t="n">
        <v>27</v>
      </c>
      <c r="F151" s="32" t="inlineStr">
        <is>
          <t>T2</t>
        </is>
      </c>
      <c r="G151" s="32" t="inlineStr">
        <is>
          <t>med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MIN(15,FLOOR(60*service_hr/J151,1))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/>
      <c r="AH151" s="32" t="n"/>
      <c r="AI151" s="32" t="n"/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PREMIUM tier: L'Estartit-&gt;Illes Medes glass-bottom / snorkel boat ~EUR 25 (Dofi/Xaloc/local operators) x 1.08 = ~$27. RANGED (excursion products EUR 20-40 depending on snorkel/dive inclusion), flagged.</t>
        </is>
      </c>
      <c r="AX151" s="44" t="n"/>
    </row>
    <row r="152">
      <c r="A152" s="29" t="inlineStr">
        <is>
          <t>Bolt Spain</t>
        </is>
      </c>
      <c r="B152" s="29" t="inlineStr">
        <is>
          <t>Spain</t>
        </is>
      </c>
      <c r="C152" s="30" t="inlineStr">
        <is>
          <t>Marbella → Puerto Banús</t>
        </is>
      </c>
      <c r="D152" s="31" t="n">
        <v>3.5</v>
      </c>
      <c r="E152" s="26" t="n">
        <v>11.9</v>
      </c>
      <c r="F152" s="32" t="inlineStr">
        <is>
          <t>T2</t>
        </is>
      </c>
      <c r="G152" s="32" t="inlineStr">
        <is>
          <t>med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36000</v>
      </c>
      <c r="AH152" s="32" t="n"/>
      <c r="AI152" s="32" t="n"/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PREMIUM tier: Fly Blue catamaran Marbella&lt;-&gt;Puerto Banús ~EUR 11 one-way (traveller reports EUR 11 one-way; ~30 min) x 1.08 = ~$11.9. Short hop, inexpensive premium tier.</t>
        </is>
      </c>
      <c r="AX152" s="44" t="n"/>
    </row>
    <row r="153">
      <c r="A153" s="29" t="inlineStr">
        <is>
          <t>Bolt Spain</t>
        </is>
      </c>
      <c r="B153" s="29" t="inlineStr">
        <is>
          <t>Spain</t>
        </is>
      </c>
      <c r="C153" s="30" t="inlineStr">
        <is>
          <t>Lloret de Mar → Tossa de Mar</t>
        </is>
      </c>
      <c r="D153" s="31" t="n">
        <v>4</v>
      </c>
      <c r="E153" s="26" t="n">
        <v>20</v>
      </c>
      <c r="F153" s="32" t="inlineStr">
        <is>
          <t>T2</t>
        </is>
      </c>
      <c r="G153" s="32" t="inlineStr">
        <is>
          <t>med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112000</v>
      </c>
      <c r="AH153" s="32" t="n"/>
      <c r="AI153" s="32" t="n"/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PREMIUM tier proxy: Dofi Jet Boats Lloret&lt;-&gt;Tossa one-way ~EUR 18-19 (round-trip excursion product, ~EUR 30+; one-way ~half) x 1.08 = ~$20. RANGED estimate (operator advertises mainly round-trip), flagged.</t>
        </is>
      </c>
      <c r="AX153" s="44" t="n"/>
    </row>
    <row r="154">
      <c r="A154" s="29" t="inlineStr">
        <is>
          <t>Bolt Spain</t>
        </is>
      </c>
      <c r="B154" s="29" t="inlineStr">
        <is>
          <t>Spain</t>
        </is>
      </c>
      <c r="C154" s="30" t="inlineStr">
        <is>
          <t>Port de Sóller (Mallorca) → Sa Calobra / Torrent de Pareis (Mallorca)</t>
        </is>
      </c>
      <c r="D154" s="31" t="n">
        <v>9</v>
      </c>
      <c r="E154" s="26" t="n">
        <v>24.8</v>
      </c>
      <c r="F154" s="32" t="inlineStr">
        <is>
          <t>T2</t>
        </is>
      </c>
      <c r="G154" s="32" t="inlineStr">
        <is>
          <t>med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MIN(15,FLOOR(60*service_hr/J154,1))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/>
      <c r="AH154" s="32" t="n"/>
      <c r="AI154" s="32" t="n"/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PREMIUM tier: Barcos Azules Port de Sóller-&gt;Sa Calobra adult one-way (un trayecto) EUR 23 (2025/2026 tariff) x 1.08 = ~$24.8.</t>
        </is>
      </c>
      <c r="AX154" s="44" t="n"/>
    </row>
    <row r="155">
      <c r="A155" s="29" t="inlineStr">
        <is>
          <t>Bolt Spain</t>
        </is>
      </c>
      <c r="B155" s="29" t="inlineStr">
        <is>
          <t>Spain</t>
        </is>
      </c>
      <c r="C155" s="30" t="inlineStr">
        <is>
          <t>Ibiza Town (Eivissa) → Formentera (La Savina)</t>
        </is>
      </c>
      <c r="D155" s="31" t="n">
        <v>12</v>
      </c>
      <c r="E155" s="26" t="n">
        <v>28.6</v>
      </c>
      <c r="F155" s="32" t="inlineStr">
        <is>
          <t>T2</t>
        </is>
      </c>
      <c r="G155" s="32" t="inlineStr">
        <is>
          <t>med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MIN(15,FLOOR(60*service_hr/J155,1))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1190000</v>
      </c>
      <c r="AH155" s="32" t="n"/>
      <c r="AI155" s="32" t="n"/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PREMIUM tier: Trasmapi/Balearia fast-ferry standard adult one-way ~EUR 26.50 (Trasmapi 'normal price 26.50 EUR one way') x 1.08 = ~$28.6 (fast-ferry tickets EUR 23-29; Balearia 'from EUR 25').</t>
        </is>
      </c>
      <c r="AX155" s="44" t="n"/>
    </row>
    <row r="156">
      <c r="A156" s="29" t="inlineStr">
        <is>
          <t>Bolt Spain</t>
        </is>
      </c>
      <c r="B156" s="29" t="inlineStr">
        <is>
          <t>Spain</t>
        </is>
      </c>
      <c r="C156" s="30" t="inlineStr">
        <is>
          <t>Puerto Banús → Estepona</t>
        </is>
      </c>
      <c r="D156" s="31" t="n">
        <v>12</v>
      </c>
      <c r="E156" s="26" t="n">
        <v>16.2</v>
      </c>
      <c r="F156" s="32" t="inlineStr">
        <is>
          <t>T2</t>
        </is>
      </c>
      <c r="G156" s="32" t="inlineStr">
        <is>
          <t>med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/>
      <c r="AH156" s="32" t="n"/>
      <c r="AI156" s="32" t="n"/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PREMIUM tier proxy: Costa del Sol catamaran tourist hop ~EUR 15 one-way (longer leg than Marbella-Banús) x 1.08 = ~$16.2. RANGED proxy from the Fly Blue/Costa del Sol catamaran tariff band; flagged (not an Estepona-specific year-stamped fare).</t>
        </is>
      </c>
      <c r="AX156" s="44" t="n"/>
    </row>
    <row r="157">
      <c r="A157" s="29" t="inlineStr">
        <is>
          <t>Bolt Spain</t>
        </is>
      </c>
      <c r="B157" s="29" t="inlineStr">
        <is>
          <t>Spain</t>
        </is>
      </c>
      <c r="C157" s="30" t="inlineStr">
        <is>
          <t>Tarifa → Tangier (Morocco)</t>
        </is>
      </c>
      <c r="D157" s="31" t="n">
        <v>18</v>
      </c>
      <c r="E157" s="26" t="n">
        <v>45.4</v>
      </c>
      <c r="F157" s="32" t="inlineStr">
        <is>
          <t>T2</t>
        </is>
      </c>
      <c r="G157" s="32" t="inlineStr">
        <is>
          <t>med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MIN(15,FLOOR(60*service_hr/J157,1))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700000</v>
      </c>
      <c r="AH157" s="32" t="n"/>
      <c r="AI157" s="32" t="n"/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PREMIUM tier: Tarifa-&gt;Tangier fast ferry one-way ~EUR 37.50-45 (Ferryhopper from ~EUR 37.50; FRS/DFDS) -&gt; ~EUR 42 x 1.08 = ~$45.4.</t>
        </is>
      </c>
      <c r="AX157" s="44" t="n"/>
    </row>
    <row r="158">
      <c r="A158" s="29" t="inlineStr">
        <is>
          <t>Bolt Spain</t>
        </is>
      </c>
      <c r="B158" s="29" t="inlineStr">
        <is>
          <t>Spain</t>
        </is>
      </c>
      <c r="C158" s="30" t="inlineStr">
        <is>
          <t>Alcúdia (Mallorca) → Ciutadella (Menorca)</t>
        </is>
      </c>
      <c r="D158" s="31" t="n">
        <v>22</v>
      </c>
      <c r="E158" s="26" t="n">
        <v>80</v>
      </c>
      <c r="F158" s="32" t="inlineStr">
        <is>
          <t>T2</t>
        </is>
      </c>
      <c r="G158" s="32" t="inlineStr">
        <is>
          <t>med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MIN(15,FLOOR(60*service_hr/J158,1))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62400</v>
      </c>
      <c r="AH158" s="32" t="n"/>
      <c r="AI158" s="32" t="n"/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PREMIUM tier: Balearia/Menorca Lines fast ferry Alcudia-&gt;Ciutadella standard adult one-way ~EUR 74 (Balearia avg round-trip without vehicle from EUR 148 =&gt; ~EUR 74/leg; iloveferry 'from 76 EUR one way') x 1.08 = ~$80. Short but premium-priced fast craft.</t>
        </is>
      </c>
      <c r="AX158" s="44" t="n"/>
    </row>
    <row r="159">
      <c r="A159" s="29" t="inlineStr">
        <is>
          <t>Bolt Spain</t>
        </is>
      </c>
      <c r="B159" s="29" t="inlineStr">
        <is>
          <t>Spain</t>
        </is>
      </c>
      <c r="C159" s="30" t="inlineStr">
        <is>
          <t>Dénia → Ibiza Town (Eivissa)</t>
        </is>
      </c>
      <c r="D159" s="31" t="n">
        <v>56</v>
      </c>
      <c r="E159" s="26" t="n">
        <v>54</v>
      </c>
      <c r="F159" s="32" t="inlineStr">
        <is>
          <t>T2</t>
        </is>
      </c>
      <c r="G159" s="32" t="inlineStr">
        <is>
          <t>med</t>
        </is>
      </c>
      <c r="H159" s="19" t="n">
        <v>1</v>
      </c>
      <c r="I159" s="33">
        <f>60*D159/cruise_kt</f>
        <v/>
      </c>
      <c r="J159" s="33">
        <f>I159+turn_min+dwell_min</f>
        <v/>
      </c>
      <c r="K159" s="34">
        <f>MIN(15,FLOOR(60*service_hr/J159,1))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>
        <v>49000</v>
      </c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inlineStr">
        <is>
          <t>PREMIUM tier: Balearia fast ferry Dénia-&gt;Ibiza standard adult one-way ~EUR 50 (Direct Ferries ES 'desde 30 EUR' lead-in rising to ~EUR 50-77 standard/flex) x 1.08 = ~$54. RANGED estimate, flagged.</t>
        </is>
      </c>
      <c r="AX159" s="44" t="n"/>
    </row>
    <row r="160">
      <c r="A160" s="29" t="inlineStr">
        <is>
          <t>Bolt Sweden</t>
        </is>
      </c>
      <c r="B160" s="29" t="inlineStr">
        <is>
          <t>Sweden</t>
        </is>
      </c>
      <c r="C160" s="30" t="inlineStr">
        <is>
          <t>Stockholm (Slussen) → Djurgarden</t>
        </is>
      </c>
      <c r="D160" s="31" t="n">
        <v>0.5</v>
      </c>
      <c r="E160" s="26" t="n">
        <v>18</v>
      </c>
      <c r="F160" s="32" t="inlineStr">
        <is>
          <t>T2</t>
        </is>
      </c>
      <c r="G160" s="32" t="inlineStr">
        <is>
          <t>med</t>
        </is>
      </c>
      <c r="H160" s="19" t="n">
        <v>1</v>
      </c>
      <c r="I160" s="33">
        <f>60*D160/cruise_kt</f>
        <v/>
      </c>
      <c r="J160" s="33">
        <f>I160+turn_min+dwell_min</f>
        <v/>
      </c>
      <c r="K160" s="34">
        <f>MIN(15,FLOOR(60*service_hr/J160,1))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>
        <v>271332</v>
      </c>
      <c r="AH160" s="32" t="n"/>
      <c r="AI160" s="32" t="inlineStr">
        <is>
          <t>med</t>
        </is>
      </c>
      <c r="AJ160" s="39" t="n">
        <v>0.25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inlineStr">
        <is>
          <t>[LB-255 PREMIUM RE-FARE: subsidized comparable $4.1 lifted to premium on-demand floor $18.0] SL single ticket SEK 43 (2025; SEK 42 in 2024). Line 82 is a pure SL mass-transit commuter ferry (SL travelcard valid) - NO premium scheduled tier exists on this leg, so fare_anchor = the SL single. SEK 43 x 0.0952 = $4.1. (Premium sightseeing context only: Stromma hop-on-hop-off / Royal Canal tours ~SEK 220+/day cover this water but are not a per-seat point-to-point fare.)</t>
        </is>
      </c>
      <c r="AX160" s="44" t="n"/>
    </row>
    <row r="161">
      <c r="A161" s="29" t="inlineStr">
        <is>
          <t>Bolt Sweden</t>
        </is>
      </c>
      <c r="B161" s="29" t="inlineStr">
        <is>
          <t>Sweden</t>
        </is>
      </c>
      <c r="C161" s="30" t="inlineStr">
        <is>
          <t>Stockholm (Nybroplan) → Nacka Strand / Ropsten</t>
        </is>
      </c>
      <c r="D161" s="31" t="n">
        <v>3</v>
      </c>
      <c r="E161" s="26" t="n">
        <v>18</v>
      </c>
      <c r="F161" s="32" t="inlineStr">
        <is>
          <t>T2</t>
        </is>
      </c>
      <c r="G161" s="32" t="inlineStr">
        <is>
          <t>med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365638</v>
      </c>
      <c r="AH161" s="32" t="n"/>
      <c r="AI161" s="32" t="inlineStr">
        <is>
          <t>med</t>
        </is>
      </c>
      <c r="AJ161" s="39" t="n">
        <v>0.25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[LB-255 PREMIUM RE-FARE: subsidized comparable $4.1 lifted to premium on-demand floor $18.0] SL single ticket SEK 43 (2025). Line 80 is an SL mass-transit commuter boat (SL travelcard valid) - no premium tier. SEK 43 x 0.0952 = $4.1.</t>
        </is>
      </c>
      <c r="AX161" s="44" t="n"/>
    </row>
    <row r="162">
      <c r="A162" s="29" t="inlineStr">
        <is>
          <t>Bolt Sweden</t>
        </is>
      </c>
      <c r="B162" s="29" t="inlineStr">
        <is>
          <t>Sweden</t>
        </is>
      </c>
      <c r="C162" s="30" t="inlineStr">
        <is>
          <t>Stockholm (Stadshuskajen / Klara Malarstrand) → Drottningholm</t>
        </is>
      </c>
      <c r="D162" s="31" t="n">
        <v>6</v>
      </c>
      <c r="E162" s="26" t="n">
        <v>13.8</v>
      </c>
      <c r="F162" s="32" t="inlineStr">
        <is>
          <t>T2</t>
        </is>
      </c>
      <c r="G162" s="32" t="inlineStr">
        <is>
          <t>med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MIN(15,FLOOR(60*service_hr/J162,1))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700000</v>
      </c>
      <c r="AH162" s="32" t="n"/>
      <c r="AI162" s="32" t="n"/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PREMIUM tier: Stromma Klara Malarstrand/Stadshuskajen-&gt;Drottningholm scenic steamer; return ferry ~SEK 220 (2026) -&gt; one-way ~SEK 145 = $13.8. (Historic 2017 quote: SEK 210 return.)</t>
        </is>
      </c>
      <c r="AX162" s="44" t="n"/>
    </row>
    <row r="163">
      <c r="A163" s="29" t="inlineStr">
        <is>
          <t>Bolt Sweden</t>
        </is>
      </c>
      <c r="B163" s="29" t="inlineStr">
        <is>
          <t>Sweden</t>
        </is>
      </c>
      <c r="C163" s="30" t="inlineStr">
        <is>
          <t>Stockholm (Klara Malarstrand) → Ekero (Tappstrom)</t>
        </is>
      </c>
      <c r="D163" s="31" t="n">
        <v>8.6</v>
      </c>
      <c r="E163" s="26" t="n">
        <v>18</v>
      </c>
      <c r="F163" s="32" t="inlineStr">
        <is>
          <t>T2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23673</v>
      </c>
      <c r="AH163" s="32" t="n"/>
      <c r="AI163" s="32" t="inlineStr">
        <is>
          <t>med</t>
        </is>
      </c>
      <c r="AJ163" s="39" t="n">
        <v>0.25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3" s="44" t="n"/>
    </row>
    <row r="164">
      <c r="A164" s="29" t="inlineStr">
        <is>
          <t>Bolt Sweden</t>
        </is>
      </c>
      <c r="B164" s="29" t="inlineStr">
        <is>
          <t>Sweden</t>
        </is>
      </c>
      <c r="C164" s="30" t="inlineStr">
        <is>
          <t>Stockholm → Saltsjobaden (Nacka)</t>
        </is>
      </c>
      <c r="D164" s="31" t="n">
        <v>9</v>
      </c>
      <c r="E164" s="26" t="n"/>
      <c r="F164" s="32" t="n"/>
      <c r="G164" s="32" t="n"/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/>
      <c r="AH164" s="32" t="n"/>
      <c r="AI164" s="32" t="n"/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n"/>
      <c r="AX164" s="44" t="n"/>
    </row>
    <row r="165">
      <c r="A165" s="29" t="inlineStr">
        <is>
          <t>Bolt Sweden</t>
        </is>
      </c>
      <c r="B165" s="29" t="inlineStr">
        <is>
          <t>Sweden</t>
        </is>
      </c>
      <c r="C165" s="30" t="inlineStr">
        <is>
          <t>Stockholm (Stromkajen) → Alstaket (Varmdo)</t>
        </is>
      </c>
      <c r="D165" s="31" t="n">
        <v>11</v>
      </c>
      <c r="E165" s="26" t="n">
        <v>18</v>
      </c>
      <c r="F165" s="32" t="inlineStr">
        <is>
          <t>T2</t>
        </is>
      </c>
      <c r="G165" s="32" t="inlineStr">
        <is>
          <t>med</t>
        </is>
      </c>
      <c r="H165" s="19" t="n">
        <v>1</v>
      </c>
      <c r="I165" s="33">
        <f>60*D165/cruise_kt</f>
        <v/>
      </c>
      <c r="J165" s="33">
        <f>I165+turn_min+dwell_min</f>
        <v/>
      </c>
      <c r="K165" s="34">
        <f>MIN(24,FLOOR(60*service_hr/J165,1))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>
        <v>13761</v>
      </c>
      <c r="AH165" s="32" t="n"/>
      <c r="AI165" s="32" t="inlineStr">
        <is>
          <t>med</t>
        </is>
      </c>
      <c r="AJ165" s="39" t="n">
        <v>0.25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inlineStr">
        <is>
          <t>[LB-255 PREMIUM RE-FARE: subsidized comparable $4.1 lifted to premium on-demand floor $18.0] SL single ticket SEK 43 (2025). SL mass-transit commuter boat; no premium tier. SEK 43 x 0.0952 = $4.1.</t>
        </is>
      </c>
      <c r="AX165" s="44" t="n"/>
    </row>
    <row r="166">
      <c r="A166" s="29" t="inlineStr">
        <is>
          <t>Bolt Sweden</t>
        </is>
      </c>
      <c r="B166" s="29" t="inlineStr">
        <is>
          <t>Sweden</t>
        </is>
      </c>
      <c r="C166" s="30" t="inlineStr">
        <is>
          <t>Stockholm City → Vaxholm</t>
        </is>
      </c>
      <c r="D166" s="31" t="n">
        <v>12</v>
      </c>
      <c r="E166" s="26" t="n">
        <v>18.1</v>
      </c>
      <c r="F166" s="32" t="inlineStr">
        <is>
          <t>T2</t>
        </is>
      </c>
      <c r="G166" s="32" t="inlineStr">
        <is>
          <t>med</t>
        </is>
      </c>
      <c r="H166" s="19" t="n">
        <v>1</v>
      </c>
      <c r="I166" s="33">
        <f>60*D166/cruise_kt</f>
        <v/>
      </c>
      <c r="J166" s="33">
        <f>I166+turn_min+dwell_min</f>
        <v/>
      </c>
      <c r="K166" s="34">
        <f>MIN(15,FLOOR(60*service_hr/J166,1))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>
        <v>365855</v>
      </c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inlineStr">
        <is>
          <t>PREMIUM tier: Stromma Cinderellabatarna one-way adult seat Strandvagen-&gt;Vaxholm from SEK 190 (2026 tariff). SEK 190 x 0.0952 = $18.1.</t>
        </is>
      </c>
      <c r="AX166" s="44" t="n"/>
    </row>
    <row r="167">
      <c r="A167" s="29" t="inlineStr">
        <is>
          <t>Bolt Sweden</t>
        </is>
      </c>
      <c r="B167" s="29" t="inlineStr">
        <is>
          <t>Sweden</t>
        </is>
      </c>
      <c r="C167" s="30" t="inlineStr">
        <is>
          <t>Stockholm (Strandvagen) → Grinda</t>
        </is>
      </c>
      <c r="D167" s="31" t="n">
        <v>19</v>
      </c>
      <c r="E167" s="26" t="n">
        <v>22.4</v>
      </c>
      <c r="F167" s="32" t="inlineStr">
        <is>
          <t>T2</t>
        </is>
      </c>
      <c r="G167" s="32" t="inlineStr">
        <is>
          <t>med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MIN(15,FLOOR(60*service_hr/J167,1))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/>
      <c r="AH167" s="32" t="n"/>
      <c r="AI167" s="32" t="n"/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PREMIUM tier: Stromma Cinderellabatarna one-way adult Strandvagen-&gt;Grinda from SEK 235 (2026 tariff). SEK 235 x 0.0952 = $22.4.</t>
        </is>
      </c>
      <c r="AX167" s="44" t="n"/>
    </row>
    <row r="168">
      <c r="A168" s="29" t="inlineStr">
        <is>
          <t>Bolt Sweden</t>
        </is>
      </c>
      <c r="B168" s="29" t="inlineStr">
        <is>
          <t>Sweden</t>
        </is>
      </c>
      <c r="C168" s="30" t="inlineStr">
        <is>
          <t>Stockholm (Strandvagen) → Gallno</t>
        </is>
      </c>
      <c r="D168" s="31" t="n">
        <v>21</v>
      </c>
      <c r="E168" s="26" t="n">
        <v>22.4</v>
      </c>
      <c r="F168" s="32" t="inlineStr">
        <is>
          <t>T2</t>
        </is>
      </c>
      <c r="G168" s="32" t="inlineStr">
        <is>
          <t>med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MIN(15,FLOOR(60*service_hr/J168,1))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/>
      <c r="AH168" s="32" t="n"/>
      <c r="AI168" s="32" t="n"/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PREMIUM tier: Stromma Cinderellabatarna one-way adult Strandvagen-&gt;Gallno from SEK 235 (2026 tariff). SEK 235 x 0.0952 = $22.4.</t>
        </is>
      </c>
      <c r="AX168" s="44" t="n"/>
    </row>
    <row r="169">
      <c r="A169" s="29" t="inlineStr">
        <is>
          <t>Bolt Sweden</t>
        </is>
      </c>
      <c r="B169" s="29" t="inlineStr">
        <is>
          <t>Sweden</t>
        </is>
      </c>
      <c r="C169" s="30" t="inlineStr">
        <is>
          <t>Stockholm (Strandvagen) → Sandhamn</t>
        </is>
      </c>
      <c r="D169" s="31" t="n">
        <v>26</v>
      </c>
      <c r="E169" s="26" t="n">
        <v>24.3</v>
      </c>
      <c r="F169" s="32" t="inlineStr">
        <is>
          <t>T2</t>
        </is>
      </c>
      <c r="G169" s="32" t="inlineStr">
        <is>
          <t>med</t>
        </is>
      </c>
      <c r="H169" s="19" t="n">
        <v>1</v>
      </c>
      <c r="I169" s="33">
        <f>60*D169/cruise_kt</f>
        <v/>
      </c>
      <c r="J169" s="33">
        <f>I169+turn_min+dwell_min</f>
        <v/>
      </c>
      <c r="K169" s="34">
        <f>MIN(15,FLOOR(60*service_hr/J169,1))</f>
        <v/>
      </c>
      <c r="L169" s="34">
        <f>ROUND(365*mech_uptime*H169,0)</f>
        <v/>
      </c>
      <c r="M169" s="35">
        <f>mech_uptime</f>
        <v/>
      </c>
      <c r="N169" s="35">
        <f>revleg_sel</f>
        <v/>
      </c>
      <c r="O169" s="34">
        <f>ROUND(K169*L169*revleg_sel,0)</f>
        <v/>
      </c>
      <c r="P169" s="36">
        <f>load_sel</f>
        <v/>
      </c>
      <c r="Q169" s="36">
        <f>pax_cap*P169</f>
        <v/>
      </c>
      <c r="R169" s="34">
        <f>Q169*O169</f>
        <v/>
      </c>
      <c r="S169" s="37">
        <f>E169*discount</f>
        <v/>
      </c>
      <c r="T169" s="38">
        <f>S169*R169</f>
        <v/>
      </c>
      <c r="U169" s="38">
        <f>(battery/range_nm)*D169*O169*VLOOKUP(B169,country_opex,3,FALSE)</f>
        <v/>
      </c>
      <c r="V169" s="38">
        <f>VLOOKUP(B169,country_opex,2,FALSE)*crew_factor</f>
        <v/>
      </c>
      <c r="W169" s="38">
        <f>VLOOKUP(B169,country_opex,5,FALSE)</f>
        <v/>
      </c>
      <c r="X169" s="38">
        <f>maint</f>
        <v/>
      </c>
      <c r="Y169" s="38">
        <f>VLOOKUP(B169,country_opex,7,FALSE)*ins_pct</f>
        <v/>
      </c>
      <c r="Z169" s="38">
        <f>charge_berth</f>
        <v/>
      </c>
      <c r="AA169" s="38">
        <f>U169+V169+W169+X169+Y169+Z169</f>
        <v/>
      </c>
      <c r="AB169" s="38">
        <f>VLOOKUP(B169,country_opex,7,FALSE)/dep_years</f>
        <v/>
      </c>
      <c r="AC169" s="38">
        <f>T169-AA169</f>
        <v/>
      </c>
      <c r="AD169" s="35">
        <f>IF(T169=0,"",AC169/T169)</f>
        <v/>
      </c>
      <c r="AE169" s="36">
        <f>IF(AC169&lt;=0,"",VLOOKUP(B169,country_opex,7,FALSE)/AC169)</f>
        <v/>
      </c>
      <c r="AF169" s="33">
        <f>((D169*O169/diesel_nmpg)*diesel_co2pg-(battery/range_nm)*D169*O169*VLOOKUP(B169,country_opex,4,FALSE))/1000</f>
        <v/>
      </c>
      <c r="AG169" s="31" t="n">
        <v>100000</v>
      </c>
      <c r="AH169" s="32" t="n"/>
      <c r="AI169" s="32" t="n"/>
      <c r="AJ169" s="39" t="n">
        <v>0.1</v>
      </c>
      <c r="AK169" s="34">
        <f>IF(AG169="","",AG169*AJ169)</f>
        <v/>
      </c>
      <c r="AL169" s="34">
        <f>IF(OR(AG169="",R169=0),"",MIN(IF(AS169="",9.9E+99,AS169),FLOOR(AK169/R169,1)))</f>
        <v/>
      </c>
      <c r="AM169" s="38">
        <f>IF(AL169="","",AL169*T169)</f>
        <v/>
      </c>
      <c r="AN169" s="36">
        <f>IF(OR(AG169="",R169=0),"",MIN(IF(AS169="",9.9E+99,AS169),AK169/R169))</f>
        <v/>
      </c>
      <c r="AO169" s="38">
        <f>IF(AN169="","",AN169*T169)</f>
        <v/>
      </c>
      <c r="AP169" s="40" t="n"/>
      <c r="AQ169" s="41" t="n"/>
      <c r="AR169" s="41" t="n"/>
      <c r="AS169" s="42" t="n"/>
      <c r="AT169" s="43">
        <f>IF(((S169*pax_cap*load_thin*ROUND(K169*L169*revleg_thin,0))-(((battery/range_nm)*D169*ROUND(K169*L169*revleg_thin,0)*VLOOKUP(B169,country_opex,3,FALSE))+V169+W169+X169+Y169+Z169))&lt;=0,"",VLOOKUP(B169,country_opex,7,FALSE)/((S169*pax_cap*load_thin*ROUND(K169*L169*revleg_thin,0))-(((battery/range_nm)*D169*ROUND(K169*L169*revleg_thin,0)*VLOOKUP(B169,country_opex,3,FALSE))+V169+W169+X169+Y169+Z169)))</f>
        <v/>
      </c>
      <c r="AU169" s="43">
        <f>IF(((S169*pax_cap*load_mid*ROUND(K169*L169*revleg_mid,0))-(((battery/range_nm)*D169*ROUND(K169*L169*revleg_mid,0)*VLOOKUP(B169,country_opex,3,FALSE))+V169+W169+X169+Y169+Z169))&lt;=0,"",VLOOKUP(B169,country_opex,7,FALSE)/((S169*pax_cap*load_mid*ROUND(K169*L169*revleg_mid,0))-(((battery/range_nm)*D169*ROUND(K169*L169*revleg_mid,0)*VLOOKUP(B169,country_opex,3,FALSE))+V169+W169+X169+Y169+Z169)))</f>
        <v/>
      </c>
      <c r="AV169" s="43">
        <f>IF(((S169*pax_cap*load_full*ROUND(K169*L169*revleg_full,0))-(((battery/range_nm)*D169*ROUND(K169*L169*revleg_full,0)*VLOOKUP(B169,country_opex,3,FALSE))+V169+W169+X169+Y169+Z169))&lt;=0,"",VLOOKUP(B169,country_opex,7,FALSE)/((S169*pax_cap*load_full*ROUND(K169*L169*revleg_full,0))-(((battery/range_nm)*D169*ROUND(K169*L169*revleg_full,0)*VLOOKUP(B169,country_opex,3,FALSE))+V169+W169+X169+Y169+Z169)))</f>
        <v/>
      </c>
      <c r="AW169" s="44" t="inlineStr">
        <is>
          <t>PREMIUM tier: Stromma Cinderellabatarna one-way adult Strandvagen-&gt;Sandhamn from SEK 255 (2026 tariff). SEK 255 x 0.0952 = $24.3.</t>
        </is>
      </c>
      <c r="AX169" s="44" t="n"/>
    </row>
    <row r="170">
      <c r="A170" s="29" t="inlineStr">
        <is>
          <t>Bolt Uae</t>
        </is>
      </c>
      <c r="B170" s="29" t="inlineStr">
        <is>
          <t>United Arab Emirates</t>
        </is>
      </c>
      <c r="C170" s="30" t="inlineStr">
        <is>
          <t>One&amp;Only The Palm Jetty → Jumeirah Zabeel Saray Jetty</t>
        </is>
      </c>
      <c r="D170" s="31" t="n">
        <v>0.5</v>
      </c>
      <c r="E170" s="26" t="n">
        <v>130</v>
      </c>
      <c r="F170" s="32" t="inlineStr">
        <is>
          <t>T5</t>
        </is>
      </c>
      <c r="G170" s="32" t="inlineStr">
        <is>
          <t>low</t>
        </is>
      </c>
      <c r="H170" s="19" t="n">
        <v>1</v>
      </c>
      <c r="I170" s="33">
        <f>60*D170/cruise_kt</f>
        <v/>
      </c>
      <c r="J170" s="33">
        <f>I170+turn_min+dwell_min</f>
        <v/>
      </c>
      <c r="K170" s="34">
        <f>MIN(15,FLOOR(60*service_hr/J170,1))</f>
        <v/>
      </c>
      <c r="L170" s="34">
        <f>ROUND(365*mech_uptime*H170,0)</f>
        <v/>
      </c>
      <c r="M170" s="35">
        <f>mech_uptime</f>
        <v/>
      </c>
      <c r="N170" s="35">
        <f>revleg_sel</f>
        <v/>
      </c>
      <c r="O170" s="34">
        <f>ROUND(K170*L170*revleg_sel,0)</f>
        <v/>
      </c>
      <c r="P170" s="36">
        <f>load_sel</f>
        <v/>
      </c>
      <c r="Q170" s="36">
        <f>pax_cap*P170</f>
        <v/>
      </c>
      <c r="R170" s="34">
        <f>Q170*O170</f>
        <v/>
      </c>
      <c r="S170" s="37">
        <f>E170*discount</f>
        <v/>
      </c>
      <c r="T170" s="38">
        <f>S170*R170</f>
        <v/>
      </c>
      <c r="U170" s="38">
        <f>(battery/range_nm)*D170*O170*VLOOKUP(B170,country_opex,3,FALSE)</f>
        <v/>
      </c>
      <c r="V170" s="38">
        <f>VLOOKUP(B170,country_opex,2,FALSE)*crew_factor</f>
        <v/>
      </c>
      <c r="W170" s="38">
        <f>VLOOKUP(B170,country_opex,5,FALSE)</f>
        <v/>
      </c>
      <c r="X170" s="38">
        <f>maint</f>
        <v/>
      </c>
      <c r="Y170" s="38">
        <f>VLOOKUP(B170,country_opex,7,FALSE)*ins_pct</f>
        <v/>
      </c>
      <c r="Z170" s="38">
        <f>charge_berth</f>
        <v/>
      </c>
      <c r="AA170" s="38">
        <f>U170+V170+W170+X170+Y170+Z170</f>
        <v/>
      </c>
      <c r="AB170" s="38">
        <f>VLOOKUP(B170,country_opex,7,FALSE)/dep_years</f>
        <v/>
      </c>
      <c r="AC170" s="38">
        <f>T170-AA170</f>
        <v/>
      </c>
      <c r="AD170" s="35">
        <f>IF(T170=0,"",AC170/T170)</f>
        <v/>
      </c>
      <c r="AE170" s="36">
        <f>IF(AC170&lt;=0,"",VLOOKUP(B170,country_opex,7,FALSE)/AC170)</f>
        <v/>
      </c>
      <c r="AF170" s="33">
        <f>((D170*O170/diesel_nmpg)*diesel_co2pg-(battery/range_nm)*D170*O170*VLOOKUP(B170,country_opex,4,FALSE))/1000</f>
        <v/>
      </c>
      <c r="AG170" s="31" t="n">
        <v>25000</v>
      </c>
      <c r="AH170" s="32" t="inlineStr">
        <is>
          <t>T3</t>
        </is>
      </c>
      <c r="AI170" s="32" t="inlineStr">
        <is>
          <t>low</t>
        </is>
      </c>
      <c r="AJ170" s="39" t="n">
        <v>0.1</v>
      </c>
      <c r="AK170" s="34">
        <f>IF(AG170="","",AG170*AJ170)</f>
        <v/>
      </c>
      <c r="AL170" s="34">
        <f>IF(OR(AG170="",R170=0),"",MIN(IF(AS170="",9.9E+99,AS170),FLOOR(AK170/R170,1)))</f>
        <v/>
      </c>
      <c r="AM170" s="38">
        <f>IF(AL170="","",AL170*T170)</f>
        <v/>
      </c>
      <c r="AN170" s="36">
        <f>IF(OR(AG170="",R170=0),"",MIN(IF(AS170="",9.9E+99,AS170),AK170/R170))</f>
        <v/>
      </c>
      <c r="AO170" s="38">
        <f>IF(AN170="","",AN170*T170)</f>
        <v/>
      </c>
      <c r="AP170" s="40" t="n"/>
      <c r="AQ170" s="41" t="n"/>
      <c r="AR170" s="41" t="n"/>
      <c r="AS170" s="42" t="n"/>
      <c r="AT170" s="43">
        <f>IF(((S170*pax_cap*load_thin*ROUND(K170*L170*revleg_thin,0))-(((battery/range_nm)*D170*ROUND(K170*L170*revleg_thin,0)*VLOOKUP(B170,country_opex,3,FALSE))+V170+W170+X170+Y170+Z170))&lt;=0,"",VLOOKUP(B170,country_opex,7,FALSE)/((S170*pax_cap*load_thin*ROUND(K170*L170*revleg_thin,0))-(((battery/range_nm)*D170*ROUND(K170*L170*revleg_thin,0)*VLOOKUP(B170,country_opex,3,FALSE))+V170+W170+X170+Y170+Z170)))</f>
        <v/>
      </c>
      <c r="AU170" s="43">
        <f>IF(((S170*pax_cap*load_mid*ROUND(K170*L170*revleg_mid,0))-(((battery/range_nm)*D170*ROUND(K170*L170*revleg_mid,0)*VLOOKUP(B170,country_opex,3,FALSE))+V170+W170+X170+Y170+Z170))&lt;=0,"",VLOOKUP(B170,country_opex,7,FALSE)/((S170*pax_cap*load_mid*ROUND(K170*L170*revleg_mid,0))-(((battery/range_nm)*D170*ROUND(K170*L170*revleg_mid,0)*VLOOKUP(B170,country_opex,3,FALSE))+V170+W170+X170+Y170+Z170)))</f>
        <v/>
      </c>
      <c r="AV170" s="43">
        <f>IF(((S170*pax_cap*load_full*ROUND(K170*L170*revleg_full,0))-(((battery/range_nm)*D170*ROUND(K170*L170*revleg_full,0)*VLOOKUP(B170,country_opex,3,FALSE))+V170+W170+X170+Y170+Z170))&lt;=0,"",VLOOKUP(B170,country_opex,7,FALSE)/((S170*pax_cap*load_full*ROUND(K170*L170*revleg_full,0))-(((battery/range_nm)*D170*ROUND(K170*L170*revleg_full,0)*VLOOKUP(B170,country_opex,3,FALSE))+V170+W170+X170+Y170+Z170)))</f>
        <v/>
      </c>
      <c r="AW170" s="44" t="inlineStr">
        <is>
          <t>Palm ultra-lux cluster (One&amp;Only&lt;-&gt;Zabeel Saray). Road-served. T5/low.</t>
        </is>
      </c>
      <c r="AX17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1">
      <c r="A171" s="29" t="inlineStr">
        <is>
          <t>Bolt Uae</t>
        </is>
      </c>
      <c r="B171" s="29" t="inlineStr">
        <is>
          <t>United Arab Emirates</t>
        </is>
      </c>
      <c r="C171" s="30" t="inlineStr">
        <is>
          <t>Dubai Harbour Marina → Bluewaters Marina</t>
        </is>
      </c>
      <c r="D171" s="31" t="n">
        <v>1.1</v>
      </c>
      <c r="E171" s="26" t="n">
        <v>45</v>
      </c>
      <c r="F171" s="32" t="inlineStr">
        <is>
          <t>T1</t>
        </is>
      </c>
      <c r="G171" s="32" t="inlineStr">
        <is>
          <t>high</t>
        </is>
      </c>
      <c r="H171" s="19" t="n">
        <v>1</v>
      </c>
      <c r="I171" s="33">
        <f>60*D171/cruise_kt</f>
        <v/>
      </c>
      <c r="J171" s="33">
        <f>I171+turn_min+dwell_min</f>
        <v/>
      </c>
      <c r="K171" s="34">
        <f>MIN(15,FLOOR(60*service_hr/J171,1))</f>
        <v/>
      </c>
      <c r="L171" s="34">
        <f>ROUND(365*mech_uptime*H171,0)</f>
        <v/>
      </c>
      <c r="M171" s="35">
        <f>mech_uptime</f>
        <v/>
      </c>
      <c r="N171" s="35">
        <f>revleg_sel</f>
        <v/>
      </c>
      <c r="O171" s="34">
        <f>ROUND(K171*L171*revleg_sel,0)</f>
        <v/>
      </c>
      <c r="P171" s="36">
        <f>load_sel</f>
        <v/>
      </c>
      <c r="Q171" s="36">
        <f>pax_cap*P171</f>
        <v/>
      </c>
      <c r="R171" s="34">
        <f>Q171*O171</f>
        <v/>
      </c>
      <c r="S171" s="37">
        <f>E171*discount</f>
        <v/>
      </c>
      <c r="T171" s="38">
        <f>S171*R171</f>
        <v/>
      </c>
      <c r="U171" s="38">
        <f>(battery/range_nm)*D171*O171*VLOOKUP(B171,country_opex,3,FALSE)</f>
        <v/>
      </c>
      <c r="V171" s="38">
        <f>VLOOKUP(B171,country_opex,2,FALSE)*crew_factor</f>
        <v/>
      </c>
      <c r="W171" s="38">
        <f>VLOOKUP(B171,country_opex,5,FALSE)</f>
        <v/>
      </c>
      <c r="X171" s="38">
        <f>maint</f>
        <v/>
      </c>
      <c r="Y171" s="38">
        <f>VLOOKUP(B171,country_opex,7,FALSE)*ins_pct</f>
        <v/>
      </c>
      <c r="Z171" s="38">
        <f>charge_berth</f>
        <v/>
      </c>
      <c r="AA171" s="38">
        <f>U171+V171+W171+X171+Y171+Z171</f>
        <v/>
      </c>
      <c r="AB171" s="38">
        <f>VLOOKUP(B171,country_opex,7,FALSE)/dep_years</f>
        <v/>
      </c>
      <c r="AC171" s="38">
        <f>T171-AA171</f>
        <v/>
      </c>
      <c r="AD171" s="35">
        <f>IF(T171=0,"",AC171/T171)</f>
        <v/>
      </c>
      <c r="AE171" s="36">
        <f>IF(AC171&lt;=0,"",VLOOKUP(B171,country_opex,7,FALSE)/AC171)</f>
        <v/>
      </c>
      <c r="AF171" s="33">
        <f>((D171*O171/diesel_nmpg)*diesel_co2pg-(battery/range_nm)*D171*O171*VLOOKUP(B171,country_opex,4,FALSE))/1000</f>
        <v/>
      </c>
      <c r="AG171" s="31" t="n">
        <v>200000</v>
      </c>
      <c r="AH171" s="32" t="inlineStr">
        <is>
          <t>T5</t>
        </is>
      </c>
      <c r="AI171" s="32" t="inlineStr">
        <is>
          <t>low</t>
        </is>
      </c>
      <c r="AJ171" s="39" t="n">
        <v>0.1</v>
      </c>
      <c r="AK171" s="34">
        <f>IF(AG171="","",AG171*AJ171)</f>
        <v/>
      </c>
      <c r="AL171" s="34">
        <f>IF(OR(AG171="",R171=0),"",MIN(IF(AS171="",9.9E+99,AS171),FLOOR(AK171/R171,1)))</f>
        <v/>
      </c>
      <c r="AM171" s="38">
        <f>IF(AL171="","",AL171*T171)</f>
        <v/>
      </c>
      <c r="AN171" s="36">
        <f>IF(OR(AG171="",R171=0),"",MIN(IF(AS171="",9.9E+99,AS171),AK171/R171))</f>
        <v/>
      </c>
      <c r="AO171" s="38">
        <f>IF(AN171="","",AN171*T171)</f>
        <v/>
      </c>
      <c r="AP171" s="40" t="n"/>
      <c r="AQ171" s="41" t="n"/>
      <c r="AR171" s="41" t="n"/>
      <c r="AS171" s="42" t="n"/>
      <c r="AT171" s="43">
        <f>IF(((S171*pax_cap*load_thin*ROUND(K171*L171*revleg_thin,0))-(((battery/range_nm)*D171*ROUND(K171*L171*revleg_thin,0)*VLOOKUP(B171,country_opex,3,FALSE))+V171+W171+X171+Y171+Z171))&lt;=0,"",VLOOKUP(B171,country_opex,7,FALSE)/((S171*pax_cap*load_thin*ROUND(K171*L171*revleg_thin,0))-(((battery/range_nm)*D171*ROUND(K171*L171*revleg_thin,0)*VLOOKUP(B171,country_opex,3,FALSE))+V171+W171+X171+Y171+Z171)))</f>
        <v/>
      </c>
      <c r="AU171" s="43">
        <f>IF(((S171*pax_cap*load_mid*ROUND(K171*L171*revleg_mid,0))-(((battery/range_nm)*D171*ROUND(K171*L171*revleg_mid,0)*VLOOKUP(B171,country_opex,3,FALSE))+V171+W171+X171+Y171+Z171))&lt;=0,"",VLOOKUP(B171,country_opex,7,FALSE)/((S171*pax_cap*load_mid*ROUND(K171*L171*revleg_mid,0))-(((battery/range_nm)*D171*ROUND(K171*L171*revleg_mid,0)*VLOOKUP(B171,country_opex,3,FALSE))+V171+W171+X171+Y171+Z171)))</f>
        <v/>
      </c>
      <c r="AV171" s="43">
        <f>IF(((S171*pax_cap*load_full*ROUND(K171*L171*revleg_full,0))-(((battery/range_nm)*D171*ROUND(K171*L171*revleg_full,0)*VLOOKUP(B171,country_opex,3,FALSE))+V171+W171+X171+Y171+Z171))&lt;=0,"",VLOOKUP(B171,country_opex,7,FALSE)/((S171*pax_cap*load_full*ROUND(K171*L171*revleg_full,0))-(((battery/range_nm)*D171*ROUND(K171*L171*revleg_full,0)*VLOOKUP(B171,country_opex,3,FALSE))+V171+W171+X171+Y171+Z171)))</f>
        <v/>
      </c>
      <c r="AW171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71" s="44" t="inlineStr">
        <is>
          <t>RTA marine = 18.4M riders 2025 (WAM, T1); bulk are ~1km Creek abras (R3-ABRA, different micro-corridor). Premium non-abra modes a small fraction.</t>
        </is>
      </c>
    </row>
    <row r="172">
      <c r="A172" s="29" t="inlineStr">
        <is>
          <t>Bolt Uae</t>
        </is>
      </c>
      <c r="B172" s="29" t="inlineStr">
        <is>
          <t>United Arab Emirates</t>
        </is>
      </c>
      <c r="C172" s="30" t="inlineStr">
        <is>
          <t>Kempinski Hotel &amp; Residences Palm Jumeirah Jetty → Atlantis The Palm Jetty</t>
        </is>
      </c>
      <c r="D172" s="31" t="n">
        <v>1.2</v>
      </c>
      <c r="E172" s="26" t="n">
        <v>130</v>
      </c>
      <c r="F172" s="32" t="inlineStr">
        <is>
          <t>T5</t>
        </is>
      </c>
      <c r="G172" s="32" t="inlineStr">
        <is>
          <t>low</t>
        </is>
      </c>
      <c r="H172" s="19" t="n">
        <v>1</v>
      </c>
      <c r="I172" s="33">
        <f>60*D172/cruise_kt</f>
        <v/>
      </c>
      <c r="J172" s="33">
        <f>I172+turn_min+dwell_min</f>
        <v/>
      </c>
      <c r="K172" s="34">
        <f>MIN(15,FLOOR(60*service_hr/J172,1))</f>
        <v/>
      </c>
      <c r="L172" s="34">
        <f>ROUND(365*mech_uptime*H172,0)</f>
        <v/>
      </c>
      <c r="M172" s="35">
        <f>mech_uptime</f>
        <v/>
      </c>
      <c r="N172" s="35">
        <f>revleg_sel</f>
        <v/>
      </c>
      <c r="O172" s="34">
        <f>ROUND(K172*L172*revleg_sel,0)</f>
        <v/>
      </c>
      <c r="P172" s="36">
        <f>load_sel</f>
        <v/>
      </c>
      <c r="Q172" s="36">
        <f>pax_cap*P172</f>
        <v/>
      </c>
      <c r="R172" s="34">
        <f>Q172*O172</f>
        <v/>
      </c>
      <c r="S172" s="37">
        <f>E172*discount</f>
        <v/>
      </c>
      <c r="T172" s="38">
        <f>S172*R172</f>
        <v/>
      </c>
      <c r="U172" s="38">
        <f>(battery/range_nm)*D172*O172*VLOOKUP(B172,country_opex,3,FALSE)</f>
        <v/>
      </c>
      <c r="V172" s="38">
        <f>VLOOKUP(B172,country_opex,2,FALSE)*crew_factor</f>
        <v/>
      </c>
      <c r="W172" s="38">
        <f>VLOOKUP(B172,country_opex,5,FALSE)</f>
        <v/>
      </c>
      <c r="X172" s="38">
        <f>maint</f>
        <v/>
      </c>
      <c r="Y172" s="38">
        <f>VLOOKUP(B172,country_opex,7,FALSE)*ins_pct</f>
        <v/>
      </c>
      <c r="Z172" s="38">
        <f>charge_berth</f>
        <v/>
      </c>
      <c r="AA172" s="38">
        <f>U172+V172+W172+X172+Y172+Z172</f>
        <v/>
      </c>
      <c r="AB172" s="38">
        <f>VLOOKUP(B172,country_opex,7,FALSE)/dep_years</f>
        <v/>
      </c>
      <c r="AC172" s="38">
        <f>T172-AA172</f>
        <v/>
      </c>
      <c r="AD172" s="35">
        <f>IF(T172=0,"",AC172/T172)</f>
        <v/>
      </c>
      <c r="AE172" s="36">
        <f>IF(AC172&lt;=0,"",VLOOKUP(B172,country_opex,7,FALSE)/AC172)</f>
        <v/>
      </c>
      <c r="AF172" s="33">
        <f>((D172*O172/diesel_nmpg)*diesel_co2pg-(battery/range_nm)*D172*O172*VLOOKUP(B172,country_opex,4,FALSE))/1000</f>
        <v/>
      </c>
      <c r="AG172" s="31" t="n">
        <v>30000</v>
      </c>
      <c r="AH172" s="32" t="inlineStr">
        <is>
          <t>T3</t>
        </is>
      </c>
      <c r="AI172" s="32" t="inlineStr">
        <is>
          <t>low</t>
        </is>
      </c>
      <c r="AJ172" s="39" t="n">
        <v>0.1</v>
      </c>
      <c r="AK172" s="34">
        <f>IF(AG172="","",AG172*AJ172)</f>
        <v/>
      </c>
      <c r="AL172" s="34">
        <f>IF(OR(AG172="",R172=0),"",MIN(IF(AS172="",9.9E+99,AS172),FLOOR(AK172/R172,1)))</f>
        <v/>
      </c>
      <c r="AM172" s="38">
        <f>IF(AL172="","",AL172*T172)</f>
        <v/>
      </c>
      <c r="AN172" s="36">
        <f>IF(OR(AG172="",R172=0),"",MIN(IF(AS172="",9.9E+99,AS172),AK172/R172))</f>
        <v/>
      </c>
      <c r="AO172" s="38">
        <f>IF(AN172="","",AN172*T172)</f>
        <v/>
      </c>
      <c r="AP172" s="40" t="n"/>
      <c r="AQ172" s="41" t="n"/>
      <c r="AR172" s="41" t="n"/>
      <c r="AS172" s="42" t="n"/>
      <c r="AT172" s="43">
        <f>IF(((S172*pax_cap*load_thin*ROUND(K172*L172*revleg_thin,0))-(((battery/range_nm)*D172*ROUND(K172*L172*revleg_thin,0)*VLOOKUP(B172,country_opex,3,FALSE))+V172+W172+X172+Y172+Z172))&lt;=0,"",VLOOKUP(B172,country_opex,7,FALSE)/((S172*pax_cap*load_thin*ROUND(K172*L172*revleg_thin,0))-(((battery/range_nm)*D172*ROUND(K172*L172*revleg_thin,0)*VLOOKUP(B172,country_opex,3,FALSE))+V172+W172+X172+Y172+Z172)))</f>
        <v/>
      </c>
      <c r="AU172" s="43">
        <f>IF(((S172*pax_cap*load_mid*ROUND(K172*L172*revleg_mid,0))-(((battery/range_nm)*D172*ROUND(K172*L172*revleg_mid,0)*VLOOKUP(B172,country_opex,3,FALSE))+V172+W172+X172+Y172+Z172))&lt;=0,"",VLOOKUP(B172,country_opex,7,FALSE)/((S172*pax_cap*load_mid*ROUND(K172*L172*revleg_mid,0))-(((battery/range_nm)*D172*ROUND(K172*L172*revleg_mid,0)*VLOOKUP(B172,country_opex,3,FALSE))+V172+W172+X172+Y172+Z172)))</f>
        <v/>
      </c>
      <c r="AV172" s="43">
        <f>IF(((S172*pax_cap*load_full*ROUND(K172*L172*revleg_full,0))-(((battery/range_nm)*D172*ROUND(K172*L172*revleg_full,0)*VLOOKUP(B172,country_opex,3,FALSE))+V172+W172+X172+Y172+Z172))&lt;=0,"",VLOOKUP(B172,country_opex,7,FALSE)/((S172*pax_cap*load_full*ROUND(K172*L172*revleg_full,0))-(((battery/range_nm)*D172*ROUND(K172*L172*revleg_full,0)*VLOOKUP(B172,country_opex,3,FALSE))+V172+W172+X172+Y172+Z172)))</f>
        <v/>
      </c>
      <c r="AW172" s="44" t="inlineStr">
        <is>
          <t>Palm resort cluster (Kempinski&lt;-&gt;Atlantis). Road-served. T5/low.</t>
        </is>
      </c>
      <c r="AX17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3">
      <c r="A173" s="29" t="inlineStr">
        <is>
          <t>Bolt Uae</t>
        </is>
      </c>
      <c r="B173" s="29" t="inlineStr">
        <is>
          <t>United Arab Emirates</t>
        </is>
      </c>
      <c r="C173" s="30" t="inlineStr">
        <is>
          <t>La Mer / J1 Beach Jetty → Nikki Beach Resort Pearl Jumeirah Jetty</t>
        </is>
      </c>
      <c r="D173" s="31" t="n">
        <v>1.2</v>
      </c>
      <c r="E173" s="26" t="n">
        <v>110</v>
      </c>
      <c r="F173" s="32" t="inlineStr">
        <is>
          <t>T5</t>
        </is>
      </c>
      <c r="G173" s="32" t="inlineStr">
        <is>
          <t>low</t>
        </is>
      </c>
      <c r="H173" s="19" t="n">
        <v>1</v>
      </c>
      <c r="I173" s="33">
        <f>60*D173/cruise_kt</f>
        <v/>
      </c>
      <c r="J173" s="33">
        <f>I173+turn_min+dwell_min</f>
        <v/>
      </c>
      <c r="K173" s="34">
        <f>MIN(15,FLOOR(60*service_hr/J173,1))</f>
        <v/>
      </c>
      <c r="L173" s="34">
        <f>ROUND(365*mech_uptime*H173,0)</f>
        <v/>
      </c>
      <c r="M173" s="35">
        <f>mech_uptime</f>
        <v/>
      </c>
      <c r="N173" s="35">
        <f>revleg_sel</f>
        <v/>
      </c>
      <c r="O173" s="34">
        <f>ROUND(K173*L173*revleg_sel,0)</f>
        <v/>
      </c>
      <c r="P173" s="36">
        <f>load_sel</f>
        <v/>
      </c>
      <c r="Q173" s="36">
        <f>pax_cap*P173</f>
        <v/>
      </c>
      <c r="R173" s="34">
        <f>Q173*O173</f>
        <v/>
      </c>
      <c r="S173" s="37">
        <f>E173*discount</f>
        <v/>
      </c>
      <c r="T173" s="38">
        <f>S173*R173</f>
        <v/>
      </c>
      <c r="U173" s="38">
        <f>(battery/range_nm)*D173*O173*VLOOKUP(B173,country_opex,3,FALSE)</f>
        <v/>
      </c>
      <c r="V173" s="38">
        <f>VLOOKUP(B173,country_opex,2,FALSE)*crew_factor</f>
        <v/>
      </c>
      <c r="W173" s="38">
        <f>VLOOKUP(B173,country_opex,5,FALSE)</f>
        <v/>
      </c>
      <c r="X173" s="38">
        <f>maint</f>
        <v/>
      </c>
      <c r="Y173" s="38">
        <f>VLOOKUP(B173,country_opex,7,FALSE)*ins_pct</f>
        <v/>
      </c>
      <c r="Z173" s="38">
        <f>charge_berth</f>
        <v/>
      </c>
      <c r="AA173" s="38">
        <f>U173+V173+W173+X173+Y173+Z173</f>
        <v/>
      </c>
      <c r="AB173" s="38">
        <f>VLOOKUP(B173,country_opex,7,FALSE)/dep_years</f>
        <v/>
      </c>
      <c r="AC173" s="38">
        <f>T173-AA173</f>
        <v/>
      </c>
      <c r="AD173" s="35">
        <f>IF(T173=0,"",AC173/T173)</f>
        <v/>
      </c>
      <c r="AE173" s="36">
        <f>IF(AC173&lt;=0,"",VLOOKUP(B173,country_opex,7,FALSE)/AC173)</f>
        <v/>
      </c>
      <c r="AF173" s="33">
        <f>((D173*O173/diesel_nmpg)*diesel_co2pg-(battery/range_nm)*D173*O173*VLOOKUP(B173,country_opex,4,FALSE))/1000</f>
        <v/>
      </c>
      <c r="AG173" s="31" t="n">
        <v>25000</v>
      </c>
      <c r="AH173" s="32" t="inlineStr">
        <is>
          <t>T3</t>
        </is>
      </c>
      <c r="AI173" s="32" t="inlineStr">
        <is>
          <t>low</t>
        </is>
      </c>
      <c r="AJ173" s="39" t="n">
        <v>0.1</v>
      </c>
      <c r="AK173" s="34">
        <f>IF(AG173="","",AG173*AJ173)</f>
        <v/>
      </c>
      <c r="AL173" s="34">
        <f>IF(OR(AG173="",R173=0),"",MIN(IF(AS173="",9.9E+99,AS173),FLOOR(AK173/R173,1)))</f>
        <v/>
      </c>
      <c r="AM173" s="38">
        <f>IF(AL173="","",AL173*T173)</f>
        <v/>
      </c>
      <c r="AN173" s="36">
        <f>IF(OR(AG173="",R173=0),"",MIN(IF(AS173="",9.9E+99,AS173),AK173/R173))</f>
        <v/>
      </c>
      <c r="AO173" s="38">
        <f>IF(AN173="","",AN173*T173)</f>
        <v/>
      </c>
      <c r="AP173" s="40" t="n"/>
      <c r="AQ173" s="41" t="n"/>
      <c r="AR173" s="41" t="n"/>
      <c r="AS173" s="42" t="n"/>
      <c r="AT173" s="43">
        <f>IF(((S173*pax_cap*load_thin*ROUND(K173*L173*revleg_thin,0))-(((battery/range_nm)*D173*ROUND(K173*L173*revleg_thin,0)*VLOOKUP(B173,country_opex,3,FALSE))+V173+W173+X173+Y173+Z173))&lt;=0,"",VLOOKUP(B173,country_opex,7,FALSE)/((S173*pax_cap*load_thin*ROUND(K173*L173*revleg_thin,0))-(((battery/range_nm)*D173*ROUND(K173*L173*revleg_thin,0)*VLOOKUP(B173,country_opex,3,FALSE))+V173+W173+X173+Y173+Z173)))</f>
        <v/>
      </c>
      <c r="AU173" s="43">
        <f>IF(((S173*pax_cap*load_mid*ROUND(K173*L173*revleg_mid,0))-(((battery/range_nm)*D173*ROUND(K173*L173*revleg_mid,0)*VLOOKUP(B173,country_opex,3,FALSE))+V173+W173+X173+Y173+Z173))&lt;=0,"",VLOOKUP(B173,country_opex,7,FALSE)/((S173*pax_cap*load_mid*ROUND(K173*L173*revleg_mid,0))-(((battery/range_nm)*D173*ROUND(K173*L173*revleg_mid,0)*VLOOKUP(B173,country_opex,3,FALSE))+V173+W173+X173+Y173+Z173)))</f>
        <v/>
      </c>
      <c r="AV173" s="43">
        <f>IF(((S173*pax_cap*load_full*ROUND(K173*L173*revleg_full,0))-(((battery/range_nm)*D173*ROUND(K173*L173*revleg_full,0)*VLOOKUP(B173,country_opex,3,FALSE))+V173+W173+X173+Y173+Z173))&lt;=0,"",VLOOKUP(B173,country_opex,7,FALSE)/((S173*pax_cap*load_full*ROUND(K173*L173*revleg_full,0))-(((battery/range_nm)*D173*ROUND(K173*L173*revleg_full,0)*VLOOKUP(B173,country_opex,3,FALSE))+V173+W173+X173+Y173+Z173)))</f>
        <v/>
      </c>
      <c r="AW173" s="44" t="inlineStr">
        <is>
          <t>Urban Dubai beach-club leisure hop. Road-served. T5/low.</t>
        </is>
      </c>
      <c r="AX17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4">
      <c r="A174" s="29" t="inlineStr">
        <is>
          <t>Bolt Uae</t>
        </is>
      </c>
      <c r="B174" s="29" t="inlineStr">
        <is>
          <t>United Arab Emirates</t>
        </is>
      </c>
      <c r="C174" s="30" t="inlineStr">
        <is>
          <t>Palm Jumeirah Marina West → Atlantis The Palm Jetty</t>
        </is>
      </c>
      <c r="D174" s="31" t="n">
        <v>1.3</v>
      </c>
      <c r="E174" s="26" t="n">
        <v>150</v>
      </c>
      <c r="F174" s="32" t="inlineStr">
        <is>
          <t>T5</t>
        </is>
      </c>
      <c r="G174" s="32" t="inlineStr">
        <is>
          <t>low</t>
        </is>
      </c>
      <c r="H174" s="19" t="n">
        <v>1</v>
      </c>
      <c r="I174" s="33">
        <f>60*D174/cruise_kt</f>
        <v/>
      </c>
      <c r="J174" s="33">
        <f>I174+turn_min+dwell_min</f>
        <v/>
      </c>
      <c r="K174" s="34">
        <f>MIN(15,FLOOR(60*service_hr/J174,1))</f>
        <v/>
      </c>
      <c r="L174" s="34">
        <f>ROUND(365*mech_uptime*H174,0)</f>
        <v/>
      </c>
      <c r="M174" s="35">
        <f>mech_uptime</f>
        <v/>
      </c>
      <c r="N174" s="35">
        <f>revleg_sel</f>
        <v/>
      </c>
      <c r="O174" s="34">
        <f>ROUND(K174*L174*revleg_sel,0)</f>
        <v/>
      </c>
      <c r="P174" s="36">
        <f>load_sel</f>
        <v/>
      </c>
      <c r="Q174" s="36">
        <f>pax_cap*P174</f>
        <v/>
      </c>
      <c r="R174" s="34">
        <f>Q174*O174</f>
        <v/>
      </c>
      <c r="S174" s="37">
        <f>E174*discount</f>
        <v/>
      </c>
      <c r="T174" s="38">
        <f>S174*R174</f>
        <v/>
      </c>
      <c r="U174" s="38">
        <f>(battery/range_nm)*D174*O174*VLOOKUP(B174,country_opex,3,FALSE)</f>
        <v/>
      </c>
      <c r="V174" s="38">
        <f>VLOOKUP(B174,country_opex,2,FALSE)*crew_factor</f>
        <v/>
      </c>
      <c r="W174" s="38">
        <f>VLOOKUP(B174,country_opex,5,FALSE)</f>
        <v/>
      </c>
      <c r="X174" s="38">
        <f>maint</f>
        <v/>
      </c>
      <c r="Y174" s="38">
        <f>VLOOKUP(B174,country_opex,7,FALSE)*ins_pct</f>
        <v/>
      </c>
      <c r="Z174" s="38">
        <f>charge_berth</f>
        <v/>
      </c>
      <c r="AA174" s="38">
        <f>U174+V174+W174+X174+Y174+Z174</f>
        <v/>
      </c>
      <c r="AB174" s="38">
        <f>VLOOKUP(B174,country_opex,7,FALSE)/dep_years</f>
        <v/>
      </c>
      <c r="AC174" s="38">
        <f>T174-AA174</f>
        <v/>
      </c>
      <c r="AD174" s="35">
        <f>IF(T174=0,"",AC174/T174)</f>
        <v/>
      </c>
      <c r="AE174" s="36">
        <f>IF(AC174&lt;=0,"",VLOOKUP(B174,country_opex,7,FALSE)/AC174)</f>
        <v/>
      </c>
      <c r="AF174" s="33">
        <f>((D174*O174/diesel_nmpg)*diesel_co2pg-(battery/range_nm)*D174*O174*VLOOKUP(B174,country_opex,4,FALSE))/1000</f>
        <v/>
      </c>
      <c r="AG174" s="31" t="n">
        <v>120000</v>
      </c>
      <c r="AH174" s="32" t="inlineStr">
        <is>
          <t>T2</t>
        </is>
      </c>
      <c r="AI174" s="32" t="inlineStr">
        <is>
          <t>medium</t>
        </is>
      </c>
      <c r="AJ174" s="39" t="n">
        <v>0.1</v>
      </c>
      <c r="AK174" s="34">
        <f>IF(AG174="","",AG174*AJ174)</f>
        <v/>
      </c>
      <c r="AL174" s="34">
        <f>IF(OR(AG174="",R174=0),"",MIN(IF(AS174="",9.9E+99,AS174),FLOOR(AK174/R174,1)))</f>
        <v/>
      </c>
      <c r="AM174" s="38">
        <f>IF(AL174="","",AL174*T174)</f>
        <v/>
      </c>
      <c r="AN174" s="36">
        <f>IF(OR(AG174="",R174=0),"",MIN(IF(AS174="",9.9E+99,AS174),AK174/R174))</f>
        <v/>
      </c>
      <c r="AO174" s="38">
        <f>IF(AN174="","",AN174*T174)</f>
        <v/>
      </c>
      <c r="AP174" s="40" t="n"/>
      <c r="AQ174" s="41" t="n"/>
      <c r="AR174" s="41" t="n"/>
      <c r="AS174" s="42" t="n"/>
      <c r="AT174" s="43">
        <f>IF(((S174*pax_cap*load_thin*ROUND(K174*L174*revleg_thin,0))-(((battery/range_nm)*D174*ROUND(K174*L174*revleg_thin,0)*VLOOKUP(B174,country_opex,3,FALSE))+V174+W174+X174+Y174+Z174))&lt;=0,"",VLOOKUP(B174,country_opex,7,FALSE)/((S174*pax_cap*load_thin*ROUND(K174*L174*revleg_thin,0))-(((battery/range_nm)*D174*ROUND(K174*L174*revleg_thin,0)*VLOOKUP(B174,country_opex,3,FALSE))+V174+W174+X174+Y174+Z174)))</f>
        <v/>
      </c>
      <c r="AU174" s="43">
        <f>IF(((S174*pax_cap*load_mid*ROUND(K174*L174*revleg_mid,0))-(((battery/range_nm)*D174*ROUND(K174*L174*revleg_mid,0)*VLOOKUP(B174,country_opex,3,FALSE))+V174+W174+X174+Y174+Z174))&lt;=0,"",VLOOKUP(B174,country_opex,7,FALSE)/((S174*pax_cap*load_mid*ROUND(K174*L174*revleg_mid,0))-(((battery/range_nm)*D174*ROUND(K174*L174*revleg_mid,0)*VLOOKUP(B174,country_opex,3,FALSE))+V174+W174+X174+Y174+Z174)))</f>
        <v/>
      </c>
      <c r="AV174" s="43">
        <f>IF(((S174*pax_cap*load_full*ROUND(K174*L174*revleg_full,0))-(((battery/range_nm)*D174*ROUND(K174*L174*revleg_full,0)*VLOOKUP(B174,country_opex,3,FALSE))+V174+W174+X174+Y174+Z174))&lt;=0,"",VLOOKUP(B174,country_opex,7,FALSE)/((S174*pax_cap*load_full*ROUND(K174*L174*revleg_full,0))-(((battery/range_nm)*D174*ROUND(K174*L174*revleg_full,0)*VLOOKUP(B174,country_opex,3,FALSE))+V174+W174+X174+Y174+Z174)))</f>
        <v/>
      </c>
      <c r="AW174" s="44" t="inlineStr">
        <is>
          <t>Atlantis The Palm (1,544 rooms) road-served; premium marine arrival opportunity-to-create. T5/low.</t>
        </is>
      </c>
      <c r="AX17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75">
      <c r="A175" s="29" t="inlineStr">
        <is>
          <t>Bolt Uae</t>
        </is>
      </c>
      <c r="B175" s="29" t="inlineStr">
        <is>
          <t>United Arab Emirates</t>
        </is>
      </c>
      <c r="C175" s="30" t="inlineStr">
        <is>
          <t>Dubai Creek Marina → Al Seef Marine Transport Station</t>
        </is>
      </c>
      <c r="D175" s="31" t="n">
        <v>1.5</v>
      </c>
      <c r="E175" s="26" t="n">
        <v>41</v>
      </c>
      <c r="F175" s="32" t="inlineStr">
        <is>
          <t>T1</t>
        </is>
      </c>
      <c r="G175" s="32" t="inlineStr">
        <is>
          <t>high</t>
        </is>
      </c>
      <c r="H175" s="19" t="n">
        <v>1</v>
      </c>
      <c r="I175" s="33">
        <f>60*D175/cruise_kt</f>
        <v/>
      </c>
      <c r="J175" s="33">
        <f>I175+turn_min+dwell_min</f>
        <v/>
      </c>
      <c r="K175" s="34">
        <f>MIN(15,FLOOR(60*service_hr/J175,1))</f>
        <v/>
      </c>
      <c r="L175" s="34">
        <f>ROUND(365*mech_uptime*H175,0)</f>
        <v/>
      </c>
      <c r="M175" s="35">
        <f>mech_uptime</f>
        <v/>
      </c>
      <c r="N175" s="35">
        <f>revleg_sel</f>
        <v/>
      </c>
      <c r="O175" s="34">
        <f>ROUND(K175*L175*revleg_sel,0)</f>
        <v/>
      </c>
      <c r="P175" s="36">
        <f>load_sel</f>
        <v/>
      </c>
      <c r="Q175" s="36">
        <f>pax_cap*P175</f>
        <v/>
      </c>
      <c r="R175" s="34">
        <f>Q175*O175</f>
        <v/>
      </c>
      <c r="S175" s="37">
        <f>E175*discount</f>
        <v/>
      </c>
      <c r="T175" s="38">
        <f>S175*R175</f>
        <v/>
      </c>
      <c r="U175" s="38">
        <f>(battery/range_nm)*D175*O175*VLOOKUP(B175,country_opex,3,FALSE)</f>
        <v/>
      </c>
      <c r="V175" s="38">
        <f>VLOOKUP(B175,country_opex,2,FALSE)*crew_factor</f>
        <v/>
      </c>
      <c r="W175" s="38">
        <f>VLOOKUP(B175,country_opex,5,FALSE)</f>
        <v/>
      </c>
      <c r="X175" s="38">
        <f>maint</f>
        <v/>
      </c>
      <c r="Y175" s="38">
        <f>VLOOKUP(B175,country_opex,7,FALSE)*ins_pct</f>
        <v/>
      </c>
      <c r="Z175" s="38">
        <f>charge_berth</f>
        <v/>
      </c>
      <c r="AA175" s="38">
        <f>U175+V175+W175+X175+Y175+Z175</f>
        <v/>
      </c>
      <c r="AB175" s="38">
        <f>VLOOKUP(B175,country_opex,7,FALSE)/dep_years</f>
        <v/>
      </c>
      <c r="AC175" s="38">
        <f>T175-AA175</f>
        <v/>
      </c>
      <c r="AD175" s="35">
        <f>IF(T175=0,"",AC175/T175)</f>
        <v/>
      </c>
      <c r="AE175" s="36">
        <f>IF(AC175&lt;=0,"",VLOOKUP(B175,country_opex,7,FALSE)/AC175)</f>
        <v/>
      </c>
      <c r="AF175" s="33">
        <f>((D175*O175/diesel_nmpg)*diesel_co2pg-(battery/range_nm)*D175*O175*VLOOKUP(B175,country_opex,4,FALSE))/1000</f>
        <v/>
      </c>
      <c r="AG175" s="31" t="n">
        <v>120000</v>
      </c>
      <c r="AH175" s="32" t="inlineStr">
        <is>
          <t>T5</t>
        </is>
      </c>
      <c r="AI175" s="32" t="inlineStr">
        <is>
          <t>low</t>
        </is>
      </c>
      <c r="AJ175" s="39" t="n">
        <v>0.1</v>
      </c>
      <c r="AK175" s="34">
        <f>IF(AG175="","",AG175*AJ175)</f>
        <v/>
      </c>
      <c r="AL175" s="34">
        <f>IF(OR(AG175="",R175=0),"",MIN(IF(AS175="",9.9E+99,AS175),FLOOR(AK175/R175,1)))</f>
        <v/>
      </c>
      <c r="AM175" s="38">
        <f>IF(AL175="","",AL175*T175)</f>
        <v/>
      </c>
      <c r="AN175" s="36">
        <f>IF(OR(AG175="",R175=0),"",MIN(IF(AS175="",9.9E+99,AS175),AK175/R175))</f>
        <v/>
      </c>
      <c r="AO175" s="38">
        <f>IF(AN175="","",AN175*T175)</f>
        <v/>
      </c>
      <c r="AP175" s="40" t="n"/>
      <c r="AQ175" s="41" t="n"/>
      <c r="AR175" s="41" t="n"/>
      <c r="AS175" s="42" t="n"/>
      <c r="AT175" s="43">
        <f>IF(((S175*pax_cap*load_thin*ROUND(K175*L175*revleg_thin,0))-(((battery/range_nm)*D175*ROUND(K175*L175*revleg_thin,0)*VLOOKUP(B175,country_opex,3,FALSE))+V175+W175+X175+Y175+Z175))&lt;=0,"",VLOOKUP(B175,country_opex,7,FALSE)/((S175*pax_cap*load_thin*ROUND(K175*L175*revleg_thin,0))-(((battery/range_nm)*D175*ROUND(K175*L175*revleg_thin,0)*VLOOKUP(B175,country_opex,3,FALSE))+V175+W175+X175+Y175+Z175)))</f>
        <v/>
      </c>
      <c r="AU175" s="43">
        <f>IF(((S175*pax_cap*load_mid*ROUND(K175*L175*revleg_mid,0))-(((battery/range_nm)*D175*ROUND(K175*L175*revleg_mid,0)*VLOOKUP(B175,country_opex,3,FALSE))+V175+W175+X175+Y175+Z175))&lt;=0,"",VLOOKUP(B175,country_opex,7,FALSE)/((S175*pax_cap*load_mid*ROUND(K175*L175*revleg_mid,0))-(((battery/range_nm)*D175*ROUND(K175*L175*revleg_mid,0)*VLOOKUP(B175,country_opex,3,FALSE))+V175+W175+X175+Y175+Z175)))</f>
        <v/>
      </c>
      <c r="AV175" s="43">
        <f>IF(((S175*pax_cap*load_full*ROUND(K175*L175*revleg_full,0))-(((battery/range_nm)*D175*ROUND(K175*L175*revleg_full,0)*VLOOKUP(B175,country_opex,3,FALSE))+V175+W175+X175+Y175+Z175))&lt;=0,"",VLOOKUP(B175,country_opex,7,FALSE)/((S175*pax_cap*load_full*ROUND(K175*L175*revleg_full,0))-(((battery/range_nm)*D175*ROUND(K175*L175*revleg_full,0)*VLOOKUP(B175,country_opex,3,FALSE))+V175+W175+X175+Y175+Z175)))</f>
        <v/>
      </c>
      <c r="AW175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75" s="44" t="inlineStr">
        <is>
          <t>18.4M RTA marine is ~all sub-1km abras (R3-ABRA); premium water-taxi/ferry tier is a small fraction.</t>
        </is>
      </c>
    </row>
    <row r="176">
      <c r="A176" s="29" t="inlineStr">
        <is>
          <t>Bolt Uae</t>
        </is>
      </c>
      <c r="B176" s="29" t="inlineStr">
        <is>
          <t>United Arab Emirates</t>
        </is>
      </c>
      <c r="C176" s="30" t="inlineStr">
        <is>
          <t>Yacht Marina → The Westin Dubai Mina Seyahi Beach Resort &amp; Marina</t>
        </is>
      </c>
      <c r="D176" s="31" t="n">
        <v>1.5</v>
      </c>
      <c r="E176" s="26" t="n">
        <v>95</v>
      </c>
      <c r="F176" s="32" t="inlineStr">
        <is>
          <t>T4</t>
        </is>
      </c>
      <c r="G176" s="32" t="inlineStr">
        <is>
          <t>low</t>
        </is>
      </c>
      <c r="H176" s="19" t="n">
        <v>1</v>
      </c>
      <c r="I176" s="33">
        <f>60*D176/cruise_kt</f>
        <v/>
      </c>
      <c r="J176" s="33">
        <f>I176+turn_min+dwell_min</f>
        <v/>
      </c>
      <c r="K176" s="34">
        <f>MIN(15,FLOOR(60*service_hr/J176,1))</f>
        <v/>
      </c>
      <c r="L176" s="34">
        <f>ROUND(365*mech_uptime*H176,0)</f>
        <v/>
      </c>
      <c r="M176" s="35">
        <f>mech_uptime</f>
        <v/>
      </c>
      <c r="N176" s="35">
        <f>revleg_sel</f>
        <v/>
      </c>
      <c r="O176" s="34">
        <f>ROUND(K176*L176*revleg_sel,0)</f>
        <v/>
      </c>
      <c r="P176" s="36">
        <f>load_sel</f>
        <v/>
      </c>
      <c r="Q176" s="36">
        <f>pax_cap*P176</f>
        <v/>
      </c>
      <c r="R176" s="34">
        <f>Q176*O176</f>
        <v/>
      </c>
      <c r="S176" s="37">
        <f>E176*discount</f>
        <v/>
      </c>
      <c r="T176" s="38">
        <f>S176*R176</f>
        <v/>
      </c>
      <c r="U176" s="38">
        <f>(battery/range_nm)*D176*O176*VLOOKUP(B176,country_opex,3,FALSE)</f>
        <v/>
      </c>
      <c r="V176" s="38">
        <f>VLOOKUP(B176,country_opex,2,FALSE)*crew_factor</f>
        <v/>
      </c>
      <c r="W176" s="38">
        <f>VLOOKUP(B176,country_opex,5,FALSE)</f>
        <v/>
      </c>
      <c r="X176" s="38">
        <f>maint</f>
        <v/>
      </c>
      <c r="Y176" s="38">
        <f>VLOOKUP(B176,country_opex,7,FALSE)*ins_pct</f>
        <v/>
      </c>
      <c r="Z176" s="38">
        <f>charge_berth</f>
        <v/>
      </c>
      <c r="AA176" s="38">
        <f>U176+V176+W176+X176+Y176+Z176</f>
        <v/>
      </c>
      <c r="AB176" s="38">
        <f>VLOOKUP(B176,country_opex,7,FALSE)/dep_years</f>
        <v/>
      </c>
      <c r="AC176" s="38">
        <f>T176-AA176</f>
        <v/>
      </c>
      <c r="AD176" s="35">
        <f>IF(T176=0,"",AC176/T176)</f>
        <v/>
      </c>
      <c r="AE176" s="36">
        <f>IF(AC176&lt;=0,"",VLOOKUP(B176,country_opex,7,FALSE)/AC176)</f>
        <v/>
      </c>
      <c r="AF176" s="33">
        <f>((D176*O176/diesel_nmpg)*diesel_co2pg-(battery/range_nm)*D176*O176*VLOOKUP(B176,country_opex,4,FALSE))/1000</f>
        <v/>
      </c>
      <c r="AG176" s="31" t="n">
        <v>25000</v>
      </c>
      <c r="AH176" s="32" t="inlineStr">
        <is>
          <t>T3</t>
        </is>
      </c>
      <c r="AI176" s="32" t="inlineStr">
        <is>
          <t>low</t>
        </is>
      </c>
      <c r="AJ176" s="39" t="n">
        <v>0.1</v>
      </c>
      <c r="AK176" s="34">
        <f>IF(AG176="","",AG176*AJ176)</f>
        <v/>
      </c>
      <c r="AL176" s="34">
        <f>IF(OR(AG176="",R176=0),"",MIN(IF(AS176="",9.9E+99,AS176),FLOOR(AK176/R176,1)))</f>
        <v/>
      </c>
      <c r="AM176" s="38">
        <f>IF(AL176="","",AL176*T176)</f>
        <v/>
      </c>
      <c r="AN176" s="36">
        <f>IF(OR(AG176="",R176=0),"",MIN(IF(AS176="",9.9E+99,AS176),AK176/R176))</f>
        <v/>
      </c>
      <c r="AO176" s="38">
        <f>IF(AN176="","",AN176*T176)</f>
        <v/>
      </c>
      <c r="AP176" s="40" t="n"/>
      <c r="AQ176" s="41" t="n"/>
      <c r="AR176" s="41" t="n"/>
      <c r="AS176" s="42" t="n"/>
      <c r="AT176" s="43">
        <f>IF(((S176*pax_cap*load_thin*ROUND(K176*L176*revleg_thin,0))-(((battery/range_nm)*D176*ROUND(K176*L176*revleg_thin,0)*VLOOKUP(B176,country_opex,3,FALSE))+V176+W176+X176+Y176+Z176))&lt;=0,"",VLOOKUP(B176,country_opex,7,FALSE)/((S176*pax_cap*load_thin*ROUND(K176*L176*revleg_thin,0))-(((battery/range_nm)*D176*ROUND(K176*L176*revleg_thin,0)*VLOOKUP(B176,country_opex,3,FALSE))+V176+W176+X176+Y176+Z176)))</f>
        <v/>
      </c>
      <c r="AU176" s="43">
        <f>IF(((S176*pax_cap*load_mid*ROUND(K176*L176*revleg_mid,0))-(((battery/range_nm)*D176*ROUND(K176*L176*revleg_mid,0)*VLOOKUP(B176,country_opex,3,FALSE))+V176+W176+X176+Y176+Z176))&lt;=0,"",VLOOKUP(B176,country_opex,7,FALSE)/((S176*pax_cap*load_mid*ROUND(K176*L176*revleg_mid,0))-(((battery/range_nm)*D176*ROUND(K176*L176*revleg_mid,0)*VLOOKUP(B176,country_opex,3,FALSE))+V176+W176+X176+Y176+Z176)))</f>
        <v/>
      </c>
      <c r="AV176" s="43">
        <f>IF(((S176*pax_cap*load_full*ROUND(K176*L176*revleg_full,0))-(((battery/range_nm)*D176*ROUND(K176*L176*revleg_full,0)*VLOOKUP(B176,country_opex,3,FALSE))+V176+W176+X176+Y176+Z176))&lt;=0,"",VLOOKUP(B176,country_opex,7,FALSE)/((S176*pax_cap*load_full*ROUND(K176*L176*revleg_full,0))-(((battery/range_nm)*D176*ROUND(K176*L176*revleg_full,0)*VLOOKUP(B176,country_opex,3,FALSE))+V176+W176+X176+Y176+Z176)))</f>
        <v/>
      </c>
      <c r="AW176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7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7">
      <c r="A177" s="29" t="inlineStr">
        <is>
          <t>Bolt Uae</t>
        </is>
      </c>
      <c r="B177" s="29" t="inlineStr">
        <is>
          <t>United Arab Emirates</t>
        </is>
      </c>
      <c r="C177" s="30" t="inlineStr">
        <is>
          <t>Marina Mall / Breakwater Marina → Lulu Island Jetty</t>
        </is>
      </c>
      <c r="D177" s="31" t="n">
        <v>1.7</v>
      </c>
      <c r="E177" s="26" t="n">
        <v>45</v>
      </c>
      <c r="F177" s="32" t="inlineStr">
        <is>
          <t>T4</t>
        </is>
      </c>
      <c r="G177" s="32" t="inlineStr">
        <is>
          <t>low</t>
        </is>
      </c>
      <c r="H177" s="19" t="n">
        <v>1</v>
      </c>
      <c r="I177" s="33">
        <f>60*D177/cruise_kt</f>
        <v/>
      </c>
      <c r="J177" s="33">
        <f>I177+turn_min+dwell_min</f>
        <v/>
      </c>
      <c r="K177" s="34">
        <f>MIN(15,FLOOR(60*service_hr/J177,1))</f>
        <v/>
      </c>
      <c r="L177" s="34">
        <f>ROUND(365*mech_uptime*H177,0)</f>
        <v/>
      </c>
      <c r="M177" s="35">
        <f>mech_uptime</f>
        <v/>
      </c>
      <c r="N177" s="35">
        <f>revleg_sel</f>
        <v/>
      </c>
      <c r="O177" s="34">
        <f>ROUND(K177*L177*revleg_sel,0)</f>
        <v/>
      </c>
      <c r="P177" s="36">
        <f>load_sel</f>
        <v/>
      </c>
      <c r="Q177" s="36">
        <f>pax_cap*P177</f>
        <v/>
      </c>
      <c r="R177" s="34">
        <f>Q177*O177</f>
        <v/>
      </c>
      <c r="S177" s="37">
        <f>E177*discount</f>
        <v/>
      </c>
      <c r="T177" s="38">
        <f>S177*R177</f>
        <v/>
      </c>
      <c r="U177" s="38">
        <f>(battery/range_nm)*D177*O177*VLOOKUP(B177,country_opex,3,FALSE)</f>
        <v/>
      </c>
      <c r="V177" s="38">
        <f>VLOOKUP(B177,country_opex,2,FALSE)*crew_factor</f>
        <v/>
      </c>
      <c r="W177" s="38">
        <f>VLOOKUP(B177,country_opex,5,FALSE)</f>
        <v/>
      </c>
      <c r="X177" s="38">
        <f>maint</f>
        <v/>
      </c>
      <c r="Y177" s="38">
        <f>VLOOKUP(B177,country_opex,7,FALSE)*ins_pct</f>
        <v/>
      </c>
      <c r="Z177" s="38">
        <f>charge_berth</f>
        <v/>
      </c>
      <c r="AA177" s="38">
        <f>U177+V177+W177+X177+Y177+Z177</f>
        <v/>
      </c>
      <c r="AB177" s="38">
        <f>VLOOKUP(B177,country_opex,7,FALSE)/dep_years</f>
        <v/>
      </c>
      <c r="AC177" s="38">
        <f>T177-AA177</f>
        <v/>
      </c>
      <c r="AD177" s="35">
        <f>IF(T177=0,"",AC177/T177)</f>
        <v/>
      </c>
      <c r="AE177" s="36">
        <f>IF(AC177&lt;=0,"",VLOOKUP(B177,country_opex,7,FALSE)/AC177)</f>
        <v/>
      </c>
      <c r="AF177" s="33">
        <f>((D177*O177/diesel_nmpg)*diesel_co2pg-(battery/range_nm)*D177*O177*VLOOKUP(B177,country_opex,4,FALSE))/1000</f>
        <v/>
      </c>
      <c r="AG177" s="31" t="n">
        <v>20000</v>
      </c>
      <c r="AH177" s="32" t="inlineStr">
        <is>
          <t>T5</t>
        </is>
      </c>
      <c r="AI177" s="32" t="inlineStr">
        <is>
          <t>low</t>
        </is>
      </c>
      <c r="AJ177" s="39" t="n">
        <v>0.1</v>
      </c>
      <c r="AK177" s="34">
        <f>IF(AG177="","",AG177*AJ177)</f>
        <v/>
      </c>
      <c r="AL177" s="34">
        <f>IF(OR(AG177="",R177=0),"",MIN(IF(AS177="",9.9E+99,AS177),FLOOR(AK177/R177,1)))</f>
        <v/>
      </c>
      <c r="AM177" s="38">
        <f>IF(AL177="","",AL177*T177)</f>
        <v/>
      </c>
      <c r="AN177" s="36">
        <f>IF(OR(AG177="",R177=0),"",MIN(IF(AS177="",9.9E+99,AS177),AK177/R177))</f>
        <v/>
      </c>
      <c r="AO177" s="38">
        <f>IF(AN177="","",AN177*T177)</f>
        <v/>
      </c>
      <c r="AP177" s="40" t="n"/>
      <c r="AQ177" s="41" t="n"/>
      <c r="AR177" s="41" t="n"/>
      <c r="AS177" s="42" t="n"/>
      <c r="AT177" s="43">
        <f>IF(((S177*pax_cap*load_thin*ROUND(K177*L177*revleg_thin,0))-(((battery/range_nm)*D177*ROUND(K177*L177*revleg_thin,0)*VLOOKUP(B177,country_opex,3,FALSE))+V177+W177+X177+Y177+Z177))&lt;=0,"",VLOOKUP(B177,country_opex,7,FALSE)/((S177*pax_cap*load_thin*ROUND(K177*L177*revleg_thin,0))-(((battery/range_nm)*D177*ROUND(K177*L177*revleg_thin,0)*VLOOKUP(B177,country_opex,3,FALSE))+V177+W177+X177+Y177+Z177)))</f>
        <v/>
      </c>
      <c r="AU177" s="43">
        <f>IF(((S177*pax_cap*load_mid*ROUND(K177*L177*revleg_mid,0))-(((battery/range_nm)*D177*ROUND(K177*L177*revleg_mid,0)*VLOOKUP(B177,country_opex,3,FALSE))+V177+W177+X177+Y177+Z177))&lt;=0,"",VLOOKUP(B177,country_opex,7,FALSE)/((S177*pax_cap*load_mid*ROUND(K177*L177*revleg_mid,0))-(((battery/range_nm)*D177*ROUND(K177*L177*revleg_mid,0)*VLOOKUP(B177,country_opex,3,FALSE))+V177+W177+X177+Y177+Z177)))</f>
        <v/>
      </c>
      <c r="AV177" s="43">
        <f>IF(((S177*pax_cap*load_full*ROUND(K177*L177*revleg_full,0))-(((battery/range_nm)*D177*ROUND(K177*L177*revleg_full,0)*VLOOKUP(B177,country_opex,3,FALSE))+V177+W177+X177+Y177+Z177))&lt;=0,"",VLOOKUP(B177,country_opex,7,FALSE)/((S177*pax_cap*load_full*ROUND(K177*L177*revleg_full,0))-(((battery/range_nm)*D177*ROUND(K177*L177*revleg_full,0)*VLOOKUP(B177,country_opex,3,FALSE))+V177+W177+X177+Y177+Z177)))</f>
        <v/>
      </c>
      <c r="AW177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77" s="44" t="inlineStr">
        <is>
          <t>Lulu boat-only (R3-EXCEPTION) but undeveloped/limited-access -&gt; small day-visit pool.</t>
        </is>
      </c>
    </row>
    <row r="178">
      <c r="A178" s="29" t="inlineStr">
        <is>
          <t>Bolt Uae</t>
        </is>
      </c>
      <c r="B178" s="29" t="inlineStr">
        <is>
          <t>United Arab Emirates</t>
        </is>
      </c>
      <c r="C178" s="30" t="inlineStr">
        <is>
          <t>Dubai Harbour Marina → Palm Jumeirah Marina West</t>
        </is>
      </c>
      <c r="D178" s="31" t="n">
        <v>2.1</v>
      </c>
      <c r="E178" s="26" t="n">
        <v>48</v>
      </c>
      <c r="F178" s="32" t="inlineStr">
        <is>
          <t>T1</t>
        </is>
      </c>
      <c r="G178" s="32" t="inlineStr">
        <is>
          <t>high</t>
        </is>
      </c>
      <c r="H178" s="19" t="n">
        <v>1</v>
      </c>
      <c r="I178" s="33">
        <f>60*D178/cruise_kt</f>
        <v/>
      </c>
      <c r="J178" s="33">
        <f>I178+turn_min+dwell_min</f>
        <v/>
      </c>
      <c r="K178" s="34">
        <f>MIN(15,FLOOR(60*service_hr/J178,1))</f>
        <v/>
      </c>
      <c r="L178" s="34">
        <f>ROUND(365*mech_uptime*H178,0)</f>
        <v/>
      </c>
      <c r="M178" s="35">
        <f>mech_uptime</f>
        <v/>
      </c>
      <c r="N178" s="35">
        <f>revleg_sel</f>
        <v/>
      </c>
      <c r="O178" s="34">
        <f>ROUND(K178*L178*revleg_sel,0)</f>
        <v/>
      </c>
      <c r="P178" s="36">
        <f>load_sel</f>
        <v/>
      </c>
      <c r="Q178" s="36">
        <f>pax_cap*P178</f>
        <v/>
      </c>
      <c r="R178" s="34">
        <f>Q178*O178</f>
        <v/>
      </c>
      <c r="S178" s="37">
        <f>E178*discount</f>
        <v/>
      </c>
      <c r="T178" s="38">
        <f>S178*R178</f>
        <v/>
      </c>
      <c r="U178" s="38">
        <f>(battery/range_nm)*D178*O178*VLOOKUP(B178,country_opex,3,FALSE)</f>
        <v/>
      </c>
      <c r="V178" s="38">
        <f>VLOOKUP(B178,country_opex,2,FALSE)*crew_factor</f>
        <v/>
      </c>
      <c r="W178" s="38">
        <f>VLOOKUP(B178,country_opex,5,FALSE)</f>
        <v/>
      </c>
      <c r="X178" s="38">
        <f>maint</f>
        <v/>
      </c>
      <c r="Y178" s="38">
        <f>VLOOKUP(B178,country_opex,7,FALSE)*ins_pct</f>
        <v/>
      </c>
      <c r="Z178" s="38">
        <f>charge_berth</f>
        <v/>
      </c>
      <c r="AA178" s="38">
        <f>U178+V178+W178+X178+Y178+Z178</f>
        <v/>
      </c>
      <c r="AB178" s="38">
        <f>VLOOKUP(B178,country_opex,7,FALSE)/dep_years</f>
        <v/>
      </c>
      <c r="AC178" s="38">
        <f>T178-AA178</f>
        <v/>
      </c>
      <c r="AD178" s="35">
        <f>IF(T178=0,"",AC178/T178)</f>
        <v/>
      </c>
      <c r="AE178" s="36">
        <f>IF(AC178&lt;=0,"",VLOOKUP(B178,country_opex,7,FALSE)/AC178)</f>
        <v/>
      </c>
      <c r="AF178" s="33">
        <f>((D178*O178/diesel_nmpg)*diesel_co2pg-(battery/range_nm)*D178*O178*VLOOKUP(B178,country_opex,4,FALSE))/1000</f>
        <v/>
      </c>
      <c r="AG178" s="31" t="n">
        <v>35000</v>
      </c>
      <c r="AH178" s="32" t="inlineStr">
        <is>
          <t>T3</t>
        </is>
      </c>
      <c r="AI178" s="32" t="inlineStr">
        <is>
          <t>low</t>
        </is>
      </c>
      <c r="AJ178" s="39" t="n">
        <v>0.1</v>
      </c>
      <c r="AK178" s="34">
        <f>IF(AG178="","",AG178*AJ178)</f>
        <v/>
      </c>
      <c r="AL178" s="34">
        <f>IF(OR(AG178="",R178=0),"",MIN(IF(AS178="",9.9E+99,AS178),FLOOR(AK178/R178,1)))</f>
        <v/>
      </c>
      <c r="AM178" s="38">
        <f>IF(AL178="","",AL178*T178)</f>
        <v/>
      </c>
      <c r="AN178" s="36">
        <f>IF(OR(AG178="",R178=0),"",MIN(IF(AS178="",9.9E+99,AS178),AK178/R178))</f>
        <v/>
      </c>
      <c r="AO178" s="38">
        <f>IF(AN178="","",AN178*T178)</f>
        <v/>
      </c>
      <c r="AP178" s="40" t="n"/>
      <c r="AQ178" s="41" t="n"/>
      <c r="AR178" s="41" t="n"/>
      <c r="AS178" s="42" t="n"/>
      <c r="AT178" s="43">
        <f>IF(((S178*pax_cap*load_thin*ROUND(K178*L178*revleg_thin,0))-(((battery/range_nm)*D178*ROUND(K178*L178*revleg_thin,0)*VLOOKUP(B178,country_opex,3,FALSE))+V178+W178+X178+Y178+Z178))&lt;=0,"",VLOOKUP(B178,country_opex,7,FALSE)/((S178*pax_cap*load_thin*ROUND(K178*L178*revleg_thin,0))-(((battery/range_nm)*D178*ROUND(K178*L178*revleg_thin,0)*VLOOKUP(B178,country_opex,3,FALSE))+V178+W178+X178+Y178+Z178)))</f>
        <v/>
      </c>
      <c r="AU178" s="43">
        <f>IF(((S178*pax_cap*load_mid*ROUND(K178*L178*revleg_mid,0))-(((battery/range_nm)*D178*ROUND(K178*L178*revleg_mid,0)*VLOOKUP(B178,country_opex,3,FALSE))+V178+W178+X178+Y178+Z178))&lt;=0,"",VLOOKUP(B178,country_opex,7,FALSE)/((S178*pax_cap*load_mid*ROUND(K178*L178*revleg_mid,0))-(((battery/range_nm)*D178*ROUND(K178*L178*revleg_mid,0)*VLOOKUP(B178,country_opex,3,FALSE))+V178+W178+X178+Y178+Z178)))</f>
        <v/>
      </c>
      <c r="AV178" s="43">
        <f>IF(((S178*pax_cap*load_full*ROUND(K178*L178*revleg_full,0))-(((battery/range_nm)*D178*ROUND(K178*L178*revleg_full,0)*VLOOKUP(B178,country_opex,3,FALSE))+V178+W178+X178+Y178+Z178))&lt;=0,"",VLOOKUP(B178,country_opex,7,FALSE)/((S178*pax_cap*load_full*ROUND(K178*L178*revleg_full,0))-(((battery/range_nm)*D178*ROUND(K178*L178*revleg_full,0)*VLOOKUP(B178,country_opex,3,FALSE))+V178+W178+X178+Y178+Z178)))</f>
        <v/>
      </c>
      <c r="AW178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7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79">
      <c r="A179" s="29" t="inlineStr">
        <is>
          <t>Bolt Uae</t>
        </is>
      </c>
      <c r="B179" s="29" t="inlineStr">
        <is>
          <t>United Arab Emirates</t>
        </is>
      </c>
      <c r="C179" s="30" t="inlineStr">
        <is>
          <t>Al Bateen Marina → Emirates Palace Marina</t>
        </is>
      </c>
      <c r="D179" s="31" t="n">
        <v>2.2</v>
      </c>
      <c r="E179" s="26" t="n">
        <v>150</v>
      </c>
      <c r="F179" s="32" t="inlineStr">
        <is>
          <t>T5</t>
        </is>
      </c>
      <c r="G179" s="32" t="inlineStr">
        <is>
          <t>low</t>
        </is>
      </c>
      <c r="H179" s="19" t="n">
        <v>1</v>
      </c>
      <c r="I179" s="33">
        <f>60*D179/cruise_kt</f>
        <v/>
      </c>
      <c r="J179" s="33">
        <f>I179+turn_min+dwell_min</f>
        <v/>
      </c>
      <c r="K179" s="34">
        <f>MIN(15,FLOOR(60*service_hr/J179,1))</f>
        <v/>
      </c>
      <c r="L179" s="34">
        <f>ROUND(365*mech_uptime*H179,0)</f>
        <v/>
      </c>
      <c r="M179" s="35">
        <f>mech_uptime</f>
        <v/>
      </c>
      <c r="N179" s="35">
        <f>revleg_sel</f>
        <v/>
      </c>
      <c r="O179" s="34">
        <f>ROUND(K179*L179*revleg_sel,0)</f>
        <v/>
      </c>
      <c r="P179" s="36">
        <f>load_sel</f>
        <v/>
      </c>
      <c r="Q179" s="36">
        <f>pax_cap*P179</f>
        <v/>
      </c>
      <c r="R179" s="34">
        <f>Q179*O179</f>
        <v/>
      </c>
      <c r="S179" s="37">
        <f>E179*discount</f>
        <v/>
      </c>
      <c r="T179" s="38">
        <f>S179*R179</f>
        <v/>
      </c>
      <c r="U179" s="38">
        <f>(battery/range_nm)*D179*O179*VLOOKUP(B179,country_opex,3,FALSE)</f>
        <v/>
      </c>
      <c r="V179" s="38">
        <f>VLOOKUP(B179,country_opex,2,FALSE)*crew_factor</f>
        <v/>
      </c>
      <c r="W179" s="38">
        <f>VLOOKUP(B179,country_opex,5,FALSE)</f>
        <v/>
      </c>
      <c r="X179" s="38">
        <f>maint</f>
        <v/>
      </c>
      <c r="Y179" s="38">
        <f>VLOOKUP(B179,country_opex,7,FALSE)*ins_pct</f>
        <v/>
      </c>
      <c r="Z179" s="38">
        <f>charge_berth</f>
        <v/>
      </c>
      <c r="AA179" s="38">
        <f>U179+V179+W179+X179+Y179+Z179</f>
        <v/>
      </c>
      <c r="AB179" s="38">
        <f>VLOOKUP(B179,country_opex,7,FALSE)/dep_years</f>
        <v/>
      </c>
      <c r="AC179" s="38">
        <f>T179-AA179</f>
        <v/>
      </c>
      <c r="AD179" s="35">
        <f>IF(T179=0,"",AC179/T179)</f>
        <v/>
      </c>
      <c r="AE179" s="36">
        <f>IF(AC179&lt;=0,"",VLOOKUP(B179,country_opex,7,FALSE)/AC179)</f>
        <v/>
      </c>
      <c r="AF179" s="33">
        <f>((D179*O179/diesel_nmpg)*diesel_co2pg-(battery/range_nm)*D179*O179*VLOOKUP(B179,country_opex,4,FALSE))/1000</f>
        <v/>
      </c>
      <c r="AG179" s="31" t="n">
        <v>20000</v>
      </c>
      <c r="AH179" s="32" t="inlineStr">
        <is>
          <t>T3</t>
        </is>
      </c>
      <c r="AI179" s="32" t="inlineStr">
        <is>
          <t>low</t>
        </is>
      </c>
      <c r="AJ179" s="39" t="n">
        <v>0.1</v>
      </c>
      <c r="AK179" s="34">
        <f>IF(AG179="","",AG179*AJ179)</f>
        <v/>
      </c>
      <c r="AL179" s="34">
        <f>IF(OR(AG179="",R179=0),"",MIN(IF(AS179="",9.9E+99,AS179),FLOOR(AK179/R179,1)))</f>
        <v/>
      </c>
      <c r="AM179" s="38">
        <f>IF(AL179="","",AL179*T179)</f>
        <v/>
      </c>
      <c r="AN179" s="36">
        <f>IF(OR(AG179="",R179=0),"",MIN(IF(AS179="",9.9E+99,AS179),AK179/R179))</f>
        <v/>
      </c>
      <c r="AO179" s="38">
        <f>IF(AN179="","",AN179*T179)</f>
        <v/>
      </c>
      <c r="AP179" s="40" t="n"/>
      <c r="AQ179" s="41" t="n"/>
      <c r="AR179" s="41" t="n"/>
      <c r="AS179" s="42" t="n"/>
      <c r="AT179" s="43">
        <f>IF(((S179*pax_cap*load_thin*ROUND(K179*L179*revleg_thin,0))-(((battery/range_nm)*D179*ROUND(K179*L179*revleg_thin,0)*VLOOKUP(B179,country_opex,3,FALSE))+V179+W179+X179+Y179+Z179))&lt;=0,"",VLOOKUP(B179,country_opex,7,FALSE)/((S179*pax_cap*load_thin*ROUND(K179*L179*revleg_thin,0))-(((battery/range_nm)*D179*ROUND(K179*L179*revleg_thin,0)*VLOOKUP(B179,country_opex,3,FALSE))+V179+W179+X179+Y179+Z179)))</f>
        <v/>
      </c>
      <c r="AU179" s="43">
        <f>IF(((S179*pax_cap*load_mid*ROUND(K179*L179*revleg_mid,0))-(((battery/range_nm)*D179*ROUND(K179*L179*revleg_mid,0)*VLOOKUP(B179,country_opex,3,FALSE))+V179+W179+X179+Y179+Z179))&lt;=0,"",VLOOKUP(B179,country_opex,7,FALSE)/((S179*pax_cap*load_mid*ROUND(K179*L179*revleg_mid,0))-(((battery/range_nm)*D179*ROUND(K179*L179*revleg_mid,0)*VLOOKUP(B179,country_opex,3,FALSE))+V179+W179+X179+Y179+Z179)))</f>
        <v/>
      </c>
      <c r="AV179" s="43">
        <f>IF(((S179*pax_cap*load_full*ROUND(K179*L179*revleg_full,0))-(((battery/range_nm)*D179*ROUND(K179*L179*revleg_full,0)*VLOOKUP(B179,country_opex,3,FALSE))+V179+W179+X179+Y179+Z179))&lt;=0,"",VLOOKUP(B179,country_opex,7,FALSE)/((S179*pax_cap*load_full*ROUND(K179*L179*revleg_full,0))-(((battery/range_nm)*D179*ROUND(K179*L179*revleg_full,0)*VLOOKUP(B179,country_opex,3,FALSE))+V179+W179+X179+Y179+Z179)))</f>
        <v/>
      </c>
      <c r="AW179" s="44" t="inlineStr">
        <is>
          <t>Emirates Palace (flagship AD luxury hotel) marina arrival; road-served; opportunity-to-create. T5/low.</t>
        </is>
      </c>
      <c r="AX17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0">
      <c r="A180" s="29" t="inlineStr">
        <is>
          <t>Bolt Uae</t>
        </is>
      </c>
      <c r="B180" s="29" t="inlineStr">
        <is>
          <t>United Arab Emirates</t>
        </is>
      </c>
      <c r="C180" s="30" t="inlineStr">
        <is>
          <t>Côte d'Azur Resort Marina (Heart of Europe) → Anantara World Islands Resort Jetty (planned)</t>
        </is>
      </c>
      <c r="D180" s="31" t="n">
        <v>2.4</v>
      </c>
      <c r="E180" s="26" t="n">
        <v>150</v>
      </c>
      <c r="F180" s="32" t="inlineStr">
        <is>
          <t>T5</t>
        </is>
      </c>
      <c r="G180" s="32" t="inlineStr">
        <is>
          <t>low</t>
        </is>
      </c>
      <c r="H180" s="19" t="n">
        <v>1</v>
      </c>
      <c r="I180" s="33">
        <f>60*D180/cruise_kt</f>
        <v/>
      </c>
      <c r="J180" s="33">
        <f>I180+turn_min+dwell_min</f>
        <v/>
      </c>
      <c r="K180" s="34">
        <f>MIN(15,FLOOR(60*service_hr/J180,1))</f>
        <v/>
      </c>
      <c r="L180" s="34">
        <f>ROUND(365*mech_uptime*H180,0)</f>
        <v/>
      </c>
      <c r="M180" s="35">
        <f>mech_uptime</f>
        <v/>
      </c>
      <c r="N180" s="35">
        <f>revleg_sel</f>
        <v/>
      </c>
      <c r="O180" s="34">
        <f>ROUND(K180*L180*revleg_sel,0)</f>
        <v/>
      </c>
      <c r="P180" s="36">
        <f>load_sel</f>
        <v/>
      </c>
      <c r="Q180" s="36">
        <f>pax_cap*P180</f>
        <v/>
      </c>
      <c r="R180" s="34">
        <f>Q180*O180</f>
        <v/>
      </c>
      <c r="S180" s="37">
        <f>E180*discount</f>
        <v/>
      </c>
      <c r="T180" s="38">
        <f>S180*R180</f>
        <v/>
      </c>
      <c r="U180" s="38">
        <f>(battery/range_nm)*D180*O180*VLOOKUP(B180,country_opex,3,FALSE)</f>
        <v/>
      </c>
      <c r="V180" s="38">
        <f>VLOOKUP(B180,country_opex,2,FALSE)*crew_factor</f>
        <v/>
      </c>
      <c r="W180" s="38">
        <f>VLOOKUP(B180,country_opex,5,FALSE)</f>
        <v/>
      </c>
      <c r="X180" s="38">
        <f>maint</f>
        <v/>
      </c>
      <c r="Y180" s="38">
        <f>VLOOKUP(B180,country_opex,7,FALSE)*ins_pct</f>
        <v/>
      </c>
      <c r="Z180" s="38">
        <f>charge_berth</f>
        <v/>
      </c>
      <c r="AA180" s="38">
        <f>U180+V180+W180+X180+Y180+Z180</f>
        <v/>
      </c>
      <c r="AB180" s="38">
        <f>VLOOKUP(B180,country_opex,7,FALSE)/dep_years</f>
        <v/>
      </c>
      <c r="AC180" s="38">
        <f>T180-AA180</f>
        <v/>
      </c>
      <c r="AD180" s="35">
        <f>IF(T180=0,"",AC180/T180)</f>
        <v/>
      </c>
      <c r="AE180" s="36">
        <f>IF(AC180&lt;=0,"",VLOOKUP(B180,country_opex,7,FALSE)/AC180)</f>
        <v/>
      </c>
      <c r="AF180" s="33">
        <f>((D180*O180/diesel_nmpg)*diesel_co2pg-(battery/range_nm)*D180*O180*VLOOKUP(B180,country_opex,4,FALSE))/1000</f>
        <v/>
      </c>
      <c r="AG180" s="31" t="n">
        <v>25000</v>
      </c>
      <c r="AH180" s="32" t="inlineStr">
        <is>
          <t>T3</t>
        </is>
      </c>
      <c r="AI180" s="32" t="inlineStr">
        <is>
          <t>low</t>
        </is>
      </c>
      <c r="AJ180" s="39" t="n">
        <v>0.1</v>
      </c>
      <c r="AK180" s="34">
        <f>IF(AG180="","",AG180*AJ180)</f>
        <v/>
      </c>
      <c r="AL180" s="34">
        <f>IF(OR(AG180="",R180=0),"",MIN(IF(AS180="",9.9E+99,AS180),FLOOR(AK180/R180,1)))</f>
        <v/>
      </c>
      <c r="AM180" s="38">
        <f>IF(AL180="","",AL180*T180)</f>
        <v/>
      </c>
      <c r="AN180" s="36">
        <f>IF(OR(AG180="",R180=0),"",MIN(IF(AS180="",9.9E+99,AS180),AK180/R180))</f>
        <v/>
      </c>
      <c r="AO180" s="38">
        <f>IF(AN180="","",AN180*T180)</f>
        <v/>
      </c>
      <c r="AP180" s="40" t="n"/>
      <c r="AQ180" s="41" t="n"/>
      <c r="AR180" s="41" t="n"/>
      <c r="AS180" s="42" t="n"/>
      <c r="AT180" s="43">
        <f>IF(((S180*pax_cap*load_thin*ROUND(K180*L180*revleg_thin,0))-(((battery/range_nm)*D180*ROUND(K180*L180*revleg_thin,0)*VLOOKUP(B180,country_opex,3,FALSE))+V180+W180+X180+Y180+Z180))&lt;=0,"",VLOOKUP(B180,country_opex,7,FALSE)/((S180*pax_cap*load_thin*ROUND(K180*L180*revleg_thin,0))-(((battery/range_nm)*D180*ROUND(K180*L180*revleg_thin,0)*VLOOKUP(B180,country_opex,3,FALSE))+V180+W180+X180+Y180+Z180)))</f>
        <v/>
      </c>
      <c r="AU180" s="43">
        <f>IF(((S180*pax_cap*load_mid*ROUND(K180*L180*revleg_mid,0))-(((battery/range_nm)*D180*ROUND(K180*L180*revleg_mid,0)*VLOOKUP(B180,country_opex,3,FALSE))+V180+W180+X180+Y180+Z180))&lt;=0,"",VLOOKUP(B180,country_opex,7,FALSE)/((S180*pax_cap*load_mid*ROUND(K180*L180*revleg_mid,0))-(((battery/range_nm)*D180*ROUND(K180*L180*revleg_mid,0)*VLOOKUP(B180,country_opex,3,FALSE))+V180+W180+X180+Y180+Z180)))</f>
        <v/>
      </c>
      <c r="AV180" s="43">
        <f>IF(((S180*pax_cap*load_full*ROUND(K180*L180*revleg_full,0))-(((battery/range_nm)*D180*ROUND(K180*L180*revleg_full,0)*VLOOKUP(B180,country_opex,3,FALSE))+V180+W180+X180+Y180+Z180))&lt;=0,"",VLOOKUP(B180,country_opex,7,FALSE)/((S180*pax_cap*load_full*ROUND(K180*L180*revleg_full,0))-(((battery/range_nm)*D180*ROUND(K180*L180*revleg_full,0)*VLOOKUP(B180,country_opex,3,FALSE))+V180+W180+X180+Y180+Z180)))</f>
        <v/>
      </c>
      <c r="AW180" s="44" t="inlineStr">
        <is>
          <t>Intra-The-World offshore hop; both boat-only. Greenfield premium per-seat. T5/low.</t>
        </is>
      </c>
      <c r="AX180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1">
      <c r="A181" s="29" t="inlineStr">
        <is>
          <t>Bolt Uae</t>
        </is>
      </c>
      <c r="B181" s="29" t="inlineStr">
        <is>
          <t>United Arab Emirates</t>
        </is>
      </c>
      <c r="C181" s="30" t="inlineStr">
        <is>
          <t>Marina Mall / Breakwater Marina → Al Bateen Marina</t>
        </is>
      </c>
      <c r="D181" s="31" t="n">
        <v>2.6</v>
      </c>
      <c r="E181" s="26" t="n">
        <v>45</v>
      </c>
      <c r="F181" s="32" t="inlineStr">
        <is>
          <t>T4</t>
        </is>
      </c>
      <c r="G181" s="32" t="inlineStr">
        <is>
          <t>low</t>
        </is>
      </c>
      <c r="H181" s="19" t="n">
        <v>1</v>
      </c>
      <c r="I181" s="33">
        <f>60*D181/cruise_kt</f>
        <v/>
      </c>
      <c r="J181" s="33">
        <f>I181+turn_min+dwell_min</f>
        <v/>
      </c>
      <c r="K181" s="34">
        <f>MIN(15,FLOOR(60*service_hr/J181,1))</f>
        <v/>
      </c>
      <c r="L181" s="34">
        <f>ROUND(365*mech_uptime*H181,0)</f>
        <v/>
      </c>
      <c r="M181" s="35">
        <f>mech_uptime</f>
        <v/>
      </c>
      <c r="N181" s="35">
        <f>revleg_sel</f>
        <v/>
      </c>
      <c r="O181" s="34">
        <f>ROUND(K181*L181*revleg_sel,0)</f>
        <v/>
      </c>
      <c r="P181" s="36">
        <f>load_sel</f>
        <v/>
      </c>
      <c r="Q181" s="36">
        <f>pax_cap*P181</f>
        <v/>
      </c>
      <c r="R181" s="34">
        <f>Q181*O181</f>
        <v/>
      </c>
      <c r="S181" s="37">
        <f>E181*discount</f>
        <v/>
      </c>
      <c r="T181" s="38">
        <f>S181*R181</f>
        <v/>
      </c>
      <c r="U181" s="38">
        <f>(battery/range_nm)*D181*O181*VLOOKUP(B181,country_opex,3,FALSE)</f>
        <v/>
      </c>
      <c r="V181" s="38">
        <f>VLOOKUP(B181,country_opex,2,FALSE)*crew_factor</f>
        <v/>
      </c>
      <c r="W181" s="38">
        <f>VLOOKUP(B181,country_opex,5,FALSE)</f>
        <v/>
      </c>
      <c r="X181" s="38">
        <f>maint</f>
        <v/>
      </c>
      <c r="Y181" s="38">
        <f>VLOOKUP(B181,country_opex,7,FALSE)*ins_pct</f>
        <v/>
      </c>
      <c r="Z181" s="38">
        <f>charge_berth</f>
        <v/>
      </c>
      <c r="AA181" s="38">
        <f>U181+V181+W181+X181+Y181+Z181</f>
        <v/>
      </c>
      <c r="AB181" s="38">
        <f>VLOOKUP(B181,country_opex,7,FALSE)/dep_years</f>
        <v/>
      </c>
      <c r="AC181" s="38">
        <f>T181-AA181</f>
        <v/>
      </c>
      <c r="AD181" s="35">
        <f>IF(T181=0,"",AC181/T181)</f>
        <v/>
      </c>
      <c r="AE181" s="36">
        <f>IF(AC181&lt;=0,"",VLOOKUP(B181,country_opex,7,FALSE)/AC181)</f>
        <v/>
      </c>
      <c r="AF181" s="33">
        <f>((D181*O181/diesel_nmpg)*diesel_co2pg-(battery/range_nm)*D181*O181*VLOOKUP(B181,country_opex,4,FALSE))/1000</f>
        <v/>
      </c>
      <c r="AG181" s="31" t="n">
        <v>50000</v>
      </c>
      <c r="AH181" s="32" t="inlineStr">
        <is>
          <t>T3</t>
        </is>
      </c>
      <c r="AI181" s="32" t="inlineStr">
        <is>
          <t>low</t>
        </is>
      </c>
      <c r="AJ181" s="39" t="n">
        <v>0.1</v>
      </c>
      <c r="AK181" s="34">
        <f>IF(AG181="","",AG181*AJ181)</f>
        <v/>
      </c>
      <c r="AL181" s="34">
        <f>IF(OR(AG181="",R181=0),"",MIN(IF(AS181="",9.9E+99,AS181),FLOOR(AK181/R181,1)))</f>
        <v/>
      </c>
      <c r="AM181" s="38">
        <f>IF(AL181="","",AL181*T181)</f>
        <v/>
      </c>
      <c r="AN181" s="36">
        <f>IF(OR(AG181="",R181=0),"",MIN(IF(AS181="",9.9E+99,AS181),AK181/R181))</f>
        <v/>
      </c>
      <c r="AO181" s="38">
        <f>IF(AN181="","",AN181*T181)</f>
        <v/>
      </c>
      <c r="AP181" s="40" t="n"/>
      <c r="AQ181" s="41" t="n"/>
      <c r="AR181" s="41" t="n"/>
      <c r="AS181" s="42" t="n"/>
      <c r="AT181" s="43">
        <f>IF(((S181*pax_cap*load_thin*ROUND(K181*L181*revleg_thin,0))-(((battery/range_nm)*D181*ROUND(K181*L181*revleg_thin,0)*VLOOKUP(B181,country_opex,3,FALSE))+V181+W181+X181+Y181+Z181))&lt;=0,"",VLOOKUP(B181,country_opex,7,FALSE)/((S181*pax_cap*load_thin*ROUND(K181*L181*revleg_thin,0))-(((battery/range_nm)*D181*ROUND(K181*L181*revleg_thin,0)*VLOOKUP(B181,country_opex,3,FALSE))+V181+W181+X181+Y181+Z181)))</f>
        <v/>
      </c>
      <c r="AU181" s="43">
        <f>IF(((S181*pax_cap*load_mid*ROUND(K181*L181*revleg_mid,0))-(((battery/range_nm)*D181*ROUND(K181*L181*revleg_mid,0)*VLOOKUP(B181,country_opex,3,FALSE))+V181+W181+X181+Y181+Z181))&lt;=0,"",VLOOKUP(B181,country_opex,7,FALSE)/((S181*pax_cap*load_mid*ROUND(K181*L181*revleg_mid,0))-(((battery/range_nm)*D181*ROUND(K181*L181*revleg_mid,0)*VLOOKUP(B181,country_opex,3,FALSE))+V181+W181+X181+Y181+Z181)))</f>
        <v/>
      </c>
      <c r="AV181" s="43">
        <f>IF(((S181*pax_cap*load_full*ROUND(K181*L181*revleg_full,0))-(((battery/range_nm)*D181*ROUND(K181*L181*revleg_full,0)*VLOOKUP(B181,country_opex,3,FALSE))+V181+W181+X181+Y181+Z181))&lt;=0,"",VLOOKUP(B181,country_opex,7,FALSE)/((S181*pax_cap*load_full*ROUND(K181*L181*revleg_full,0))-(((battery/range_nm)*D181*ROUND(K181*L181*revleg_full,0)*VLOOKUP(B181,country_opex,3,FALSE))+V181+W181+X181+Y181+Z181)))</f>
        <v/>
      </c>
      <c r="AW181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8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2">
      <c r="A182" s="29" t="inlineStr">
        <is>
          <t>Bolt Uae</t>
        </is>
      </c>
      <c r="B182" s="29" t="inlineStr">
        <is>
          <t>United Arab Emirates</t>
        </is>
      </c>
      <c r="C182" s="30" t="inlineStr">
        <is>
          <t>Bulgari Yacht Club &amp; Marina → La Mer / J1 Beach Jetty</t>
        </is>
      </c>
      <c r="D182" s="31" t="n">
        <v>2.6</v>
      </c>
      <c r="E182" s="26" t="n">
        <v>120</v>
      </c>
      <c r="F182" s="32" t="inlineStr">
        <is>
          <t>T5</t>
        </is>
      </c>
      <c r="G182" s="32" t="inlineStr">
        <is>
          <t>low</t>
        </is>
      </c>
      <c r="H182" s="19" t="n">
        <v>1</v>
      </c>
      <c r="I182" s="33">
        <f>60*D182/cruise_kt</f>
        <v/>
      </c>
      <c r="J182" s="33">
        <f>I182+turn_min+dwell_min</f>
        <v/>
      </c>
      <c r="K182" s="34">
        <f>MIN(15,FLOOR(60*service_hr/J182,1))</f>
        <v/>
      </c>
      <c r="L182" s="34">
        <f>ROUND(365*mech_uptime*H182,0)</f>
        <v/>
      </c>
      <c r="M182" s="35">
        <f>mech_uptime</f>
        <v/>
      </c>
      <c r="N182" s="35">
        <f>revleg_sel</f>
        <v/>
      </c>
      <c r="O182" s="34">
        <f>ROUND(K182*L182*revleg_sel,0)</f>
        <v/>
      </c>
      <c r="P182" s="36">
        <f>load_sel</f>
        <v/>
      </c>
      <c r="Q182" s="36">
        <f>pax_cap*P182</f>
        <v/>
      </c>
      <c r="R182" s="34">
        <f>Q182*O182</f>
        <v/>
      </c>
      <c r="S182" s="37">
        <f>E182*discount</f>
        <v/>
      </c>
      <c r="T182" s="38">
        <f>S182*R182</f>
        <v/>
      </c>
      <c r="U182" s="38">
        <f>(battery/range_nm)*D182*O182*VLOOKUP(B182,country_opex,3,FALSE)</f>
        <v/>
      </c>
      <c r="V182" s="38">
        <f>VLOOKUP(B182,country_opex,2,FALSE)*crew_factor</f>
        <v/>
      </c>
      <c r="W182" s="38">
        <f>VLOOKUP(B182,country_opex,5,FALSE)</f>
        <v/>
      </c>
      <c r="X182" s="38">
        <f>maint</f>
        <v/>
      </c>
      <c r="Y182" s="38">
        <f>VLOOKUP(B182,country_opex,7,FALSE)*ins_pct</f>
        <v/>
      </c>
      <c r="Z182" s="38">
        <f>charge_berth</f>
        <v/>
      </c>
      <c r="AA182" s="38">
        <f>U182+V182+W182+X182+Y182+Z182</f>
        <v/>
      </c>
      <c r="AB182" s="38">
        <f>VLOOKUP(B182,country_opex,7,FALSE)/dep_years</f>
        <v/>
      </c>
      <c r="AC182" s="38">
        <f>T182-AA182</f>
        <v/>
      </c>
      <c r="AD182" s="35">
        <f>IF(T182=0,"",AC182/T182)</f>
        <v/>
      </c>
      <c r="AE182" s="36">
        <f>IF(AC182&lt;=0,"",VLOOKUP(B182,country_opex,7,FALSE)/AC182)</f>
        <v/>
      </c>
      <c r="AF182" s="33">
        <f>((D182*O182/diesel_nmpg)*diesel_co2pg-(battery/range_nm)*D182*O182*VLOOKUP(B182,country_opex,4,FALSE))/1000</f>
        <v/>
      </c>
      <c r="AG182" s="31" t="n">
        <v>30000</v>
      </c>
      <c r="AH182" s="32" t="inlineStr">
        <is>
          <t>T3</t>
        </is>
      </c>
      <c r="AI182" s="32" t="inlineStr">
        <is>
          <t>low</t>
        </is>
      </c>
      <c r="AJ182" s="39" t="n">
        <v>0.1</v>
      </c>
      <c r="AK182" s="34">
        <f>IF(AG182="","",AG182*AJ182)</f>
        <v/>
      </c>
      <c r="AL182" s="34">
        <f>IF(OR(AG182="",R182=0),"",MIN(IF(AS182="",9.9E+99,AS182),FLOOR(AK182/R182,1)))</f>
        <v/>
      </c>
      <c r="AM182" s="38">
        <f>IF(AL182="","",AL182*T182)</f>
        <v/>
      </c>
      <c r="AN182" s="36">
        <f>IF(OR(AG182="",R182=0),"",MIN(IF(AS182="",9.9E+99,AS182),AK182/R182))</f>
        <v/>
      </c>
      <c r="AO182" s="38">
        <f>IF(AN182="","",AN182*T182)</f>
        <v/>
      </c>
      <c r="AP182" s="40" t="n"/>
      <c r="AQ182" s="41" t="n"/>
      <c r="AR182" s="41" t="n"/>
      <c r="AS182" s="42" t="n"/>
      <c r="AT182" s="43">
        <f>IF(((S182*pax_cap*load_thin*ROUND(K182*L182*revleg_thin,0))-(((battery/range_nm)*D182*ROUND(K182*L182*revleg_thin,0)*VLOOKUP(B182,country_opex,3,FALSE))+V182+W182+X182+Y182+Z182))&lt;=0,"",VLOOKUP(B182,country_opex,7,FALSE)/((S182*pax_cap*load_thin*ROUND(K182*L182*revleg_thin,0))-(((battery/range_nm)*D182*ROUND(K182*L182*revleg_thin,0)*VLOOKUP(B182,country_opex,3,FALSE))+V182+W182+X182+Y182+Z182)))</f>
        <v/>
      </c>
      <c r="AU182" s="43">
        <f>IF(((S182*pax_cap*load_mid*ROUND(K182*L182*revleg_mid,0))-(((battery/range_nm)*D182*ROUND(K182*L182*revleg_mid,0)*VLOOKUP(B182,country_opex,3,FALSE))+V182+W182+X182+Y182+Z182))&lt;=0,"",VLOOKUP(B182,country_opex,7,FALSE)/((S182*pax_cap*load_mid*ROUND(K182*L182*revleg_mid,0))-(((battery/range_nm)*D182*ROUND(K182*L182*revleg_mid,0)*VLOOKUP(B182,country_opex,3,FALSE))+V182+W182+X182+Y182+Z182)))</f>
        <v/>
      </c>
      <c r="AV182" s="43">
        <f>IF(((S182*pax_cap*load_full*ROUND(K182*L182*revleg_full,0))-(((battery/range_nm)*D182*ROUND(K182*L182*revleg_full,0)*VLOOKUP(B182,country_opex,3,FALSE))+V182+W182+X182+Y182+Z182))&lt;=0,"",VLOOKUP(B182,country_opex,7,FALSE)/((S182*pax_cap*load_full*ROUND(K182*L182*revleg_full,0))-(((battery/range_nm)*D182*ROUND(K182*L182*revleg_full,0)*VLOOKUP(B182,country_opex,3,FALSE))+V182+W182+X182+Y182+Z182)))</f>
        <v/>
      </c>
      <c r="AW182" s="44" t="inlineStr">
        <is>
          <t>Urban Dubai beach-club leisure hop (Bulgari Bay&lt;-&gt;La Mer/J1). Road-served. T5/low.</t>
        </is>
      </c>
      <c r="AX18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3">
      <c r="A183" s="29" t="inlineStr">
        <is>
          <t>Bolt Uae</t>
        </is>
      </c>
      <c r="B183" s="29" t="inlineStr">
        <is>
          <t>United Arab Emirates</t>
        </is>
      </c>
      <c r="C183" s="30" t="inlineStr">
        <is>
          <t>Al Bateen Marina → Hudayriat Marina</t>
        </is>
      </c>
      <c r="D183" s="31" t="n">
        <v>3.6</v>
      </c>
      <c r="E183" s="26" t="n">
        <v>90</v>
      </c>
      <c r="F183" s="32" t="inlineStr">
        <is>
          <t>T4</t>
        </is>
      </c>
      <c r="G183" s="32" t="inlineStr">
        <is>
          <t>low</t>
        </is>
      </c>
      <c r="H183" s="19" t="n">
        <v>1</v>
      </c>
      <c r="I183" s="33">
        <f>60*D183/cruise_kt</f>
        <v/>
      </c>
      <c r="J183" s="33">
        <f>I183+turn_min+dwell_min</f>
        <v/>
      </c>
      <c r="K183" s="34">
        <f>MIN(15,FLOOR(60*service_hr/J183,1))</f>
        <v/>
      </c>
      <c r="L183" s="34">
        <f>ROUND(365*mech_uptime*H183,0)</f>
        <v/>
      </c>
      <c r="M183" s="35">
        <f>mech_uptime</f>
        <v/>
      </c>
      <c r="N183" s="35">
        <f>revleg_sel</f>
        <v/>
      </c>
      <c r="O183" s="34">
        <f>ROUND(K183*L183*revleg_sel,0)</f>
        <v/>
      </c>
      <c r="P183" s="36">
        <f>load_sel</f>
        <v/>
      </c>
      <c r="Q183" s="36">
        <f>pax_cap*P183</f>
        <v/>
      </c>
      <c r="R183" s="34">
        <f>Q183*O183</f>
        <v/>
      </c>
      <c r="S183" s="37">
        <f>E183*discount</f>
        <v/>
      </c>
      <c r="T183" s="38">
        <f>S183*R183</f>
        <v/>
      </c>
      <c r="U183" s="38">
        <f>(battery/range_nm)*D183*O183*VLOOKUP(B183,country_opex,3,FALSE)</f>
        <v/>
      </c>
      <c r="V183" s="38">
        <f>VLOOKUP(B183,country_opex,2,FALSE)*crew_factor</f>
        <v/>
      </c>
      <c r="W183" s="38">
        <f>VLOOKUP(B183,country_opex,5,FALSE)</f>
        <v/>
      </c>
      <c r="X183" s="38">
        <f>maint</f>
        <v/>
      </c>
      <c r="Y183" s="38">
        <f>VLOOKUP(B183,country_opex,7,FALSE)*ins_pct</f>
        <v/>
      </c>
      <c r="Z183" s="38">
        <f>charge_berth</f>
        <v/>
      </c>
      <c r="AA183" s="38">
        <f>U183+V183+W183+X183+Y183+Z183</f>
        <v/>
      </c>
      <c r="AB183" s="38">
        <f>VLOOKUP(B183,country_opex,7,FALSE)/dep_years</f>
        <v/>
      </c>
      <c r="AC183" s="38">
        <f>T183-AA183</f>
        <v/>
      </c>
      <c r="AD183" s="35">
        <f>IF(T183=0,"",AC183/T183)</f>
        <v/>
      </c>
      <c r="AE183" s="36">
        <f>IF(AC183&lt;=0,"",VLOOKUP(B183,country_opex,7,FALSE)/AC183)</f>
        <v/>
      </c>
      <c r="AF183" s="33">
        <f>((D183*O183/diesel_nmpg)*diesel_co2pg-(battery/range_nm)*D183*O183*VLOOKUP(B183,country_opex,4,FALSE))/1000</f>
        <v/>
      </c>
      <c r="AG183" s="31" t="n">
        <v>35000</v>
      </c>
      <c r="AH183" s="32" t="inlineStr">
        <is>
          <t>T3</t>
        </is>
      </c>
      <c r="AI183" s="32" t="inlineStr">
        <is>
          <t>low</t>
        </is>
      </c>
      <c r="AJ183" s="39" t="n">
        <v>0.1</v>
      </c>
      <c r="AK183" s="34">
        <f>IF(AG183="","",AG183*AJ183)</f>
        <v/>
      </c>
      <c r="AL183" s="34">
        <f>IF(OR(AG183="",R183=0),"",MIN(IF(AS183="",9.9E+99,AS183),FLOOR(AK183/R183,1)))</f>
        <v/>
      </c>
      <c r="AM183" s="38">
        <f>IF(AL183="","",AL183*T183)</f>
        <v/>
      </c>
      <c r="AN183" s="36">
        <f>IF(OR(AG183="",R183=0),"",MIN(IF(AS183="",9.9E+99,AS183),AK183/R183))</f>
        <v/>
      </c>
      <c r="AO183" s="38">
        <f>IF(AN183="","",AN183*T183)</f>
        <v/>
      </c>
      <c r="AP183" s="40" t="n"/>
      <c r="AQ183" s="41" t="n"/>
      <c r="AR183" s="41" t="n"/>
      <c r="AS183" s="42" t="n"/>
      <c r="AT183" s="43">
        <f>IF(((S183*pax_cap*load_thin*ROUND(K183*L183*revleg_thin,0))-(((battery/range_nm)*D183*ROUND(K183*L183*revleg_thin,0)*VLOOKUP(B183,country_opex,3,FALSE))+V183+W183+X183+Y183+Z183))&lt;=0,"",VLOOKUP(B183,country_opex,7,FALSE)/((S183*pax_cap*load_thin*ROUND(K183*L183*revleg_thin,0))-(((battery/range_nm)*D183*ROUND(K183*L183*revleg_thin,0)*VLOOKUP(B183,country_opex,3,FALSE))+V183+W183+X183+Y183+Z183)))</f>
        <v/>
      </c>
      <c r="AU183" s="43">
        <f>IF(((S183*pax_cap*load_mid*ROUND(K183*L183*revleg_mid,0))-(((battery/range_nm)*D183*ROUND(K183*L183*revleg_mid,0)*VLOOKUP(B183,country_opex,3,FALSE))+V183+W183+X183+Y183+Z183))&lt;=0,"",VLOOKUP(B183,country_opex,7,FALSE)/((S183*pax_cap*load_mid*ROUND(K183*L183*revleg_mid,0))-(((battery/range_nm)*D183*ROUND(K183*L183*revleg_mid,0)*VLOOKUP(B183,country_opex,3,FALSE))+V183+W183+X183+Y183+Z183)))</f>
        <v/>
      </c>
      <c r="AV183" s="43">
        <f>IF(((S183*pax_cap*load_full*ROUND(K183*L183*revleg_full,0))-(((battery/range_nm)*D183*ROUND(K183*L183*revleg_full,0)*VLOOKUP(B183,country_opex,3,FALSE))+V183+W183+X183+Y183+Z183))&lt;=0,"",VLOOKUP(B183,country_opex,7,FALSE)/((S183*pax_cap*load_full*ROUND(K183*L183*revleg_full,0))-(((battery/range_nm)*D183*ROUND(K183*L183*revleg_full,0)*VLOOKUP(B183,country_opex,3,FALSE))+V183+W183+X183+Y183+Z183)))</f>
        <v/>
      </c>
      <c r="AW183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8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4">
      <c r="A184" s="29" t="inlineStr">
        <is>
          <t>Bolt Uae</t>
        </is>
      </c>
      <c r="B184" s="29" t="inlineStr">
        <is>
          <t>United Arab Emirates</t>
        </is>
      </c>
      <c r="C184" s="30" t="inlineStr">
        <is>
          <t>Côte d'Azur Resort Marina (Heart of Europe) → Bulgari Yacht Club &amp; Marina</t>
        </is>
      </c>
      <c r="D184" s="31" t="n">
        <v>4.2</v>
      </c>
      <c r="E184" s="26" t="n">
        <v>150</v>
      </c>
      <c r="F184" s="32" t="inlineStr">
        <is>
          <t>T5</t>
        </is>
      </c>
      <c r="G184" s="32" t="inlineStr">
        <is>
          <t>low</t>
        </is>
      </c>
      <c r="H184" s="19" t="n">
        <v>1</v>
      </c>
      <c r="I184" s="33">
        <f>60*D184/cruise_kt</f>
        <v/>
      </c>
      <c r="J184" s="33">
        <f>I184+turn_min+dwell_min</f>
        <v/>
      </c>
      <c r="K184" s="34">
        <f>MIN(15,FLOOR(60*service_hr/J184,1))</f>
        <v/>
      </c>
      <c r="L184" s="34">
        <f>ROUND(365*mech_uptime*H184,0)</f>
        <v/>
      </c>
      <c r="M184" s="35">
        <f>mech_uptime</f>
        <v/>
      </c>
      <c r="N184" s="35">
        <f>revleg_sel</f>
        <v/>
      </c>
      <c r="O184" s="34">
        <f>ROUND(K184*L184*revleg_sel,0)</f>
        <v/>
      </c>
      <c r="P184" s="36">
        <f>load_sel</f>
        <v/>
      </c>
      <c r="Q184" s="36">
        <f>pax_cap*P184</f>
        <v/>
      </c>
      <c r="R184" s="34">
        <f>Q184*O184</f>
        <v/>
      </c>
      <c r="S184" s="37">
        <f>E184*discount</f>
        <v/>
      </c>
      <c r="T184" s="38">
        <f>S184*R184</f>
        <v/>
      </c>
      <c r="U184" s="38">
        <f>(battery/range_nm)*D184*O184*VLOOKUP(B184,country_opex,3,FALSE)</f>
        <v/>
      </c>
      <c r="V184" s="38">
        <f>VLOOKUP(B184,country_opex,2,FALSE)*crew_factor</f>
        <v/>
      </c>
      <c r="W184" s="38">
        <f>VLOOKUP(B184,country_opex,5,FALSE)</f>
        <v/>
      </c>
      <c r="X184" s="38">
        <f>maint</f>
        <v/>
      </c>
      <c r="Y184" s="38">
        <f>VLOOKUP(B184,country_opex,7,FALSE)*ins_pct</f>
        <v/>
      </c>
      <c r="Z184" s="38">
        <f>charge_berth</f>
        <v/>
      </c>
      <c r="AA184" s="38">
        <f>U184+V184+W184+X184+Y184+Z184</f>
        <v/>
      </c>
      <c r="AB184" s="38">
        <f>VLOOKUP(B184,country_opex,7,FALSE)/dep_years</f>
        <v/>
      </c>
      <c r="AC184" s="38">
        <f>T184-AA184</f>
        <v/>
      </c>
      <c r="AD184" s="35">
        <f>IF(T184=0,"",AC184/T184)</f>
        <v/>
      </c>
      <c r="AE184" s="36">
        <f>IF(AC184&lt;=0,"",VLOOKUP(B184,country_opex,7,FALSE)/AC184)</f>
        <v/>
      </c>
      <c r="AF184" s="33">
        <f>((D184*O184/diesel_nmpg)*diesel_co2pg-(battery/range_nm)*D184*O184*VLOOKUP(B184,country_opex,4,FALSE))/1000</f>
        <v/>
      </c>
      <c r="AG184" s="31" t="n">
        <v>20000</v>
      </c>
      <c r="AH184" s="32" t="inlineStr">
        <is>
          <t>T3</t>
        </is>
      </c>
      <c r="AI184" s="32" t="inlineStr">
        <is>
          <t>low</t>
        </is>
      </c>
      <c r="AJ184" s="39" t="n">
        <v>0.1</v>
      </c>
      <c r="AK184" s="34">
        <f>IF(AG184="","",AG184*AJ184)</f>
        <v/>
      </c>
      <c r="AL184" s="34">
        <f>IF(OR(AG184="",R184=0),"",MIN(IF(AS184="",9.9E+99,AS184),FLOOR(AK184/R184,1)))</f>
        <v/>
      </c>
      <c r="AM184" s="38">
        <f>IF(AL184="","",AL184*T184)</f>
        <v/>
      </c>
      <c r="AN184" s="36">
        <f>IF(OR(AG184="",R184=0),"",MIN(IF(AS184="",9.9E+99,AS184),AK184/R184))</f>
        <v/>
      </c>
      <c r="AO184" s="38">
        <f>IF(AN184="","",AN184*T184)</f>
        <v/>
      </c>
      <c r="AP184" s="40" t="n"/>
      <c r="AQ184" s="41" t="n"/>
      <c r="AR184" s="41" t="n"/>
      <c r="AS184" s="42" t="n"/>
      <c r="AT184" s="43">
        <f>IF(((S184*pax_cap*load_thin*ROUND(K184*L184*revleg_thin,0))-(((battery/range_nm)*D184*ROUND(K184*L184*revleg_thin,0)*VLOOKUP(B184,country_opex,3,FALSE))+V184+W184+X184+Y184+Z184))&lt;=0,"",VLOOKUP(B184,country_opex,7,FALSE)/((S184*pax_cap*load_thin*ROUND(K184*L184*revleg_thin,0))-(((battery/range_nm)*D184*ROUND(K184*L184*revleg_thin,0)*VLOOKUP(B184,country_opex,3,FALSE))+V184+W184+X184+Y184+Z184)))</f>
        <v/>
      </c>
      <c r="AU184" s="43">
        <f>IF(((S184*pax_cap*load_mid*ROUND(K184*L184*revleg_mid,0))-(((battery/range_nm)*D184*ROUND(K184*L184*revleg_mid,0)*VLOOKUP(B184,country_opex,3,FALSE))+V184+W184+X184+Y184+Z184))&lt;=0,"",VLOOKUP(B184,country_opex,7,FALSE)/((S184*pax_cap*load_mid*ROUND(K184*L184*revleg_mid,0))-(((battery/range_nm)*D184*ROUND(K184*L184*revleg_mid,0)*VLOOKUP(B184,country_opex,3,FALSE))+V184+W184+X184+Y184+Z184)))</f>
        <v/>
      </c>
      <c r="AV184" s="43">
        <f>IF(((S184*pax_cap*load_full*ROUND(K184*L184*revleg_full,0))-(((battery/range_nm)*D184*ROUND(K184*L184*revleg_full,0)*VLOOKUP(B184,country_opex,3,FALSE))+V184+W184+X184+Y184+Z184))&lt;=0,"",VLOOKUP(B184,country_opex,7,FALSE)/((S184*pax_cap*load_full*ROUND(K184*L184*revleg_full,0))-(((battery/range_nm)*D184*ROUND(K184*L184*revleg_full,0)*VLOOKUP(B184,country_opex,3,FALSE))+V184+W184+X184+Y184+Z184)))</f>
        <v/>
      </c>
      <c r="AW184" s="44" t="inlineStr">
        <is>
          <t>The World (boat-only)&lt;-&gt;Bulgari (Jumeirah Bay) luxury hop. Greenfield. T5/low.</t>
        </is>
      </c>
      <c r="AX18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85">
      <c r="A185" s="29" t="inlineStr">
        <is>
          <t>Bolt Uae</t>
        </is>
      </c>
      <c r="B185" s="29" t="inlineStr">
        <is>
          <t>United Arab Emirates</t>
        </is>
      </c>
      <c r="C185" s="30" t="inlineStr">
        <is>
          <t>Saadiyat Beach Club Jetty → Zaya Nurai Island Jetty</t>
        </is>
      </c>
      <c r="D185" s="31" t="n">
        <v>4.4</v>
      </c>
      <c r="E185" s="26" t="n">
        <v>150</v>
      </c>
      <c r="F185" s="32" t="inlineStr">
        <is>
          <t>T3</t>
        </is>
      </c>
      <c r="G185" s="32" t="inlineStr">
        <is>
          <t>med</t>
        </is>
      </c>
      <c r="H185" s="19" t="n">
        <v>1</v>
      </c>
      <c r="I185" s="33">
        <f>60*D185/cruise_kt</f>
        <v/>
      </c>
      <c r="J185" s="33">
        <f>I185+turn_min+dwell_min</f>
        <v/>
      </c>
      <c r="K185" s="34">
        <f>MIN(15,FLOOR(60*service_hr/J185,1))</f>
        <v/>
      </c>
      <c r="L185" s="34">
        <f>ROUND(365*mech_uptime*H185,0)</f>
        <v/>
      </c>
      <c r="M185" s="35">
        <f>mech_uptime</f>
        <v/>
      </c>
      <c r="N185" s="35">
        <f>revleg_sel</f>
        <v/>
      </c>
      <c r="O185" s="34">
        <f>ROUND(K185*L185*revleg_sel,0)</f>
        <v/>
      </c>
      <c r="P185" s="36">
        <f>load_sel</f>
        <v/>
      </c>
      <c r="Q185" s="36">
        <f>pax_cap*P185</f>
        <v/>
      </c>
      <c r="R185" s="34">
        <f>Q185*O185</f>
        <v/>
      </c>
      <c r="S185" s="37">
        <f>E185*discount</f>
        <v/>
      </c>
      <c r="T185" s="38">
        <f>S185*R185</f>
        <v/>
      </c>
      <c r="U185" s="38">
        <f>(battery/range_nm)*D185*O185*VLOOKUP(B185,country_opex,3,FALSE)</f>
        <v/>
      </c>
      <c r="V185" s="38">
        <f>VLOOKUP(B185,country_opex,2,FALSE)*crew_factor</f>
        <v/>
      </c>
      <c r="W185" s="38">
        <f>VLOOKUP(B185,country_opex,5,FALSE)</f>
        <v/>
      </c>
      <c r="X185" s="38">
        <f>maint</f>
        <v/>
      </c>
      <c r="Y185" s="38">
        <f>VLOOKUP(B185,country_opex,7,FALSE)*ins_pct</f>
        <v/>
      </c>
      <c r="Z185" s="38">
        <f>charge_berth</f>
        <v/>
      </c>
      <c r="AA185" s="38">
        <f>U185+V185+W185+X185+Y185+Z185</f>
        <v/>
      </c>
      <c r="AB185" s="38">
        <f>VLOOKUP(B185,country_opex,7,FALSE)/dep_years</f>
        <v/>
      </c>
      <c r="AC185" s="38">
        <f>T185-AA185</f>
        <v/>
      </c>
      <c r="AD185" s="35">
        <f>IF(T185=0,"",AC185/T185)</f>
        <v/>
      </c>
      <c r="AE185" s="36">
        <f>IF(AC185&lt;=0,"",VLOOKUP(B185,country_opex,7,FALSE)/AC185)</f>
        <v/>
      </c>
      <c r="AF185" s="33">
        <f>((D185*O185/diesel_nmpg)*diesel_co2pg-(battery/range_nm)*D185*O185*VLOOKUP(B185,country_opex,4,FALSE))/1000</f>
        <v/>
      </c>
      <c r="AG185" s="31" t="n">
        <v>45000</v>
      </c>
      <c r="AH185" s="32" t="inlineStr">
        <is>
          <t>T5</t>
        </is>
      </c>
      <c r="AI185" s="32" t="inlineStr">
        <is>
          <t>low</t>
        </is>
      </c>
      <c r="AJ185" s="39" t="n">
        <v>0.1</v>
      </c>
      <c r="AK185" s="34">
        <f>IF(AG185="","",AG185*AJ185)</f>
        <v/>
      </c>
      <c r="AL185" s="34">
        <f>IF(OR(AG185="",R185=0),"",MIN(IF(AS185="",9.9E+99,AS185),FLOOR(AK185/R185,1)))</f>
        <v/>
      </c>
      <c r="AM185" s="38">
        <f>IF(AL185="","",AL185*T185)</f>
        <v/>
      </c>
      <c r="AN185" s="36">
        <f>IF(OR(AG185="",R185=0),"",MIN(IF(AS185="",9.9E+99,AS185),AK185/R185))</f>
        <v/>
      </c>
      <c r="AO185" s="38">
        <f>IF(AN185="","",AN185*T185)</f>
        <v/>
      </c>
      <c r="AP185" s="40" t="n"/>
      <c r="AQ185" s="41" t="n"/>
      <c r="AR185" s="41" t="n"/>
      <c r="AS185" s="42" t="n"/>
      <c r="AT185" s="43">
        <f>IF(((S185*pax_cap*load_thin*ROUND(K185*L185*revleg_thin,0))-(((battery/range_nm)*D185*ROUND(K185*L185*revleg_thin,0)*VLOOKUP(B185,country_opex,3,FALSE))+V185+W185+X185+Y185+Z185))&lt;=0,"",VLOOKUP(B185,country_opex,7,FALSE)/((S185*pax_cap*load_thin*ROUND(K185*L185*revleg_thin,0))-(((battery/range_nm)*D185*ROUND(K185*L185*revleg_thin,0)*VLOOKUP(B185,country_opex,3,FALSE))+V185+W185+X185+Y185+Z185)))</f>
        <v/>
      </c>
      <c r="AU185" s="43">
        <f>IF(((S185*pax_cap*load_mid*ROUND(K185*L185*revleg_mid,0))-(((battery/range_nm)*D185*ROUND(K185*L185*revleg_mid,0)*VLOOKUP(B185,country_opex,3,FALSE))+V185+W185+X185+Y185+Z185))&lt;=0,"",VLOOKUP(B185,country_opex,7,FALSE)/((S185*pax_cap*load_mid*ROUND(K185*L185*revleg_mid,0))-(((battery/range_nm)*D185*ROUND(K185*L185*revleg_mid,0)*VLOOKUP(B185,country_opex,3,FALSE))+V185+W185+X185+Y185+Z185)))</f>
        <v/>
      </c>
      <c r="AV185" s="43">
        <f>IF(((S185*pax_cap*load_full*ROUND(K185*L185*revleg_full,0))-(((battery/range_nm)*D185*ROUND(K185*L185*revleg_full,0)*VLOOKUP(B185,country_opex,3,FALSE))+V185+W185+X185+Y185+Z185))&lt;=0,"",VLOOKUP(B185,country_opex,7,FALSE)/((S185*pax_cap*load_full*ROUND(K185*L185*revleg_full,0))-(((battery/range_nm)*D185*ROUND(K185*L185*revleg_full,0)*VLOOKUP(B185,country_opex,3,FALSE))+V185+W185+X185+Y185+Z185)))</f>
        <v/>
      </c>
      <c r="AW185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85" s="44" t="inlineStr">
        <is>
          <t>Boat-only -&gt; FULLY addressable (R3-EXCEPTION). 32 villas + 23 residences stay-pool + day-club guests (major Saadiyat day-trip).</t>
        </is>
      </c>
    </row>
    <row r="186">
      <c r="A186" s="29" t="inlineStr">
        <is>
          <t>Bolt Uae</t>
        </is>
      </c>
      <c r="B186" s="29" t="inlineStr">
        <is>
          <t>United Arab Emirates</t>
        </is>
      </c>
      <c r="C186" s="30" t="inlineStr">
        <is>
          <t>Dubai Harbour Marina → Atlantis The Royal Jetty</t>
        </is>
      </c>
      <c r="D186" s="31" t="n">
        <v>4.9</v>
      </c>
      <c r="E186" s="26" t="n">
        <v>175</v>
      </c>
      <c r="F186" s="32" t="inlineStr">
        <is>
          <t>T5</t>
        </is>
      </c>
      <c r="G186" s="32" t="inlineStr">
        <is>
          <t>low</t>
        </is>
      </c>
      <c r="H186" s="19" t="n">
        <v>1</v>
      </c>
      <c r="I186" s="33">
        <f>60*D186/cruise_kt</f>
        <v/>
      </c>
      <c r="J186" s="33">
        <f>I186+turn_min+dwell_min</f>
        <v/>
      </c>
      <c r="K186" s="34">
        <f>MIN(15,FLOOR(60*service_hr/J186,1))</f>
        <v/>
      </c>
      <c r="L186" s="34">
        <f>ROUND(365*mech_uptime*H186,0)</f>
        <v/>
      </c>
      <c r="M186" s="35">
        <f>mech_uptime</f>
        <v/>
      </c>
      <c r="N186" s="35">
        <f>revleg_sel</f>
        <v/>
      </c>
      <c r="O186" s="34">
        <f>ROUND(K186*L186*revleg_sel,0)</f>
        <v/>
      </c>
      <c r="P186" s="36">
        <f>load_sel</f>
        <v/>
      </c>
      <c r="Q186" s="36">
        <f>pax_cap*P186</f>
        <v/>
      </c>
      <c r="R186" s="34">
        <f>Q186*O186</f>
        <v/>
      </c>
      <c r="S186" s="37">
        <f>E186*discount</f>
        <v/>
      </c>
      <c r="T186" s="38">
        <f>S186*R186</f>
        <v/>
      </c>
      <c r="U186" s="38">
        <f>(battery/range_nm)*D186*O186*VLOOKUP(B186,country_opex,3,FALSE)</f>
        <v/>
      </c>
      <c r="V186" s="38">
        <f>VLOOKUP(B186,country_opex,2,FALSE)*crew_factor</f>
        <v/>
      </c>
      <c r="W186" s="38">
        <f>VLOOKUP(B186,country_opex,5,FALSE)</f>
        <v/>
      </c>
      <c r="X186" s="38">
        <f>maint</f>
        <v/>
      </c>
      <c r="Y186" s="38">
        <f>VLOOKUP(B186,country_opex,7,FALSE)*ins_pct</f>
        <v/>
      </c>
      <c r="Z186" s="38">
        <f>charge_berth</f>
        <v/>
      </c>
      <c r="AA186" s="38">
        <f>U186+V186+W186+X186+Y186+Z186</f>
        <v/>
      </c>
      <c r="AB186" s="38">
        <f>VLOOKUP(B186,country_opex,7,FALSE)/dep_years</f>
        <v/>
      </c>
      <c r="AC186" s="38">
        <f>T186-AA186</f>
        <v/>
      </c>
      <c r="AD186" s="35">
        <f>IF(T186=0,"",AC186/T186)</f>
        <v/>
      </c>
      <c r="AE186" s="36">
        <f>IF(AC186&lt;=0,"",VLOOKUP(B186,country_opex,7,FALSE)/AC186)</f>
        <v/>
      </c>
      <c r="AF186" s="33">
        <f>((D186*O186/diesel_nmpg)*diesel_co2pg-(battery/range_nm)*D186*O186*VLOOKUP(B186,country_opex,4,FALSE))/1000</f>
        <v/>
      </c>
      <c r="AG186" s="31" t="n">
        <v>10000</v>
      </c>
      <c r="AH186" s="32" t="inlineStr">
        <is>
          <t>T5</t>
        </is>
      </c>
      <c r="AI186" s="32" t="inlineStr">
        <is>
          <t>low</t>
        </is>
      </c>
      <c r="AJ186" s="39" t="n">
        <v>0.1</v>
      </c>
      <c r="AK186" s="34">
        <f>IF(AG186="","",AG186*AJ186)</f>
        <v/>
      </c>
      <c r="AL186" s="34">
        <f>IF(OR(AG186="",R186=0),"",MIN(IF(AS186="",9.9E+99,AS186),FLOOR(AK186/R186,1)))</f>
        <v/>
      </c>
      <c r="AM186" s="38">
        <f>IF(AL186="","",AL186*T186)</f>
        <v/>
      </c>
      <c r="AN186" s="36">
        <f>IF(OR(AG186="",R186=0),"",MIN(IF(AS186="",9.9E+99,AS186),AK186/R186))</f>
        <v/>
      </c>
      <c r="AO186" s="38">
        <f>IF(AN186="","",AN186*T186)</f>
        <v/>
      </c>
      <c r="AP186" s="40" t="n"/>
      <c r="AQ186" s="41" t="n"/>
      <c r="AR186" s="41" t="n"/>
      <c r="AS186" s="42" t="n"/>
      <c r="AT186" s="43">
        <f>IF(((S186*pax_cap*load_thin*ROUND(K186*L186*revleg_thin,0))-(((battery/range_nm)*D186*ROUND(K186*L186*revleg_thin,0)*VLOOKUP(B186,country_opex,3,FALSE))+V186+W186+X186+Y186+Z186))&lt;=0,"",VLOOKUP(B186,country_opex,7,FALSE)/((S186*pax_cap*load_thin*ROUND(K186*L186*revleg_thin,0))-(((battery/range_nm)*D186*ROUND(K186*L186*revleg_thin,0)*VLOOKUP(B186,country_opex,3,FALSE))+V186+W186+X186+Y186+Z186)))</f>
        <v/>
      </c>
      <c r="AU186" s="43">
        <f>IF(((S186*pax_cap*load_mid*ROUND(K186*L186*revleg_mid,0))-(((battery/range_nm)*D186*ROUND(K186*L186*revleg_mid,0)*VLOOKUP(B186,country_opex,3,FALSE))+V186+W186+X186+Y186+Z186))&lt;=0,"",VLOOKUP(B186,country_opex,7,FALSE)/((S186*pax_cap*load_mid*ROUND(K186*L186*revleg_mid,0))-(((battery/range_nm)*D186*ROUND(K186*L186*revleg_mid,0)*VLOOKUP(B186,country_opex,3,FALSE))+V186+W186+X186+Y186+Z186)))</f>
        <v/>
      </c>
      <c r="AV186" s="43">
        <f>IF(((S186*pax_cap*load_full*ROUND(K186*L186*revleg_full,0))-(((battery/range_nm)*D186*ROUND(K186*L186*revleg_full,0)*VLOOKUP(B186,country_opex,3,FALSE))+V186+W186+X186+Y186+Z186))&lt;=0,"",VLOOKUP(B186,country_opex,7,FALSE)/((S186*pax_cap*load_full*ROUND(K186*L186*revleg_full,0))-(((battery/range_nm)*D186*ROUND(K186*L186*revleg_full,0)*VLOOKUP(B186,country_opex,3,FALSE))+V186+W186+X186+Y186+Z186)))</f>
        <v/>
      </c>
      <c r="AW186" s="44" t="inlineStr">
        <is>
          <t>Atlantis The Royal (795 keys) road-served; signature marine arrival opportunity-to-create. T5/low.</t>
        </is>
      </c>
      <c r="AX186" s="44" t="inlineStr">
        <is>
          <t>OPT-IN luxury-arrival fraction only (R3-LAND road-served). 795 keys x occ -&gt; small opt-in marine pool.</t>
        </is>
      </c>
    </row>
    <row r="187">
      <c r="A187" s="29" t="inlineStr">
        <is>
          <t>Bolt Uae</t>
        </is>
      </c>
      <c r="B187" s="29" t="inlineStr">
        <is>
          <t>United Arab Emirates</t>
        </is>
      </c>
      <c r="C187" s="30" t="inlineStr">
        <is>
          <t>Jebel Dhanna / Ruwais Ferry Terminal → Sir Bani Yas Cruise Port</t>
        </is>
      </c>
      <c r="D187" s="31" t="n">
        <v>5.3</v>
      </c>
      <c r="E187" s="26" t="n">
        <v>90</v>
      </c>
      <c r="F187" s="32" t="inlineStr">
        <is>
          <t>T5</t>
        </is>
      </c>
      <c r="G187" s="32" t="inlineStr">
        <is>
          <t>low</t>
        </is>
      </c>
      <c r="H187" s="19" t="n">
        <v>1</v>
      </c>
      <c r="I187" s="33">
        <f>60*D187/cruise_kt</f>
        <v/>
      </c>
      <c r="J187" s="33">
        <f>I187+turn_min+dwell_min</f>
        <v/>
      </c>
      <c r="K187" s="34">
        <f>MIN(15,FLOOR(60*service_hr/J187,1))</f>
        <v/>
      </c>
      <c r="L187" s="34">
        <f>ROUND(365*mech_uptime*H187,0)</f>
        <v/>
      </c>
      <c r="M187" s="35">
        <f>mech_uptime</f>
        <v/>
      </c>
      <c r="N187" s="35">
        <f>revleg_sel</f>
        <v/>
      </c>
      <c r="O187" s="34">
        <f>ROUND(K187*L187*revleg_sel,0)</f>
        <v/>
      </c>
      <c r="P187" s="36">
        <f>load_sel</f>
        <v/>
      </c>
      <c r="Q187" s="36">
        <f>pax_cap*P187</f>
        <v/>
      </c>
      <c r="R187" s="34">
        <f>Q187*O187</f>
        <v/>
      </c>
      <c r="S187" s="37">
        <f>E187*discount</f>
        <v/>
      </c>
      <c r="T187" s="38">
        <f>S187*R187</f>
        <v/>
      </c>
      <c r="U187" s="38">
        <f>(battery/range_nm)*D187*O187*VLOOKUP(B187,country_opex,3,FALSE)</f>
        <v/>
      </c>
      <c r="V187" s="38">
        <f>VLOOKUP(B187,country_opex,2,FALSE)*crew_factor</f>
        <v/>
      </c>
      <c r="W187" s="38">
        <f>VLOOKUP(B187,country_opex,5,FALSE)</f>
        <v/>
      </c>
      <c r="X187" s="38">
        <f>maint</f>
        <v/>
      </c>
      <c r="Y187" s="38">
        <f>VLOOKUP(B187,country_opex,7,FALSE)*ins_pct</f>
        <v/>
      </c>
      <c r="Z187" s="38">
        <f>charge_berth</f>
        <v/>
      </c>
      <c r="AA187" s="38">
        <f>U187+V187+W187+X187+Y187+Z187</f>
        <v/>
      </c>
      <c r="AB187" s="38">
        <f>VLOOKUP(B187,country_opex,7,FALSE)/dep_years</f>
        <v/>
      </c>
      <c r="AC187" s="38">
        <f>T187-AA187</f>
        <v/>
      </c>
      <c r="AD187" s="35">
        <f>IF(T187=0,"",AC187/T187)</f>
        <v/>
      </c>
      <c r="AE187" s="36">
        <f>IF(AC187&lt;=0,"",VLOOKUP(B187,country_opex,7,FALSE)/AC187)</f>
        <v/>
      </c>
      <c r="AF187" s="33">
        <f>((D187*O187/diesel_nmpg)*diesel_co2pg-(battery/range_nm)*D187*O187*VLOOKUP(B187,country_opex,4,FALSE))/1000</f>
        <v/>
      </c>
      <c r="AG187" s="31" t="n">
        <v>60000</v>
      </c>
      <c r="AH187" s="32" t="inlineStr">
        <is>
          <t>T5</t>
        </is>
      </c>
      <c r="AI187" s="32" t="inlineStr">
        <is>
          <t>low</t>
        </is>
      </c>
      <c r="AJ187" s="39" t="n">
        <v>0.1</v>
      </c>
      <c r="AK187" s="34">
        <f>IF(AG187="","",AG187*AJ187)</f>
        <v/>
      </c>
      <c r="AL187" s="34">
        <f>IF(OR(AG187="",R187=0),"",MIN(IF(AS187="",9.9E+99,AS187),FLOOR(AK187/R187,1)))</f>
        <v/>
      </c>
      <c r="AM187" s="38">
        <f>IF(AL187="","",AL187*T187)</f>
        <v/>
      </c>
      <c r="AN187" s="36">
        <f>IF(OR(AG187="",R187=0),"",MIN(IF(AS187="",9.9E+99,AS187),AK187/R187))</f>
        <v/>
      </c>
      <c r="AO187" s="38">
        <f>IF(AN187="","",AN187*T187)</f>
        <v/>
      </c>
      <c r="AP187" s="40" t="n"/>
      <c r="AQ187" s="41" t="n"/>
      <c r="AR187" s="41" t="n"/>
      <c r="AS187" s="42" t="n"/>
      <c r="AT187" s="43">
        <f>IF(((S187*pax_cap*load_thin*ROUND(K187*L187*revleg_thin,0))-(((battery/range_nm)*D187*ROUND(K187*L187*revleg_thin,0)*VLOOKUP(B187,country_opex,3,FALSE))+V187+W187+X187+Y187+Z187))&lt;=0,"",VLOOKUP(B187,country_opex,7,FALSE)/((S187*pax_cap*load_thin*ROUND(K187*L187*revleg_thin,0))-(((battery/range_nm)*D187*ROUND(K187*L187*revleg_thin,0)*VLOOKUP(B187,country_opex,3,FALSE))+V187+W187+X187+Y187+Z187)))</f>
        <v/>
      </c>
      <c r="AU187" s="43">
        <f>IF(((S187*pax_cap*load_mid*ROUND(K187*L187*revleg_mid,0))-(((battery/range_nm)*D187*ROUND(K187*L187*revleg_mid,0)*VLOOKUP(B187,country_opex,3,FALSE))+V187+W187+X187+Y187+Z187))&lt;=0,"",VLOOKUP(B187,country_opex,7,FALSE)/((S187*pax_cap*load_mid*ROUND(K187*L187*revleg_mid,0))-(((battery/range_nm)*D187*ROUND(K187*L187*revleg_mid,0)*VLOOKUP(B187,country_opex,3,FALSE))+V187+W187+X187+Y187+Z187)))</f>
        <v/>
      </c>
      <c r="AV187" s="43">
        <f>IF(((S187*pax_cap*load_full*ROUND(K187*L187*revleg_full,0))-(((battery/range_nm)*D187*ROUND(K187*L187*revleg_full,0)*VLOOKUP(B187,country_opex,3,FALSE))+V187+W187+X187+Y187+Z187))&lt;=0,"",VLOOKUP(B187,country_opex,7,FALSE)/((S187*pax_cap*load_full*ROUND(K187*L187*revleg_full,0))-(((battery/range_nm)*D187*ROUND(K187*L187*revleg_full,0)*VLOOKUP(B187,country_opex,3,FALSE))+V187+W187+X187+Y187+Z187)))</f>
        <v/>
      </c>
      <c r="AW187" s="44" t="inlineStr">
        <is>
          <t>Sir Bani Yas boat-only (~8km offshore). 3 Anantara resorts ~124 keys. Guest boat transfer FREE today (R-UAE-1) -&gt; $90 opportunity-to-create / day-guest analog. T5/low.</t>
        </is>
      </c>
      <c r="AX187" s="44" t="inlineStr">
        <is>
          <t>Sir Bani Yas boat-only (R3-EXCEPTION). 3 Anantara resorts ~124 keys + Arabian Wildlife Park day-visitors via Jebel Dhanna ferry.</t>
        </is>
      </c>
    </row>
    <row r="188">
      <c r="A188" s="29" t="inlineStr">
        <is>
          <t>Bolt Uae</t>
        </is>
      </c>
      <c r="B188" s="29" t="inlineStr">
        <is>
          <t>United Arab Emirates</t>
        </is>
      </c>
      <c r="C188" s="30" t="inlineStr">
        <is>
          <t>Dubai Harbour Marina → Burj Al Arab Private Jetty</t>
        </is>
      </c>
      <c r="D188" s="31" t="n">
        <v>6.9</v>
      </c>
      <c r="E188" s="26" t="n">
        <v>250</v>
      </c>
      <c r="F188" s="32" t="inlineStr">
        <is>
          <t>T5</t>
        </is>
      </c>
      <c r="G188" s="32" t="inlineStr">
        <is>
          <t>low</t>
        </is>
      </c>
      <c r="H188" s="19" t="n">
        <v>1</v>
      </c>
      <c r="I188" s="33">
        <f>60*D188/cruise_kt</f>
        <v/>
      </c>
      <c r="J188" s="33">
        <f>I188+turn_min+dwell_min</f>
        <v/>
      </c>
      <c r="K188" s="34">
        <f>MIN(15,FLOOR(60*service_hr/J188,1))</f>
        <v/>
      </c>
      <c r="L188" s="34">
        <f>ROUND(365*mech_uptime*H188,0)</f>
        <v/>
      </c>
      <c r="M188" s="35">
        <f>mech_uptime</f>
        <v/>
      </c>
      <c r="N188" s="35">
        <f>revleg_sel</f>
        <v/>
      </c>
      <c r="O188" s="34">
        <f>ROUND(K188*L188*revleg_sel,0)</f>
        <v/>
      </c>
      <c r="P188" s="36">
        <f>load_sel</f>
        <v/>
      </c>
      <c r="Q188" s="36">
        <f>pax_cap*P188</f>
        <v/>
      </c>
      <c r="R188" s="34">
        <f>Q188*O188</f>
        <v/>
      </c>
      <c r="S188" s="37">
        <f>E188*discount</f>
        <v/>
      </c>
      <c r="T188" s="38">
        <f>S188*R188</f>
        <v/>
      </c>
      <c r="U188" s="38">
        <f>(battery/range_nm)*D188*O188*VLOOKUP(B188,country_opex,3,FALSE)</f>
        <v/>
      </c>
      <c r="V188" s="38">
        <f>VLOOKUP(B188,country_opex,2,FALSE)*crew_factor</f>
        <v/>
      </c>
      <c r="W188" s="38">
        <f>VLOOKUP(B188,country_opex,5,FALSE)</f>
        <v/>
      </c>
      <c r="X188" s="38">
        <f>maint</f>
        <v/>
      </c>
      <c r="Y188" s="38">
        <f>VLOOKUP(B188,country_opex,7,FALSE)*ins_pct</f>
        <v/>
      </c>
      <c r="Z188" s="38">
        <f>charge_berth</f>
        <v/>
      </c>
      <c r="AA188" s="38">
        <f>U188+V188+W188+X188+Y188+Z188</f>
        <v/>
      </c>
      <c r="AB188" s="38">
        <f>VLOOKUP(B188,country_opex,7,FALSE)/dep_years</f>
        <v/>
      </c>
      <c r="AC188" s="38">
        <f>T188-AA188</f>
        <v/>
      </c>
      <c r="AD188" s="35">
        <f>IF(T188=0,"",AC188/T188)</f>
        <v/>
      </c>
      <c r="AE188" s="36">
        <f>IF(AC188&lt;=0,"",VLOOKUP(B188,country_opex,7,FALSE)/AC188)</f>
        <v/>
      </c>
      <c r="AF188" s="33">
        <f>((D188*O188/diesel_nmpg)*diesel_co2pg-(battery/range_nm)*D188*O188*VLOOKUP(B188,country_opex,4,FALSE))/1000</f>
        <v/>
      </c>
      <c r="AG188" s="31" t="n">
        <v>5000</v>
      </c>
      <c r="AH188" s="32" t="inlineStr">
        <is>
          <t>T5</t>
        </is>
      </c>
      <c r="AI188" s="32" t="inlineStr">
        <is>
          <t>low</t>
        </is>
      </c>
      <c r="AJ188" s="39" t="n">
        <v>0.1</v>
      </c>
      <c r="AK188" s="34">
        <f>IF(AG188="","",AG188*AJ188)</f>
        <v/>
      </c>
      <c r="AL188" s="34">
        <f>IF(OR(AG188="",R188=0),"",MIN(IF(AS188="",9.9E+99,AS188),FLOOR(AK188/R188,1)))</f>
        <v/>
      </c>
      <c r="AM188" s="38">
        <f>IF(AL188="","",AL188*T188)</f>
        <v/>
      </c>
      <c r="AN188" s="36">
        <f>IF(OR(AG188="",R188=0),"",MIN(IF(AS188="",9.9E+99,AS188),AK188/R188))</f>
        <v/>
      </c>
      <c r="AO188" s="38">
        <f>IF(AN188="","",AN188*T188)</f>
        <v/>
      </c>
      <c r="AP188" s="40" t="n"/>
      <c r="AQ188" s="41" t="n"/>
      <c r="AR188" s="41" t="n"/>
      <c r="AS188" s="42" t="n"/>
      <c r="AT188" s="43">
        <f>IF(((S188*pax_cap*load_thin*ROUND(K188*L188*revleg_thin,0))-(((battery/range_nm)*D188*ROUND(K188*L188*revleg_thin,0)*VLOOKUP(B188,country_opex,3,FALSE))+V188+W188+X188+Y188+Z188))&lt;=0,"",VLOOKUP(B188,country_opex,7,FALSE)/((S188*pax_cap*load_thin*ROUND(K188*L188*revleg_thin,0))-(((battery/range_nm)*D188*ROUND(K188*L188*revleg_thin,0)*VLOOKUP(B188,country_opex,3,FALSE))+V188+W188+X188+Y188+Z188)))</f>
        <v/>
      </c>
      <c r="AU188" s="43">
        <f>IF(((S188*pax_cap*load_mid*ROUND(K188*L188*revleg_mid,0))-(((battery/range_nm)*D188*ROUND(K188*L188*revleg_mid,0)*VLOOKUP(B188,country_opex,3,FALSE))+V188+W188+X188+Y188+Z188))&lt;=0,"",VLOOKUP(B188,country_opex,7,FALSE)/((S188*pax_cap*load_mid*ROUND(K188*L188*revleg_mid,0))-(((battery/range_nm)*D188*ROUND(K188*L188*revleg_mid,0)*VLOOKUP(B188,country_opex,3,FALSE))+V188+W188+X188+Y188+Z188)))</f>
        <v/>
      </c>
      <c r="AV188" s="43">
        <f>IF(((S188*pax_cap*load_full*ROUND(K188*L188*revleg_full,0))-(((battery/range_nm)*D188*ROUND(K188*L188*revleg_full,0)*VLOOKUP(B188,country_opex,3,FALSE))+V188+W188+X188+Y188+Z188))&lt;=0,"",VLOOKUP(B188,country_opex,7,FALSE)/((S188*pax_cap*load_full*ROUND(K188*L188*revleg_full,0))-(((battery/range_nm)*D188*ROUND(K188*L188*revleg_full,0)*VLOOKUP(B188,country_opex,3,FALSE))+V188+W188+X188+Y188+Z188)))</f>
        <v/>
      </c>
      <c r="AW188" s="44" t="inlineStr">
        <is>
          <t>Burj Al Arab (202 suites) road-served; iconic signature marine arrival. T5/low.</t>
        </is>
      </c>
      <c r="AX188" s="44" t="inlineStr">
        <is>
          <t>OPT-IN only (R3-LAND). 202 suites x occ -&gt; modest base + experiential day-guest yacht-arrivals.</t>
        </is>
      </c>
    </row>
    <row r="189">
      <c r="A189" s="29" t="inlineStr">
        <is>
          <t>Bolt Uae</t>
        </is>
      </c>
      <c r="B189" s="29" t="inlineStr">
        <is>
          <t>United Arab Emirates</t>
        </is>
      </c>
      <c r="C189" s="30" t="inlineStr">
        <is>
          <t>Marina Mall / Breakwater Marina → Reem Island Marina (Najmat / Marina Square)</t>
        </is>
      </c>
      <c r="D189" s="31" t="n">
        <v>7.1</v>
      </c>
      <c r="E189" s="26" t="n">
        <v>60</v>
      </c>
      <c r="F189" s="32" t="inlineStr">
        <is>
          <t>T4</t>
        </is>
      </c>
      <c r="G189" s="32" t="inlineStr">
        <is>
          <t>low</t>
        </is>
      </c>
      <c r="H189" s="19" t="n">
        <v>1</v>
      </c>
      <c r="I189" s="33">
        <f>60*D189/cruise_kt</f>
        <v/>
      </c>
      <c r="J189" s="33">
        <f>I189+turn_min+dwell_min</f>
        <v/>
      </c>
      <c r="K189" s="34">
        <f>MIN(15,FLOOR(60*service_hr/J189,1))</f>
        <v/>
      </c>
      <c r="L189" s="34">
        <f>ROUND(365*mech_uptime*H189,0)</f>
        <v/>
      </c>
      <c r="M189" s="35">
        <f>mech_uptime</f>
        <v/>
      </c>
      <c r="N189" s="35">
        <f>revleg_sel</f>
        <v/>
      </c>
      <c r="O189" s="34">
        <f>ROUND(K189*L189*revleg_sel,0)</f>
        <v/>
      </c>
      <c r="P189" s="36">
        <f>load_sel</f>
        <v/>
      </c>
      <c r="Q189" s="36">
        <f>pax_cap*P189</f>
        <v/>
      </c>
      <c r="R189" s="34">
        <f>Q189*O189</f>
        <v/>
      </c>
      <c r="S189" s="37">
        <f>E189*discount</f>
        <v/>
      </c>
      <c r="T189" s="38">
        <f>S189*R189</f>
        <v/>
      </c>
      <c r="U189" s="38">
        <f>(battery/range_nm)*D189*O189*VLOOKUP(B189,country_opex,3,FALSE)</f>
        <v/>
      </c>
      <c r="V189" s="38">
        <f>VLOOKUP(B189,country_opex,2,FALSE)*crew_factor</f>
        <v/>
      </c>
      <c r="W189" s="38">
        <f>VLOOKUP(B189,country_opex,5,FALSE)</f>
        <v/>
      </c>
      <c r="X189" s="38">
        <f>maint</f>
        <v/>
      </c>
      <c r="Y189" s="38">
        <f>VLOOKUP(B189,country_opex,7,FALSE)*ins_pct</f>
        <v/>
      </c>
      <c r="Z189" s="38">
        <f>charge_berth</f>
        <v/>
      </c>
      <c r="AA189" s="38">
        <f>U189+V189+W189+X189+Y189+Z189</f>
        <v/>
      </c>
      <c r="AB189" s="38">
        <f>VLOOKUP(B189,country_opex,7,FALSE)/dep_years</f>
        <v/>
      </c>
      <c r="AC189" s="38">
        <f>T189-AA189</f>
        <v/>
      </c>
      <c r="AD189" s="35">
        <f>IF(T189=0,"",AC189/T189)</f>
        <v/>
      </c>
      <c r="AE189" s="36">
        <f>IF(AC189&lt;=0,"",VLOOKUP(B189,country_opex,7,FALSE)/AC189)</f>
        <v/>
      </c>
      <c r="AF189" s="33">
        <f>((D189*O189/diesel_nmpg)*diesel_co2pg-(battery/range_nm)*D189*O189*VLOOKUP(B189,country_opex,4,FALSE))/1000</f>
        <v/>
      </c>
      <c r="AG189" s="31" t="n">
        <v>35000</v>
      </c>
      <c r="AH189" s="32" t="inlineStr">
        <is>
          <t>T3</t>
        </is>
      </c>
      <c r="AI189" s="32" t="inlineStr">
        <is>
          <t>low</t>
        </is>
      </c>
      <c r="AJ189" s="39" t="n">
        <v>0.1</v>
      </c>
      <c r="AK189" s="34">
        <f>IF(AG189="","",AG189*AJ189)</f>
        <v/>
      </c>
      <c r="AL189" s="34">
        <f>IF(OR(AG189="",R189=0),"",MIN(IF(AS189="",9.9E+99,AS189),FLOOR(AK189/R189,1)))</f>
        <v/>
      </c>
      <c r="AM189" s="38">
        <f>IF(AL189="","",AL189*T189)</f>
        <v/>
      </c>
      <c r="AN189" s="36">
        <f>IF(OR(AG189="",R189=0),"",MIN(IF(AS189="",9.9E+99,AS189),AK189/R189))</f>
        <v/>
      </c>
      <c r="AO189" s="38">
        <f>IF(AN189="","",AN189*T189)</f>
        <v/>
      </c>
      <c r="AP189" s="40" t="n"/>
      <c r="AQ189" s="41" t="n"/>
      <c r="AR189" s="41" t="n"/>
      <c r="AS189" s="42" t="n"/>
      <c r="AT189" s="43">
        <f>IF(((S189*pax_cap*load_thin*ROUND(K189*L189*revleg_thin,0))-(((battery/range_nm)*D189*ROUND(K189*L189*revleg_thin,0)*VLOOKUP(B189,country_opex,3,FALSE))+V189+W189+X189+Y189+Z189))&lt;=0,"",VLOOKUP(B189,country_opex,7,FALSE)/((S189*pax_cap*load_thin*ROUND(K189*L189*revleg_thin,0))-(((battery/range_nm)*D189*ROUND(K189*L189*revleg_thin,0)*VLOOKUP(B189,country_opex,3,FALSE))+V189+W189+X189+Y189+Z189)))</f>
        <v/>
      </c>
      <c r="AU189" s="43">
        <f>IF(((S189*pax_cap*load_mid*ROUND(K189*L189*revleg_mid,0))-(((battery/range_nm)*D189*ROUND(K189*L189*revleg_mid,0)*VLOOKUP(B189,country_opex,3,FALSE))+V189+W189+X189+Y189+Z189))&lt;=0,"",VLOOKUP(B189,country_opex,7,FALSE)/((S189*pax_cap*load_mid*ROUND(K189*L189*revleg_mid,0))-(((battery/range_nm)*D189*ROUND(K189*L189*revleg_mid,0)*VLOOKUP(B189,country_opex,3,FALSE))+V189+W189+X189+Y189+Z189)))</f>
        <v/>
      </c>
      <c r="AV189" s="43">
        <f>IF(((S189*pax_cap*load_full*ROUND(K189*L189*revleg_full,0))-(((battery/range_nm)*D189*ROUND(K189*L189*revleg_full,0)*VLOOKUP(B189,country_opex,3,FALSE))+V189+W189+X189+Y189+Z189))&lt;=0,"",VLOOKUP(B189,country_opex,7,FALSE)/((S189*pax_cap*load_full*ROUND(K189*L189*revleg_full,0))-(((battery/range_nm)*D189*ROUND(K189*L189*revleg_full,0)*VLOOKUP(B189,country_opex,3,FALSE))+V189+W189+X189+Y189+Z189)))</f>
        <v/>
      </c>
      <c r="AW189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8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0">
      <c r="A190" s="29" t="inlineStr">
        <is>
          <t>Bolt Uae</t>
        </is>
      </c>
      <c r="B190" s="29" t="inlineStr">
        <is>
          <t>United Arab Emirates</t>
        </is>
      </c>
      <c r="C190" s="30" t="inlineStr">
        <is>
          <t>Dubai Harbour Marina → Anantara World Islands Resort Jetty (planned)</t>
        </is>
      </c>
      <c r="D190" s="31" t="n">
        <v>7.9</v>
      </c>
      <c r="E190" s="26" t="n">
        <v>80</v>
      </c>
      <c r="F190" s="32" t="inlineStr">
        <is>
          <t>T4</t>
        </is>
      </c>
      <c r="G190" s="32" t="inlineStr">
        <is>
          <t>low</t>
        </is>
      </c>
      <c r="H190" s="19" t="n">
        <v>1</v>
      </c>
      <c r="I190" s="33">
        <f>60*D190/cruise_kt</f>
        <v/>
      </c>
      <c r="J190" s="33">
        <f>I190+turn_min+dwell_min</f>
        <v/>
      </c>
      <c r="K190" s="34">
        <f>MIN(15,FLOOR(60*service_hr/J190,1))</f>
        <v/>
      </c>
      <c r="L190" s="34">
        <f>ROUND(365*mech_uptime*H190,0)</f>
        <v/>
      </c>
      <c r="M190" s="35">
        <f>mech_uptime</f>
        <v/>
      </c>
      <c r="N190" s="35">
        <f>revleg_sel</f>
        <v/>
      </c>
      <c r="O190" s="34">
        <f>ROUND(K190*L190*revleg_sel,0)</f>
        <v/>
      </c>
      <c r="P190" s="36">
        <f>load_sel</f>
        <v/>
      </c>
      <c r="Q190" s="36">
        <f>pax_cap*P190</f>
        <v/>
      </c>
      <c r="R190" s="34">
        <f>Q190*O190</f>
        <v/>
      </c>
      <c r="S190" s="37">
        <f>E190*discount</f>
        <v/>
      </c>
      <c r="T190" s="38">
        <f>S190*R190</f>
        <v/>
      </c>
      <c r="U190" s="38">
        <f>(battery/range_nm)*D190*O190*VLOOKUP(B190,country_opex,3,FALSE)</f>
        <v/>
      </c>
      <c r="V190" s="38">
        <f>VLOOKUP(B190,country_opex,2,FALSE)*crew_factor</f>
        <v/>
      </c>
      <c r="W190" s="38">
        <f>VLOOKUP(B190,country_opex,5,FALSE)</f>
        <v/>
      </c>
      <c r="X190" s="38">
        <f>maint</f>
        <v/>
      </c>
      <c r="Y190" s="38">
        <f>VLOOKUP(B190,country_opex,7,FALSE)*ins_pct</f>
        <v/>
      </c>
      <c r="Z190" s="38">
        <f>charge_berth</f>
        <v/>
      </c>
      <c r="AA190" s="38">
        <f>U190+V190+W190+X190+Y190+Z190</f>
        <v/>
      </c>
      <c r="AB190" s="38">
        <f>VLOOKUP(B190,country_opex,7,FALSE)/dep_years</f>
        <v/>
      </c>
      <c r="AC190" s="38">
        <f>T190-AA190</f>
        <v/>
      </c>
      <c r="AD190" s="35">
        <f>IF(T190=0,"",AC190/T190)</f>
        <v/>
      </c>
      <c r="AE190" s="36">
        <f>IF(AC190&lt;=0,"",VLOOKUP(B190,country_opex,7,FALSE)/AC190)</f>
        <v/>
      </c>
      <c r="AF190" s="33">
        <f>((D190*O190/diesel_nmpg)*diesel_co2pg-(battery/range_nm)*D190*O190*VLOOKUP(B190,country_opex,4,FALSE))/1000</f>
        <v/>
      </c>
      <c r="AG190" s="31" t="n">
        <v>30000</v>
      </c>
      <c r="AH190" s="32" t="inlineStr">
        <is>
          <t>T5</t>
        </is>
      </c>
      <c r="AI190" s="32" t="inlineStr">
        <is>
          <t>low</t>
        </is>
      </c>
      <c r="AJ190" s="39" t="n">
        <v>0.1</v>
      </c>
      <c r="AK190" s="34">
        <f>IF(AG190="","",AG190*AJ190)</f>
        <v/>
      </c>
      <c r="AL190" s="34">
        <f>IF(OR(AG190="",R190=0),"",MIN(IF(AS190="",9.9E+99,AS190),FLOOR(AK190/R190,1)))</f>
        <v/>
      </c>
      <c r="AM190" s="38">
        <f>IF(AL190="","",AL190*T190)</f>
        <v/>
      </c>
      <c r="AN190" s="36">
        <f>IF(OR(AG190="",R190=0),"",MIN(IF(AS190="",9.9E+99,AS190),AK190/R190))</f>
        <v/>
      </c>
      <c r="AO190" s="38">
        <f>IF(AN190="","",AN190*T190)</f>
        <v/>
      </c>
      <c r="AP190" s="40" t="n"/>
      <c r="AQ190" s="41" t="n"/>
      <c r="AR190" s="41" t="n"/>
      <c r="AS190" s="42" t="n"/>
      <c r="AT190" s="43">
        <f>IF(((S190*pax_cap*load_thin*ROUND(K190*L190*revleg_thin,0))-(((battery/range_nm)*D190*ROUND(K190*L190*revleg_thin,0)*VLOOKUP(B190,country_opex,3,FALSE))+V190+W190+X190+Y190+Z190))&lt;=0,"",VLOOKUP(B190,country_opex,7,FALSE)/((S190*pax_cap*load_thin*ROUND(K190*L190*revleg_thin,0))-(((battery/range_nm)*D190*ROUND(K190*L190*revleg_thin,0)*VLOOKUP(B190,country_opex,3,FALSE))+V190+W190+X190+Y190+Z190)))</f>
        <v/>
      </c>
      <c r="AU190" s="43">
        <f>IF(((S190*pax_cap*load_mid*ROUND(K190*L190*revleg_mid,0))-(((battery/range_nm)*D190*ROUND(K190*L190*revleg_mid,0)*VLOOKUP(B190,country_opex,3,FALSE))+V190+W190+X190+Y190+Z190))&lt;=0,"",VLOOKUP(B190,country_opex,7,FALSE)/((S190*pax_cap*load_mid*ROUND(K190*L190*revleg_mid,0))-(((battery/range_nm)*D190*ROUND(K190*L190*revleg_mid,0)*VLOOKUP(B190,country_opex,3,FALSE))+V190+W190+X190+Y190+Z190)))</f>
        <v/>
      </c>
      <c r="AV190" s="43">
        <f>IF(((S190*pax_cap*load_full*ROUND(K190*L190*revleg_full,0))-(((battery/range_nm)*D190*ROUND(K190*L190*revleg_full,0)*VLOOKUP(B190,country_opex,3,FALSE))+V190+W190+X190+Y190+Z190))&lt;=0,"",VLOOKUP(B190,country_opex,7,FALSE)/((S190*pax_cap*load_full*ROUND(K190*L190*revleg_full,0))-(((battery/range_nm)*D190*ROUND(K190*L190*revleg_full,0)*VLOOKUP(B190,country_opex,3,FALSE))+V190+W190+X190+Y190+Z190)))</f>
        <v/>
      </c>
      <c r="AW190" s="44" t="inlineStr">
        <is>
          <t>Anantara World Islands Resort (boat-only; Forbes/Expedia 'accessible only by boat'). Resort shuttle ~AED 150/pax RETURN (~$20/way); premium per-seat modeled $80.</t>
        </is>
      </c>
      <c r="AX190" s="44" t="inlineStr">
        <is>
          <t>Boot-only -&gt; arrivals=crossing ridership FULLY addressable (R3-EXCEPTION). ~70 keys x ~65% occ + day-guests.</t>
        </is>
      </c>
    </row>
    <row r="191">
      <c r="A191" s="29" t="inlineStr">
        <is>
          <t>Bolt Uae</t>
        </is>
      </c>
      <c r="B191" s="29" t="inlineStr">
        <is>
          <t>United Arab Emirates</t>
        </is>
      </c>
      <c r="C191" s="30" t="inlineStr">
        <is>
          <t>Saadiyat Beach Club Jetty → Marina Mall / Breakwater Marina</t>
        </is>
      </c>
      <c r="D191" s="31" t="n">
        <v>8.9</v>
      </c>
      <c r="E191" s="26" t="n">
        <v>70</v>
      </c>
      <c r="F191" s="32" t="inlineStr">
        <is>
          <t>T4</t>
        </is>
      </c>
      <c r="G191" s="32" t="inlineStr">
        <is>
          <t>low</t>
        </is>
      </c>
      <c r="H191" s="19" t="n">
        <v>1</v>
      </c>
      <c r="I191" s="33">
        <f>60*D191/cruise_kt</f>
        <v/>
      </c>
      <c r="J191" s="33">
        <f>I191+turn_min+dwell_min</f>
        <v/>
      </c>
      <c r="K191" s="34">
        <f>MIN(15,FLOOR(60*service_hr/J191,1))</f>
        <v/>
      </c>
      <c r="L191" s="34">
        <f>ROUND(365*mech_uptime*H191,0)</f>
        <v/>
      </c>
      <c r="M191" s="35">
        <f>mech_uptime</f>
        <v/>
      </c>
      <c r="N191" s="35">
        <f>revleg_sel</f>
        <v/>
      </c>
      <c r="O191" s="34">
        <f>ROUND(K191*L191*revleg_sel,0)</f>
        <v/>
      </c>
      <c r="P191" s="36">
        <f>load_sel</f>
        <v/>
      </c>
      <c r="Q191" s="36">
        <f>pax_cap*P191</f>
        <v/>
      </c>
      <c r="R191" s="34">
        <f>Q191*O191</f>
        <v/>
      </c>
      <c r="S191" s="37">
        <f>E191*discount</f>
        <v/>
      </c>
      <c r="T191" s="38">
        <f>S191*R191</f>
        <v/>
      </c>
      <c r="U191" s="38">
        <f>(battery/range_nm)*D191*O191*VLOOKUP(B191,country_opex,3,FALSE)</f>
        <v/>
      </c>
      <c r="V191" s="38">
        <f>VLOOKUP(B191,country_opex,2,FALSE)*crew_factor</f>
        <v/>
      </c>
      <c r="W191" s="38">
        <f>VLOOKUP(B191,country_opex,5,FALSE)</f>
        <v/>
      </c>
      <c r="X191" s="38">
        <f>maint</f>
        <v/>
      </c>
      <c r="Y191" s="38">
        <f>VLOOKUP(B191,country_opex,7,FALSE)*ins_pct</f>
        <v/>
      </c>
      <c r="Z191" s="38">
        <f>charge_berth</f>
        <v/>
      </c>
      <c r="AA191" s="38">
        <f>U191+V191+W191+X191+Y191+Z191</f>
        <v/>
      </c>
      <c r="AB191" s="38">
        <f>VLOOKUP(B191,country_opex,7,FALSE)/dep_years</f>
        <v/>
      </c>
      <c r="AC191" s="38">
        <f>T191-AA191</f>
        <v/>
      </c>
      <c r="AD191" s="35">
        <f>IF(T191=0,"",AC191/T191)</f>
        <v/>
      </c>
      <c r="AE191" s="36">
        <f>IF(AC191&lt;=0,"",VLOOKUP(B191,country_opex,7,FALSE)/AC191)</f>
        <v/>
      </c>
      <c r="AF191" s="33">
        <f>((D191*O191/diesel_nmpg)*diesel_co2pg-(battery/range_nm)*D191*O191*VLOOKUP(B191,country_opex,4,FALSE))/1000</f>
        <v/>
      </c>
      <c r="AG191" s="31" t="n">
        <v>25000</v>
      </c>
      <c r="AH191" s="32" t="inlineStr">
        <is>
          <t>T3</t>
        </is>
      </c>
      <c r="AI191" s="32" t="inlineStr">
        <is>
          <t>low</t>
        </is>
      </c>
      <c r="AJ191" s="39" t="n">
        <v>0.1</v>
      </c>
      <c r="AK191" s="34">
        <f>IF(AG191="","",AG191*AJ191)</f>
        <v/>
      </c>
      <c r="AL191" s="34">
        <f>IF(OR(AG191="",R191=0),"",MIN(IF(AS191="",9.9E+99,AS191),FLOOR(AK191/R191,1)))</f>
        <v/>
      </c>
      <c r="AM191" s="38">
        <f>IF(AL191="","",AL191*T191)</f>
        <v/>
      </c>
      <c r="AN191" s="36">
        <f>IF(OR(AG191="",R191=0),"",MIN(IF(AS191="",9.9E+99,AS191),AK191/R191))</f>
        <v/>
      </c>
      <c r="AO191" s="38">
        <f>IF(AN191="","",AN191*T191)</f>
        <v/>
      </c>
      <c r="AP191" s="40" t="n"/>
      <c r="AQ191" s="41" t="n"/>
      <c r="AR191" s="41" t="n"/>
      <c r="AS191" s="42" t="n"/>
      <c r="AT191" s="43">
        <f>IF(((S191*pax_cap*load_thin*ROUND(K191*L191*revleg_thin,0))-(((battery/range_nm)*D191*ROUND(K191*L191*revleg_thin,0)*VLOOKUP(B191,country_opex,3,FALSE))+V191+W191+X191+Y191+Z191))&lt;=0,"",VLOOKUP(B191,country_opex,7,FALSE)/((S191*pax_cap*load_thin*ROUND(K191*L191*revleg_thin,0))-(((battery/range_nm)*D191*ROUND(K191*L191*revleg_thin,0)*VLOOKUP(B191,country_opex,3,FALSE))+V191+W191+X191+Y191+Z191)))</f>
        <v/>
      </c>
      <c r="AU191" s="43">
        <f>IF(((S191*pax_cap*load_mid*ROUND(K191*L191*revleg_mid,0))-(((battery/range_nm)*D191*ROUND(K191*L191*revleg_mid,0)*VLOOKUP(B191,country_opex,3,FALSE))+V191+W191+X191+Y191+Z191))&lt;=0,"",VLOOKUP(B191,country_opex,7,FALSE)/((S191*pax_cap*load_mid*ROUND(K191*L191*revleg_mid,0))-(((battery/range_nm)*D191*ROUND(K191*L191*revleg_mid,0)*VLOOKUP(B191,country_opex,3,FALSE))+V191+W191+X191+Y191+Z191)))</f>
        <v/>
      </c>
      <c r="AV191" s="43">
        <f>IF(((S191*pax_cap*load_full*ROUND(K191*L191*revleg_full,0))-(((battery/range_nm)*D191*ROUND(K191*L191*revleg_full,0)*VLOOKUP(B191,country_opex,3,FALSE))+V191+W191+X191+Y191+Z191))&lt;=0,"",VLOOKUP(B191,country_opex,7,FALSE)/((S191*pax_cap*load_full*ROUND(K191*L191*revleg_full,0))-(((battery/range_nm)*D191*ROUND(K191*L191*revleg_full,0)*VLOOKUP(B191,country_opex,3,FALSE))+V191+W191+X191+Y191+Z191)))</f>
        <v/>
      </c>
      <c r="AW191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9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2">
      <c r="A192" s="29" t="inlineStr">
        <is>
          <t>Bolt Uae</t>
        </is>
      </c>
      <c r="B192" s="29" t="inlineStr">
        <is>
          <t>United Arab Emirates</t>
        </is>
      </c>
      <c r="C192" s="30" t="inlineStr">
        <is>
          <t>Dubai Harbour Marina → Côte d'Azur Resort Marina (Heart of Europe)</t>
        </is>
      </c>
      <c r="D192" s="31" t="n">
        <v>9.199999999999999</v>
      </c>
      <c r="E192" s="26" t="n">
        <v>175</v>
      </c>
      <c r="F192" s="32" t="inlineStr">
        <is>
          <t>T5</t>
        </is>
      </c>
      <c r="G192" s="32" t="inlineStr">
        <is>
          <t>low</t>
        </is>
      </c>
      <c r="H192" s="19" t="n">
        <v>1</v>
      </c>
      <c r="I192" s="33">
        <f>60*D192/cruise_kt</f>
        <v/>
      </c>
      <c r="J192" s="33">
        <f>I192+turn_min+dwell_min</f>
        <v/>
      </c>
      <c r="K192" s="34">
        <f>MIN(15,FLOOR(60*service_hr/J192,1))</f>
        <v/>
      </c>
      <c r="L192" s="34">
        <f>ROUND(365*mech_uptime*H192,0)</f>
        <v/>
      </c>
      <c r="M192" s="35">
        <f>mech_uptime</f>
        <v/>
      </c>
      <c r="N192" s="35">
        <f>revleg_sel</f>
        <v/>
      </c>
      <c r="O192" s="34">
        <f>ROUND(K192*L192*revleg_sel,0)</f>
        <v/>
      </c>
      <c r="P192" s="36">
        <f>load_sel</f>
        <v/>
      </c>
      <c r="Q192" s="36">
        <f>pax_cap*P192</f>
        <v/>
      </c>
      <c r="R192" s="34">
        <f>Q192*O192</f>
        <v/>
      </c>
      <c r="S192" s="37">
        <f>E192*discount</f>
        <v/>
      </c>
      <c r="T192" s="38">
        <f>S192*R192</f>
        <v/>
      </c>
      <c r="U192" s="38">
        <f>(battery/range_nm)*D192*O192*VLOOKUP(B192,country_opex,3,FALSE)</f>
        <v/>
      </c>
      <c r="V192" s="38">
        <f>VLOOKUP(B192,country_opex,2,FALSE)*crew_factor</f>
        <v/>
      </c>
      <c r="W192" s="38">
        <f>VLOOKUP(B192,country_opex,5,FALSE)</f>
        <v/>
      </c>
      <c r="X192" s="38">
        <f>maint</f>
        <v/>
      </c>
      <c r="Y192" s="38">
        <f>VLOOKUP(B192,country_opex,7,FALSE)*ins_pct</f>
        <v/>
      </c>
      <c r="Z192" s="38">
        <f>charge_berth</f>
        <v/>
      </c>
      <c r="AA192" s="38">
        <f>U192+V192+W192+X192+Y192+Z192</f>
        <v/>
      </c>
      <c r="AB192" s="38">
        <f>VLOOKUP(B192,country_opex,7,FALSE)/dep_years</f>
        <v/>
      </c>
      <c r="AC192" s="38">
        <f>T192-AA192</f>
        <v/>
      </c>
      <c r="AD192" s="35">
        <f>IF(T192=0,"",AC192/T192)</f>
        <v/>
      </c>
      <c r="AE192" s="36">
        <f>IF(AC192&lt;=0,"",VLOOKUP(B192,country_opex,7,FALSE)/AC192)</f>
        <v/>
      </c>
      <c r="AF192" s="33">
        <f>((D192*O192/diesel_nmpg)*diesel_co2pg-(battery/range_nm)*D192*O192*VLOOKUP(B192,country_opex,4,FALSE))/1000</f>
        <v/>
      </c>
      <c r="AG192" s="31" t="n">
        <v>70000</v>
      </c>
      <c r="AH192" s="32" t="inlineStr">
        <is>
          <t>T2</t>
        </is>
      </c>
      <c r="AI192" s="32" t="inlineStr">
        <is>
          <t>medium</t>
        </is>
      </c>
      <c r="AJ192" s="39" t="n">
        <v>0.1</v>
      </c>
      <c r="AK192" s="34">
        <f>IF(AG192="","",AG192*AJ192)</f>
        <v/>
      </c>
      <c r="AL192" s="34">
        <f>IF(OR(AG192="",R192=0),"",MIN(IF(AS192="",9.9E+99,AS192),FLOOR(AK192/R192,1)))</f>
        <v/>
      </c>
      <c r="AM192" s="38">
        <f>IF(AL192="","",AL192*T192)</f>
        <v/>
      </c>
      <c r="AN192" s="36">
        <f>IF(OR(AG192="",R192=0),"",MIN(IF(AS192="",9.9E+99,AS192),AK192/R192))</f>
        <v/>
      </c>
      <c r="AO192" s="38">
        <f>IF(AN192="","",AN192*T192)</f>
        <v/>
      </c>
      <c r="AP192" s="40" t="n"/>
      <c r="AQ192" s="41" t="n"/>
      <c r="AR192" s="41" t="n"/>
      <c r="AS192" s="42" t="n"/>
      <c r="AT192" s="43">
        <f>IF(((S192*pax_cap*load_thin*ROUND(K192*L192*revleg_thin,0))-(((battery/range_nm)*D192*ROUND(K192*L192*revleg_thin,0)*VLOOKUP(B192,country_opex,3,FALSE))+V192+W192+X192+Y192+Z192))&lt;=0,"",VLOOKUP(B192,country_opex,7,FALSE)/((S192*pax_cap*load_thin*ROUND(K192*L192*revleg_thin,0))-(((battery/range_nm)*D192*ROUND(K192*L192*revleg_thin,0)*VLOOKUP(B192,country_opex,3,FALSE))+V192+W192+X192+Y192+Z192)))</f>
        <v/>
      </c>
      <c r="AU192" s="43">
        <f>IF(((S192*pax_cap*load_mid*ROUND(K192*L192*revleg_mid,0))-(((battery/range_nm)*D192*ROUND(K192*L192*revleg_mid,0)*VLOOKUP(B192,country_opex,3,FALSE))+V192+W192+X192+Y192+Z192))&lt;=0,"",VLOOKUP(B192,country_opex,7,FALSE)/((S192*pax_cap*load_mid*ROUND(K192*L192*revleg_mid,0))-(((battery/range_nm)*D192*ROUND(K192*L192*revleg_mid,0)*VLOOKUP(B192,country_opex,3,FALSE))+V192+W192+X192+Y192+Z192)))</f>
        <v/>
      </c>
      <c r="AV192" s="43">
        <f>IF(((S192*pax_cap*load_full*ROUND(K192*L192*revleg_full,0))-(((battery/range_nm)*D192*ROUND(K192*L192*revleg_full,0)*VLOOKUP(B192,country_opex,3,FALSE))+V192+W192+X192+Y192+Z192))&lt;=0,"",VLOOKUP(B192,country_opex,7,FALSE)/((S192*pax_cap*load_full*ROUND(K192*L192*revleg_full,0))-(((battery/range_nm)*D192*ROUND(K192*L192*revleg_full,0)*VLOOKUP(B192,country_opex,3,FALSE))+V192+W192+X192+Y192+Z192)))</f>
        <v/>
      </c>
      <c r="AW192" s="44" t="inlineStr">
        <is>
          <t>The World (Heart of Europe/Cote d'Azur) boat-only offshore. Shared per-seat $56-120/pax; resort transfers bundled. T5/low - opportunity-to-create.</t>
        </is>
      </c>
      <c r="AX192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93">
      <c r="A193" s="29" t="inlineStr">
        <is>
          <t>Bolt Uae</t>
        </is>
      </c>
      <c r="B193" s="29" t="inlineStr">
        <is>
          <t>United Arab Emirates</t>
        </is>
      </c>
      <c r="C193" s="30" t="inlineStr">
        <is>
          <t>Bluewaters Marina → Heart of Europe — Main Marina (The World)</t>
        </is>
      </c>
      <c r="D193" s="31" t="n">
        <v>9.880000000000001</v>
      </c>
      <c r="E193" s="26" t="n">
        <v>175</v>
      </c>
      <c r="F193" s="32" t="inlineStr">
        <is>
          <t>T5</t>
        </is>
      </c>
      <c r="G193" s="32" t="inlineStr">
        <is>
          <t>low</t>
        </is>
      </c>
      <c r="H193" s="19" t="n">
        <v>1</v>
      </c>
      <c r="I193" s="33">
        <f>60*D193/cruise_kt</f>
        <v/>
      </c>
      <c r="J193" s="33">
        <f>I193+turn_min+dwell_min</f>
        <v/>
      </c>
      <c r="K193" s="34">
        <f>MIN(15,FLOOR(60*service_hr/J193,1))</f>
        <v/>
      </c>
      <c r="L193" s="34">
        <f>ROUND(365*mech_uptime*H193,0)</f>
        <v/>
      </c>
      <c r="M193" s="35">
        <f>mech_uptime</f>
        <v/>
      </c>
      <c r="N193" s="35">
        <f>revleg_sel</f>
        <v/>
      </c>
      <c r="O193" s="34">
        <f>ROUND(K193*L193*revleg_sel,0)</f>
        <v/>
      </c>
      <c r="P193" s="36">
        <f>load_sel</f>
        <v/>
      </c>
      <c r="Q193" s="36">
        <f>pax_cap*P193</f>
        <v/>
      </c>
      <c r="R193" s="34">
        <f>Q193*O193</f>
        <v/>
      </c>
      <c r="S193" s="37">
        <f>E193*discount</f>
        <v/>
      </c>
      <c r="T193" s="38">
        <f>S193*R193</f>
        <v/>
      </c>
      <c r="U193" s="38">
        <f>(battery/range_nm)*D193*O193*VLOOKUP(B193,country_opex,3,FALSE)</f>
        <v/>
      </c>
      <c r="V193" s="38">
        <f>VLOOKUP(B193,country_opex,2,FALSE)*crew_factor</f>
        <v/>
      </c>
      <c r="W193" s="38">
        <f>VLOOKUP(B193,country_opex,5,FALSE)</f>
        <v/>
      </c>
      <c r="X193" s="38">
        <f>maint</f>
        <v/>
      </c>
      <c r="Y193" s="38">
        <f>VLOOKUP(B193,country_opex,7,FALSE)*ins_pct</f>
        <v/>
      </c>
      <c r="Z193" s="38">
        <f>charge_berth</f>
        <v/>
      </c>
      <c r="AA193" s="38">
        <f>U193+V193+W193+X193+Y193+Z193</f>
        <v/>
      </c>
      <c r="AB193" s="38">
        <f>VLOOKUP(B193,country_opex,7,FALSE)/dep_years</f>
        <v/>
      </c>
      <c r="AC193" s="38">
        <f>T193-AA193</f>
        <v/>
      </c>
      <c r="AD193" s="35">
        <f>IF(T193=0,"",AC193/T193)</f>
        <v/>
      </c>
      <c r="AE193" s="36">
        <f>IF(AC193&lt;=0,"",VLOOKUP(B193,country_opex,7,FALSE)/AC193)</f>
        <v/>
      </c>
      <c r="AF193" s="33">
        <f>((D193*O193/diesel_nmpg)*diesel_co2pg-(battery/range_nm)*D193*O193*VLOOKUP(B193,country_opex,4,FALSE))/1000</f>
        <v/>
      </c>
      <c r="AG193" s="31" t="n">
        <v>20000</v>
      </c>
      <c r="AH193" s="32" t="inlineStr">
        <is>
          <t>T3</t>
        </is>
      </c>
      <c r="AI193" s="32" t="inlineStr">
        <is>
          <t>low</t>
        </is>
      </c>
      <c r="AJ193" s="39" t="n">
        <v>0.1</v>
      </c>
      <c r="AK193" s="34">
        <f>IF(AG193="","",AG193*AJ193)</f>
        <v/>
      </c>
      <c r="AL193" s="34">
        <f>IF(OR(AG193="",R193=0),"",MIN(IF(AS193="",9.9E+99,AS193),FLOOR(AK193/R193,1)))</f>
        <v/>
      </c>
      <c r="AM193" s="38">
        <f>IF(AL193="","",AL193*T193)</f>
        <v/>
      </c>
      <c r="AN193" s="36">
        <f>IF(OR(AG193="",R193=0),"",MIN(IF(AS193="",9.9E+99,AS193),AK193/R193))</f>
        <v/>
      </c>
      <c r="AO193" s="38">
        <f>IF(AN193="","",AN193*T193)</f>
        <v/>
      </c>
      <c r="AP193" s="40" t="n"/>
      <c r="AQ193" s="41" t="n"/>
      <c r="AR193" s="41" t="n"/>
      <c r="AS193" s="42" t="n"/>
      <c r="AT193" s="43">
        <f>IF(((S193*pax_cap*load_thin*ROUND(K193*L193*revleg_thin,0))-(((battery/range_nm)*D193*ROUND(K193*L193*revleg_thin,0)*VLOOKUP(B193,country_opex,3,FALSE))+V193+W193+X193+Y193+Z193))&lt;=0,"",VLOOKUP(B193,country_opex,7,FALSE)/((S193*pax_cap*load_thin*ROUND(K193*L193*revleg_thin,0))-(((battery/range_nm)*D193*ROUND(K193*L193*revleg_thin,0)*VLOOKUP(B193,country_opex,3,FALSE))+V193+W193+X193+Y193+Z193)))</f>
        <v/>
      </c>
      <c r="AU193" s="43">
        <f>IF(((S193*pax_cap*load_mid*ROUND(K193*L193*revleg_mid,0))-(((battery/range_nm)*D193*ROUND(K193*L193*revleg_mid,0)*VLOOKUP(B193,country_opex,3,FALSE))+V193+W193+X193+Y193+Z193))&lt;=0,"",VLOOKUP(B193,country_opex,7,FALSE)/((S193*pax_cap*load_mid*ROUND(K193*L193*revleg_mid,0))-(((battery/range_nm)*D193*ROUND(K193*L193*revleg_mid,0)*VLOOKUP(B193,country_opex,3,FALSE))+V193+W193+X193+Y193+Z193)))</f>
        <v/>
      </c>
      <c r="AV193" s="43">
        <f>IF(((S193*pax_cap*load_full*ROUND(K193*L193*revleg_full,0))-(((battery/range_nm)*D193*ROUND(K193*L193*revleg_full,0)*VLOOKUP(B193,country_opex,3,FALSE))+V193+W193+X193+Y193+Z193))&lt;=0,"",VLOOKUP(B193,country_opex,7,FALSE)/((S193*pax_cap*load_full*ROUND(K193*L193*revleg_full,0))-(((battery/range_nm)*D193*ROUND(K193*L193*revleg_full,0)*VLOOKUP(B193,country_opex,3,FALSE))+V193+W193+X193+Y193+Z193)))</f>
        <v/>
      </c>
      <c r="AW193" s="44" t="inlineStr">
        <is>
          <t>The World (Heart of Europe) boat-only offshore; greenfield. T5/low.</t>
        </is>
      </c>
      <c r="AX19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4">
      <c r="A194" s="29" t="inlineStr">
        <is>
          <t>Bolt Uae</t>
        </is>
      </c>
      <c r="B194" s="29" t="inlineStr">
        <is>
          <t>United Arab Emirates</t>
        </is>
      </c>
      <c r="C194" s="30" t="inlineStr">
        <is>
          <t>Dubai Harbour Marina → Bulgari Yacht Club &amp; Marina</t>
        </is>
      </c>
      <c r="D194" s="31" t="n">
        <v>10.2</v>
      </c>
      <c r="E194" s="26" t="n">
        <v>200</v>
      </c>
      <c r="F194" s="32" t="inlineStr">
        <is>
          <t>T5</t>
        </is>
      </c>
      <c r="G194" s="32" t="inlineStr">
        <is>
          <t>low</t>
        </is>
      </c>
      <c r="H194" s="19" t="n">
        <v>1</v>
      </c>
      <c r="I194" s="33">
        <f>60*D194/cruise_kt</f>
        <v/>
      </c>
      <c r="J194" s="33">
        <f>I194+turn_min+dwell_min</f>
        <v/>
      </c>
      <c r="K194" s="34">
        <f>MIN(15,FLOOR(60*service_hr/J194,1))</f>
        <v/>
      </c>
      <c r="L194" s="34">
        <f>ROUND(365*mech_uptime*H194,0)</f>
        <v/>
      </c>
      <c r="M194" s="35">
        <f>mech_uptime</f>
        <v/>
      </c>
      <c r="N194" s="35">
        <f>revleg_sel</f>
        <v/>
      </c>
      <c r="O194" s="34">
        <f>ROUND(K194*L194*revleg_sel,0)</f>
        <v/>
      </c>
      <c r="P194" s="36">
        <f>load_sel</f>
        <v/>
      </c>
      <c r="Q194" s="36">
        <f>pax_cap*P194</f>
        <v/>
      </c>
      <c r="R194" s="34">
        <f>Q194*O194</f>
        <v/>
      </c>
      <c r="S194" s="37">
        <f>E194*discount</f>
        <v/>
      </c>
      <c r="T194" s="38">
        <f>S194*R194</f>
        <v/>
      </c>
      <c r="U194" s="38">
        <f>(battery/range_nm)*D194*O194*VLOOKUP(B194,country_opex,3,FALSE)</f>
        <v/>
      </c>
      <c r="V194" s="38">
        <f>VLOOKUP(B194,country_opex,2,FALSE)*crew_factor</f>
        <v/>
      </c>
      <c r="W194" s="38">
        <f>VLOOKUP(B194,country_opex,5,FALSE)</f>
        <v/>
      </c>
      <c r="X194" s="38">
        <f>maint</f>
        <v/>
      </c>
      <c r="Y194" s="38">
        <f>VLOOKUP(B194,country_opex,7,FALSE)*ins_pct</f>
        <v/>
      </c>
      <c r="Z194" s="38">
        <f>charge_berth</f>
        <v/>
      </c>
      <c r="AA194" s="38">
        <f>U194+V194+W194+X194+Y194+Z194</f>
        <v/>
      </c>
      <c r="AB194" s="38">
        <f>VLOOKUP(B194,country_opex,7,FALSE)/dep_years</f>
        <v/>
      </c>
      <c r="AC194" s="38">
        <f>T194-AA194</f>
        <v/>
      </c>
      <c r="AD194" s="35">
        <f>IF(T194=0,"",AC194/T194)</f>
        <v/>
      </c>
      <c r="AE194" s="36">
        <f>IF(AC194&lt;=0,"",VLOOKUP(B194,country_opex,7,FALSE)/AC194)</f>
        <v/>
      </c>
      <c r="AF194" s="33">
        <f>((D194*O194/diesel_nmpg)*diesel_co2pg-(battery/range_nm)*D194*O194*VLOOKUP(B194,country_opex,4,FALSE))/1000</f>
        <v/>
      </c>
      <c r="AG194" s="31" t="n">
        <v>4000</v>
      </c>
      <c r="AH194" s="32" t="inlineStr">
        <is>
          <t>T5</t>
        </is>
      </c>
      <c r="AI194" s="32" t="inlineStr">
        <is>
          <t>low</t>
        </is>
      </c>
      <c r="AJ194" s="39" t="n">
        <v>0.1</v>
      </c>
      <c r="AK194" s="34">
        <f>IF(AG194="","",AG194*AJ194)</f>
        <v/>
      </c>
      <c r="AL194" s="34">
        <f>IF(OR(AG194="",R194=0),"",MIN(IF(AS194="",9.9E+99,AS194),FLOOR(AK194/R194,1)))</f>
        <v/>
      </c>
      <c r="AM194" s="38">
        <f>IF(AL194="","",AL194*T194)</f>
        <v/>
      </c>
      <c r="AN194" s="36">
        <f>IF(OR(AG194="",R194=0),"",MIN(IF(AS194="",9.9E+99,AS194),AK194/R194))</f>
        <v/>
      </c>
      <c r="AO194" s="38">
        <f>IF(AN194="","",AN194*T194)</f>
        <v/>
      </c>
      <c r="AP194" s="40" t="n"/>
      <c r="AQ194" s="41" t="n"/>
      <c r="AR194" s="41" t="n"/>
      <c r="AS194" s="42" t="n"/>
      <c r="AT194" s="43">
        <f>IF(((S194*pax_cap*load_thin*ROUND(K194*L194*revleg_thin,0))-(((battery/range_nm)*D194*ROUND(K194*L194*revleg_thin,0)*VLOOKUP(B194,country_opex,3,FALSE))+V194+W194+X194+Y194+Z194))&lt;=0,"",VLOOKUP(B194,country_opex,7,FALSE)/((S194*pax_cap*load_thin*ROUND(K194*L194*revleg_thin,0))-(((battery/range_nm)*D194*ROUND(K194*L194*revleg_thin,0)*VLOOKUP(B194,country_opex,3,FALSE))+V194+W194+X194+Y194+Z194)))</f>
        <v/>
      </c>
      <c r="AU194" s="43">
        <f>IF(((S194*pax_cap*load_mid*ROUND(K194*L194*revleg_mid,0))-(((battery/range_nm)*D194*ROUND(K194*L194*revleg_mid,0)*VLOOKUP(B194,country_opex,3,FALSE))+V194+W194+X194+Y194+Z194))&lt;=0,"",VLOOKUP(B194,country_opex,7,FALSE)/((S194*pax_cap*load_mid*ROUND(K194*L194*revleg_mid,0))-(((battery/range_nm)*D194*ROUND(K194*L194*revleg_mid,0)*VLOOKUP(B194,country_opex,3,FALSE))+V194+W194+X194+Y194+Z194)))</f>
        <v/>
      </c>
      <c r="AV194" s="43">
        <f>IF(((S194*pax_cap*load_full*ROUND(K194*L194*revleg_full,0))-(((battery/range_nm)*D194*ROUND(K194*L194*revleg_full,0)*VLOOKUP(B194,country_opex,3,FALSE))+V194+W194+X194+Y194+Z194))&lt;=0,"",VLOOKUP(B194,country_opex,7,FALSE)/((S194*pax_cap*load_full*ROUND(K194*L194*revleg_full,0))-(((battery/range_nm)*D194*ROUND(K194*L194*revleg_full,0)*VLOOKUP(B194,country_opex,3,FALSE))+V194+W194+X194+Y194+Z194)))</f>
        <v/>
      </c>
      <c r="AW194" s="44" t="inlineStr">
        <is>
          <t>Bulgari Resort Dubai ~129 keys + Bulgari Yacht Club &amp; Marina; road-served. T5/low.</t>
        </is>
      </c>
      <c r="AX194" s="44" t="inlineStr">
        <is>
          <t>OPT-IN only (R3-LAND). ~129-key resort + yacht-club members.</t>
        </is>
      </c>
    </row>
    <row r="195">
      <c r="A195" s="29" t="inlineStr">
        <is>
          <t>Bolt Uae</t>
        </is>
      </c>
      <c r="B195" s="29" t="inlineStr">
        <is>
          <t>United Arab Emirates</t>
        </is>
      </c>
      <c r="C195" s="30" t="inlineStr">
        <is>
          <t>Emirates Palace Marina → Saadiyat Beach Club Jetty</t>
        </is>
      </c>
      <c r="D195" s="31" t="n">
        <v>10.4</v>
      </c>
      <c r="E195" s="26" t="n">
        <v>175</v>
      </c>
      <c r="F195" s="32" t="inlineStr">
        <is>
          <t>T5</t>
        </is>
      </c>
      <c r="G195" s="32" t="inlineStr">
        <is>
          <t>low</t>
        </is>
      </c>
      <c r="H195" s="19" t="n">
        <v>1</v>
      </c>
      <c r="I195" s="33">
        <f>60*D195/cruise_kt</f>
        <v/>
      </c>
      <c r="J195" s="33">
        <f>I195+turn_min+dwell_min</f>
        <v/>
      </c>
      <c r="K195" s="34">
        <f>MIN(15,FLOOR(60*service_hr/J195,1))</f>
        <v/>
      </c>
      <c r="L195" s="34">
        <f>ROUND(365*mech_uptime*H195,0)</f>
        <v/>
      </c>
      <c r="M195" s="35">
        <f>mech_uptime</f>
        <v/>
      </c>
      <c r="N195" s="35">
        <f>revleg_sel</f>
        <v/>
      </c>
      <c r="O195" s="34">
        <f>ROUND(K195*L195*revleg_sel,0)</f>
        <v/>
      </c>
      <c r="P195" s="36">
        <f>load_sel</f>
        <v/>
      </c>
      <c r="Q195" s="36">
        <f>pax_cap*P195</f>
        <v/>
      </c>
      <c r="R195" s="34">
        <f>Q195*O195</f>
        <v/>
      </c>
      <c r="S195" s="37">
        <f>E195*discount</f>
        <v/>
      </c>
      <c r="T195" s="38">
        <f>S195*R195</f>
        <v/>
      </c>
      <c r="U195" s="38">
        <f>(battery/range_nm)*D195*O195*VLOOKUP(B195,country_opex,3,FALSE)</f>
        <v/>
      </c>
      <c r="V195" s="38">
        <f>VLOOKUP(B195,country_opex,2,FALSE)*crew_factor</f>
        <v/>
      </c>
      <c r="W195" s="38">
        <f>VLOOKUP(B195,country_opex,5,FALSE)</f>
        <v/>
      </c>
      <c r="X195" s="38">
        <f>maint</f>
        <v/>
      </c>
      <c r="Y195" s="38">
        <f>VLOOKUP(B195,country_opex,7,FALSE)*ins_pct</f>
        <v/>
      </c>
      <c r="Z195" s="38">
        <f>charge_berth</f>
        <v/>
      </c>
      <c r="AA195" s="38">
        <f>U195+V195+W195+X195+Y195+Z195</f>
        <v/>
      </c>
      <c r="AB195" s="38">
        <f>VLOOKUP(B195,country_opex,7,FALSE)/dep_years</f>
        <v/>
      </c>
      <c r="AC195" s="38">
        <f>T195-AA195</f>
        <v/>
      </c>
      <c r="AD195" s="35">
        <f>IF(T195=0,"",AC195/T195)</f>
        <v/>
      </c>
      <c r="AE195" s="36">
        <f>IF(AC195&lt;=0,"",VLOOKUP(B195,country_opex,7,FALSE)/AC195)</f>
        <v/>
      </c>
      <c r="AF195" s="33">
        <f>((D195*O195/diesel_nmpg)*diesel_co2pg-(battery/range_nm)*D195*O195*VLOOKUP(B195,country_opex,4,FALSE))/1000</f>
        <v/>
      </c>
      <c r="AG195" s="31" t="n">
        <v>3000</v>
      </c>
      <c r="AH195" s="32" t="inlineStr">
        <is>
          <t>T5</t>
        </is>
      </c>
      <c r="AI195" s="32" t="inlineStr">
        <is>
          <t>low</t>
        </is>
      </c>
      <c r="AJ195" s="39" t="n">
        <v>0.1</v>
      </c>
      <c r="AK195" s="34">
        <f>IF(AG195="","",AG195*AJ195)</f>
        <v/>
      </c>
      <c r="AL195" s="34">
        <f>IF(OR(AG195="",R195=0),"",MIN(IF(AS195="",9.9E+99,AS195),FLOOR(AK195/R195,1)))</f>
        <v/>
      </c>
      <c r="AM195" s="38">
        <f>IF(AL195="","",AL195*T195)</f>
        <v/>
      </c>
      <c r="AN195" s="36">
        <f>IF(OR(AG195="",R195=0),"",MIN(IF(AS195="",9.9E+99,AS195),AK195/R195))</f>
        <v/>
      </c>
      <c r="AO195" s="38">
        <f>IF(AN195="","",AN195*T195)</f>
        <v/>
      </c>
      <c r="AP195" s="40" t="n"/>
      <c r="AQ195" s="41" t="n"/>
      <c r="AR195" s="41" t="n"/>
      <c r="AS195" s="42" t="n"/>
      <c r="AT195" s="43">
        <f>IF(((S195*pax_cap*load_thin*ROUND(K195*L195*revleg_thin,0))-(((battery/range_nm)*D195*ROUND(K195*L195*revleg_thin,0)*VLOOKUP(B195,country_opex,3,FALSE))+V195+W195+X195+Y195+Z195))&lt;=0,"",VLOOKUP(B195,country_opex,7,FALSE)/((S195*pax_cap*load_thin*ROUND(K195*L195*revleg_thin,0))-(((battery/range_nm)*D195*ROUND(K195*L195*revleg_thin,0)*VLOOKUP(B195,country_opex,3,FALSE))+V195+W195+X195+Y195+Z195)))</f>
        <v/>
      </c>
      <c r="AU195" s="43">
        <f>IF(((S195*pax_cap*load_mid*ROUND(K195*L195*revleg_mid,0))-(((battery/range_nm)*D195*ROUND(K195*L195*revleg_mid,0)*VLOOKUP(B195,country_opex,3,FALSE))+V195+W195+X195+Y195+Z195))&lt;=0,"",VLOOKUP(B195,country_opex,7,FALSE)/((S195*pax_cap*load_mid*ROUND(K195*L195*revleg_mid,0))-(((battery/range_nm)*D195*ROUND(K195*L195*revleg_mid,0)*VLOOKUP(B195,country_opex,3,FALSE))+V195+W195+X195+Y195+Z195)))</f>
        <v/>
      </c>
      <c r="AV195" s="43">
        <f>IF(((S195*pax_cap*load_full*ROUND(K195*L195*revleg_full,0))-(((battery/range_nm)*D195*ROUND(K195*L195*revleg_full,0)*VLOOKUP(B195,country_opex,3,FALSE))+V195+W195+X195+Y195+Z195))&lt;=0,"",VLOOKUP(B195,country_opex,7,FALSE)/((S195*pax_cap*load_full*ROUND(K195*L195*revleg_full,0))-(((battery/range_nm)*D195*ROUND(K195*L195*revleg_full,0)*VLOOKUP(B195,country_opex,3,FALSE))+V195+W195+X195+Y195+Z195)))</f>
        <v/>
      </c>
      <c r="AW195" s="44" t="inlineStr">
        <is>
          <t>Emirates Palace&lt;-&gt;Saadiyat experiential luxury hop; both road-served. T5/low.</t>
        </is>
      </c>
      <c r="AX195" s="44" t="inlineStr">
        <is>
          <t>OPT-IN only (R3-LAND: both road-served). Experiential luxury hop.</t>
        </is>
      </c>
    </row>
    <row r="196">
      <c r="A196" s="29" t="inlineStr">
        <is>
          <t>Bolt Uae</t>
        </is>
      </c>
      <c r="B196" s="29" t="inlineStr">
        <is>
          <t>United Arab Emirates</t>
        </is>
      </c>
      <c r="C196" s="30" t="inlineStr">
        <is>
          <t>Dubai Marina → Downtown Creek</t>
        </is>
      </c>
      <c r="D196" s="31" t="n">
        <v>12</v>
      </c>
      <c r="E196" s="26" t="n"/>
      <c r="F196" s="32" t="n"/>
      <c r="G196" s="32" t="n"/>
      <c r="H196" s="19" t="n">
        <v>1</v>
      </c>
      <c r="I196" s="33">
        <f>60*D196/cruise_kt</f>
        <v/>
      </c>
      <c r="J196" s="33">
        <f>I196+turn_min+dwell_min</f>
        <v/>
      </c>
      <c r="K196" s="34">
        <f>MIN(15,FLOOR(60*service_hr/J196,1))</f>
        <v/>
      </c>
      <c r="L196" s="34">
        <f>ROUND(365*mech_uptime*H196,0)</f>
        <v/>
      </c>
      <c r="M196" s="35">
        <f>mech_uptime</f>
        <v/>
      </c>
      <c r="N196" s="35">
        <f>revleg_sel</f>
        <v/>
      </c>
      <c r="O196" s="34">
        <f>ROUND(K196*L196*revleg_sel,0)</f>
        <v/>
      </c>
      <c r="P196" s="36">
        <f>load_sel</f>
        <v/>
      </c>
      <c r="Q196" s="36">
        <f>pax_cap*P196</f>
        <v/>
      </c>
      <c r="R196" s="34">
        <f>Q196*O196</f>
        <v/>
      </c>
      <c r="S196" s="37">
        <f>E196*discount</f>
        <v/>
      </c>
      <c r="T196" s="38">
        <f>S196*R196</f>
        <v/>
      </c>
      <c r="U196" s="38">
        <f>(battery/range_nm)*D196*O196*VLOOKUP(B196,country_opex,3,FALSE)</f>
        <v/>
      </c>
      <c r="V196" s="38">
        <f>VLOOKUP(B196,country_opex,2,FALSE)*crew_factor</f>
        <v/>
      </c>
      <c r="W196" s="38">
        <f>VLOOKUP(B196,country_opex,5,FALSE)</f>
        <v/>
      </c>
      <c r="X196" s="38">
        <f>maint</f>
        <v/>
      </c>
      <c r="Y196" s="38">
        <f>VLOOKUP(B196,country_opex,7,FALSE)*ins_pct</f>
        <v/>
      </c>
      <c r="Z196" s="38">
        <f>charge_berth</f>
        <v/>
      </c>
      <c r="AA196" s="38">
        <f>U196+V196+W196+X196+Y196+Z196</f>
        <v/>
      </c>
      <c r="AB196" s="38">
        <f>VLOOKUP(B196,country_opex,7,FALSE)/dep_years</f>
        <v/>
      </c>
      <c r="AC196" s="38">
        <f>T196-AA196</f>
        <v/>
      </c>
      <c r="AD196" s="35">
        <f>IF(T196=0,"",AC196/T196)</f>
        <v/>
      </c>
      <c r="AE196" s="36">
        <f>IF(AC196&lt;=0,"",VLOOKUP(B196,country_opex,7,FALSE)/AC196)</f>
        <v/>
      </c>
      <c r="AF196" s="33">
        <f>((D196*O196/diesel_nmpg)*diesel_co2pg-(battery/range_nm)*D196*O196*VLOOKUP(B196,country_opex,4,FALSE))/1000</f>
        <v/>
      </c>
      <c r="AG196" s="31" t="n"/>
      <c r="AH196" s="32" t="n"/>
      <c r="AI196" s="32" t="n"/>
      <c r="AJ196" s="39" t="n">
        <v>0.1</v>
      </c>
      <c r="AK196" s="34">
        <f>IF(AG196="","",AG196*AJ196)</f>
        <v/>
      </c>
      <c r="AL196" s="34">
        <f>IF(OR(AG196="",R196=0),"",MIN(IF(AS196="",9.9E+99,AS196),FLOOR(AK196/R196,1)))</f>
        <v/>
      </c>
      <c r="AM196" s="38">
        <f>IF(AL196="","",AL196*T196)</f>
        <v/>
      </c>
      <c r="AN196" s="36">
        <f>IF(OR(AG196="",R196=0),"",MIN(IF(AS196="",9.9E+99,AS196),AK196/R196))</f>
        <v/>
      </c>
      <c r="AO196" s="38">
        <f>IF(AN196="","",AN196*T196)</f>
        <v/>
      </c>
      <c r="AP196" s="40" t="n"/>
      <c r="AQ196" s="41" t="n"/>
      <c r="AR196" s="41" t="n"/>
      <c r="AS196" s="42" t="n"/>
      <c r="AT196" s="43">
        <f>IF(((S196*pax_cap*load_thin*ROUND(K196*L196*revleg_thin,0))-(((battery/range_nm)*D196*ROUND(K196*L196*revleg_thin,0)*VLOOKUP(B196,country_opex,3,FALSE))+V196+W196+X196+Y196+Z196))&lt;=0,"",VLOOKUP(B196,country_opex,7,FALSE)/((S196*pax_cap*load_thin*ROUND(K196*L196*revleg_thin,0))-(((battery/range_nm)*D196*ROUND(K196*L196*revleg_thin,0)*VLOOKUP(B196,country_opex,3,FALSE))+V196+W196+X196+Y196+Z196)))</f>
        <v/>
      </c>
      <c r="AU196" s="43">
        <f>IF(((S196*pax_cap*load_mid*ROUND(K196*L196*revleg_mid,0))-(((battery/range_nm)*D196*ROUND(K196*L196*revleg_mid,0)*VLOOKUP(B196,country_opex,3,FALSE))+V196+W196+X196+Y196+Z196))&lt;=0,"",VLOOKUP(B196,country_opex,7,FALSE)/((S196*pax_cap*load_mid*ROUND(K196*L196*revleg_mid,0))-(((battery/range_nm)*D196*ROUND(K196*L196*revleg_mid,0)*VLOOKUP(B196,country_opex,3,FALSE))+V196+W196+X196+Y196+Z196)))</f>
        <v/>
      </c>
      <c r="AV196" s="43">
        <f>IF(((S196*pax_cap*load_full*ROUND(K196*L196*revleg_full,0))-(((battery/range_nm)*D196*ROUND(K196*L196*revleg_full,0)*VLOOKUP(B196,country_opex,3,FALSE))+V196+W196+X196+Y196+Z196))&lt;=0,"",VLOOKUP(B196,country_opex,7,FALSE)/((S196*pax_cap*load_full*ROUND(K196*L196*revleg_full,0))-(((battery/range_nm)*D196*ROUND(K196*L196*revleg_full,0)*VLOOKUP(B196,country_opex,3,FALSE))+V196+W196+X196+Y196+Z196)))</f>
        <v/>
      </c>
      <c r="AW196" s="44" t="n"/>
      <c r="AX196" s="44" t="n"/>
    </row>
    <row r="197">
      <c r="A197" s="29" t="inlineStr">
        <is>
          <t>Bolt Uae</t>
        </is>
      </c>
      <c r="B197" s="29" t="inlineStr">
        <is>
          <t>United Arab Emirates</t>
        </is>
      </c>
      <c r="C197" s="30" t="inlineStr">
        <is>
          <t>Dubai Marina → Downtown / Dubai Creek</t>
        </is>
      </c>
      <c r="D197" s="31" t="n">
        <v>12</v>
      </c>
      <c r="E197" s="26" t="n"/>
      <c r="F197" s="32" t="n"/>
      <c r="G197" s="32" t="n"/>
      <c r="H197" s="19" t="n">
        <v>1</v>
      </c>
      <c r="I197" s="33">
        <f>60*D197/cruise_kt</f>
        <v/>
      </c>
      <c r="J197" s="33">
        <f>I197+turn_min+dwell_min</f>
        <v/>
      </c>
      <c r="K197" s="34">
        <f>MIN(15,FLOOR(60*service_hr/J197,1))</f>
        <v/>
      </c>
      <c r="L197" s="34">
        <f>ROUND(365*mech_uptime*H197,0)</f>
        <v/>
      </c>
      <c r="M197" s="35">
        <f>mech_uptime</f>
        <v/>
      </c>
      <c r="N197" s="35">
        <f>revleg_sel</f>
        <v/>
      </c>
      <c r="O197" s="34">
        <f>ROUND(K197*L197*revleg_sel,0)</f>
        <v/>
      </c>
      <c r="P197" s="36">
        <f>load_sel</f>
        <v/>
      </c>
      <c r="Q197" s="36">
        <f>pax_cap*P197</f>
        <v/>
      </c>
      <c r="R197" s="34">
        <f>Q197*O197</f>
        <v/>
      </c>
      <c r="S197" s="37">
        <f>E197*discount</f>
        <v/>
      </c>
      <c r="T197" s="38">
        <f>S197*R197</f>
        <v/>
      </c>
      <c r="U197" s="38">
        <f>(battery/range_nm)*D197*O197*VLOOKUP(B197,country_opex,3,FALSE)</f>
        <v/>
      </c>
      <c r="V197" s="38">
        <f>VLOOKUP(B197,country_opex,2,FALSE)*crew_factor</f>
        <v/>
      </c>
      <c r="W197" s="38">
        <f>VLOOKUP(B197,country_opex,5,FALSE)</f>
        <v/>
      </c>
      <c r="X197" s="38">
        <f>maint</f>
        <v/>
      </c>
      <c r="Y197" s="38">
        <f>VLOOKUP(B197,country_opex,7,FALSE)*ins_pct</f>
        <v/>
      </c>
      <c r="Z197" s="38">
        <f>charge_berth</f>
        <v/>
      </c>
      <c r="AA197" s="38">
        <f>U197+V197+W197+X197+Y197+Z197</f>
        <v/>
      </c>
      <c r="AB197" s="38">
        <f>VLOOKUP(B197,country_opex,7,FALSE)/dep_years</f>
        <v/>
      </c>
      <c r="AC197" s="38">
        <f>T197-AA197</f>
        <v/>
      </c>
      <c r="AD197" s="35">
        <f>IF(T197=0,"",AC197/T197)</f>
        <v/>
      </c>
      <c r="AE197" s="36">
        <f>IF(AC197&lt;=0,"",VLOOKUP(B197,country_opex,7,FALSE)/AC197)</f>
        <v/>
      </c>
      <c r="AF197" s="33">
        <f>((D197*O197/diesel_nmpg)*diesel_co2pg-(battery/range_nm)*D197*O197*VLOOKUP(B197,country_opex,4,FALSE))/1000</f>
        <v/>
      </c>
      <c r="AG197" s="31" t="n"/>
      <c r="AH197" s="32" t="n"/>
      <c r="AI197" s="32" t="n"/>
      <c r="AJ197" s="39" t="n">
        <v>0.1</v>
      </c>
      <c r="AK197" s="34">
        <f>IF(AG197="","",AG197*AJ197)</f>
        <v/>
      </c>
      <c r="AL197" s="34">
        <f>IF(OR(AG197="",R197=0),"",MIN(IF(AS197="",9.9E+99,AS197),FLOOR(AK197/R197,1)))</f>
        <v/>
      </c>
      <c r="AM197" s="38">
        <f>IF(AL197="","",AL197*T197)</f>
        <v/>
      </c>
      <c r="AN197" s="36">
        <f>IF(OR(AG197="",R197=0),"",MIN(IF(AS197="",9.9E+99,AS197),AK197/R197))</f>
        <v/>
      </c>
      <c r="AO197" s="38">
        <f>IF(AN197="","",AN197*T197)</f>
        <v/>
      </c>
      <c r="AP197" s="40" t="n"/>
      <c r="AQ197" s="41" t="n"/>
      <c r="AR197" s="41" t="n"/>
      <c r="AS197" s="42" t="n"/>
      <c r="AT197" s="43">
        <f>IF(((S197*pax_cap*load_thin*ROUND(K197*L197*revleg_thin,0))-(((battery/range_nm)*D197*ROUND(K197*L197*revleg_thin,0)*VLOOKUP(B197,country_opex,3,FALSE))+V197+W197+X197+Y197+Z197))&lt;=0,"",VLOOKUP(B197,country_opex,7,FALSE)/((S197*pax_cap*load_thin*ROUND(K197*L197*revleg_thin,0))-(((battery/range_nm)*D197*ROUND(K197*L197*revleg_thin,0)*VLOOKUP(B197,country_opex,3,FALSE))+V197+W197+X197+Y197+Z197)))</f>
        <v/>
      </c>
      <c r="AU197" s="43">
        <f>IF(((S197*pax_cap*load_mid*ROUND(K197*L197*revleg_mid,0))-(((battery/range_nm)*D197*ROUND(K197*L197*revleg_mid,0)*VLOOKUP(B197,country_opex,3,FALSE))+V197+W197+X197+Y197+Z197))&lt;=0,"",VLOOKUP(B197,country_opex,7,FALSE)/((S197*pax_cap*load_mid*ROUND(K197*L197*revleg_mid,0))-(((battery/range_nm)*D197*ROUND(K197*L197*revleg_mid,0)*VLOOKUP(B197,country_opex,3,FALSE))+V197+W197+X197+Y197+Z197)))</f>
        <v/>
      </c>
      <c r="AV197" s="43">
        <f>IF(((S197*pax_cap*load_full*ROUND(K197*L197*revleg_full,0))-(((battery/range_nm)*D197*ROUND(K197*L197*revleg_full,0)*VLOOKUP(B197,country_opex,3,FALSE))+V197+W197+X197+Y197+Z197))&lt;=0,"",VLOOKUP(B197,country_opex,7,FALSE)/((S197*pax_cap*load_full*ROUND(K197*L197*revleg_full,0))-(((battery/range_nm)*D197*ROUND(K197*L197*revleg_full,0)*VLOOKUP(B197,country_opex,3,FALSE))+V197+W197+X197+Y197+Z197)))</f>
        <v/>
      </c>
      <c r="AW197" s="44" t="n"/>
      <c r="AX197" s="44" t="n"/>
    </row>
    <row r="198">
      <c r="A198" s="29" t="inlineStr">
        <is>
          <t>Bolt Uae</t>
        </is>
      </c>
      <c r="B198" s="29" t="inlineStr">
        <is>
          <t>United Arab Emirates</t>
        </is>
      </c>
      <c r="C198" s="30" t="inlineStr">
        <is>
          <t>Yas Marina → Zaya Nurai Island Jetty</t>
        </is>
      </c>
      <c r="D198" s="31" t="n">
        <v>12.6</v>
      </c>
      <c r="E198" s="26" t="n">
        <v>175</v>
      </c>
      <c r="F198" s="32" t="inlineStr">
        <is>
          <t>T5</t>
        </is>
      </c>
      <c r="G198" s="32" t="inlineStr">
        <is>
          <t>low</t>
        </is>
      </c>
      <c r="H198" s="19" t="n">
        <v>1</v>
      </c>
      <c r="I198" s="33">
        <f>60*D198/cruise_kt</f>
        <v/>
      </c>
      <c r="J198" s="33">
        <f>I198+turn_min+dwell_min</f>
        <v/>
      </c>
      <c r="K198" s="34">
        <f>MIN(15,FLOOR(60*service_hr/J198,1))</f>
        <v/>
      </c>
      <c r="L198" s="34">
        <f>ROUND(365*mech_uptime*H198,0)</f>
        <v/>
      </c>
      <c r="M198" s="35">
        <f>mech_uptime</f>
        <v/>
      </c>
      <c r="N198" s="35">
        <f>revleg_sel</f>
        <v/>
      </c>
      <c r="O198" s="34">
        <f>ROUND(K198*L198*revleg_sel,0)</f>
        <v/>
      </c>
      <c r="P198" s="36">
        <f>load_sel</f>
        <v/>
      </c>
      <c r="Q198" s="36">
        <f>pax_cap*P198</f>
        <v/>
      </c>
      <c r="R198" s="34">
        <f>Q198*O198</f>
        <v/>
      </c>
      <c r="S198" s="37">
        <f>E198*discount</f>
        <v/>
      </c>
      <c r="T198" s="38">
        <f>S198*R198</f>
        <v/>
      </c>
      <c r="U198" s="38">
        <f>(battery/range_nm)*D198*O198*VLOOKUP(B198,country_opex,3,FALSE)</f>
        <v/>
      </c>
      <c r="V198" s="38">
        <f>VLOOKUP(B198,country_opex,2,FALSE)*crew_factor</f>
        <v/>
      </c>
      <c r="W198" s="38">
        <f>VLOOKUP(B198,country_opex,5,FALSE)</f>
        <v/>
      </c>
      <c r="X198" s="38">
        <f>maint</f>
        <v/>
      </c>
      <c r="Y198" s="38">
        <f>VLOOKUP(B198,country_opex,7,FALSE)*ins_pct</f>
        <v/>
      </c>
      <c r="Z198" s="38">
        <f>charge_berth</f>
        <v/>
      </c>
      <c r="AA198" s="38">
        <f>U198+V198+W198+X198+Y198+Z198</f>
        <v/>
      </c>
      <c r="AB198" s="38">
        <f>VLOOKUP(B198,country_opex,7,FALSE)/dep_years</f>
        <v/>
      </c>
      <c r="AC198" s="38">
        <f>T198-AA198</f>
        <v/>
      </c>
      <c r="AD198" s="35">
        <f>IF(T198=0,"",AC198/T198)</f>
        <v/>
      </c>
      <c r="AE198" s="36">
        <f>IF(AC198&lt;=0,"",VLOOKUP(B198,country_opex,7,FALSE)/AC198)</f>
        <v/>
      </c>
      <c r="AF198" s="33">
        <f>((D198*O198/diesel_nmpg)*diesel_co2pg-(battery/range_nm)*D198*O198*VLOOKUP(B198,country_opex,4,FALSE))/1000</f>
        <v/>
      </c>
      <c r="AG198" s="31" t="n">
        <v>15000</v>
      </c>
      <c r="AH198" s="32" t="inlineStr">
        <is>
          <t>T3</t>
        </is>
      </c>
      <c r="AI198" s="32" t="inlineStr">
        <is>
          <t>low</t>
        </is>
      </c>
      <c r="AJ198" s="39" t="n">
        <v>0.1</v>
      </c>
      <c r="AK198" s="34">
        <f>IF(AG198="","",AG198*AJ198)</f>
        <v/>
      </c>
      <c r="AL198" s="34">
        <f>IF(OR(AG198="",R198=0),"",MIN(IF(AS198="",9.9E+99,AS198),FLOOR(AK198/R198,1)))</f>
        <v/>
      </c>
      <c r="AM198" s="38">
        <f>IF(AL198="","",AL198*T198)</f>
        <v/>
      </c>
      <c r="AN198" s="36">
        <f>IF(OR(AG198="",R198=0),"",MIN(IF(AS198="",9.9E+99,AS198),AK198/R198))</f>
        <v/>
      </c>
      <c r="AO198" s="38">
        <f>IF(AN198="","",AN198*T198)</f>
        <v/>
      </c>
      <c r="AP198" s="40" t="n"/>
      <c r="AQ198" s="41" t="n"/>
      <c r="AR198" s="41" t="n"/>
      <c r="AS198" s="42" t="n"/>
      <c r="AT198" s="43">
        <f>IF(((S198*pax_cap*load_thin*ROUND(K198*L198*revleg_thin,0))-(((battery/range_nm)*D198*ROUND(K198*L198*revleg_thin,0)*VLOOKUP(B198,country_opex,3,FALSE))+V198+W198+X198+Y198+Z198))&lt;=0,"",VLOOKUP(B198,country_opex,7,FALSE)/((S198*pax_cap*load_thin*ROUND(K198*L198*revleg_thin,0))-(((battery/range_nm)*D198*ROUND(K198*L198*revleg_thin,0)*VLOOKUP(B198,country_opex,3,FALSE))+V198+W198+X198+Y198+Z198)))</f>
        <v/>
      </c>
      <c r="AU198" s="43">
        <f>IF(((S198*pax_cap*load_mid*ROUND(K198*L198*revleg_mid,0))-(((battery/range_nm)*D198*ROUND(K198*L198*revleg_mid,0)*VLOOKUP(B198,country_opex,3,FALSE))+V198+W198+X198+Y198+Z198))&lt;=0,"",VLOOKUP(B198,country_opex,7,FALSE)/((S198*pax_cap*load_mid*ROUND(K198*L198*revleg_mid,0))-(((battery/range_nm)*D198*ROUND(K198*L198*revleg_mid,0)*VLOOKUP(B198,country_opex,3,FALSE))+V198+W198+X198+Y198+Z198)))</f>
        <v/>
      </c>
      <c r="AV198" s="43">
        <f>IF(((S198*pax_cap*load_full*ROUND(K198*L198*revleg_full,0))-(((battery/range_nm)*D198*ROUND(K198*L198*revleg_full,0)*VLOOKUP(B198,country_opex,3,FALSE))+V198+W198+X198+Y198+Z198))&lt;=0,"",VLOOKUP(B198,country_opex,7,FALSE)/((S198*pax_cap*load_full*ROUND(K198*L198*revleg_full,0))-(((battery/range_nm)*D198*ROUND(K198*L198*revleg_full,0)*VLOOKUP(B198,country_opex,3,FALSE))+V198+W198+X198+Y198+Z198)))</f>
        <v/>
      </c>
      <c r="AW198" s="44" t="inlineStr">
        <is>
          <t>Zaya Nurai boat-only, but real transfers depart Saadiyat (4.4nm) not Yas Marina (12.6nm) -&gt; R3-PIER. $175 modeled; demand NULL. T5/low.</t>
        </is>
      </c>
      <c r="AX198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99">
      <c r="A199" s="29" t="inlineStr">
        <is>
          <t>Bolt Uae</t>
        </is>
      </c>
      <c r="B199" s="29" t="inlineStr">
        <is>
          <t>United Arab Emirates</t>
        </is>
      </c>
      <c r="C199" s="30" t="inlineStr">
        <is>
          <t>Yas Marina → Saadiyat Beach Club Jetty</t>
        </is>
      </c>
      <c r="D199" s="31" t="n">
        <v>13</v>
      </c>
      <c r="E199" s="26" t="n">
        <v>75</v>
      </c>
      <c r="F199" s="32" t="inlineStr">
        <is>
          <t>T4</t>
        </is>
      </c>
      <c r="G199" s="32" t="inlineStr">
        <is>
          <t>low</t>
        </is>
      </c>
      <c r="H199" s="19" t="n">
        <v>1</v>
      </c>
      <c r="I199" s="33">
        <f>60*D199/cruise_kt</f>
        <v/>
      </c>
      <c r="J199" s="33">
        <f>I199+turn_min+dwell_min</f>
        <v/>
      </c>
      <c r="K199" s="34">
        <f>MIN(15,FLOOR(60*service_hr/J199,1))</f>
        <v/>
      </c>
      <c r="L199" s="34">
        <f>ROUND(365*mech_uptime*H199,0)</f>
        <v/>
      </c>
      <c r="M199" s="35">
        <f>mech_uptime</f>
        <v/>
      </c>
      <c r="N199" s="35">
        <f>revleg_sel</f>
        <v/>
      </c>
      <c r="O199" s="34">
        <f>ROUND(K199*L199*revleg_sel,0)</f>
        <v/>
      </c>
      <c r="P199" s="36">
        <f>load_sel</f>
        <v/>
      </c>
      <c r="Q199" s="36">
        <f>pax_cap*P199</f>
        <v/>
      </c>
      <c r="R199" s="34">
        <f>Q199*O199</f>
        <v/>
      </c>
      <c r="S199" s="37">
        <f>E199*discount</f>
        <v/>
      </c>
      <c r="T199" s="38">
        <f>S199*R199</f>
        <v/>
      </c>
      <c r="U199" s="38">
        <f>(battery/range_nm)*D199*O199*VLOOKUP(B199,country_opex,3,FALSE)</f>
        <v/>
      </c>
      <c r="V199" s="38">
        <f>VLOOKUP(B199,country_opex,2,FALSE)*crew_factor</f>
        <v/>
      </c>
      <c r="W199" s="38">
        <f>VLOOKUP(B199,country_opex,5,FALSE)</f>
        <v/>
      </c>
      <c r="X199" s="38">
        <f>maint</f>
        <v/>
      </c>
      <c r="Y199" s="38">
        <f>VLOOKUP(B199,country_opex,7,FALSE)*ins_pct</f>
        <v/>
      </c>
      <c r="Z199" s="38">
        <f>charge_berth</f>
        <v/>
      </c>
      <c r="AA199" s="38">
        <f>U199+V199+W199+X199+Y199+Z199</f>
        <v/>
      </c>
      <c r="AB199" s="38">
        <f>VLOOKUP(B199,country_opex,7,FALSE)/dep_years</f>
        <v/>
      </c>
      <c r="AC199" s="38">
        <f>T199-AA199</f>
        <v/>
      </c>
      <c r="AD199" s="35">
        <f>IF(T199=0,"",AC199/T199)</f>
        <v/>
      </c>
      <c r="AE199" s="36">
        <f>IF(AC199&lt;=0,"",VLOOKUP(B199,country_opex,7,FALSE)/AC199)</f>
        <v/>
      </c>
      <c r="AF199" s="33">
        <f>((D199*O199/diesel_nmpg)*diesel_co2pg-(battery/range_nm)*D199*O199*VLOOKUP(B199,country_opex,4,FALSE))/1000</f>
        <v/>
      </c>
      <c r="AG199" s="31" t="n">
        <v>30000</v>
      </c>
      <c r="AH199" s="32" t="inlineStr">
        <is>
          <t>T3</t>
        </is>
      </c>
      <c r="AI199" s="32" t="inlineStr">
        <is>
          <t>low</t>
        </is>
      </c>
      <c r="AJ199" s="39" t="n">
        <v>0.1</v>
      </c>
      <c r="AK199" s="34">
        <f>IF(AG199="","",AG199*AJ199)</f>
        <v/>
      </c>
      <c r="AL199" s="34">
        <f>IF(OR(AG199="",R199=0),"",MIN(IF(AS199="",9.9E+99,AS199),FLOOR(AK199/R199,1)))</f>
        <v/>
      </c>
      <c r="AM199" s="38">
        <f>IF(AL199="","",AL199*T199)</f>
        <v/>
      </c>
      <c r="AN199" s="36">
        <f>IF(OR(AG199="",R199=0),"",MIN(IF(AS199="",9.9E+99,AS199),AK199/R199))</f>
        <v/>
      </c>
      <c r="AO199" s="38">
        <f>IF(AN199="","",AN199*T199)</f>
        <v/>
      </c>
      <c r="AP199" s="40" t="n"/>
      <c r="AQ199" s="41" t="n"/>
      <c r="AR199" s="41" t="n"/>
      <c r="AS199" s="42" t="n"/>
      <c r="AT199" s="43">
        <f>IF(((S199*pax_cap*load_thin*ROUND(K199*L199*revleg_thin,0))-(((battery/range_nm)*D199*ROUND(K199*L199*revleg_thin,0)*VLOOKUP(B199,country_opex,3,FALSE))+V199+W199+X199+Y199+Z199))&lt;=0,"",VLOOKUP(B199,country_opex,7,FALSE)/((S199*pax_cap*load_thin*ROUND(K199*L199*revleg_thin,0))-(((battery/range_nm)*D199*ROUND(K199*L199*revleg_thin,0)*VLOOKUP(B199,country_opex,3,FALSE))+V199+W199+X199+Y199+Z199)))</f>
        <v/>
      </c>
      <c r="AU199" s="43">
        <f>IF(((S199*pax_cap*load_mid*ROUND(K199*L199*revleg_mid,0))-(((battery/range_nm)*D199*ROUND(K199*L199*revleg_mid,0)*VLOOKUP(B199,country_opex,3,FALSE))+V199+W199+X199+Y199+Z199))&lt;=0,"",VLOOKUP(B199,country_opex,7,FALSE)/((S199*pax_cap*load_mid*ROUND(K199*L199*revleg_mid,0))-(((battery/range_nm)*D199*ROUND(K199*L199*revleg_mid,0)*VLOOKUP(B199,country_opex,3,FALSE))+V199+W199+X199+Y199+Z199)))</f>
        <v/>
      </c>
      <c r="AV199" s="43">
        <f>IF(((S199*pax_cap*load_full*ROUND(K199*L199*revleg_full,0))-(((battery/range_nm)*D199*ROUND(K199*L199*revleg_full,0)*VLOOKUP(B199,country_opex,3,FALSE))+V199+W199+X199+Y199+Z199))&lt;=0,"",VLOOKUP(B199,country_opex,7,FALSE)/((S199*pax_cap*load_full*ROUND(K199*L199*revleg_full,0))-(((battery/range_nm)*D199*ROUND(K199*L199*revleg_full,0)*VLOOKUP(B199,country_opex,3,FALSE))+V199+W199+X199+Y199+Z199)))</f>
        <v/>
      </c>
      <c r="AW199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9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200">
      <c r="A200" s="29" t="inlineStr">
        <is>
          <t>Bolt Uae</t>
        </is>
      </c>
      <c r="B200" s="29" t="inlineStr">
        <is>
          <t>United Arab Emirates</t>
        </is>
      </c>
      <c r="C200" s="30" t="inlineStr">
        <is>
          <t>Dibba Marina (Fujairah) → Khorfakkan Corniche / Port (Sharjah enclave)</t>
        </is>
      </c>
      <c r="D200" s="31" t="n">
        <v>20.4</v>
      </c>
      <c r="E200" s="26" t="n">
        <v>65</v>
      </c>
      <c r="F200" s="32" t="inlineStr">
        <is>
          <t>T3</t>
        </is>
      </c>
      <c r="G200" s="32" t="inlineStr">
        <is>
          <t>med</t>
        </is>
      </c>
      <c r="H200" s="19" t="n">
        <v>1</v>
      </c>
      <c r="I200" s="33">
        <f>60*D200/cruise_kt</f>
        <v/>
      </c>
      <c r="J200" s="33">
        <f>I200+turn_min+dwell_min</f>
        <v/>
      </c>
      <c r="K200" s="34">
        <f>MIN(15,FLOOR(60*service_hr/J200,1))</f>
        <v/>
      </c>
      <c r="L200" s="34">
        <f>ROUND(365*mech_uptime*H200,0)</f>
        <v/>
      </c>
      <c r="M200" s="35">
        <f>mech_uptime</f>
        <v/>
      </c>
      <c r="N200" s="35">
        <f>revleg_sel</f>
        <v/>
      </c>
      <c r="O200" s="34">
        <f>ROUND(K200*L200*revleg_sel,0)</f>
        <v/>
      </c>
      <c r="P200" s="36">
        <f>load_sel</f>
        <v/>
      </c>
      <c r="Q200" s="36">
        <f>pax_cap*P200</f>
        <v/>
      </c>
      <c r="R200" s="34">
        <f>Q200*O200</f>
        <v/>
      </c>
      <c r="S200" s="37">
        <f>E200*discount</f>
        <v/>
      </c>
      <c r="T200" s="38">
        <f>S200*R200</f>
        <v/>
      </c>
      <c r="U200" s="38">
        <f>(battery/range_nm)*D200*O200*VLOOKUP(B200,country_opex,3,FALSE)</f>
        <v/>
      </c>
      <c r="V200" s="38">
        <f>VLOOKUP(B200,country_opex,2,FALSE)*crew_factor</f>
        <v/>
      </c>
      <c r="W200" s="38">
        <f>VLOOKUP(B200,country_opex,5,FALSE)</f>
        <v/>
      </c>
      <c r="X200" s="38">
        <f>maint</f>
        <v/>
      </c>
      <c r="Y200" s="38">
        <f>VLOOKUP(B200,country_opex,7,FALSE)*ins_pct</f>
        <v/>
      </c>
      <c r="Z200" s="38">
        <f>charge_berth</f>
        <v/>
      </c>
      <c r="AA200" s="38">
        <f>U200+V200+W200+X200+Y200+Z200</f>
        <v/>
      </c>
      <c r="AB200" s="38">
        <f>VLOOKUP(B200,country_opex,7,FALSE)/dep_years</f>
        <v/>
      </c>
      <c r="AC200" s="38">
        <f>T200-AA200</f>
        <v/>
      </c>
      <c r="AD200" s="35">
        <f>IF(T200=0,"",AC200/T200)</f>
        <v/>
      </c>
      <c r="AE200" s="36">
        <f>IF(AC200&lt;=0,"",VLOOKUP(B200,country_opex,7,FALSE)/AC200)</f>
        <v/>
      </c>
      <c r="AF200" s="33">
        <f>((D200*O200/diesel_nmpg)*diesel_co2pg-(battery/range_nm)*D200*O200*VLOOKUP(B200,country_opex,4,FALSE))/1000</f>
        <v/>
      </c>
      <c r="AG200" s="31" t="n">
        <v>60000</v>
      </c>
      <c r="AH200" s="32" t="inlineStr">
        <is>
          <t>T4</t>
        </is>
      </c>
      <c r="AI200" s="32" t="inlineStr">
        <is>
          <t>low</t>
        </is>
      </c>
      <c r="AJ200" s="39" t="n">
        <v>0.1</v>
      </c>
      <c r="AK200" s="34">
        <f>IF(AG200="","",AG200*AJ200)</f>
        <v/>
      </c>
      <c r="AL200" s="34">
        <f>IF(OR(AG200="",R200=0),"",MIN(IF(AS200="",9.9E+99,AS200),FLOOR(AK200/R200,1)))</f>
        <v/>
      </c>
      <c r="AM200" s="38">
        <f>IF(AL200="","",AL200*T200)</f>
        <v/>
      </c>
      <c r="AN200" s="36">
        <f>IF(OR(AG200="",R200=0),"",MIN(IF(AS200="",9.9E+99,AS200),AK200/R200))</f>
        <v/>
      </c>
      <c r="AO200" s="38">
        <f>IF(AN200="","",AN200*T200)</f>
        <v/>
      </c>
      <c r="AP200" s="40" t="n"/>
      <c r="AQ200" s="41" t="n"/>
      <c r="AR200" s="41" t="n"/>
      <c r="AS200" s="42" t="n"/>
      <c r="AT200" s="43">
        <f>IF(((S200*pax_cap*load_thin*ROUND(K200*L200*revleg_thin,0))-(((battery/range_nm)*D200*ROUND(K200*L200*revleg_thin,0)*VLOOKUP(B200,country_opex,3,FALSE))+V200+W200+X200+Y200+Z200))&lt;=0,"",VLOOKUP(B200,country_opex,7,FALSE)/((S200*pax_cap*load_thin*ROUND(K200*L200*revleg_thin,0))-(((battery/range_nm)*D200*ROUND(K200*L200*revleg_thin,0)*VLOOKUP(B200,country_opex,3,FALSE))+V200+W200+X200+Y200+Z200)))</f>
        <v/>
      </c>
      <c r="AU200" s="43">
        <f>IF(((S200*pax_cap*load_mid*ROUND(K200*L200*revleg_mid,0))-(((battery/range_nm)*D200*ROUND(K200*L200*revleg_mid,0)*VLOOKUP(B200,country_opex,3,FALSE))+V200+W200+X200+Y200+Z200))&lt;=0,"",VLOOKUP(B200,country_opex,7,FALSE)/((S200*pax_cap*load_mid*ROUND(K200*L200*revleg_mid,0))-(((battery/range_nm)*D200*ROUND(K200*L200*revleg_mid,0)*VLOOKUP(B200,country_opex,3,FALSE))+V200+W200+X200+Y200+Z200)))</f>
        <v/>
      </c>
      <c r="AV200" s="43">
        <f>IF(((S200*pax_cap*load_full*ROUND(K200*L200*revleg_full,0))-(((battery/range_nm)*D200*ROUND(K200*L200*revleg_full,0)*VLOOKUP(B200,country_opex,3,FALSE))+V200+W200+X200+Y200+Z200))&lt;=0,"",VLOOKUP(B200,country_opex,7,FALSE)/((S200*pax_cap*load_full*ROUND(K200*L200*revleg_full,0))-(((battery/range_nm)*D200*ROUND(K200*L200*revleg_full,0)*VLOOKUP(B200,country_opex,3,FALSE))+V200+W200+X200+Y200+Z200)))</f>
        <v/>
      </c>
      <c r="AW200" s="44" t="inlineStr">
        <is>
          <t>Fujairah east-coast day-trip boats: Dibba/Khor Fakkan dhow &amp; speedboat tours AED 140-210/pax (Instagram/Tripadvisor/Viator 2025); Musandam dhow cruises similar.</t>
        </is>
      </c>
      <c r="AX200" s="44" t="inlineStr">
        <is>
          <t>Fujairah arrivals crossed 340,000 (+22% YoY), 209 hotels, 70-100% occ (UAE Ministry/Fujairah Tourism); east-coast diving/Musandam day-trips genuinely water-based.</t>
        </is>
      </c>
    </row>
    <row r="201">
      <c r="A201" s="29" t="inlineStr">
        <is>
          <t>Bolt Uae</t>
        </is>
      </c>
      <c r="B201" s="29" t="inlineStr">
        <is>
          <t>United Arab Emirates</t>
        </is>
      </c>
      <c r="C201" s="30" t="inlineStr">
        <is>
          <t>Dubai Harbour Marina → Al Khan Lagoon mouth</t>
        </is>
      </c>
      <c r="D201" s="31" t="n">
        <v>25.1</v>
      </c>
      <c r="E201" s="26" t="n">
        <v>85</v>
      </c>
      <c r="F201" s="32" t="inlineStr">
        <is>
          <t>T5</t>
        </is>
      </c>
      <c r="G201" s="32" t="inlineStr">
        <is>
          <t>low</t>
        </is>
      </c>
      <c r="H201" s="19" t="n">
        <v>1</v>
      </c>
      <c r="I201" s="33">
        <f>60*D201/cruise_kt</f>
        <v/>
      </c>
      <c r="J201" s="33">
        <f>I201+turn_min+dwell_min</f>
        <v/>
      </c>
      <c r="K201" s="34">
        <f>MIN(15,FLOOR(60*service_hr/J201,1))</f>
        <v/>
      </c>
      <c r="L201" s="34">
        <f>ROUND(365*mech_uptime*H201,0)</f>
        <v/>
      </c>
      <c r="M201" s="35">
        <f>mech_uptime</f>
        <v/>
      </c>
      <c r="N201" s="35">
        <f>revleg_sel</f>
        <v/>
      </c>
      <c r="O201" s="34">
        <f>ROUND(K201*L201*revleg_sel,0)</f>
        <v/>
      </c>
      <c r="P201" s="36">
        <f>load_sel</f>
        <v/>
      </c>
      <c r="Q201" s="36">
        <f>pax_cap*P201</f>
        <v/>
      </c>
      <c r="R201" s="34">
        <f>Q201*O201</f>
        <v/>
      </c>
      <c r="S201" s="37">
        <f>E201*discount</f>
        <v/>
      </c>
      <c r="T201" s="38">
        <f>S201*R201</f>
        <v/>
      </c>
      <c r="U201" s="38">
        <f>(battery/range_nm)*D201*O201*VLOOKUP(B201,country_opex,3,FALSE)</f>
        <v/>
      </c>
      <c r="V201" s="38">
        <f>VLOOKUP(B201,country_opex,2,FALSE)*crew_factor</f>
        <v/>
      </c>
      <c r="W201" s="38">
        <f>VLOOKUP(B201,country_opex,5,FALSE)</f>
        <v/>
      </c>
      <c r="X201" s="38">
        <f>maint</f>
        <v/>
      </c>
      <c r="Y201" s="38">
        <f>VLOOKUP(B201,country_opex,7,FALSE)*ins_pct</f>
        <v/>
      </c>
      <c r="Z201" s="38">
        <f>charge_berth</f>
        <v/>
      </c>
      <c r="AA201" s="38">
        <f>U201+V201+W201+X201+Y201+Z201</f>
        <v/>
      </c>
      <c r="AB201" s="38">
        <f>VLOOKUP(B201,country_opex,7,FALSE)/dep_years</f>
        <v/>
      </c>
      <c r="AC201" s="38">
        <f>T201-AA201</f>
        <v/>
      </c>
      <c r="AD201" s="35">
        <f>IF(T201=0,"",AC201/T201)</f>
        <v/>
      </c>
      <c r="AE201" s="36">
        <f>IF(AC201&lt;=0,"",VLOOKUP(B201,country_opex,7,FALSE)/AC201)</f>
        <v/>
      </c>
      <c r="AF201" s="33">
        <f>((D201*O201/diesel_nmpg)*diesel_co2pg-(battery/range_nm)*D201*O201*VLOOKUP(B201,country_opex,4,FALSE))/1000</f>
        <v/>
      </c>
      <c r="AG201" s="31" t="n">
        <v>40000</v>
      </c>
      <c r="AH201" s="32" t="inlineStr">
        <is>
          <t>T2</t>
        </is>
      </c>
      <c r="AI201" s="32" t="inlineStr">
        <is>
          <t>low</t>
        </is>
      </c>
      <c r="AJ201" s="39" t="n">
        <v>0.1</v>
      </c>
      <c r="AK201" s="34">
        <f>IF(AG201="","",AG201*AJ201)</f>
        <v/>
      </c>
      <c r="AL201" s="34">
        <f>IF(OR(AG201="",R201=0),"",MIN(IF(AS201="",9.9E+99,AS201),FLOOR(AK201/R201,1)))</f>
        <v/>
      </c>
      <c r="AM201" s="38">
        <f>IF(AL201="","",AL201*T201)</f>
        <v/>
      </c>
      <c r="AN201" s="36">
        <f>IF(OR(AG201="",R201=0),"",MIN(IF(AS201="",9.9E+99,AS201),AK201/R201))</f>
        <v/>
      </c>
      <c r="AO201" s="38">
        <f>IF(AN201="","",AN201*T201)</f>
        <v/>
      </c>
      <c r="AP201" s="40" t="n"/>
      <c r="AQ201" s="41" t="n"/>
      <c r="AR201" s="41" t="n"/>
      <c r="AS201" s="42" t="n"/>
      <c r="AT201" s="43">
        <f>IF(((S201*pax_cap*load_thin*ROUND(K201*L201*revleg_thin,0))-(((battery/range_nm)*D201*ROUND(K201*L201*revleg_thin,0)*VLOOKUP(B201,country_opex,3,FALSE))+V201+W201+X201+Y201+Z201))&lt;=0,"",VLOOKUP(B201,country_opex,7,FALSE)/((S201*pax_cap*load_thin*ROUND(K201*L201*revleg_thin,0))-(((battery/range_nm)*D201*ROUND(K201*L201*revleg_thin,0)*VLOOKUP(B201,country_opex,3,FALSE))+V201+W201+X201+Y201+Z201)))</f>
        <v/>
      </c>
      <c r="AU201" s="43">
        <f>IF(((S201*pax_cap*load_mid*ROUND(K201*L201*revleg_mid,0))-(((battery/range_nm)*D201*ROUND(K201*L201*revleg_mid,0)*VLOOKUP(B201,country_opex,3,FALSE))+V201+W201+X201+Y201+Z201))&lt;=0,"",VLOOKUP(B201,country_opex,7,FALSE)/((S201*pax_cap*load_mid*ROUND(K201*L201*revleg_mid,0))-(((battery/range_nm)*D201*ROUND(K201*L201*revleg_mid,0)*VLOOKUP(B201,country_opex,3,FALSE))+V201+W201+X201+Y201+Z201)))</f>
        <v/>
      </c>
      <c r="AV201" s="43">
        <f>IF(((S201*pax_cap*load_full*ROUND(K201*L201*revleg_full,0))-(((battery/range_nm)*D201*ROUND(K201*L201*revleg_full,0)*VLOOKUP(B201,country_opex,3,FALSE))+V201+W201+X201+Y201+Z201))&lt;=0,"",VLOOKUP(B201,country_opex,7,FALSE)/((S201*pax_cap*load_full*ROUND(K201*L201*revleg_full,0))-(((battery/range_nm)*D201*ROUND(K201*L201*revleg_full,0)*VLOOKUP(B201,country_opex,3,FALSE))+V201+W201+X201+Y201+Z201)))</f>
        <v/>
      </c>
      <c r="AW201" s="44" t="inlineStr">
        <is>
          <t>Dubai-Sharjah Ferry Gold AED 25 subsidized-commuter (R5-EXT). Premium per-seat $85 modeled (between subsidized ferry and charter). T5/low.</t>
        </is>
      </c>
      <c r="AX201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2">
      <c r="A202" s="29" t="inlineStr">
        <is>
          <t>Bolt Uae</t>
        </is>
      </c>
      <c r="B202" s="29" t="inlineStr">
        <is>
          <t>United Arab Emirates</t>
        </is>
      </c>
      <c r="C202" s="30" t="inlineStr">
        <is>
          <t>Dubai Marina → Abu Dhabi Corniche</t>
        </is>
      </c>
      <c r="D202" s="31" t="n">
        <v>55.8</v>
      </c>
      <c r="E202" s="26" t="n"/>
      <c r="F202" s="32" t="n"/>
      <c r="G202" s="32" t="n"/>
      <c r="H202" s="19" t="n">
        <v>1</v>
      </c>
      <c r="I202" s="33">
        <f>60*D202/cruise_kt</f>
        <v/>
      </c>
      <c r="J202" s="33">
        <f>I202+turn_min+dwell_min</f>
        <v/>
      </c>
      <c r="K202" s="34">
        <f>MIN(15,FLOOR(60*service_hr/J202,1))</f>
        <v/>
      </c>
      <c r="L202" s="34">
        <f>ROUND(365*mech_uptime*H202,0)</f>
        <v/>
      </c>
      <c r="M202" s="35">
        <f>mech_uptime</f>
        <v/>
      </c>
      <c r="N202" s="35">
        <f>revleg_sel</f>
        <v/>
      </c>
      <c r="O202" s="34">
        <f>ROUND(K202*L202*revleg_sel,0)</f>
        <v/>
      </c>
      <c r="P202" s="36">
        <f>load_sel</f>
        <v/>
      </c>
      <c r="Q202" s="36">
        <f>pax_cap*P202</f>
        <v/>
      </c>
      <c r="R202" s="34">
        <f>Q202*O202</f>
        <v/>
      </c>
      <c r="S202" s="37">
        <f>E202*discount</f>
        <v/>
      </c>
      <c r="T202" s="38">
        <f>S202*R202</f>
        <v/>
      </c>
      <c r="U202" s="38">
        <f>(battery/range_nm)*D202*O202*VLOOKUP(B202,country_opex,3,FALSE)</f>
        <v/>
      </c>
      <c r="V202" s="38">
        <f>VLOOKUP(B202,country_opex,2,FALSE)*crew_factor</f>
        <v/>
      </c>
      <c r="W202" s="38">
        <f>VLOOKUP(B202,country_opex,5,FALSE)</f>
        <v/>
      </c>
      <c r="X202" s="38">
        <f>maint</f>
        <v/>
      </c>
      <c r="Y202" s="38">
        <f>VLOOKUP(B202,country_opex,7,FALSE)*ins_pct</f>
        <v/>
      </c>
      <c r="Z202" s="38">
        <f>charge_berth</f>
        <v/>
      </c>
      <c r="AA202" s="38">
        <f>U202+V202+W202+X202+Y202+Z202</f>
        <v/>
      </c>
      <c r="AB202" s="38">
        <f>VLOOKUP(B202,country_opex,7,FALSE)/dep_years</f>
        <v/>
      </c>
      <c r="AC202" s="38">
        <f>T202-AA202</f>
        <v/>
      </c>
      <c r="AD202" s="35">
        <f>IF(T202=0,"",AC202/T202)</f>
        <v/>
      </c>
      <c r="AE202" s="36">
        <f>IF(AC202&lt;=0,"",VLOOKUP(B202,country_opex,7,FALSE)/AC202)</f>
        <v/>
      </c>
      <c r="AF202" s="33">
        <f>((D202*O202/diesel_nmpg)*diesel_co2pg-(battery/range_nm)*D202*O202*VLOOKUP(B202,country_opex,4,FALSE))/1000</f>
        <v/>
      </c>
      <c r="AG202" s="31" t="n"/>
      <c r="AH202" s="32" t="n"/>
      <c r="AI202" s="32" t="n"/>
      <c r="AJ202" s="39" t="n">
        <v>0.1</v>
      </c>
      <c r="AK202" s="34">
        <f>IF(AG202="","",AG202*AJ202)</f>
        <v/>
      </c>
      <c r="AL202" s="34">
        <f>IF(OR(AG202="",R202=0),"",MIN(IF(AS202="",9.9E+99,AS202),FLOOR(AK202/R202,1)))</f>
        <v/>
      </c>
      <c r="AM202" s="38">
        <f>IF(AL202="","",AL202*T202)</f>
        <v/>
      </c>
      <c r="AN202" s="36">
        <f>IF(OR(AG202="",R202=0),"",MIN(IF(AS202="",9.9E+99,AS202),AK202/R202))</f>
        <v/>
      </c>
      <c r="AO202" s="38">
        <f>IF(AN202="","",AN202*T202)</f>
        <v/>
      </c>
      <c r="AP202" s="40" t="n"/>
      <c r="AQ202" s="41" t="n"/>
      <c r="AR202" s="41" t="n"/>
      <c r="AS202" s="42" t="n"/>
      <c r="AT202" s="43">
        <f>IF(((S202*pax_cap*load_thin*ROUND(K202*L202*revleg_thin,0))-(((battery/range_nm)*D202*ROUND(K202*L202*revleg_thin,0)*VLOOKUP(B202,country_opex,3,FALSE))+V202+W202+X202+Y202+Z202))&lt;=0,"",VLOOKUP(B202,country_opex,7,FALSE)/((S202*pax_cap*load_thin*ROUND(K202*L202*revleg_thin,0))-(((battery/range_nm)*D202*ROUND(K202*L202*revleg_thin,0)*VLOOKUP(B202,country_opex,3,FALSE))+V202+W202+X202+Y202+Z202)))</f>
        <v/>
      </c>
      <c r="AU202" s="43">
        <f>IF(((S202*pax_cap*load_mid*ROUND(K202*L202*revleg_mid,0))-(((battery/range_nm)*D202*ROUND(K202*L202*revleg_mid,0)*VLOOKUP(B202,country_opex,3,FALSE))+V202+W202+X202+Y202+Z202))&lt;=0,"",VLOOKUP(B202,country_opex,7,FALSE)/((S202*pax_cap*load_mid*ROUND(K202*L202*revleg_mid,0))-(((battery/range_nm)*D202*ROUND(K202*L202*revleg_mid,0)*VLOOKUP(B202,country_opex,3,FALSE))+V202+W202+X202+Y202+Z202)))</f>
        <v/>
      </c>
      <c r="AV202" s="43">
        <f>IF(((S202*pax_cap*load_full*ROUND(K202*L202*revleg_full,0))-(((battery/range_nm)*D202*ROUND(K202*L202*revleg_full,0)*VLOOKUP(B202,country_opex,3,FALSE))+V202+W202+X202+Y202+Z202))&lt;=0,"",VLOOKUP(B202,country_opex,7,FALSE)/((S202*pax_cap*load_full*ROUND(K202*L202*revleg_full,0))-(((battery/range_nm)*D202*ROUND(K202*L202*revleg_full,0)*VLOOKUP(B202,country_opex,3,FALSE))+V202+W202+X202+Y202+Z202)))</f>
        <v/>
      </c>
      <c r="AW202" s="44" t="n"/>
      <c r="AX202" s="44" t="n"/>
    </row>
    <row r="203">
      <c r="A203" s="29" t="inlineStr">
        <is>
          <t>Bolt Uae</t>
        </is>
      </c>
      <c r="B203" s="29" t="inlineStr">
        <is>
          <t>United Arab Emirates</t>
        </is>
      </c>
      <c r="C203" s="30" t="inlineStr">
        <is>
          <t>Dubai → Abu Dhabi (Corniche)</t>
        </is>
      </c>
      <c r="D203" s="31" t="n">
        <v>55.8</v>
      </c>
      <c r="E203" s="26" t="n"/>
      <c r="F203" s="32" t="n"/>
      <c r="G203" s="32" t="n"/>
      <c r="H203" s="19" t="n">
        <v>1</v>
      </c>
      <c r="I203" s="33">
        <f>60*D203/cruise_kt</f>
        <v/>
      </c>
      <c r="J203" s="33">
        <f>I203+turn_min+dwell_min</f>
        <v/>
      </c>
      <c r="K203" s="34">
        <f>MIN(15,FLOOR(60*service_hr/J203,1))</f>
        <v/>
      </c>
      <c r="L203" s="34">
        <f>ROUND(365*mech_uptime*H203,0)</f>
        <v/>
      </c>
      <c r="M203" s="35">
        <f>mech_uptime</f>
        <v/>
      </c>
      <c r="N203" s="35">
        <f>revleg_sel</f>
        <v/>
      </c>
      <c r="O203" s="34">
        <f>ROUND(K203*L203*revleg_sel,0)</f>
        <v/>
      </c>
      <c r="P203" s="36">
        <f>load_sel</f>
        <v/>
      </c>
      <c r="Q203" s="36">
        <f>pax_cap*P203</f>
        <v/>
      </c>
      <c r="R203" s="34">
        <f>Q203*O203</f>
        <v/>
      </c>
      <c r="S203" s="37">
        <f>E203*discount</f>
        <v/>
      </c>
      <c r="T203" s="38">
        <f>S203*R203</f>
        <v/>
      </c>
      <c r="U203" s="38">
        <f>(battery/range_nm)*D203*O203*VLOOKUP(B203,country_opex,3,FALSE)</f>
        <v/>
      </c>
      <c r="V203" s="38">
        <f>VLOOKUP(B203,country_opex,2,FALSE)*crew_factor</f>
        <v/>
      </c>
      <c r="W203" s="38">
        <f>VLOOKUP(B203,country_opex,5,FALSE)</f>
        <v/>
      </c>
      <c r="X203" s="38">
        <f>maint</f>
        <v/>
      </c>
      <c r="Y203" s="38">
        <f>VLOOKUP(B203,country_opex,7,FALSE)*ins_pct</f>
        <v/>
      </c>
      <c r="Z203" s="38">
        <f>charge_berth</f>
        <v/>
      </c>
      <c r="AA203" s="38">
        <f>U203+V203+W203+X203+Y203+Z203</f>
        <v/>
      </c>
      <c r="AB203" s="38">
        <f>VLOOKUP(B203,country_opex,7,FALSE)/dep_years</f>
        <v/>
      </c>
      <c r="AC203" s="38">
        <f>T203-AA203</f>
        <v/>
      </c>
      <c r="AD203" s="35">
        <f>IF(T203=0,"",AC203/T203)</f>
        <v/>
      </c>
      <c r="AE203" s="36">
        <f>IF(AC203&lt;=0,"",VLOOKUP(B203,country_opex,7,FALSE)/AC203)</f>
        <v/>
      </c>
      <c r="AF203" s="33">
        <f>((D203*O203/diesel_nmpg)*diesel_co2pg-(battery/range_nm)*D203*O203*VLOOKUP(B203,country_opex,4,FALSE))/1000</f>
        <v/>
      </c>
      <c r="AG203" s="31" t="n"/>
      <c r="AH203" s="32" t="n"/>
      <c r="AI203" s="32" t="n"/>
      <c r="AJ203" s="39" t="n">
        <v>0.1</v>
      </c>
      <c r="AK203" s="34">
        <f>IF(AG203="","",AG203*AJ203)</f>
        <v/>
      </c>
      <c r="AL203" s="34">
        <f>IF(OR(AG203="",R203=0),"",MIN(IF(AS203="",9.9E+99,AS203),FLOOR(AK203/R203,1)))</f>
        <v/>
      </c>
      <c r="AM203" s="38">
        <f>IF(AL203="","",AL203*T203)</f>
        <v/>
      </c>
      <c r="AN203" s="36">
        <f>IF(OR(AG203="",R203=0),"",MIN(IF(AS203="",9.9E+99,AS203),AK203/R203))</f>
        <v/>
      </c>
      <c r="AO203" s="38">
        <f>IF(AN203="","",AN203*T203)</f>
        <v/>
      </c>
      <c r="AP203" s="40" t="n"/>
      <c r="AQ203" s="41" t="n"/>
      <c r="AR203" s="41" t="n"/>
      <c r="AS203" s="42" t="n"/>
      <c r="AT203" s="43">
        <f>IF(((S203*pax_cap*load_thin*ROUND(K203*L203*revleg_thin,0))-(((battery/range_nm)*D203*ROUND(K203*L203*revleg_thin,0)*VLOOKUP(B203,country_opex,3,FALSE))+V203+W203+X203+Y203+Z203))&lt;=0,"",VLOOKUP(B203,country_opex,7,FALSE)/((S203*pax_cap*load_thin*ROUND(K203*L203*revleg_thin,0))-(((battery/range_nm)*D203*ROUND(K203*L203*revleg_thin,0)*VLOOKUP(B203,country_opex,3,FALSE))+V203+W203+X203+Y203+Z203)))</f>
        <v/>
      </c>
      <c r="AU203" s="43">
        <f>IF(((S203*pax_cap*load_mid*ROUND(K203*L203*revleg_mid,0))-(((battery/range_nm)*D203*ROUND(K203*L203*revleg_mid,0)*VLOOKUP(B203,country_opex,3,FALSE))+V203+W203+X203+Y203+Z203))&lt;=0,"",VLOOKUP(B203,country_opex,7,FALSE)/((S203*pax_cap*load_mid*ROUND(K203*L203*revleg_mid,0))-(((battery/range_nm)*D203*ROUND(K203*L203*revleg_mid,0)*VLOOKUP(B203,country_opex,3,FALSE))+V203+W203+X203+Y203+Z203)))</f>
        <v/>
      </c>
      <c r="AV203" s="43">
        <f>IF(((S203*pax_cap*load_full*ROUND(K203*L203*revleg_full,0))-(((battery/range_nm)*D203*ROUND(K203*L203*revleg_full,0)*VLOOKUP(B203,country_opex,3,FALSE))+V203+W203+X203+Y203+Z203))&lt;=0,"",VLOOKUP(B203,country_opex,7,FALSE)/((S203*pax_cap*load_full*ROUND(K203*L203*revleg_full,0))-(((battery/range_nm)*D203*ROUND(K203*L203*revleg_full,0)*VLOOKUP(B203,country_opex,3,FALSE))+V203+W203+X203+Y203+Z203)))</f>
        <v/>
      </c>
      <c r="AW203" s="44" t="n"/>
      <c r="AX203" s="44" t="n"/>
    </row>
    <row r="204">
      <c r="A204" s="29" t="inlineStr">
        <is>
          <t>Bolt Uae</t>
        </is>
      </c>
      <c r="B204" s="29" t="inlineStr">
        <is>
          <t>United Arab Emirates</t>
        </is>
      </c>
      <c r="C204" s="30" t="inlineStr">
        <is>
          <t>Dubai Harbour Marina → Wynn Al Marjan Island arrival lagoon</t>
        </is>
      </c>
      <c r="D204" s="31" t="n">
        <v>56</v>
      </c>
      <c r="E204" s="26" t="n">
        <v>200</v>
      </c>
      <c r="F204" s="32" t="inlineStr">
        <is>
          <t>T5</t>
        </is>
      </c>
      <c r="G204" s="32" t="inlineStr">
        <is>
          <t>low</t>
        </is>
      </c>
      <c r="H204" s="19" t="n">
        <v>1</v>
      </c>
      <c r="I204" s="33">
        <f>60*D204/cruise_kt</f>
        <v/>
      </c>
      <c r="J204" s="33">
        <f>I204+turn_min+dwell_min</f>
        <v/>
      </c>
      <c r="K204" s="34">
        <f>MIN(15,FLOOR(60*service_hr/J204,1))</f>
        <v/>
      </c>
      <c r="L204" s="34">
        <f>ROUND(365*mech_uptime*H204,0)</f>
        <v/>
      </c>
      <c r="M204" s="35">
        <f>mech_uptime</f>
        <v/>
      </c>
      <c r="N204" s="35">
        <f>revleg_sel</f>
        <v/>
      </c>
      <c r="O204" s="34">
        <f>ROUND(K204*L204*revleg_sel,0)</f>
        <v/>
      </c>
      <c r="P204" s="36">
        <f>load_sel</f>
        <v/>
      </c>
      <c r="Q204" s="36">
        <f>pax_cap*P204</f>
        <v/>
      </c>
      <c r="R204" s="34">
        <f>Q204*O204</f>
        <v/>
      </c>
      <c r="S204" s="37">
        <f>E204*discount</f>
        <v/>
      </c>
      <c r="T204" s="38">
        <f>S204*R204</f>
        <v/>
      </c>
      <c r="U204" s="38">
        <f>(battery/range_nm)*D204*O204*VLOOKUP(B204,country_opex,3,FALSE)</f>
        <v/>
      </c>
      <c r="V204" s="38">
        <f>VLOOKUP(B204,country_opex,2,FALSE)*crew_factor</f>
        <v/>
      </c>
      <c r="W204" s="38">
        <f>VLOOKUP(B204,country_opex,5,FALSE)</f>
        <v/>
      </c>
      <c r="X204" s="38">
        <f>maint</f>
        <v/>
      </c>
      <c r="Y204" s="38">
        <f>VLOOKUP(B204,country_opex,7,FALSE)*ins_pct</f>
        <v/>
      </c>
      <c r="Z204" s="38">
        <f>charge_berth</f>
        <v/>
      </c>
      <c r="AA204" s="38">
        <f>U204+V204+W204+X204+Y204+Z204</f>
        <v/>
      </c>
      <c r="AB204" s="38">
        <f>VLOOKUP(B204,country_opex,7,FALSE)/dep_years</f>
        <v/>
      </c>
      <c r="AC204" s="38">
        <f>T204-AA204</f>
        <v/>
      </c>
      <c r="AD204" s="35">
        <f>IF(T204=0,"",AC204/T204)</f>
        <v/>
      </c>
      <c r="AE204" s="36">
        <f>IF(AC204&lt;=0,"",VLOOKUP(B204,country_opex,7,FALSE)/AC204)</f>
        <v/>
      </c>
      <c r="AF204" s="33">
        <f>((D204*O204/diesel_nmpg)*diesel_co2pg-(battery/range_nm)*D204*O204*VLOOKUP(B204,country_opex,4,FALSE))/1000</f>
        <v/>
      </c>
      <c r="AG204" s="31" t="n">
        <v>60000</v>
      </c>
      <c r="AH204" s="32" t="inlineStr">
        <is>
          <t>T2</t>
        </is>
      </c>
      <c r="AI204" s="32" t="inlineStr">
        <is>
          <t>medium</t>
        </is>
      </c>
      <c r="AJ204" s="39" t="n">
        <v>0.1</v>
      </c>
      <c r="AK204" s="34">
        <f>IF(AG204="","",AG204*AJ204)</f>
        <v/>
      </c>
      <c r="AL204" s="34">
        <f>IF(OR(AG204="",R204=0),"",MIN(IF(AS204="",9.9E+99,AS204),FLOOR(AK204/R204,1)))</f>
        <v/>
      </c>
      <c r="AM204" s="38">
        <f>IF(AL204="","",AL204*T204)</f>
        <v/>
      </c>
      <c r="AN204" s="36">
        <f>IF(OR(AG204="",R204=0),"",MIN(IF(AS204="",9.9E+99,AS204),AK204/R204))</f>
        <v/>
      </c>
      <c r="AO204" s="38">
        <f>IF(AN204="","",AN204*T204)</f>
        <v/>
      </c>
      <c r="AP204" s="40" t="n"/>
      <c r="AQ204" s="41" t="n"/>
      <c r="AR204" s="41" t="n"/>
      <c r="AS204" s="42" t="n"/>
      <c r="AT204" s="43">
        <f>IF(((S204*pax_cap*load_thin*ROUND(K204*L204*revleg_thin,0))-(((battery/range_nm)*D204*ROUND(K204*L204*revleg_thin,0)*VLOOKUP(B204,country_opex,3,FALSE))+V204+W204+X204+Y204+Z204))&lt;=0,"",VLOOKUP(B204,country_opex,7,FALSE)/((S204*pax_cap*load_thin*ROUND(K204*L204*revleg_thin,0))-(((battery/range_nm)*D204*ROUND(K204*L204*revleg_thin,0)*VLOOKUP(B204,country_opex,3,FALSE))+V204+W204+X204+Y204+Z204)))</f>
        <v/>
      </c>
      <c r="AU204" s="43">
        <f>IF(((S204*pax_cap*load_mid*ROUND(K204*L204*revleg_mid,0))-(((battery/range_nm)*D204*ROUND(K204*L204*revleg_mid,0)*VLOOKUP(B204,country_opex,3,FALSE))+V204+W204+X204+Y204+Z204))&lt;=0,"",VLOOKUP(B204,country_opex,7,FALSE)/((S204*pax_cap*load_mid*ROUND(K204*L204*revleg_mid,0))-(((battery/range_nm)*D204*ROUND(K204*L204*revleg_mid,0)*VLOOKUP(B204,country_opex,3,FALSE))+V204+W204+X204+Y204+Z204)))</f>
        <v/>
      </c>
      <c r="AV204" s="43">
        <f>IF(((S204*pax_cap*load_full*ROUND(K204*L204*revleg_full,0))-(((battery/range_nm)*D204*ROUND(K204*L204*revleg_full,0)*VLOOKUP(B204,country_opex,3,FALSE))+V204+W204+X204+Y204+Z204))&lt;=0,"",VLOOKUP(B204,country_opex,7,FALSE)/((S204*pax_cap*load_full*ROUND(K204*L204*revleg_full,0))-(((battery/range_nm)*D204*ROUND(K204*L204*revleg_full,0)*VLOOKUP(B204,country_opex,3,FALSE))+V204+W204+X204+Y204+Z204)))</f>
        <v/>
      </c>
      <c r="AW204" s="44" t="inlineStr">
        <is>
          <t>Wynn Al Marjan (first UAE gaming resort) opens early 2027: 1,217 rooms + 297 residences. No marine transfer today. T5/low - greenfield.</t>
        </is>
      </c>
      <c r="AX20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5">
      <c r="A205" s="29" t="inlineStr">
        <is>
          <t>Bolt Uae</t>
        </is>
      </c>
      <c r="B205" s="29" t="inlineStr">
        <is>
          <t>United Arab Emirates</t>
        </is>
      </c>
      <c r="C205" s="30" t="inlineStr">
        <is>
          <t>Dubai Harbour Marina → Marina Mall / Breakwater Marina</t>
        </is>
      </c>
      <c r="D205" s="31" t="n">
        <v>59.8</v>
      </c>
      <c r="E205" s="26" t="n">
        <v>110</v>
      </c>
      <c r="F205" s="32" t="inlineStr">
        <is>
          <t>T5</t>
        </is>
      </c>
      <c r="G205" s="32" t="inlineStr">
        <is>
          <t>low</t>
        </is>
      </c>
      <c r="H205" s="19" t="n">
        <v>1</v>
      </c>
      <c r="I205" s="33">
        <f>60*D205/cruise_kt</f>
        <v/>
      </c>
      <c r="J205" s="33">
        <f>I205+turn_min+dwell_min</f>
        <v/>
      </c>
      <c r="K205" s="34">
        <f>MIN(15,FLOOR(60*service_hr/J205,1))</f>
        <v/>
      </c>
      <c r="L205" s="34">
        <f>ROUND(365*mech_uptime*H205,0)</f>
        <v/>
      </c>
      <c r="M205" s="35">
        <f>mech_uptime</f>
        <v/>
      </c>
      <c r="N205" s="35">
        <f>revleg_sel</f>
        <v/>
      </c>
      <c r="O205" s="34">
        <f>ROUND(K205*L205*revleg_sel,0)</f>
        <v/>
      </c>
      <c r="P205" s="36">
        <f>load_sel</f>
        <v/>
      </c>
      <c r="Q205" s="36">
        <f>pax_cap*P205</f>
        <v/>
      </c>
      <c r="R205" s="34">
        <f>Q205*O205</f>
        <v/>
      </c>
      <c r="S205" s="37">
        <f>E205*discount</f>
        <v/>
      </c>
      <c r="T205" s="38">
        <f>S205*R205</f>
        <v/>
      </c>
      <c r="U205" s="38">
        <f>(battery/range_nm)*D205*O205*VLOOKUP(B205,country_opex,3,FALSE)</f>
        <v/>
      </c>
      <c r="V205" s="38">
        <f>VLOOKUP(B205,country_opex,2,FALSE)*crew_factor</f>
        <v/>
      </c>
      <c r="W205" s="38">
        <f>VLOOKUP(B205,country_opex,5,FALSE)</f>
        <v/>
      </c>
      <c r="X205" s="38">
        <f>maint</f>
        <v/>
      </c>
      <c r="Y205" s="38">
        <f>VLOOKUP(B205,country_opex,7,FALSE)*ins_pct</f>
        <v/>
      </c>
      <c r="Z205" s="38">
        <f>charge_berth</f>
        <v/>
      </c>
      <c r="AA205" s="38">
        <f>U205+V205+W205+X205+Y205+Z205</f>
        <v/>
      </c>
      <c r="AB205" s="38">
        <f>VLOOKUP(B205,country_opex,7,FALSE)/dep_years</f>
        <v/>
      </c>
      <c r="AC205" s="38">
        <f>T205-AA205</f>
        <v/>
      </c>
      <c r="AD205" s="35">
        <f>IF(T205=0,"",AC205/T205)</f>
        <v/>
      </c>
      <c r="AE205" s="36">
        <f>IF(AC205&lt;=0,"",VLOOKUP(B205,country_opex,7,FALSE)/AC205)</f>
        <v/>
      </c>
      <c r="AF205" s="33">
        <f>((D205*O205/diesel_nmpg)*diesel_co2pg-(battery/range_nm)*D205*O205*VLOOKUP(B205,country_opex,4,FALSE))/1000</f>
        <v/>
      </c>
      <c r="AG205" s="31" t="n">
        <v>25000</v>
      </c>
      <c r="AH205" s="32" t="inlineStr">
        <is>
          <t>T2</t>
        </is>
      </c>
      <c r="AI205" s="32" t="inlineStr">
        <is>
          <t>low</t>
        </is>
      </c>
      <c r="AJ205" s="39" t="n">
        <v>0.1</v>
      </c>
      <c r="AK205" s="34">
        <f>IF(AG205="","",AG205*AJ205)</f>
        <v/>
      </c>
      <c r="AL205" s="34">
        <f>IF(OR(AG205="",R205=0),"",MIN(IF(AS205="",9.9E+99,AS205),FLOOR(AK205/R205,1)))</f>
        <v/>
      </c>
      <c r="AM205" s="38">
        <f>IF(AL205="","",AL205*T205)</f>
        <v/>
      </c>
      <c r="AN205" s="36">
        <f>IF(OR(AG205="",R205=0),"",MIN(IF(AS205="",9.9E+99,AS205),AK205/R205))</f>
        <v/>
      </c>
      <c r="AO205" s="38">
        <f>IF(AN205="","",AN205*T205)</f>
        <v/>
      </c>
      <c r="AP205" s="40" t="n"/>
      <c r="AQ205" s="41" t="n"/>
      <c r="AR205" s="41" t="n"/>
      <c r="AS205" s="42" t="n"/>
      <c r="AT205" s="43">
        <f>IF(((S205*pax_cap*load_thin*ROUND(K205*L205*revleg_thin,0))-(((battery/range_nm)*D205*ROUND(K205*L205*revleg_thin,0)*VLOOKUP(B205,country_opex,3,FALSE))+V205+W205+X205+Y205+Z205))&lt;=0,"",VLOOKUP(B205,country_opex,7,FALSE)/((S205*pax_cap*load_thin*ROUND(K205*L205*revleg_thin,0))-(((battery/range_nm)*D205*ROUND(K205*L205*revleg_thin,0)*VLOOKUP(B205,country_opex,3,FALSE))+V205+W205+X205+Y205+Z205)))</f>
        <v/>
      </c>
      <c r="AU205" s="43">
        <f>IF(((S205*pax_cap*load_mid*ROUND(K205*L205*revleg_mid,0))-(((battery/range_nm)*D205*ROUND(K205*L205*revleg_mid,0)*VLOOKUP(B205,country_opex,3,FALSE))+V205+W205+X205+Y205+Z205))&lt;=0,"",VLOOKUP(B205,country_opex,7,FALSE)/((S205*pax_cap*load_mid*ROUND(K205*L205*revleg_mid,0))-(((battery/range_nm)*D205*ROUND(K205*L205*revleg_mid,0)*VLOOKUP(B205,country_opex,3,FALSE))+V205+W205+X205+Y205+Z205)))</f>
        <v/>
      </c>
      <c r="AV205" s="43">
        <f>IF(((S205*pax_cap*load_full*ROUND(K205*L205*revleg_full,0))-(((battery/range_nm)*D205*ROUND(K205*L205*revleg_full,0)*VLOOKUP(B205,country_opex,3,FALSE))+V205+W205+X205+Y205+Z205))&lt;=0,"",VLOOKUP(B205,country_opex,7,FALSE)/((S205*pax_cap*load_full*ROUND(K205*L205*revleg_full,0))-(((battery/range_nm)*D205*ROUND(K205*L205*revleg_full,0)*VLOOKUP(B205,country_opex,3,FALSE))+V205+W205+X205+Y205+Z205)))</f>
        <v/>
      </c>
      <c r="AW205" s="44" t="inlineStr">
        <is>
          <t>No Dubai&lt;-&gt;AD ferry. Whole-yacht charter AED 4,500/hr (8-pax ~$95-150/seat); limo AED 250-350. T5/low - opportunity-to-create.</t>
        </is>
      </c>
      <c r="AX20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206">
      <c r="A206" s="45" t="inlineStr">
        <is>
          <t>TOTAL / median</t>
        </is>
      </c>
      <c r="T206" s="46">
        <f>SUM(T4:T205)</f>
        <v/>
      </c>
      <c r="AC206" s="46">
        <f>SUM(AC4:AC205)</f>
        <v/>
      </c>
      <c r="AD206" s="47">
        <f>IF(T206=0,"",AC206/T206)</f>
        <v/>
      </c>
      <c r="AL206" s="48">
        <f>SUM(AL4:AL205)</f>
        <v/>
      </c>
      <c r="AM206" s="46">
        <f>SUM(AM4:AM205)</f>
        <v/>
      </c>
    </row>
    <row r="208">
      <c r="A20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209">
      <c r="A209" s="24" t="inlineStr">
        <is>
          <t>Market</t>
        </is>
      </c>
      <c r="B209" s="24" t="inlineStr">
        <is>
          <t>Fleet basis</t>
        </is>
      </c>
      <c r="C209" s="24" t="inlineStr">
        <is>
          <t>Raw vessels (sum)</t>
        </is>
      </c>
      <c r="D209" s="24" t="inlineStr">
        <is>
          <t>Fleet (rounded once)</t>
        </is>
      </c>
      <c r="E209" s="24" t="inlineStr">
        <is>
          <t>Market rev/yr (raw sum)</t>
        </is>
      </c>
    </row>
    <row r="210">
      <c r="A210" s="25" t="inlineStr">
        <is>
          <t>Bolt Croatia</t>
        </is>
      </c>
      <c r="B210" s="13" t="inlineStr">
        <is>
          <t>grounded</t>
        </is>
      </c>
      <c r="C210" s="13" t="inlineStr">
        <is>
          <t>—</t>
        </is>
      </c>
      <c r="D210" s="49">
        <f>SUMIFS(AL4:AL205,A4:A205,"Bolt Croatia",AP4:AP205,"=",AQ4:AQ205,"=",AR4:AR205,"=")</f>
        <v/>
      </c>
      <c r="E210" s="50">
        <f>SUMIFS(AM4:AM205,A4:A205,"Bolt Croatia",AP4:AP205,"=",AQ4:AQ205,"=",AR4:AR205,"=")</f>
        <v/>
      </c>
    </row>
    <row r="211">
      <c r="A211" s="25" t="inlineStr">
        <is>
          <t>Bolt Cyprus</t>
        </is>
      </c>
      <c r="B211" s="13" t="inlineStr">
        <is>
          <t>aspirational</t>
        </is>
      </c>
      <c r="C211" s="13" t="inlineStr">
        <is>
          <t>—</t>
        </is>
      </c>
      <c r="D211" s="49">
        <f>SUMIFS(AL4:AL205,A4:A205,"Bolt Cyprus",AP4:AP205,"=",AQ4:AQ205,"=",AR4:AR205,"=")</f>
        <v/>
      </c>
      <c r="E211" s="50">
        <f>SUMIFS(AM4:AM205,A4:A205,"Bolt Cyprus",AP4:AP205,"=",AQ4:AQ205,"=",AR4:AR205,"=")</f>
        <v/>
      </c>
    </row>
    <row r="212">
      <c r="A212" s="25" t="inlineStr">
        <is>
          <t>Bolt Egypt</t>
        </is>
      </c>
      <c r="B212" s="13" t="inlineStr">
        <is>
          <t>aspirational</t>
        </is>
      </c>
      <c r="C212" s="13" t="inlineStr">
        <is>
          <t>—</t>
        </is>
      </c>
      <c r="D212" s="49">
        <f>SUMIFS(AL4:AL205,A4:A205,"Bolt Egypt",AP4:AP205,"=",AQ4:AQ205,"=",AR4:AR205,"=")</f>
        <v/>
      </c>
      <c r="E212" s="50">
        <f>SUMIFS(AM4:AM205,A4:A205,"Bolt Egypt",AP4:AP205,"=",AQ4:AQ205,"=",AR4:AR205,"=")</f>
        <v/>
      </c>
    </row>
    <row r="213">
      <c r="A213" s="25" t="inlineStr">
        <is>
          <t>Bolt Estonia</t>
        </is>
      </c>
      <c r="B213" s="13" t="inlineStr">
        <is>
          <t>aspirational</t>
        </is>
      </c>
      <c r="C213" s="13" t="inlineStr">
        <is>
          <t>—</t>
        </is>
      </c>
      <c r="D213" s="49">
        <f>SUMIFS(AL4:AL205,A4:A205,"Bolt Estonia",AP4:AP205,"=",AQ4:AQ205,"=",AR4:AR205,"=")</f>
        <v/>
      </c>
      <c r="E213" s="50">
        <f>SUMIFS(AM4:AM205,A4:A205,"Bolt Estonia",AP4:AP205,"=",AQ4:AQ205,"=",AR4:AR205,"=")</f>
        <v/>
      </c>
    </row>
    <row r="214">
      <c r="A214" s="25" t="inlineStr">
        <is>
          <t>Bolt Finland</t>
        </is>
      </c>
      <c r="B214" s="13" t="inlineStr">
        <is>
          <t>aspirational</t>
        </is>
      </c>
      <c r="C214" s="13" t="inlineStr">
        <is>
          <t>—</t>
        </is>
      </c>
      <c r="D214" s="49">
        <f>SUMIFS(AL4:AL205,A4:A205,"Bolt Finland",AP4:AP205,"=",AQ4:AQ205,"=",AR4:AR205,"=")</f>
        <v/>
      </c>
      <c r="E214" s="50">
        <f>SUMIFS(AM4:AM205,A4:A205,"Bolt Finland",AP4:AP205,"=",AQ4:AQ205,"=",AR4:AR205,"=")</f>
        <v/>
      </c>
    </row>
    <row r="215">
      <c r="A215" s="25" t="inlineStr">
        <is>
          <t>Bolt France Riviera</t>
        </is>
      </c>
      <c r="B215" s="13" t="inlineStr">
        <is>
          <t>grounded</t>
        </is>
      </c>
      <c r="C215" s="13" t="inlineStr">
        <is>
          <t>—</t>
        </is>
      </c>
      <c r="D215" s="49">
        <f>SUMIFS(AL4:AL205,A4:A205,"Bolt France Riviera",AP4:AP205,"=",AQ4:AQ205,"=",AR4:AR205,"=")</f>
        <v/>
      </c>
      <c r="E215" s="50">
        <f>SUMIFS(AM4:AM205,A4:A205,"Bolt France Riviera",AP4:AP205,"=",AQ4:AQ205,"=",AR4:AR205,"=")</f>
        <v/>
      </c>
    </row>
    <row r="216">
      <c r="A216" s="25" t="inlineStr">
        <is>
          <t>Bolt Greece</t>
        </is>
      </c>
      <c r="B216" s="13" t="inlineStr">
        <is>
          <t>grounded</t>
        </is>
      </c>
      <c r="C216" s="13" t="inlineStr">
        <is>
          <t>—</t>
        </is>
      </c>
      <c r="D216" s="49">
        <f>SUMIFS(AL4:AL205,A4:A205,"Bolt Greece",AP4:AP205,"=",AQ4:AQ205,"=",AR4:AR205,"=")</f>
        <v/>
      </c>
      <c r="E216" s="50">
        <f>SUMIFS(AM4:AM205,A4:A205,"Bolt Greece",AP4:AP205,"=",AQ4:AQ205,"=",AR4:AR205,"=")</f>
        <v/>
      </c>
    </row>
    <row r="217">
      <c r="A217" s="25" t="inlineStr">
        <is>
          <t>Bolt Ireland</t>
        </is>
      </c>
      <c r="B217" s="13" t="inlineStr">
        <is>
          <t>aspirational</t>
        </is>
      </c>
      <c r="C217" s="13" t="inlineStr">
        <is>
          <t>—</t>
        </is>
      </c>
      <c r="D217" s="49">
        <f>SUMIFS(AL4:AL205,A4:A205,"Bolt Ireland",AP4:AP205,"=",AQ4:AQ205,"=",AR4:AR205,"=")</f>
        <v/>
      </c>
      <c r="E217" s="50">
        <f>SUMIFS(AM4:AM205,A4:A205,"Bolt Ireland",AP4:AP205,"=",AQ4:AQ205,"=",AR4:AR205,"=")</f>
        <v/>
      </c>
    </row>
    <row r="218">
      <c r="A218" s="25" t="inlineStr">
        <is>
          <t>Bolt Israel</t>
        </is>
      </c>
      <c r="B218" s="13" t="inlineStr">
        <is>
          <t>aspirational</t>
        </is>
      </c>
      <c r="C218" s="13" t="inlineStr">
        <is>
          <t>—</t>
        </is>
      </c>
      <c r="D218" s="49">
        <f>SUMIFS(AL4:AL205,A4:A205,"Bolt Israel",AP4:AP205,"=",AQ4:AQ205,"=",AR4:AR205,"=")</f>
        <v/>
      </c>
      <c r="E218" s="50">
        <f>SUMIFS(AM4:AM205,A4:A205,"Bolt Israel",AP4:AP205,"=",AQ4:AQ205,"=",AR4:AR205,"=")</f>
        <v/>
      </c>
    </row>
    <row r="219">
      <c r="A219" s="25" t="inlineStr">
        <is>
          <t>Bolt Italy</t>
        </is>
      </c>
      <c r="B219" s="13" t="inlineStr">
        <is>
          <t>grounded</t>
        </is>
      </c>
      <c r="C219" s="13" t="inlineStr">
        <is>
          <t>—</t>
        </is>
      </c>
      <c r="D219" s="49">
        <f>SUMIFS(AL4:AL205,A4:A205,"Bolt Italy",AP4:AP205,"=",AQ4:AQ205,"=",AR4:AR205,"=")</f>
        <v/>
      </c>
      <c r="E219" s="50">
        <f>SUMIFS(AM4:AM205,A4:A205,"Bolt Italy",AP4:AP205,"=",AQ4:AQ205,"=",AR4:AR205,"=")</f>
        <v/>
      </c>
    </row>
    <row r="220">
      <c r="A220" s="25" t="inlineStr">
        <is>
          <t>Bolt Lebanon</t>
        </is>
      </c>
      <c r="B220" s="13" t="inlineStr">
        <is>
          <t>aspirational</t>
        </is>
      </c>
      <c r="C220" s="13" t="inlineStr">
        <is>
          <t>—</t>
        </is>
      </c>
      <c r="D220" s="49">
        <f>SUMIFS(AL4:AL205,A4:A205,"Bolt Lebanon",AP4:AP205,"=",AQ4:AQ205,"=",AR4:AR205,"=")</f>
        <v/>
      </c>
      <c r="E220" s="50">
        <f>SUMIFS(AM4:AM205,A4:A205,"Bolt Lebanon",AP4:AP205,"=",AQ4:AQ205,"=",AR4:AR205,"=")</f>
        <v/>
      </c>
    </row>
    <row r="221">
      <c r="A221" s="25" t="inlineStr">
        <is>
          <t>Bolt Portugal</t>
        </is>
      </c>
      <c r="B221" s="13" t="inlineStr">
        <is>
          <t>grounded</t>
        </is>
      </c>
      <c r="C221" s="13" t="inlineStr">
        <is>
          <t>—</t>
        </is>
      </c>
      <c r="D221" s="49">
        <f>SUMIFS(AL4:AL205,A4:A205,"Bolt Portugal",AP4:AP205,"=",AQ4:AQ205,"=",AR4:AR205,"=")</f>
        <v/>
      </c>
      <c r="E221" s="50">
        <f>SUMIFS(AM4:AM205,A4:A205,"Bolt Portugal",AP4:AP205,"=",AQ4:AQ205,"=",AR4:AR205,"=")</f>
        <v/>
      </c>
    </row>
    <row r="222">
      <c r="A222" s="25" t="inlineStr">
        <is>
          <t>Bolt Qatar</t>
        </is>
      </c>
      <c r="B222" s="13" t="inlineStr">
        <is>
          <t>grounded</t>
        </is>
      </c>
      <c r="C222" s="13" t="inlineStr">
        <is>
          <t>—</t>
        </is>
      </c>
      <c r="D222" s="49">
        <f>SUMIFS(AL4:AL205,A4:A205,"Bolt Qatar",AP4:AP205,"=",AQ4:AQ205,"=",AR4:AR205,"=")</f>
        <v/>
      </c>
      <c r="E222" s="50">
        <f>SUMIFS(AM4:AM205,A4:A205,"Bolt Qatar",AP4:AP205,"=",AQ4:AQ205,"=",AR4:AR205,"=")</f>
        <v/>
      </c>
    </row>
    <row r="223">
      <c r="A223" s="25" t="inlineStr">
        <is>
          <t>Bolt Romania</t>
        </is>
      </c>
      <c r="B223" s="13" t="inlineStr">
        <is>
          <t>aspirational</t>
        </is>
      </c>
      <c r="C223" s="13" t="inlineStr">
        <is>
          <t>—</t>
        </is>
      </c>
      <c r="D223" s="49">
        <f>SUMIFS(AL4:AL205,A4:A205,"Bolt Romania",AP4:AP205,"=",AQ4:AQ205,"=",AR4:AR205,"=")</f>
        <v/>
      </c>
      <c r="E223" s="50">
        <f>SUMIFS(AM4:AM205,A4:A205,"Bolt Romania",AP4:AP205,"=",AQ4:AQ205,"=",AR4:AR205,"=")</f>
        <v/>
      </c>
    </row>
    <row r="224">
      <c r="A224" s="25" t="inlineStr">
        <is>
          <t>Bolt Ksa Commercial</t>
        </is>
      </c>
      <c r="B224" s="13" t="inlineStr">
        <is>
          <t>grounded</t>
        </is>
      </c>
      <c r="C224" s="13" t="inlineStr">
        <is>
          <t>—</t>
        </is>
      </c>
      <c r="D224" s="49">
        <f>SUMIFS(AL4:AL205,A4:A205,"Bolt Ksa Commercial",AP4:AP205,"=",AQ4:AQ205,"=",AR4:AR205,"=")</f>
        <v/>
      </c>
      <c r="E224" s="50">
        <f>SUMIFS(AM4:AM205,A4:A205,"Bolt Ksa Commercial",AP4:AP205,"=",AQ4:AQ205,"=",AR4:AR205,"=")</f>
        <v/>
      </c>
    </row>
    <row r="225">
      <c r="A225" s="25" t="inlineStr">
        <is>
          <t>Bolt Spain</t>
        </is>
      </c>
      <c r="B225" s="13" t="inlineStr">
        <is>
          <t>aspirational</t>
        </is>
      </c>
      <c r="C225" s="13" t="inlineStr">
        <is>
          <t>—</t>
        </is>
      </c>
      <c r="D225" s="49">
        <f>SUMIFS(AL4:AL205,A4:A205,"Bolt Spain",AP4:AP205,"=",AQ4:AQ205,"=",AR4:AR205,"=")</f>
        <v/>
      </c>
      <c r="E225" s="50">
        <f>SUMIFS(AM4:AM205,A4:A205,"Bolt Spain",AP4:AP205,"=",AQ4:AQ205,"=",AR4:AR205,"=")</f>
        <v/>
      </c>
    </row>
    <row r="226">
      <c r="A226" s="25" t="inlineStr">
        <is>
          <t>Bolt Sweden</t>
        </is>
      </c>
      <c r="B226" s="13" t="inlineStr">
        <is>
          <t>aspirational</t>
        </is>
      </c>
      <c r="C226" s="13" t="inlineStr">
        <is>
          <t>—</t>
        </is>
      </c>
      <c r="D226" s="49">
        <f>SUMIFS(AL4:AL205,A4:A205,"Bolt Sweden",AP4:AP205,"=",AQ4:AQ205,"=",AR4:AR205,"=")</f>
        <v/>
      </c>
      <c r="E226" s="50">
        <f>SUMIFS(AM4:AM205,A4:A205,"Bolt Sweden",AP4:AP205,"=",AQ4:AQ205,"=",AR4:AR205,"=")</f>
        <v/>
      </c>
    </row>
    <row r="227">
      <c r="A227" s="25" t="inlineStr">
        <is>
          <t>Bolt Uae</t>
        </is>
      </c>
      <c r="B227" s="13" t="inlineStr">
        <is>
          <t>grounded</t>
        </is>
      </c>
      <c r="C227" s="13" t="inlineStr">
        <is>
          <t>—</t>
        </is>
      </c>
      <c r="D227" s="49">
        <f>SUMIFS(AL4:AL205,A4:A205,"Bolt Uae",AP4:AP205,"=",AQ4:AQ205,"=",AR4:AR205,"=")</f>
        <v/>
      </c>
      <c r="E227" s="50">
        <f>SUMIFS(AM4:AM205,A4:A205,"Bolt Uae",AP4:AP205,"=",AQ4:AQ205,"=",AR4:AR205,"=")</f>
        <v/>
      </c>
    </row>
    <row r="228">
      <c r="A228" s="45" t="inlineStr">
        <is>
          <t>GROUNDED FLOOR (PUBLISHED)</t>
        </is>
      </c>
      <c r="D228" s="48">
        <f>SUM(D210:D227)</f>
        <v/>
      </c>
      <c r="E228" s="46">
        <f>SUM(E210:E227)</f>
        <v/>
      </c>
    </row>
    <row r="229">
      <c r="A229" s="20" t="inlineStr">
        <is>
          <t>ESTIMATED UPSIDE (LB-99 modal-shift / experience-upside tiers; held OUT of grounded floor)</t>
        </is>
      </c>
      <c r="D229" s="51">
        <f>SUMIF(AR4:AR205,"&lt;&gt;",AL4:AL205)</f>
        <v/>
      </c>
      <c r="E229" s="52">
        <f>SUMIF(AR4:AR205,"&lt;&gt;",AM4:AM205)</f>
        <v/>
      </c>
    </row>
    <row r="231">
      <c r="A231" s="53" t="inlineStr">
        <is>
          <t>Held for Quanta-LR (&gt;70nm, roadmap H2 2026+):</t>
        </is>
      </c>
      <c r="C231" s="54" t="inlineStr">
        <is>
          <t>Mykonos → Santorini (Thira) (75nm)</t>
        </is>
      </c>
    </row>
    <row r="232">
      <c r="C232" s="54" t="inlineStr">
        <is>
          <t>Monaco → Portofino (85.0nm)</t>
        </is>
      </c>
    </row>
    <row r="233">
      <c r="C233" s="54" t="inlineStr">
        <is>
          <t>Marina Mall / Breakwater Marina → Sir Bani Yas Cruise Port (93.1nm)</t>
        </is>
      </c>
    </row>
    <row r="234">
      <c r="C234" s="54" t="inlineStr">
        <is>
          <t>Dubai Harbour Marina → Old Doha Port (195.42nm)</t>
        </is>
      </c>
    </row>
    <row r="235">
      <c r="C235" s="54" t="inlineStr">
        <is>
          <t>Marina Mall / Breakwater Marina → Bahrain Financial Harbour Marina (235.44nm)</t>
        </is>
      </c>
    </row>
    <row r="236">
      <c r="C236" s="54" t="inlineStr">
        <is>
          <t>Shura Island hub → AMAALA (Triple Bay) (82.9nm)</t>
        </is>
      </c>
    </row>
    <row r="237">
      <c r="C237" s="54" t="inlineStr">
        <is>
          <t>Jeddah → NEOM (Sindalah) (463.9nm)</t>
        </is>
      </c>
    </row>
    <row r="238">
      <c r="C238" s="54" t="inlineStr">
        <is>
          <t>Jeddah gateway → The Red Sea archipelago (275.5nm)</t>
        </is>
      </c>
    </row>
    <row r="239">
      <c r="C239" s="54" t="inlineStr">
        <is>
          <t>The Red Sea → NEOM (Sindalah) / Jeddah gateway (196.9nm)</t>
        </is>
      </c>
    </row>
    <row r="240">
      <c r="C240" s="54" t="inlineStr">
        <is>
          <t>Tallinn → Stockholm (210nm)</t>
        </is>
      </c>
    </row>
    <row r="241">
      <c r="C241" s="54" t="inlineStr">
        <is>
          <t>Larnaca → Jounieh / Beirut (Lebanon) (115nm)</t>
        </is>
      </c>
    </row>
    <row r="242">
      <c r="C242" s="54" t="inlineStr">
        <is>
          <t>Stockholm (Vartahamnen / Stadsgarden) → Mariehamn (Aland) (75nm)</t>
        </is>
      </c>
    </row>
    <row r="243">
      <c r="C243" s="54" t="inlineStr">
        <is>
          <t>Palma de Mallorca → Ibiza Town (75.0nm)</t>
        </is>
      </c>
    </row>
    <row r="244">
      <c r="C244" s="54" t="inlineStr">
        <is>
          <t>Palma de Mallorca → Maó (Menorca) (100nm)</t>
        </is>
      </c>
    </row>
    <row r="245">
      <c r="C245" s="54" t="inlineStr">
        <is>
          <t>Dénia → Palma de Mallorca (130nm)</t>
        </is>
      </c>
    </row>
    <row r="246">
      <c r="C246" s="54" t="inlineStr">
        <is>
          <t>Barcelona → Palma de Mallorca (115nm)</t>
        </is>
      </c>
    </row>
    <row r="247">
      <c r="C247" s="54" t="inlineStr">
        <is>
          <t>Barcelona → Ibiza Town (Eivissa) (140nm)</t>
        </is>
      </c>
    </row>
    <row r="248">
      <c r="C248" s="54" t="inlineStr">
        <is>
          <t>Helsinki → Stockholm (210nm)</t>
        </is>
      </c>
    </row>
    <row r="249">
      <c r="C249" s="54" t="inlineStr">
        <is>
          <t>Haifa → Limassol (Cyprus) (147.1nm)</t>
        </is>
      </c>
    </row>
    <row r="250">
      <c r="C250" s="54" t="inlineStr">
        <is>
          <t>Beirut / Jounieh → Larnaca (Cyprus) (110.5nm)</t>
        </is>
      </c>
    </row>
    <row r="251">
      <c r="C251" s="54" t="inlineStr">
        <is>
          <t>Doha (Lusail Marina) → Manama (Bahrain Financial Harbour) (94.5nm)</t>
        </is>
      </c>
    </row>
  </sheetData>
  <mergeCells count="2">
    <mergeCell ref="A1:L1"/>
    <mergeCell ref="A208:L20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0.104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2026-06-22T01:16:43Z</dcterms:created>
  <dcterms:modified xsi:type="dcterms:W3CDTF">2026-06-22T01:16:44Z</dcterms:modified>
</cp:coreProperties>
</file>