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opex'!$A$4:$G$21</definedName>
    <definedName name="som_floor_fleet">'Corridor economics'!$D$211</definedName>
    <definedName name="som_floor_rev">'Corridor economics'!$E$211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Bolt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Croatia</t>
        </is>
      </c>
      <c r="B4" s="26" t="n">
        <v>28000</v>
      </c>
      <c r="C4" s="27" t="n">
        <v>0.15</v>
      </c>
      <c r="D4" s="19" t="n">
        <v>0.2</v>
      </c>
      <c r="E4" s="26" t="n">
        <v>16000</v>
      </c>
      <c r="F4" s="19" t="n">
        <v>0.6</v>
      </c>
      <c r="G4" s="26" t="n">
        <v>900000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Cyprus</t>
        </is>
      </c>
      <c r="B5" s="26" t="n">
        <v>34000</v>
      </c>
      <c r="C5" s="27" t="n">
        <v>0.26</v>
      </c>
      <c r="D5" s="19" t="n">
        <v>0.6</v>
      </c>
      <c r="E5" s="26" t="n">
        <v>22000</v>
      </c>
      <c r="F5" s="19" t="n">
        <v>0.72</v>
      </c>
      <c r="G5" s="26" t="n">
        <v>900000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Estonia</t>
        </is>
      </c>
      <c r="B7" s="26" t="n">
        <v>30000</v>
      </c>
      <c r="C7" s="27" t="n">
        <v>0.16</v>
      </c>
      <c r="D7" s="19" t="n">
        <v>0.45</v>
      </c>
      <c r="E7" s="26" t="n">
        <v>14000</v>
      </c>
      <c r="F7" s="19" t="n">
        <v>0.65</v>
      </c>
      <c r="G7" s="26" t="n">
        <v>900000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Finland</t>
        </is>
      </c>
      <c r="B8" s="26" t="n">
        <v>55000</v>
      </c>
      <c r="C8" s="27" t="n">
        <v>0.14</v>
      </c>
      <c r="D8" s="19" t="n">
        <v>0.08</v>
      </c>
      <c r="E8" s="26" t="n">
        <v>18000</v>
      </c>
      <c r="F8" s="19" t="n">
        <v>1.15</v>
      </c>
      <c r="G8" s="26" t="n">
        <v>900000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France</t>
        </is>
      </c>
      <c r="B9" s="26" t="n">
        <v>55000</v>
      </c>
      <c r="C9" s="27" t="n">
        <v>0.2</v>
      </c>
      <c r="D9" s="19" t="n">
        <v>0.06</v>
      </c>
      <c r="E9" s="26" t="n">
        <v>30000</v>
      </c>
      <c r="F9" s="19" t="n">
        <v>1.15</v>
      </c>
      <c r="G9" s="26" t="n">
        <v>900000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Greece</t>
        </is>
      </c>
      <c r="B10" s="26" t="n">
        <v>32000</v>
      </c>
      <c r="C10" s="27" t="n">
        <v>0.19</v>
      </c>
      <c r="D10" s="19" t="n">
        <v>0.4</v>
      </c>
      <c r="E10" s="26" t="n">
        <v>18000</v>
      </c>
      <c r="F10" s="19" t="n">
        <v>0.7</v>
      </c>
      <c r="G10" s="26" t="n">
        <v>900000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Ireland</t>
        </is>
      </c>
      <c r="B11" s="26" t="n">
        <v>55000</v>
      </c>
      <c r="C11" s="27" t="n">
        <v>0.27</v>
      </c>
      <c r="D11" s="19" t="n">
        <v>0.33</v>
      </c>
      <c r="E11" s="26" t="n">
        <v>22000</v>
      </c>
      <c r="F11" s="19" t="n">
        <v>1.15</v>
      </c>
      <c r="G11" s="26" t="n">
        <v>900000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Israel</t>
        </is>
      </c>
      <c r="B12" s="26" t="n">
        <v>50000</v>
      </c>
      <c r="C12" s="27" t="n">
        <v>0.16</v>
      </c>
      <c r="D12" s="19" t="n">
        <v>0.55</v>
      </c>
      <c r="E12" s="26" t="n">
        <v>20000</v>
      </c>
      <c r="F12" s="19" t="n">
        <v>1.05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Italy</t>
        </is>
      </c>
      <c r="B13" s="26" t="n">
        <v>48000</v>
      </c>
      <c r="C13" s="27" t="n">
        <v>0.28</v>
      </c>
      <c r="D13" s="19" t="n">
        <v>0.33</v>
      </c>
      <c r="E13" s="26" t="n">
        <v>26000</v>
      </c>
      <c r="F13" s="19" t="n">
        <v>1</v>
      </c>
      <c r="G13" s="26" t="n">
        <v>900000</v>
      </c>
      <c r="H13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25" t="inlineStr">
        <is>
          <t>Lebanon</t>
        </is>
      </c>
      <c r="B14" s="26" t="n">
        <v>20000</v>
      </c>
      <c r="C14" s="27" t="n">
        <v>0.2</v>
      </c>
      <c r="D14" s="19" t="n">
        <v>0.6</v>
      </c>
      <c r="E14" s="26" t="n">
        <v>12000</v>
      </c>
      <c r="F14" s="19" t="n">
        <v>0.45</v>
      </c>
      <c r="G14" s="26" t="n">
        <v>600000</v>
      </c>
      <c r="H1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25" t="inlineStr">
        <is>
          <t>Portugal</t>
        </is>
      </c>
      <c r="B15" s="26" t="n">
        <v>30000</v>
      </c>
      <c r="C15" s="27" t="n">
        <v>0.18</v>
      </c>
      <c r="D15" s="19" t="n">
        <v>0.2</v>
      </c>
      <c r="E15" s="26" t="n">
        <v>16000</v>
      </c>
      <c r="F15" s="19" t="n">
        <v>0.65</v>
      </c>
      <c r="G15" s="26" t="n">
        <v>900000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Qatar</t>
        </is>
      </c>
      <c r="B16" s="26" t="n">
        <v>43000</v>
      </c>
      <c r="C16" s="27" t="n">
        <v>0.036</v>
      </c>
      <c r="D16" s="19" t="n">
        <v>0.49</v>
      </c>
      <c r="E16" s="26" t="n">
        <v>20000</v>
      </c>
      <c r="F16" s="19" t="n">
        <v>0.7</v>
      </c>
      <c r="G16" s="26" t="n">
        <v>600000</v>
      </c>
      <c r="H16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7">
      <c r="A17" s="25" t="inlineStr">
        <is>
          <t>Romania</t>
        </is>
      </c>
      <c r="B17" s="26" t="n">
        <v>22000</v>
      </c>
      <c r="C17" s="27" t="n">
        <v>0.16</v>
      </c>
      <c r="D17" s="19" t="n">
        <v>0.26</v>
      </c>
      <c r="E17" s="26" t="n">
        <v>12000</v>
      </c>
      <c r="F17" s="19" t="n">
        <v>0.5</v>
      </c>
      <c r="G17" s="26" t="n">
        <v>900000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Saudi Arabia</t>
        </is>
      </c>
      <c r="B18" s="26" t="n">
        <v>42000</v>
      </c>
      <c r="C18" s="27" t="n">
        <v>0.074</v>
      </c>
      <c r="D18" s="19" t="n">
        <v>0.57</v>
      </c>
      <c r="E18" s="26" t="n">
        <v>18000</v>
      </c>
      <c r="F18" s="19" t="n">
        <v>0.68</v>
      </c>
      <c r="G18" s="26" t="n">
        <v>600000</v>
      </c>
      <c r="H18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9">
      <c r="A19" s="25" t="inlineStr">
        <is>
          <t>Spain</t>
        </is>
      </c>
      <c r="B19" s="26" t="n">
        <v>38000</v>
      </c>
      <c r="C19" s="27" t="n">
        <v>0.18</v>
      </c>
      <c r="D19" s="19" t="n">
        <v>0.19</v>
      </c>
      <c r="E19" s="26" t="n">
        <v>20000</v>
      </c>
      <c r="F19" s="19" t="n">
        <v>0.8</v>
      </c>
      <c r="G19" s="26" t="n">
        <v>900000</v>
      </c>
      <c r="H1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25" t="inlineStr">
        <is>
          <t>Sweden</t>
        </is>
      </c>
      <c r="B20" s="26" t="n">
        <v>58000</v>
      </c>
      <c r="C20" s="27" t="n">
        <v>0.13</v>
      </c>
      <c r="D20" s="19" t="n">
        <v>0.04</v>
      </c>
      <c r="E20" s="26" t="n">
        <v>22000</v>
      </c>
      <c r="F20" s="19" t="n">
        <v>1.2</v>
      </c>
      <c r="G20" s="26" t="n">
        <v>900000</v>
      </c>
      <c r="H2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25" t="inlineStr">
        <is>
          <t>United Arab Emirates</t>
        </is>
      </c>
      <c r="B21" s="26" t="n">
        <v>40000</v>
      </c>
      <c r="C21" s="27" t="n">
        <v>0.08500000000000001</v>
      </c>
      <c r="D21" s="19" t="n">
        <v>0.4</v>
      </c>
      <c r="E21" s="26" t="n">
        <v>22000</v>
      </c>
      <c r="F21" s="19" t="n">
        <v>0.74</v>
      </c>
      <c r="G21" s="26" t="n">
        <v>600000</v>
      </c>
      <c r="H21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3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Bolt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Bolt</t>
        </is>
      </c>
      <c r="B4" s="29" t="inlineStr">
        <is>
          <t>Croatia</t>
        </is>
      </c>
      <c r="C4" s="30" t="inlineStr">
        <is>
          <t>Split → Trogir (via Čiovo)</t>
        </is>
      </c>
      <c r="D4" s="31" t="n">
        <v>8</v>
      </c>
      <c r="E4" s="26" t="n">
        <v>10.8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MIN(24,FLOOR(60*service_hr/J4,1))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PREMIUM/scheduled per-seat: Bura Line Split-&gt;Trogir EUR 10 adult (60 min). EUR 10 x 1.08 = $10.8.</t>
        </is>
      </c>
      <c r="AY4" s="44" t="n"/>
    </row>
    <row r="5">
      <c r="A5" s="29" t="inlineStr">
        <is>
          <t>Bolt</t>
        </is>
      </c>
      <c r="B5" s="29" t="inlineStr">
        <is>
          <t>Croatia</t>
        </is>
      </c>
      <c r="C5" s="30" t="inlineStr">
        <is>
          <t>Dubrovnik → Elaphiti Islands (Lopud / Šipan / Koločep)</t>
        </is>
      </c>
      <c r="D5" s="31" t="n">
        <v>8</v>
      </c>
      <c r="E5" s="26" t="n">
        <v>45.4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AY5" s="44" t="n"/>
    </row>
    <row r="6">
      <c r="A6" s="29" t="inlineStr">
        <is>
          <t>Bolt</t>
        </is>
      </c>
      <c r="B6" s="29" t="inlineStr">
        <is>
          <t>Croatia</t>
        </is>
      </c>
      <c r="C6" s="30" t="inlineStr">
        <is>
          <t>Split → Šolta (Rogač)</t>
        </is>
      </c>
      <c r="D6" s="31" t="n">
        <v>9</v>
      </c>
      <c r="E6" s="26" t="n">
        <v>7.6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Estimated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AY6" s="44" t="n"/>
    </row>
    <row r="7">
      <c r="A7" s="29" t="inlineStr">
        <is>
          <t>Bolt</t>
        </is>
      </c>
      <c r="B7" s="29" t="inlineStr">
        <is>
          <t>Croatia</t>
        </is>
      </c>
      <c r="C7" s="30" t="inlineStr">
        <is>
          <t>Dubrovnik → Cavtat</t>
        </is>
      </c>
      <c r="D7" s="31" t="n">
        <v>9</v>
      </c>
      <c r="E7" s="26" t="n">
        <v>10.8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179000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Scheduled water-taxi/boat Dubrovnik&lt;-&gt;Cavtat ~EUR 9-10 one-way (regular service via Mlini/Srebreno). EUR 10 x 1.08 = $10.8.</t>
        </is>
      </c>
      <c r="AY7" s="44" t="n"/>
    </row>
    <row r="8">
      <c r="A8" s="29" t="inlineStr">
        <is>
          <t>Bolt</t>
        </is>
      </c>
      <c r="B8" s="29" t="inlineStr">
        <is>
          <t>Croatia</t>
        </is>
      </c>
      <c r="C8" s="30" t="inlineStr">
        <is>
          <t>Dubrovnik Airport (Čilipi) → Dubrovnik / Cavtat (resort transfer)</t>
        </is>
      </c>
      <c r="D8" s="31" t="n">
        <v>10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n"/>
      <c r="AY8" s="44" t="n"/>
    </row>
    <row r="9">
      <c r="A9" s="29" t="inlineStr">
        <is>
          <t>Bolt</t>
        </is>
      </c>
      <c r="B9" s="29" t="inlineStr">
        <is>
          <t>Croatia</t>
        </is>
      </c>
      <c r="C9" s="30" t="inlineStr">
        <is>
          <t>Split → Brač (Bol)</t>
        </is>
      </c>
      <c r="D9" s="31" t="n">
        <v>12</v>
      </c>
      <c r="E9" s="26" t="n">
        <v>23.5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PREMIUM tier: seasonal fast catamaran Split-&gt;Bol adult EUR 20-23 (Jadrolinija Split-Bol-Jelsa EUR 20; Krilo/Jadrolinija from EUR 23). Midpoint ~EUR 21.7 x 1.08 = $23.5.</t>
        </is>
      </c>
      <c r="AY9" s="44" t="n"/>
    </row>
    <row r="10">
      <c r="A10" s="29" t="inlineStr">
        <is>
          <t>Bolt</t>
        </is>
      </c>
      <c r="B10" s="29" t="inlineStr">
        <is>
          <t>Croatia</t>
        </is>
      </c>
      <c r="C10" s="30" t="inlineStr">
        <is>
          <t>Split Airport (Resnik / Trogir) → Split / Brač / Hvar (resort &amp; island transfer)</t>
        </is>
      </c>
      <c r="D10" s="31" t="n">
        <v>12</v>
      </c>
      <c r="E10" s="26" t="n">
        <v>27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Estimated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AY10" s="44" t="n"/>
    </row>
    <row r="11">
      <c r="A11" s="29" t="inlineStr">
        <is>
          <t>Bolt</t>
        </is>
      </c>
      <c r="B11" s="29" t="inlineStr">
        <is>
          <t>Croatia</t>
        </is>
      </c>
      <c r="C11" s="30" t="inlineStr">
        <is>
          <t>Zadar (Murter / Biograd gateway) → Kornati National Park</t>
        </is>
      </c>
      <c r="D11" s="31" t="n">
        <v>20</v>
      </c>
      <c r="E11" s="26" t="n">
        <v>75.59999999999999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110000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AY11" s="44" t="n"/>
    </row>
    <row r="12">
      <c r="A12" s="29" t="inlineStr">
        <is>
          <t>Bolt</t>
        </is>
      </c>
      <c r="B12" s="29" t="inlineStr">
        <is>
          <t>Croatia</t>
        </is>
      </c>
      <c r="C12" s="30" t="inlineStr">
        <is>
          <t>Split → Hvar</t>
        </is>
      </c>
      <c r="D12" s="31" t="n">
        <v>22</v>
      </c>
      <c r="E12" s="26" t="n">
        <v>27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550000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PREMIUM tier: scheduled fast tourist catamaran Split-&gt;Hvar Town adult ~EUR 25 (Kapetan Luka 'Krilo', TP Line, Adriatic Fast Ferries, Jadrolinija fast cat). EUR 25 x 1.08 = $27.0.</t>
        </is>
      </c>
      <c r="AY12" s="44" t="n"/>
    </row>
    <row r="13">
      <c r="A13" s="29" t="inlineStr">
        <is>
          <t>Bolt</t>
        </is>
      </c>
      <c r="B13" s="29" t="inlineStr">
        <is>
          <t>Croatia</t>
        </is>
      </c>
      <c r="C13" s="30" t="inlineStr">
        <is>
          <t>Dubrovnik → Mljet (Polače / Sobra)</t>
        </is>
      </c>
      <c r="D13" s="31" t="n">
        <v>22</v>
      </c>
      <c r="E13" s="26" t="n">
        <v>21.6</v>
      </c>
      <c r="F13" s="32" t="inlineStr">
        <is>
          <t>T2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125000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PREMIUM tier: TP Line/Krilo catamaran Dubrovnik-&gt;Polače peak adult ~EUR 20 (summer range to EUR 20). EUR 20 x 1.08 = $21.6.</t>
        </is>
      </c>
      <c r="AY13" s="44" t="n"/>
    </row>
    <row r="14">
      <c r="A14" s="29" t="inlineStr">
        <is>
          <t>Bolt</t>
        </is>
      </c>
      <c r="B14" s="29" t="inlineStr">
        <is>
          <t>Croatia</t>
        </is>
      </c>
      <c r="C14" s="30" t="inlineStr">
        <is>
          <t>Hvar (Hvar Town) → Korčula (Korčula Town)</t>
        </is>
      </c>
      <c r="D14" s="31" t="n">
        <v>30</v>
      </c>
      <c r="E14" s="26" t="n">
        <v>27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Estimated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PREMIUM tier: Krilo/Kapetan Luka &amp; TP Line catamaran Hvar-&gt;Korčula top foot fare ~EUR 25 (range EUR 5.84-25). EUR 25 x 1.08 = $27.0.</t>
        </is>
      </c>
      <c r="AY14" s="44" t="n"/>
    </row>
    <row r="15">
      <c r="A15" s="29" t="inlineStr">
        <is>
          <t>Bolt</t>
        </is>
      </c>
      <c r="B15" s="29" t="inlineStr">
        <is>
          <t>Croatia</t>
        </is>
      </c>
      <c r="C15" s="30" t="inlineStr">
        <is>
          <t>Split → Vis</t>
        </is>
      </c>
      <c r="D15" s="31" t="n">
        <v>31</v>
      </c>
      <c r="E15" s="26" t="n">
        <v>30.2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46000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PREMIUM tier: Kapetan Luka 'Krilo'/Jadrolinija fast catamaran Split-&gt;Vis, top foot fare ~EUR 28 (range EUR 6.50-28). EUR 28 x 1.08 = $30.2.</t>
        </is>
      </c>
      <c r="AY15" s="44" t="n"/>
    </row>
    <row r="16">
      <c r="A16" s="29" t="inlineStr">
        <is>
          <t>Bolt</t>
        </is>
      </c>
      <c r="B16" s="29" t="inlineStr">
        <is>
          <t>Croatia</t>
        </is>
      </c>
      <c r="C16" s="30" t="inlineStr">
        <is>
          <t>Split → Korčula (Korčula Town)</t>
        </is>
      </c>
      <c r="D16" s="31" t="n">
        <v>40</v>
      </c>
      <c r="E16" s="26" t="n">
        <v>32.4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183000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PREMIUM tier: high-season fast catamaran Split-&gt;Korčula adult up to EUR 30 (Krilo/TP Line). EUR 30 x 1.08 = $32.4.</t>
        </is>
      </c>
      <c r="AY16" s="44" t="n"/>
    </row>
    <row r="17">
      <c r="A17" s="29" t="inlineStr">
        <is>
          <t>Bolt</t>
        </is>
      </c>
      <c r="B17" s="29" t="inlineStr">
        <is>
          <t>Croatia</t>
        </is>
      </c>
      <c r="C17" s="30" t="inlineStr">
        <is>
          <t>Dubrovnik → Kotor (Montenegro)</t>
        </is>
      </c>
      <c r="D17" s="31" t="n">
        <v>40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n"/>
    </row>
    <row r="18">
      <c r="A18" s="29" t="inlineStr">
        <is>
          <t>Bolt</t>
        </is>
      </c>
      <c r="B18" s="29" t="inlineStr">
        <is>
          <t>Croatia</t>
        </is>
      </c>
      <c r="C18" s="30" t="inlineStr">
        <is>
          <t>Dubrovnik → Korčula (Korčula Town)</t>
        </is>
      </c>
      <c r="D18" s="31" t="n">
        <v>47</v>
      </c>
      <c r="E18" s="26" t="n">
        <v>32.4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Estimated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PREMIUM tier: high-season catamaran Dubrovnik-&gt;Korčula adult up to EUR 30 (TP Line/Krilo). EUR 30 x 1.08 = $32.4.</t>
        </is>
      </c>
      <c r="AY18" s="44" t="n"/>
    </row>
    <row r="19">
      <c r="A19" s="29" t="inlineStr">
        <is>
          <t>Bolt</t>
        </is>
      </c>
      <c r="B19" s="29" t="inlineStr">
        <is>
          <t>Cyprus</t>
        </is>
      </c>
      <c r="C19" s="30" t="inlineStr">
        <is>
          <t>Ayia Napa → Protaras</t>
        </is>
      </c>
      <c r="D19" s="31" t="n">
        <v>7</v>
      </c>
      <c r="E19" s="26" t="n">
        <v>32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MIN(24,FLOOR(60*service_hr/J19,1))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Estimated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PREMIUM tier (sea analogue) = scheduled Ayia Napa/Protaras Cape Greco cruise per-seat ~EUR 30/pax (~$32); semi-private EUR 99/pax (MedCruises) as charter context.</t>
        </is>
      </c>
      <c r="AY19" s="44" t="n"/>
    </row>
    <row r="20">
      <c r="A20" s="29" t="inlineStr">
        <is>
          <t>Bolt</t>
        </is>
      </c>
      <c r="B20" s="29" t="inlineStr">
        <is>
          <t>Cyprus</t>
        </is>
      </c>
      <c r="C20" s="30" t="inlineStr">
        <is>
          <t>Paphos Airport (PFO) → Paphos resorts (Coral Bay)</t>
        </is>
      </c>
      <c r="D20" s="31" t="n">
        <v>12</v>
      </c>
      <c r="E20" s="26" t="n">
        <v>32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40000</v>
      </c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PREMIUM tier (sea analogue) = Paphos Harbour scheduled sea-cruise / glass-bottom-boat per-seat ~EUR 30/pax (~$32); premium shared road transfer PFO&lt;-&gt;Paphos ~EUR 20-30 as cross-check.</t>
        </is>
      </c>
      <c r="AY20" s="44" t="n"/>
    </row>
    <row r="21">
      <c r="A21" s="29" t="inlineStr">
        <is>
          <t>Bolt</t>
        </is>
      </c>
      <c r="B21" s="29" t="inlineStr">
        <is>
          <t>Cyprus</t>
        </is>
      </c>
      <c r="C21" s="30" t="inlineStr">
        <is>
          <t>Larnaca → Ayia Napa</t>
        </is>
      </c>
      <c r="D21" s="31" t="n">
        <v>19</v>
      </c>
      <c r="E21" s="26" t="n">
        <v>32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Estimated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AY21" s="44" t="n"/>
    </row>
    <row r="22">
      <c r="A22" s="29" t="inlineStr">
        <is>
          <t>Bolt</t>
        </is>
      </c>
      <c r="B22" s="29" t="inlineStr">
        <is>
          <t>Cyprus</t>
        </is>
      </c>
      <c r="C22" s="30" t="inlineStr">
        <is>
          <t>Larnaca Airport (LCA) → Ayia Napa</t>
        </is>
      </c>
      <c r="D22" s="31" t="n">
        <v>20</v>
      </c>
      <c r="E22" s="26" t="n">
        <v>38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28000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AY22" s="44" t="n"/>
    </row>
    <row r="23">
      <c r="A23" s="29" t="inlineStr">
        <is>
          <t>Bolt</t>
        </is>
      </c>
      <c r="B23" s="29" t="inlineStr">
        <is>
          <t>Cyprus</t>
        </is>
      </c>
      <c r="C23" s="30" t="inlineStr">
        <is>
          <t>Larnaca → Protaras</t>
        </is>
      </c>
      <c r="D23" s="31" t="n">
        <v>23</v>
      </c>
      <c r="E23" s="26" t="n">
        <v>32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Estimated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PREMIUM tier (sea analogue) = Protaras/Ayia Napa scheduled sea-cruise per-seat ~EUR 30/pax (~$32). Yellow Boat Cruises / semi-private EUR 99 as charter context.</t>
        </is>
      </c>
      <c r="AY23" s="44" t="n"/>
    </row>
    <row r="24">
      <c r="A24" s="29" t="inlineStr">
        <is>
          <t>Bolt</t>
        </is>
      </c>
      <c r="B24" s="29" t="inlineStr">
        <is>
          <t>Cyprus</t>
        </is>
      </c>
      <c r="C24" s="30" t="inlineStr">
        <is>
          <t>Limassol Marina → Larnaca Marina</t>
        </is>
      </c>
      <c r="D24" s="31" t="n">
        <v>35</v>
      </c>
      <c r="E24" s="26" t="n">
        <v>38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99000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Upside tier</t>
        </is>
      </c>
      <c r="AR24" s="41" t="n"/>
      <c r="AS24" s="41" t="inlineStr">
        <is>
          <t>modal_shift_greenfield</t>
        </is>
      </c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AY24" s="44" t="n"/>
    </row>
    <row r="25">
      <c r="A25" s="29" t="inlineStr">
        <is>
          <t>Bolt</t>
        </is>
      </c>
      <c r="B25" s="29" t="inlineStr">
        <is>
          <t>Cyprus</t>
        </is>
      </c>
      <c r="C25" s="30" t="inlineStr">
        <is>
          <t>Larnaca Airport (LCA) → Limassol</t>
        </is>
      </c>
      <c r="D25" s="31" t="n">
        <v>35</v>
      </c>
      <c r="E25" s="26" t="n">
        <v>38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Estimated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PREMIUM tier = premium shared airport transfer LCA&lt;-&gt;Limassol EUR 30-40 each way (Rome2Rio), ~$38/seat. Same anchor as the Limassol-&gt;Larnaca corridor.</t>
        </is>
      </c>
      <c r="AY25" s="44" t="n"/>
    </row>
    <row r="26">
      <c r="A26" s="29" t="inlineStr">
        <is>
          <t>Bolt</t>
        </is>
      </c>
      <c r="B26" s="29" t="inlineStr">
        <is>
          <t>Cyprus</t>
        </is>
      </c>
      <c r="C26" s="30" t="inlineStr">
        <is>
          <t>Limassol → Paphos</t>
        </is>
      </c>
      <c r="D26" s="31" t="n">
        <v>40</v>
      </c>
      <c r="E26" s="26" t="n">
        <v>20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Estimated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AY26" s="44" t="n"/>
    </row>
    <row r="27">
      <c r="A27" s="29" t="inlineStr">
        <is>
          <t>Bolt</t>
        </is>
      </c>
      <c r="B27" s="29" t="inlineStr">
        <is>
          <t>Cyprus</t>
        </is>
      </c>
      <c r="C27" s="30" t="inlineStr">
        <is>
          <t>Limassol → Ayia Napa</t>
        </is>
      </c>
      <c r="D27" s="31" t="n">
        <v>52</v>
      </c>
      <c r="E27" s="26" t="n">
        <v>38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MIN(24,FLOOR(60*service_hr/J27,1))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Estimated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AY27" s="44" t="n"/>
    </row>
    <row r="28">
      <c r="A28" s="29" t="inlineStr">
        <is>
          <t>Bolt</t>
        </is>
      </c>
      <c r="B28" s="29" t="inlineStr">
        <is>
          <t>Egypt</t>
        </is>
      </c>
      <c r="C28" s="30" t="inlineStr">
        <is>
          <t>El Gouna (internal lagoon) → El Gouna Downtown / Abu Tig</t>
        </is>
      </c>
      <c r="D28" s="31" t="n">
        <v>2</v>
      </c>
      <c r="E28" s="26" t="n">
        <v>18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/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Estimated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Y28" s="44" t="n"/>
    </row>
    <row r="29">
      <c r="A29" s="29" t="inlineStr">
        <is>
          <t>Bolt</t>
        </is>
      </c>
      <c r="B29" s="29" t="inlineStr">
        <is>
          <t>Egypt</t>
        </is>
      </c>
      <c r="C29" s="30" t="inlineStr">
        <is>
          <t>Cairo - Maadi → Cairo - Zamalek / Downtown</t>
        </is>
      </c>
      <c r="D29" s="31" t="n">
        <v>6</v>
      </c>
      <c r="E29" s="26" t="n">
        <v>18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MIN(24,FLOOR(60*service_hr/J29,1))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/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Estimated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Y29" s="44" t="n"/>
    </row>
    <row r="30">
      <c r="A30" s="29" t="inlineStr">
        <is>
          <t>Bolt</t>
        </is>
      </c>
      <c r="B30" s="29" t="inlineStr">
        <is>
          <t>Egypt</t>
        </is>
      </c>
      <c r="C30" s="30" t="inlineStr">
        <is>
          <t>Hurghada → Giftun Island (Orange Bay / Mahmya)</t>
        </is>
      </c>
      <c r="D30" s="31" t="n">
        <v>9</v>
      </c>
      <c r="E30" s="26" t="n">
        <v>32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1204586</v>
      </c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Y30" s="44" t="n"/>
    </row>
    <row r="31">
      <c r="A31" s="29" t="inlineStr">
        <is>
          <t>Bolt</t>
        </is>
      </c>
      <c r="B31" s="29" t="inlineStr">
        <is>
          <t>Egypt</t>
        </is>
      </c>
      <c r="C31" s="30" t="inlineStr">
        <is>
          <t>Hurghada → Sahl Hasheesh</t>
        </is>
      </c>
      <c r="D31" s="31" t="n">
        <v>10</v>
      </c>
      <c r="E31" s="26" t="n">
        <v>40.8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Estimated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PREMIUM tier proxy = Dubai RTA convention $40.8/seat (same premium resort-transfer tier as El Gouna). No Egypt-native scheduled water-taxi fare on this leg published.</t>
        </is>
      </c>
      <c r="AY31" s="44" t="n"/>
    </row>
    <row r="32">
      <c r="A32" s="29" t="inlineStr">
        <is>
          <t>Bolt</t>
        </is>
      </c>
      <c r="B32" s="29" t="inlineStr">
        <is>
          <t>Egypt</t>
        </is>
      </c>
      <c r="C32" s="30" t="inlineStr">
        <is>
          <t>Greater Cairo - Maspero (Downtown) → Greater Cairo - Warraq / El Qanater</t>
        </is>
      </c>
      <c r="D32" s="31" t="n">
        <v>13</v>
      </c>
      <c r="E32" s="26" t="n">
        <v>18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Estimated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Y32" s="44" t="n"/>
    </row>
    <row r="33">
      <c r="A33" s="29" t="inlineStr">
        <is>
          <t>Bolt</t>
        </is>
      </c>
      <c r="B33" s="29" t="inlineStr">
        <is>
          <t>Egypt</t>
        </is>
      </c>
      <c r="C33" s="30" t="inlineStr">
        <is>
          <t>Hurghada → El Gouna</t>
        </is>
      </c>
      <c r="D33" s="31" t="n">
        <v>14</v>
      </c>
      <c r="E33" s="26" t="n">
        <v>40.8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10402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Upside tier</t>
        </is>
      </c>
      <c r="AR33" s="41" t="n"/>
      <c r="AS33" s="41" t="inlineStr">
        <is>
          <t>modal_shift_greenfield</t>
        </is>
      </c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Y33" s="44" t="n"/>
    </row>
    <row r="34">
      <c r="A34" s="29" t="inlineStr">
        <is>
          <t>Bolt</t>
        </is>
      </c>
      <c r="B34" s="29" t="inlineStr">
        <is>
          <t>Egypt</t>
        </is>
      </c>
      <c r="C34" s="30" t="inlineStr">
        <is>
          <t>Sharm El Sheikh → Ras Mohammed / Tiran reefs</t>
        </is>
      </c>
      <c r="D34" s="31" t="n">
        <v>16</v>
      </c>
      <c r="E34" s="26" t="n">
        <v>50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50000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PREMIUM tier = VIP/premium Ras Mohammed + White Island boat sea-trip ~$52/adult (Tripadvisor VIP boat); standard scheduled boat day-trips from EUR 24 (~$26). Modeled premium tier ~$50.</t>
        </is>
      </c>
      <c r="AY34" s="44" t="n"/>
    </row>
    <row r="35">
      <c r="A35" s="29" t="inlineStr">
        <is>
          <t>Bolt</t>
        </is>
      </c>
      <c r="B35" s="29" t="inlineStr">
        <is>
          <t>Egypt</t>
        </is>
      </c>
      <c r="C35" s="30" t="inlineStr">
        <is>
          <t>Hurghada → Soma Bay</t>
        </is>
      </c>
      <c r="D35" s="31" t="n">
        <v>25</v>
      </c>
      <c r="E35" s="26" t="n">
        <v>40.8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6935</v>
      </c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PREMIUM tier proxy = Dubai RTA convention $40.8/seat (premium resort-transfer tier). No scheduled Egypt-native marine fare on this leg.</t>
        </is>
      </c>
      <c r="AY35" s="44" t="n"/>
    </row>
    <row r="36">
      <c r="A36" s="29" t="inlineStr">
        <is>
          <t>Bolt</t>
        </is>
      </c>
      <c r="B36" s="29" t="inlineStr">
        <is>
          <t>Egypt</t>
        </is>
      </c>
      <c r="C36" s="30" t="inlineStr">
        <is>
          <t>Sharm El Sheikh → Dahab</t>
        </is>
      </c>
      <c r="D36" s="31" t="n">
        <v>28</v>
      </c>
      <c r="E36" s="26" t="n">
        <v>15</v>
      </c>
      <c r="F36" s="32" t="inlineStr">
        <is>
          <t>T2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Estimated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PREMIUM tier (road analogue) = private transfer Sharm&lt;-&gt;Dahab ~1400-1500 EGP/car (~$29-31) divided ~4 pax (~$7.5/seat) up to premium per-seat ~$15; no scheduled marine fare exists.</t>
        </is>
      </c>
      <c r="AY36" s="44" t="n"/>
    </row>
    <row r="37">
      <c r="A37" s="29" t="inlineStr">
        <is>
          <t>Bolt</t>
        </is>
      </c>
      <c r="B37" s="29" t="inlineStr">
        <is>
          <t>Egypt</t>
        </is>
      </c>
      <c r="C37" s="30" t="inlineStr">
        <is>
          <t>Hurghada / El Gouna → Sharm El Sheikh</t>
        </is>
      </c>
      <c r="D37" s="31" t="n">
        <v>49.8</v>
      </c>
      <c r="E37" s="26" t="n">
        <v>110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inlineStr">
        <is>
          <t>T5</t>
        </is>
      </c>
      <c r="AI37" s="32" t="inlineStr">
        <is>
          <t>low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Upside tier</t>
        </is>
      </c>
      <c r="AR37" s="41" t="n"/>
      <c r="AS37" s="41" t="inlineStr">
        <is>
          <t>modal_shift_greenfield</t>
        </is>
      </c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Kept from prior registry = $110/seat (historic fast-ferry premium fare level / cross-gulf premium tier). FLAG: legacy/aspirational - no active service.</t>
        </is>
      </c>
      <c r="AY37" s="44" t="inlineStr">
        <is>
          <t>tourism</t>
        </is>
      </c>
    </row>
    <row r="38">
      <c r="A38" s="29" t="inlineStr">
        <is>
          <t>Bolt</t>
        </is>
      </c>
      <c r="B38" s="29" t="inlineStr">
        <is>
          <t>Estonia</t>
        </is>
      </c>
      <c r="C38" s="30" t="inlineStr">
        <is>
          <t>Tallinn Old City Harbour → Pirita Marina</t>
        </is>
      </c>
      <c r="D38" s="31" t="n">
        <v>4.5</v>
      </c>
      <c r="E38" s="26" t="n"/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/>
      <c r="AH38" s="32" t="inlineStr">
        <is>
          <t>T5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Estimated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TBD — Tier-B headline placeholder</t>
        </is>
      </c>
      <c r="AY38" s="44" t="inlineStr">
        <is>
          <t>TBD — Tier-B headline placeholder</t>
        </is>
      </c>
    </row>
    <row r="39">
      <c r="A39" s="29" t="inlineStr">
        <is>
          <t>Bolt</t>
        </is>
      </c>
      <c r="B39" s="29" t="inlineStr">
        <is>
          <t>Estonia</t>
        </is>
      </c>
      <c r="C39" s="30" t="inlineStr">
        <is>
          <t>Tallinn → Prangli</t>
        </is>
      </c>
      <c r="D39" s="31" t="n">
        <v>5</v>
      </c>
      <c r="E39" s="26" t="n">
        <v>6.5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4500</v>
      </c>
      <c r="AH39" s="32" t="n"/>
      <c r="AI39" s="32" t="inlineStr">
        <is>
          <t>med</t>
        </is>
      </c>
      <c r="AJ39" s="39" t="n">
        <v>0.25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Wrango ferry Leppneeme&lt;-&gt;Kelnase adult EUR 6 one-way (Viimsi municipality). EUR 6 x 1.08 = $6.5.</t>
        </is>
      </c>
      <c r="AY39" s="44" t="n"/>
    </row>
    <row r="40">
      <c r="A40" s="29" t="inlineStr">
        <is>
          <t>Bolt</t>
        </is>
      </c>
      <c r="B40" s="29" t="inlineStr">
        <is>
          <t>Estonia</t>
        </is>
      </c>
      <c r="C40" s="30" t="inlineStr">
        <is>
          <t>Tallinn → Viimsi</t>
        </is>
      </c>
      <c r="D40" s="31" t="n">
        <v>5</v>
      </c>
      <c r="E40" s="26" t="n"/>
      <c r="F40" s="32" t="n"/>
      <c r="G40" s="32" t="n"/>
      <c r="H40" s="19" t="n">
        <v>1</v>
      </c>
      <c r="I40" s="33">
        <f>60*D40/cruise_kt</f>
        <v/>
      </c>
      <c r="J40" s="33">
        <f>I40+turn_min+dwell_min</f>
        <v/>
      </c>
      <c r="K40" s="34">
        <f>MIN(24,FLOOR(60*service_hr/J40,1))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n"/>
      <c r="AI40" s="32" t="n"/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Estimated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n"/>
      <c r="AY40" s="44" t="n"/>
    </row>
    <row r="41">
      <c r="A41" s="29" t="inlineStr">
        <is>
          <t>Bolt</t>
        </is>
      </c>
      <c r="B41" s="29" t="inlineStr">
        <is>
          <t>Estonia</t>
        </is>
      </c>
      <c r="C41" s="30" t="inlineStr">
        <is>
          <t>Tallinn → Kakumäe</t>
        </is>
      </c>
      <c r="D41" s="31" t="n">
        <v>6</v>
      </c>
      <c r="E41" s="26" t="n"/>
      <c r="F41" s="32" t="n"/>
      <c r="G41" s="32" t="n"/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Estimated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n"/>
      <c r="AY41" s="44" t="n"/>
    </row>
    <row r="42">
      <c r="A42" s="29" t="inlineStr">
        <is>
          <t>Bolt</t>
        </is>
      </c>
      <c r="B42" s="29" t="inlineStr">
        <is>
          <t>Estonia</t>
        </is>
      </c>
      <c r="C42" s="30" t="inlineStr">
        <is>
          <t>Tallinn → Aegna</t>
        </is>
      </c>
      <c r="D42" s="31" t="n">
        <v>7</v>
      </c>
      <c r="E42" s="26" t="n">
        <v>6.5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3300</v>
      </c>
      <c r="AH42" s="32" t="n"/>
      <c r="AI42" s="32" t="inlineStr">
        <is>
          <t>med</t>
        </is>
      </c>
      <c r="AJ42" s="39" t="n">
        <v>0.25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AY42" s="44" t="n"/>
    </row>
    <row r="43">
      <c r="A43" s="29" t="inlineStr">
        <is>
          <t>Bolt</t>
        </is>
      </c>
      <c r="B43" s="29" t="inlineStr">
        <is>
          <t>Estonia</t>
        </is>
      </c>
      <c r="C43" s="30" t="inlineStr">
        <is>
          <t>Tallinn → Naissaar</t>
        </is>
      </c>
      <c r="D43" s="31" t="n">
        <v>11</v>
      </c>
      <c r="E43" s="26" t="n">
        <v>10.8</v>
      </c>
      <c r="F43" s="32" t="inlineStr">
        <is>
          <t>T2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50000</v>
      </c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Sunlines 'Strande' (300 pax) adult scheduled fare EUR 10 one-way / EUR 20 round-trip, departing Linnahall 11:00. EUR 10 x 1.08 = $10.8.</t>
        </is>
      </c>
      <c r="AY43" s="44" t="n"/>
    </row>
    <row r="44">
      <c r="A44" s="29" t="inlineStr">
        <is>
          <t>Bolt</t>
        </is>
      </c>
      <c r="B44" s="29" t="inlineStr">
        <is>
          <t>Estonia</t>
        </is>
      </c>
      <c r="C44" s="30" t="inlineStr">
        <is>
          <t>Tallinn → Helsinki</t>
        </is>
      </c>
      <c r="D44" s="31" t="n">
        <v>43</v>
      </c>
      <c r="E44" s="26" t="n">
        <v>27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750000</v>
      </c>
      <c r="AH44" s="32" t="n"/>
      <c r="AI44" s="32" t="inlineStr">
        <is>
          <t>med</t>
        </is>
      </c>
      <c r="AJ44" s="39" t="n">
        <v>0.25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PREMIUM tier: standard adult walk-up fast-ferry seat ~EUR 25 (range EUR 18-35 by season/operator/advance; Tallink Megastar/MyStar, Viking from EUR 18, Eckero). EUR 25 x 1.08 = $27.0.</t>
        </is>
      </c>
      <c r="AY44" s="44" t="n"/>
    </row>
    <row r="45">
      <c r="A45" s="29" t="inlineStr">
        <is>
          <t>Bolt</t>
        </is>
      </c>
      <c r="B45" s="29" t="inlineStr">
        <is>
          <t>Finland</t>
        </is>
      </c>
      <c r="C45" s="30" t="inlineStr">
        <is>
          <t>Helsinki → Lonna</t>
        </is>
      </c>
      <c r="D45" s="31" t="n">
        <v>1.2</v>
      </c>
      <c r="E45" s="26" t="n">
        <v>8.640000000000001</v>
      </c>
      <c r="F45" s="32" t="inlineStr">
        <is>
          <t>T2</t>
        </is>
      </c>
      <c r="G45" s="32" t="inlineStr">
        <is>
          <t>med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Estimated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JT-Line Kauppatori-&gt;Lonna adult fare EUR 8 (Rome2Rio; 10 min). EUR 8 x 1.08 = $8.64.</t>
        </is>
      </c>
      <c r="AY45" s="44" t="n"/>
    </row>
    <row r="46">
      <c r="A46" s="29" t="inlineStr">
        <is>
          <t>Bolt</t>
        </is>
      </c>
      <c r="B46" s="29" t="inlineStr">
        <is>
          <t>Finland</t>
        </is>
      </c>
      <c r="C46" s="30" t="inlineStr">
        <is>
          <t>Helsinki Market Square → Suomenlinna</t>
        </is>
      </c>
      <c r="D46" s="31" t="n">
        <v>1.5</v>
      </c>
      <c r="E46" s="26" t="n">
        <v>8.640000000000001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1000000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AY46" s="44" t="n"/>
    </row>
    <row r="47">
      <c r="A47" s="29" t="inlineStr">
        <is>
          <t>Bolt</t>
        </is>
      </c>
      <c r="B47" s="29" t="inlineStr">
        <is>
          <t>Finland</t>
        </is>
      </c>
      <c r="C47" s="30" t="inlineStr">
        <is>
          <t>Helsinki → Pihlajasaari</t>
        </is>
      </c>
      <c r="D47" s="31" t="n">
        <v>1.5</v>
      </c>
      <c r="E47" s="26" t="n">
        <v>8.640000000000001</v>
      </c>
      <c r="F47" s="32" t="inlineStr">
        <is>
          <t>T2</t>
        </is>
      </c>
      <c r="G47" s="32" t="inlineStr">
        <is>
          <t>med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Estimated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inlineStr">
        <is>
          <t>JT-Line adult ferry seat EUR 8 (Summer 2026; EUR 9 quoted 2024). EUR 8 x 1.08 = $8.64.</t>
        </is>
      </c>
      <c r="AY47" s="44" t="n"/>
    </row>
    <row r="48">
      <c r="A48" s="29" t="inlineStr">
        <is>
          <t>Bolt</t>
        </is>
      </c>
      <c r="B48" s="29" t="inlineStr">
        <is>
          <t>Finland</t>
        </is>
      </c>
      <c r="C48" s="30" t="inlineStr">
        <is>
          <t>Helsinki → Korkeasaari (Zoo island)</t>
        </is>
      </c>
      <c r="D48" s="31" t="n">
        <v>2</v>
      </c>
      <c r="E48" s="26" t="n">
        <v>8.640000000000001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500000</v>
      </c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Seasonal Market Square-&gt;Korkeasaari ferry adult seat ~EUR 8 (archipelago leisure tier; zoo admission separate). EUR 8 x 1.08 = $8.64.</t>
        </is>
      </c>
      <c r="AY48" s="44" t="n"/>
    </row>
    <row r="49">
      <c r="A49" s="29" t="inlineStr">
        <is>
          <t>Bolt</t>
        </is>
      </c>
      <c r="B49" s="29" t="inlineStr">
        <is>
          <t>Finland</t>
        </is>
      </c>
      <c r="C49" s="30" t="inlineStr">
        <is>
          <t>Helsinki → Kruunuvuorenranta (Laajasalo)</t>
        </is>
      </c>
      <c r="D49" s="31" t="n">
        <v>2</v>
      </c>
      <c r="E49" s="26" t="n">
        <v>18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MIN(24,FLOOR(60*service_hr/J49,1))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Estimated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AY49" s="44" t="n"/>
    </row>
    <row r="50">
      <c r="A50" s="29" t="inlineStr">
        <is>
          <t>Bolt</t>
        </is>
      </c>
      <c r="B50" s="29" t="inlineStr">
        <is>
          <t>Finland</t>
        </is>
      </c>
      <c r="C50" s="30" t="inlineStr">
        <is>
          <t>Helsinki → Vallisaari</t>
        </is>
      </c>
      <c r="D50" s="31" t="n">
        <v>2.5</v>
      </c>
      <c r="E50" s="26" t="n">
        <v>8.640000000000001</v>
      </c>
      <c r="F50" s="32" t="inlineStr">
        <is>
          <t>T2</t>
        </is>
      </c>
      <c r="G50" s="32" t="inlineStr">
        <is>
          <t>med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500000</v>
      </c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Grounded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JT-Line adult island ferry seat ~EUR 8 (2026 island-hop tariff; EUR 9 quoted 2024). EUR 8 x 1.08 = $8.64.</t>
        </is>
      </c>
      <c r="AY50" s="44" t="n"/>
    </row>
    <row r="51">
      <c r="A51" s="29" t="inlineStr">
        <is>
          <t>Bolt</t>
        </is>
      </c>
      <c r="B51" s="29" t="inlineStr">
        <is>
          <t>Finland</t>
        </is>
      </c>
      <c r="C51" s="30" t="inlineStr">
        <is>
          <t>Helsinki → Porvoo</t>
        </is>
      </c>
      <c r="D51" s="31" t="n">
        <v>26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/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Estimated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n"/>
      <c r="AY51" s="44" t="n"/>
    </row>
    <row r="52">
      <c r="A52" s="29" t="inlineStr">
        <is>
          <t>Bolt</t>
        </is>
      </c>
      <c r="B52" s="29" t="inlineStr">
        <is>
          <t>Finland</t>
        </is>
      </c>
      <c r="C52" s="30" t="inlineStr">
        <is>
          <t>Helsinki → Tallinn</t>
        </is>
      </c>
      <c r="D52" s="31" t="n">
        <v>43</v>
      </c>
      <c r="E52" s="26" t="n">
        <v>27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750000</v>
      </c>
      <c r="AH52" s="32" t="n"/>
      <c r="AI52" s="32" t="inlineStr">
        <is>
          <t>med</t>
        </is>
      </c>
      <c r="AJ52" s="39" t="n">
        <v>0.25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Grounded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PREMIUM tier: standard adult walk-up fast-ferry seat ~EUR 25 (range EUR 18-35 by season/operator/advance; Tallink Megastar/MyStar, Viking from EUR 18, Eckero). EUR 25 x 1.08 = $27.0.</t>
        </is>
      </c>
      <c r="AY52" s="44" t="n"/>
    </row>
    <row r="53">
      <c r="A53" s="29" t="inlineStr">
        <is>
          <t>Bolt</t>
        </is>
      </c>
      <c r="B53" s="29" t="inlineStr">
        <is>
          <t>France</t>
        </is>
      </c>
      <c r="C53" s="30" t="inlineStr">
        <is>
          <t>Cannes → Ile Sainte-Marguerite (Iles de Lerins)</t>
        </is>
      </c>
      <c r="D53" s="31" t="n">
        <v>1.5</v>
      </c>
      <c r="E53" s="26" t="n">
        <v>10.3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300000</v>
      </c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Grounded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AY53" s="44" t="n"/>
    </row>
    <row r="54">
      <c r="A54" s="29" t="inlineStr">
        <is>
          <t>Bolt</t>
        </is>
      </c>
      <c r="B54" s="29" t="inlineStr">
        <is>
          <t>France</t>
        </is>
      </c>
      <c r="C54" s="30" t="inlineStr">
        <is>
          <t>Menton → Monaco</t>
        </is>
      </c>
      <c r="D54" s="31" t="n">
        <v>4</v>
      </c>
      <c r="E54" s="26" t="n"/>
      <c r="F54" s="32" t="n"/>
      <c r="G54" s="32" t="n"/>
      <c r="H54" s="19" t="n">
        <v>1</v>
      </c>
      <c r="I54" s="33">
        <f>60*D54/cruise_kt</f>
        <v/>
      </c>
      <c r="J54" s="33">
        <f>I54+turn_min+dwell_min</f>
        <v/>
      </c>
      <c r="K54" s="34">
        <f>MIN(24,FLOOR(60*service_hr/J54,1))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110565</v>
      </c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Grounded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n"/>
      <c r="AY54" s="44" t="n"/>
    </row>
    <row r="55">
      <c r="A55" s="29" t="inlineStr">
        <is>
          <t>Bolt</t>
        </is>
      </c>
      <c r="B55" s="29" t="inlineStr">
        <is>
          <t>France</t>
        </is>
      </c>
      <c r="C55" s="30" t="inlineStr">
        <is>
          <t>Villefranche-sur-Mer → Monaco</t>
        </is>
      </c>
      <c r="D55" s="31" t="n">
        <v>5</v>
      </c>
      <c r="E55" s="26" t="n"/>
      <c r="F55" s="32" t="n"/>
      <c r="G55" s="32" t="n"/>
      <c r="H55" s="19" t="n">
        <v>1</v>
      </c>
      <c r="I55" s="33">
        <f>60*D55/cruise_kt</f>
        <v/>
      </c>
      <c r="J55" s="33">
        <f>I55+turn_min+dwell_min</f>
        <v/>
      </c>
      <c r="K55" s="34">
        <f>MIN(24,FLOOR(60*service_hr/J55,1))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Estimated</t>
        </is>
      </c>
      <c r="AR55" s="41" t="n"/>
      <c r="AS55" s="41" t="n"/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n"/>
      <c r="AY55" s="44" t="n"/>
    </row>
    <row r="56">
      <c r="A56" s="29" t="inlineStr">
        <is>
          <t>Bolt</t>
        </is>
      </c>
      <c r="B56" s="29" t="inlineStr">
        <is>
          <t>France</t>
        </is>
      </c>
      <c r="C56" s="30" t="inlineStr">
        <is>
          <t>Antibes → Cannes</t>
        </is>
      </c>
      <c r="D56" s="31" t="n">
        <v>6</v>
      </c>
      <c r="E56" s="26" t="n"/>
      <c r="F56" s="32" t="n"/>
      <c r="G56" s="32" t="n"/>
      <c r="H56" s="19" t="n">
        <v>1</v>
      </c>
      <c r="I56" s="33">
        <f>60*D56/cruise_kt</f>
        <v/>
      </c>
      <c r="J56" s="33">
        <f>I56+turn_min+dwell_min</f>
        <v/>
      </c>
      <c r="K56" s="34">
        <f>MIN(24,FLOOR(60*service_hr/J56,1))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136595</v>
      </c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IF(OR(AG56="",R56=0),"",MIN(IF(AT56="",9.9E+99,AT56),FLOOR(AK56/R56,1)))</f>
        <v/>
      </c>
      <c r="AM56" s="38">
        <f>IF(AL56="","",AL56*T56)</f>
        <v/>
      </c>
      <c r="AN56" s="36">
        <f>IF(OR(AG56="",R56=0),"",MIN(IF(AT56="",9.9E+99,AT56),AK56/R56))</f>
        <v/>
      </c>
      <c r="AO56" s="38">
        <f>IF(AN56="","",AN56*T56)</f>
        <v/>
      </c>
      <c r="AP56" s="40" t="n"/>
      <c r="AQ56" s="32" t="inlineStr">
        <is>
          <t>Grounded</t>
        </is>
      </c>
      <c r="AR56" s="41" t="n"/>
      <c r="AS56" s="41" t="n"/>
      <c r="AT56" s="42" t="n"/>
      <c r="AU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V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W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X56" s="44" t="n"/>
      <c r="AY56" s="44" t="n"/>
    </row>
    <row r="57">
      <c r="A57" s="29" t="inlineStr">
        <is>
          <t>Bolt</t>
        </is>
      </c>
      <c r="B57" s="29" t="inlineStr">
        <is>
          <t>France</t>
        </is>
      </c>
      <c r="C57" s="30" t="inlineStr">
        <is>
          <t>Nice → Monaco</t>
        </is>
      </c>
      <c r="D57" s="31" t="n">
        <v>6.5</v>
      </c>
      <c r="E57" s="26" t="n">
        <v>26.7</v>
      </c>
      <c r="F57" s="32" t="inlineStr">
        <is>
          <t>T2</t>
        </is>
      </c>
      <c r="G57" s="32" t="inlineStr">
        <is>
          <t>med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MIN(24,FLOOR(60*service_hr/J57,1))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368966</v>
      </c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IF(OR(AG57="",R57=0),"",MIN(IF(AT57="",9.9E+99,AT57),FLOOR(AK57/R57,1)))</f>
        <v/>
      </c>
      <c r="AM57" s="38">
        <f>IF(AL57="","",AL57*T57)</f>
        <v/>
      </c>
      <c r="AN57" s="36">
        <f>IF(OR(AG57="",R57=0),"",MIN(IF(AT57="",9.9E+99,AT57),AK57/R57))</f>
        <v/>
      </c>
      <c r="AO57" s="38">
        <f>IF(AN57="","",AN57*T57)</f>
        <v/>
      </c>
      <c r="AP57" s="40" t="n"/>
      <c r="AQ57" s="32" t="inlineStr">
        <is>
          <t>Grounded</t>
        </is>
      </c>
      <c r="AR57" s="41" t="n"/>
      <c r="AS57" s="41" t="n"/>
      <c r="AT57" s="42" t="n"/>
      <c r="AU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V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W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X57" s="44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AY57" s="44" t="n"/>
    </row>
    <row r="58">
      <c r="A58" s="29" t="inlineStr">
        <is>
          <t>Bolt</t>
        </is>
      </c>
      <c r="B58" s="29" t="inlineStr">
        <is>
          <t>France</t>
        </is>
      </c>
      <c r="C58" s="30" t="inlineStr">
        <is>
          <t>Nice Airport → Monaco</t>
        </is>
      </c>
      <c r="D58" s="31" t="n">
        <v>6.7</v>
      </c>
      <c r="E58" s="26" t="n">
        <v>210.6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79000</v>
      </c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IF(OR(AG58="",R58=0),"",MIN(IF(AT58="",9.9E+99,AT58),FLOOR(AK58/R58,1)))</f>
        <v/>
      </c>
      <c r="AM58" s="38">
        <f>IF(AL58="","",AL58*T58)</f>
        <v/>
      </c>
      <c r="AN58" s="36">
        <f>IF(OR(AG58="",R58=0),"",MIN(IF(AT58="",9.9E+99,AT58),AK58/R58))</f>
        <v/>
      </c>
      <c r="AO58" s="38">
        <f>IF(AN58="","",AN58*T58)</f>
        <v/>
      </c>
      <c r="AP58" s="40" t="n"/>
      <c r="AQ58" s="32" t="inlineStr">
        <is>
          <t>Upside tier</t>
        </is>
      </c>
      <c r="AR58" s="41" t="n"/>
      <c r="AS58" s="41" t="inlineStr">
        <is>
          <t>modal_shift_greenfield</t>
        </is>
      </c>
      <c r="AT58" s="42" t="n"/>
      <c r="AU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V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W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X58" s="44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AY58" s="44" t="n"/>
    </row>
    <row r="59">
      <c r="A59" s="29" t="inlineStr">
        <is>
          <t>Bolt</t>
        </is>
      </c>
      <c r="B59" s="29" t="inlineStr">
        <is>
          <t>France</t>
        </is>
      </c>
      <c r="C59" s="30" t="inlineStr">
        <is>
          <t>Nice Airport → Cannes</t>
        </is>
      </c>
      <c r="D59" s="31" t="n">
        <v>9</v>
      </c>
      <c r="E59" s="26" t="n"/>
      <c r="F59" s="32" t="n"/>
      <c r="G59" s="32" t="n"/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IF(OR(AG59="",R59=0),"",MIN(IF(AT59="",9.9E+99,AT59),FLOOR(AK59/R59,1)))</f>
        <v/>
      </c>
      <c r="AM59" s="38">
        <f>IF(AL59="","",AL59*T59)</f>
        <v/>
      </c>
      <c r="AN59" s="36">
        <f>IF(OR(AG59="",R59=0),"",MIN(IF(AT59="",9.9E+99,AT59),AK59/R59))</f>
        <v/>
      </c>
      <c r="AO59" s="38">
        <f>IF(AN59="","",AN59*T59)</f>
        <v/>
      </c>
      <c r="AP59" s="40" t="n"/>
      <c r="AQ59" s="32" t="inlineStr">
        <is>
          <t>Estimated</t>
        </is>
      </c>
      <c r="AR59" s="41" t="n"/>
      <c r="AS59" s="41" t="n"/>
      <c r="AT59" s="42" t="n"/>
      <c r="AU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V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W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X59" s="44" t="n"/>
      <c r="AY59" s="44" t="n"/>
    </row>
    <row r="60">
      <c r="A60" s="29" t="inlineStr">
        <is>
          <t>Bolt</t>
        </is>
      </c>
      <c r="B60" s="29" t="inlineStr">
        <is>
          <t>France</t>
        </is>
      </c>
      <c r="C60" s="30" t="inlineStr">
        <is>
          <t>Nice → Cannes</t>
        </is>
      </c>
      <c r="D60" s="31" t="n">
        <v>13</v>
      </c>
      <c r="E60" s="26" t="n">
        <v>26.7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MIN(24,FLOOR(60*service_hr/J60,1))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224880</v>
      </c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IF(OR(AG60="",R60=0),"",MIN(IF(AT60="",9.9E+99,AT60),FLOOR(AK60/R60,1)))</f>
        <v/>
      </c>
      <c r="AM60" s="38">
        <f>IF(AL60="","",AL60*T60)</f>
        <v/>
      </c>
      <c r="AN60" s="36">
        <f>IF(OR(AG60="",R60=0),"",MIN(IF(AT60="",9.9E+99,AT60),AK60/R60))</f>
        <v/>
      </c>
      <c r="AO60" s="38">
        <f>IF(AN60="","",AN60*T60)</f>
        <v/>
      </c>
      <c r="AP60" s="40" t="n"/>
      <c r="AQ60" s="32" t="inlineStr">
        <is>
          <t>Grounded</t>
        </is>
      </c>
      <c r="AR60" s="41" t="n"/>
      <c r="AS60" s="41" t="n"/>
      <c r="AT60" s="42" t="n"/>
      <c r="AU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V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W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X60" s="44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AY60" s="44" t="n"/>
    </row>
    <row r="61">
      <c r="A61" s="29" t="inlineStr">
        <is>
          <t>Bolt</t>
        </is>
      </c>
      <c r="B61" s="29" t="inlineStr">
        <is>
          <t>France</t>
        </is>
      </c>
      <c r="C61" s="30" t="inlineStr">
        <is>
          <t>Monaco → Sanremo</t>
        </is>
      </c>
      <c r="D61" s="31" t="n">
        <v>13</v>
      </c>
      <c r="E61" s="26" t="n"/>
      <c r="F61" s="32" t="n"/>
      <c r="G61" s="32" t="n"/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4748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IF(OR(AG61="",R61=0),"",MIN(IF(AT61="",9.9E+99,AT61),FLOOR(AK61/R61,1)))</f>
        <v/>
      </c>
      <c r="AM61" s="38">
        <f>IF(AL61="","",AL61*T61)</f>
        <v/>
      </c>
      <c r="AN61" s="36">
        <f>IF(OR(AG61="",R61=0),"",MIN(IF(AT61="",9.9E+99,AT61),AK61/R61))</f>
        <v/>
      </c>
      <c r="AO61" s="38">
        <f>IF(AN61="","",AN61*T61)</f>
        <v/>
      </c>
      <c r="AP61" s="40" t="n"/>
      <c r="AQ61" s="32" t="inlineStr">
        <is>
          <t>Grounded</t>
        </is>
      </c>
      <c r="AR61" s="41" t="n"/>
      <c r="AS61" s="41" t="n"/>
      <c r="AT61" s="42" t="n"/>
      <c r="AU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V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W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X61" s="44" t="n"/>
      <c r="AY61" s="44" t="n"/>
    </row>
    <row r="62">
      <c r="A62" s="29" t="inlineStr">
        <is>
          <t>Bolt</t>
        </is>
      </c>
      <c r="B62" s="29" t="inlineStr">
        <is>
          <t>France</t>
        </is>
      </c>
      <c r="C62" s="30" t="inlineStr">
        <is>
          <t>Cannes → Saint-Tropez</t>
        </is>
      </c>
      <c r="D62" s="31" t="n">
        <v>25</v>
      </c>
      <c r="E62" s="26" t="n">
        <v>38.3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32000</v>
      </c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IF(OR(AG62="",R62=0),"",MIN(IF(AT62="",9.9E+99,AT62),FLOOR(AK62/R62,1)))</f>
        <v/>
      </c>
      <c r="AM62" s="38">
        <f>IF(AL62="","",AL62*T62)</f>
        <v/>
      </c>
      <c r="AN62" s="36">
        <f>IF(OR(AG62="",R62=0),"",MIN(IF(AT62="",9.9E+99,AT62),AK62/R62))</f>
        <v/>
      </c>
      <c r="AO62" s="38">
        <f>IF(AN62="","",AN62*T62)</f>
        <v/>
      </c>
      <c r="AP62" s="40" t="n"/>
      <c r="AQ62" s="32" t="inlineStr">
        <is>
          <t>Grounded</t>
        </is>
      </c>
      <c r="AR62" s="41" t="n"/>
      <c r="AS62" s="41" t="n"/>
      <c r="AT62" s="42" t="n"/>
      <c r="AU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V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W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X62" s="44" t="inlineStr">
        <is>
          <t>PREMIUM tier: Trans Cote d'Azur scheduled fast catamaran Cannes&lt;-&gt;Saint-Tropez EUR 71 adult RT (2026) = ~EUR 35.5 one-way x 1.08 = ~$38.3.</t>
        </is>
      </c>
      <c r="AY62" s="44" t="n"/>
    </row>
    <row r="63">
      <c r="A63" s="29" t="inlineStr">
        <is>
          <t>Bolt</t>
        </is>
      </c>
      <c r="B63" s="29" t="inlineStr">
        <is>
          <t>France</t>
        </is>
      </c>
      <c r="C63" s="30" t="inlineStr">
        <is>
          <t>Nice → Saint-Tropez</t>
        </is>
      </c>
      <c r="D63" s="31" t="n">
        <v>32</v>
      </c>
      <c r="E63" s="26" t="n">
        <v>45.4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32000</v>
      </c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IF(OR(AG63="",R63=0),"",MIN(IF(AT63="",9.9E+99,AT63),FLOOR(AK63/R63,1)))</f>
        <v/>
      </c>
      <c r="AM63" s="38">
        <f>IF(AL63="","",AL63*T63)</f>
        <v/>
      </c>
      <c r="AN63" s="36">
        <f>IF(OR(AG63="",R63=0),"",MIN(IF(AT63="",9.9E+99,AT63),AK63/R63))</f>
        <v/>
      </c>
      <c r="AO63" s="38">
        <f>IF(AN63="","",AN63*T63)</f>
        <v/>
      </c>
      <c r="AP63" s="40" t="n"/>
      <c r="AQ63" s="32" t="inlineStr">
        <is>
          <t>Grounded</t>
        </is>
      </c>
      <c r="AR63" s="41" t="n"/>
      <c r="AS63" s="41" t="n"/>
      <c r="AT63" s="42" t="n"/>
      <c r="AU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V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W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X63" s="44" t="inlineStr">
        <is>
          <t>PREMIUM tier: Trans Cote d'Azur scheduled catamaran Nice&lt;-&gt;Saint-Tropez EUR 84 adult RT (2026) = ~EUR 42 one-way x 1.08 = ~$45.4 (higher than the Cannes route, reflecting the longer leg).</t>
        </is>
      </c>
      <c r="AY63" s="44" t="n"/>
    </row>
    <row r="64">
      <c r="A64" s="29" t="inlineStr">
        <is>
          <t>Bolt</t>
        </is>
      </c>
      <c r="B64" s="29" t="inlineStr">
        <is>
          <t>Greece</t>
        </is>
      </c>
      <c r="C64" s="30" t="inlineStr">
        <is>
          <t>Mykonos Town → Delos</t>
        </is>
      </c>
      <c r="D64" s="31" t="n">
        <v>3.5</v>
      </c>
      <c r="E64" s="26" t="n">
        <v>54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120000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IF(OR(AG64="",R64=0),"",MIN(IF(AT64="",9.9E+99,AT64),FLOOR(AK64/R64,1)))</f>
        <v/>
      </c>
      <c r="AM64" s="38">
        <f>IF(AL64="","",AL64*T64)</f>
        <v/>
      </c>
      <c r="AN64" s="36">
        <f>IF(OR(AG64="",R64=0),"",MIN(IF(AT64="",9.9E+99,AT64),AK64/R64))</f>
        <v/>
      </c>
      <c r="AO64" s="38">
        <f>IF(AN64="","",AN64*T64)</f>
        <v/>
      </c>
      <c r="AP64" s="40" t="n"/>
      <c r="AQ64" s="32" t="inlineStr">
        <is>
          <t>Grounded</t>
        </is>
      </c>
      <c r="AR64" s="41" t="n"/>
      <c r="AS64" s="41" t="n"/>
      <c r="AT64" s="42" t="n"/>
      <c r="AU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V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W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X64" s="44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AY64" s="44" t="n"/>
    </row>
    <row r="65">
      <c r="A65" s="29" t="inlineStr">
        <is>
          <t>Bolt</t>
        </is>
      </c>
      <c r="B65" s="29" t="inlineStr">
        <is>
          <t>Greece</t>
        </is>
      </c>
      <c r="C65" s="30" t="inlineStr">
        <is>
          <t>Glyfada (Athens Riviera) → Vouliagmeni (Astir resort cluster)</t>
        </is>
      </c>
      <c r="D65" s="31" t="n">
        <v>5</v>
      </c>
      <c r="E65" s="26" t="n"/>
      <c r="F65" s="32" t="n"/>
      <c r="G65" s="32" t="n"/>
      <c r="H65" s="19" t="n">
        <v>1</v>
      </c>
      <c r="I65" s="33">
        <f>60*D65/cruise_kt</f>
        <v/>
      </c>
      <c r="J65" s="33">
        <f>I65+turn_min+dwell_min</f>
        <v/>
      </c>
      <c r="K65" s="34">
        <f>MIN(24,FLOOR(60*service_hr/J65,1))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IF(OR(AG65="",R65=0),"",MIN(IF(AT65="",9.9E+99,AT65),FLOOR(AK65/R65,1)))</f>
        <v/>
      </c>
      <c r="AM65" s="38">
        <f>IF(AL65="","",AL65*T65)</f>
        <v/>
      </c>
      <c r="AN65" s="36">
        <f>IF(OR(AG65="",R65=0),"",MIN(IF(AT65="",9.9E+99,AT65),AK65/R65))</f>
        <v/>
      </c>
      <c r="AO65" s="38">
        <f>IF(AN65="","",AN65*T65)</f>
        <v/>
      </c>
      <c r="AP65" s="40" t="n"/>
      <c r="AQ65" s="32" t="inlineStr">
        <is>
          <t>Estimated</t>
        </is>
      </c>
      <c r="AR65" s="41" t="n"/>
      <c r="AS65" s="41" t="n"/>
      <c r="AT65" s="42" t="n"/>
      <c r="AU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V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W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X65" s="44" t="n"/>
      <c r="AY65" s="44" t="n"/>
    </row>
    <row r="66">
      <c r="A66" s="29" t="inlineStr">
        <is>
          <t>Bolt</t>
        </is>
      </c>
      <c r="B66" s="29" t="inlineStr">
        <is>
          <t>Greece</t>
        </is>
      </c>
      <c r="C66" s="30" t="inlineStr">
        <is>
          <t>Naxos → Paros</t>
        </is>
      </c>
      <c r="D66" s="31" t="n">
        <v>6</v>
      </c>
      <c r="E66" s="26" t="n">
        <v>33.5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IF(OR(AG66="",R66=0),"",MIN(IF(AT66="",9.9E+99,AT66),FLOOR(AK66/R66,1)))</f>
        <v/>
      </c>
      <c r="AM66" s="38">
        <f>IF(AL66="","",AL66*T66)</f>
        <v/>
      </c>
      <c r="AN66" s="36">
        <f>IF(OR(AG66="",R66=0),"",MIN(IF(AT66="",9.9E+99,AT66),AK66/R66))</f>
        <v/>
      </c>
      <c r="AO66" s="38">
        <f>IF(AN66="","",AN66*T66)</f>
        <v/>
      </c>
      <c r="AP66" s="40" t="n"/>
      <c r="AQ66" s="32" t="inlineStr">
        <is>
          <t>Estimated</t>
        </is>
      </c>
      <c r="AR66" s="41" t="n"/>
      <c r="AS66" s="41" t="n"/>
      <c r="AT66" s="42" t="n"/>
      <c r="AU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V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W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X66" s="44" t="inlineStr">
        <is>
          <t>PREMIUM scheduled per-seat = fast-ferry Naxos-&gt;Paros ~EUR 31 one-way (AFerry foot-passenger from GBP 27 ~ EUR 31; ~$33.5). Short hop, so cheaper conventional options exist below.</t>
        </is>
      </c>
      <c r="AY66" s="44" t="n"/>
    </row>
    <row r="67">
      <c r="A67" s="29" t="inlineStr">
        <is>
          <t>Bolt</t>
        </is>
      </c>
      <c r="B67" s="29" t="inlineStr">
        <is>
          <t>Greece</t>
        </is>
      </c>
      <c r="C67" s="30" t="inlineStr">
        <is>
          <t>Athens (Piraeus) → Glyfada (Athens Riviera)</t>
        </is>
      </c>
      <c r="D67" s="31" t="n">
        <v>8</v>
      </c>
      <c r="E67" s="26" t="n"/>
      <c r="F67" s="32" t="n"/>
      <c r="G67" s="32" t="n"/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949000</v>
      </c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IF(OR(AG67="",R67=0),"",MIN(IF(AT67="",9.9E+99,AT67),FLOOR(AK67/R67,1)))</f>
        <v/>
      </c>
      <c r="AM67" s="38">
        <f>IF(AL67="","",AL67*T67)</f>
        <v/>
      </c>
      <c r="AN67" s="36">
        <f>IF(OR(AG67="",R67=0),"",MIN(IF(AT67="",9.9E+99,AT67),AK67/R67))</f>
        <v/>
      </c>
      <c r="AO67" s="38">
        <f>IF(AN67="","",AN67*T67)</f>
        <v/>
      </c>
      <c r="AP67" s="40" t="n"/>
      <c r="AQ67" s="32" t="inlineStr">
        <is>
          <t>Grounded</t>
        </is>
      </c>
      <c r="AR67" s="41" t="n"/>
      <c r="AS67" s="41" t="n"/>
      <c r="AT67" s="42" t="n"/>
      <c r="AU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V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W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X67" s="44" t="n"/>
      <c r="AY67" s="44" t="n"/>
    </row>
    <row r="68">
      <c r="A68" s="29" t="inlineStr">
        <is>
          <t>Bolt</t>
        </is>
      </c>
      <c r="B68" s="29" t="inlineStr">
        <is>
          <t>Greece</t>
        </is>
      </c>
      <c r="C68" s="30" t="inlineStr">
        <is>
          <t>Athens (Piraeus) → Aegina</t>
        </is>
      </c>
      <c r="D68" s="31" t="n">
        <v>17</v>
      </c>
      <c r="E68" s="26" t="n">
        <v>14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1000000</v>
      </c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IF(OR(AG68="",R68=0),"",MIN(IF(AT68="",9.9E+99,AT68),FLOOR(AK68/R68,1)))</f>
        <v/>
      </c>
      <c r="AM68" s="38">
        <f>IF(AL68="","",AL68*T68)</f>
        <v/>
      </c>
      <c r="AN68" s="36">
        <f>IF(OR(AG68="",R68=0),"",MIN(IF(AT68="",9.9E+99,AT68),AK68/R68))</f>
        <v/>
      </c>
      <c r="AO68" s="38">
        <f>IF(AN68="","",AN68*T68)</f>
        <v/>
      </c>
      <c r="AP68" s="40" t="n"/>
      <c r="AQ68" s="32" t="inlineStr">
        <is>
          <t>Grounded</t>
        </is>
      </c>
      <c r="AR68" s="41" t="n"/>
      <c r="AS68" s="41" t="n"/>
      <c r="AT68" s="42" t="n"/>
      <c r="AU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V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W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X68" s="44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AY68" s="44" t="n"/>
    </row>
    <row r="69">
      <c r="A69" s="29" t="inlineStr">
        <is>
          <t>Bolt</t>
        </is>
      </c>
      <c r="B69" s="29" t="inlineStr">
        <is>
          <t>Greece</t>
        </is>
      </c>
      <c r="C69" s="30" t="inlineStr">
        <is>
          <t>Santorini (Thira) → Ios</t>
        </is>
      </c>
      <c r="D69" s="31" t="n">
        <v>17</v>
      </c>
      <c r="E69" s="26" t="n">
        <v>54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/>
      <c r="AH69" s="32" t="n"/>
      <c r="AI69" s="32" t="n"/>
      <c r="AJ69" s="39" t="n">
        <v>0.1</v>
      </c>
      <c r="AK69" s="34">
        <f>IF(AG69="","",AG69*AJ69)</f>
        <v/>
      </c>
      <c r="AL69" s="34">
        <f>IF(OR(AG69="",R69=0),"",MIN(IF(AT69="",9.9E+99,AT69),FLOOR(AK69/R69,1)))</f>
        <v/>
      </c>
      <c r="AM69" s="38">
        <f>IF(AL69="","",AL69*T69)</f>
        <v/>
      </c>
      <c r="AN69" s="36">
        <f>IF(OR(AG69="",R69=0),"",MIN(IF(AT69="",9.9E+99,AT69),AK69/R69))</f>
        <v/>
      </c>
      <c r="AO69" s="38">
        <f>IF(AN69="","",AN69*T69)</f>
        <v/>
      </c>
      <c r="AP69" s="40" t="n"/>
      <c r="AQ69" s="32" t="inlineStr">
        <is>
          <t>Estimated</t>
        </is>
      </c>
      <c r="AR69" s="41" t="n"/>
      <c r="AS69" s="41" t="n"/>
      <c r="AT69" s="42" t="n"/>
      <c r="AU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V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W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X69" s="44" t="inlineStr">
        <is>
          <t>PREMIUM scheduled per-seat = fast-ferry Santorini-&gt;Ios ~EUR 50 one-way (range to EUR 69.7; ~$54). Up to 7 daily crossings year-round.</t>
        </is>
      </c>
      <c r="AY69" s="44" t="n"/>
    </row>
    <row r="70">
      <c r="A70" s="29" t="inlineStr">
        <is>
          <t>Bolt</t>
        </is>
      </c>
      <c r="B70" s="29" t="inlineStr">
        <is>
          <t>Greece</t>
        </is>
      </c>
      <c r="C70" s="30" t="inlineStr">
        <is>
          <t>Athens (Piraeus) → Agistri (Saronic)</t>
        </is>
      </c>
      <c r="D70" s="31" t="n">
        <v>18</v>
      </c>
      <c r="E70" s="26" t="n">
        <v>14.6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IF(OR(AG70="",R70=0),"",MIN(IF(AT70="",9.9E+99,AT70),FLOOR(AK70/R70,1)))</f>
        <v/>
      </c>
      <c r="AM70" s="38">
        <f>IF(AL70="","",AL70*T70)</f>
        <v/>
      </c>
      <c r="AN70" s="36">
        <f>IF(OR(AG70="",R70=0),"",MIN(IF(AT70="",9.9E+99,AT70),AK70/R70))</f>
        <v/>
      </c>
      <c r="AO70" s="38">
        <f>IF(AN70="","",AN70*T70)</f>
        <v/>
      </c>
      <c r="AP70" s="40" t="n"/>
      <c r="AQ70" s="32" t="inlineStr">
        <is>
          <t>Estimated</t>
        </is>
      </c>
      <c r="AR70" s="41" t="n"/>
      <c r="AS70" s="41" t="n"/>
      <c r="AT70" s="42" t="n"/>
      <c r="AU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V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W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X70" s="44" t="inlineStr">
        <is>
          <t>PREMIUM scheduled per-seat = Aegean Flying Dolphins Piraeus-&gt;Agistri (Myli) EUR 13.50 one-way (2026, ~$14.6).</t>
        </is>
      </c>
      <c r="AY70" s="44" t="n"/>
    </row>
    <row r="71">
      <c r="A71" s="29" t="inlineStr">
        <is>
          <t>Bolt</t>
        </is>
      </c>
      <c r="B71" s="29" t="inlineStr">
        <is>
          <t>Greece</t>
        </is>
      </c>
      <c r="C71" s="30" t="inlineStr">
        <is>
          <t>Mykonos → Paros</t>
        </is>
      </c>
      <c r="D71" s="31" t="n">
        <v>22</v>
      </c>
      <c r="E71" s="26" t="n">
        <v>54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IF(OR(AG71="",R71=0),"",MIN(IF(AT71="",9.9E+99,AT71),FLOOR(AK71/R71,1)))</f>
        <v/>
      </c>
      <c r="AM71" s="38">
        <f>IF(AL71="","",AL71*T71)</f>
        <v/>
      </c>
      <c r="AN71" s="36">
        <f>IF(OR(AG71="",R71=0),"",MIN(IF(AT71="",9.9E+99,AT71),AK71/R71))</f>
        <v/>
      </c>
      <c r="AO71" s="38">
        <f>IF(AN71="","",AN71*T71)</f>
        <v/>
      </c>
      <c r="AP71" s="40" t="n"/>
      <c r="AQ71" s="32" t="inlineStr">
        <is>
          <t>Estimated</t>
        </is>
      </c>
      <c r="AR71" s="41" t="n"/>
      <c r="AS71" s="41" t="n"/>
      <c r="AT71" s="42" t="n"/>
      <c r="AU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V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W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X71" s="44" t="inlineStr">
        <is>
          <t>PREMIUM scheduled per-seat = Seajets/fast-ferry Mykonos-&gt;Paros ~EUR 50 one-way (range EUR 36-66; ~$54).</t>
        </is>
      </c>
      <c r="AY71" s="44" t="n"/>
    </row>
    <row r="72">
      <c r="A72" s="29" t="inlineStr">
        <is>
          <t>Bolt</t>
        </is>
      </c>
      <c r="B72" s="29" t="inlineStr">
        <is>
          <t>Greece</t>
        </is>
      </c>
      <c r="C72" s="30" t="inlineStr">
        <is>
          <t>Rhodes → Marmaris (Turkey)</t>
        </is>
      </c>
      <c r="D72" s="31" t="n">
        <v>22</v>
      </c>
      <c r="E72" s="26" t="n"/>
      <c r="F72" s="32" t="n"/>
      <c r="G72" s="32" t="n"/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IF(OR(AG72="",R72=0),"",MIN(IF(AT72="",9.9E+99,AT72),FLOOR(AK72/R72,1)))</f>
        <v/>
      </c>
      <c r="AM72" s="38">
        <f>IF(AL72="","",AL72*T72)</f>
        <v/>
      </c>
      <c r="AN72" s="36">
        <f>IF(OR(AG72="",R72=0),"",MIN(IF(AT72="",9.9E+99,AT72),AK72/R72))</f>
        <v/>
      </c>
      <c r="AO72" s="38">
        <f>IF(AN72="","",AN72*T72)</f>
        <v/>
      </c>
      <c r="AP72" s="40" t="n"/>
      <c r="AQ72" s="32" t="inlineStr">
        <is>
          <t>Estimated</t>
        </is>
      </c>
      <c r="AR72" s="41" t="n"/>
      <c r="AS72" s="41" t="n"/>
      <c r="AT72" s="42" t="n"/>
      <c r="AU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V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W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X72" s="44" t="n"/>
      <c r="AY72" s="44" t="n"/>
    </row>
    <row r="73">
      <c r="A73" s="29" t="inlineStr">
        <is>
          <t>Bolt</t>
        </is>
      </c>
      <c r="B73" s="29" t="inlineStr">
        <is>
          <t>Greece</t>
        </is>
      </c>
      <c r="C73" s="30" t="inlineStr">
        <is>
          <t>Athens (Piraeus) → Poros (Saronic)</t>
        </is>
      </c>
      <c r="D73" s="31" t="n">
        <v>27</v>
      </c>
      <c r="E73" s="26" t="n">
        <v>18.4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/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IF(OR(AG73="",R73=0),"",MIN(IF(AT73="",9.9E+99,AT73),FLOOR(AK73/R73,1)))</f>
        <v/>
      </c>
      <c r="AM73" s="38">
        <f>IF(AL73="","",AL73*T73)</f>
        <v/>
      </c>
      <c r="AN73" s="36">
        <f>IF(OR(AG73="",R73=0),"",MIN(IF(AT73="",9.9E+99,AT73),AK73/R73))</f>
        <v/>
      </c>
      <c r="AO73" s="38">
        <f>IF(AN73="","",AN73*T73)</f>
        <v/>
      </c>
      <c r="AP73" s="40" t="n"/>
      <c r="AQ73" s="32" t="inlineStr">
        <is>
          <t>Estimated</t>
        </is>
      </c>
      <c r="AR73" s="41" t="n"/>
      <c r="AS73" s="41" t="n"/>
      <c r="AT73" s="42" t="n"/>
      <c r="AU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V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W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X73" s="44" t="inlineStr">
        <is>
          <t>PREMIUM scheduled per-seat = Hellenic Seaways fast craft Piraeus-&gt;Poros EUR 17.00 one-way (~$18.4).</t>
        </is>
      </c>
      <c r="AY73" s="44" t="n"/>
    </row>
    <row r="74">
      <c r="A74" s="29" t="inlineStr">
        <is>
          <t>Bolt</t>
        </is>
      </c>
      <c r="B74" s="29" t="inlineStr">
        <is>
          <t>Greece</t>
        </is>
      </c>
      <c r="C74" s="30" t="inlineStr">
        <is>
          <t>Mykonos → Naxos</t>
        </is>
      </c>
      <c r="D74" s="31" t="n">
        <v>28</v>
      </c>
      <c r="E74" s="26" t="n">
        <v>54</v>
      </c>
      <c r="F74" s="32" t="inlineStr">
        <is>
          <t>T2</t>
        </is>
      </c>
      <c r="G74" s="32" t="inlineStr">
        <is>
          <t>med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IF(OR(AG74="",R74=0),"",MIN(IF(AT74="",9.9E+99,AT74),FLOOR(AK74/R74,1)))</f>
        <v/>
      </c>
      <c r="AM74" s="38">
        <f>IF(AL74="","",AL74*T74)</f>
        <v/>
      </c>
      <c r="AN74" s="36">
        <f>IF(OR(AG74="",R74=0),"",MIN(IF(AT74="",9.9E+99,AT74),AK74/R74))</f>
        <v/>
      </c>
      <c r="AO74" s="38">
        <f>IF(AN74="","",AN74*T74)</f>
        <v/>
      </c>
      <c r="AP74" s="40" t="n"/>
      <c r="AQ74" s="32" t="inlineStr">
        <is>
          <t>Estimated</t>
        </is>
      </c>
      <c r="AR74" s="41" t="n"/>
      <c r="AS74" s="41" t="n"/>
      <c r="AT74" s="42" t="n"/>
      <c r="AU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V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W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X74" s="44" t="inlineStr">
        <is>
          <t>PREMIUM scheduled per-seat = Seajets/fast-ferry Mykonos-&gt;Naxos ~EUR 50 one-way (~$54), in line with the Mykonos-&gt;Paros tier (similar distance). Approximate.</t>
        </is>
      </c>
      <c r="AY74" s="44" t="n"/>
    </row>
    <row r="75">
      <c r="A75" s="29" t="inlineStr">
        <is>
          <t>Bolt</t>
        </is>
      </c>
      <c r="B75" s="29" t="inlineStr">
        <is>
          <t>Greece</t>
        </is>
      </c>
      <c r="C75" s="30" t="inlineStr">
        <is>
          <t>Athens → Hydra (Saronic)</t>
        </is>
      </c>
      <c r="D75" s="31" t="n">
        <v>30</v>
      </c>
      <c r="E75" s="26" t="n">
        <v>43.2</v>
      </c>
      <c r="F75" s="32" t="inlineStr">
        <is>
          <t>T2</t>
        </is>
      </c>
      <c r="G75" s="32" t="inlineStr">
        <is>
          <t>med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inlineStr">
        <is>
          <t>T5</t>
        </is>
      </c>
      <c r="AI75" s="32" t="inlineStr">
        <is>
          <t>low</t>
        </is>
      </c>
      <c r="AJ75" s="39" t="n">
        <v>0.1</v>
      </c>
      <c r="AK75" s="34">
        <f>IF(AG75="","",AG75*AJ75)</f>
        <v/>
      </c>
      <c r="AL75" s="34">
        <f>IF(OR(AG75="",R75=0),"",MIN(IF(AT75="",9.9E+99,AT75),FLOOR(AK75/R75,1)))</f>
        <v/>
      </c>
      <c r="AM75" s="38">
        <f>IF(AL75="","",AL75*T75)</f>
        <v/>
      </c>
      <c r="AN75" s="36">
        <f>IF(OR(AG75="",R75=0),"",MIN(IF(AT75="",9.9E+99,AT75),AK75/R75))</f>
        <v/>
      </c>
      <c r="AO75" s="38">
        <f>IF(AN75="","",AN75*T75)</f>
        <v/>
      </c>
      <c r="AP75" s="40" t="n"/>
      <c r="AQ75" s="32" t="inlineStr">
        <is>
          <t>Estimated</t>
        </is>
      </c>
      <c r="AR75" s="41" t="n"/>
      <c r="AS75" s="41" t="n"/>
      <c r="AT75" s="42" t="n"/>
      <c r="AU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V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W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X75" s="44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AY75" s="44" t="inlineStr"/>
    </row>
    <row r="76">
      <c r="A76" s="29" t="inlineStr">
        <is>
          <t>Bolt</t>
        </is>
      </c>
      <c r="B76" s="29" t="inlineStr">
        <is>
          <t>Greece</t>
        </is>
      </c>
      <c r="C76" s="30" t="inlineStr">
        <is>
          <t>Athens (Piraeus) → Spetses (Saronic)</t>
        </is>
      </c>
      <c r="D76" s="31" t="n">
        <v>50</v>
      </c>
      <c r="E76" s="26" t="n">
        <v>37.8</v>
      </c>
      <c r="F76" s="32" t="inlineStr">
        <is>
          <t>T2</t>
        </is>
      </c>
      <c r="G76" s="32" t="inlineStr">
        <is>
          <t>med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IF(OR(AG76="",R76=0),"",MIN(IF(AT76="",9.9E+99,AT76),FLOOR(AK76/R76,1)))</f>
        <v/>
      </c>
      <c r="AM76" s="38">
        <f>IF(AL76="","",AL76*T76)</f>
        <v/>
      </c>
      <c r="AN76" s="36">
        <f>IF(OR(AG76="",R76=0),"",MIN(IF(AT76="",9.9E+99,AT76),AK76/R76))</f>
        <v/>
      </c>
      <c r="AO76" s="38">
        <f>IF(AN76="","",AN76*T76)</f>
        <v/>
      </c>
      <c r="AP76" s="40" t="n"/>
      <c r="AQ76" s="32" t="inlineStr">
        <is>
          <t>Estimated</t>
        </is>
      </c>
      <c r="AR76" s="41" t="n"/>
      <c r="AS76" s="41" t="n"/>
      <c r="AT76" s="42" t="n"/>
      <c r="AU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V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W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X76" s="44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AY76" s="44" t="n"/>
    </row>
    <row r="77">
      <c r="A77" s="29" t="inlineStr">
        <is>
          <t>Bolt</t>
        </is>
      </c>
      <c r="B77" s="29" t="inlineStr">
        <is>
          <t>Greece</t>
        </is>
      </c>
      <c r="C77" s="30" t="inlineStr">
        <is>
          <t>Naxos → Santorini (Thira)</t>
        </is>
      </c>
      <c r="D77" s="31" t="n">
        <v>50</v>
      </c>
      <c r="E77" s="26" t="n">
        <v>54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IF(OR(AG77="",R77=0),"",MIN(IF(AT77="",9.9E+99,AT77),FLOOR(AK77/R77,1)))</f>
        <v/>
      </c>
      <c r="AM77" s="38">
        <f>IF(AL77="","",AL77*T77)</f>
        <v/>
      </c>
      <c r="AN77" s="36">
        <f>IF(OR(AG77="",R77=0),"",MIN(IF(AT77="",9.9E+99,AT77),AK77/R77))</f>
        <v/>
      </c>
      <c r="AO77" s="38">
        <f>IF(AN77="","",AN77*T77)</f>
        <v/>
      </c>
      <c r="AP77" s="40" t="n"/>
      <c r="AQ77" s="32" t="inlineStr">
        <is>
          <t>Estimated</t>
        </is>
      </c>
      <c r="AR77" s="41" t="n"/>
      <c r="AS77" s="41" t="n"/>
      <c r="AT77" s="42" t="n"/>
      <c r="AU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V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W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X77" s="44" t="inlineStr">
        <is>
          <t>PREMIUM scheduled per-seat = fast-ferry Naxos-&gt;Santorini ~EUR 50 one-way (~$54); standard fast-ferry tier on the central-to-southern Cyclades leg. Approximate.</t>
        </is>
      </c>
      <c r="AY77" s="44" t="n"/>
    </row>
    <row r="78">
      <c r="A78" s="29" t="inlineStr">
        <is>
          <t>Bolt</t>
        </is>
      </c>
      <c r="B78" s="29" t="inlineStr">
        <is>
          <t>Ireland</t>
        </is>
      </c>
      <c r="C78" s="30" t="inlineStr">
        <is>
          <t>Dalkey → Dalkey Island</t>
        </is>
      </c>
      <c r="D78" s="31" t="n">
        <v>0.3</v>
      </c>
      <c r="E78" s="26" t="n">
        <v>10.8</v>
      </c>
      <c r="F78" s="32" t="inlineStr">
        <is>
          <t>T2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IF(OR(AG78="",R78=0),"",MIN(IF(AT78="",9.9E+99,AT78),FLOOR(AK78/R78,1)))</f>
        <v/>
      </c>
      <c r="AM78" s="38">
        <f>IF(AL78="","",AL78*T78)</f>
        <v/>
      </c>
      <c r="AN78" s="36">
        <f>IF(OR(AG78="",R78=0),"",MIN(IF(AT78="",9.9E+99,AT78),AK78/R78))</f>
        <v/>
      </c>
      <c r="AO78" s="38">
        <f>IF(AN78="","",AN78*T78)</f>
        <v/>
      </c>
      <c r="AP78" s="40" t="n"/>
      <c r="AQ78" s="32" t="inlineStr">
        <is>
          <t>Estimated</t>
        </is>
      </c>
      <c r="AR78" s="41" t="n"/>
      <c r="AS78" s="41" t="n"/>
      <c r="AT78" s="42" t="n"/>
      <c r="AU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V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W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X78" s="44" t="inlineStr">
        <is>
          <t>Ken the Ferryman EUR 10 per person (the operating fare to Dalkey Island). EUR 10 x 1.08 = $10.80.</t>
        </is>
      </c>
      <c r="AY78" s="44" t="n"/>
    </row>
    <row r="79">
      <c r="A79" s="29" t="inlineStr">
        <is>
          <t>Bolt</t>
        </is>
      </c>
      <c r="B79" s="29" t="inlineStr">
        <is>
          <t>Ireland</t>
        </is>
      </c>
      <c r="C79" s="30" t="inlineStr">
        <is>
          <t>Howth → Ireland's Eye</t>
        </is>
      </c>
      <c r="D79" s="31" t="n">
        <v>1</v>
      </c>
      <c r="E79" s="26" t="n">
        <v>32.4</v>
      </c>
      <c r="F79" s="32" t="inlineStr">
        <is>
          <t>T2</t>
        </is>
      </c>
      <c r="G79" s="32" t="inlineStr">
        <is>
          <t>med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IF(OR(AG79="",R79=0),"",MIN(IF(AT79="",9.9E+99,AT79),FLOOR(AK79/R79,1)))</f>
        <v/>
      </c>
      <c r="AM79" s="38">
        <f>IF(AL79="","",AL79*T79)</f>
        <v/>
      </c>
      <c r="AN79" s="36">
        <f>IF(OR(AG79="",R79=0),"",MIN(IF(AT79="",9.9E+99,AT79),AK79/R79))</f>
        <v/>
      </c>
      <c r="AO79" s="38">
        <f>IF(AN79="","",AN79*T79)</f>
        <v/>
      </c>
      <c r="AP79" s="40" t="n"/>
      <c r="AQ79" s="32" t="inlineStr">
        <is>
          <t>Estimated</t>
        </is>
      </c>
      <c r="AR79" s="41" t="n"/>
      <c r="AS79" s="41" t="n"/>
      <c r="AT79" s="42" t="n"/>
      <c r="AU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V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W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X79" s="44" t="inlineStr">
        <is>
          <t>Ireland's Eye Ferries / Howth Cliff Cruises adult EUR 30 return incl. island landing (the operating product). EUR 30 x 1.08 = $32.40. One-way equivalent ~$16.20.</t>
        </is>
      </c>
      <c r="AY79" s="44" t="n"/>
    </row>
    <row r="80">
      <c r="A80" s="29" t="inlineStr">
        <is>
          <t>Bolt</t>
        </is>
      </c>
      <c r="B80" s="29" t="inlineStr">
        <is>
          <t>Ireland</t>
        </is>
      </c>
      <c r="C80" s="30" t="inlineStr">
        <is>
          <t>Dublin Docklands → Dún Laoghaire</t>
        </is>
      </c>
      <c r="D80" s="31" t="n">
        <v>6.5</v>
      </c>
      <c r="E80" s="26" t="n">
        <v>32.4</v>
      </c>
      <c r="F80" s="32" t="inlineStr">
        <is>
          <t>T2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MIN(24,FLOOR(60*service_hr/J80,1))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50000</v>
      </c>
      <c r="AH80" s="32" t="n"/>
      <c r="AI80" s="32" t="n"/>
      <c r="AJ80" s="39" t="n">
        <v>0.1</v>
      </c>
      <c r="AK80" s="34">
        <f>IF(AG80="","",AG80*AJ80)</f>
        <v/>
      </c>
      <c r="AL80" s="34">
        <f>IF(OR(AG80="",R80=0),"",MIN(IF(AT80="",9.9E+99,AT80),FLOOR(AK80/R80,1)))</f>
        <v/>
      </c>
      <c r="AM80" s="38">
        <f>IF(AL80="","",AL80*T80)</f>
        <v/>
      </c>
      <c r="AN80" s="36">
        <f>IF(OR(AG80="",R80=0),"",MIN(IF(AT80="",9.9E+99,AT80),AK80/R80))</f>
        <v/>
      </c>
      <c r="AO80" s="38">
        <f>IF(AN80="","",AN80*T80)</f>
        <v/>
      </c>
      <c r="AP80" s="40" t="n"/>
      <c r="AQ80" s="32" t="inlineStr">
        <is>
          <t>Grounded</t>
        </is>
      </c>
      <c r="AR80" s="41" t="n"/>
      <c r="AS80" s="41" t="n"/>
      <c r="AT80" s="42" t="n"/>
      <c r="AU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V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W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X80" s="44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AY80" s="44" t="n"/>
    </row>
    <row r="81">
      <c r="A81" s="29" t="inlineStr">
        <is>
          <t>Bolt</t>
        </is>
      </c>
      <c r="B81" s="29" t="inlineStr">
        <is>
          <t>Ireland</t>
        </is>
      </c>
      <c r="C81" s="30" t="inlineStr">
        <is>
          <t>Dublin City (Docklands) → Howth</t>
        </is>
      </c>
      <c r="D81" s="31" t="n">
        <v>7</v>
      </c>
      <c r="E81" s="26" t="n">
        <v>43.2</v>
      </c>
      <c r="F81" s="32" t="inlineStr">
        <is>
          <t>T2</t>
        </is>
      </c>
      <c r="G81" s="32" t="inlineStr">
        <is>
          <t>med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MIN(24,FLOOR(60*service_hr/J81,1))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46800</v>
      </c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IF(OR(AG81="",R81=0),"",MIN(IF(AT81="",9.9E+99,AT81),FLOOR(AK81/R81,1)))</f>
        <v/>
      </c>
      <c r="AM81" s="38">
        <f>IF(AL81="","",AL81*T81)</f>
        <v/>
      </c>
      <c r="AN81" s="36">
        <f>IF(OR(AG81="",R81=0),"",MIN(IF(AT81="",9.9E+99,AT81),AK81/R81))</f>
        <v/>
      </c>
      <c r="AO81" s="38">
        <f>IF(AN81="","",AN81*T81)</f>
        <v/>
      </c>
      <c r="AP81" s="40" t="n"/>
      <c r="AQ81" s="32" t="inlineStr">
        <is>
          <t>Grounded</t>
        </is>
      </c>
      <c r="AR81" s="41" t="n"/>
      <c r="AS81" s="41" t="n"/>
      <c r="AT81" s="42" t="n"/>
      <c r="AU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V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W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X81" s="44" t="inlineStr">
        <is>
          <t>Dublin Bay Cruises one-way Dublin City-&gt;Howth (via Dun Laoghaire) EUR 40 (premium scheduled water tier). EUR 40 x 1.08 = $43.20.</t>
        </is>
      </c>
      <c r="AY81" s="44" t="n"/>
    </row>
    <row r="82">
      <c r="A82" s="29" t="inlineStr">
        <is>
          <t>Bolt</t>
        </is>
      </c>
      <c r="B82" s="29" t="inlineStr">
        <is>
          <t>Ireland</t>
        </is>
      </c>
      <c r="C82" s="30" t="inlineStr">
        <is>
          <t>Dun Laoghaire → Howth</t>
        </is>
      </c>
      <c r="D82" s="31" t="n">
        <v>7</v>
      </c>
      <c r="E82" s="26" t="n">
        <v>30.24</v>
      </c>
      <c r="F82" s="32" t="inlineStr">
        <is>
          <t>T2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MIN(24,FLOOR(60*service_hr/J82,1))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/>
      <c r="AH82" s="32" t="n"/>
      <c r="AI82" s="32" t="n"/>
      <c r="AJ82" s="39" t="n">
        <v>0.1</v>
      </c>
      <c r="AK82" s="34">
        <f>IF(AG82="","",AG82*AJ82)</f>
        <v/>
      </c>
      <c r="AL82" s="34">
        <f>IF(OR(AG82="",R82=0),"",MIN(IF(AT82="",9.9E+99,AT82),FLOOR(AK82/R82,1)))</f>
        <v/>
      </c>
      <c r="AM82" s="38">
        <f>IF(AL82="","",AL82*T82)</f>
        <v/>
      </c>
      <c r="AN82" s="36">
        <f>IF(OR(AG82="",R82=0),"",MIN(IF(AT82="",9.9E+99,AT82),AK82/R82))</f>
        <v/>
      </c>
      <c r="AO82" s="38">
        <f>IF(AN82="","",AN82*T82)</f>
        <v/>
      </c>
      <c r="AP82" s="40" t="n"/>
      <c r="AQ82" s="32" t="inlineStr">
        <is>
          <t>Estimated</t>
        </is>
      </c>
      <c r="AR82" s="41" t="n"/>
      <c r="AS82" s="41" t="n"/>
      <c r="AT82" s="42" t="n"/>
      <c r="AU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V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W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X82" s="44" t="inlineStr">
        <is>
          <t>Dublin Bay Cruises one-way Dun Laoghaire&lt;-&gt;Howth EUR 28 per seat (scheduled scenic water tier). EUR 28 x 1.08 = $30.24.</t>
        </is>
      </c>
      <c r="AY82" s="44" t="n"/>
    </row>
    <row r="83">
      <c r="A83" s="29" t="inlineStr">
        <is>
          <t>Bolt</t>
        </is>
      </c>
      <c r="B83" s="29" t="inlineStr">
        <is>
          <t>Ireland</t>
        </is>
      </c>
      <c r="C83" s="30" t="inlineStr">
        <is>
          <t>Dublin City (Docklands) → Dalkey / Killiney</t>
        </is>
      </c>
      <c r="D83" s="31" t="n">
        <v>9</v>
      </c>
      <c r="E83" s="26" t="n">
        <v>32.4</v>
      </c>
      <c r="F83" s="32" t="inlineStr">
        <is>
          <t>T2</t>
        </is>
      </c>
      <c r="G83" s="32" t="inlineStr">
        <is>
          <t>med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MIN(24,FLOOR(60*service_hr/J83,1))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/>
      <c r="AH83" s="32" t="n"/>
      <c r="AI83" s="32" t="n"/>
      <c r="AJ83" s="39" t="n">
        <v>0.1</v>
      </c>
      <c r="AK83" s="34">
        <f>IF(AG83="","",AG83*AJ83)</f>
        <v/>
      </c>
      <c r="AL83" s="34">
        <f>IF(OR(AG83="",R83=0),"",MIN(IF(AT83="",9.9E+99,AT83),FLOOR(AK83/R83,1)))</f>
        <v/>
      </c>
      <c r="AM83" s="38">
        <f>IF(AL83="","",AL83*T83)</f>
        <v/>
      </c>
      <c r="AN83" s="36">
        <f>IF(OR(AG83="",R83=0),"",MIN(IF(AT83="",9.9E+99,AT83),AK83/R83))</f>
        <v/>
      </c>
      <c r="AO83" s="38">
        <f>IF(AN83="","",AN83*T83)</f>
        <v/>
      </c>
      <c r="AP83" s="40" t="n"/>
      <c r="AQ83" s="32" t="inlineStr">
        <is>
          <t>Estimated</t>
        </is>
      </c>
      <c r="AR83" s="41" t="n"/>
      <c r="AS83" s="41" t="n"/>
      <c r="AT83" s="42" t="n"/>
      <c r="AU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V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W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X83" s="44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AY83" s="44" t="n"/>
    </row>
    <row r="84">
      <c r="A84" s="29" t="inlineStr">
        <is>
          <t>Bolt</t>
        </is>
      </c>
      <c r="B84" s="29" t="inlineStr">
        <is>
          <t>Ireland</t>
        </is>
      </c>
      <c r="C84" s="30" t="inlineStr">
        <is>
          <t>Dublin Port → Holyhead (Wales)</t>
        </is>
      </c>
      <c r="D84" s="31" t="n">
        <v>67</v>
      </c>
      <c r="E84" s="26" t="n">
        <v>48.6</v>
      </c>
      <c r="F84" s="32" t="inlineStr">
        <is>
          <t>T2</t>
        </is>
      </c>
      <c r="G84" s="32" t="inlineStr">
        <is>
          <t>med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/>
      <c r="AH84" s="32" t="n"/>
      <c r="AI84" s="32" t="n"/>
      <c r="AJ84" s="39" t="n">
        <v>0.1</v>
      </c>
      <c r="AK84" s="34">
        <f>IF(AG84="","",AG84*AJ84)</f>
        <v/>
      </c>
      <c r="AL84" s="34">
        <f>IF(OR(AG84="",R84=0),"",MIN(IF(AT84="",9.9E+99,AT84),FLOOR(AK84/R84,1)))</f>
        <v/>
      </c>
      <c r="AM84" s="38">
        <f>IF(AL84="","",AL84*T84)</f>
        <v/>
      </c>
      <c r="AN84" s="36">
        <f>IF(OR(AG84="",R84=0),"",MIN(IF(AT84="",9.9E+99,AT84),AK84/R84))</f>
        <v/>
      </c>
      <c r="AO84" s="38">
        <f>IF(AN84="","",AN84*T84)</f>
        <v/>
      </c>
      <c r="AP84" s="40" t="n"/>
      <c r="AQ84" s="32" t="inlineStr">
        <is>
          <t>Estimated</t>
        </is>
      </c>
      <c r="AR84" s="41" t="n"/>
      <c r="AS84" s="41" t="n"/>
      <c r="AT84" s="42" t="n"/>
      <c r="AU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V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W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X84" s="44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AY84" s="44" t="n"/>
    </row>
    <row r="85">
      <c r="A85" s="29" t="inlineStr">
        <is>
          <t>Bolt</t>
        </is>
      </c>
      <c r="B85" s="29" t="inlineStr">
        <is>
          <t>Israel</t>
        </is>
      </c>
      <c r="C85" s="30" t="inlineStr">
        <is>
          <t>Tel Aviv → Jaffa (Old Jaffa Port)</t>
        </is>
      </c>
      <c r="D85" s="31" t="n">
        <v>2.2</v>
      </c>
      <c r="E85" s="26" t="n">
        <v>130</v>
      </c>
      <c r="F85" s="32" t="inlineStr">
        <is>
          <t>T2</t>
        </is>
      </c>
      <c r="G85" s="32" t="inlineStr">
        <is>
          <t>med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MIN(24,FLOOR(60*service_hr/J85,1))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IF(OR(AG85="",R85=0),"",MIN(IF(AT85="",9.9E+99,AT85),FLOOR(AK85/R85,1)))</f>
        <v/>
      </c>
      <c r="AM85" s="38">
        <f>IF(AL85="","",AL85*T85)</f>
        <v/>
      </c>
      <c r="AN85" s="36">
        <f>IF(OR(AG85="",R85=0),"",MIN(IF(AT85="",9.9E+99,AT85),AK85/R85))</f>
        <v/>
      </c>
      <c r="AO85" s="38">
        <f>IF(AN85="","",AN85*T85)</f>
        <v/>
      </c>
      <c r="AP85" s="40" t="n"/>
      <c r="AQ85" s="32" t="inlineStr">
        <is>
          <t>Estimated</t>
        </is>
      </c>
      <c r="AR85" s="41" t="n"/>
      <c r="AS85" s="41" t="n"/>
      <c r="AT85" s="42" t="n"/>
      <c r="AU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V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W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X85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Y85" s="44" t="n"/>
    </row>
    <row r="86">
      <c r="A86" s="29" t="inlineStr">
        <is>
          <t>Bolt</t>
        </is>
      </c>
      <c r="B86" s="29" t="inlineStr">
        <is>
          <t>Israel</t>
        </is>
      </c>
      <c r="C86" s="30" t="inlineStr">
        <is>
          <t>Haifa → Akko (Acre)</t>
        </is>
      </c>
      <c r="D86" s="31" t="n">
        <v>6.8</v>
      </c>
      <c r="E86" s="26" t="n">
        <v>11</v>
      </c>
      <c r="F86" s="32" t="inlineStr">
        <is>
          <t>T2</t>
        </is>
      </c>
      <c r="G86" s="32" t="inlineStr">
        <is>
          <t>med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1500000</v>
      </c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IF(OR(AG86="",R86=0),"",MIN(IF(AT86="",9.9E+99,AT86),FLOOR(AK86/R86,1)))</f>
        <v/>
      </c>
      <c r="AM86" s="38">
        <f>IF(AL86="","",AL86*T86)</f>
        <v/>
      </c>
      <c r="AN86" s="36">
        <f>IF(OR(AG86="",R86=0),"",MIN(IF(AT86="",9.9E+99,AT86),AK86/R86))</f>
        <v/>
      </c>
      <c r="AO86" s="38">
        <f>IF(AN86="","",AN86*T86)</f>
        <v/>
      </c>
      <c r="AP86" s="40" t="n"/>
      <c r="AQ86" s="32" t="inlineStr">
        <is>
          <t>Grounded</t>
        </is>
      </c>
      <c r="AR86" s="41" t="n"/>
      <c r="AS86" s="41" t="n"/>
      <c r="AT86" s="42" t="n"/>
      <c r="AU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V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W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X86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Y86" s="44" t="n"/>
    </row>
    <row r="87">
      <c r="A87" s="29" t="inlineStr">
        <is>
          <t>Bolt</t>
        </is>
      </c>
      <c r="B87" s="29" t="inlineStr">
        <is>
          <t>Israel</t>
        </is>
      </c>
      <c r="C87" s="30" t="inlineStr">
        <is>
          <t>Tel Aviv Marina → Herzliya Marina</t>
        </is>
      </c>
      <c r="D87" s="31" t="n">
        <v>7</v>
      </c>
      <c r="E87" s="26" t="n">
        <v>130</v>
      </c>
      <c r="F87" s="32" t="inlineStr">
        <is>
          <t>T2</t>
        </is>
      </c>
      <c r="G87" s="32" t="inlineStr">
        <is>
          <t>med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234753</v>
      </c>
      <c r="AH87" s="32" t="n"/>
      <c r="AI87" s="32" t="n"/>
      <c r="AJ87" s="39" t="n">
        <v>0.1</v>
      </c>
      <c r="AK87" s="34">
        <f>IF(AG87="","",AG87*AJ87)</f>
        <v/>
      </c>
      <c r="AL87" s="34">
        <f>IF(OR(AG87="",R87=0),"",MIN(IF(AT87="",9.9E+99,AT87),FLOOR(AK87/R87,1)))</f>
        <v/>
      </c>
      <c r="AM87" s="38">
        <f>IF(AL87="","",AL87*T87)</f>
        <v/>
      </c>
      <c r="AN87" s="36">
        <f>IF(OR(AG87="",R87=0),"",MIN(IF(AT87="",9.9E+99,AT87),AK87/R87))</f>
        <v/>
      </c>
      <c r="AO87" s="38">
        <f>IF(AN87="","",AN87*T87)</f>
        <v/>
      </c>
      <c r="AP87" s="40" t="n"/>
      <c r="AQ87" s="32" t="inlineStr">
        <is>
          <t>Grounded</t>
        </is>
      </c>
      <c r="AR87" s="41" t="n"/>
      <c r="AS87" s="41" t="n"/>
      <c r="AT87" s="42" t="n"/>
      <c r="AU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V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W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X87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Y87" s="44" t="n"/>
    </row>
    <row r="88">
      <c r="A88" s="29" t="inlineStr">
        <is>
          <t>Bolt</t>
        </is>
      </c>
      <c r="B88" s="29" t="inlineStr">
        <is>
          <t>Israel</t>
        </is>
      </c>
      <c r="C88" s="30" t="inlineStr">
        <is>
          <t>Herzliya → Netanya</t>
        </is>
      </c>
      <c r="D88" s="31" t="n">
        <v>10.4</v>
      </c>
      <c r="E88" s="26" t="n">
        <v>130</v>
      </c>
      <c r="F88" s="32" t="inlineStr">
        <is>
          <t>T2</t>
        </is>
      </c>
      <c r="G88" s="32" t="inlineStr">
        <is>
          <t>med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MIN(24,FLOOR(60*service_hr/J88,1))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/>
      <c r="AH88" s="32" t="n"/>
      <c r="AI88" s="32" t="n"/>
      <c r="AJ88" s="39" t="n">
        <v>0.1</v>
      </c>
      <c r="AK88" s="34">
        <f>IF(AG88="","",AG88*AJ88)</f>
        <v/>
      </c>
      <c r="AL88" s="34">
        <f>IF(OR(AG88="",R88=0),"",MIN(IF(AT88="",9.9E+99,AT88),FLOOR(AK88/R88,1)))</f>
        <v/>
      </c>
      <c r="AM88" s="38">
        <f>IF(AL88="","",AL88*T88)</f>
        <v/>
      </c>
      <c r="AN88" s="36">
        <f>IF(OR(AG88="",R88=0),"",MIN(IF(AT88="",9.9E+99,AT88),AK88/R88))</f>
        <v/>
      </c>
      <c r="AO88" s="38">
        <f>IF(AN88="","",AN88*T88)</f>
        <v/>
      </c>
      <c r="AP88" s="40" t="n"/>
      <c r="AQ88" s="32" t="inlineStr">
        <is>
          <t>Estimated</t>
        </is>
      </c>
      <c r="AR88" s="41" t="n"/>
      <c r="AS88" s="41" t="n"/>
      <c r="AT88" s="42" t="n"/>
      <c r="AU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V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W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X88" s="44" t="inlineStr">
        <is>
          <t>PREMIUM/excursion proxy: Tel Aviv-area shared skyline cruise ~$130/person (GetYourGuide, 2026); no scheduled service on this leg.</t>
        </is>
      </c>
      <c r="AY88" s="44" t="n"/>
    </row>
    <row r="89">
      <c r="A89" s="29" t="inlineStr">
        <is>
          <t>Bolt</t>
        </is>
      </c>
      <c r="B89" s="29" t="inlineStr">
        <is>
          <t>Israel</t>
        </is>
      </c>
      <c r="C89" s="30" t="inlineStr">
        <is>
          <t>Ashdod → Ashkelon</t>
        </is>
      </c>
      <c r="D89" s="31" t="n">
        <v>10.4</v>
      </c>
      <c r="E89" s="26" t="n"/>
      <c r="F89" s="32" t="n"/>
      <c r="G89" s="32" t="n"/>
      <c r="H89" s="19" t="n">
        <v>1</v>
      </c>
      <c r="I89" s="33">
        <f>60*D89/cruise_kt</f>
        <v/>
      </c>
      <c r="J89" s="33">
        <f>I89+turn_min+dwell_min</f>
        <v/>
      </c>
      <c r="K89" s="34">
        <f>MIN(24,FLOOR(60*service_hr/J89,1))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142310</v>
      </c>
      <c r="AH89" s="32" t="n"/>
      <c r="AI89" s="32" t="n"/>
      <c r="AJ89" s="39" t="n">
        <v>0.1</v>
      </c>
      <c r="AK89" s="34">
        <f>IF(AG89="","",AG89*AJ89)</f>
        <v/>
      </c>
      <c r="AL89" s="34">
        <f>IF(OR(AG89="",R89=0),"",MIN(IF(AT89="",9.9E+99,AT89),FLOOR(AK89/R89,1)))</f>
        <v/>
      </c>
      <c r="AM89" s="38">
        <f>IF(AL89="","",AL89*T89)</f>
        <v/>
      </c>
      <c r="AN89" s="36">
        <f>IF(OR(AG89="",R89=0),"",MIN(IF(AT89="",9.9E+99,AT89),AK89/R89))</f>
        <v/>
      </c>
      <c r="AO89" s="38">
        <f>IF(AN89="","",AN89*T89)</f>
        <v/>
      </c>
      <c r="AP89" s="40" t="n"/>
      <c r="AQ89" s="32" t="inlineStr">
        <is>
          <t>Grounded</t>
        </is>
      </c>
      <c r="AR89" s="41" t="n"/>
      <c r="AS89" s="41" t="n"/>
      <c r="AT89" s="42" t="n"/>
      <c r="AU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V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W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X89" s="44" t="n"/>
      <c r="AY89" s="44" t="n"/>
    </row>
    <row r="90">
      <c r="A90" s="29" t="inlineStr">
        <is>
          <t>Bolt</t>
        </is>
      </c>
      <c r="B90" s="29" t="inlineStr">
        <is>
          <t>Israel</t>
        </is>
      </c>
      <c r="C90" s="30" t="inlineStr">
        <is>
          <t>Tel Aviv → Netanya</t>
        </is>
      </c>
      <c r="D90" s="31" t="n">
        <v>15.1</v>
      </c>
      <c r="E90" s="26" t="n">
        <v>130</v>
      </c>
      <c r="F90" s="32" t="inlineStr">
        <is>
          <t>T2</t>
        </is>
      </c>
      <c r="G90" s="32" t="inlineStr">
        <is>
          <t>med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MIN(24,FLOOR(60*service_hr/J90,1))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168015</v>
      </c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IF(OR(AG90="",R90=0),"",MIN(IF(AT90="",9.9E+99,AT90),FLOOR(AK90/R90,1)))</f>
        <v/>
      </c>
      <c r="AM90" s="38">
        <f>IF(AL90="","",AL90*T90)</f>
        <v/>
      </c>
      <c r="AN90" s="36">
        <f>IF(OR(AG90="",R90=0),"",MIN(IF(AT90="",9.9E+99,AT90),AK90/R90))</f>
        <v/>
      </c>
      <c r="AO90" s="38">
        <f>IF(AN90="","",AN90*T90)</f>
        <v/>
      </c>
      <c r="AP90" s="40" t="n"/>
      <c r="AQ90" s="32" t="inlineStr">
        <is>
          <t>Grounded</t>
        </is>
      </c>
      <c r="AR90" s="41" t="n"/>
      <c r="AS90" s="41" t="n"/>
      <c r="AT90" s="42" t="n"/>
      <c r="AU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V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W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X90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Y90" s="44" t="n"/>
    </row>
    <row r="91">
      <c r="A91" s="29" t="inlineStr">
        <is>
          <t>Bolt</t>
        </is>
      </c>
      <c r="B91" s="29" t="inlineStr">
        <is>
          <t>Israel</t>
        </is>
      </c>
      <c r="C91" s="30" t="inlineStr">
        <is>
          <t>Tel Aviv → Ashdod</t>
        </is>
      </c>
      <c r="D91" s="31" t="n">
        <v>16.9</v>
      </c>
      <c r="E91" s="26" t="n">
        <v>130</v>
      </c>
      <c r="F91" s="32" t="inlineStr">
        <is>
          <t>T2</t>
        </is>
      </c>
      <c r="G91" s="32" t="inlineStr">
        <is>
          <t>med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MIN(24,FLOOR(60*service_hr/J91,1))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143443</v>
      </c>
      <c r="AH91" s="32" t="n"/>
      <c r="AI91" s="32" t="n"/>
      <c r="AJ91" s="39" t="n">
        <v>0.1</v>
      </c>
      <c r="AK91" s="34">
        <f>IF(AG91="","",AG91*AJ91)</f>
        <v/>
      </c>
      <c r="AL91" s="34">
        <f>IF(OR(AG91="",R91=0),"",MIN(IF(AT91="",9.9E+99,AT91),FLOOR(AK91/R91,1)))</f>
        <v/>
      </c>
      <c r="AM91" s="38">
        <f>IF(AL91="","",AL91*T91)</f>
        <v/>
      </c>
      <c r="AN91" s="36">
        <f>IF(OR(AG91="",R91=0),"",MIN(IF(AT91="",9.9E+99,AT91),AK91/R91))</f>
        <v/>
      </c>
      <c r="AO91" s="38">
        <f>IF(AN91="","",AN91*T91)</f>
        <v/>
      </c>
      <c r="AP91" s="40" t="n"/>
      <c r="AQ91" s="32" t="inlineStr">
        <is>
          <t>Grounded</t>
        </is>
      </c>
      <c r="AR91" s="41" t="n"/>
      <c r="AS91" s="41" t="n"/>
      <c r="AT91" s="42" t="n"/>
      <c r="AU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V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W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X91" s="44" t="inlineStr">
        <is>
          <t>PREMIUM/excursion proxy: Tel Aviv Marina shared skyline cruise ~$130/person (GetYourGuide, 2026). No scheduled TLV-Ashdod water service.</t>
        </is>
      </c>
      <c r="AY91" s="44" t="n"/>
    </row>
    <row r="92">
      <c r="A92" s="29" t="inlineStr">
        <is>
          <t>Bolt</t>
        </is>
      </c>
      <c r="B92" s="29" t="inlineStr">
        <is>
          <t>Israel</t>
        </is>
      </c>
      <c r="C92" s="30" t="inlineStr">
        <is>
          <t>Tel Aviv → Haifa</t>
        </is>
      </c>
      <c r="D92" s="31" t="n">
        <v>45.6</v>
      </c>
      <c r="E92" s="26" t="n">
        <v>130</v>
      </c>
      <c r="F92" s="32" t="inlineStr">
        <is>
          <t>T2</t>
        </is>
      </c>
      <c r="G92" s="32" t="inlineStr">
        <is>
          <t>med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MIN(24,FLOOR(60*service_hr/J92,1))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201092</v>
      </c>
      <c r="AH92" s="32" t="n"/>
      <c r="AI92" s="32" t="n"/>
      <c r="AJ92" s="39" t="n">
        <v>0.1</v>
      </c>
      <c r="AK92" s="34">
        <f>IF(AG92="","",AG92*AJ92)</f>
        <v/>
      </c>
      <c r="AL92" s="34">
        <f>IF(OR(AG92="",R92=0),"",MIN(IF(AT92="",9.9E+99,AT92),FLOOR(AK92/R92,1)))</f>
        <v/>
      </c>
      <c r="AM92" s="38">
        <f>IF(AL92="","",AL92*T92)</f>
        <v/>
      </c>
      <c r="AN92" s="36">
        <f>IF(OR(AG92="",R92=0),"",MIN(IF(AT92="",9.9E+99,AT92),AK92/R92))</f>
        <v/>
      </c>
      <c r="AO92" s="38">
        <f>IF(AN92="","",AN92*T92)</f>
        <v/>
      </c>
      <c r="AP92" s="40" t="n"/>
      <c r="AQ92" s="32" t="inlineStr">
        <is>
          <t>Grounded</t>
        </is>
      </c>
      <c r="AR92" s="41" t="n"/>
      <c r="AS92" s="41" t="n"/>
      <c r="AT92" s="42" t="n"/>
      <c r="AU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V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W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X92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Y92" s="44" t="n"/>
    </row>
    <row r="93">
      <c r="A93" s="29" t="inlineStr">
        <is>
          <t>Bolt</t>
        </is>
      </c>
      <c r="B93" s="29" t="inlineStr">
        <is>
          <t>Italy</t>
        </is>
      </c>
      <c r="C93" s="30" t="inlineStr">
        <is>
          <t>Venice → Lido</t>
        </is>
      </c>
      <c r="D93" s="31" t="n">
        <v>1.5</v>
      </c>
      <c r="E93" s="26" t="n">
        <v>27</v>
      </c>
      <c r="F93" s="32" t="inlineStr">
        <is>
          <t>T2</t>
        </is>
      </c>
      <c r="G93" s="32" t="inlineStr">
        <is>
          <t>med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/>
      <c r="AH93" s="32" t="n"/>
      <c r="AI93" s="32" t="n"/>
      <c r="AJ93" s="39" t="n">
        <v>0.1</v>
      </c>
      <c r="AK93" s="34">
        <f>IF(AG93="","",AG93*AJ93)</f>
        <v/>
      </c>
      <c r="AL93" s="34">
        <f>IF(OR(AG93="",R93=0),"",MIN(IF(AT93="",9.9E+99,AT93),FLOOR(AK93/R93,1)))</f>
        <v/>
      </c>
      <c r="AM93" s="38">
        <f>IF(AL93="","",AL93*T93)</f>
        <v/>
      </c>
      <c r="AN93" s="36">
        <f>IF(OR(AG93="",R93=0),"",MIN(IF(AT93="",9.9E+99,AT93),AK93/R93))</f>
        <v/>
      </c>
      <c r="AO93" s="38">
        <f>IF(AN93="","",AN93*T93)</f>
        <v/>
      </c>
      <c r="AP93" s="40" t="n"/>
      <c r="AQ93" s="32" t="inlineStr">
        <is>
          <t>Estimated</t>
        </is>
      </c>
      <c r="AR93" s="41" t="n"/>
      <c r="AS93" s="41" t="n"/>
      <c r="AT93" s="42" t="n"/>
      <c r="AU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V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W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X93" s="44" t="inlineStr">
        <is>
          <t>PREMIUM tourist tier = ACTV day travelcard EUR 25 (~$27) (covers the Lido lines); premium water-taxi tier higher. Navier models the premium tier, not the EUR 9.50 single.</t>
        </is>
      </c>
      <c r="AY93" s="44" t="n"/>
    </row>
    <row r="94">
      <c r="A94" s="29" t="inlineStr">
        <is>
          <t>Bolt</t>
        </is>
      </c>
      <c r="B94" s="29" t="inlineStr">
        <is>
          <t>Italy</t>
        </is>
      </c>
      <c r="C94" s="30" t="inlineStr">
        <is>
          <t>San Marco → Murano / Burano</t>
        </is>
      </c>
      <c r="D94" s="31" t="n">
        <v>2</v>
      </c>
      <c r="E94" s="26" t="n">
        <v>27</v>
      </c>
      <c r="F94" s="32" t="inlineStr">
        <is>
          <t>T2</t>
        </is>
      </c>
      <c r="G94" s="32" t="inlineStr">
        <is>
          <t>med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1500000</v>
      </c>
      <c r="AH94" s="32" t="n"/>
      <c r="AI94" s="32" t="n"/>
      <c r="AJ94" s="39" t="n">
        <v>0.1</v>
      </c>
      <c r="AK94" s="34">
        <f>IF(AG94="","",AG94*AJ94)</f>
        <v/>
      </c>
      <c r="AL94" s="34">
        <f>IF(OR(AG94="",R94=0),"",MIN(IF(AT94="",9.9E+99,AT94),FLOOR(AK94/R94,1)))</f>
        <v/>
      </c>
      <c r="AM94" s="38">
        <f>IF(AL94="","",AL94*T94)</f>
        <v/>
      </c>
      <c r="AN94" s="36">
        <f>IF(OR(AG94="",R94=0),"",MIN(IF(AT94="",9.9E+99,AT94),AK94/R94))</f>
        <v/>
      </c>
      <c r="AO94" s="38">
        <f>IF(AN94="","",AN94*T94)</f>
        <v/>
      </c>
      <c r="AP94" s="40" t="n"/>
      <c r="AQ94" s="32" t="inlineStr">
        <is>
          <t>Grounded</t>
        </is>
      </c>
      <c r="AR94" s="41" t="n"/>
      <c r="AS94" s="41" t="n"/>
      <c r="AT94" s="42" t="n"/>
      <c r="AU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V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W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X94" s="44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AY94" s="44" t="n"/>
    </row>
    <row r="95">
      <c r="A95" s="29" t="inlineStr">
        <is>
          <t>Bolt</t>
        </is>
      </c>
      <c r="B95" s="29" t="inlineStr">
        <is>
          <t>Italy</t>
        </is>
      </c>
      <c r="C95" s="30" t="inlineStr">
        <is>
          <t>Santa Margherita Ligure → Portofino</t>
        </is>
      </c>
      <c r="D95" s="31" t="n">
        <v>2</v>
      </c>
      <c r="E95" s="26" t="n">
        <v>11.9</v>
      </c>
      <c r="F95" s="32" t="inlineStr">
        <is>
          <t>T2</t>
        </is>
      </c>
      <c r="G95" s="32" t="inlineStr">
        <is>
          <t>med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MIN(24,FLOOR(60*service_hr/J95,1))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200000</v>
      </c>
      <c r="AH95" s="32" t="n"/>
      <c r="AI95" s="32" t="n"/>
      <c r="AJ95" s="39" t="n">
        <v>0.1</v>
      </c>
      <c r="AK95" s="34">
        <f>IF(AG95="","",AG95*AJ95)</f>
        <v/>
      </c>
      <c r="AL95" s="34">
        <f>IF(OR(AG95="",R95=0),"",MIN(IF(AT95="",9.9E+99,AT95),FLOOR(AK95/R95,1)))</f>
        <v/>
      </c>
      <c r="AM95" s="38">
        <f>IF(AL95="","",AL95*T95)</f>
        <v/>
      </c>
      <c r="AN95" s="36">
        <f>IF(OR(AG95="",R95=0),"",MIN(IF(AT95="",9.9E+99,AT95),AK95/R95))</f>
        <v/>
      </c>
      <c r="AO95" s="38">
        <f>IF(AN95="","",AN95*T95)</f>
        <v/>
      </c>
      <c r="AP95" s="40" t="n"/>
      <c r="AQ95" s="32" t="inlineStr">
        <is>
          <t>Grounded</t>
        </is>
      </c>
      <c r="AR95" s="41" t="n"/>
      <c r="AS95" s="41" t="n"/>
      <c r="AT95" s="42" t="n"/>
      <c r="AU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V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W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X95" s="44" t="inlineStr">
        <is>
          <t>PREMIUM scheduled per-seat: Servizio Marittimo del Tigullio Santa Margherita-&gt;Portofino EUR 11 one-way (Rome2Rio) x 1.08 = ~$11.9. Short hop.</t>
        </is>
      </c>
      <c r="AY95" s="44" t="n"/>
    </row>
    <row r="96">
      <c r="A96" s="29" t="inlineStr">
        <is>
          <t>Bolt</t>
        </is>
      </c>
      <c r="B96" s="29" t="inlineStr">
        <is>
          <t>Italy</t>
        </is>
      </c>
      <c r="C96" s="30" t="inlineStr">
        <is>
          <t>Positano → Amalfi</t>
        </is>
      </c>
      <c r="D96" s="31" t="n">
        <v>4</v>
      </c>
      <c r="E96" s="26" t="n">
        <v>11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MIN(24,FLOOR(60*service_hr/J96,1))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200000</v>
      </c>
      <c r="AH96" s="32" t="n"/>
      <c r="AI96" s="32" t="n"/>
      <c r="AJ96" s="39" t="n">
        <v>0.1</v>
      </c>
      <c r="AK96" s="34">
        <f>IF(AG96="","",AG96*AJ96)</f>
        <v/>
      </c>
      <c r="AL96" s="34">
        <f>IF(OR(AG96="",R96=0),"",MIN(IF(AT96="",9.9E+99,AT96),FLOOR(AK96/R96,1)))</f>
        <v/>
      </c>
      <c r="AM96" s="38">
        <f>IF(AL96="","",AL96*T96)</f>
        <v/>
      </c>
      <c r="AN96" s="36">
        <f>IF(OR(AG96="",R96=0),"",MIN(IF(AT96="",9.9E+99,AT96),AK96/R96))</f>
        <v/>
      </c>
      <c r="AO96" s="38">
        <f>IF(AN96="","",AN96*T96)</f>
        <v/>
      </c>
      <c r="AP96" s="40" t="n"/>
      <c r="AQ96" s="32" t="inlineStr">
        <is>
          <t>Grounded</t>
        </is>
      </c>
      <c r="AR96" s="41" t="n"/>
      <c r="AS96" s="41" t="n"/>
      <c r="AT96" s="42" t="n"/>
      <c r="AU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V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W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X96" s="44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AY96" s="44" t="n"/>
    </row>
    <row r="97">
      <c r="A97" s="29" t="inlineStr">
        <is>
          <t>Bolt</t>
        </is>
      </c>
      <c r="B97" s="29" t="inlineStr">
        <is>
          <t>Italy</t>
        </is>
      </c>
      <c r="C97" s="30" t="inlineStr">
        <is>
          <t>Venice Marco Polo → San Marco</t>
        </is>
      </c>
      <c r="D97" s="31" t="n">
        <v>4.2</v>
      </c>
      <c r="E97" s="26" t="n">
        <v>42</v>
      </c>
      <c r="F97" s="32" t="inlineStr">
        <is>
          <t>T2</t>
        </is>
      </c>
      <c r="G97" s="32" t="inlineStr">
        <is>
          <t>med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1777500</v>
      </c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IF(OR(AG97="",R97=0),"",MIN(IF(AT97="",9.9E+99,AT97),FLOOR(AK97/R97,1)))</f>
        <v/>
      </c>
      <c r="AM97" s="38">
        <f>IF(AL97="","",AL97*T97)</f>
        <v/>
      </c>
      <c r="AN97" s="36">
        <f>IF(OR(AG97="",R97=0),"",MIN(IF(AT97="",9.9E+99,AT97),AK97/R97))</f>
        <v/>
      </c>
      <c r="AO97" s="38">
        <f>IF(AN97="","",AN97*T97)</f>
        <v/>
      </c>
      <c r="AP97" s="40" t="n"/>
      <c r="AQ97" s="32" t="inlineStr">
        <is>
          <t>Grounded</t>
        </is>
      </c>
      <c r="AR97" s="41" t="n"/>
      <c r="AS97" s="41" t="n"/>
      <c r="AT97" s="42" t="n"/>
      <c r="AU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V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W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X97" s="44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AY97" s="44" t="n"/>
    </row>
    <row r="98">
      <c r="A98" s="29" t="inlineStr">
        <is>
          <t>Bolt</t>
        </is>
      </c>
      <c r="B98" s="29" t="inlineStr">
        <is>
          <t>Italy</t>
        </is>
      </c>
      <c r="C98" s="30" t="inlineStr">
        <is>
          <t>Capri → Positano</t>
        </is>
      </c>
      <c r="D98" s="31" t="n">
        <v>9</v>
      </c>
      <c r="E98" s="26" t="n">
        <v>31</v>
      </c>
      <c r="F98" s="32" t="inlineStr">
        <is>
          <t>T2</t>
        </is>
      </c>
      <c r="G98" s="32" t="inlineStr">
        <is>
          <t>med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/>
      <c r="AH98" s="32" t="n"/>
      <c r="AI98" s="32" t="n"/>
      <c r="AJ98" s="39" t="n">
        <v>0.1</v>
      </c>
      <c r="AK98" s="34">
        <f>IF(AG98="","",AG98*AJ98)</f>
        <v/>
      </c>
      <c r="AL98" s="34">
        <f>IF(OR(AG98="",R98=0),"",MIN(IF(AT98="",9.9E+99,AT98),FLOOR(AK98/R98,1)))</f>
        <v/>
      </c>
      <c r="AM98" s="38">
        <f>IF(AL98="","",AL98*T98)</f>
        <v/>
      </c>
      <c r="AN98" s="36">
        <f>IF(OR(AG98="",R98=0),"",MIN(IF(AT98="",9.9E+99,AT98),AK98/R98))</f>
        <v/>
      </c>
      <c r="AO98" s="38">
        <f>IF(AN98="","",AN98*T98)</f>
        <v/>
      </c>
      <c r="AP98" s="40" t="n"/>
      <c r="AQ98" s="32" t="inlineStr">
        <is>
          <t>Estimated</t>
        </is>
      </c>
      <c r="AR98" s="41" t="n"/>
      <c r="AS98" s="41" t="n"/>
      <c r="AT98" s="42" t="n"/>
      <c r="AU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V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W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X98" s="44" t="inlineStr">
        <is>
          <t>PREMIUM scheduled per-seat: Capri-&gt;Positano fast ferry from ~EUR 28-29 one-way (positano.com / capri.com) x 1.08 = ~$31.</t>
        </is>
      </c>
      <c r="AY98" s="44" t="n"/>
    </row>
    <row r="99">
      <c r="A99" s="29" t="inlineStr">
        <is>
          <t>Bolt</t>
        </is>
      </c>
      <c r="B99" s="29" t="inlineStr">
        <is>
          <t>Italy</t>
        </is>
      </c>
      <c r="C99" s="30" t="inlineStr">
        <is>
          <t>Sorrento → Capri</t>
        </is>
      </c>
      <c r="D99" s="31" t="n">
        <v>9.5</v>
      </c>
      <c r="E99" s="26" t="n">
        <v>28</v>
      </c>
      <c r="F99" s="32" t="inlineStr">
        <is>
          <t>T2</t>
        </is>
      </c>
      <c r="G99" s="32" t="inlineStr">
        <is>
          <t>med</t>
        </is>
      </c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575000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IF(OR(AG99="",R99=0),"",MIN(IF(AT99="",9.9E+99,AT99),FLOOR(AK99/R99,1)))</f>
        <v/>
      </c>
      <c r="AM99" s="38">
        <f>IF(AL99="","",AL99*T99)</f>
        <v/>
      </c>
      <c r="AN99" s="36">
        <f>IF(OR(AG99="",R99=0),"",MIN(IF(AT99="",9.9E+99,AT99),AK99/R99))</f>
        <v/>
      </c>
      <c r="AO99" s="38">
        <f>IF(AN99="","",AN99*T99)</f>
        <v/>
      </c>
      <c r="AP99" s="40" t="n"/>
      <c r="AQ99" s="32" t="inlineStr">
        <is>
          <t>Grounded</t>
        </is>
      </c>
      <c r="AR99" s="41" t="n"/>
      <c r="AS99" s="41" t="n"/>
      <c r="AT99" s="42" t="n"/>
      <c r="AU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V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W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X99" s="44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AY99" s="44" t="n"/>
    </row>
    <row r="100">
      <c r="A100" s="29" t="inlineStr">
        <is>
          <t>Bolt</t>
        </is>
      </c>
      <c r="B100" s="29" t="inlineStr">
        <is>
          <t>Italy</t>
        </is>
      </c>
      <c r="C100" s="30" t="inlineStr">
        <is>
          <t>Naples → Procida</t>
        </is>
      </c>
      <c r="D100" s="31" t="n">
        <v>12</v>
      </c>
      <c r="E100" s="26" t="n">
        <v>22</v>
      </c>
      <c r="F100" s="32" t="inlineStr">
        <is>
          <t>T2</t>
        </is>
      </c>
      <c r="G100" s="32" t="inlineStr">
        <is>
          <t>med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240000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IF(OR(AG100="",R100=0),"",MIN(IF(AT100="",9.9E+99,AT100),FLOOR(AK100/R100,1)))</f>
        <v/>
      </c>
      <c r="AM100" s="38">
        <f>IF(AL100="","",AL100*T100)</f>
        <v/>
      </c>
      <c r="AN100" s="36">
        <f>IF(OR(AG100="",R100=0),"",MIN(IF(AT100="",9.9E+99,AT100),AK100/R100))</f>
        <v/>
      </c>
      <c r="AO100" s="38">
        <f>IF(AN100="","",AN100*T100)</f>
        <v/>
      </c>
      <c r="AP100" s="40" t="n"/>
      <c r="AQ100" s="32" t="inlineStr">
        <is>
          <t>Grounded</t>
        </is>
      </c>
      <c r="AR100" s="41" t="n"/>
      <c r="AS100" s="41" t="n"/>
      <c r="AT100" s="42" t="n"/>
      <c r="AU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V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W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X100" s="44" t="inlineStr">
        <is>
          <t>PREMIUM scheduled per-seat = Caremar/SNAV hydrofoil Napoli(Beverello)-&gt;Procida ~EUR 19-22 one-way (visitprocida.com EUR 19-22; ferryhopper EUR 21.90) x 1.08 = ~$22.</t>
        </is>
      </c>
      <c r="AY100" s="44" t="n"/>
    </row>
    <row r="101">
      <c r="A101" s="29" t="inlineStr">
        <is>
          <t>Bolt</t>
        </is>
      </c>
      <c r="B101" s="29" t="inlineStr">
        <is>
          <t>Italy</t>
        </is>
      </c>
      <c r="C101" s="30" t="inlineStr">
        <is>
          <t>Como → Bellagio</t>
        </is>
      </c>
      <c r="D101" s="31" t="n">
        <v>14</v>
      </c>
      <c r="E101" s="26" t="n">
        <v>13</v>
      </c>
      <c r="F101" s="32" t="inlineStr">
        <is>
          <t>T2</t>
        </is>
      </c>
      <c r="G101" s="32" t="inlineStr">
        <is>
          <t>med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MIN(24,FLOOR(60*service_hr/J101,1))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112000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IF(OR(AG101="",R101=0),"",MIN(IF(AT101="",9.9E+99,AT101),FLOOR(AK101/R101,1)))</f>
        <v/>
      </c>
      <c r="AM101" s="38">
        <f>IF(AL101="","",AL101*T101)</f>
        <v/>
      </c>
      <c r="AN101" s="36">
        <f>IF(OR(AG101="",R101=0),"",MIN(IF(AT101="",9.9E+99,AT101),AK101/R101))</f>
        <v/>
      </c>
      <c r="AO101" s="38">
        <f>IF(AN101="","",AN101*T101)</f>
        <v/>
      </c>
      <c r="AP101" s="40" t="n"/>
      <c r="AQ101" s="32" t="inlineStr">
        <is>
          <t>Grounded</t>
        </is>
      </c>
      <c r="AR101" s="41" t="n"/>
      <c r="AS101" s="41" t="n"/>
      <c r="AT101" s="42" t="n"/>
      <c r="AU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V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W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X101" s="44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AY101" s="44" t="n"/>
    </row>
    <row r="102">
      <c r="A102" s="29" t="inlineStr">
        <is>
          <t>Bolt</t>
        </is>
      </c>
      <c r="B102" s="29" t="inlineStr">
        <is>
          <t>Italy</t>
        </is>
      </c>
      <c r="C102" s="30" t="inlineStr">
        <is>
          <t>Amalfi → Capri</t>
        </is>
      </c>
      <c r="D102" s="31" t="n">
        <v>16</v>
      </c>
      <c r="E102" s="26" t="n">
        <v>33</v>
      </c>
      <c r="F102" s="32" t="inlineStr">
        <is>
          <t>T2</t>
        </is>
      </c>
      <c r="G102" s="32" t="inlineStr">
        <is>
          <t>med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138000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IF(OR(AG102="",R102=0),"",MIN(IF(AT102="",9.9E+99,AT102),FLOOR(AK102/R102,1)))</f>
        <v/>
      </c>
      <c r="AM102" s="38">
        <f>IF(AL102="","",AL102*T102)</f>
        <v/>
      </c>
      <c r="AN102" s="36">
        <f>IF(OR(AG102="",R102=0),"",MIN(IF(AT102="",9.9E+99,AT102),AK102/R102))</f>
        <v/>
      </c>
      <c r="AO102" s="38">
        <f>IF(AN102="","",AN102*T102)</f>
        <v/>
      </c>
      <c r="AP102" s="40" t="n"/>
      <c r="AQ102" s="32" t="inlineStr">
        <is>
          <t>Grounded</t>
        </is>
      </c>
      <c r="AR102" s="41" t="n"/>
      <c r="AS102" s="41" t="n"/>
      <c r="AT102" s="42" t="n"/>
      <c r="AU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V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W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X102" s="44" t="inlineStr">
        <is>
          <t>PREMIUM scheduled per-seat: Amalfi-&gt;Capri fast ferry ~EUR 26-28 one-way (capri.com) + EUR 5 Capri landing = ~EUR 31-33 x 1.08 = ~$33.</t>
        </is>
      </c>
      <c r="AY102" s="44" t="n"/>
    </row>
    <row r="103">
      <c r="A103" s="29" t="inlineStr">
        <is>
          <t>Bolt</t>
        </is>
      </c>
      <c r="B103" s="29" t="inlineStr">
        <is>
          <t>Italy</t>
        </is>
      </c>
      <c r="C103" s="30" t="inlineStr">
        <is>
          <t>Naples → Sorrento</t>
        </is>
      </c>
      <c r="D103" s="31" t="n">
        <v>16</v>
      </c>
      <c r="E103" s="26" t="n"/>
      <c r="F103" s="32" t="n"/>
      <c r="G103" s="32" t="n"/>
      <c r="H103" s="19" t="n">
        <v>1</v>
      </c>
      <c r="I103" s="33">
        <f>60*D103/cruise_kt</f>
        <v/>
      </c>
      <c r="J103" s="33">
        <f>I103+turn_min+dwell_min</f>
        <v/>
      </c>
      <c r="K103" s="34">
        <f>MIN(24,FLOOR(60*service_hr/J103,1))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>
        <v>200000</v>
      </c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IF(OR(AG103="",R103=0),"",MIN(IF(AT103="",9.9E+99,AT103),FLOOR(AK103/R103,1)))</f>
        <v/>
      </c>
      <c r="AM103" s="38">
        <f>IF(AL103="","",AL103*T103)</f>
        <v/>
      </c>
      <c r="AN103" s="36">
        <f>IF(OR(AG103="",R103=0),"",MIN(IF(AT103="",9.9E+99,AT103),AK103/R103))</f>
        <v/>
      </c>
      <c r="AO103" s="38">
        <f>IF(AN103="","",AN103*T103)</f>
        <v/>
      </c>
      <c r="AP103" s="40" t="n"/>
      <c r="AQ103" s="32" t="inlineStr">
        <is>
          <t>Grounded</t>
        </is>
      </c>
      <c r="AR103" s="41" t="n"/>
      <c r="AS103" s="41" t="n"/>
      <c r="AT103" s="42" t="n"/>
      <c r="AU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V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W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X103" s="44" t="n"/>
      <c r="AY103" s="44" t="n"/>
    </row>
    <row r="104">
      <c r="A104" s="29" t="inlineStr">
        <is>
          <t>Bolt</t>
        </is>
      </c>
      <c r="B104" s="29" t="inlineStr">
        <is>
          <t>Italy</t>
        </is>
      </c>
      <c r="C104" s="30" t="inlineStr">
        <is>
          <t>Naples → Capri</t>
        </is>
      </c>
      <c r="D104" s="31" t="n">
        <v>17</v>
      </c>
      <c r="E104" s="26" t="n">
        <v>32</v>
      </c>
      <c r="F104" s="32" t="inlineStr">
        <is>
          <t>T2</t>
        </is>
      </c>
      <c r="G104" s="32" t="inlineStr">
        <is>
          <t>med</t>
        </is>
      </c>
      <c r="H104" s="19" t="n">
        <v>1</v>
      </c>
      <c r="I104" s="33">
        <f>60*D104/cruise_kt</f>
        <v/>
      </c>
      <c r="J104" s="33">
        <f>I104+turn_min+dwell_min</f>
        <v/>
      </c>
      <c r="K104" s="34">
        <f>MIN(15,FLOOR(60*service_hr/J104,1))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1265000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IF(OR(AG104="",R104=0),"",MIN(IF(AT104="",9.9E+99,AT104),FLOOR(AK104/R104,1)))</f>
        <v/>
      </c>
      <c r="AM104" s="38">
        <f>IF(AL104="","",AL104*T104)</f>
        <v/>
      </c>
      <c r="AN104" s="36">
        <f>IF(OR(AG104="",R104=0),"",MIN(IF(AT104="",9.9E+99,AT104),AK104/R104))</f>
        <v/>
      </c>
      <c r="AO104" s="38">
        <f>IF(AN104="","",AN104*T104)</f>
        <v/>
      </c>
      <c r="AP104" s="40" t="n"/>
      <c r="AQ104" s="32" t="inlineStr">
        <is>
          <t>Grounded</t>
        </is>
      </c>
      <c r="AR104" s="41" t="n"/>
      <c r="AS104" s="41" t="n"/>
      <c r="AT104" s="42" t="n"/>
      <c r="AU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V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W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X104" s="44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AY104" s="44" t="n"/>
    </row>
    <row r="105">
      <c r="A105" s="29" t="inlineStr">
        <is>
          <t>Bolt</t>
        </is>
      </c>
      <c r="B105" s="29" t="inlineStr">
        <is>
          <t>Italy</t>
        </is>
      </c>
      <c r="C105" s="30" t="inlineStr">
        <is>
          <t>Naples → Ischia</t>
        </is>
      </c>
      <c r="D105" s="31" t="n">
        <v>18</v>
      </c>
      <c r="E105" s="26" t="n">
        <v>25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MIN(15,FLOOR(60*service_hr/J105,1))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>
        <v>675000</v>
      </c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IF(OR(AG105="",R105=0),"",MIN(IF(AT105="",9.9E+99,AT105),FLOOR(AK105/R105,1)))</f>
        <v/>
      </c>
      <c r="AM105" s="38">
        <f>IF(AL105="","",AL105*T105)</f>
        <v/>
      </c>
      <c r="AN105" s="36">
        <f>IF(OR(AG105="",R105=0),"",MIN(IF(AT105="",9.9E+99,AT105),AK105/R105))</f>
        <v/>
      </c>
      <c r="AO105" s="38">
        <f>IF(AN105="","",AN105*T105)</f>
        <v/>
      </c>
      <c r="AP105" s="40" t="n"/>
      <c r="AQ105" s="32" t="inlineStr">
        <is>
          <t>Grounded</t>
        </is>
      </c>
      <c r="AR105" s="41" t="n"/>
      <c r="AS105" s="41" t="n"/>
      <c r="AT105" s="42" t="n"/>
      <c r="AU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V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W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X105" s="44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AY105" s="44" t="n"/>
    </row>
    <row r="106">
      <c r="A106" s="29" t="inlineStr">
        <is>
          <t>Bolt</t>
        </is>
      </c>
      <c r="B106" s="29" t="inlineStr">
        <is>
          <t>Italy</t>
        </is>
      </c>
      <c r="C106" s="30" t="inlineStr">
        <is>
          <t>Portofino → Cinque Terre</t>
        </is>
      </c>
      <c r="D106" s="31" t="n">
        <v>22</v>
      </c>
      <c r="E106" s="26" t="n">
        <v>37.8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MIN(15,FLOOR(60*service_hr/J106,1))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40000</v>
      </c>
      <c r="AH106" s="32" t="n"/>
      <c r="AI106" s="32" t="n"/>
      <c r="AJ106" s="39" t="n">
        <v>0.1</v>
      </c>
      <c r="AK106" s="34">
        <f>IF(AG106="","",AG106*AJ106)</f>
        <v/>
      </c>
      <c r="AL106" s="34">
        <f>IF(OR(AG106="",R106=0),"",MIN(IF(AT106="",9.9E+99,AT106),FLOOR(AK106/R106,1)))</f>
        <v/>
      </c>
      <c r="AM106" s="38">
        <f>IF(AL106="","",AL106*T106)</f>
        <v/>
      </c>
      <c r="AN106" s="36">
        <f>IF(OR(AG106="",R106=0),"",MIN(IF(AT106="",9.9E+99,AT106),AK106/R106))</f>
        <v/>
      </c>
      <c r="AO106" s="38">
        <f>IF(AN106="","",AN106*T106)</f>
        <v/>
      </c>
      <c r="AP106" s="40" t="n"/>
      <c r="AQ106" s="32" t="inlineStr">
        <is>
          <t>Grounded</t>
        </is>
      </c>
      <c r="AR106" s="41" t="n"/>
      <c r="AS106" s="41" t="n"/>
      <c r="AT106" s="42" t="n"/>
      <c r="AU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V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W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X106" s="44" t="inlineStr">
        <is>
          <t>PREMIUM scheduled per-seat: Golfo Paradiso Portofino-&gt;Cinque Terre EUR 35 one-way (A/R EUR 50) x 1.08 = ~$37.8.</t>
        </is>
      </c>
      <c r="AY106" s="44" t="n"/>
    </row>
    <row r="107">
      <c r="A107" s="29" t="inlineStr">
        <is>
          <t>Bolt</t>
        </is>
      </c>
      <c r="B107" s="29" t="inlineStr">
        <is>
          <t>Lebanon</t>
        </is>
      </c>
      <c r="C107" s="30" t="inlineStr">
        <is>
          <t>Jounieh → Byblos (Jbeil)</t>
        </is>
      </c>
      <c r="D107" s="31" t="n">
        <v>8.4</v>
      </c>
      <c r="E107" s="26" t="n">
        <v>55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MIN(24,FLOOR(60*service_hr/J107,1))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/>
      <c r="AH107" s="32" t="n"/>
      <c r="AI107" s="32" t="n"/>
      <c r="AJ107" s="39" t="n">
        <v>0.1</v>
      </c>
      <c r="AK107" s="34">
        <f>IF(AG107="","",AG107*AJ107)</f>
        <v/>
      </c>
      <c r="AL107" s="34">
        <f>IF(OR(AG107="",R107=0),"",MIN(IF(AT107="",9.9E+99,AT107),FLOOR(AK107/R107,1)))</f>
        <v/>
      </c>
      <c r="AM107" s="38">
        <f>IF(AL107="","",AL107*T107)</f>
        <v/>
      </c>
      <c r="AN107" s="36">
        <f>IF(OR(AG107="",R107=0),"",MIN(IF(AT107="",9.9E+99,AT107),AK107/R107))</f>
        <v/>
      </c>
      <c r="AO107" s="38">
        <f>IF(AN107="","",AN107*T107)</f>
        <v/>
      </c>
      <c r="AP107" s="40" t="n"/>
      <c r="AQ107" s="32" t="inlineStr">
        <is>
          <t>Estimated</t>
        </is>
      </c>
      <c r="AR107" s="41" t="n"/>
      <c r="AS107" s="41" t="n"/>
      <c r="AT107" s="42" t="n"/>
      <c r="AU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V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W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X107" s="44" t="inlineStr">
        <is>
          <t>PREMIUM/excursion proxy: shared Lebanese-coast sea cruise ~$55/seat (Zingy Ride). No scheduled service.</t>
        </is>
      </c>
      <c r="AY107" s="44" t="n"/>
    </row>
    <row r="108">
      <c r="A108" s="29" t="inlineStr">
        <is>
          <t>Bolt</t>
        </is>
      </c>
      <c r="B108" s="29" t="inlineStr">
        <is>
          <t>Lebanon</t>
        </is>
      </c>
      <c r="C108" s="30" t="inlineStr">
        <is>
          <t>Beirut Marina (Zaitunay Bay) → Jounieh</t>
        </is>
      </c>
      <c r="D108" s="31" t="n">
        <v>11</v>
      </c>
      <c r="E108" s="26" t="n">
        <v>55</v>
      </c>
      <c r="F108" s="32" t="inlineStr">
        <is>
          <t>T2</t>
        </is>
      </c>
      <c r="G108" s="32" t="inlineStr">
        <is>
          <t>med</t>
        </is>
      </c>
      <c r="H108" s="19" t="n">
        <v>1</v>
      </c>
      <c r="I108" s="33">
        <f>60*D108/cruise_kt</f>
        <v/>
      </c>
      <c r="J108" s="33">
        <f>I108+turn_min+dwell_min</f>
        <v/>
      </c>
      <c r="K108" s="34">
        <f>MIN(15,FLOOR(60*service_hr/J108,1))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6132000</v>
      </c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IF(OR(AG108="",R108=0),"",MIN(IF(AT108="",9.9E+99,AT108),FLOOR(AK108/R108,1)))</f>
        <v/>
      </c>
      <c r="AM108" s="38">
        <f>IF(AL108="","",AL108*T108)</f>
        <v/>
      </c>
      <c r="AN108" s="36">
        <f>IF(OR(AG108="",R108=0),"",MIN(IF(AT108="",9.9E+99,AT108),AK108/R108))</f>
        <v/>
      </c>
      <c r="AO108" s="38">
        <f>IF(AN108="","",AN108*T108)</f>
        <v/>
      </c>
      <c r="AP108" s="40" t="n"/>
      <c r="AQ108" s="32" t="inlineStr">
        <is>
          <t>Grounded</t>
        </is>
      </c>
      <c r="AR108" s="41" t="n"/>
      <c r="AS108" s="41" t="n"/>
      <c r="AT108" s="42" t="n"/>
      <c r="AU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V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W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X108" s="44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AY108" s="44" t="n"/>
    </row>
    <row r="109">
      <c r="A109" s="29" t="inlineStr">
        <is>
          <t>Bolt</t>
        </is>
      </c>
      <c r="B109" s="29" t="inlineStr">
        <is>
          <t>Lebanon</t>
        </is>
      </c>
      <c r="C109" s="30" t="inlineStr">
        <is>
          <t>Beirut → Byblos (Jbeil)</t>
        </is>
      </c>
      <c r="D109" s="31" t="n">
        <v>15</v>
      </c>
      <c r="E109" s="26" t="n">
        <v>55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MIN(24,FLOOR(60*service_hr/J109,1))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/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IF(OR(AG109="",R109=0),"",MIN(IF(AT109="",9.9E+99,AT109),FLOOR(AK109/R109,1)))</f>
        <v/>
      </c>
      <c r="AM109" s="38">
        <f>IF(AL109="","",AL109*T109)</f>
        <v/>
      </c>
      <c r="AN109" s="36">
        <f>IF(OR(AG109="",R109=0),"",MIN(IF(AT109="",9.9E+99,AT109),AK109/R109))</f>
        <v/>
      </c>
      <c r="AO109" s="38">
        <f>IF(AN109="","",AN109*T109)</f>
        <v/>
      </c>
      <c r="AP109" s="40" t="n"/>
      <c r="AQ109" s="32" t="inlineStr">
        <is>
          <t>Estimated</t>
        </is>
      </c>
      <c r="AR109" s="41" t="n"/>
      <c r="AS109" s="41" t="n"/>
      <c r="AT109" s="42" t="n"/>
      <c r="AU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V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W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X109" s="44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AY109" s="44" t="n"/>
    </row>
    <row r="110">
      <c r="A110" s="29" t="inlineStr">
        <is>
          <t>Bolt</t>
        </is>
      </c>
      <c r="B110" s="29" t="inlineStr">
        <is>
          <t>Lebanon</t>
        </is>
      </c>
      <c r="C110" s="30" t="inlineStr">
        <is>
          <t>Beirut → Sidon (Saida)</t>
        </is>
      </c>
      <c r="D110" s="31" t="n">
        <v>22</v>
      </c>
      <c r="E110" s="26" t="n">
        <v>55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MIN(24,FLOOR(60*service_hr/J110,1))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2207520</v>
      </c>
      <c r="AH110" s="32" t="n"/>
      <c r="AI110" s="32" t="n"/>
      <c r="AJ110" s="39" t="n">
        <v>0.1</v>
      </c>
      <c r="AK110" s="34">
        <f>IF(AG110="","",AG110*AJ110)</f>
        <v/>
      </c>
      <c r="AL110" s="34">
        <f>IF(OR(AG110="",R110=0),"",MIN(IF(AT110="",9.9E+99,AT110),FLOOR(AK110/R110,1)))</f>
        <v/>
      </c>
      <c r="AM110" s="38">
        <f>IF(AL110="","",AL110*T110)</f>
        <v/>
      </c>
      <c r="AN110" s="36">
        <f>IF(OR(AG110="",R110=0),"",MIN(IF(AT110="",9.9E+99,AT110),AK110/R110))</f>
        <v/>
      </c>
      <c r="AO110" s="38">
        <f>IF(AN110="","",AN110*T110)</f>
        <v/>
      </c>
      <c r="AP110" s="40" t="n"/>
      <c r="AQ110" s="32" t="inlineStr">
        <is>
          <t>Grounded</t>
        </is>
      </c>
      <c r="AR110" s="41" t="n"/>
      <c r="AS110" s="41" t="n"/>
      <c r="AT110" s="42" t="n"/>
      <c r="AU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V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W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X110" s="44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AY110" s="44" t="n"/>
    </row>
    <row r="111">
      <c r="A111" s="29" t="inlineStr">
        <is>
          <t>Bolt</t>
        </is>
      </c>
      <c r="B111" s="29" t="inlineStr">
        <is>
          <t>Lebanon</t>
        </is>
      </c>
      <c r="C111" s="30" t="inlineStr">
        <is>
          <t>Beirut → Tripoli (El Mina)</t>
        </is>
      </c>
      <c r="D111" s="31" t="n">
        <v>36.5</v>
      </c>
      <c r="E111" s="26" t="n"/>
      <c r="F111" s="32" t="n"/>
      <c r="G111" s="32" t="n"/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IF(OR(AG111="",R111=0),"",MIN(IF(AT111="",9.9E+99,AT111),FLOOR(AK111/R111,1)))</f>
        <v/>
      </c>
      <c r="AM111" s="38">
        <f>IF(AL111="","",AL111*T111)</f>
        <v/>
      </c>
      <c r="AN111" s="36">
        <f>IF(OR(AG111="",R111=0),"",MIN(IF(AT111="",9.9E+99,AT111),AK111/R111))</f>
        <v/>
      </c>
      <c r="AO111" s="38">
        <f>IF(AN111="","",AN111*T111)</f>
        <v/>
      </c>
      <c r="AP111" s="40" t="n"/>
      <c r="AQ111" s="32" t="inlineStr">
        <is>
          <t>Estimated</t>
        </is>
      </c>
      <c r="AR111" s="41" t="n"/>
      <c r="AS111" s="41" t="n"/>
      <c r="AT111" s="42" t="n"/>
      <c r="AU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V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W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X111" s="44" t="n"/>
      <c r="AY111" s="44" t="n"/>
    </row>
    <row r="112">
      <c r="A112" s="29" t="inlineStr">
        <is>
          <t>Bolt</t>
        </is>
      </c>
      <c r="B112" s="29" t="inlineStr">
        <is>
          <t>Portugal</t>
        </is>
      </c>
      <c r="C112" s="30" t="inlineStr">
        <is>
          <t>Porto (Cais da Ribeira) → Vila Nova de Gaia (Cais de Gaia)</t>
        </is>
      </c>
      <c r="D112" s="31" t="n">
        <v>0.2</v>
      </c>
      <c r="E112" s="26" t="n">
        <v>17.8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MIN(15,FLOOR(60*service_hr/J112,1))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>
        <v>1200000</v>
      </c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IF(OR(AG112="",R112=0),"",MIN(IF(AT112="",9.9E+99,AT112),FLOOR(AK112/R112,1)))</f>
        <v/>
      </c>
      <c r="AM112" s="38">
        <f>IF(AL112="","",AL112*T112)</f>
        <v/>
      </c>
      <c r="AN112" s="36">
        <f>IF(OR(AG112="",R112=0),"",MIN(IF(AT112="",9.9E+99,AT112),AK112/R112))</f>
        <v/>
      </c>
      <c r="AO112" s="38">
        <f>IF(AN112="","",AN112*T112)</f>
        <v/>
      </c>
      <c r="AP112" s="40" t="n"/>
      <c r="AQ112" s="32" t="inlineStr">
        <is>
          <t>Grounded</t>
        </is>
      </c>
      <c r="AR112" s="41" t="n"/>
      <c r="AS112" s="41" t="n"/>
      <c r="AT112" s="42" t="n"/>
      <c r="AU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V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W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X112" s="44" t="inlineStr">
        <is>
          <t>PREMIUM tourist tier: the standard Douro '6 Bridges' panoramic cruise per-seat is ~EUR 15-18 (Tomaz do Douro / Portugal by Wine / GetYourGuide), ~50 min -&gt; ~$17.8.</t>
        </is>
      </c>
      <c r="AY112" s="44" t="n"/>
    </row>
    <row r="113">
      <c r="A113" s="29" t="inlineStr">
        <is>
          <t>Bolt</t>
        </is>
      </c>
      <c r="B113" s="29" t="inlineStr">
        <is>
          <t>Portugal</t>
        </is>
      </c>
      <c r="C113" s="30" t="inlineStr">
        <is>
          <t>Vila Real de Santo Antonio (Portugal) → Ayamonte (Spain)</t>
        </is>
      </c>
      <c r="D113" s="31" t="n">
        <v>0.8</v>
      </c>
      <c r="E113" s="26" t="n">
        <v>18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MIN(15,FLOOR(60*service_hr/J113,1))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IF(OR(AG113="",R113=0),"",MIN(IF(AT113="",9.9E+99,AT113),FLOOR(AK113/R113,1)))</f>
        <v/>
      </c>
      <c r="AM113" s="38">
        <f>IF(AL113="","",AL113*T113)</f>
        <v/>
      </c>
      <c r="AN113" s="36">
        <f>IF(OR(AG113="",R113=0),"",MIN(IF(AT113="",9.9E+99,AT113),AK113/R113))</f>
        <v/>
      </c>
      <c r="AO113" s="38">
        <f>IF(AN113="","",AN113*T113)</f>
        <v/>
      </c>
      <c r="AP113" s="40" t="n"/>
      <c r="AQ113" s="32" t="inlineStr">
        <is>
          <t>Estimated</t>
        </is>
      </c>
      <c r="AR113" s="41" t="n"/>
      <c r="AS113" s="41" t="n"/>
      <c r="AT113" s="42" t="n"/>
      <c r="AU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V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W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X113" s="44" t="inlineStr">
        <is>
          <t>[LB-255 PREMIUM RE-FARE: subsidized comparable $5.0 lifted to premium on-demand floor $18.0] Scheduled cross-border ferry fare EUR 2-7 one-way (Rome2Rio / TFG) -&gt; mid ~$5.</t>
        </is>
      </c>
      <c r="AY113" s="44" t="n"/>
    </row>
    <row r="114">
      <c r="A114" s="29" t="inlineStr">
        <is>
          <t>Bolt</t>
        </is>
      </c>
      <c r="B114" s="29" t="inlineStr">
        <is>
          <t>Portugal</t>
        </is>
      </c>
      <c r="C114" s="30" t="inlineStr">
        <is>
          <t>Lagos → Ponta da Piedade</t>
        </is>
      </c>
      <c r="D114" s="31" t="n">
        <v>1.2</v>
      </c>
      <c r="E114" s="26" t="n">
        <v>24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MIN(15,FLOOR(60*service_hr/J114,1))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IF(OR(AG114="",R114=0),"",MIN(IF(AT114="",9.9E+99,AT114),FLOOR(AK114/R114,1)))</f>
        <v/>
      </c>
      <c r="AM114" s="38">
        <f>IF(AL114="","",AL114*T114)</f>
        <v/>
      </c>
      <c r="AN114" s="36">
        <f>IF(OR(AG114="",R114=0),"",MIN(IF(AT114="",9.9E+99,AT114),AK114/R114))</f>
        <v/>
      </c>
      <c r="AO114" s="38">
        <f>IF(AN114="","",AN114*T114)</f>
        <v/>
      </c>
      <c r="AP114" s="40" t="n"/>
      <c r="AQ114" s="32" t="inlineStr">
        <is>
          <t>Estimated</t>
        </is>
      </c>
      <c r="AR114" s="41" t="n"/>
      <c r="AS114" s="41" t="n"/>
      <c r="AT114" s="42" t="n"/>
      <c r="AU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V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W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X114" s="44" t="inlineStr">
        <is>
          <t>PREMIUM tier: standard Ponta da Piedade grotto boat trip ~EUR 20-25 per seat (Tripadvisor/GetYourGuide; ~$20-25) -&gt; ~$24.</t>
        </is>
      </c>
      <c r="AY114" s="44" t="n"/>
    </row>
    <row r="115">
      <c r="A115" s="29" t="inlineStr">
        <is>
          <t>Bolt</t>
        </is>
      </c>
      <c r="B115" s="29" t="inlineStr">
        <is>
          <t>Portugal</t>
        </is>
      </c>
      <c r="C115" s="30" t="inlineStr">
        <is>
          <t>Cais do Sodré (Lisbon) → Cacilhas (Almada)</t>
        </is>
      </c>
      <c r="D115" s="31" t="n">
        <v>1.5</v>
      </c>
      <c r="E115" s="26" t="n">
        <v>18</v>
      </c>
      <c r="F115" s="32" t="inlineStr">
        <is>
          <t>T2</t>
        </is>
      </c>
      <c r="G115" s="32" t="inlineStr">
        <is>
          <t>med</t>
        </is>
      </c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>
        <v>750337</v>
      </c>
      <c r="AH115" s="32" t="n"/>
      <c r="AI115" s="32" t="inlineStr">
        <is>
          <t>med</t>
        </is>
      </c>
      <c r="AJ115" s="39" t="n">
        <v>0.25</v>
      </c>
      <c r="AK115" s="34">
        <f>IF(AG115="","",AG115*AJ115)</f>
        <v/>
      </c>
      <c r="AL115" s="34">
        <f>IF(OR(AG115="",R115=0),"",MIN(IF(AT115="",9.9E+99,AT115),FLOOR(AK115/R115,1)))</f>
        <v/>
      </c>
      <c r="AM115" s="38">
        <f>IF(AL115="","",AL115*T115)</f>
        <v/>
      </c>
      <c r="AN115" s="36">
        <f>IF(OR(AG115="",R115=0),"",MIN(IF(AT115="",9.9E+99,AT115),AK115/R115))</f>
        <v/>
      </c>
      <c r="AO115" s="38">
        <f>IF(AN115="","",AN115*T115)</f>
        <v/>
      </c>
      <c r="AP115" s="40" t="n"/>
      <c r="AQ115" s="32" t="inlineStr">
        <is>
          <t>Grounded</t>
        </is>
      </c>
      <c r="AR115" s="41" t="n"/>
      <c r="AS115" s="41" t="n"/>
      <c r="AT115" s="42" t="n"/>
      <c r="AU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V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W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X115" s="44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AY115" s="44" t="n"/>
    </row>
    <row r="116">
      <c r="A116" s="29" t="inlineStr">
        <is>
          <t>Bolt</t>
        </is>
      </c>
      <c r="B116" s="29" t="inlineStr">
        <is>
          <t>Portugal</t>
        </is>
      </c>
      <c r="C116" s="30" t="inlineStr">
        <is>
          <t>Belem (Lisbon) → Trafaria / Porto Brandao (Almada)</t>
        </is>
      </c>
      <c r="D116" s="31" t="n">
        <v>2.4</v>
      </c>
      <c r="E116" s="26" t="n">
        <v>18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MIN(24,FLOOR(60*service_hr/J116,1))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>
        <v>38706</v>
      </c>
      <c r="AH116" s="32" t="n"/>
      <c r="AI116" s="32" t="inlineStr">
        <is>
          <t>med</t>
        </is>
      </c>
      <c r="AJ116" s="39" t="n">
        <v>0.25</v>
      </c>
      <c r="AK116" s="34">
        <f>IF(AG116="","",AG116*AJ116)</f>
        <v/>
      </c>
      <c r="AL116" s="34">
        <f>IF(OR(AG116="",R116=0),"",MIN(IF(AT116="",9.9E+99,AT116),FLOOR(AK116/R116,1)))</f>
        <v/>
      </c>
      <c r="AM116" s="38">
        <f>IF(AL116="","",AL116*T116)</f>
        <v/>
      </c>
      <c r="AN116" s="36">
        <f>IF(OR(AG116="",R116=0),"",MIN(IF(AT116="",9.9E+99,AT116),AK116/R116))</f>
        <v/>
      </c>
      <c r="AO116" s="38">
        <f>IF(AN116="","",AN116*T116)</f>
        <v/>
      </c>
      <c r="AP116" s="40" t="n"/>
      <c r="AQ116" s="32" t="inlineStr">
        <is>
          <t>Grounded</t>
        </is>
      </c>
      <c r="AR116" s="41" t="n"/>
      <c r="AS116" s="41" t="n"/>
      <c r="AT116" s="42" t="n"/>
      <c r="AU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V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W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X116" s="44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AY116" s="44" t="n"/>
    </row>
    <row r="117">
      <c r="A117" s="29" t="inlineStr">
        <is>
          <t>Bolt</t>
        </is>
      </c>
      <c r="B117" s="29" t="inlineStr">
        <is>
          <t>Portugal</t>
        </is>
      </c>
      <c r="C117" s="30" t="inlineStr">
        <is>
          <t>Olhao → Culatra / Farol</t>
        </is>
      </c>
      <c r="D117" s="31" t="n">
        <v>2.7</v>
      </c>
      <c r="E117" s="26" t="n">
        <v>30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IF(OR(AG117="",R117=0),"",MIN(IF(AT117="",9.9E+99,AT117),FLOOR(AK117/R117,1)))</f>
        <v/>
      </c>
      <c r="AM117" s="38">
        <f>IF(AL117="","",AL117*T117)</f>
        <v/>
      </c>
      <c r="AN117" s="36">
        <f>IF(OR(AG117="",R117=0),"",MIN(IF(AT117="",9.9E+99,AT117),AK117/R117))</f>
        <v/>
      </c>
      <c r="AO117" s="38">
        <f>IF(AN117="","",AN117*T117)</f>
        <v/>
      </c>
      <c r="AP117" s="40" t="n"/>
      <c r="AQ117" s="32" t="inlineStr">
        <is>
          <t>Estimated</t>
        </is>
      </c>
      <c r="AR117" s="41" t="n"/>
      <c r="AS117" s="41" t="n"/>
      <c r="AT117" s="42" t="n"/>
      <c r="AU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V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W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X117" s="44" t="inlineStr">
        <is>
          <t>PREMIUM tier: Ria Formosa island-hopping tour Olhao -&gt; Farol/Culatra/Armona ~EUR 25-30 per seat (GetYourGuide) -&gt; ~$30.</t>
        </is>
      </c>
      <c r="AY117" s="44" t="n"/>
    </row>
    <row r="118">
      <c r="A118" s="29" t="inlineStr">
        <is>
          <t>Bolt</t>
        </is>
      </c>
      <c r="B118" s="29" t="inlineStr">
        <is>
          <t>Portugal</t>
        </is>
      </c>
      <c r="C118" s="30" t="inlineStr">
        <is>
          <t>Faro → Ilha Deserta (Barreta)</t>
        </is>
      </c>
      <c r="D118" s="31" t="n">
        <v>3</v>
      </c>
      <c r="E118" s="26" t="n">
        <v>30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MIN(15,FLOOR(60*service_hr/J118,1))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IF(OR(AG118="",R118=0),"",MIN(IF(AT118="",9.9E+99,AT118),FLOOR(AK118/R118,1)))</f>
        <v/>
      </c>
      <c r="AM118" s="38">
        <f>IF(AL118="","",AL118*T118)</f>
        <v/>
      </c>
      <c r="AN118" s="36">
        <f>IF(OR(AG118="",R118=0),"",MIN(IF(AT118="",9.9E+99,AT118),AK118/R118))</f>
        <v/>
      </c>
      <c r="AO118" s="38">
        <f>IF(AN118="","",AN118*T118)</f>
        <v/>
      </c>
      <c r="AP118" s="40" t="n"/>
      <c r="AQ118" s="32" t="inlineStr">
        <is>
          <t>Estimated</t>
        </is>
      </c>
      <c r="AR118" s="41" t="n"/>
      <c r="AS118" s="41" t="n"/>
      <c r="AT118" s="42" t="n"/>
      <c r="AU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V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W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X118" s="44" t="inlineStr">
        <is>
          <t>PREMIUM tier: solar/eco boat tour Faro -&gt; Ilha Deserta ~EUR 28-30 per seat (GetYourGuide / Animaris / Lands eco boat tours) -&gt; ~$30.</t>
        </is>
      </c>
      <c r="AY118" s="44" t="n"/>
    </row>
    <row r="119">
      <c r="A119" s="29" t="inlineStr">
        <is>
          <t>Bolt</t>
        </is>
      </c>
      <c r="B119" s="29" t="inlineStr">
        <is>
          <t>Portugal</t>
        </is>
      </c>
      <c r="C119" s="30" t="inlineStr">
        <is>
          <t>Cais do Sodre (Lisbon) → Seixal</t>
        </is>
      </c>
      <c r="D119" s="31" t="n">
        <v>4.6</v>
      </c>
      <c r="E119" s="26" t="n">
        <v>18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MIN(24,FLOOR(60*service_hr/J119,1))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>
        <v>183931</v>
      </c>
      <c r="AH119" s="32" t="n"/>
      <c r="AI119" s="32" t="inlineStr">
        <is>
          <t>med</t>
        </is>
      </c>
      <c r="AJ119" s="39" t="n">
        <v>0.25</v>
      </c>
      <c r="AK119" s="34">
        <f>IF(AG119="","",AG119*AJ119)</f>
        <v/>
      </c>
      <c r="AL119" s="34">
        <f>IF(OR(AG119="",R119=0),"",MIN(IF(AT119="",9.9E+99,AT119),FLOOR(AK119/R119,1)))</f>
        <v/>
      </c>
      <c r="AM119" s="38">
        <f>IF(AL119="","",AL119*T119)</f>
        <v/>
      </c>
      <c r="AN119" s="36">
        <f>IF(OR(AG119="",R119=0),"",MIN(IF(AT119="",9.9E+99,AT119),AK119/R119))</f>
        <v/>
      </c>
      <c r="AO119" s="38">
        <f>IF(AN119="","",AN119*T119)</f>
        <v/>
      </c>
      <c r="AP119" s="40" t="n"/>
      <c r="AQ119" s="32" t="inlineStr">
        <is>
          <t>Grounded</t>
        </is>
      </c>
      <c r="AR119" s="41" t="n"/>
      <c r="AS119" s="41" t="n"/>
      <c r="AT119" s="42" t="n"/>
      <c r="AU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V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W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X119" s="44" t="inlineStr">
        <is>
          <t>[LB-255 PREMIUM RE-FARE: subsidized comparable $3.02 lifted to premium on-demand floor $18.0] Public-transit adult single Seixal/Cais do Sodre = EUR 2.80 (TTSL 2024 tariff) x1.08 = ~$3.02.</t>
        </is>
      </c>
      <c r="AY119" s="44" t="n"/>
    </row>
    <row r="120">
      <c r="A120" s="29" t="inlineStr">
        <is>
          <t>Bolt</t>
        </is>
      </c>
      <c r="B120" s="29" t="inlineStr">
        <is>
          <t>Portugal</t>
        </is>
      </c>
      <c r="C120" s="30" t="inlineStr">
        <is>
          <t>Terreiro do Paco (Lisbon) → Barreiro</t>
        </is>
      </c>
      <c r="D120" s="31" t="n">
        <v>5</v>
      </c>
      <c r="E120" s="26" t="n">
        <v>18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MIN(24,FLOOR(60*service_hr/J120,1))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>
        <v>1777523</v>
      </c>
      <c r="AH120" s="32" t="n"/>
      <c r="AI120" s="32" t="inlineStr">
        <is>
          <t>med</t>
        </is>
      </c>
      <c r="AJ120" s="39" t="n">
        <v>0.25</v>
      </c>
      <c r="AK120" s="34">
        <f>IF(AG120="","",AG120*AJ120)</f>
        <v/>
      </c>
      <c r="AL120" s="34">
        <f>IF(OR(AG120="",R120=0),"",MIN(IF(AT120="",9.9E+99,AT120),FLOOR(AK120/R120,1)))</f>
        <v/>
      </c>
      <c r="AM120" s="38">
        <f>IF(AL120="","",AL120*T120)</f>
        <v/>
      </c>
      <c r="AN120" s="36">
        <f>IF(OR(AG120="",R120=0),"",MIN(IF(AT120="",9.9E+99,AT120),AK120/R120))</f>
        <v/>
      </c>
      <c r="AO120" s="38">
        <f>IF(AN120="","",AN120*T120)</f>
        <v/>
      </c>
      <c r="AP120" s="40" t="n"/>
      <c r="AQ120" s="32" t="inlineStr">
        <is>
          <t>Grounded</t>
        </is>
      </c>
      <c r="AR120" s="41" t="n"/>
      <c r="AS120" s="41" t="n"/>
      <c r="AT120" s="42" t="n"/>
      <c r="AU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V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W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X120" s="44" t="inlineStr">
        <is>
          <t>[LB-255 PREMIUM RE-FARE: subsidized comparable $3.02 lifted to premium on-demand floor $18.0] Public-transit adult single Barreiro/Terreiro do Paco = EUR 2.80 (TTSL 2024 tariff) x1.08 = ~$3.02.</t>
        </is>
      </c>
      <c r="AY120" s="44" t="n"/>
    </row>
    <row r="121">
      <c r="A121" s="29" t="inlineStr">
        <is>
          <t>Bolt</t>
        </is>
      </c>
      <c r="B121" s="29" t="inlineStr">
        <is>
          <t>Portugal</t>
        </is>
      </c>
      <c r="C121" s="30" t="inlineStr">
        <is>
          <t>Portimao → Benagil</t>
        </is>
      </c>
      <c r="D121" s="31" t="n">
        <v>6</v>
      </c>
      <c r="E121" s="26" t="n">
        <v>45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MIN(15,FLOOR(60*service_hr/J121,1))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/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IF(OR(AG121="",R121=0),"",MIN(IF(AT121="",9.9E+99,AT121),FLOOR(AK121/R121,1)))</f>
        <v/>
      </c>
      <c r="AM121" s="38">
        <f>IF(AL121="","",AL121*T121)</f>
        <v/>
      </c>
      <c r="AN121" s="36">
        <f>IF(OR(AG121="",R121=0),"",MIN(IF(AT121="",9.9E+99,AT121),AK121/R121))</f>
        <v/>
      </c>
      <c r="AO121" s="38">
        <f>IF(AN121="","",AN121*T121)</f>
        <v/>
      </c>
      <c r="AP121" s="40" t="n"/>
      <c r="AQ121" s="32" t="inlineStr">
        <is>
          <t>Estimated</t>
        </is>
      </c>
      <c r="AR121" s="41" t="n"/>
      <c r="AS121" s="41" t="n"/>
      <c r="AT121" s="42" t="n"/>
      <c r="AU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V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W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X121" s="44" t="inlineStr">
        <is>
          <t>PREMIUM tier: Benagil + Marinha boat tour from Portimao ~EUR 35-50 per seat (GetYourGuide ~$40-50; private/luxury much higher) -&gt; ~$45.</t>
        </is>
      </c>
      <c r="AY121" s="44" t="n"/>
    </row>
    <row r="122">
      <c r="A122" s="29" t="inlineStr">
        <is>
          <t>Bolt</t>
        </is>
      </c>
      <c r="B122" s="29" t="inlineStr">
        <is>
          <t>Portugal</t>
        </is>
      </c>
      <c r="C122" s="30" t="inlineStr">
        <is>
          <t>Cais do Sodre (Lisbon) → Montijo</t>
        </is>
      </c>
      <c r="D122" s="31" t="n">
        <v>8.1</v>
      </c>
      <c r="E122" s="26" t="n">
        <v>18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MIN(24,FLOOR(60*service_hr/J122,1))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>
        <v>168383</v>
      </c>
      <c r="AH122" s="32" t="n"/>
      <c r="AI122" s="32" t="inlineStr">
        <is>
          <t>med</t>
        </is>
      </c>
      <c r="AJ122" s="39" t="n">
        <v>0.25</v>
      </c>
      <c r="AK122" s="34">
        <f>IF(AG122="","",AG122*AJ122)</f>
        <v/>
      </c>
      <c r="AL122" s="34">
        <f>IF(OR(AG122="",R122=0),"",MIN(IF(AT122="",9.9E+99,AT122),FLOOR(AK122/R122,1)))</f>
        <v/>
      </c>
      <c r="AM122" s="38">
        <f>IF(AL122="","",AL122*T122)</f>
        <v/>
      </c>
      <c r="AN122" s="36">
        <f>IF(OR(AG122="",R122=0),"",MIN(IF(AT122="",9.9E+99,AT122),AK122/R122))</f>
        <v/>
      </c>
      <c r="AO122" s="38">
        <f>IF(AN122="","",AN122*T122)</f>
        <v/>
      </c>
      <c r="AP122" s="40" t="n"/>
      <c r="AQ122" s="32" t="inlineStr">
        <is>
          <t>Grounded</t>
        </is>
      </c>
      <c r="AR122" s="41" t="n"/>
      <c r="AS122" s="41" t="n"/>
      <c r="AT122" s="42" t="n"/>
      <c r="AU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V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W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X122" s="44" t="inlineStr">
        <is>
          <t>[LB-255 PREMIUM RE-FARE: subsidized comparable $3.4 lifted to premium on-demand floor $18.0] Public-transit adult single Montijo/Cais do Sodre = EUR 3.15 (TTSL 2024 tariff) x1.08 = ~$3.40.</t>
        </is>
      </c>
      <c r="AY122" s="44" t="n"/>
    </row>
    <row r="123">
      <c r="A123" s="29" t="inlineStr">
        <is>
          <t>Bolt</t>
        </is>
      </c>
      <c r="B123" s="29" t="inlineStr">
        <is>
          <t>Portugal</t>
        </is>
      </c>
      <c r="C123" s="30" t="inlineStr">
        <is>
          <t>Cais do Sodre (Lisbon) → Cascais</t>
        </is>
      </c>
      <c r="D123" s="31" t="n">
        <v>13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MIN(24,FLOOR(60*service_hr/J123,1))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>
        <v>1020000</v>
      </c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IF(OR(AG123="",R123=0),"",MIN(IF(AT123="",9.9E+99,AT123),FLOOR(AK123/R123,1)))</f>
        <v/>
      </c>
      <c r="AM123" s="38">
        <f>IF(AL123="","",AL123*T123)</f>
        <v/>
      </c>
      <c r="AN123" s="36">
        <f>IF(OR(AG123="",R123=0),"",MIN(IF(AT123="",9.9E+99,AT123),AK123/R123))</f>
        <v/>
      </c>
      <c r="AO123" s="38">
        <f>IF(AN123="","",AN123*T123)</f>
        <v/>
      </c>
      <c r="AP123" s="40" t="n"/>
      <c r="AQ123" s="32" t="inlineStr">
        <is>
          <t>Grounded</t>
        </is>
      </c>
      <c r="AR123" s="41" t="n"/>
      <c r="AS123" s="41" t="n"/>
      <c r="AT123" s="42" t="n"/>
      <c r="AU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V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W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X123" s="44" t="n"/>
      <c r="AY123" s="44" t="n"/>
    </row>
    <row r="124">
      <c r="A124" s="29" t="inlineStr">
        <is>
          <t>Bolt</t>
        </is>
      </c>
      <c r="B124" s="29" t="inlineStr">
        <is>
          <t>Qatar</t>
        </is>
      </c>
      <c r="C124" s="30" t="inlineStr">
        <is>
          <t>Lusail Marina → The Pearl</t>
        </is>
      </c>
      <c r="D124" s="31" t="n">
        <v>3.5</v>
      </c>
      <c r="E124" s="26" t="n"/>
      <c r="F124" s="32" t="n"/>
      <c r="G124" s="32" t="n"/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IF(OR(AG124="",R124=0),"",MIN(IF(AT124="",9.9E+99,AT124),FLOOR(AK124/R124,1)))</f>
        <v/>
      </c>
      <c r="AM124" s="38">
        <f>IF(AL124="","",AL124*T124)</f>
        <v/>
      </c>
      <c r="AN124" s="36">
        <f>IF(OR(AG124="",R124=0),"",MIN(IF(AT124="",9.9E+99,AT124),AK124/R124))</f>
        <v/>
      </c>
      <c r="AO124" s="38">
        <f>IF(AN124="","",AN124*T124)</f>
        <v/>
      </c>
      <c r="AP124" s="40" t="n"/>
      <c r="AQ124" s="32" t="inlineStr">
        <is>
          <t>Estimated</t>
        </is>
      </c>
      <c r="AR124" s="41" t="n"/>
      <c r="AS124" s="41" t="n"/>
      <c r="AT124" s="42" t="n"/>
      <c r="AU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V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W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X124" s="44" t="n"/>
      <c r="AY124" s="44" t="n"/>
    </row>
    <row r="125">
      <c r="A125" s="29" t="inlineStr">
        <is>
          <t>Bolt</t>
        </is>
      </c>
      <c r="B125" s="29" t="inlineStr">
        <is>
          <t>Qatar</t>
        </is>
      </c>
      <c r="C125" s="30" t="inlineStr">
        <is>
          <t>Doha Corniche → The Pearl</t>
        </is>
      </c>
      <c r="D125" s="31" t="n">
        <v>4</v>
      </c>
      <c r="E125" s="26" t="n"/>
      <c r="F125" s="32" t="n"/>
      <c r="G125" s="32" t="n"/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IF(OR(AG125="",R125=0),"",MIN(IF(AT125="",9.9E+99,AT125),FLOOR(AK125/R125,1)))</f>
        <v/>
      </c>
      <c r="AM125" s="38">
        <f>IF(AL125="","",AL125*T125)</f>
        <v/>
      </c>
      <c r="AN125" s="36">
        <f>IF(OR(AG125="",R125=0),"",MIN(IF(AT125="",9.9E+99,AT125),AK125/R125))</f>
        <v/>
      </c>
      <c r="AO125" s="38">
        <f>IF(AN125="","",AN125*T125)</f>
        <v/>
      </c>
      <c r="AP125" s="40" t="n"/>
      <c r="AQ125" s="32" t="inlineStr">
        <is>
          <t>Estimated</t>
        </is>
      </c>
      <c r="AR125" s="41" t="n"/>
      <c r="AS125" s="41" t="n"/>
      <c r="AT125" s="42" t="n"/>
      <c r="AU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V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W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X125" s="44" t="n"/>
      <c r="AY125" s="44" t="n"/>
    </row>
    <row r="126">
      <c r="A126" s="29" t="inlineStr">
        <is>
          <t>Bolt</t>
        </is>
      </c>
      <c r="B126" s="29" t="inlineStr">
        <is>
          <t>Qatar</t>
        </is>
      </c>
      <c r="C126" s="30" t="inlineStr">
        <is>
          <t>The Pearl-Qatar (Marsa Arabia) → Doha Corniche / Old Doha Port</t>
        </is>
      </c>
      <c r="D126" s="31" t="n">
        <v>4.4</v>
      </c>
      <c r="E126" s="26" t="n">
        <v>10.99</v>
      </c>
      <c r="F126" s="32" t="inlineStr">
        <is>
          <t>T3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MIN(15,FLOOR(60*service_hr/J126,1))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>
        <v>50000</v>
      </c>
      <c r="AH126" s="32" t="inlineStr">
        <is>
          <t>T5</t>
        </is>
      </c>
      <c r="AI126" s="32" t="inlineStr">
        <is>
          <t>low</t>
        </is>
      </c>
      <c r="AJ126" s="39" t="n">
        <v>0.1</v>
      </c>
      <c r="AK126" s="34">
        <f>IF(AG126="","",AG126*AJ126)</f>
        <v/>
      </c>
      <c r="AL126" s="34">
        <f>IF(OR(AG126="",R126=0),"",MIN(IF(AT126="",9.9E+99,AT126),FLOOR(AK126/R126,1)))</f>
        <v/>
      </c>
      <c r="AM126" s="38">
        <f>IF(AL126="","",AL126*T126)</f>
        <v/>
      </c>
      <c r="AN126" s="36">
        <f>IF(OR(AG126="",R126=0),"",MIN(IF(AT126="",9.9E+99,AT126),AK126/R126))</f>
        <v/>
      </c>
      <c r="AO126" s="38">
        <f>IF(AN126="","",AN126*T126)</f>
        <v/>
      </c>
      <c r="AP126" s="40" t="n"/>
      <c r="AQ126" s="32" t="inlineStr">
        <is>
          <t>Grounded</t>
        </is>
      </c>
      <c r="AR126" s="41" t="n"/>
      <c r="AS126" s="41" t="n"/>
      <c r="AT126" s="42" t="n"/>
      <c r="AU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V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W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X126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Y126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127">
      <c r="A127" s="29" t="inlineStr">
        <is>
          <t>Bolt</t>
        </is>
      </c>
      <c r="B127" s="29" t="inlineStr">
        <is>
          <t>Qatar</t>
        </is>
      </c>
      <c r="C127" s="30" t="inlineStr">
        <is>
          <t>Doha → Banana Island</t>
        </is>
      </c>
      <c r="D127" s="31" t="n">
        <v>4.5</v>
      </c>
      <c r="E127" s="26" t="n"/>
      <c r="F127" s="32" t="n"/>
      <c r="G127" s="32" t="n"/>
      <c r="H127" s="19" t="n">
        <v>1</v>
      </c>
      <c r="I127" s="33">
        <f>60*D127/cruise_kt</f>
        <v/>
      </c>
      <c r="J127" s="33">
        <f>I127+turn_min+dwell_min</f>
        <v/>
      </c>
      <c r="K127" s="34">
        <f>MIN(15,FLOOR(60*service_hr/J127,1))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IF(OR(AG127="",R127=0),"",MIN(IF(AT127="",9.9E+99,AT127),FLOOR(AK127/R127,1)))</f>
        <v/>
      </c>
      <c r="AM127" s="38">
        <f>IF(AL127="","",AL127*T127)</f>
        <v/>
      </c>
      <c r="AN127" s="36">
        <f>IF(OR(AG127="",R127=0),"",MIN(IF(AT127="",9.9E+99,AT127),AK127/R127))</f>
        <v/>
      </c>
      <c r="AO127" s="38">
        <f>IF(AN127="","",AN127*T127)</f>
        <v/>
      </c>
      <c r="AP127" s="40" t="n"/>
      <c r="AQ127" s="32" t="inlineStr">
        <is>
          <t>Estimated</t>
        </is>
      </c>
      <c r="AR127" s="41" t="n"/>
      <c r="AS127" s="41" t="n"/>
      <c r="AT127" s="42" t="n"/>
      <c r="AU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V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W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X127" s="44" t="n"/>
      <c r="AY127" s="44" t="n"/>
    </row>
    <row r="128">
      <c r="A128" s="29" t="inlineStr">
        <is>
          <t>Bolt</t>
        </is>
      </c>
      <c r="B128" s="29" t="inlineStr">
        <is>
          <t>Qatar</t>
        </is>
      </c>
      <c r="C128" s="30" t="inlineStr">
        <is>
          <t>Doha (Al Shyoukh Terminal) → Banana Island Resort (Anantara)</t>
        </is>
      </c>
      <c r="D128" s="31" t="n">
        <v>4.9</v>
      </c>
      <c r="E128" s="26" t="n">
        <v>27.5</v>
      </c>
      <c r="F128" s="32" t="inlineStr">
        <is>
          <t>T3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MIN(15,FLOOR(60*service_hr/J128,1))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>
        <v>85000</v>
      </c>
      <c r="AH128" s="32" t="inlineStr">
        <is>
          <t>T4</t>
        </is>
      </c>
      <c r="AI128" s="32" t="inlineStr">
        <is>
          <t>med-low</t>
        </is>
      </c>
      <c r="AJ128" s="39" t="n">
        <v>0.1</v>
      </c>
      <c r="AK128" s="34">
        <f>IF(AG128="","",AG128*AJ128)</f>
        <v/>
      </c>
      <c r="AL128" s="34">
        <f>IF(OR(AG128="",R128=0),"",MIN(IF(AT128="",9.9E+99,AT128),FLOOR(AK128/R128,1)))</f>
        <v/>
      </c>
      <c r="AM128" s="38">
        <f>IF(AL128="","",AL128*T128)</f>
        <v/>
      </c>
      <c r="AN128" s="36">
        <f>IF(OR(AG128="",R128=0),"",MIN(IF(AT128="",9.9E+99,AT128),AK128/R128))</f>
        <v/>
      </c>
      <c r="AO128" s="38">
        <f>IF(AN128="","",AN128*T128)</f>
        <v/>
      </c>
      <c r="AP128" s="40" t="n"/>
      <c r="AQ128" s="32" t="inlineStr">
        <is>
          <t>Grounded</t>
        </is>
      </c>
      <c r="AR128" s="41" t="n"/>
      <c r="AS128" s="41" t="n"/>
      <c r="AT128" s="42" t="n"/>
      <c r="AU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V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W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X128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Y128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129">
      <c r="A129" s="29" t="inlineStr">
        <is>
          <t>Bolt</t>
        </is>
      </c>
      <c r="B129" s="29" t="inlineStr">
        <is>
          <t>Qatar</t>
        </is>
      </c>
      <c r="C129" s="30" t="inlineStr">
        <is>
          <t>West Bay / Corniche (Doha) → Lusail Marina &amp; Place Vendôme</t>
        </is>
      </c>
      <c r="D129" s="31" t="n">
        <v>6.3</v>
      </c>
      <c r="E129" s="26" t="n">
        <v>16</v>
      </c>
      <c r="F129" s="32" t="inlineStr">
        <is>
          <t>T5</t>
        </is>
      </c>
      <c r="G129" s="32" t="inlineStr">
        <is>
          <t>low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MIN(15,FLOOR(60*service_hr/J129,1))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>
        <v>75000</v>
      </c>
      <c r="AH129" s="32" t="inlineStr">
        <is>
          <t>T5</t>
        </is>
      </c>
      <c r="AI129" s="32" t="inlineStr">
        <is>
          <t>low</t>
        </is>
      </c>
      <c r="AJ129" s="39" t="n">
        <v>0.1</v>
      </c>
      <c r="AK129" s="34">
        <f>IF(AG129="","",AG129*AJ129)</f>
        <v/>
      </c>
      <c r="AL129" s="34">
        <f>IF(OR(AG129="",R129=0),"",MIN(IF(AT129="",9.9E+99,AT129),FLOOR(AK129/R129,1)))</f>
        <v/>
      </c>
      <c r="AM129" s="38">
        <f>IF(AL129="","",AL129*T129)</f>
        <v/>
      </c>
      <c r="AN129" s="36">
        <f>IF(OR(AG129="",R129=0),"",MIN(IF(AT129="",9.9E+99,AT129),AK129/R129))</f>
        <v/>
      </c>
      <c r="AO129" s="38">
        <f>IF(AN129="","",AN129*T129)</f>
        <v/>
      </c>
      <c r="AP129" s="40" t="n"/>
      <c r="AQ129" s="32" t="inlineStr">
        <is>
          <t>Grounded</t>
        </is>
      </c>
      <c r="AR129" s="41" t="n"/>
      <c r="AS129" s="41" t="n"/>
      <c r="AT129" s="42" t="n"/>
      <c r="AU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V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W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X129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Y129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30">
      <c r="A130" s="29" t="inlineStr">
        <is>
          <t>Bolt</t>
        </is>
      </c>
      <c r="B130" s="29" t="inlineStr">
        <is>
          <t>Qatar</t>
        </is>
      </c>
      <c r="C130" s="30" t="inlineStr">
        <is>
          <t>Doha → Lusail Marina</t>
        </is>
      </c>
      <c r="D130" s="31" t="n">
        <v>6.5</v>
      </c>
      <c r="E130" s="26" t="n"/>
      <c r="F130" s="32" t="n"/>
      <c r="G130" s="32" t="n"/>
      <c r="H130" s="19" t="n">
        <v>1</v>
      </c>
      <c r="I130" s="33">
        <f>60*D130/cruise_kt</f>
        <v/>
      </c>
      <c r="J130" s="33">
        <f>I130+turn_min+dwell_min</f>
        <v/>
      </c>
      <c r="K130" s="34">
        <f>MIN(15,FLOOR(60*service_hr/J130,1))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IF(OR(AG130="",R130=0),"",MIN(IF(AT130="",9.9E+99,AT130),FLOOR(AK130/R130,1)))</f>
        <v/>
      </c>
      <c r="AM130" s="38">
        <f>IF(AL130="","",AL130*T130)</f>
        <v/>
      </c>
      <c r="AN130" s="36">
        <f>IF(OR(AG130="",R130=0),"",MIN(IF(AT130="",9.9E+99,AT130),AK130/R130))</f>
        <v/>
      </c>
      <c r="AO130" s="38">
        <f>IF(AN130="","",AN130*T130)</f>
        <v/>
      </c>
      <c r="AP130" s="40" t="n"/>
      <c r="AQ130" s="32" t="inlineStr">
        <is>
          <t>Estimated</t>
        </is>
      </c>
      <c r="AR130" s="41" t="n"/>
      <c r="AS130" s="41" t="n"/>
      <c r="AT130" s="42" t="n"/>
      <c r="AU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V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W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X130" s="44" t="n"/>
      <c r="AY130" s="44" t="n"/>
    </row>
    <row r="131">
      <c r="A131" s="29" t="inlineStr">
        <is>
          <t>Bolt</t>
        </is>
      </c>
      <c r="B131" s="29" t="inlineStr">
        <is>
          <t>Qatar</t>
        </is>
      </c>
      <c r="C131" s="30" t="inlineStr">
        <is>
          <t>Al Wakrah → Banana Island</t>
        </is>
      </c>
      <c r="D131" s="31" t="n">
        <v>9.5</v>
      </c>
      <c r="E131" s="26" t="n"/>
      <c r="F131" s="32" t="n"/>
      <c r="G131" s="32" t="n"/>
      <c r="H131" s="19" t="n">
        <v>1</v>
      </c>
      <c r="I131" s="33">
        <f>60*D131/cruise_kt</f>
        <v/>
      </c>
      <c r="J131" s="33">
        <f>I131+turn_min+dwell_min</f>
        <v/>
      </c>
      <c r="K131" s="34">
        <f>MIN(15,FLOOR(60*service_hr/J131,1))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IF(OR(AG131="",R131=0),"",MIN(IF(AT131="",9.9E+99,AT131),FLOOR(AK131/R131,1)))</f>
        <v/>
      </c>
      <c r="AM131" s="38">
        <f>IF(AL131="","",AL131*T131)</f>
        <v/>
      </c>
      <c r="AN131" s="36">
        <f>IF(OR(AG131="",R131=0),"",MIN(IF(AT131="",9.9E+99,AT131),AK131/R131))</f>
        <v/>
      </c>
      <c r="AO131" s="38">
        <f>IF(AN131="","",AN131*T131)</f>
        <v/>
      </c>
      <c r="AP131" s="40" t="n"/>
      <c r="AQ131" s="32" t="inlineStr">
        <is>
          <t>Estimated</t>
        </is>
      </c>
      <c r="AR131" s="41" t="n"/>
      <c r="AS131" s="41" t="n"/>
      <c r="AT131" s="42" t="n"/>
      <c r="AU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V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W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X131" s="44" t="n"/>
      <c r="AY131" s="44" t="n"/>
    </row>
    <row r="132">
      <c r="A132" s="29" t="inlineStr">
        <is>
          <t>Bolt</t>
        </is>
      </c>
      <c r="B132" s="29" t="inlineStr">
        <is>
          <t>Qatar</t>
        </is>
      </c>
      <c r="C132" s="30" t="inlineStr">
        <is>
          <t>Doha → Al Wakrah Marina</t>
        </is>
      </c>
      <c r="D132" s="31" t="n">
        <v>11</v>
      </c>
      <c r="E132" s="26" t="n"/>
      <c r="F132" s="32" t="n"/>
      <c r="G132" s="32" t="n"/>
      <c r="H132" s="19" t="n">
        <v>1</v>
      </c>
      <c r="I132" s="33">
        <f>60*D132/cruise_kt</f>
        <v/>
      </c>
      <c r="J132" s="33">
        <f>I132+turn_min+dwell_min</f>
        <v/>
      </c>
      <c r="K132" s="34">
        <f>MIN(15,FLOOR(60*service_hr/J132,1))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IF(OR(AG132="",R132=0),"",MIN(IF(AT132="",9.9E+99,AT132),FLOOR(AK132/R132,1)))</f>
        <v/>
      </c>
      <c r="AM132" s="38">
        <f>IF(AL132="","",AL132*T132)</f>
        <v/>
      </c>
      <c r="AN132" s="36">
        <f>IF(OR(AG132="",R132=0),"",MIN(IF(AT132="",9.9E+99,AT132),AK132/R132))</f>
        <v/>
      </c>
      <c r="AO132" s="38">
        <f>IF(AN132="","",AN132*T132)</f>
        <v/>
      </c>
      <c r="AP132" s="40" t="n"/>
      <c r="AQ132" s="32" t="inlineStr">
        <is>
          <t>Estimated</t>
        </is>
      </c>
      <c r="AR132" s="41" t="n"/>
      <c r="AS132" s="41" t="n"/>
      <c r="AT132" s="42" t="n"/>
      <c r="AU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V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W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X132" s="44" t="n"/>
      <c r="AY132" s="44" t="n"/>
    </row>
    <row r="133">
      <c r="A133" s="29" t="inlineStr">
        <is>
          <t>Bolt</t>
        </is>
      </c>
      <c r="B133" s="29" t="inlineStr">
        <is>
          <t>Romania</t>
        </is>
      </c>
      <c r="C133" s="30" t="inlineStr">
        <is>
          <t>Constanța → Mamaia</t>
        </is>
      </c>
      <c r="D133" s="31" t="n">
        <v>5</v>
      </c>
      <c r="E133" s="26" t="n">
        <v>13</v>
      </c>
      <c r="F133" s="32" t="inlineStr">
        <is>
          <t>T2</t>
        </is>
      </c>
      <c r="G133" s="32" t="inlineStr">
        <is>
          <t>med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MIN(15,FLOOR(60*service_hr/J133,1))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17806</v>
      </c>
      <c r="AH133" s="32" t="n"/>
      <c r="AI133" s="32" t="n"/>
      <c r="AJ133" s="39" t="n">
        <v>0.1</v>
      </c>
      <c r="AK133" s="34">
        <f>IF(AG133="","",AG133*AJ133)</f>
        <v/>
      </c>
      <c r="AL133" s="34">
        <f>IF(OR(AG133="",R133=0),"",MIN(IF(AT133="",9.9E+99,AT133),FLOOR(AK133/R133,1)))</f>
        <v/>
      </c>
      <c r="AM133" s="38">
        <f>IF(AL133="","",AL133*T133)</f>
        <v/>
      </c>
      <c r="AN133" s="36">
        <f>IF(OR(AG133="",R133=0),"",MIN(IF(AT133="",9.9E+99,AT133),AK133/R133))</f>
        <v/>
      </c>
      <c r="AO133" s="38">
        <f>IF(AN133="","",AN133*T133)</f>
        <v/>
      </c>
      <c r="AP133" s="40" t="n"/>
      <c r="AQ133" s="32" t="inlineStr">
        <is>
          <t>Grounded</t>
        </is>
      </c>
      <c r="AR133" s="41" t="n"/>
      <c r="AS133" s="41" t="n"/>
      <c r="AT133" s="42" t="n"/>
      <c r="AU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V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W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X133" s="44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AY133" s="44" t="n"/>
    </row>
    <row r="134">
      <c r="A134" s="29" t="inlineStr">
        <is>
          <t>Bolt</t>
        </is>
      </c>
      <c r="B134" s="29" t="inlineStr">
        <is>
          <t>Romania</t>
        </is>
      </c>
      <c r="C134" s="30" t="inlineStr">
        <is>
          <t>Constanta → Eforie Nord</t>
        </is>
      </c>
      <c r="D134" s="31" t="n">
        <v>8</v>
      </c>
      <c r="E134" s="26" t="n">
        <v>13</v>
      </c>
      <c r="F134" s="32" t="inlineStr">
        <is>
          <t>T2</t>
        </is>
      </c>
      <c r="G134" s="32" t="inlineStr">
        <is>
          <t>med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MIN(24,FLOOR(60*service_hr/J134,1))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14736</v>
      </c>
      <c r="AH134" s="32" t="n"/>
      <c r="AI134" s="32" t="n"/>
      <c r="AJ134" s="39" t="n">
        <v>0.1</v>
      </c>
      <c r="AK134" s="34">
        <f>IF(AG134="","",AG134*AJ134)</f>
        <v/>
      </c>
      <c r="AL134" s="34">
        <f>IF(OR(AG134="",R134=0),"",MIN(IF(AT134="",9.9E+99,AT134),FLOOR(AK134/R134,1)))</f>
        <v/>
      </c>
      <c r="AM134" s="38">
        <f>IF(AL134="","",AL134*T134)</f>
        <v/>
      </c>
      <c r="AN134" s="36">
        <f>IF(OR(AG134="",R134=0),"",MIN(IF(AT134="",9.9E+99,AT134),AK134/R134))</f>
        <v/>
      </c>
      <c r="AO134" s="38">
        <f>IF(AN134="","",AN134*T134)</f>
        <v/>
      </c>
      <c r="AP134" s="40" t="n"/>
      <c r="AQ134" s="32" t="inlineStr">
        <is>
          <t>Grounded</t>
        </is>
      </c>
      <c r="AR134" s="41" t="n"/>
      <c r="AS134" s="41" t="n"/>
      <c r="AT134" s="42" t="n"/>
      <c r="AU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V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W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X134" s="44" t="inlineStr">
        <is>
          <t>Coast premium per-seat ~60 RON (charter-divided). ~$13.0.</t>
        </is>
      </c>
      <c r="AY134" s="44" t="n"/>
    </row>
    <row r="135">
      <c r="A135" s="29" t="inlineStr">
        <is>
          <t>Bolt</t>
        </is>
      </c>
      <c r="B135" s="29" t="inlineStr">
        <is>
          <t>Romania</t>
        </is>
      </c>
      <c r="C135" s="30" t="inlineStr">
        <is>
          <t>Constanta → Navodari (Mamaia Nord)</t>
        </is>
      </c>
      <c r="D135" s="31" t="n">
        <v>9</v>
      </c>
      <c r="E135" s="26" t="n">
        <v>13</v>
      </c>
      <c r="F135" s="32" t="inlineStr">
        <is>
          <t>T2</t>
        </is>
      </c>
      <c r="G135" s="32" t="inlineStr">
        <is>
          <t>med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MIN(24,FLOOR(60*service_hr/J135,1))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/>
      <c r="AH135" s="32" t="n"/>
      <c r="AI135" s="32" t="n"/>
      <c r="AJ135" s="39" t="n">
        <v>0.1</v>
      </c>
      <c r="AK135" s="34">
        <f>IF(AG135="","",AG135*AJ135)</f>
        <v/>
      </c>
      <c r="AL135" s="34">
        <f>IF(OR(AG135="",R135=0),"",MIN(IF(AT135="",9.9E+99,AT135),FLOOR(AK135/R135,1)))</f>
        <v/>
      </c>
      <c r="AM135" s="38">
        <f>IF(AL135="","",AL135*T135)</f>
        <v/>
      </c>
      <c r="AN135" s="36">
        <f>IF(OR(AG135="",R135=0),"",MIN(IF(AT135="",9.9E+99,AT135),AK135/R135))</f>
        <v/>
      </c>
      <c r="AO135" s="38">
        <f>IF(AN135="","",AN135*T135)</f>
        <v/>
      </c>
      <c r="AP135" s="40" t="n"/>
      <c r="AQ135" s="32" t="inlineStr">
        <is>
          <t>Estimated</t>
        </is>
      </c>
      <c r="AR135" s="41" t="n"/>
      <c r="AS135" s="41" t="n"/>
      <c r="AT135" s="42" t="n"/>
      <c r="AU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V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W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X135" s="44" t="inlineStr">
        <is>
          <t>Same coast premium per-seat ~60 RON (charter-divided). ~$13.0.</t>
        </is>
      </c>
      <c r="AY135" s="44" t="n"/>
    </row>
    <row r="136">
      <c r="A136" s="29" t="inlineStr">
        <is>
          <t>Bolt</t>
        </is>
      </c>
      <c r="B136" s="29" t="inlineStr">
        <is>
          <t>Romania</t>
        </is>
      </c>
      <c r="C136" s="30" t="inlineStr">
        <is>
          <t>Constanta → Costinesti</t>
        </is>
      </c>
      <c r="D136" s="31" t="n">
        <v>15</v>
      </c>
      <c r="E136" s="26" t="n">
        <v>13</v>
      </c>
      <c r="F136" s="32" t="inlineStr">
        <is>
          <t>T2</t>
        </is>
      </c>
      <c r="G136" s="32" t="inlineStr">
        <is>
          <t>med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MIN(24,FLOOR(60*service_hr/J136,1))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7894</v>
      </c>
      <c r="AH136" s="32" t="n"/>
      <c r="AI136" s="32" t="n"/>
      <c r="AJ136" s="39" t="n">
        <v>0.1</v>
      </c>
      <c r="AK136" s="34">
        <f>IF(AG136="","",AG136*AJ136)</f>
        <v/>
      </c>
      <c r="AL136" s="34">
        <f>IF(OR(AG136="",R136=0),"",MIN(IF(AT136="",9.9E+99,AT136),FLOOR(AK136/R136,1)))</f>
        <v/>
      </c>
      <c r="AM136" s="38">
        <f>IF(AL136="","",AL136*T136)</f>
        <v/>
      </c>
      <c r="AN136" s="36">
        <f>IF(OR(AG136="",R136=0),"",MIN(IF(AT136="",9.9E+99,AT136),AK136/R136))</f>
        <v/>
      </c>
      <c r="AO136" s="38">
        <f>IF(AN136="","",AN136*T136)</f>
        <v/>
      </c>
      <c r="AP136" s="40" t="n"/>
      <c r="AQ136" s="32" t="inlineStr">
        <is>
          <t>Grounded</t>
        </is>
      </c>
      <c r="AR136" s="41" t="n"/>
      <c r="AS136" s="41" t="n"/>
      <c r="AT136" s="42" t="n"/>
      <c r="AU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V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W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X136" s="44" t="inlineStr">
        <is>
          <t>Coast premium per-seat ~60 RON (charter-divided). ~$13.0.</t>
        </is>
      </c>
      <c r="AY136" s="44" t="n"/>
    </row>
    <row r="137">
      <c r="A137" s="29" t="inlineStr">
        <is>
          <t>Bolt</t>
        </is>
      </c>
      <c r="B137" s="29" t="inlineStr">
        <is>
          <t>Romania</t>
        </is>
      </c>
      <c r="C137" s="30" t="inlineStr">
        <is>
          <t>Bucharest → Snagov</t>
        </is>
      </c>
      <c r="D137" s="31" t="n">
        <v>19</v>
      </c>
      <c r="E137" s="26" t="n"/>
      <c r="F137" s="32" t="n"/>
      <c r="G137" s="32" t="n"/>
      <c r="H137" s="19" t="n">
        <v>1</v>
      </c>
      <c r="I137" s="33">
        <f>60*D137/cruise_kt</f>
        <v/>
      </c>
      <c r="J137" s="33">
        <f>I137+turn_min+dwell_min</f>
        <v/>
      </c>
      <c r="K137" s="34">
        <f>MIN(24,FLOOR(60*service_hr/J137,1))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/>
      <c r="AH137" s="32" t="n"/>
      <c r="AI137" s="32" t="n"/>
      <c r="AJ137" s="39" t="n">
        <v>0.1</v>
      </c>
      <c r="AK137" s="34">
        <f>IF(AG137="","",AG137*AJ137)</f>
        <v/>
      </c>
      <c r="AL137" s="34">
        <f>IF(OR(AG137="",R137=0),"",MIN(IF(AT137="",9.9E+99,AT137),FLOOR(AK137/R137,1)))</f>
        <v/>
      </c>
      <c r="AM137" s="38">
        <f>IF(AL137="","",AL137*T137)</f>
        <v/>
      </c>
      <c r="AN137" s="36">
        <f>IF(OR(AG137="",R137=0),"",MIN(IF(AT137="",9.9E+99,AT137),AK137/R137))</f>
        <v/>
      </c>
      <c r="AO137" s="38">
        <f>IF(AN137="","",AN137*T137)</f>
        <v/>
      </c>
      <c r="AP137" s="40" t="n"/>
      <c r="AQ137" s="32" t="inlineStr">
        <is>
          <t>Estimated</t>
        </is>
      </c>
      <c r="AR137" s="41" t="n"/>
      <c r="AS137" s="41" t="n"/>
      <c r="AT137" s="42" t="n"/>
      <c r="AU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V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W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X137" s="44" t="n"/>
      <c r="AY137" s="44" t="n"/>
    </row>
    <row r="138">
      <c r="A138" s="29" t="inlineStr">
        <is>
          <t>Bolt</t>
        </is>
      </c>
      <c r="B138" s="29" t="inlineStr">
        <is>
          <t>Romania</t>
        </is>
      </c>
      <c r="C138" s="30" t="inlineStr">
        <is>
          <t>Mangalia → Balchik (Bulgaria)</t>
        </is>
      </c>
      <c r="D138" s="31" t="n">
        <v>22</v>
      </c>
      <c r="E138" s="26" t="n"/>
      <c r="F138" s="32" t="n"/>
      <c r="G138" s="32" t="n"/>
      <c r="H138" s="19" t="n">
        <v>1</v>
      </c>
      <c r="I138" s="33">
        <f>60*D138/cruise_kt</f>
        <v/>
      </c>
      <c r="J138" s="33">
        <f>I138+turn_min+dwell_min</f>
        <v/>
      </c>
      <c r="K138" s="34">
        <f>MIN(15,FLOOR(60*service_hr/J138,1))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/>
      <c r="AH138" s="32" t="n"/>
      <c r="AI138" s="32" t="n"/>
      <c r="AJ138" s="39" t="n">
        <v>0.1</v>
      </c>
      <c r="AK138" s="34">
        <f>IF(AG138="","",AG138*AJ138)</f>
        <v/>
      </c>
      <c r="AL138" s="34">
        <f>IF(OR(AG138="",R138=0),"",MIN(IF(AT138="",9.9E+99,AT138),FLOOR(AK138/R138,1)))</f>
        <v/>
      </c>
      <c r="AM138" s="38">
        <f>IF(AL138="","",AL138*T138)</f>
        <v/>
      </c>
      <c r="AN138" s="36">
        <f>IF(OR(AG138="",R138=0),"",MIN(IF(AT138="",9.9E+99,AT138),AK138/R138))</f>
        <v/>
      </c>
      <c r="AO138" s="38">
        <f>IF(AN138="","",AN138*T138)</f>
        <v/>
      </c>
      <c r="AP138" s="40" t="n"/>
      <c r="AQ138" s="32" t="inlineStr">
        <is>
          <t>Estimated</t>
        </is>
      </c>
      <c r="AR138" s="41" t="n"/>
      <c r="AS138" s="41" t="n"/>
      <c r="AT138" s="42" t="n"/>
      <c r="AU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V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W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X138" s="44" t="n"/>
      <c r="AY138" s="44" t="n"/>
    </row>
    <row r="139">
      <c r="A139" s="29" t="inlineStr">
        <is>
          <t>Bolt</t>
        </is>
      </c>
      <c r="B139" s="29" t="inlineStr">
        <is>
          <t>Romania</t>
        </is>
      </c>
      <c r="C139" s="30" t="inlineStr">
        <is>
          <t>Constanta → Mangalia</t>
        </is>
      </c>
      <c r="D139" s="31" t="n">
        <v>23</v>
      </c>
      <c r="E139" s="26" t="n">
        <v>13</v>
      </c>
      <c r="F139" s="32" t="inlineStr">
        <is>
          <t>T2</t>
        </is>
      </c>
      <c r="G139" s="32" t="inlineStr">
        <is>
          <t>med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MIN(24,FLOOR(60*service_hr/J139,1))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7017</v>
      </c>
      <c r="AH139" s="32" t="n"/>
      <c r="AI139" s="32" t="n"/>
      <c r="AJ139" s="39" t="n">
        <v>0.1</v>
      </c>
      <c r="AK139" s="34">
        <f>IF(AG139="","",AG139*AJ139)</f>
        <v/>
      </c>
      <c r="AL139" s="34">
        <f>IF(OR(AG139="",R139=0),"",MIN(IF(AT139="",9.9E+99,AT139),FLOOR(AK139/R139,1)))</f>
        <v/>
      </c>
      <c r="AM139" s="38">
        <f>IF(AL139="","",AL139*T139)</f>
        <v/>
      </c>
      <c r="AN139" s="36">
        <f>IF(OR(AG139="",R139=0),"",MIN(IF(AT139="",9.9E+99,AT139),AK139/R139))</f>
        <v/>
      </c>
      <c r="AO139" s="38">
        <f>IF(AN139="","",AN139*T139)</f>
        <v/>
      </c>
      <c r="AP139" s="40" t="n"/>
      <c r="AQ139" s="32" t="inlineStr">
        <is>
          <t>Grounded</t>
        </is>
      </c>
      <c r="AR139" s="41" t="n"/>
      <c r="AS139" s="41" t="n"/>
      <c r="AT139" s="42" t="n"/>
      <c r="AU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V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W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X139" s="44" t="inlineStr">
        <is>
          <t>Coast premium per-seat ~60 RON (charter-divided). ~$13.0. (Longer leg could justify a higher seat; unsourced -&gt; hold at coast anchor.)</t>
        </is>
      </c>
      <c r="AY139" s="44" t="n"/>
    </row>
    <row r="140">
      <c r="A140" s="29" t="inlineStr">
        <is>
          <t>Bolt</t>
        </is>
      </c>
      <c r="B140" s="29" t="inlineStr">
        <is>
          <t>Romania</t>
        </is>
      </c>
      <c r="C140" s="30" t="inlineStr">
        <is>
          <t>Tulcea → Crisan</t>
        </is>
      </c>
      <c r="D140" s="31" t="n">
        <v>23</v>
      </c>
      <c r="E140" s="26" t="n">
        <v>10.9</v>
      </c>
      <c r="F140" s="32" t="inlineStr">
        <is>
          <t>T2</t>
        </is>
      </c>
      <c r="G140" s="32" t="inlineStr">
        <is>
          <t>med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MIN(15,FLOOR(60*service_hr/J140,1))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/>
      <c r="AH140" s="32" t="n"/>
      <c r="AI140" s="32" t="n"/>
      <c r="AJ140" s="39" t="n">
        <v>0.1</v>
      </c>
      <c r="AK140" s="34">
        <f>IF(AG140="","",AG140*AJ140)</f>
        <v/>
      </c>
      <c r="AL140" s="34">
        <f>IF(OR(AG140="",R140=0),"",MIN(IF(AT140="",9.9E+99,AT140),FLOOR(AK140/R140,1)))</f>
        <v/>
      </c>
      <c r="AM140" s="38">
        <f>IF(AL140="","",AL140*T140)</f>
        <v/>
      </c>
      <c r="AN140" s="36">
        <f>IF(OR(AG140="",R140=0),"",MIN(IF(AT140="",9.9E+99,AT140),AK140/R140))</f>
        <v/>
      </c>
      <c r="AO140" s="38">
        <f>IF(AN140="","",AN140*T140)</f>
        <v/>
      </c>
      <c r="AP140" s="40" t="n"/>
      <c r="AQ140" s="32" t="inlineStr">
        <is>
          <t>Estimated</t>
        </is>
      </c>
      <c r="AR140" s="41" t="n"/>
      <c r="AS140" s="41" t="n"/>
      <c r="AT140" s="42" t="n"/>
      <c r="AU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V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W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X140" s="44" t="inlineStr">
        <is>
          <t>Navrom clasica Tulcea-Crisan 50 RON (official table). 50 / 4.6 = ~$10.9.</t>
        </is>
      </c>
      <c r="AY140" s="44" t="n"/>
    </row>
    <row r="141">
      <c r="A141" s="29" t="inlineStr">
        <is>
          <t>Bolt</t>
        </is>
      </c>
      <c r="B141" s="29" t="inlineStr">
        <is>
          <t>Romania</t>
        </is>
      </c>
      <c r="C141" s="30" t="inlineStr">
        <is>
          <t>Tulcea → Sfantu Gheorghe</t>
        </is>
      </c>
      <c r="D141" s="31" t="n">
        <v>30</v>
      </c>
      <c r="E141" s="26" t="n">
        <v>13</v>
      </c>
      <c r="F141" s="32" t="inlineStr">
        <is>
          <t>T2</t>
        </is>
      </c>
      <c r="G141" s="32" t="inlineStr">
        <is>
          <t>med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MIN(15,FLOOR(60*service_hr/J141,1))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/>
      <c r="AH141" s="32" t="n"/>
      <c r="AI141" s="32" t="n"/>
      <c r="AJ141" s="39" t="n">
        <v>0.1</v>
      </c>
      <c r="AK141" s="34">
        <f>IF(AG141="","",AG141*AJ141)</f>
        <v/>
      </c>
      <c r="AL141" s="34">
        <f>IF(OR(AG141="",R141=0),"",MIN(IF(AT141="",9.9E+99,AT141),FLOOR(AK141/R141,1)))</f>
        <v/>
      </c>
      <c r="AM141" s="38">
        <f>IF(AL141="","",AL141*T141)</f>
        <v/>
      </c>
      <c r="AN141" s="36">
        <f>IF(OR(AG141="",R141=0),"",MIN(IF(AT141="",9.9E+99,AT141),AK141/R141))</f>
        <v/>
      </c>
      <c r="AO141" s="38">
        <f>IF(AN141="","",AN141*T141)</f>
        <v/>
      </c>
      <c r="AP141" s="40" t="n"/>
      <c r="AQ141" s="32" t="inlineStr">
        <is>
          <t>Estimated</t>
        </is>
      </c>
      <c r="AR141" s="41" t="n"/>
      <c r="AS141" s="41" t="n"/>
      <c r="AT141" s="42" t="n"/>
      <c r="AU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V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W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X141" s="44" t="inlineStr">
        <is>
          <t>Estimated ~60 RON (comparable arm length to Sulina; Navrom Sfantu Gheorghe fare not in the scraped Sulina-arm table). ~$13.0 — UNCONFIRMED, flag.</t>
        </is>
      </c>
      <c r="AY141" s="44" t="n"/>
    </row>
    <row r="142">
      <c r="A142" s="29" t="inlineStr">
        <is>
          <t>Bolt</t>
        </is>
      </c>
      <c r="B142" s="29" t="inlineStr">
        <is>
          <t>Romania</t>
        </is>
      </c>
      <c r="C142" s="30" t="inlineStr">
        <is>
          <t>Tulcea → Periprava</t>
        </is>
      </c>
      <c r="D142" s="31" t="n">
        <v>33</v>
      </c>
      <c r="E142" s="26" t="n"/>
      <c r="F142" s="32" t="n"/>
      <c r="G142" s="32" t="n"/>
      <c r="H142" s="19" t="n">
        <v>1</v>
      </c>
      <c r="I142" s="33">
        <f>60*D142/cruise_kt</f>
        <v/>
      </c>
      <c r="J142" s="33">
        <f>I142+turn_min+dwell_min</f>
        <v/>
      </c>
      <c r="K142" s="34">
        <f>MIN(15,FLOOR(60*service_hr/J142,1))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/>
      <c r="AH142" s="32" t="n"/>
      <c r="AI142" s="32" t="n"/>
      <c r="AJ142" s="39" t="n">
        <v>0.1</v>
      </c>
      <c r="AK142" s="34">
        <f>IF(AG142="","",AG142*AJ142)</f>
        <v/>
      </c>
      <c r="AL142" s="34">
        <f>IF(OR(AG142="",R142=0),"",MIN(IF(AT142="",9.9E+99,AT142),FLOOR(AK142/R142,1)))</f>
        <v/>
      </c>
      <c r="AM142" s="38">
        <f>IF(AL142="","",AL142*T142)</f>
        <v/>
      </c>
      <c r="AN142" s="36">
        <f>IF(OR(AG142="",R142=0),"",MIN(IF(AT142="",9.9E+99,AT142),AK142/R142))</f>
        <v/>
      </c>
      <c r="AO142" s="38">
        <f>IF(AN142="","",AN142*T142)</f>
        <v/>
      </c>
      <c r="AP142" s="40" t="n"/>
      <c r="AQ142" s="32" t="inlineStr">
        <is>
          <t>Estimated</t>
        </is>
      </c>
      <c r="AR142" s="41" t="n"/>
      <c r="AS142" s="41" t="n"/>
      <c r="AT142" s="42" t="n"/>
      <c r="AU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V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W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X142" s="44" t="n"/>
      <c r="AY142" s="44" t="n"/>
    </row>
    <row r="143">
      <c r="A143" s="29" t="inlineStr">
        <is>
          <t>Bolt</t>
        </is>
      </c>
      <c r="B143" s="29" t="inlineStr">
        <is>
          <t>Romania</t>
        </is>
      </c>
      <c r="C143" s="30" t="inlineStr">
        <is>
          <t>Tulcea → Sulina</t>
        </is>
      </c>
      <c r="D143" s="31" t="n">
        <v>34</v>
      </c>
      <c r="E143" s="26" t="n">
        <v>15.2</v>
      </c>
      <c r="F143" s="32" t="inlineStr">
        <is>
          <t>T2</t>
        </is>
      </c>
      <c r="G143" s="32" t="inlineStr">
        <is>
          <t>med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MIN(15,FLOOR(60*service_hr/J143,1))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165000</v>
      </c>
      <c r="AH143" s="32" t="n"/>
      <c r="AI143" s="32" t="n"/>
      <c r="AJ143" s="39" t="n">
        <v>0.1</v>
      </c>
      <c r="AK143" s="34">
        <f>IF(AG143="","",AG143*AJ143)</f>
        <v/>
      </c>
      <c r="AL143" s="34">
        <f>IF(OR(AG143="",R143=0),"",MIN(IF(AT143="",9.9E+99,AT143),FLOOR(AK143/R143,1)))</f>
        <v/>
      </c>
      <c r="AM143" s="38">
        <f>IF(AL143="","",AL143*T143)</f>
        <v/>
      </c>
      <c r="AN143" s="36">
        <f>IF(OR(AG143="",R143=0),"",MIN(IF(AT143="",9.9E+99,AT143),AK143/R143))</f>
        <v/>
      </c>
      <c r="AO143" s="38">
        <f>IF(AN143="","",AN143*T143)</f>
        <v/>
      </c>
      <c r="AP143" s="40" t="n"/>
      <c r="AQ143" s="32" t="inlineStr">
        <is>
          <t>Grounded</t>
        </is>
      </c>
      <c r="AR143" s="41" t="n"/>
      <c r="AS143" s="41" t="n"/>
      <c r="AT143" s="42" t="n"/>
      <c r="AU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V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W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X143" s="44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AY143" s="44" t="n"/>
    </row>
    <row r="144">
      <c r="A144" s="29" t="inlineStr">
        <is>
          <t>Bolt</t>
        </is>
      </c>
      <c r="B144" s="29" t="inlineStr">
        <is>
          <t>Saudi Arabia</t>
        </is>
      </c>
      <c r="C144" s="30" t="inlineStr">
        <is>
          <t>Jeddah Corniche → Jeddah Central (PIF waterfront)</t>
        </is>
      </c>
      <c r="D144" s="31" t="n">
        <v>2.4</v>
      </c>
      <c r="E144" s="26" t="n">
        <v>60</v>
      </c>
      <c r="F144" s="32" t="inlineStr">
        <is>
          <t>T5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MIN(15,FLOOR(60*service_hr/J144,1))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/>
      <c r="AH144" s="32" t="inlineStr">
        <is>
          <t>T5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IF(OR(AG144="",R144=0),"",MIN(IF(AT144="",9.9E+99,AT144),FLOOR(AK144/R144,1)))</f>
        <v/>
      </c>
      <c r="AM144" s="38">
        <f>IF(AL144="","",AL144*T144)</f>
        <v/>
      </c>
      <c r="AN144" s="36">
        <f>IF(OR(AG144="",R144=0),"",MIN(IF(AT144="",9.9E+99,AT144),AK144/R144))</f>
        <v/>
      </c>
      <c r="AO144" s="38">
        <f>IF(AN144="","",AN144*T144)</f>
        <v/>
      </c>
      <c r="AP144" s="40" t="n"/>
      <c r="AQ144" s="32" t="inlineStr">
        <is>
          <t>Estimated</t>
        </is>
      </c>
      <c r="AR144" s="41" t="n"/>
      <c r="AS144" s="41" t="n"/>
      <c r="AT144" s="42" t="n"/>
      <c r="AU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V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W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X14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Y14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145">
      <c r="A145" s="29" t="inlineStr">
        <is>
          <t>Bolt</t>
        </is>
      </c>
      <c r="B145" s="29" t="inlineStr">
        <is>
          <t>Saudi Arabia</t>
        </is>
      </c>
      <c r="C145" s="30" t="inlineStr">
        <is>
          <t>Outer-island resort → Outer-island resort cluster (Nujuma / Jumeirah / St Regis)</t>
        </is>
      </c>
      <c r="D145" s="31" t="n">
        <v>9.699999999999999</v>
      </c>
      <c r="E145" s="26" t="n">
        <v>125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MIN(15,FLOOR(60*service_hr/J145,1))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150000</v>
      </c>
      <c r="AH145" s="32" t="inlineStr">
        <is>
          <t>T5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IF(OR(AG145="",R145=0),"",MIN(IF(AT145="",9.9E+99,AT145),FLOOR(AK145/R145,1)))</f>
        <v/>
      </c>
      <c r="AM145" s="38">
        <f>IF(AL145="","",AL145*T145)</f>
        <v/>
      </c>
      <c r="AN145" s="36">
        <f>IF(OR(AG145="",R145=0),"",MIN(IF(AT145="",9.9E+99,AT145),AK145/R145))</f>
        <v/>
      </c>
      <c r="AO145" s="38">
        <f>IF(AN145="","",AN145*T145)</f>
        <v/>
      </c>
      <c r="AP145" s="40" t="n"/>
      <c r="AQ145" s="32" t="inlineStr">
        <is>
          <t>Grounded</t>
        </is>
      </c>
      <c r="AR145" s="41" t="n"/>
      <c r="AS145" s="41" t="n"/>
      <c r="AT145" s="42" t="n"/>
      <c r="AU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V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W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X14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Y14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146">
      <c r="A146" s="29" t="inlineStr">
        <is>
          <t>Bolt</t>
        </is>
      </c>
      <c r="B146" s="29" t="inlineStr">
        <is>
          <t>Saudi Arabia</t>
        </is>
      </c>
      <c r="C146" s="30" t="inlineStr">
        <is>
          <t>Shura Island Marina → Outer-island resorts (St Regis / Nujuma / Shebara)</t>
        </is>
      </c>
      <c r="D146" s="31" t="n">
        <v>11.5</v>
      </c>
      <c r="E146" s="26" t="n">
        <v>175</v>
      </c>
      <c r="F146" s="32" t="inlineStr">
        <is>
          <t>T5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MIN(15,FLOOR(60*service_hr/J146,1))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500000</v>
      </c>
      <c r="AH146" s="32" t="inlineStr">
        <is>
          <t>T2</t>
        </is>
      </c>
      <c r="AI146" s="32" t="inlineStr">
        <is>
          <t>low-med</t>
        </is>
      </c>
      <c r="AJ146" s="39" t="n">
        <v>0.1</v>
      </c>
      <c r="AK146" s="34">
        <f>IF(AG146="","",AG146*AJ146)</f>
        <v/>
      </c>
      <c r="AL146" s="34">
        <f>IF(OR(AG146="",R146=0),"",MIN(IF(AT146="",9.9E+99,AT146),FLOOR(AK146/R146,1)))</f>
        <v/>
      </c>
      <c r="AM146" s="38">
        <f>IF(AL146="","",AL146*T146)</f>
        <v/>
      </c>
      <c r="AN146" s="36">
        <f>IF(OR(AG146="",R146=0),"",MIN(IF(AT146="",9.9E+99,AT146),AK146/R146))</f>
        <v/>
      </c>
      <c r="AO146" s="38">
        <f>IF(AN146="","",AN146*T146)</f>
        <v/>
      </c>
      <c r="AP146" s="40" t="n"/>
      <c r="AQ146" s="32" t="inlineStr">
        <is>
          <t>Grounded</t>
        </is>
      </c>
      <c r="AR146" s="41" t="n"/>
      <c r="AS146" s="41" t="n"/>
      <c r="AT146" s="42" t="n"/>
      <c r="AU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V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W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X14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Y14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147">
      <c r="A147" s="29" t="inlineStr">
        <is>
          <t>Bolt</t>
        </is>
      </c>
      <c r="B147" s="29" t="inlineStr">
        <is>
          <t>Saudi Arabia</t>
        </is>
      </c>
      <c r="C147" s="30" t="inlineStr">
        <is>
          <t>Jeddah Corniche → Jeddah Yacht Club &amp; Marina</t>
        </is>
      </c>
      <c r="D147" s="31" t="n">
        <v>12</v>
      </c>
      <c r="E147" s="26" t="n"/>
      <c r="F147" s="32" t="n"/>
      <c r="G147" s="32" t="n"/>
      <c r="H147" s="19" t="n">
        <v>1</v>
      </c>
      <c r="I147" s="33">
        <f>60*D147/cruise_kt</f>
        <v/>
      </c>
      <c r="J147" s="33">
        <f>I147+turn_min+dwell_min</f>
        <v/>
      </c>
      <c r="K147" s="34">
        <f>MIN(15,FLOOR(60*service_hr/J147,1))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/>
      <c r="AH147" s="32" t="n"/>
      <c r="AI147" s="32" t="n"/>
      <c r="AJ147" s="39" t="n">
        <v>0.1</v>
      </c>
      <c r="AK147" s="34">
        <f>IF(AG147="","",AG147*AJ147)</f>
        <v/>
      </c>
      <c r="AL147" s="34">
        <f>IF(OR(AG147="",R147=0),"",MIN(IF(AT147="",9.9E+99,AT147),FLOOR(AK147/R147,1)))</f>
        <v/>
      </c>
      <c r="AM147" s="38">
        <f>IF(AL147="","",AL147*T147)</f>
        <v/>
      </c>
      <c r="AN147" s="36">
        <f>IF(OR(AG147="",R147=0),"",MIN(IF(AT147="",9.9E+99,AT147),AK147/R147))</f>
        <v/>
      </c>
      <c r="AO147" s="38">
        <f>IF(AN147="","",AN147*T147)</f>
        <v/>
      </c>
      <c r="AP147" s="40" t="n"/>
      <c r="AQ147" s="32" t="inlineStr">
        <is>
          <t>Estimated</t>
        </is>
      </c>
      <c r="AR147" s="41" t="n"/>
      <c r="AS147" s="41" t="n"/>
      <c r="AT147" s="42" t="n"/>
      <c r="AU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V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W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X147" s="44" t="n"/>
      <c r="AY147" s="44" t="n"/>
    </row>
    <row r="148">
      <c r="A148" s="29" t="inlineStr">
        <is>
          <t>Bolt</t>
        </is>
      </c>
      <c r="B148" s="29" t="inlineStr">
        <is>
          <t>Saudi Arabia</t>
        </is>
      </c>
      <c r="C148" s="30" t="inlineStr">
        <is>
          <t>Khobar / Dammam (Eastern Province) → Manama, Bahrain</t>
        </is>
      </c>
      <c r="D148" s="31" t="n">
        <v>18.6</v>
      </c>
      <c r="E148" s="26" t="n">
        <v>80</v>
      </c>
      <c r="F148" s="32" t="inlineStr">
        <is>
          <t>T5</t>
        </is>
      </c>
      <c r="G148" s="32" t="inlineStr">
        <is>
          <t>low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MIN(15,FLOOR(60*service_hr/J148,1))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330000</v>
      </c>
      <c r="AH148" s="32" t="inlineStr">
        <is>
          <t>T3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IF(OR(AG148="",R148=0),"",MIN(IF(AT148="",9.9E+99,AT148),FLOOR(AK148/R148,1)))</f>
        <v/>
      </c>
      <c r="AM148" s="38">
        <f>IF(AL148="","",AL148*T148)</f>
        <v/>
      </c>
      <c r="AN148" s="36">
        <f>IF(OR(AG148="",R148=0),"",MIN(IF(AT148="",9.9E+99,AT148),AK148/R148))</f>
        <v/>
      </c>
      <c r="AO148" s="38">
        <f>IF(AN148="","",AN148*T148)</f>
        <v/>
      </c>
      <c r="AP148" s="40" t="n"/>
      <c r="AQ148" s="32" t="inlineStr">
        <is>
          <t>Grounded</t>
        </is>
      </c>
      <c r="AR148" s="41" t="n"/>
      <c r="AS148" s="41" t="n"/>
      <c r="AT148" s="42" t="n"/>
      <c r="AU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V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W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X14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Y14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149">
      <c r="A149" s="29" t="inlineStr">
        <is>
          <t>Bolt</t>
        </is>
      </c>
      <c r="B149" s="29" t="inlineStr">
        <is>
          <t>Saudi Arabia</t>
        </is>
      </c>
      <c r="C149" s="30" t="inlineStr">
        <is>
          <t>The Red Sea → AMAALA (Triple Bay)</t>
        </is>
      </c>
      <c r="D149" s="31" t="n">
        <v>29.4</v>
      </c>
      <c r="E149" s="26" t="n">
        <v>250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MIN(15,FLOOR(60*service_hr/J149,1))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500000</v>
      </c>
      <c r="AH149" s="32" t="inlineStr">
        <is>
          <t>T4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IF(OR(AG149="",R149=0),"",MIN(IF(AT149="",9.9E+99,AT149),FLOOR(AK149/R149,1)))</f>
        <v/>
      </c>
      <c r="AM149" s="38">
        <f>IF(AL149="","",AL149*T149)</f>
        <v/>
      </c>
      <c r="AN149" s="36">
        <f>IF(OR(AG149="",R149=0),"",MIN(IF(AT149="",9.9E+99,AT149),AK149/R149))</f>
        <v/>
      </c>
      <c r="AO149" s="38">
        <f>IF(AN149="","",AN149*T149)</f>
        <v/>
      </c>
      <c r="AP149" s="40" t="n"/>
      <c r="AQ149" s="32" t="inlineStr">
        <is>
          <t>Grounded</t>
        </is>
      </c>
      <c r="AR149" s="41" t="n"/>
      <c r="AS149" s="41" t="n"/>
      <c r="AT149" s="42" t="n"/>
      <c r="AU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V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W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X14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Y14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50">
      <c r="A150" s="29" t="inlineStr">
        <is>
          <t>Bolt</t>
        </is>
      </c>
      <c r="B150" s="29" t="inlineStr">
        <is>
          <t>Saudi Arabia</t>
        </is>
      </c>
      <c r="C150" s="30" t="inlineStr">
        <is>
          <t>NEOM — Sindalah → Magna / Oxagon coast</t>
        </is>
      </c>
      <c r="D150" s="31" t="n">
        <v>30.8</v>
      </c>
      <c r="E150" s="26" t="n">
        <v>120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MIN(15,FLOOR(60*service_hr/J150,1))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250000</v>
      </c>
      <c r="AH150" s="32" t="inlineStr">
        <is>
          <t>T2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IF(OR(AG150="",R150=0),"",MIN(IF(AT150="",9.9E+99,AT150),FLOOR(AK150/R150,1)))</f>
        <v/>
      </c>
      <c r="AM150" s="38">
        <f>IF(AL150="","",AL150*T150)</f>
        <v/>
      </c>
      <c r="AN150" s="36">
        <f>IF(OR(AG150="",R150=0),"",MIN(IF(AT150="",9.9E+99,AT150),AK150/R150))</f>
        <v/>
      </c>
      <c r="AO150" s="38">
        <f>IF(AN150="","",AN150*T150)</f>
        <v/>
      </c>
      <c r="AP150" s="40" t="n"/>
      <c r="AQ150" s="32" t="inlineStr">
        <is>
          <t>Grounded</t>
        </is>
      </c>
      <c r="AR150" s="41" t="n"/>
      <c r="AS150" s="41" t="n"/>
      <c r="AT150" s="42" t="n"/>
      <c r="AU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V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W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X15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Y15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51">
      <c r="A151" s="29" t="inlineStr">
        <is>
          <t>Bolt</t>
        </is>
      </c>
      <c r="B151" s="29" t="inlineStr">
        <is>
          <t>Spain</t>
        </is>
      </c>
      <c r="C151" s="30" t="inlineStr">
        <is>
          <t>L'Estartit → Illes Medes</t>
        </is>
      </c>
      <c r="D151" s="31" t="n">
        <v>0.8</v>
      </c>
      <c r="E151" s="26" t="n">
        <v>27</v>
      </c>
      <c r="F151" s="32" t="inlineStr">
        <is>
          <t>T2</t>
        </is>
      </c>
      <c r="G151" s="32" t="inlineStr">
        <is>
          <t>med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MIN(15,FLOOR(60*service_hr/J151,1))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/>
      <c r="AH151" s="32" t="n"/>
      <c r="AI151" s="32" t="n"/>
      <c r="AJ151" s="39" t="n">
        <v>0.1</v>
      </c>
      <c r="AK151" s="34">
        <f>IF(AG151="","",AG151*AJ151)</f>
        <v/>
      </c>
      <c r="AL151" s="34">
        <f>IF(OR(AG151="",R151=0),"",MIN(IF(AT151="",9.9E+99,AT151),FLOOR(AK151/R151,1)))</f>
        <v/>
      </c>
      <c r="AM151" s="38">
        <f>IF(AL151="","",AL151*T151)</f>
        <v/>
      </c>
      <c r="AN151" s="36">
        <f>IF(OR(AG151="",R151=0),"",MIN(IF(AT151="",9.9E+99,AT151),AK151/R151))</f>
        <v/>
      </c>
      <c r="AO151" s="38">
        <f>IF(AN151="","",AN151*T151)</f>
        <v/>
      </c>
      <c r="AP151" s="40" t="n"/>
      <c r="AQ151" s="32" t="inlineStr">
        <is>
          <t>Estimated</t>
        </is>
      </c>
      <c r="AR151" s="41" t="n"/>
      <c r="AS151" s="41" t="n"/>
      <c r="AT151" s="42" t="n"/>
      <c r="AU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V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W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X151" s="44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AY151" s="44" t="n"/>
    </row>
    <row r="152">
      <c r="A152" s="29" t="inlineStr">
        <is>
          <t>Bolt</t>
        </is>
      </c>
      <c r="B152" s="29" t="inlineStr">
        <is>
          <t>Spain</t>
        </is>
      </c>
      <c r="C152" s="30" t="inlineStr">
        <is>
          <t>Marbella → Puerto Banús</t>
        </is>
      </c>
      <c r="D152" s="31" t="n">
        <v>3.5</v>
      </c>
      <c r="E152" s="26" t="n">
        <v>11.9</v>
      </c>
      <c r="F152" s="32" t="inlineStr">
        <is>
          <t>T2</t>
        </is>
      </c>
      <c r="G152" s="32" t="inlineStr">
        <is>
          <t>med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MIN(24,FLOOR(60*service_hr/J152,1))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36000</v>
      </c>
      <c r="AH152" s="32" t="n"/>
      <c r="AI152" s="32" t="n"/>
      <c r="AJ152" s="39" t="n">
        <v>0.1</v>
      </c>
      <c r="AK152" s="34">
        <f>IF(AG152="","",AG152*AJ152)</f>
        <v/>
      </c>
      <c r="AL152" s="34">
        <f>IF(OR(AG152="",R152=0),"",MIN(IF(AT152="",9.9E+99,AT152),FLOOR(AK152/R152,1)))</f>
        <v/>
      </c>
      <c r="AM152" s="38">
        <f>IF(AL152="","",AL152*T152)</f>
        <v/>
      </c>
      <c r="AN152" s="36">
        <f>IF(OR(AG152="",R152=0),"",MIN(IF(AT152="",9.9E+99,AT152),AK152/R152))</f>
        <v/>
      </c>
      <c r="AO152" s="38">
        <f>IF(AN152="","",AN152*T152)</f>
        <v/>
      </c>
      <c r="AP152" s="40" t="n"/>
      <c r="AQ152" s="32" t="inlineStr">
        <is>
          <t>Grounded</t>
        </is>
      </c>
      <c r="AR152" s="41" t="n"/>
      <c r="AS152" s="41" t="n"/>
      <c r="AT152" s="42" t="n"/>
      <c r="AU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V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W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X152" s="44" t="inlineStr">
        <is>
          <t>PREMIUM tier: Fly Blue catamaran Marbella&lt;-&gt;Puerto Banús ~EUR 11 one-way (traveller reports EUR 11 one-way; ~30 min) x 1.08 = ~$11.9. Short hop, inexpensive premium tier.</t>
        </is>
      </c>
      <c r="AY152" s="44" t="n"/>
    </row>
    <row r="153">
      <c r="A153" s="29" t="inlineStr">
        <is>
          <t>Bolt</t>
        </is>
      </c>
      <c r="B153" s="29" t="inlineStr">
        <is>
          <t>Spain</t>
        </is>
      </c>
      <c r="C153" s="30" t="inlineStr">
        <is>
          <t>Lloret de Mar → Tossa de Mar</t>
        </is>
      </c>
      <c r="D153" s="31" t="n">
        <v>4</v>
      </c>
      <c r="E153" s="26" t="n">
        <v>20</v>
      </c>
      <c r="F153" s="32" t="inlineStr">
        <is>
          <t>T2</t>
        </is>
      </c>
      <c r="G153" s="32" t="inlineStr">
        <is>
          <t>med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MIN(24,FLOOR(60*service_hr/J153,1))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112000</v>
      </c>
      <c r="AH153" s="32" t="n"/>
      <c r="AI153" s="32" t="n"/>
      <c r="AJ153" s="39" t="n">
        <v>0.1</v>
      </c>
      <c r="AK153" s="34">
        <f>IF(AG153="","",AG153*AJ153)</f>
        <v/>
      </c>
      <c r="AL153" s="34">
        <f>IF(OR(AG153="",R153=0),"",MIN(IF(AT153="",9.9E+99,AT153),FLOOR(AK153/R153,1)))</f>
        <v/>
      </c>
      <c r="AM153" s="38">
        <f>IF(AL153="","",AL153*T153)</f>
        <v/>
      </c>
      <c r="AN153" s="36">
        <f>IF(OR(AG153="",R153=0),"",MIN(IF(AT153="",9.9E+99,AT153),AK153/R153))</f>
        <v/>
      </c>
      <c r="AO153" s="38">
        <f>IF(AN153="","",AN153*T153)</f>
        <v/>
      </c>
      <c r="AP153" s="40" t="n"/>
      <c r="AQ153" s="32" t="inlineStr">
        <is>
          <t>Grounded</t>
        </is>
      </c>
      <c r="AR153" s="41" t="n"/>
      <c r="AS153" s="41" t="n"/>
      <c r="AT153" s="42" t="n"/>
      <c r="AU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V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W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X153" s="44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AY153" s="44" t="n"/>
    </row>
    <row r="154">
      <c r="A154" s="29" t="inlineStr">
        <is>
          <t>Bolt</t>
        </is>
      </c>
      <c r="B154" s="29" t="inlineStr">
        <is>
          <t>Spain</t>
        </is>
      </c>
      <c r="C154" s="30" t="inlineStr">
        <is>
          <t>Port de Sóller (Mallorca) → Sa Calobra / Torrent de Pareis (Mallorca)</t>
        </is>
      </c>
      <c r="D154" s="31" t="n">
        <v>9</v>
      </c>
      <c r="E154" s="26" t="n">
        <v>24.8</v>
      </c>
      <c r="F154" s="32" t="inlineStr">
        <is>
          <t>T2</t>
        </is>
      </c>
      <c r="G154" s="32" t="inlineStr">
        <is>
          <t>med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MIN(15,FLOOR(60*service_hr/J154,1))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/>
      <c r="AH154" s="32" t="n"/>
      <c r="AI154" s="32" t="n"/>
      <c r="AJ154" s="39" t="n">
        <v>0.1</v>
      </c>
      <c r="AK154" s="34">
        <f>IF(AG154="","",AG154*AJ154)</f>
        <v/>
      </c>
      <c r="AL154" s="34">
        <f>IF(OR(AG154="",R154=0),"",MIN(IF(AT154="",9.9E+99,AT154),FLOOR(AK154/R154,1)))</f>
        <v/>
      </c>
      <c r="AM154" s="38">
        <f>IF(AL154="","",AL154*T154)</f>
        <v/>
      </c>
      <c r="AN154" s="36">
        <f>IF(OR(AG154="",R154=0),"",MIN(IF(AT154="",9.9E+99,AT154),AK154/R154))</f>
        <v/>
      </c>
      <c r="AO154" s="38">
        <f>IF(AN154="","",AN154*T154)</f>
        <v/>
      </c>
      <c r="AP154" s="40" t="n"/>
      <c r="AQ154" s="32" t="inlineStr">
        <is>
          <t>Estimated</t>
        </is>
      </c>
      <c r="AR154" s="41" t="n"/>
      <c r="AS154" s="41" t="n"/>
      <c r="AT154" s="42" t="n"/>
      <c r="AU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V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W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X154" s="44" t="inlineStr">
        <is>
          <t>PREMIUM tier: Barcos Azules Port de Sóller-&gt;Sa Calobra adult one-way (un trayecto) EUR 23 (2025/2026 tariff) x 1.08 = ~$24.8.</t>
        </is>
      </c>
      <c r="AY154" s="44" t="n"/>
    </row>
    <row r="155">
      <c r="A155" s="29" t="inlineStr">
        <is>
          <t>Bolt</t>
        </is>
      </c>
      <c r="B155" s="29" t="inlineStr">
        <is>
          <t>Spain</t>
        </is>
      </c>
      <c r="C155" s="30" t="inlineStr">
        <is>
          <t>Ibiza Town (Eivissa) → Formentera (La Savina)</t>
        </is>
      </c>
      <c r="D155" s="31" t="n">
        <v>12</v>
      </c>
      <c r="E155" s="26" t="n">
        <v>28.6</v>
      </c>
      <c r="F155" s="32" t="inlineStr">
        <is>
          <t>T2</t>
        </is>
      </c>
      <c r="G155" s="32" t="inlineStr">
        <is>
          <t>med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MIN(15,FLOOR(60*service_hr/J155,1))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1190000</v>
      </c>
      <c r="AH155" s="32" t="n"/>
      <c r="AI155" s="32" t="n"/>
      <c r="AJ155" s="39" t="n">
        <v>0.1</v>
      </c>
      <c r="AK155" s="34">
        <f>IF(AG155="","",AG155*AJ155)</f>
        <v/>
      </c>
      <c r="AL155" s="34">
        <f>IF(OR(AG155="",R155=0),"",MIN(IF(AT155="",9.9E+99,AT155),FLOOR(AK155/R155,1)))</f>
        <v/>
      </c>
      <c r="AM155" s="38">
        <f>IF(AL155="","",AL155*T155)</f>
        <v/>
      </c>
      <c r="AN155" s="36">
        <f>IF(OR(AG155="",R155=0),"",MIN(IF(AT155="",9.9E+99,AT155),AK155/R155))</f>
        <v/>
      </c>
      <c r="AO155" s="38">
        <f>IF(AN155="","",AN155*T155)</f>
        <v/>
      </c>
      <c r="AP155" s="40" t="n"/>
      <c r="AQ155" s="32" t="inlineStr">
        <is>
          <t>Grounded</t>
        </is>
      </c>
      <c r="AR155" s="41" t="n"/>
      <c r="AS155" s="41" t="n"/>
      <c r="AT155" s="42" t="n"/>
      <c r="AU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V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W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X155" s="44" t="inlineStr">
        <is>
          <t>PREMIUM tier: Trasmapi/Balearia fast-ferry standard adult one-way ~EUR 26.50 (Trasmapi 'normal price 26.50 EUR one way') x 1.08 = ~$28.6 (fast-ferry tickets EUR 23-29; Balearia 'from EUR 25').</t>
        </is>
      </c>
      <c r="AY155" s="44" t="n"/>
    </row>
    <row r="156">
      <c r="A156" s="29" t="inlineStr">
        <is>
          <t>Bolt</t>
        </is>
      </c>
      <c r="B156" s="29" t="inlineStr">
        <is>
          <t>Spain</t>
        </is>
      </c>
      <c r="C156" s="30" t="inlineStr">
        <is>
          <t>Puerto Banús → Estepona</t>
        </is>
      </c>
      <c r="D156" s="31" t="n">
        <v>12</v>
      </c>
      <c r="E156" s="26" t="n">
        <v>16.2</v>
      </c>
      <c r="F156" s="32" t="inlineStr">
        <is>
          <t>T2</t>
        </is>
      </c>
      <c r="G156" s="32" t="inlineStr">
        <is>
          <t>med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MIN(24,FLOOR(60*service_hr/J156,1))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/>
      <c r="AH156" s="32" t="n"/>
      <c r="AI156" s="32" t="n"/>
      <c r="AJ156" s="39" t="n">
        <v>0.1</v>
      </c>
      <c r="AK156" s="34">
        <f>IF(AG156="","",AG156*AJ156)</f>
        <v/>
      </c>
      <c r="AL156" s="34">
        <f>IF(OR(AG156="",R156=0),"",MIN(IF(AT156="",9.9E+99,AT156),FLOOR(AK156/R156,1)))</f>
        <v/>
      </c>
      <c r="AM156" s="38">
        <f>IF(AL156="","",AL156*T156)</f>
        <v/>
      </c>
      <c r="AN156" s="36">
        <f>IF(OR(AG156="",R156=0),"",MIN(IF(AT156="",9.9E+99,AT156),AK156/R156))</f>
        <v/>
      </c>
      <c r="AO156" s="38">
        <f>IF(AN156="","",AN156*T156)</f>
        <v/>
      </c>
      <c r="AP156" s="40" t="n"/>
      <c r="AQ156" s="32" t="inlineStr">
        <is>
          <t>Estimated</t>
        </is>
      </c>
      <c r="AR156" s="41" t="n"/>
      <c r="AS156" s="41" t="n"/>
      <c r="AT156" s="42" t="n"/>
      <c r="AU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V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W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X156" s="44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AY156" s="44" t="n"/>
    </row>
    <row r="157">
      <c r="A157" s="29" t="inlineStr">
        <is>
          <t>Bolt</t>
        </is>
      </c>
      <c r="B157" s="29" t="inlineStr">
        <is>
          <t>Spain</t>
        </is>
      </c>
      <c r="C157" s="30" t="inlineStr">
        <is>
          <t>Tarifa → Tangier (Morocco)</t>
        </is>
      </c>
      <c r="D157" s="31" t="n">
        <v>18</v>
      </c>
      <c r="E157" s="26" t="n">
        <v>45.4</v>
      </c>
      <c r="F157" s="32" t="inlineStr">
        <is>
          <t>T2</t>
        </is>
      </c>
      <c r="G157" s="32" t="inlineStr">
        <is>
          <t>med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MIN(15,FLOOR(60*service_hr/J157,1))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700000</v>
      </c>
      <c r="AH157" s="32" t="n"/>
      <c r="AI157" s="32" t="n"/>
      <c r="AJ157" s="39" t="n">
        <v>0.1</v>
      </c>
      <c r="AK157" s="34">
        <f>IF(AG157="","",AG157*AJ157)</f>
        <v/>
      </c>
      <c r="AL157" s="34">
        <f>IF(OR(AG157="",R157=0),"",MIN(IF(AT157="",9.9E+99,AT157),FLOOR(AK157/R157,1)))</f>
        <v/>
      </c>
      <c r="AM157" s="38">
        <f>IF(AL157="","",AL157*T157)</f>
        <v/>
      </c>
      <c r="AN157" s="36">
        <f>IF(OR(AG157="",R157=0),"",MIN(IF(AT157="",9.9E+99,AT157),AK157/R157))</f>
        <v/>
      </c>
      <c r="AO157" s="38">
        <f>IF(AN157="","",AN157*T157)</f>
        <v/>
      </c>
      <c r="AP157" s="40" t="n"/>
      <c r="AQ157" s="32" t="inlineStr">
        <is>
          <t>Grounded</t>
        </is>
      </c>
      <c r="AR157" s="41" t="n"/>
      <c r="AS157" s="41" t="n"/>
      <c r="AT157" s="42" t="n"/>
      <c r="AU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V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W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X157" s="44" t="inlineStr">
        <is>
          <t>PREMIUM tier: Tarifa-&gt;Tangier fast ferry one-way ~EUR 37.50-45 (Ferryhopper from ~EUR 37.50; FRS/DFDS) -&gt; ~EUR 42 x 1.08 = ~$45.4.</t>
        </is>
      </c>
      <c r="AY157" s="44" t="n"/>
    </row>
    <row r="158">
      <c r="A158" s="29" t="inlineStr">
        <is>
          <t>Bolt</t>
        </is>
      </c>
      <c r="B158" s="29" t="inlineStr">
        <is>
          <t>Spain</t>
        </is>
      </c>
      <c r="C158" s="30" t="inlineStr">
        <is>
          <t>Alcúdia (Mallorca) → Ciutadella (Menorca)</t>
        </is>
      </c>
      <c r="D158" s="31" t="n">
        <v>22</v>
      </c>
      <c r="E158" s="26" t="n">
        <v>80</v>
      </c>
      <c r="F158" s="32" t="inlineStr">
        <is>
          <t>T2</t>
        </is>
      </c>
      <c r="G158" s="32" t="inlineStr">
        <is>
          <t>med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MIN(15,FLOOR(60*service_hr/J158,1))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62400</v>
      </c>
      <c r="AH158" s="32" t="n"/>
      <c r="AI158" s="32" t="n"/>
      <c r="AJ158" s="39" t="n">
        <v>0.1</v>
      </c>
      <c r="AK158" s="34">
        <f>IF(AG158="","",AG158*AJ158)</f>
        <v/>
      </c>
      <c r="AL158" s="34">
        <f>IF(OR(AG158="",R158=0),"",MIN(IF(AT158="",9.9E+99,AT158),FLOOR(AK158/R158,1)))</f>
        <v/>
      </c>
      <c r="AM158" s="38">
        <f>IF(AL158="","",AL158*T158)</f>
        <v/>
      </c>
      <c r="AN158" s="36">
        <f>IF(OR(AG158="",R158=0),"",MIN(IF(AT158="",9.9E+99,AT158),AK158/R158))</f>
        <v/>
      </c>
      <c r="AO158" s="38">
        <f>IF(AN158="","",AN158*T158)</f>
        <v/>
      </c>
      <c r="AP158" s="40" t="n"/>
      <c r="AQ158" s="32" t="inlineStr">
        <is>
          <t>Grounded</t>
        </is>
      </c>
      <c r="AR158" s="41" t="n"/>
      <c r="AS158" s="41" t="n"/>
      <c r="AT158" s="42" t="n"/>
      <c r="AU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V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W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X158" s="44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AY158" s="44" t="n"/>
    </row>
    <row r="159">
      <c r="A159" s="29" t="inlineStr">
        <is>
          <t>Bolt</t>
        </is>
      </c>
      <c r="B159" s="29" t="inlineStr">
        <is>
          <t>Spain</t>
        </is>
      </c>
      <c r="C159" s="30" t="inlineStr">
        <is>
          <t>Dénia → Ibiza Town (Eivissa)</t>
        </is>
      </c>
      <c r="D159" s="31" t="n">
        <v>56</v>
      </c>
      <c r="E159" s="26" t="n">
        <v>54</v>
      </c>
      <c r="F159" s="32" t="inlineStr">
        <is>
          <t>T2</t>
        </is>
      </c>
      <c r="G159" s="32" t="inlineStr">
        <is>
          <t>med</t>
        </is>
      </c>
      <c r="H159" s="19" t="n">
        <v>1</v>
      </c>
      <c r="I159" s="33">
        <f>60*D159/cruise_kt</f>
        <v/>
      </c>
      <c r="J159" s="33">
        <f>I159+turn_min+dwell_min</f>
        <v/>
      </c>
      <c r="K159" s="34">
        <f>MIN(15,FLOOR(60*service_hr/J159,1))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>
        <v>49000</v>
      </c>
      <c r="AH159" s="32" t="n"/>
      <c r="AI159" s="32" t="n"/>
      <c r="AJ159" s="39" t="n">
        <v>0.1</v>
      </c>
      <c r="AK159" s="34">
        <f>IF(AG159="","",AG159*AJ159)</f>
        <v/>
      </c>
      <c r="AL159" s="34">
        <f>IF(OR(AG159="",R159=0),"",MIN(IF(AT159="",9.9E+99,AT159),FLOOR(AK159/R159,1)))</f>
        <v/>
      </c>
      <c r="AM159" s="38">
        <f>IF(AL159="","",AL159*T159)</f>
        <v/>
      </c>
      <c r="AN159" s="36">
        <f>IF(OR(AG159="",R159=0),"",MIN(IF(AT159="",9.9E+99,AT159),AK159/R159))</f>
        <v/>
      </c>
      <c r="AO159" s="38">
        <f>IF(AN159="","",AN159*T159)</f>
        <v/>
      </c>
      <c r="AP159" s="40" t="n"/>
      <c r="AQ159" s="32" t="inlineStr">
        <is>
          <t>Grounded</t>
        </is>
      </c>
      <c r="AR159" s="41" t="n"/>
      <c r="AS159" s="41" t="n"/>
      <c r="AT159" s="42" t="n"/>
      <c r="AU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V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W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X159" s="44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AY159" s="44" t="n"/>
    </row>
    <row r="160">
      <c r="A160" s="29" t="inlineStr">
        <is>
          <t>Bolt</t>
        </is>
      </c>
      <c r="B160" s="29" t="inlineStr">
        <is>
          <t>Sweden</t>
        </is>
      </c>
      <c r="C160" s="30" t="inlineStr">
        <is>
          <t>Stockholm (Slussen) → Djurgarden</t>
        </is>
      </c>
      <c r="D160" s="31" t="n">
        <v>0.5</v>
      </c>
      <c r="E160" s="26" t="n">
        <v>18</v>
      </c>
      <c r="F160" s="32" t="inlineStr">
        <is>
          <t>T2</t>
        </is>
      </c>
      <c r="G160" s="32" t="inlineStr">
        <is>
          <t>med</t>
        </is>
      </c>
      <c r="H160" s="19" t="n">
        <v>1</v>
      </c>
      <c r="I160" s="33">
        <f>60*D160/cruise_kt</f>
        <v/>
      </c>
      <c r="J160" s="33">
        <f>I160+turn_min+dwell_min</f>
        <v/>
      </c>
      <c r="K160" s="34">
        <f>MIN(15,FLOOR(60*service_hr/J160,1))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>
        <v>271332</v>
      </c>
      <c r="AH160" s="32" t="n"/>
      <c r="AI160" s="32" t="inlineStr">
        <is>
          <t>med</t>
        </is>
      </c>
      <c r="AJ160" s="39" t="n">
        <v>0.25</v>
      </c>
      <c r="AK160" s="34">
        <f>IF(AG160="","",AG160*AJ160)</f>
        <v/>
      </c>
      <c r="AL160" s="34">
        <f>IF(OR(AG160="",R160=0),"",MIN(IF(AT160="",9.9E+99,AT160),FLOOR(AK160/R160,1)))</f>
        <v/>
      </c>
      <c r="AM160" s="38">
        <f>IF(AL160="","",AL160*T160)</f>
        <v/>
      </c>
      <c r="AN160" s="36">
        <f>IF(OR(AG160="",R160=0),"",MIN(IF(AT160="",9.9E+99,AT160),AK160/R160))</f>
        <v/>
      </c>
      <c r="AO160" s="38">
        <f>IF(AN160="","",AN160*T160)</f>
        <v/>
      </c>
      <c r="AP160" s="40" t="n"/>
      <c r="AQ160" s="32" t="inlineStr">
        <is>
          <t>Grounded</t>
        </is>
      </c>
      <c r="AR160" s="41" t="n"/>
      <c r="AS160" s="41" t="n"/>
      <c r="AT160" s="42" t="n"/>
      <c r="AU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V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W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X160" s="44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AY160" s="44" t="n"/>
    </row>
    <row r="161">
      <c r="A161" s="29" t="inlineStr">
        <is>
          <t>Bolt</t>
        </is>
      </c>
      <c r="B161" s="29" t="inlineStr">
        <is>
          <t>Sweden</t>
        </is>
      </c>
      <c r="C161" s="30" t="inlineStr">
        <is>
          <t>Stockholm (Nybroplan) → Nacka Strand / Ropsten</t>
        </is>
      </c>
      <c r="D161" s="31" t="n">
        <v>3</v>
      </c>
      <c r="E161" s="26" t="n">
        <v>18</v>
      </c>
      <c r="F161" s="32" t="inlineStr">
        <is>
          <t>T2</t>
        </is>
      </c>
      <c r="G161" s="32" t="inlineStr">
        <is>
          <t>med</t>
        </is>
      </c>
      <c r="H161" s="19" t="n">
        <v>1</v>
      </c>
      <c r="I161" s="33">
        <f>60*D161/cruise_kt</f>
        <v/>
      </c>
      <c r="J161" s="33">
        <f>I161+turn_min+dwell_min</f>
        <v/>
      </c>
      <c r="K161" s="34">
        <f>MIN(24,FLOOR(60*service_hr/J161,1))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>
        <v>365638</v>
      </c>
      <c r="AH161" s="32" t="n"/>
      <c r="AI161" s="32" t="inlineStr">
        <is>
          <t>med</t>
        </is>
      </c>
      <c r="AJ161" s="39" t="n">
        <v>0.25</v>
      </c>
      <c r="AK161" s="34">
        <f>IF(AG161="","",AG161*AJ161)</f>
        <v/>
      </c>
      <c r="AL161" s="34">
        <f>IF(OR(AG161="",R161=0),"",MIN(IF(AT161="",9.9E+99,AT161),FLOOR(AK161/R161,1)))</f>
        <v/>
      </c>
      <c r="AM161" s="38">
        <f>IF(AL161="","",AL161*T161)</f>
        <v/>
      </c>
      <c r="AN161" s="36">
        <f>IF(OR(AG161="",R161=0),"",MIN(IF(AT161="",9.9E+99,AT161),AK161/R161))</f>
        <v/>
      </c>
      <c r="AO161" s="38">
        <f>IF(AN161="","",AN161*T161)</f>
        <v/>
      </c>
      <c r="AP161" s="40" t="n"/>
      <c r="AQ161" s="32" t="inlineStr">
        <is>
          <t>Grounded</t>
        </is>
      </c>
      <c r="AR161" s="41" t="n"/>
      <c r="AS161" s="41" t="n"/>
      <c r="AT161" s="42" t="n"/>
      <c r="AU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V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W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X161" s="44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AY161" s="44" t="n"/>
    </row>
    <row r="162">
      <c r="A162" s="29" t="inlineStr">
        <is>
          <t>Bolt</t>
        </is>
      </c>
      <c r="B162" s="29" t="inlineStr">
        <is>
          <t>Sweden</t>
        </is>
      </c>
      <c r="C162" s="30" t="inlineStr">
        <is>
          <t>Stockholm (Stadshuskajen / Klara Malarstrand) → Drottningholm</t>
        </is>
      </c>
      <c r="D162" s="31" t="n">
        <v>6</v>
      </c>
      <c r="E162" s="26" t="n">
        <v>13.8</v>
      </c>
      <c r="F162" s="32" t="inlineStr">
        <is>
          <t>T2</t>
        </is>
      </c>
      <c r="G162" s="32" t="inlineStr">
        <is>
          <t>med</t>
        </is>
      </c>
      <c r="H162" s="19" t="n">
        <v>1</v>
      </c>
      <c r="I162" s="33">
        <f>60*D162/cruise_kt</f>
        <v/>
      </c>
      <c r="J162" s="33">
        <f>I162+turn_min+dwell_min</f>
        <v/>
      </c>
      <c r="K162" s="34">
        <f>MIN(15,FLOOR(60*service_hr/J162,1))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>
        <v>700000</v>
      </c>
      <c r="AH162" s="32" t="n"/>
      <c r="AI162" s="32" t="n"/>
      <c r="AJ162" s="39" t="n">
        <v>0.1</v>
      </c>
      <c r="AK162" s="34">
        <f>IF(AG162="","",AG162*AJ162)</f>
        <v/>
      </c>
      <c r="AL162" s="34">
        <f>IF(OR(AG162="",R162=0),"",MIN(IF(AT162="",9.9E+99,AT162),FLOOR(AK162/R162,1)))</f>
        <v/>
      </c>
      <c r="AM162" s="38">
        <f>IF(AL162="","",AL162*T162)</f>
        <v/>
      </c>
      <c r="AN162" s="36">
        <f>IF(OR(AG162="",R162=0),"",MIN(IF(AT162="",9.9E+99,AT162),AK162/R162))</f>
        <v/>
      </c>
      <c r="AO162" s="38">
        <f>IF(AN162="","",AN162*T162)</f>
        <v/>
      </c>
      <c r="AP162" s="40" t="n"/>
      <c r="AQ162" s="32" t="inlineStr">
        <is>
          <t>Grounded</t>
        </is>
      </c>
      <c r="AR162" s="41" t="n"/>
      <c r="AS162" s="41" t="n"/>
      <c r="AT162" s="42" t="n"/>
      <c r="AU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V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W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X162" s="44" t="inlineStr">
        <is>
          <t>PREMIUM tier: Stromma Klara Malarstrand/Stadshuskajen-&gt;Drottningholm scenic steamer; return ferry ~SEK 220 (2026) -&gt; one-way ~SEK 145 = $13.8. (Historic 2017 quote: SEK 210 return.)</t>
        </is>
      </c>
      <c r="AY162" s="44" t="n"/>
    </row>
    <row r="163">
      <c r="A163" s="29" t="inlineStr">
        <is>
          <t>Bolt</t>
        </is>
      </c>
      <c r="B163" s="29" t="inlineStr">
        <is>
          <t>Sweden</t>
        </is>
      </c>
      <c r="C163" s="30" t="inlineStr">
        <is>
          <t>Stockholm (Klara Malarstrand) → Ekero (Tappstrom)</t>
        </is>
      </c>
      <c r="D163" s="31" t="n">
        <v>8.6</v>
      </c>
      <c r="E163" s="26" t="n">
        <v>18</v>
      </c>
      <c r="F163" s="32" t="inlineStr">
        <is>
          <t>T2</t>
        </is>
      </c>
      <c r="G163" s="32" t="inlineStr">
        <is>
          <t>med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MIN(24,FLOOR(60*service_hr/J163,1))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23673</v>
      </c>
      <c r="AH163" s="32" t="n"/>
      <c r="AI163" s="32" t="inlineStr">
        <is>
          <t>med</t>
        </is>
      </c>
      <c r="AJ163" s="39" t="n">
        <v>0.25</v>
      </c>
      <c r="AK163" s="34">
        <f>IF(AG163="","",AG163*AJ163)</f>
        <v/>
      </c>
      <c r="AL163" s="34">
        <f>IF(OR(AG163="",R163=0),"",MIN(IF(AT163="",9.9E+99,AT163),FLOOR(AK163/R163,1)))</f>
        <v/>
      </c>
      <c r="AM163" s="38">
        <f>IF(AL163="","",AL163*T163)</f>
        <v/>
      </c>
      <c r="AN163" s="36">
        <f>IF(OR(AG163="",R163=0),"",MIN(IF(AT163="",9.9E+99,AT163),AK163/R163))</f>
        <v/>
      </c>
      <c r="AO163" s="38">
        <f>IF(AN163="","",AN163*T163)</f>
        <v/>
      </c>
      <c r="AP163" s="40" t="n"/>
      <c r="AQ163" s="32" t="inlineStr">
        <is>
          <t>Grounded</t>
        </is>
      </c>
      <c r="AR163" s="41" t="n"/>
      <c r="AS163" s="41" t="n"/>
      <c r="AT163" s="42" t="n"/>
      <c r="AU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V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W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X163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Y163" s="44" t="n"/>
    </row>
    <row r="164">
      <c r="A164" s="29" t="inlineStr">
        <is>
          <t>Bolt</t>
        </is>
      </c>
      <c r="B164" s="29" t="inlineStr">
        <is>
          <t>Sweden</t>
        </is>
      </c>
      <c r="C164" s="30" t="inlineStr">
        <is>
          <t>Stockholm → Saltsjobaden (Nacka)</t>
        </is>
      </c>
      <c r="D164" s="31" t="n">
        <v>9</v>
      </c>
      <c r="E164" s="26" t="n"/>
      <c r="F164" s="32" t="n"/>
      <c r="G164" s="32" t="n"/>
      <c r="H164" s="19" t="n">
        <v>1</v>
      </c>
      <c r="I164" s="33">
        <f>60*D164/cruise_kt</f>
        <v/>
      </c>
      <c r="J164" s="33">
        <f>I164+turn_min+dwell_min</f>
        <v/>
      </c>
      <c r="K164" s="34">
        <f>MIN(24,FLOOR(60*service_hr/J164,1))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/>
      <c r="AH164" s="32" t="n"/>
      <c r="AI164" s="32" t="n"/>
      <c r="AJ164" s="39" t="n">
        <v>0.1</v>
      </c>
      <c r="AK164" s="34">
        <f>IF(AG164="","",AG164*AJ164)</f>
        <v/>
      </c>
      <c r="AL164" s="34">
        <f>IF(OR(AG164="",R164=0),"",MIN(IF(AT164="",9.9E+99,AT164),FLOOR(AK164/R164,1)))</f>
        <v/>
      </c>
      <c r="AM164" s="38">
        <f>IF(AL164="","",AL164*T164)</f>
        <v/>
      </c>
      <c r="AN164" s="36">
        <f>IF(OR(AG164="",R164=0),"",MIN(IF(AT164="",9.9E+99,AT164),AK164/R164))</f>
        <v/>
      </c>
      <c r="AO164" s="38">
        <f>IF(AN164="","",AN164*T164)</f>
        <v/>
      </c>
      <c r="AP164" s="40" t="n"/>
      <c r="AQ164" s="32" t="inlineStr">
        <is>
          <t>Estimated</t>
        </is>
      </c>
      <c r="AR164" s="41" t="n"/>
      <c r="AS164" s="41" t="n"/>
      <c r="AT164" s="42" t="n"/>
      <c r="AU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V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W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X164" s="44" t="n"/>
      <c r="AY164" s="44" t="n"/>
    </row>
    <row r="165">
      <c r="A165" s="29" t="inlineStr">
        <is>
          <t>Bolt</t>
        </is>
      </c>
      <c r="B165" s="29" t="inlineStr">
        <is>
          <t>Sweden</t>
        </is>
      </c>
      <c r="C165" s="30" t="inlineStr">
        <is>
          <t>Stockholm (Stromkajen) → Alstaket (Varmdo)</t>
        </is>
      </c>
      <c r="D165" s="31" t="n">
        <v>11</v>
      </c>
      <c r="E165" s="26" t="n">
        <v>18</v>
      </c>
      <c r="F165" s="32" t="inlineStr">
        <is>
          <t>T2</t>
        </is>
      </c>
      <c r="G165" s="32" t="inlineStr">
        <is>
          <t>med</t>
        </is>
      </c>
      <c r="H165" s="19" t="n">
        <v>1</v>
      </c>
      <c r="I165" s="33">
        <f>60*D165/cruise_kt</f>
        <v/>
      </c>
      <c r="J165" s="33">
        <f>I165+turn_min+dwell_min</f>
        <v/>
      </c>
      <c r="K165" s="34">
        <f>MIN(24,FLOOR(60*service_hr/J165,1))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>
        <v>13761</v>
      </c>
      <c r="AH165" s="32" t="n"/>
      <c r="AI165" s="32" t="inlineStr">
        <is>
          <t>med</t>
        </is>
      </c>
      <c r="AJ165" s="39" t="n">
        <v>0.25</v>
      </c>
      <c r="AK165" s="34">
        <f>IF(AG165="","",AG165*AJ165)</f>
        <v/>
      </c>
      <c r="AL165" s="34">
        <f>IF(OR(AG165="",R165=0),"",MIN(IF(AT165="",9.9E+99,AT165),FLOOR(AK165/R165,1)))</f>
        <v/>
      </c>
      <c r="AM165" s="38">
        <f>IF(AL165="","",AL165*T165)</f>
        <v/>
      </c>
      <c r="AN165" s="36">
        <f>IF(OR(AG165="",R165=0),"",MIN(IF(AT165="",9.9E+99,AT165),AK165/R165))</f>
        <v/>
      </c>
      <c r="AO165" s="38">
        <f>IF(AN165="","",AN165*T165)</f>
        <v/>
      </c>
      <c r="AP165" s="40" t="n"/>
      <c r="AQ165" s="32" t="inlineStr">
        <is>
          <t>Grounded</t>
        </is>
      </c>
      <c r="AR165" s="41" t="n"/>
      <c r="AS165" s="41" t="n"/>
      <c r="AT165" s="42" t="n"/>
      <c r="AU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V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W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X165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Y165" s="44" t="n"/>
    </row>
    <row r="166">
      <c r="A166" s="29" t="inlineStr">
        <is>
          <t>Bolt</t>
        </is>
      </c>
      <c r="B166" s="29" t="inlineStr">
        <is>
          <t>Sweden</t>
        </is>
      </c>
      <c r="C166" s="30" t="inlineStr">
        <is>
          <t>Stockholm City → Vaxholm</t>
        </is>
      </c>
      <c r="D166" s="31" t="n">
        <v>12</v>
      </c>
      <c r="E166" s="26" t="n">
        <v>18.1</v>
      </c>
      <c r="F166" s="32" t="inlineStr">
        <is>
          <t>T2</t>
        </is>
      </c>
      <c r="G166" s="32" t="inlineStr">
        <is>
          <t>med</t>
        </is>
      </c>
      <c r="H166" s="19" t="n">
        <v>1</v>
      </c>
      <c r="I166" s="33">
        <f>60*D166/cruise_kt</f>
        <v/>
      </c>
      <c r="J166" s="33">
        <f>I166+turn_min+dwell_min</f>
        <v/>
      </c>
      <c r="K166" s="34">
        <f>MIN(15,FLOOR(60*service_hr/J166,1))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>
        <v>365855</v>
      </c>
      <c r="AH166" s="32" t="n"/>
      <c r="AI166" s="32" t="n"/>
      <c r="AJ166" s="39" t="n">
        <v>0.1</v>
      </c>
      <c r="AK166" s="34">
        <f>IF(AG166="","",AG166*AJ166)</f>
        <v/>
      </c>
      <c r="AL166" s="34">
        <f>IF(OR(AG166="",R166=0),"",MIN(IF(AT166="",9.9E+99,AT166),FLOOR(AK166/R166,1)))</f>
        <v/>
      </c>
      <c r="AM166" s="38">
        <f>IF(AL166="","",AL166*T166)</f>
        <v/>
      </c>
      <c r="AN166" s="36">
        <f>IF(OR(AG166="",R166=0),"",MIN(IF(AT166="",9.9E+99,AT166),AK166/R166))</f>
        <v/>
      </c>
      <c r="AO166" s="38">
        <f>IF(AN166="","",AN166*T166)</f>
        <v/>
      </c>
      <c r="AP166" s="40" t="n"/>
      <c r="AQ166" s="32" t="inlineStr">
        <is>
          <t>Grounded</t>
        </is>
      </c>
      <c r="AR166" s="41" t="n"/>
      <c r="AS166" s="41" t="n"/>
      <c r="AT166" s="42" t="n"/>
      <c r="AU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V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W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X166" s="44" t="inlineStr">
        <is>
          <t>PREMIUM tier: Stromma Cinderellabatarna one-way adult seat Strandvagen-&gt;Vaxholm from SEK 190 (2026 tariff). SEK 190 x 0.0952 = $18.1.</t>
        </is>
      </c>
      <c r="AY166" s="44" t="n"/>
    </row>
    <row r="167">
      <c r="A167" s="29" t="inlineStr">
        <is>
          <t>Bolt</t>
        </is>
      </c>
      <c r="B167" s="29" t="inlineStr">
        <is>
          <t>Sweden</t>
        </is>
      </c>
      <c r="C167" s="30" t="inlineStr">
        <is>
          <t>Stockholm (Strandvagen) → Grinda</t>
        </is>
      </c>
      <c r="D167" s="31" t="n">
        <v>19</v>
      </c>
      <c r="E167" s="26" t="n">
        <v>22.4</v>
      </c>
      <c r="F167" s="32" t="inlineStr">
        <is>
          <t>T2</t>
        </is>
      </c>
      <c r="G167" s="32" t="inlineStr">
        <is>
          <t>med</t>
        </is>
      </c>
      <c r="H167" s="19" t="n">
        <v>1</v>
      </c>
      <c r="I167" s="33">
        <f>60*D167/cruise_kt</f>
        <v/>
      </c>
      <c r="J167" s="33">
        <f>I167+turn_min+dwell_min</f>
        <v/>
      </c>
      <c r="K167" s="34">
        <f>MIN(15,FLOOR(60*service_hr/J167,1))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/>
      <c r="AH167" s="32" t="n"/>
      <c r="AI167" s="32" t="n"/>
      <c r="AJ167" s="39" t="n">
        <v>0.1</v>
      </c>
      <c r="AK167" s="34">
        <f>IF(AG167="","",AG167*AJ167)</f>
        <v/>
      </c>
      <c r="AL167" s="34">
        <f>IF(OR(AG167="",R167=0),"",MIN(IF(AT167="",9.9E+99,AT167),FLOOR(AK167/R167,1)))</f>
        <v/>
      </c>
      <c r="AM167" s="38">
        <f>IF(AL167="","",AL167*T167)</f>
        <v/>
      </c>
      <c r="AN167" s="36">
        <f>IF(OR(AG167="",R167=0),"",MIN(IF(AT167="",9.9E+99,AT167),AK167/R167))</f>
        <v/>
      </c>
      <c r="AO167" s="38">
        <f>IF(AN167="","",AN167*T167)</f>
        <v/>
      </c>
      <c r="AP167" s="40" t="n"/>
      <c r="AQ167" s="32" t="inlineStr">
        <is>
          <t>Estimated</t>
        </is>
      </c>
      <c r="AR167" s="41" t="n"/>
      <c r="AS167" s="41" t="n"/>
      <c r="AT167" s="42" t="n"/>
      <c r="AU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V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W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X167" s="44" t="inlineStr">
        <is>
          <t>PREMIUM tier: Stromma Cinderellabatarna one-way adult Strandvagen-&gt;Grinda from SEK 235 (2026 tariff). SEK 235 x 0.0952 = $22.4.</t>
        </is>
      </c>
      <c r="AY167" s="44" t="n"/>
    </row>
    <row r="168">
      <c r="A168" s="29" t="inlineStr">
        <is>
          <t>Bolt</t>
        </is>
      </c>
      <c r="B168" s="29" t="inlineStr">
        <is>
          <t>Sweden</t>
        </is>
      </c>
      <c r="C168" s="30" t="inlineStr">
        <is>
          <t>Stockholm (Strandvagen) → Gallno</t>
        </is>
      </c>
      <c r="D168" s="31" t="n">
        <v>21</v>
      </c>
      <c r="E168" s="26" t="n">
        <v>22.4</v>
      </c>
      <c r="F168" s="32" t="inlineStr">
        <is>
          <t>T2</t>
        </is>
      </c>
      <c r="G168" s="32" t="inlineStr">
        <is>
          <t>med</t>
        </is>
      </c>
      <c r="H168" s="19" t="n">
        <v>1</v>
      </c>
      <c r="I168" s="33">
        <f>60*D168/cruise_kt</f>
        <v/>
      </c>
      <c r="J168" s="33">
        <f>I168+turn_min+dwell_min</f>
        <v/>
      </c>
      <c r="K168" s="34">
        <f>MIN(15,FLOOR(60*service_hr/J168,1))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/>
      <c r="AH168" s="32" t="n"/>
      <c r="AI168" s="32" t="n"/>
      <c r="AJ168" s="39" t="n">
        <v>0.1</v>
      </c>
      <c r="AK168" s="34">
        <f>IF(AG168="","",AG168*AJ168)</f>
        <v/>
      </c>
      <c r="AL168" s="34">
        <f>IF(OR(AG168="",R168=0),"",MIN(IF(AT168="",9.9E+99,AT168),FLOOR(AK168/R168,1)))</f>
        <v/>
      </c>
      <c r="AM168" s="38">
        <f>IF(AL168="","",AL168*T168)</f>
        <v/>
      </c>
      <c r="AN168" s="36">
        <f>IF(OR(AG168="",R168=0),"",MIN(IF(AT168="",9.9E+99,AT168),AK168/R168))</f>
        <v/>
      </c>
      <c r="AO168" s="38">
        <f>IF(AN168="","",AN168*T168)</f>
        <v/>
      </c>
      <c r="AP168" s="40" t="n"/>
      <c r="AQ168" s="32" t="inlineStr">
        <is>
          <t>Estimated</t>
        </is>
      </c>
      <c r="AR168" s="41" t="n"/>
      <c r="AS168" s="41" t="n"/>
      <c r="AT168" s="42" t="n"/>
      <c r="AU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V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W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X168" s="44" t="inlineStr">
        <is>
          <t>PREMIUM tier: Stromma Cinderellabatarna one-way adult Strandvagen-&gt;Gallno from SEK 235 (2026 tariff). SEK 235 x 0.0952 = $22.4.</t>
        </is>
      </c>
      <c r="AY168" s="44" t="n"/>
    </row>
    <row r="169">
      <c r="A169" s="29" t="inlineStr">
        <is>
          <t>Bolt</t>
        </is>
      </c>
      <c r="B169" s="29" t="inlineStr">
        <is>
          <t>Sweden</t>
        </is>
      </c>
      <c r="C169" s="30" t="inlineStr">
        <is>
          <t>Stockholm (Strandvagen) → Sandhamn</t>
        </is>
      </c>
      <c r="D169" s="31" t="n">
        <v>26</v>
      </c>
      <c r="E169" s="26" t="n">
        <v>24.3</v>
      </c>
      <c r="F169" s="32" t="inlineStr">
        <is>
          <t>T2</t>
        </is>
      </c>
      <c r="G169" s="32" t="inlineStr">
        <is>
          <t>med</t>
        </is>
      </c>
      <c r="H169" s="19" t="n">
        <v>1</v>
      </c>
      <c r="I169" s="33">
        <f>60*D169/cruise_kt</f>
        <v/>
      </c>
      <c r="J169" s="33">
        <f>I169+turn_min+dwell_min</f>
        <v/>
      </c>
      <c r="K169" s="34">
        <f>MIN(15,FLOOR(60*service_hr/J169,1))</f>
        <v/>
      </c>
      <c r="L169" s="34">
        <f>ROUND(365*mech_uptime*H169,0)</f>
        <v/>
      </c>
      <c r="M169" s="35">
        <f>mech_uptime</f>
        <v/>
      </c>
      <c r="N169" s="35">
        <f>revleg_sel</f>
        <v/>
      </c>
      <c r="O169" s="34">
        <f>ROUND(K169*L169*revleg_sel,0)</f>
        <v/>
      </c>
      <c r="P169" s="36">
        <f>load_sel</f>
        <v/>
      </c>
      <c r="Q169" s="36">
        <f>pax_cap*P169</f>
        <v/>
      </c>
      <c r="R169" s="34">
        <f>Q169*O169</f>
        <v/>
      </c>
      <c r="S169" s="37">
        <f>E169*discount</f>
        <v/>
      </c>
      <c r="T169" s="38">
        <f>S169*R169</f>
        <v/>
      </c>
      <c r="U169" s="38">
        <f>(battery/range_nm)*D169*O169*VLOOKUP(B169,country_opex,3,FALSE)</f>
        <v/>
      </c>
      <c r="V169" s="38">
        <f>VLOOKUP(B169,country_opex,2,FALSE)*crew_factor</f>
        <v/>
      </c>
      <c r="W169" s="38">
        <f>VLOOKUP(B169,country_opex,5,FALSE)</f>
        <v/>
      </c>
      <c r="X169" s="38">
        <f>maint</f>
        <v/>
      </c>
      <c r="Y169" s="38">
        <f>VLOOKUP(B169,country_opex,7,FALSE)*ins_pct</f>
        <v/>
      </c>
      <c r="Z169" s="38">
        <f>charge_berth</f>
        <v/>
      </c>
      <c r="AA169" s="38">
        <f>U169+V169+W169+X169+Y169+Z169</f>
        <v/>
      </c>
      <c r="AB169" s="38">
        <f>VLOOKUP(B169,country_opex,7,FALSE)/dep_years</f>
        <v/>
      </c>
      <c r="AC169" s="38">
        <f>T169-AA169</f>
        <v/>
      </c>
      <c r="AD169" s="35">
        <f>IF(T169=0,"",AC169/T169)</f>
        <v/>
      </c>
      <c r="AE169" s="36">
        <f>IF(AC169&lt;=0,"",VLOOKUP(B169,country_opex,7,FALSE)/AC169)</f>
        <v/>
      </c>
      <c r="AF169" s="33">
        <f>((D169*O169/diesel_nmpg)*diesel_co2pg-(battery/range_nm)*D169*O169*VLOOKUP(B169,country_opex,4,FALSE))/1000</f>
        <v/>
      </c>
      <c r="AG169" s="31" t="n">
        <v>100000</v>
      </c>
      <c r="AH169" s="32" t="n"/>
      <c r="AI169" s="32" t="n"/>
      <c r="AJ169" s="39" t="n">
        <v>0.1</v>
      </c>
      <c r="AK169" s="34">
        <f>IF(AG169="","",AG169*AJ169)</f>
        <v/>
      </c>
      <c r="AL169" s="34">
        <f>IF(OR(AG169="",R169=0),"",MIN(IF(AT169="",9.9E+99,AT169),FLOOR(AK169/R169,1)))</f>
        <v/>
      </c>
      <c r="AM169" s="38">
        <f>IF(AL169="","",AL169*T169)</f>
        <v/>
      </c>
      <c r="AN169" s="36">
        <f>IF(OR(AG169="",R169=0),"",MIN(IF(AT169="",9.9E+99,AT169),AK169/R169))</f>
        <v/>
      </c>
      <c r="AO169" s="38">
        <f>IF(AN169="","",AN169*T169)</f>
        <v/>
      </c>
      <c r="AP169" s="40" t="n"/>
      <c r="AQ169" s="32" t="inlineStr">
        <is>
          <t>Grounded</t>
        </is>
      </c>
      <c r="AR169" s="41" t="n"/>
      <c r="AS169" s="41" t="n"/>
      <c r="AT169" s="42" t="n"/>
      <c r="AU169" s="43">
        <f>IF(((S169*pax_cap*load_thin*ROUND(K169*L169*revleg_thin,0))-(((battery/range_nm)*D169*ROUND(K169*L169*revleg_thin,0)*VLOOKUP(B169,country_opex,3,FALSE))+V169+W169+X169+Y169+Z169))&lt;=0,"",VLOOKUP(B169,country_opex,7,FALSE)/((S169*pax_cap*load_thin*ROUND(K169*L169*revleg_thin,0))-(((battery/range_nm)*D169*ROUND(K169*L169*revleg_thin,0)*VLOOKUP(B169,country_opex,3,FALSE))+V169+W169+X169+Y169+Z169)))</f>
        <v/>
      </c>
      <c r="AV169" s="43">
        <f>IF(((S169*pax_cap*load_mid*ROUND(K169*L169*revleg_mid,0))-(((battery/range_nm)*D169*ROUND(K169*L169*revleg_mid,0)*VLOOKUP(B169,country_opex,3,FALSE))+V169+W169+X169+Y169+Z169))&lt;=0,"",VLOOKUP(B169,country_opex,7,FALSE)/((S169*pax_cap*load_mid*ROUND(K169*L169*revleg_mid,0))-(((battery/range_nm)*D169*ROUND(K169*L169*revleg_mid,0)*VLOOKUP(B169,country_opex,3,FALSE))+V169+W169+X169+Y169+Z169)))</f>
        <v/>
      </c>
      <c r="AW169" s="43">
        <f>IF(((S169*pax_cap*load_full*ROUND(K169*L169*revleg_full,0))-(((battery/range_nm)*D169*ROUND(K169*L169*revleg_full,0)*VLOOKUP(B169,country_opex,3,FALSE))+V169+W169+X169+Y169+Z169))&lt;=0,"",VLOOKUP(B169,country_opex,7,FALSE)/((S169*pax_cap*load_full*ROUND(K169*L169*revleg_full,0))-(((battery/range_nm)*D169*ROUND(K169*L169*revleg_full,0)*VLOOKUP(B169,country_opex,3,FALSE))+V169+W169+X169+Y169+Z169)))</f>
        <v/>
      </c>
      <c r="AX169" s="44" t="inlineStr">
        <is>
          <t>PREMIUM tier: Stromma Cinderellabatarna one-way adult Strandvagen-&gt;Sandhamn from SEK 255 (2026 tariff). SEK 255 x 0.0952 = $24.3.</t>
        </is>
      </c>
      <c r="AY169" s="44" t="n"/>
    </row>
    <row r="170">
      <c r="A170" s="29" t="inlineStr">
        <is>
          <t>Bolt</t>
        </is>
      </c>
      <c r="B170" s="29" t="inlineStr">
        <is>
          <t>United Arab Emirates</t>
        </is>
      </c>
      <c r="C170" s="30" t="inlineStr">
        <is>
          <t>One&amp;Only The Palm Jetty → Jumeirah Zabeel Saray Jetty</t>
        </is>
      </c>
      <c r="D170" s="31" t="n">
        <v>0.5</v>
      </c>
      <c r="E170" s="26" t="n">
        <v>130</v>
      </c>
      <c r="F170" s="32" t="inlineStr">
        <is>
          <t>T5</t>
        </is>
      </c>
      <c r="G170" s="32" t="inlineStr">
        <is>
          <t>low</t>
        </is>
      </c>
      <c r="H170" s="19" t="n">
        <v>1</v>
      </c>
      <c r="I170" s="33">
        <f>60*D170/cruise_kt</f>
        <v/>
      </c>
      <c r="J170" s="33">
        <f>I170+turn_min+dwell_min</f>
        <v/>
      </c>
      <c r="K170" s="34">
        <f>MIN(15,FLOOR(60*service_hr/J170,1))</f>
        <v/>
      </c>
      <c r="L170" s="34">
        <f>ROUND(365*mech_uptime*H170,0)</f>
        <v/>
      </c>
      <c r="M170" s="35">
        <f>mech_uptime</f>
        <v/>
      </c>
      <c r="N170" s="35">
        <f>revleg_sel</f>
        <v/>
      </c>
      <c r="O170" s="34">
        <f>ROUND(K170*L170*revleg_sel,0)</f>
        <v/>
      </c>
      <c r="P170" s="36">
        <f>load_sel</f>
        <v/>
      </c>
      <c r="Q170" s="36">
        <f>pax_cap*P170</f>
        <v/>
      </c>
      <c r="R170" s="34">
        <f>Q170*O170</f>
        <v/>
      </c>
      <c r="S170" s="37">
        <f>E170*discount</f>
        <v/>
      </c>
      <c r="T170" s="38">
        <f>S170*R170</f>
        <v/>
      </c>
      <c r="U170" s="38">
        <f>(battery/range_nm)*D170*O170*VLOOKUP(B170,country_opex,3,FALSE)</f>
        <v/>
      </c>
      <c r="V170" s="38">
        <f>VLOOKUP(B170,country_opex,2,FALSE)*crew_factor</f>
        <v/>
      </c>
      <c r="W170" s="38">
        <f>VLOOKUP(B170,country_opex,5,FALSE)</f>
        <v/>
      </c>
      <c r="X170" s="38">
        <f>maint</f>
        <v/>
      </c>
      <c r="Y170" s="38">
        <f>VLOOKUP(B170,country_opex,7,FALSE)*ins_pct</f>
        <v/>
      </c>
      <c r="Z170" s="38">
        <f>charge_berth</f>
        <v/>
      </c>
      <c r="AA170" s="38">
        <f>U170+V170+W170+X170+Y170+Z170</f>
        <v/>
      </c>
      <c r="AB170" s="38">
        <f>VLOOKUP(B170,country_opex,7,FALSE)/dep_years</f>
        <v/>
      </c>
      <c r="AC170" s="38">
        <f>T170-AA170</f>
        <v/>
      </c>
      <c r="AD170" s="35">
        <f>IF(T170=0,"",AC170/T170)</f>
        <v/>
      </c>
      <c r="AE170" s="36">
        <f>IF(AC170&lt;=0,"",VLOOKUP(B170,country_opex,7,FALSE)/AC170)</f>
        <v/>
      </c>
      <c r="AF170" s="33">
        <f>((D170*O170/diesel_nmpg)*diesel_co2pg-(battery/range_nm)*D170*O170*VLOOKUP(B170,country_opex,4,FALSE))/1000</f>
        <v/>
      </c>
      <c r="AG170" s="31" t="n">
        <v>25000</v>
      </c>
      <c r="AH170" s="32" t="inlineStr">
        <is>
          <t>T3</t>
        </is>
      </c>
      <c r="AI170" s="32" t="inlineStr">
        <is>
          <t>low</t>
        </is>
      </c>
      <c r="AJ170" s="39" t="n">
        <v>0.1</v>
      </c>
      <c r="AK170" s="34">
        <f>IF(AG170="","",AG170*AJ170)</f>
        <v/>
      </c>
      <c r="AL170" s="34">
        <f>IF(OR(AG170="",R170=0),"",MIN(IF(AT170="",9.9E+99,AT170),FLOOR(AK170/R170,1)))</f>
        <v/>
      </c>
      <c r="AM170" s="38">
        <f>IF(AL170="","",AL170*T170)</f>
        <v/>
      </c>
      <c r="AN170" s="36">
        <f>IF(OR(AG170="",R170=0),"",MIN(IF(AT170="",9.9E+99,AT170),AK170/R170))</f>
        <v/>
      </c>
      <c r="AO170" s="38">
        <f>IF(AN170="","",AN170*T170)</f>
        <v/>
      </c>
      <c r="AP170" s="40" t="n"/>
      <c r="AQ170" s="32" t="inlineStr">
        <is>
          <t>Grounded</t>
        </is>
      </c>
      <c r="AR170" s="41" t="n"/>
      <c r="AS170" s="41" t="n"/>
      <c r="AT170" s="42" t="n"/>
      <c r="AU170" s="43">
        <f>IF(((S170*pax_cap*load_thin*ROUND(K170*L170*revleg_thin,0))-(((battery/range_nm)*D170*ROUND(K170*L170*revleg_thin,0)*VLOOKUP(B170,country_opex,3,FALSE))+V170+W170+X170+Y170+Z170))&lt;=0,"",VLOOKUP(B170,country_opex,7,FALSE)/((S170*pax_cap*load_thin*ROUND(K170*L170*revleg_thin,0))-(((battery/range_nm)*D170*ROUND(K170*L170*revleg_thin,0)*VLOOKUP(B170,country_opex,3,FALSE))+V170+W170+X170+Y170+Z170)))</f>
        <v/>
      </c>
      <c r="AV170" s="43">
        <f>IF(((S170*pax_cap*load_mid*ROUND(K170*L170*revleg_mid,0))-(((battery/range_nm)*D170*ROUND(K170*L170*revleg_mid,0)*VLOOKUP(B170,country_opex,3,FALSE))+V170+W170+X170+Y170+Z170))&lt;=0,"",VLOOKUP(B170,country_opex,7,FALSE)/((S170*pax_cap*load_mid*ROUND(K170*L170*revleg_mid,0))-(((battery/range_nm)*D170*ROUND(K170*L170*revleg_mid,0)*VLOOKUP(B170,country_opex,3,FALSE))+V170+W170+X170+Y170+Z170)))</f>
        <v/>
      </c>
      <c r="AW170" s="43">
        <f>IF(((S170*pax_cap*load_full*ROUND(K170*L170*revleg_full,0))-(((battery/range_nm)*D170*ROUND(K170*L170*revleg_full,0)*VLOOKUP(B170,country_opex,3,FALSE))+V170+W170+X170+Y170+Z170))&lt;=0,"",VLOOKUP(B170,country_opex,7,FALSE)/((S170*pax_cap*load_full*ROUND(K170*L170*revleg_full,0))-(((battery/range_nm)*D170*ROUND(K170*L170*revleg_full,0)*VLOOKUP(B170,country_opex,3,FALSE))+V170+W170+X170+Y170+Z170)))</f>
        <v/>
      </c>
      <c r="AX170" s="44" t="inlineStr">
        <is>
          <t>Palm ultra-lux cluster (One&amp;Only&lt;-&gt;Zabeel Saray). Road-served. T5/low.</t>
        </is>
      </c>
      <c r="AY17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1">
      <c r="A171" s="29" t="inlineStr">
        <is>
          <t>Bolt</t>
        </is>
      </c>
      <c r="B171" s="29" t="inlineStr">
        <is>
          <t>United Arab Emirates</t>
        </is>
      </c>
      <c r="C171" s="30" t="inlineStr">
        <is>
          <t>Dubai Harbour Marina → Bluewaters Marina</t>
        </is>
      </c>
      <c r="D171" s="31" t="n">
        <v>1.1</v>
      </c>
      <c r="E171" s="26" t="n">
        <v>45</v>
      </c>
      <c r="F171" s="32" t="inlineStr">
        <is>
          <t>T1</t>
        </is>
      </c>
      <c r="G171" s="32" t="inlineStr">
        <is>
          <t>high</t>
        </is>
      </c>
      <c r="H171" s="19" t="n">
        <v>1</v>
      </c>
      <c r="I171" s="33">
        <f>60*D171/cruise_kt</f>
        <v/>
      </c>
      <c r="J171" s="33">
        <f>I171+turn_min+dwell_min</f>
        <v/>
      </c>
      <c r="K171" s="34">
        <f>MIN(15,FLOOR(60*service_hr/J171,1))</f>
        <v/>
      </c>
      <c r="L171" s="34">
        <f>ROUND(365*mech_uptime*H171,0)</f>
        <v/>
      </c>
      <c r="M171" s="35">
        <f>mech_uptime</f>
        <v/>
      </c>
      <c r="N171" s="35">
        <f>revleg_sel</f>
        <v/>
      </c>
      <c r="O171" s="34">
        <f>ROUND(K171*L171*revleg_sel,0)</f>
        <v/>
      </c>
      <c r="P171" s="36">
        <f>load_sel</f>
        <v/>
      </c>
      <c r="Q171" s="36">
        <f>pax_cap*P171</f>
        <v/>
      </c>
      <c r="R171" s="34">
        <f>Q171*O171</f>
        <v/>
      </c>
      <c r="S171" s="37">
        <f>E171*discount</f>
        <v/>
      </c>
      <c r="T171" s="38">
        <f>S171*R171</f>
        <v/>
      </c>
      <c r="U171" s="38">
        <f>(battery/range_nm)*D171*O171*VLOOKUP(B171,country_opex,3,FALSE)</f>
        <v/>
      </c>
      <c r="V171" s="38">
        <f>VLOOKUP(B171,country_opex,2,FALSE)*crew_factor</f>
        <v/>
      </c>
      <c r="W171" s="38">
        <f>VLOOKUP(B171,country_opex,5,FALSE)</f>
        <v/>
      </c>
      <c r="X171" s="38">
        <f>maint</f>
        <v/>
      </c>
      <c r="Y171" s="38">
        <f>VLOOKUP(B171,country_opex,7,FALSE)*ins_pct</f>
        <v/>
      </c>
      <c r="Z171" s="38">
        <f>charge_berth</f>
        <v/>
      </c>
      <c r="AA171" s="38">
        <f>U171+V171+W171+X171+Y171+Z171</f>
        <v/>
      </c>
      <c r="AB171" s="38">
        <f>VLOOKUP(B171,country_opex,7,FALSE)/dep_years</f>
        <v/>
      </c>
      <c r="AC171" s="38">
        <f>T171-AA171</f>
        <v/>
      </c>
      <c r="AD171" s="35">
        <f>IF(T171=0,"",AC171/T171)</f>
        <v/>
      </c>
      <c r="AE171" s="36">
        <f>IF(AC171&lt;=0,"",VLOOKUP(B171,country_opex,7,FALSE)/AC171)</f>
        <v/>
      </c>
      <c r="AF171" s="33">
        <f>((D171*O171/diesel_nmpg)*diesel_co2pg-(battery/range_nm)*D171*O171*VLOOKUP(B171,country_opex,4,FALSE))/1000</f>
        <v/>
      </c>
      <c r="AG171" s="31" t="n">
        <v>200000</v>
      </c>
      <c r="AH171" s="32" t="inlineStr">
        <is>
          <t>T5</t>
        </is>
      </c>
      <c r="AI171" s="32" t="inlineStr">
        <is>
          <t>low</t>
        </is>
      </c>
      <c r="AJ171" s="39" t="n">
        <v>0.1</v>
      </c>
      <c r="AK171" s="34">
        <f>IF(AG171="","",AG171*AJ171)</f>
        <v/>
      </c>
      <c r="AL171" s="34">
        <f>IF(OR(AG171="",R171=0),"",MIN(IF(AT171="",9.9E+99,AT171),FLOOR(AK171/R171,1)))</f>
        <v/>
      </c>
      <c r="AM171" s="38">
        <f>IF(AL171="","",AL171*T171)</f>
        <v/>
      </c>
      <c r="AN171" s="36">
        <f>IF(OR(AG171="",R171=0),"",MIN(IF(AT171="",9.9E+99,AT171),AK171/R171))</f>
        <v/>
      </c>
      <c r="AO171" s="38">
        <f>IF(AN171="","",AN171*T171)</f>
        <v/>
      </c>
      <c r="AP171" s="40" t="n"/>
      <c r="AQ171" s="32" t="inlineStr">
        <is>
          <t>Grounded</t>
        </is>
      </c>
      <c r="AR171" s="41" t="n"/>
      <c r="AS171" s="41" t="n"/>
      <c r="AT171" s="42" t="n"/>
      <c r="AU171" s="43">
        <f>IF(((S171*pax_cap*load_thin*ROUND(K171*L171*revleg_thin,0))-(((battery/range_nm)*D171*ROUND(K171*L171*revleg_thin,0)*VLOOKUP(B171,country_opex,3,FALSE))+V171+W171+X171+Y171+Z171))&lt;=0,"",VLOOKUP(B171,country_opex,7,FALSE)/((S171*pax_cap*load_thin*ROUND(K171*L171*revleg_thin,0))-(((battery/range_nm)*D171*ROUND(K171*L171*revleg_thin,0)*VLOOKUP(B171,country_opex,3,FALSE))+V171+W171+X171+Y171+Z171)))</f>
        <v/>
      </c>
      <c r="AV171" s="43">
        <f>IF(((S171*pax_cap*load_mid*ROUND(K171*L171*revleg_mid,0))-(((battery/range_nm)*D171*ROUND(K171*L171*revleg_mid,0)*VLOOKUP(B171,country_opex,3,FALSE))+V171+W171+X171+Y171+Z171))&lt;=0,"",VLOOKUP(B171,country_opex,7,FALSE)/((S171*pax_cap*load_mid*ROUND(K171*L171*revleg_mid,0))-(((battery/range_nm)*D171*ROUND(K171*L171*revleg_mid,0)*VLOOKUP(B171,country_opex,3,FALSE))+V171+W171+X171+Y171+Z171)))</f>
        <v/>
      </c>
      <c r="AW171" s="43">
        <f>IF(((S171*pax_cap*load_full*ROUND(K171*L171*revleg_full,0))-(((battery/range_nm)*D171*ROUND(K171*L171*revleg_full,0)*VLOOKUP(B171,country_opex,3,FALSE))+V171+W171+X171+Y171+Z171))&lt;=0,"",VLOOKUP(B171,country_opex,7,FALSE)/((S171*pax_cap*load_full*ROUND(K171*L171*revleg_full,0))-(((battery/range_nm)*D171*ROUND(K171*L171*revleg_full,0)*VLOOKUP(B171,country_opex,3,FALSE))+V171+W171+X171+Y171+Z171)))</f>
        <v/>
      </c>
      <c r="AX171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Y171" s="44" t="inlineStr">
        <is>
          <t>RTA marine = 18.4M riders 2025 (WAM, T1); bulk are ~1km Creek abras (R3-ABRA, different micro-corridor). Premium non-abra modes a small fraction.</t>
        </is>
      </c>
    </row>
    <row r="172">
      <c r="A172" s="29" t="inlineStr">
        <is>
          <t>Bolt</t>
        </is>
      </c>
      <c r="B172" s="29" t="inlineStr">
        <is>
          <t>United Arab Emirates</t>
        </is>
      </c>
      <c r="C172" s="30" t="inlineStr">
        <is>
          <t>Kempinski Hotel &amp; Residences Palm Jumeirah Jetty → Atlantis The Palm Jetty</t>
        </is>
      </c>
      <c r="D172" s="31" t="n">
        <v>1.2</v>
      </c>
      <c r="E172" s="26" t="n">
        <v>130</v>
      </c>
      <c r="F172" s="32" t="inlineStr">
        <is>
          <t>T5</t>
        </is>
      </c>
      <c r="G172" s="32" t="inlineStr">
        <is>
          <t>low</t>
        </is>
      </c>
      <c r="H172" s="19" t="n">
        <v>1</v>
      </c>
      <c r="I172" s="33">
        <f>60*D172/cruise_kt</f>
        <v/>
      </c>
      <c r="J172" s="33">
        <f>I172+turn_min+dwell_min</f>
        <v/>
      </c>
      <c r="K172" s="34">
        <f>MIN(15,FLOOR(60*service_hr/J172,1))</f>
        <v/>
      </c>
      <c r="L172" s="34">
        <f>ROUND(365*mech_uptime*H172,0)</f>
        <v/>
      </c>
      <c r="M172" s="35">
        <f>mech_uptime</f>
        <v/>
      </c>
      <c r="N172" s="35">
        <f>revleg_sel</f>
        <v/>
      </c>
      <c r="O172" s="34">
        <f>ROUND(K172*L172*revleg_sel,0)</f>
        <v/>
      </c>
      <c r="P172" s="36">
        <f>load_sel</f>
        <v/>
      </c>
      <c r="Q172" s="36">
        <f>pax_cap*P172</f>
        <v/>
      </c>
      <c r="R172" s="34">
        <f>Q172*O172</f>
        <v/>
      </c>
      <c r="S172" s="37">
        <f>E172*discount</f>
        <v/>
      </c>
      <c r="T172" s="38">
        <f>S172*R172</f>
        <v/>
      </c>
      <c r="U172" s="38">
        <f>(battery/range_nm)*D172*O172*VLOOKUP(B172,country_opex,3,FALSE)</f>
        <v/>
      </c>
      <c r="V172" s="38">
        <f>VLOOKUP(B172,country_opex,2,FALSE)*crew_factor</f>
        <v/>
      </c>
      <c r="W172" s="38">
        <f>VLOOKUP(B172,country_opex,5,FALSE)</f>
        <v/>
      </c>
      <c r="X172" s="38">
        <f>maint</f>
        <v/>
      </c>
      <c r="Y172" s="38">
        <f>VLOOKUP(B172,country_opex,7,FALSE)*ins_pct</f>
        <v/>
      </c>
      <c r="Z172" s="38">
        <f>charge_berth</f>
        <v/>
      </c>
      <c r="AA172" s="38">
        <f>U172+V172+W172+X172+Y172+Z172</f>
        <v/>
      </c>
      <c r="AB172" s="38">
        <f>VLOOKUP(B172,country_opex,7,FALSE)/dep_years</f>
        <v/>
      </c>
      <c r="AC172" s="38">
        <f>T172-AA172</f>
        <v/>
      </c>
      <c r="AD172" s="35">
        <f>IF(T172=0,"",AC172/T172)</f>
        <v/>
      </c>
      <c r="AE172" s="36">
        <f>IF(AC172&lt;=0,"",VLOOKUP(B172,country_opex,7,FALSE)/AC172)</f>
        <v/>
      </c>
      <c r="AF172" s="33">
        <f>((D172*O172/diesel_nmpg)*diesel_co2pg-(battery/range_nm)*D172*O172*VLOOKUP(B172,country_opex,4,FALSE))/1000</f>
        <v/>
      </c>
      <c r="AG172" s="31" t="n">
        <v>30000</v>
      </c>
      <c r="AH172" s="32" t="inlineStr">
        <is>
          <t>T3</t>
        </is>
      </c>
      <c r="AI172" s="32" t="inlineStr">
        <is>
          <t>low</t>
        </is>
      </c>
      <c r="AJ172" s="39" t="n">
        <v>0.1</v>
      </c>
      <c r="AK172" s="34">
        <f>IF(AG172="","",AG172*AJ172)</f>
        <v/>
      </c>
      <c r="AL172" s="34">
        <f>IF(OR(AG172="",R172=0),"",MIN(IF(AT172="",9.9E+99,AT172),FLOOR(AK172/R172,1)))</f>
        <v/>
      </c>
      <c r="AM172" s="38">
        <f>IF(AL172="","",AL172*T172)</f>
        <v/>
      </c>
      <c r="AN172" s="36">
        <f>IF(OR(AG172="",R172=0),"",MIN(IF(AT172="",9.9E+99,AT172),AK172/R172))</f>
        <v/>
      </c>
      <c r="AO172" s="38">
        <f>IF(AN172="","",AN172*T172)</f>
        <v/>
      </c>
      <c r="AP172" s="40" t="n"/>
      <c r="AQ172" s="32" t="inlineStr">
        <is>
          <t>Grounded</t>
        </is>
      </c>
      <c r="AR172" s="41" t="n"/>
      <c r="AS172" s="41" t="n"/>
      <c r="AT172" s="42" t="n"/>
      <c r="AU172" s="43">
        <f>IF(((S172*pax_cap*load_thin*ROUND(K172*L172*revleg_thin,0))-(((battery/range_nm)*D172*ROUND(K172*L172*revleg_thin,0)*VLOOKUP(B172,country_opex,3,FALSE))+V172+W172+X172+Y172+Z172))&lt;=0,"",VLOOKUP(B172,country_opex,7,FALSE)/((S172*pax_cap*load_thin*ROUND(K172*L172*revleg_thin,0))-(((battery/range_nm)*D172*ROUND(K172*L172*revleg_thin,0)*VLOOKUP(B172,country_opex,3,FALSE))+V172+W172+X172+Y172+Z172)))</f>
        <v/>
      </c>
      <c r="AV172" s="43">
        <f>IF(((S172*pax_cap*load_mid*ROUND(K172*L172*revleg_mid,0))-(((battery/range_nm)*D172*ROUND(K172*L172*revleg_mid,0)*VLOOKUP(B172,country_opex,3,FALSE))+V172+W172+X172+Y172+Z172))&lt;=0,"",VLOOKUP(B172,country_opex,7,FALSE)/((S172*pax_cap*load_mid*ROUND(K172*L172*revleg_mid,0))-(((battery/range_nm)*D172*ROUND(K172*L172*revleg_mid,0)*VLOOKUP(B172,country_opex,3,FALSE))+V172+W172+X172+Y172+Z172)))</f>
        <v/>
      </c>
      <c r="AW172" s="43">
        <f>IF(((S172*pax_cap*load_full*ROUND(K172*L172*revleg_full,0))-(((battery/range_nm)*D172*ROUND(K172*L172*revleg_full,0)*VLOOKUP(B172,country_opex,3,FALSE))+V172+W172+X172+Y172+Z172))&lt;=0,"",VLOOKUP(B172,country_opex,7,FALSE)/((S172*pax_cap*load_full*ROUND(K172*L172*revleg_full,0))-(((battery/range_nm)*D172*ROUND(K172*L172*revleg_full,0)*VLOOKUP(B172,country_opex,3,FALSE))+V172+W172+X172+Y172+Z172)))</f>
        <v/>
      </c>
      <c r="AX172" s="44" t="inlineStr">
        <is>
          <t>Palm resort cluster (Kempinski&lt;-&gt;Atlantis). Road-served. T5/low.</t>
        </is>
      </c>
      <c r="AY17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3">
      <c r="A173" s="29" t="inlineStr">
        <is>
          <t>Bolt</t>
        </is>
      </c>
      <c r="B173" s="29" t="inlineStr">
        <is>
          <t>United Arab Emirates</t>
        </is>
      </c>
      <c r="C173" s="30" t="inlineStr">
        <is>
          <t>La Mer / J1 Beach Jetty → Nikki Beach Resort Pearl Jumeirah Jetty</t>
        </is>
      </c>
      <c r="D173" s="31" t="n">
        <v>1.2</v>
      </c>
      <c r="E173" s="26" t="n">
        <v>110</v>
      </c>
      <c r="F173" s="32" t="inlineStr">
        <is>
          <t>T5</t>
        </is>
      </c>
      <c r="G173" s="32" t="inlineStr">
        <is>
          <t>low</t>
        </is>
      </c>
      <c r="H173" s="19" t="n">
        <v>1</v>
      </c>
      <c r="I173" s="33">
        <f>60*D173/cruise_kt</f>
        <v/>
      </c>
      <c r="J173" s="33">
        <f>I173+turn_min+dwell_min</f>
        <v/>
      </c>
      <c r="K173" s="34">
        <f>MIN(15,FLOOR(60*service_hr/J173,1))</f>
        <v/>
      </c>
      <c r="L173" s="34">
        <f>ROUND(365*mech_uptime*H173,0)</f>
        <v/>
      </c>
      <c r="M173" s="35">
        <f>mech_uptime</f>
        <v/>
      </c>
      <c r="N173" s="35">
        <f>revleg_sel</f>
        <v/>
      </c>
      <c r="O173" s="34">
        <f>ROUND(K173*L173*revleg_sel,0)</f>
        <v/>
      </c>
      <c r="P173" s="36">
        <f>load_sel</f>
        <v/>
      </c>
      <c r="Q173" s="36">
        <f>pax_cap*P173</f>
        <v/>
      </c>
      <c r="R173" s="34">
        <f>Q173*O173</f>
        <v/>
      </c>
      <c r="S173" s="37">
        <f>E173*discount</f>
        <v/>
      </c>
      <c r="T173" s="38">
        <f>S173*R173</f>
        <v/>
      </c>
      <c r="U173" s="38">
        <f>(battery/range_nm)*D173*O173*VLOOKUP(B173,country_opex,3,FALSE)</f>
        <v/>
      </c>
      <c r="V173" s="38">
        <f>VLOOKUP(B173,country_opex,2,FALSE)*crew_factor</f>
        <v/>
      </c>
      <c r="W173" s="38">
        <f>VLOOKUP(B173,country_opex,5,FALSE)</f>
        <v/>
      </c>
      <c r="X173" s="38">
        <f>maint</f>
        <v/>
      </c>
      <c r="Y173" s="38">
        <f>VLOOKUP(B173,country_opex,7,FALSE)*ins_pct</f>
        <v/>
      </c>
      <c r="Z173" s="38">
        <f>charge_berth</f>
        <v/>
      </c>
      <c r="AA173" s="38">
        <f>U173+V173+W173+X173+Y173+Z173</f>
        <v/>
      </c>
      <c r="AB173" s="38">
        <f>VLOOKUP(B173,country_opex,7,FALSE)/dep_years</f>
        <v/>
      </c>
      <c r="AC173" s="38">
        <f>T173-AA173</f>
        <v/>
      </c>
      <c r="AD173" s="35">
        <f>IF(T173=0,"",AC173/T173)</f>
        <v/>
      </c>
      <c r="AE173" s="36">
        <f>IF(AC173&lt;=0,"",VLOOKUP(B173,country_opex,7,FALSE)/AC173)</f>
        <v/>
      </c>
      <c r="AF173" s="33">
        <f>((D173*O173/diesel_nmpg)*diesel_co2pg-(battery/range_nm)*D173*O173*VLOOKUP(B173,country_opex,4,FALSE))/1000</f>
        <v/>
      </c>
      <c r="AG173" s="31" t="n">
        <v>25000</v>
      </c>
      <c r="AH173" s="32" t="inlineStr">
        <is>
          <t>T3</t>
        </is>
      </c>
      <c r="AI173" s="32" t="inlineStr">
        <is>
          <t>low</t>
        </is>
      </c>
      <c r="AJ173" s="39" t="n">
        <v>0.1</v>
      </c>
      <c r="AK173" s="34">
        <f>IF(AG173="","",AG173*AJ173)</f>
        <v/>
      </c>
      <c r="AL173" s="34">
        <f>IF(OR(AG173="",R173=0),"",MIN(IF(AT173="",9.9E+99,AT173),FLOOR(AK173/R173,1)))</f>
        <v/>
      </c>
      <c r="AM173" s="38">
        <f>IF(AL173="","",AL173*T173)</f>
        <v/>
      </c>
      <c r="AN173" s="36">
        <f>IF(OR(AG173="",R173=0),"",MIN(IF(AT173="",9.9E+99,AT173),AK173/R173))</f>
        <v/>
      </c>
      <c r="AO173" s="38">
        <f>IF(AN173="","",AN173*T173)</f>
        <v/>
      </c>
      <c r="AP173" s="40" t="n"/>
      <c r="AQ173" s="32" t="inlineStr">
        <is>
          <t>Grounded</t>
        </is>
      </c>
      <c r="AR173" s="41" t="n"/>
      <c r="AS173" s="41" t="n"/>
      <c r="AT173" s="42" t="n"/>
      <c r="AU173" s="43">
        <f>IF(((S173*pax_cap*load_thin*ROUND(K173*L173*revleg_thin,0))-(((battery/range_nm)*D173*ROUND(K173*L173*revleg_thin,0)*VLOOKUP(B173,country_opex,3,FALSE))+V173+W173+X173+Y173+Z173))&lt;=0,"",VLOOKUP(B173,country_opex,7,FALSE)/((S173*pax_cap*load_thin*ROUND(K173*L173*revleg_thin,0))-(((battery/range_nm)*D173*ROUND(K173*L173*revleg_thin,0)*VLOOKUP(B173,country_opex,3,FALSE))+V173+W173+X173+Y173+Z173)))</f>
        <v/>
      </c>
      <c r="AV173" s="43">
        <f>IF(((S173*pax_cap*load_mid*ROUND(K173*L173*revleg_mid,0))-(((battery/range_nm)*D173*ROUND(K173*L173*revleg_mid,0)*VLOOKUP(B173,country_opex,3,FALSE))+V173+W173+X173+Y173+Z173))&lt;=0,"",VLOOKUP(B173,country_opex,7,FALSE)/((S173*pax_cap*load_mid*ROUND(K173*L173*revleg_mid,0))-(((battery/range_nm)*D173*ROUND(K173*L173*revleg_mid,0)*VLOOKUP(B173,country_opex,3,FALSE))+V173+W173+X173+Y173+Z173)))</f>
        <v/>
      </c>
      <c r="AW173" s="43">
        <f>IF(((S173*pax_cap*load_full*ROUND(K173*L173*revleg_full,0))-(((battery/range_nm)*D173*ROUND(K173*L173*revleg_full,0)*VLOOKUP(B173,country_opex,3,FALSE))+V173+W173+X173+Y173+Z173))&lt;=0,"",VLOOKUP(B173,country_opex,7,FALSE)/((S173*pax_cap*load_full*ROUND(K173*L173*revleg_full,0))-(((battery/range_nm)*D173*ROUND(K173*L173*revleg_full,0)*VLOOKUP(B173,country_opex,3,FALSE))+V173+W173+X173+Y173+Z173)))</f>
        <v/>
      </c>
      <c r="AX173" s="44" t="inlineStr">
        <is>
          <t>Urban Dubai beach-club leisure hop. Road-served. T5/low.</t>
        </is>
      </c>
      <c r="AY17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4">
      <c r="A174" s="29" t="inlineStr">
        <is>
          <t>Bolt</t>
        </is>
      </c>
      <c r="B174" s="29" t="inlineStr">
        <is>
          <t>United Arab Emirates</t>
        </is>
      </c>
      <c r="C174" s="30" t="inlineStr">
        <is>
          <t>Palm Jumeirah Marina West → Atlantis The Palm Jetty</t>
        </is>
      </c>
      <c r="D174" s="31" t="n">
        <v>1.3</v>
      </c>
      <c r="E174" s="26" t="n">
        <v>150</v>
      </c>
      <c r="F174" s="32" t="inlineStr">
        <is>
          <t>T5</t>
        </is>
      </c>
      <c r="G174" s="32" t="inlineStr">
        <is>
          <t>low</t>
        </is>
      </c>
      <c r="H174" s="19" t="n">
        <v>1</v>
      </c>
      <c r="I174" s="33">
        <f>60*D174/cruise_kt</f>
        <v/>
      </c>
      <c r="J174" s="33">
        <f>I174+turn_min+dwell_min</f>
        <v/>
      </c>
      <c r="K174" s="34">
        <f>MIN(15,FLOOR(60*service_hr/J174,1))</f>
        <v/>
      </c>
      <c r="L174" s="34">
        <f>ROUND(365*mech_uptime*H174,0)</f>
        <v/>
      </c>
      <c r="M174" s="35">
        <f>mech_uptime</f>
        <v/>
      </c>
      <c r="N174" s="35">
        <f>revleg_sel</f>
        <v/>
      </c>
      <c r="O174" s="34">
        <f>ROUND(K174*L174*revleg_sel,0)</f>
        <v/>
      </c>
      <c r="P174" s="36">
        <f>load_sel</f>
        <v/>
      </c>
      <c r="Q174" s="36">
        <f>pax_cap*P174</f>
        <v/>
      </c>
      <c r="R174" s="34">
        <f>Q174*O174</f>
        <v/>
      </c>
      <c r="S174" s="37">
        <f>E174*discount</f>
        <v/>
      </c>
      <c r="T174" s="38">
        <f>S174*R174</f>
        <v/>
      </c>
      <c r="U174" s="38">
        <f>(battery/range_nm)*D174*O174*VLOOKUP(B174,country_opex,3,FALSE)</f>
        <v/>
      </c>
      <c r="V174" s="38">
        <f>VLOOKUP(B174,country_opex,2,FALSE)*crew_factor</f>
        <v/>
      </c>
      <c r="W174" s="38">
        <f>VLOOKUP(B174,country_opex,5,FALSE)</f>
        <v/>
      </c>
      <c r="X174" s="38">
        <f>maint</f>
        <v/>
      </c>
      <c r="Y174" s="38">
        <f>VLOOKUP(B174,country_opex,7,FALSE)*ins_pct</f>
        <v/>
      </c>
      <c r="Z174" s="38">
        <f>charge_berth</f>
        <v/>
      </c>
      <c r="AA174" s="38">
        <f>U174+V174+W174+X174+Y174+Z174</f>
        <v/>
      </c>
      <c r="AB174" s="38">
        <f>VLOOKUP(B174,country_opex,7,FALSE)/dep_years</f>
        <v/>
      </c>
      <c r="AC174" s="38">
        <f>T174-AA174</f>
        <v/>
      </c>
      <c r="AD174" s="35">
        <f>IF(T174=0,"",AC174/T174)</f>
        <v/>
      </c>
      <c r="AE174" s="36">
        <f>IF(AC174&lt;=0,"",VLOOKUP(B174,country_opex,7,FALSE)/AC174)</f>
        <v/>
      </c>
      <c r="AF174" s="33">
        <f>((D174*O174/diesel_nmpg)*diesel_co2pg-(battery/range_nm)*D174*O174*VLOOKUP(B174,country_opex,4,FALSE))/1000</f>
        <v/>
      </c>
      <c r="AG174" s="31" t="n">
        <v>120000</v>
      </c>
      <c r="AH174" s="32" t="inlineStr">
        <is>
          <t>T2</t>
        </is>
      </c>
      <c r="AI174" s="32" t="inlineStr">
        <is>
          <t>medium</t>
        </is>
      </c>
      <c r="AJ174" s="39" t="n">
        <v>0.1</v>
      </c>
      <c r="AK174" s="34">
        <f>IF(AG174="","",AG174*AJ174)</f>
        <v/>
      </c>
      <c r="AL174" s="34">
        <f>IF(OR(AG174="",R174=0),"",MIN(IF(AT174="",9.9E+99,AT174),FLOOR(AK174/R174,1)))</f>
        <v/>
      </c>
      <c r="AM174" s="38">
        <f>IF(AL174="","",AL174*T174)</f>
        <v/>
      </c>
      <c r="AN174" s="36">
        <f>IF(OR(AG174="",R174=0),"",MIN(IF(AT174="",9.9E+99,AT174),AK174/R174))</f>
        <v/>
      </c>
      <c r="AO174" s="38">
        <f>IF(AN174="","",AN174*T174)</f>
        <v/>
      </c>
      <c r="AP174" s="40" t="n"/>
      <c r="AQ174" s="32" t="inlineStr">
        <is>
          <t>Grounded</t>
        </is>
      </c>
      <c r="AR174" s="41" t="n"/>
      <c r="AS174" s="41" t="n"/>
      <c r="AT174" s="42" t="n"/>
      <c r="AU174" s="43">
        <f>IF(((S174*pax_cap*load_thin*ROUND(K174*L174*revleg_thin,0))-(((battery/range_nm)*D174*ROUND(K174*L174*revleg_thin,0)*VLOOKUP(B174,country_opex,3,FALSE))+V174+W174+X174+Y174+Z174))&lt;=0,"",VLOOKUP(B174,country_opex,7,FALSE)/((S174*pax_cap*load_thin*ROUND(K174*L174*revleg_thin,0))-(((battery/range_nm)*D174*ROUND(K174*L174*revleg_thin,0)*VLOOKUP(B174,country_opex,3,FALSE))+V174+W174+X174+Y174+Z174)))</f>
        <v/>
      </c>
      <c r="AV174" s="43">
        <f>IF(((S174*pax_cap*load_mid*ROUND(K174*L174*revleg_mid,0))-(((battery/range_nm)*D174*ROUND(K174*L174*revleg_mid,0)*VLOOKUP(B174,country_opex,3,FALSE))+V174+W174+X174+Y174+Z174))&lt;=0,"",VLOOKUP(B174,country_opex,7,FALSE)/((S174*pax_cap*load_mid*ROUND(K174*L174*revleg_mid,0))-(((battery/range_nm)*D174*ROUND(K174*L174*revleg_mid,0)*VLOOKUP(B174,country_opex,3,FALSE))+V174+W174+X174+Y174+Z174)))</f>
        <v/>
      </c>
      <c r="AW174" s="43">
        <f>IF(((S174*pax_cap*load_full*ROUND(K174*L174*revleg_full,0))-(((battery/range_nm)*D174*ROUND(K174*L174*revleg_full,0)*VLOOKUP(B174,country_opex,3,FALSE))+V174+W174+X174+Y174+Z174))&lt;=0,"",VLOOKUP(B174,country_opex,7,FALSE)/((S174*pax_cap*load_full*ROUND(K174*L174*revleg_full,0))-(((battery/range_nm)*D174*ROUND(K174*L174*revleg_full,0)*VLOOKUP(B174,country_opex,3,FALSE))+V174+W174+X174+Y174+Z174)))</f>
        <v/>
      </c>
      <c r="AX174" s="44" t="inlineStr">
        <is>
          <t>Atlantis The Palm (1,544 rooms) road-served; premium marine arrival opportunity-to-create. T5/low.</t>
        </is>
      </c>
      <c r="AY17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75">
      <c r="A175" s="29" t="inlineStr">
        <is>
          <t>Bolt</t>
        </is>
      </c>
      <c r="B175" s="29" t="inlineStr">
        <is>
          <t>United Arab Emirates</t>
        </is>
      </c>
      <c r="C175" s="30" t="inlineStr">
        <is>
          <t>Dubai Creek Marina → Al Seef Marine Transport Station</t>
        </is>
      </c>
      <c r="D175" s="31" t="n">
        <v>1.5</v>
      </c>
      <c r="E175" s="26" t="n">
        <v>41</v>
      </c>
      <c r="F175" s="32" t="inlineStr">
        <is>
          <t>T1</t>
        </is>
      </c>
      <c r="G175" s="32" t="inlineStr">
        <is>
          <t>high</t>
        </is>
      </c>
      <c r="H175" s="19" t="n">
        <v>1</v>
      </c>
      <c r="I175" s="33">
        <f>60*D175/cruise_kt</f>
        <v/>
      </c>
      <c r="J175" s="33">
        <f>I175+turn_min+dwell_min</f>
        <v/>
      </c>
      <c r="K175" s="34">
        <f>MIN(15,FLOOR(60*service_hr/J175,1))</f>
        <v/>
      </c>
      <c r="L175" s="34">
        <f>ROUND(365*mech_uptime*H175,0)</f>
        <v/>
      </c>
      <c r="M175" s="35">
        <f>mech_uptime</f>
        <v/>
      </c>
      <c r="N175" s="35">
        <f>revleg_sel</f>
        <v/>
      </c>
      <c r="O175" s="34">
        <f>ROUND(K175*L175*revleg_sel,0)</f>
        <v/>
      </c>
      <c r="P175" s="36">
        <f>load_sel</f>
        <v/>
      </c>
      <c r="Q175" s="36">
        <f>pax_cap*P175</f>
        <v/>
      </c>
      <c r="R175" s="34">
        <f>Q175*O175</f>
        <v/>
      </c>
      <c r="S175" s="37">
        <f>E175*discount</f>
        <v/>
      </c>
      <c r="T175" s="38">
        <f>S175*R175</f>
        <v/>
      </c>
      <c r="U175" s="38">
        <f>(battery/range_nm)*D175*O175*VLOOKUP(B175,country_opex,3,FALSE)</f>
        <v/>
      </c>
      <c r="V175" s="38">
        <f>VLOOKUP(B175,country_opex,2,FALSE)*crew_factor</f>
        <v/>
      </c>
      <c r="W175" s="38">
        <f>VLOOKUP(B175,country_opex,5,FALSE)</f>
        <v/>
      </c>
      <c r="X175" s="38">
        <f>maint</f>
        <v/>
      </c>
      <c r="Y175" s="38">
        <f>VLOOKUP(B175,country_opex,7,FALSE)*ins_pct</f>
        <v/>
      </c>
      <c r="Z175" s="38">
        <f>charge_berth</f>
        <v/>
      </c>
      <c r="AA175" s="38">
        <f>U175+V175+W175+X175+Y175+Z175</f>
        <v/>
      </c>
      <c r="AB175" s="38">
        <f>VLOOKUP(B175,country_opex,7,FALSE)/dep_years</f>
        <v/>
      </c>
      <c r="AC175" s="38">
        <f>T175-AA175</f>
        <v/>
      </c>
      <c r="AD175" s="35">
        <f>IF(T175=0,"",AC175/T175)</f>
        <v/>
      </c>
      <c r="AE175" s="36">
        <f>IF(AC175&lt;=0,"",VLOOKUP(B175,country_opex,7,FALSE)/AC175)</f>
        <v/>
      </c>
      <c r="AF175" s="33">
        <f>((D175*O175/diesel_nmpg)*diesel_co2pg-(battery/range_nm)*D175*O175*VLOOKUP(B175,country_opex,4,FALSE))/1000</f>
        <v/>
      </c>
      <c r="AG175" s="31" t="n">
        <v>120000</v>
      </c>
      <c r="AH175" s="32" t="inlineStr">
        <is>
          <t>T5</t>
        </is>
      </c>
      <c r="AI175" s="32" t="inlineStr">
        <is>
          <t>low</t>
        </is>
      </c>
      <c r="AJ175" s="39" t="n">
        <v>0.1</v>
      </c>
      <c r="AK175" s="34">
        <f>IF(AG175="","",AG175*AJ175)</f>
        <v/>
      </c>
      <c r="AL175" s="34">
        <f>IF(OR(AG175="",R175=0),"",MIN(IF(AT175="",9.9E+99,AT175),FLOOR(AK175/R175,1)))</f>
        <v/>
      </c>
      <c r="AM175" s="38">
        <f>IF(AL175="","",AL175*T175)</f>
        <v/>
      </c>
      <c r="AN175" s="36">
        <f>IF(OR(AG175="",R175=0),"",MIN(IF(AT175="",9.9E+99,AT175),AK175/R175))</f>
        <v/>
      </c>
      <c r="AO175" s="38">
        <f>IF(AN175="","",AN175*T175)</f>
        <v/>
      </c>
      <c r="AP175" s="40" t="n"/>
      <c r="AQ175" s="32" t="inlineStr">
        <is>
          <t>Grounded</t>
        </is>
      </c>
      <c r="AR175" s="41" t="n"/>
      <c r="AS175" s="41" t="n"/>
      <c r="AT175" s="42" t="n"/>
      <c r="AU175" s="43">
        <f>IF(((S175*pax_cap*load_thin*ROUND(K175*L175*revleg_thin,0))-(((battery/range_nm)*D175*ROUND(K175*L175*revleg_thin,0)*VLOOKUP(B175,country_opex,3,FALSE))+V175+W175+X175+Y175+Z175))&lt;=0,"",VLOOKUP(B175,country_opex,7,FALSE)/((S175*pax_cap*load_thin*ROUND(K175*L175*revleg_thin,0))-(((battery/range_nm)*D175*ROUND(K175*L175*revleg_thin,0)*VLOOKUP(B175,country_opex,3,FALSE))+V175+W175+X175+Y175+Z175)))</f>
        <v/>
      </c>
      <c r="AV175" s="43">
        <f>IF(((S175*pax_cap*load_mid*ROUND(K175*L175*revleg_mid,0))-(((battery/range_nm)*D175*ROUND(K175*L175*revleg_mid,0)*VLOOKUP(B175,country_opex,3,FALSE))+V175+W175+X175+Y175+Z175))&lt;=0,"",VLOOKUP(B175,country_opex,7,FALSE)/((S175*pax_cap*load_mid*ROUND(K175*L175*revleg_mid,0))-(((battery/range_nm)*D175*ROUND(K175*L175*revleg_mid,0)*VLOOKUP(B175,country_opex,3,FALSE))+V175+W175+X175+Y175+Z175)))</f>
        <v/>
      </c>
      <c r="AW175" s="43">
        <f>IF(((S175*pax_cap*load_full*ROUND(K175*L175*revleg_full,0))-(((battery/range_nm)*D175*ROUND(K175*L175*revleg_full,0)*VLOOKUP(B175,country_opex,3,FALSE))+V175+W175+X175+Y175+Z175))&lt;=0,"",VLOOKUP(B175,country_opex,7,FALSE)/((S175*pax_cap*load_full*ROUND(K175*L175*revleg_full,0))-(((battery/range_nm)*D175*ROUND(K175*L175*revleg_full,0)*VLOOKUP(B175,country_opex,3,FALSE))+V175+W175+X175+Y175+Z175)))</f>
        <v/>
      </c>
      <c r="AX175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Y175" s="44" t="inlineStr">
        <is>
          <t>18.4M RTA marine is ~all sub-1km abras (R3-ABRA); premium water-taxi/ferry tier is a small fraction.</t>
        </is>
      </c>
    </row>
    <row r="176">
      <c r="A176" s="29" t="inlineStr">
        <is>
          <t>Bolt</t>
        </is>
      </c>
      <c r="B176" s="29" t="inlineStr">
        <is>
          <t>United Arab Emirates</t>
        </is>
      </c>
      <c r="C176" s="30" t="inlineStr">
        <is>
          <t>Yacht Marina → The Westin Dubai Mina Seyahi Beach Resort &amp; Marina</t>
        </is>
      </c>
      <c r="D176" s="31" t="n">
        <v>1.5</v>
      </c>
      <c r="E176" s="26" t="n">
        <v>95</v>
      </c>
      <c r="F176" s="32" t="inlineStr">
        <is>
          <t>T4</t>
        </is>
      </c>
      <c r="G176" s="32" t="inlineStr">
        <is>
          <t>low</t>
        </is>
      </c>
      <c r="H176" s="19" t="n">
        <v>1</v>
      </c>
      <c r="I176" s="33">
        <f>60*D176/cruise_kt</f>
        <v/>
      </c>
      <c r="J176" s="33">
        <f>I176+turn_min+dwell_min</f>
        <v/>
      </c>
      <c r="K176" s="34">
        <f>MIN(15,FLOOR(60*service_hr/J176,1))</f>
        <v/>
      </c>
      <c r="L176" s="34">
        <f>ROUND(365*mech_uptime*H176,0)</f>
        <v/>
      </c>
      <c r="M176" s="35">
        <f>mech_uptime</f>
        <v/>
      </c>
      <c r="N176" s="35">
        <f>revleg_sel</f>
        <v/>
      </c>
      <c r="O176" s="34">
        <f>ROUND(K176*L176*revleg_sel,0)</f>
        <v/>
      </c>
      <c r="P176" s="36">
        <f>load_sel</f>
        <v/>
      </c>
      <c r="Q176" s="36">
        <f>pax_cap*P176</f>
        <v/>
      </c>
      <c r="R176" s="34">
        <f>Q176*O176</f>
        <v/>
      </c>
      <c r="S176" s="37">
        <f>E176*discount</f>
        <v/>
      </c>
      <c r="T176" s="38">
        <f>S176*R176</f>
        <v/>
      </c>
      <c r="U176" s="38">
        <f>(battery/range_nm)*D176*O176*VLOOKUP(B176,country_opex,3,FALSE)</f>
        <v/>
      </c>
      <c r="V176" s="38">
        <f>VLOOKUP(B176,country_opex,2,FALSE)*crew_factor</f>
        <v/>
      </c>
      <c r="W176" s="38">
        <f>VLOOKUP(B176,country_opex,5,FALSE)</f>
        <v/>
      </c>
      <c r="X176" s="38">
        <f>maint</f>
        <v/>
      </c>
      <c r="Y176" s="38">
        <f>VLOOKUP(B176,country_opex,7,FALSE)*ins_pct</f>
        <v/>
      </c>
      <c r="Z176" s="38">
        <f>charge_berth</f>
        <v/>
      </c>
      <c r="AA176" s="38">
        <f>U176+V176+W176+X176+Y176+Z176</f>
        <v/>
      </c>
      <c r="AB176" s="38">
        <f>VLOOKUP(B176,country_opex,7,FALSE)/dep_years</f>
        <v/>
      </c>
      <c r="AC176" s="38">
        <f>T176-AA176</f>
        <v/>
      </c>
      <c r="AD176" s="35">
        <f>IF(T176=0,"",AC176/T176)</f>
        <v/>
      </c>
      <c r="AE176" s="36">
        <f>IF(AC176&lt;=0,"",VLOOKUP(B176,country_opex,7,FALSE)/AC176)</f>
        <v/>
      </c>
      <c r="AF176" s="33">
        <f>((D176*O176/diesel_nmpg)*diesel_co2pg-(battery/range_nm)*D176*O176*VLOOKUP(B176,country_opex,4,FALSE))/1000</f>
        <v/>
      </c>
      <c r="AG176" s="31" t="n">
        <v>25000</v>
      </c>
      <c r="AH176" s="32" t="inlineStr">
        <is>
          <t>T3</t>
        </is>
      </c>
      <c r="AI176" s="32" t="inlineStr">
        <is>
          <t>low</t>
        </is>
      </c>
      <c r="AJ176" s="39" t="n">
        <v>0.1</v>
      </c>
      <c r="AK176" s="34">
        <f>IF(AG176="","",AG176*AJ176)</f>
        <v/>
      </c>
      <c r="AL176" s="34">
        <f>IF(OR(AG176="",R176=0),"",MIN(IF(AT176="",9.9E+99,AT176),FLOOR(AK176/R176,1)))</f>
        <v/>
      </c>
      <c r="AM176" s="38">
        <f>IF(AL176="","",AL176*T176)</f>
        <v/>
      </c>
      <c r="AN176" s="36">
        <f>IF(OR(AG176="",R176=0),"",MIN(IF(AT176="",9.9E+99,AT176),AK176/R176))</f>
        <v/>
      </c>
      <c r="AO176" s="38">
        <f>IF(AN176="","",AN176*T176)</f>
        <v/>
      </c>
      <c r="AP176" s="40" t="n"/>
      <c r="AQ176" s="32" t="inlineStr">
        <is>
          <t>Grounded</t>
        </is>
      </c>
      <c r="AR176" s="41" t="n"/>
      <c r="AS176" s="41" t="n"/>
      <c r="AT176" s="42" t="n"/>
      <c r="AU176" s="43">
        <f>IF(((S176*pax_cap*load_thin*ROUND(K176*L176*revleg_thin,0))-(((battery/range_nm)*D176*ROUND(K176*L176*revleg_thin,0)*VLOOKUP(B176,country_opex,3,FALSE))+V176+W176+X176+Y176+Z176))&lt;=0,"",VLOOKUP(B176,country_opex,7,FALSE)/((S176*pax_cap*load_thin*ROUND(K176*L176*revleg_thin,0))-(((battery/range_nm)*D176*ROUND(K176*L176*revleg_thin,0)*VLOOKUP(B176,country_opex,3,FALSE))+V176+W176+X176+Y176+Z176)))</f>
        <v/>
      </c>
      <c r="AV176" s="43">
        <f>IF(((S176*pax_cap*load_mid*ROUND(K176*L176*revleg_mid,0))-(((battery/range_nm)*D176*ROUND(K176*L176*revleg_mid,0)*VLOOKUP(B176,country_opex,3,FALSE))+V176+W176+X176+Y176+Z176))&lt;=0,"",VLOOKUP(B176,country_opex,7,FALSE)/((S176*pax_cap*load_mid*ROUND(K176*L176*revleg_mid,0))-(((battery/range_nm)*D176*ROUND(K176*L176*revleg_mid,0)*VLOOKUP(B176,country_opex,3,FALSE))+V176+W176+X176+Y176+Z176)))</f>
        <v/>
      </c>
      <c r="AW176" s="43">
        <f>IF(((S176*pax_cap*load_full*ROUND(K176*L176*revleg_full,0))-(((battery/range_nm)*D176*ROUND(K176*L176*revleg_full,0)*VLOOKUP(B176,country_opex,3,FALSE))+V176+W176+X176+Y176+Z176))&lt;=0,"",VLOOKUP(B176,country_opex,7,FALSE)/((S176*pax_cap*load_full*ROUND(K176*L176*revleg_full,0))-(((battery/range_nm)*D176*ROUND(K176*L176*revleg_full,0)*VLOOKUP(B176,country_opex,3,FALSE))+V176+W176+X176+Y176+Z176)))</f>
        <v/>
      </c>
      <c r="AX176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Y17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7">
      <c r="A177" s="29" t="inlineStr">
        <is>
          <t>Bolt</t>
        </is>
      </c>
      <c r="B177" s="29" t="inlineStr">
        <is>
          <t>United Arab Emirates</t>
        </is>
      </c>
      <c r="C177" s="30" t="inlineStr">
        <is>
          <t>Marina Mall / Breakwater Marina → Lulu Island Jetty</t>
        </is>
      </c>
      <c r="D177" s="31" t="n">
        <v>1.7</v>
      </c>
      <c r="E177" s="26" t="n">
        <v>45</v>
      </c>
      <c r="F177" s="32" t="inlineStr">
        <is>
          <t>T4</t>
        </is>
      </c>
      <c r="G177" s="32" t="inlineStr">
        <is>
          <t>low</t>
        </is>
      </c>
      <c r="H177" s="19" t="n">
        <v>1</v>
      </c>
      <c r="I177" s="33">
        <f>60*D177/cruise_kt</f>
        <v/>
      </c>
      <c r="J177" s="33">
        <f>I177+turn_min+dwell_min</f>
        <v/>
      </c>
      <c r="K177" s="34">
        <f>MIN(15,FLOOR(60*service_hr/J177,1))</f>
        <v/>
      </c>
      <c r="L177" s="34">
        <f>ROUND(365*mech_uptime*H177,0)</f>
        <v/>
      </c>
      <c r="M177" s="35">
        <f>mech_uptime</f>
        <v/>
      </c>
      <c r="N177" s="35">
        <f>revleg_sel</f>
        <v/>
      </c>
      <c r="O177" s="34">
        <f>ROUND(K177*L177*revleg_sel,0)</f>
        <v/>
      </c>
      <c r="P177" s="36">
        <f>load_sel</f>
        <v/>
      </c>
      <c r="Q177" s="36">
        <f>pax_cap*P177</f>
        <v/>
      </c>
      <c r="R177" s="34">
        <f>Q177*O177</f>
        <v/>
      </c>
      <c r="S177" s="37">
        <f>E177*discount</f>
        <v/>
      </c>
      <c r="T177" s="38">
        <f>S177*R177</f>
        <v/>
      </c>
      <c r="U177" s="38">
        <f>(battery/range_nm)*D177*O177*VLOOKUP(B177,country_opex,3,FALSE)</f>
        <v/>
      </c>
      <c r="V177" s="38">
        <f>VLOOKUP(B177,country_opex,2,FALSE)*crew_factor</f>
        <v/>
      </c>
      <c r="W177" s="38">
        <f>VLOOKUP(B177,country_opex,5,FALSE)</f>
        <v/>
      </c>
      <c r="X177" s="38">
        <f>maint</f>
        <v/>
      </c>
      <c r="Y177" s="38">
        <f>VLOOKUP(B177,country_opex,7,FALSE)*ins_pct</f>
        <v/>
      </c>
      <c r="Z177" s="38">
        <f>charge_berth</f>
        <v/>
      </c>
      <c r="AA177" s="38">
        <f>U177+V177+W177+X177+Y177+Z177</f>
        <v/>
      </c>
      <c r="AB177" s="38">
        <f>VLOOKUP(B177,country_opex,7,FALSE)/dep_years</f>
        <v/>
      </c>
      <c r="AC177" s="38">
        <f>T177-AA177</f>
        <v/>
      </c>
      <c r="AD177" s="35">
        <f>IF(T177=0,"",AC177/T177)</f>
        <v/>
      </c>
      <c r="AE177" s="36">
        <f>IF(AC177&lt;=0,"",VLOOKUP(B177,country_opex,7,FALSE)/AC177)</f>
        <v/>
      </c>
      <c r="AF177" s="33">
        <f>((D177*O177/diesel_nmpg)*diesel_co2pg-(battery/range_nm)*D177*O177*VLOOKUP(B177,country_opex,4,FALSE))/1000</f>
        <v/>
      </c>
      <c r="AG177" s="31" t="n">
        <v>20000</v>
      </c>
      <c r="AH177" s="32" t="inlineStr">
        <is>
          <t>T5</t>
        </is>
      </c>
      <c r="AI177" s="32" t="inlineStr">
        <is>
          <t>low</t>
        </is>
      </c>
      <c r="AJ177" s="39" t="n">
        <v>0.1</v>
      </c>
      <c r="AK177" s="34">
        <f>IF(AG177="","",AG177*AJ177)</f>
        <v/>
      </c>
      <c r="AL177" s="34">
        <f>IF(OR(AG177="",R177=0),"",MIN(IF(AT177="",9.9E+99,AT177),FLOOR(AK177/R177,1)))</f>
        <v/>
      </c>
      <c r="AM177" s="38">
        <f>IF(AL177="","",AL177*T177)</f>
        <v/>
      </c>
      <c r="AN177" s="36">
        <f>IF(OR(AG177="",R177=0),"",MIN(IF(AT177="",9.9E+99,AT177),AK177/R177))</f>
        <v/>
      </c>
      <c r="AO177" s="38">
        <f>IF(AN177="","",AN177*T177)</f>
        <v/>
      </c>
      <c r="AP177" s="40" t="n"/>
      <c r="AQ177" s="32" t="inlineStr">
        <is>
          <t>Grounded</t>
        </is>
      </c>
      <c r="AR177" s="41" t="n"/>
      <c r="AS177" s="41" t="n"/>
      <c r="AT177" s="42" t="n"/>
      <c r="AU177" s="43">
        <f>IF(((S177*pax_cap*load_thin*ROUND(K177*L177*revleg_thin,0))-(((battery/range_nm)*D177*ROUND(K177*L177*revleg_thin,0)*VLOOKUP(B177,country_opex,3,FALSE))+V177+W177+X177+Y177+Z177))&lt;=0,"",VLOOKUP(B177,country_opex,7,FALSE)/((S177*pax_cap*load_thin*ROUND(K177*L177*revleg_thin,0))-(((battery/range_nm)*D177*ROUND(K177*L177*revleg_thin,0)*VLOOKUP(B177,country_opex,3,FALSE))+V177+W177+X177+Y177+Z177)))</f>
        <v/>
      </c>
      <c r="AV177" s="43">
        <f>IF(((S177*pax_cap*load_mid*ROUND(K177*L177*revleg_mid,0))-(((battery/range_nm)*D177*ROUND(K177*L177*revleg_mid,0)*VLOOKUP(B177,country_opex,3,FALSE))+V177+W177+X177+Y177+Z177))&lt;=0,"",VLOOKUP(B177,country_opex,7,FALSE)/((S177*pax_cap*load_mid*ROUND(K177*L177*revleg_mid,0))-(((battery/range_nm)*D177*ROUND(K177*L177*revleg_mid,0)*VLOOKUP(B177,country_opex,3,FALSE))+V177+W177+X177+Y177+Z177)))</f>
        <v/>
      </c>
      <c r="AW177" s="43">
        <f>IF(((S177*pax_cap*load_full*ROUND(K177*L177*revleg_full,0))-(((battery/range_nm)*D177*ROUND(K177*L177*revleg_full,0)*VLOOKUP(B177,country_opex,3,FALSE))+V177+W177+X177+Y177+Z177))&lt;=0,"",VLOOKUP(B177,country_opex,7,FALSE)/((S177*pax_cap*load_full*ROUND(K177*L177*revleg_full,0))-(((battery/range_nm)*D177*ROUND(K177*L177*revleg_full,0)*VLOOKUP(B177,country_opex,3,FALSE))+V177+W177+X177+Y177+Z177)))</f>
        <v/>
      </c>
      <c r="AX177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Y177" s="44" t="inlineStr">
        <is>
          <t>Lulu boat-only (R3-EXCEPTION) but undeveloped/limited-access -&gt; small day-visit pool.</t>
        </is>
      </c>
    </row>
    <row r="178">
      <c r="A178" s="29" t="inlineStr">
        <is>
          <t>Bolt</t>
        </is>
      </c>
      <c r="B178" s="29" t="inlineStr">
        <is>
          <t>United Arab Emirates</t>
        </is>
      </c>
      <c r="C178" s="30" t="inlineStr">
        <is>
          <t>Dubai Harbour Marina → Palm Jumeirah Marina West</t>
        </is>
      </c>
      <c r="D178" s="31" t="n">
        <v>2.1</v>
      </c>
      <c r="E178" s="26" t="n">
        <v>48</v>
      </c>
      <c r="F178" s="32" t="inlineStr">
        <is>
          <t>T1</t>
        </is>
      </c>
      <c r="G178" s="32" t="inlineStr">
        <is>
          <t>high</t>
        </is>
      </c>
      <c r="H178" s="19" t="n">
        <v>1</v>
      </c>
      <c r="I178" s="33">
        <f>60*D178/cruise_kt</f>
        <v/>
      </c>
      <c r="J178" s="33">
        <f>I178+turn_min+dwell_min</f>
        <v/>
      </c>
      <c r="K178" s="34">
        <f>MIN(15,FLOOR(60*service_hr/J178,1))</f>
        <v/>
      </c>
      <c r="L178" s="34">
        <f>ROUND(365*mech_uptime*H178,0)</f>
        <v/>
      </c>
      <c r="M178" s="35">
        <f>mech_uptime</f>
        <v/>
      </c>
      <c r="N178" s="35">
        <f>revleg_sel</f>
        <v/>
      </c>
      <c r="O178" s="34">
        <f>ROUND(K178*L178*revleg_sel,0)</f>
        <v/>
      </c>
      <c r="P178" s="36">
        <f>load_sel</f>
        <v/>
      </c>
      <c r="Q178" s="36">
        <f>pax_cap*P178</f>
        <v/>
      </c>
      <c r="R178" s="34">
        <f>Q178*O178</f>
        <v/>
      </c>
      <c r="S178" s="37">
        <f>E178*discount</f>
        <v/>
      </c>
      <c r="T178" s="38">
        <f>S178*R178</f>
        <v/>
      </c>
      <c r="U178" s="38">
        <f>(battery/range_nm)*D178*O178*VLOOKUP(B178,country_opex,3,FALSE)</f>
        <v/>
      </c>
      <c r="V178" s="38">
        <f>VLOOKUP(B178,country_opex,2,FALSE)*crew_factor</f>
        <v/>
      </c>
      <c r="W178" s="38">
        <f>VLOOKUP(B178,country_opex,5,FALSE)</f>
        <v/>
      </c>
      <c r="X178" s="38">
        <f>maint</f>
        <v/>
      </c>
      <c r="Y178" s="38">
        <f>VLOOKUP(B178,country_opex,7,FALSE)*ins_pct</f>
        <v/>
      </c>
      <c r="Z178" s="38">
        <f>charge_berth</f>
        <v/>
      </c>
      <c r="AA178" s="38">
        <f>U178+V178+W178+X178+Y178+Z178</f>
        <v/>
      </c>
      <c r="AB178" s="38">
        <f>VLOOKUP(B178,country_opex,7,FALSE)/dep_years</f>
        <v/>
      </c>
      <c r="AC178" s="38">
        <f>T178-AA178</f>
        <v/>
      </c>
      <c r="AD178" s="35">
        <f>IF(T178=0,"",AC178/T178)</f>
        <v/>
      </c>
      <c r="AE178" s="36">
        <f>IF(AC178&lt;=0,"",VLOOKUP(B178,country_opex,7,FALSE)/AC178)</f>
        <v/>
      </c>
      <c r="AF178" s="33">
        <f>((D178*O178/diesel_nmpg)*diesel_co2pg-(battery/range_nm)*D178*O178*VLOOKUP(B178,country_opex,4,FALSE))/1000</f>
        <v/>
      </c>
      <c r="AG178" s="31" t="n">
        <v>35000</v>
      </c>
      <c r="AH178" s="32" t="inlineStr">
        <is>
          <t>T3</t>
        </is>
      </c>
      <c r="AI178" s="32" t="inlineStr">
        <is>
          <t>low</t>
        </is>
      </c>
      <c r="AJ178" s="39" t="n">
        <v>0.1</v>
      </c>
      <c r="AK178" s="34">
        <f>IF(AG178="","",AG178*AJ178)</f>
        <v/>
      </c>
      <c r="AL178" s="34">
        <f>IF(OR(AG178="",R178=0),"",MIN(IF(AT178="",9.9E+99,AT178),FLOOR(AK178/R178,1)))</f>
        <v/>
      </c>
      <c r="AM178" s="38">
        <f>IF(AL178="","",AL178*T178)</f>
        <v/>
      </c>
      <c r="AN178" s="36">
        <f>IF(OR(AG178="",R178=0),"",MIN(IF(AT178="",9.9E+99,AT178),AK178/R178))</f>
        <v/>
      </c>
      <c r="AO178" s="38">
        <f>IF(AN178="","",AN178*T178)</f>
        <v/>
      </c>
      <c r="AP178" s="40" t="n"/>
      <c r="AQ178" s="32" t="inlineStr">
        <is>
          <t>Grounded</t>
        </is>
      </c>
      <c r="AR178" s="41" t="n"/>
      <c r="AS178" s="41" t="n"/>
      <c r="AT178" s="42" t="n"/>
      <c r="AU178" s="43">
        <f>IF(((S178*pax_cap*load_thin*ROUND(K178*L178*revleg_thin,0))-(((battery/range_nm)*D178*ROUND(K178*L178*revleg_thin,0)*VLOOKUP(B178,country_opex,3,FALSE))+V178+W178+X178+Y178+Z178))&lt;=0,"",VLOOKUP(B178,country_opex,7,FALSE)/((S178*pax_cap*load_thin*ROUND(K178*L178*revleg_thin,0))-(((battery/range_nm)*D178*ROUND(K178*L178*revleg_thin,0)*VLOOKUP(B178,country_opex,3,FALSE))+V178+W178+X178+Y178+Z178)))</f>
        <v/>
      </c>
      <c r="AV178" s="43">
        <f>IF(((S178*pax_cap*load_mid*ROUND(K178*L178*revleg_mid,0))-(((battery/range_nm)*D178*ROUND(K178*L178*revleg_mid,0)*VLOOKUP(B178,country_opex,3,FALSE))+V178+W178+X178+Y178+Z178))&lt;=0,"",VLOOKUP(B178,country_opex,7,FALSE)/((S178*pax_cap*load_mid*ROUND(K178*L178*revleg_mid,0))-(((battery/range_nm)*D178*ROUND(K178*L178*revleg_mid,0)*VLOOKUP(B178,country_opex,3,FALSE))+V178+W178+X178+Y178+Z178)))</f>
        <v/>
      </c>
      <c r="AW178" s="43">
        <f>IF(((S178*pax_cap*load_full*ROUND(K178*L178*revleg_full,0))-(((battery/range_nm)*D178*ROUND(K178*L178*revleg_full,0)*VLOOKUP(B178,country_opex,3,FALSE))+V178+W178+X178+Y178+Z178))&lt;=0,"",VLOOKUP(B178,country_opex,7,FALSE)/((S178*pax_cap*load_full*ROUND(K178*L178*revleg_full,0))-(((battery/range_nm)*D178*ROUND(K178*L178*revleg_full,0)*VLOOKUP(B178,country_opex,3,FALSE))+V178+W178+X178+Y178+Z178)))</f>
        <v/>
      </c>
      <c r="AX178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Y17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9">
      <c r="A179" s="29" t="inlineStr">
        <is>
          <t>Bolt</t>
        </is>
      </c>
      <c r="B179" s="29" t="inlineStr">
        <is>
          <t>United Arab Emirates</t>
        </is>
      </c>
      <c r="C179" s="30" t="inlineStr">
        <is>
          <t>Al Bateen Marina → Emirates Palace Marina</t>
        </is>
      </c>
      <c r="D179" s="31" t="n">
        <v>2.2</v>
      </c>
      <c r="E179" s="26" t="n">
        <v>150</v>
      </c>
      <c r="F179" s="32" t="inlineStr">
        <is>
          <t>T5</t>
        </is>
      </c>
      <c r="G179" s="32" t="inlineStr">
        <is>
          <t>low</t>
        </is>
      </c>
      <c r="H179" s="19" t="n">
        <v>1</v>
      </c>
      <c r="I179" s="33">
        <f>60*D179/cruise_kt</f>
        <v/>
      </c>
      <c r="J179" s="33">
        <f>I179+turn_min+dwell_min</f>
        <v/>
      </c>
      <c r="K179" s="34">
        <f>MIN(15,FLOOR(60*service_hr/J179,1))</f>
        <v/>
      </c>
      <c r="L179" s="34">
        <f>ROUND(365*mech_uptime*H179,0)</f>
        <v/>
      </c>
      <c r="M179" s="35">
        <f>mech_uptime</f>
        <v/>
      </c>
      <c r="N179" s="35">
        <f>revleg_sel</f>
        <v/>
      </c>
      <c r="O179" s="34">
        <f>ROUND(K179*L179*revleg_sel,0)</f>
        <v/>
      </c>
      <c r="P179" s="36">
        <f>load_sel</f>
        <v/>
      </c>
      <c r="Q179" s="36">
        <f>pax_cap*P179</f>
        <v/>
      </c>
      <c r="R179" s="34">
        <f>Q179*O179</f>
        <v/>
      </c>
      <c r="S179" s="37">
        <f>E179*discount</f>
        <v/>
      </c>
      <c r="T179" s="38">
        <f>S179*R179</f>
        <v/>
      </c>
      <c r="U179" s="38">
        <f>(battery/range_nm)*D179*O179*VLOOKUP(B179,country_opex,3,FALSE)</f>
        <v/>
      </c>
      <c r="V179" s="38">
        <f>VLOOKUP(B179,country_opex,2,FALSE)*crew_factor</f>
        <v/>
      </c>
      <c r="W179" s="38">
        <f>VLOOKUP(B179,country_opex,5,FALSE)</f>
        <v/>
      </c>
      <c r="X179" s="38">
        <f>maint</f>
        <v/>
      </c>
      <c r="Y179" s="38">
        <f>VLOOKUP(B179,country_opex,7,FALSE)*ins_pct</f>
        <v/>
      </c>
      <c r="Z179" s="38">
        <f>charge_berth</f>
        <v/>
      </c>
      <c r="AA179" s="38">
        <f>U179+V179+W179+X179+Y179+Z179</f>
        <v/>
      </c>
      <c r="AB179" s="38">
        <f>VLOOKUP(B179,country_opex,7,FALSE)/dep_years</f>
        <v/>
      </c>
      <c r="AC179" s="38">
        <f>T179-AA179</f>
        <v/>
      </c>
      <c r="AD179" s="35">
        <f>IF(T179=0,"",AC179/T179)</f>
        <v/>
      </c>
      <c r="AE179" s="36">
        <f>IF(AC179&lt;=0,"",VLOOKUP(B179,country_opex,7,FALSE)/AC179)</f>
        <v/>
      </c>
      <c r="AF179" s="33">
        <f>((D179*O179/diesel_nmpg)*diesel_co2pg-(battery/range_nm)*D179*O179*VLOOKUP(B179,country_opex,4,FALSE))/1000</f>
        <v/>
      </c>
      <c r="AG179" s="31" t="n">
        <v>20000</v>
      </c>
      <c r="AH179" s="32" t="inlineStr">
        <is>
          <t>T3</t>
        </is>
      </c>
      <c r="AI179" s="32" t="inlineStr">
        <is>
          <t>low</t>
        </is>
      </c>
      <c r="AJ179" s="39" t="n">
        <v>0.1</v>
      </c>
      <c r="AK179" s="34">
        <f>IF(AG179="","",AG179*AJ179)</f>
        <v/>
      </c>
      <c r="AL179" s="34">
        <f>IF(OR(AG179="",R179=0),"",MIN(IF(AT179="",9.9E+99,AT179),FLOOR(AK179/R179,1)))</f>
        <v/>
      </c>
      <c r="AM179" s="38">
        <f>IF(AL179="","",AL179*T179)</f>
        <v/>
      </c>
      <c r="AN179" s="36">
        <f>IF(OR(AG179="",R179=0),"",MIN(IF(AT179="",9.9E+99,AT179),AK179/R179))</f>
        <v/>
      </c>
      <c r="AO179" s="38">
        <f>IF(AN179="","",AN179*T179)</f>
        <v/>
      </c>
      <c r="AP179" s="40" t="n"/>
      <c r="AQ179" s="32" t="inlineStr">
        <is>
          <t>Grounded</t>
        </is>
      </c>
      <c r="AR179" s="41" t="n"/>
      <c r="AS179" s="41" t="n"/>
      <c r="AT179" s="42" t="n"/>
      <c r="AU179" s="43">
        <f>IF(((S179*pax_cap*load_thin*ROUND(K179*L179*revleg_thin,0))-(((battery/range_nm)*D179*ROUND(K179*L179*revleg_thin,0)*VLOOKUP(B179,country_opex,3,FALSE))+V179+W179+X179+Y179+Z179))&lt;=0,"",VLOOKUP(B179,country_opex,7,FALSE)/((S179*pax_cap*load_thin*ROUND(K179*L179*revleg_thin,0))-(((battery/range_nm)*D179*ROUND(K179*L179*revleg_thin,0)*VLOOKUP(B179,country_opex,3,FALSE))+V179+W179+X179+Y179+Z179)))</f>
        <v/>
      </c>
      <c r="AV179" s="43">
        <f>IF(((S179*pax_cap*load_mid*ROUND(K179*L179*revleg_mid,0))-(((battery/range_nm)*D179*ROUND(K179*L179*revleg_mid,0)*VLOOKUP(B179,country_opex,3,FALSE))+V179+W179+X179+Y179+Z179))&lt;=0,"",VLOOKUP(B179,country_opex,7,FALSE)/((S179*pax_cap*load_mid*ROUND(K179*L179*revleg_mid,0))-(((battery/range_nm)*D179*ROUND(K179*L179*revleg_mid,0)*VLOOKUP(B179,country_opex,3,FALSE))+V179+W179+X179+Y179+Z179)))</f>
        <v/>
      </c>
      <c r="AW179" s="43">
        <f>IF(((S179*pax_cap*load_full*ROUND(K179*L179*revleg_full,0))-(((battery/range_nm)*D179*ROUND(K179*L179*revleg_full,0)*VLOOKUP(B179,country_opex,3,FALSE))+V179+W179+X179+Y179+Z179))&lt;=0,"",VLOOKUP(B179,country_opex,7,FALSE)/((S179*pax_cap*load_full*ROUND(K179*L179*revleg_full,0))-(((battery/range_nm)*D179*ROUND(K179*L179*revleg_full,0)*VLOOKUP(B179,country_opex,3,FALSE))+V179+W179+X179+Y179+Z179)))</f>
        <v/>
      </c>
      <c r="AX179" s="44" t="inlineStr">
        <is>
          <t>Emirates Palace (flagship AD luxury hotel) marina arrival; road-served; opportunity-to-create. T5/low.</t>
        </is>
      </c>
      <c r="AY17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0">
      <c r="A180" s="29" t="inlineStr">
        <is>
          <t>Bolt</t>
        </is>
      </c>
      <c r="B180" s="29" t="inlineStr">
        <is>
          <t>United Arab Emirates</t>
        </is>
      </c>
      <c r="C180" s="30" t="inlineStr">
        <is>
          <t>Côte d'Azur Resort Marina (Heart of Europe) → Anantara World Islands Resort Jetty (planned)</t>
        </is>
      </c>
      <c r="D180" s="31" t="n">
        <v>2.4</v>
      </c>
      <c r="E180" s="26" t="n">
        <v>150</v>
      </c>
      <c r="F180" s="32" t="inlineStr">
        <is>
          <t>T5</t>
        </is>
      </c>
      <c r="G180" s="32" t="inlineStr">
        <is>
          <t>low</t>
        </is>
      </c>
      <c r="H180" s="19" t="n">
        <v>1</v>
      </c>
      <c r="I180" s="33">
        <f>60*D180/cruise_kt</f>
        <v/>
      </c>
      <c r="J180" s="33">
        <f>I180+turn_min+dwell_min</f>
        <v/>
      </c>
      <c r="K180" s="34">
        <f>MIN(15,FLOOR(60*service_hr/J180,1))</f>
        <v/>
      </c>
      <c r="L180" s="34">
        <f>ROUND(365*mech_uptime*H180,0)</f>
        <v/>
      </c>
      <c r="M180" s="35">
        <f>mech_uptime</f>
        <v/>
      </c>
      <c r="N180" s="35">
        <f>revleg_sel</f>
        <v/>
      </c>
      <c r="O180" s="34">
        <f>ROUND(K180*L180*revleg_sel,0)</f>
        <v/>
      </c>
      <c r="P180" s="36">
        <f>load_sel</f>
        <v/>
      </c>
      <c r="Q180" s="36">
        <f>pax_cap*P180</f>
        <v/>
      </c>
      <c r="R180" s="34">
        <f>Q180*O180</f>
        <v/>
      </c>
      <c r="S180" s="37">
        <f>E180*discount</f>
        <v/>
      </c>
      <c r="T180" s="38">
        <f>S180*R180</f>
        <v/>
      </c>
      <c r="U180" s="38">
        <f>(battery/range_nm)*D180*O180*VLOOKUP(B180,country_opex,3,FALSE)</f>
        <v/>
      </c>
      <c r="V180" s="38">
        <f>VLOOKUP(B180,country_opex,2,FALSE)*crew_factor</f>
        <v/>
      </c>
      <c r="W180" s="38">
        <f>VLOOKUP(B180,country_opex,5,FALSE)</f>
        <v/>
      </c>
      <c r="X180" s="38">
        <f>maint</f>
        <v/>
      </c>
      <c r="Y180" s="38">
        <f>VLOOKUP(B180,country_opex,7,FALSE)*ins_pct</f>
        <v/>
      </c>
      <c r="Z180" s="38">
        <f>charge_berth</f>
        <v/>
      </c>
      <c r="AA180" s="38">
        <f>U180+V180+W180+X180+Y180+Z180</f>
        <v/>
      </c>
      <c r="AB180" s="38">
        <f>VLOOKUP(B180,country_opex,7,FALSE)/dep_years</f>
        <v/>
      </c>
      <c r="AC180" s="38">
        <f>T180-AA180</f>
        <v/>
      </c>
      <c r="AD180" s="35">
        <f>IF(T180=0,"",AC180/T180)</f>
        <v/>
      </c>
      <c r="AE180" s="36">
        <f>IF(AC180&lt;=0,"",VLOOKUP(B180,country_opex,7,FALSE)/AC180)</f>
        <v/>
      </c>
      <c r="AF180" s="33">
        <f>((D180*O180/diesel_nmpg)*diesel_co2pg-(battery/range_nm)*D180*O180*VLOOKUP(B180,country_opex,4,FALSE))/1000</f>
        <v/>
      </c>
      <c r="AG180" s="31" t="n">
        <v>25000</v>
      </c>
      <c r="AH180" s="32" t="inlineStr">
        <is>
          <t>T3</t>
        </is>
      </c>
      <c r="AI180" s="32" t="inlineStr">
        <is>
          <t>low</t>
        </is>
      </c>
      <c r="AJ180" s="39" t="n">
        <v>0.1</v>
      </c>
      <c r="AK180" s="34">
        <f>IF(AG180="","",AG180*AJ180)</f>
        <v/>
      </c>
      <c r="AL180" s="34">
        <f>IF(OR(AG180="",R180=0),"",MIN(IF(AT180="",9.9E+99,AT180),FLOOR(AK180/R180,1)))</f>
        <v/>
      </c>
      <c r="AM180" s="38">
        <f>IF(AL180="","",AL180*T180)</f>
        <v/>
      </c>
      <c r="AN180" s="36">
        <f>IF(OR(AG180="",R180=0),"",MIN(IF(AT180="",9.9E+99,AT180),AK180/R180))</f>
        <v/>
      </c>
      <c r="AO180" s="38">
        <f>IF(AN180="","",AN180*T180)</f>
        <v/>
      </c>
      <c r="AP180" s="40" t="n"/>
      <c r="AQ180" s="32" t="inlineStr">
        <is>
          <t>Grounded</t>
        </is>
      </c>
      <c r="AR180" s="41" t="n"/>
      <c r="AS180" s="41" t="n"/>
      <c r="AT180" s="42" t="n"/>
      <c r="AU180" s="43">
        <f>IF(((S180*pax_cap*load_thin*ROUND(K180*L180*revleg_thin,0))-(((battery/range_nm)*D180*ROUND(K180*L180*revleg_thin,0)*VLOOKUP(B180,country_opex,3,FALSE))+V180+W180+X180+Y180+Z180))&lt;=0,"",VLOOKUP(B180,country_opex,7,FALSE)/((S180*pax_cap*load_thin*ROUND(K180*L180*revleg_thin,0))-(((battery/range_nm)*D180*ROUND(K180*L180*revleg_thin,0)*VLOOKUP(B180,country_opex,3,FALSE))+V180+W180+X180+Y180+Z180)))</f>
        <v/>
      </c>
      <c r="AV180" s="43">
        <f>IF(((S180*pax_cap*load_mid*ROUND(K180*L180*revleg_mid,0))-(((battery/range_nm)*D180*ROUND(K180*L180*revleg_mid,0)*VLOOKUP(B180,country_opex,3,FALSE))+V180+W180+X180+Y180+Z180))&lt;=0,"",VLOOKUP(B180,country_opex,7,FALSE)/((S180*pax_cap*load_mid*ROUND(K180*L180*revleg_mid,0))-(((battery/range_nm)*D180*ROUND(K180*L180*revleg_mid,0)*VLOOKUP(B180,country_opex,3,FALSE))+V180+W180+X180+Y180+Z180)))</f>
        <v/>
      </c>
      <c r="AW180" s="43">
        <f>IF(((S180*pax_cap*load_full*ROUND(K180*L180*revleg_full,0))-(((battery/range_nm)*D180*ROUND(K180*L180*revleg_full,0)*VLOOKUP(B180,country_opex,3,FALSE))+V180+W180+X180+Y180+Z180))&lt;=0,"",VLOOKUP(B180,country_opex,7,FALSE)/((S180*pax_cap*load_full*ROUND(K180*L180*revleg_full,0))-(((battery/range_nm)*D180*ROUND(K180*L180*revleg_full,0)*VLOOKUP(B180,country_opex,3,FALSE))+V180+W180+X180+Y180+Z180)))</f>
        <v/>
      </c>
      <c r="AX180" s="44" t="inlineStr">
        <is>
          <t>Intra-The-World offshore hop; both boat-only. Greenfield premium per-seat. T5/low.</t>
        </is>
      </c>
      <c r="AY18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1">
      <c r="A181" s="29" t="inlineStr">
        <is>
          <t>Bolt</t>
        </is>
      </c>
      <c r="B181" s="29" t="inlineStr">
        <is>
          <t>United Arab Emirates</t>
        </is>
      </c>
      <c r="C181" s="30" t="inlineStr">
        <is>
          <t>Marina Mall / Breakwater Marina → Al Bateen Marina</t>
        </is>
      </c>
      <c r="D181" s="31" t="n">
        <v>2.6</v>
      </c>
      <c r="E181" s="26" t="n">
        <v>45</v>
      </c>
      <c r="F181" s="32" t="inlineStr">
        <is>
          <t>T4</t>
        </is>
      </c>
      <c r="G181" s="32" t="inlineStr">
        <is>
          <t>low</t>
        </is>
      </c>
      <c r="H181" s="19" t="n">
        <v>1</v>
      </c>
      <c r="I181" s="33">
        <f>60*D181/cruise_kt</f>
        <v/>
      </c>
      <c r="J181" s="33">
        <f>I181+turn_min+dwell_min</f>
        <v/>
      </c>
      <c r="K181" s="34">
        <f>MIN(15,FLOOR(60*service_hr/J181,1))</f>
        <v/>
      </c>
      <c r="L181" s="34">
        <f>ROUND(365*mech_uptime*H181,0)</f>
        <v/>
      </c>
      <c r="M181" s="35">
        <f>mech_uptime</f>
        <v/>
      </c>
      <c r="N181" s="35">
        <f>revleg_sel</f>
        <v/>
      </c>
      <c r="O181" s="34">
        <f>ROUND(K181*L181*revleg_sel,0)</f>
        <v/>
      </c>
      <c r="P181" s="36">
        <f>load_sel</f>
        <v/>
      </c>
      <c r="Q181" s="36">
        <f>pax_cap*P181</f>
        <v/>
      </c>
      <c r="R181" s="34">
        <f>Q181*O181</f>
        <v/>
      </c>
      <c r="S181" s="37">
        <f>E181*discount</f>
        <v/>
      </c>
      <c r="T181" s="38">
        <f>S181*R181</f>
        <v/>
      </c>
      <c r="U181" s="38">
        <f>(battery/range_nm)*D181*O181*VLOOKUP(B181,country_opex,3,FALSE)</f>
        <v/>
      </c>
      <c r="V181" s="38">
        <f>VLOOKUP(B181,country_opex,2,FALSE)*crew_factor</f>
        <v/>
      </c>
      <c r="W181" s="38">
        <f>VLOOKUP(B181,country_opex,5,FALSE)</f>
        <v/>
      </c>
      <c r="X181" s="38">
        <f>maint</f>
        <v/>
      </c>
      <c r="Y181" s="38">
        <f>VLOOKUP(B181,country_opex,7,FALSE)*ins_pct</f>
        <v/>
      </c>
      <c r="Z181" s="38">
        <f>charge_berth</f>
        <v/>
      </c>
      <c r="AA181" s="38">
        <f>U181+V181+W181+X181+Y181+Z181</f>
        <v/>
      </c>
      <c r="AB181" s="38">
        <f>VLOOKUP(B181,country_opex,7,FALSE)/dep_years</f>
        <v/>
      </c>
      <c r="AC181" s="38">
        <f>T181-AA181</f>
        <v/>
      </c>
      <c r="AD181" s="35">
        <f>IF(T181=0,"",AC181/T181)</f>
        <v/>
      </c>
      <c r="AE181" s="36">
        <f>IF(AC181&lt;=0,"",VLOOKUP(B181,country_opex,7,FALSE)/AC181)</f>
        <v/>
      </c>
      <c r="AF181" s="33">
        <f>((D181*O181/diesel_nmpg)*diesel_co2pg-(battery/range_nm)*D181*O181*VLOOKUP(B181,country_opex,4,FALSE))/1000</f>
        <v/>
      </c>
      <c r="AG181" s="31" t="n">
        <v>50000</v>
      </c>
      <c r="AH181" s="32" t="inlineStr">
        <is>
          <t>T3</t>
        </is>
      </c>
      <c r="AI181" s="32" t="inlineStr">
        <is>
          <t>low</t>
        </is>
      </c>
      <c r="AJ181" s="39" t="n">
        <v>0.1</v>
      </c>
      <c r="AK181" s="34">
        <f>IF(AG181="","",AG181*AJ181)</f>
        <v/>
      </c>
      <c r="AL181" s="34">
        <f>IF(OR(AG181="",R181=0),"",MIN(IF(AT181="",9.9E+99,AT181),FLOOR(AK181/R181,1)))</f>
        <v/>
      </c>
      <c r="AM181" s="38">
        <f>IF(AL181="","",AL181*T181)</f>
        <v/>
      </c>
      <c r="AN181" s="36">
        <f>IF(OR(AG181="",R181=0),"",MIN(IF(AT181="",9.9E+99,AT181),AK181/R181))</f>
        <v/>
      </c>
      <c r="AO181" s="38">
        <f>IF(AN181="","",AN181*T181)</f>
        <v/>
      </c>
      <c r="AP181" s="40" t="n"/>
      <c r="AQ181" s="32" t="inlineStr">
        <is>
          <t>Grounded</t>
        </is>
      </c>
      <c r="AR181" s="41" t="n"/>
      <c r="AS181" s="41" t="n"/>
      <c r="AT181" s="42" t="n"/>
      <c r="AU181" s="43">
        <f>IF(((S181*pax_cap*load_thin*ROUND(K181*L181*revleg_thin,0))-(((battery/range_nm)*D181*ROUND(K181*L181*revleg_thin,0)*VLOOKUP(B181,country_opex,3,FALSE))+V181+W181+X181+Y181+Z181))&lt;=0,"",VLOOKUP(B181,country_opex,7,FALSE)/((S181*pax_cap*load_thin*ROUND(K181*L181*revleg_thin,0))-(((battery/range_nm)*D181*ROUND(K181*L181*revleg_thin,0)*VLOOKUP(B181,country_opex,3,FALSE))+V181+W181+X181+Y181+Z181)))</f>
        <v/>
      </c>
      <c r="AV181" s="43">
        <f>IF(((S181*pax_cap*load_mid*ROUND(K181*L181*revleg_mid,0))-(((battery/range_nm)*D181*ROUND(K181*L181*revleg_mid,0)*VLOOKUP(B181,country_opex,3,FALSE))+V181+W181+X181+Y181+Z181))&lt;=0,"",VLOOKUP(B181,country_opex,7,FALSE)/((S181*pax_cap*load_mid*ROUND(K181*L181*revleg_mid,0))-(((battery/range_nm)*D181*ROUND(K181*L181*revleg_mid,0)*VLOOKUP(B181,country_opex,3,FALSE))+V181+W181+X181+Y181+Z181)))</f>
        <v/>
      </c>
      <c r="AW181" s="43">
        <f>IF(((S181*pax_cap*load_full*ROUND(K181*L181*revleg_full,0))-(((battery/range_nm)*D181*ROUND(K181*L181*revleg_full,0)*VLOOKUP(B181,country_opex,3,FALSE))+V181+W181+X181+Y181+Z181))&lt;=0,"",VLOOKUP(B181,country_opex,7,FALSE)/((S181*pax_cap*load_full*ROUND(K181*L181*revleg_full,0))-(((battery/range_nm)*D181*ROUND(K181*L181*revleg_full,0)*VLOOKUP(B181,country_opex,3,FALSE))+V181+W181+X181+Y181+Z181)))</f>
        <v/>
      </c>
      <c r="AX181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Y18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2">
      <c r="A182" s="29" t="inlineStr">
        <is>
          <t>Bolt</t>
        </is>
      </c>
      <c r="B182" s="29" t="inlineStr">
        <is>
          <t>United Arab Emirates</t>
        </is>
      </c>
      <c r="C182" s="30" t="inlineStr">
        <is>
          <t>Bulgari Yacht Club &amp; Marina → La Mer / J1 Beach Jetty</t>
        </is>
      </c>
      <c r="D182" s="31" t="n">
        <v>2.6</v>
      </c>
      <c r="E182" s="26" t="n">
        <v>120</v>
      </c>
      <c r="F182" s="32" t="inlineStr">
        <is>
          <t>T5</t>
        </is>
      </c>
      <c r="G182" s="32" t="inlineStr">
        <is>
          <t>low</t>
        </is>
      </c>
      <c r="H182" s="19" t="n">
        <v>1</v>
      </c>
      <c r="I182" s="33">
        <f>60*D182/cruise_kt</f>
        <v/>
      </c>
      <c r="J182" s="33">
        <f>I182+turn_min+dwell_min</f>
        <v/>
      </c>
      <c r="K182" s="34">
        <f>MIN(15,FLOOR(60*service_hr/J182,1))</f>
        <v/>
      </c>
      <c r="L182" s="34">
        <f>ROUND(365*mech_uptime*H182,0)</f>
        <v/>
      </c>
      <c r="M182" s="35">
        <f>mech_uptime</f>
        <v/>
      </c>
      <c r="N182" s="35">
        <f>revleg_sel</f>
        <v/>
      </c>
      <c r="O182" s="34">
        <f>ROUND(K182*L182*revleg_sel,0)</f>
        <v/>
      </c>
      <c r="P182" s="36">
        <f>load_sel</f>
        <v/>
      </c>
      <c r="Q182" s="36">
        <f>pax_cap*P182</f>
        <v/>
      </c>
      <c r="R182" s="34">
        <f>Q182*O182</f>
        <v/>
      </c>
      <c r="S182" s="37">
        <f>E182*discount</f>
        <v/>
      </c>
      <c r="T182" s="38">
        <f>S182*R182</f>
        <v/>
      </c>
      <c r="U182" s="38">
        <f>(battery/range_nm)*D182*O182*VLOOKUP(B182,country_opex,3,FALSE)</f>
        <v/>
      </c>
      <c r="V182" s="38">
        <f>VLOOKUP(B182,country_opex,2,FALSE)*crew_factor</f>
        <v/>
      </c>
      <c r="W182" s="38">
        <f>VLOOKUP(B182,country_opex,5,FALSE)</f>
        <v/>
      </c>
      <c r="X182" s="38">
        <f>maint</f>
        <v/>
      </c>
      <c r="Y182" s="38">
        <f>VLOOKUP(B182,country_opex,7,FALSE)*ins_pct</f>
        <v/>
      </c>
      <c r="Z182" s="38">
        <f>charge_berth</f>
        <v/>
      </c>
      <c r="AA182" s="38">
        <f>U182+V182+W182+X182+Y182+Z182</f>
        <v/>
      </c>
      <c r="AB182" s="38">
        <f>VLOOKUP(B182,country_opex,7,FALSE)/dep_years</f>
        <v/>
      </c>
      <c r="AC182" s="38">
        <f>T182-AA182</f>
        <v/>
      </c>
      <c r="AD182" s="35">
        <f>IF(T182=0,"",AC182/T182)</f>
        <v/>
      </c>
      <c r="AE182" s="36">
        <f>IF(AC182&lt;=0,"",VLOOKUP(B182,country_opex,7,FALSE)/AC182)</f>
        <v/>
      </c>
      <c r="AF182" s="33">
        <f>((D182*O182/diesel_nmpg)*diesel_co2pg-(battery/range_nm)*D182*O182*VLOOKUP(B182,country_opex,4,FALSE))/1000</f>
        <v/>
      </c>
      <c r="AG182" s="31" t="n">
        <v>30000</v>
      </c>
      <c r="AH182" s="32" t="inlineStr">
        <is>
          <t>T3</t>
        </is>
      </c>
      <c r="AI182" s="32" t="inlineStr">
        <is>
          <t>low</t>
        </is>
      </c>
      <c r="AJ182" s="39" t="n">
        <v>0.1</v>
      </c>
      <c r="AK182" s="34">
        <f>IF(AG182="","",AG182*AJ182)</f>
        <v/>
      </c>
      <c r="AL182" s="34">
        <f>IF(OR(AG182="",R182=0),"",MIN(IF(AT182="",9.9E+99,AT182),FLOOR(AK182/R182,1)))</f>
        <v/>
      </c>
      <c r="AM182" s="38">
        <f>IF(AL182="","",AL182*T182)</f>
        <v/>
      </c>
      <c r="AN182" s="36">
        <f>IF(OR(AG182="",R182=0),"",MIN(IF(AT182="",9.9E+99,AT182),AK182/R182))</f>
        <v/>
      </c>
      <c r="AO182" s="38">
        <f>IF(AN182="","",AN182*T182)</f>
        <v/>
      </c>
      <c r="AP182" s="40" t="n"/>
      <c r="AQ182" s="32" t="inlineStr">
        <is>
          <t>Grounded</t>
        </is>
      </c>
      <c r="AR182" s="41" t="n"/>
      <c r="AS182" s="41" t="n"/>
      <c r="AT182" s="42" t="n"/>
      <c r="AU182" s="43">
        <f>IF(((S182*pax_cap*load_thin*ROUND(K182*L182*revleg_thin,0))-(((battery/range_nm)*D182*ROUND(K182*L182*revleg_thin,0)*VLOOKUP(B182,country_opex,3,FALSE))+V182+W182+X182+Y182+Z182))&lt;=0,"",VLOOKUP(B182,country_opex,7,FALSE)/((S182*pax_cap*load_thin*ROUND(K182*L182*revleg_thin,0))-(((battery/range_nm)*D182*ROUND(K182*L182*revleg_thin,0)*VLOOKUP(B182,country_opex,3,FALSE))+V182+W182+X182+Y182+Z182)))</f>
        <v/>
      </c>
      <c r="AV182" s="43">
        <f>IF(((S182*pax_cap*load_mid*ROUND(K182*L182*revleg_mid,0))-(((battery/range_nm)*D182*ROUND(K182*L182*revleg_mid,0)*VLOOKUP(B182,country_opex,3,FALSE))+V182+W182+X182+Y182+Z182))&lt;=0,"",VLOOKUP(B182,country_opex,7,FALSE)/((S182*pax_cap*load_mid*ROUND(K182*L182*revleg_mid,0))-(((battery/range_nm)*D182*ROUND(K182*L182*revleg_mid,0)*VLOOKUP(B182,country_opex,3,FALSE))+V182+W182+X182+Y182+Z182)))</f>
        <v/>
      </c>
      <c r="AW182" s="43">
        <f>IF(((S182*pax_cap*load_full*ROUND(K182*L182*revleg_full,0))-(((battery/range_nm)*D182*ROUND(K182*L182*revleg_full,0)*VLOOKUP(B182,country_opex,3,FALSE))+V182+W182+X182+Y182+Z182))&lt;=0,"",VLOOKUP(B182,country_opex,7,FALSE)/((S182*pax_cap*load_full*ROUND(K182*L182*revleg_full,0))-(((battery/range_nm)*D182*ROUND(K182*L182*revleg_full,0)*VLOOKUP(B182,country_opex,3,FALSE))+V182+W182+X182+Y182+Z182)))</f>
        <v/>
      </c>
      <c r="AX182" s="44" t="inlineStr">
        <is>
          <t>Urban Dubai beach-club leisure hop (Bulgari Bay&lt;-&gt;La Mer/J1). Road-served. T5/low.</t>
        </is>
      </c>
      <c r="AY18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3">
      <c r="A183" s="29" t="inlineStr">
        <is>
          <t>Bolt</t>
        </is>
      </c>
      <c r="B183" s="29" t="inlineStr">
        <is>
          <t>United Arab Emirates</t>
        </is>
      </c>
      <c r="C183" s="30" t="inlineStr">
        <is>
          <t>Al Bateen Marina → Hudayriat Marina</t>
        </is>
      </c>
      <c r="D183" s="31" t="n">
        <v>3.6</v>
      </c>
      <c r="E183" s="26" t="n">
        <v>90</v>
      </c>
      <c r="F183" s="32" t="inlineStr">
        <is>
          <t>T4</t>
        </is>
      </c>
      <c r="G183" s="32" t="inlineStr">
        <is>
          <t>low</t>
        </is>
      </c>
      <c r="H183" s="19" t="n">
        <v>1</v>
      </c>
      <c r="I183" s="33">
        <f>60*D183/cruise_kt</f>
        <v/>
      </c>
      <c r="J183" s="33">
        <f>I183+turn_min+dwell_min</f>
        <v/>
      </c>
      <c r="K183" s="34">
        <f>MIN(15,FLOOR(60*service_hr/J183,1))</f>
        <v/>
      </c>
      <c r="L183" s="34">
        <f>ROUND(365*mech_uptime*H183,0)</f>
        <v/>
      </c>
      <c r="M183" s="35">
        <f>mech_uptime</f>
        <v/>
      </c>
      <c r="N183" s="35">
        <f>revleg_sel</f>
        <v/>
      </c>
      <c r="O183" s="34">
        <f>ROUND(K183*L183*revleg_sel,0)</f>
        <v/>
      </c>
      <c r="P183" s="36">
        <f>load_sel</f>
        <v/>
      </c>
      <c r="Q183" s="36">
        <f>pax_cap*P183</f>
        <v/>
      </c>
      <c r="R183" s="34">
        <f>Q183*O183</f>
        <v/>
      </c>
      <c r="S183" s="37">
        <f>E183*discount</f>
        <v/>
      </c>
      <c r="T183" s="38">
        <f>S183*R183</f>
        <v/>
      </c>
      <c r="U183" s="38">
        <f>(battery/range_nm)*D183*O183*VLOOKUP(B183,country_opex,3,FALSE)</f>
        <v/>
      </c>
      <c r="V183" s="38">
        <f>VLOOKUP(B183,country_opex,2,FALSE)*crew_factor</f>
        <v/>
      </c>
      <c r="W183" s="38">
        <f>VLOOKUP(B183,country_opex,5,FALSE)</f>
        <v/>
      </c>
      <c r="X183" s="38">
        <f>maint</f>
        <v/>
      </c>
      <c r="Y183" s="38">
        <f>VLOOKUP(B183,country_opex,7,FALSE)*ins_pct</f>
        <v/>
      </c>
      <c r="Z183" s="38">
        <f>charge_berth</f>
        <v/>
      </c>
      <c r="AA183" s="38">
        <f>U183+V183+W183+X183+Y183+Z183</f>
        <v/>
      </c>
      <c r="AB183" s="38">
        <f>VLOOKUP(B183,country_opex,7,FALSE)/dep_years</f>
        <v/>
      </c>
      <c r="AC183" s="38">
        <f>T183-AA183</f>
        <v/>
      </c>
      <c r="AD183" s="35">
        <f>IF(T183=0,"",AC183/T183)</f>
        <v/>
      </c>
      <c r="AE183" s="36">
        <f>IF(AC183&lt;=0,"",VLOOKUP(B183,country_opex,7,FALSE)/AC183)</f>
        <v/>
      </c>
      <c r="AF183" s="33">
        <f>((D183*O183/diesel_nmpg)*diesel_co2pg-(battery/range_nm)*D183*O183*VLOOKUP(B183,country_opex,4,FALSE))/1000</f>
        <v/>
      </c>
      <c r="AG183" s="31" t="n">
        <v>35000</v>
      </c>
      <c r="AH183" s="32" t="inlineStr">
        <is>
          <t>T3</t>
        </is>
      </c>
      <c r="AI183" s="32" t="inlineStr">
        <is>
          <t>low</t>
        </is>
      </c>
      <c r="AJ183" s="39" t="n">
        <v>0.1</v>
      </c>
      <c r="AK183" s="34">
        <f>IF(AG183="","",AG183*AJ183)</f>
        <v/>
      </c>
      <c r="AL183" s="34">
        <f>IF(OR(AG183="",R183=0),"",MIN(IF(AT183="",9.9E+99,AT183),FLOOR(AK183/R183,1)))</f>
        <v/>
      </c>
      <c r="AM183" s="38">
        <f>IF(AL183="","",AL183*T183)</f>
        <v/>
      </c>
      <c r="AN183" s="36">
        <f>IF(OR(AG183="",R183=0),"",MIN(IF(AT183="",9.9E+99,AT183),AK183/R183))</f>
        <v/>
      </c>
      <c r="AO183" s="38">
        <f>IF(AN183="","",AN183*T183)</f>
        <v/>
      </c>
      <c r="AP183" s="40" t="n"/>
      <c r="AQ183" s="32" t="inlineStr">
        <is>
          <t>Grounded</t>
        </is>
      </c>
      <c r="AR183" s="41" t="n"/>
      <c r="AS183" s="41" t="n"/>
      <c r="AT183" s="42" t="n"/>
      <c r="AU183" s="43">
        <f>IF(((S183*pax_cap*load_thin*ROUND(K183*L183*revleg_thin,0))-(((battery/range_nm)*D183*ROUND(K183*L183*revleg_thin,0)*VLOOKUP(B183,country_opex,3,FALSE))+V183+W183+X183+Y183+Z183))&lt;=0,"",VLOOKUP(B183,country_opex,7,FALSE)/((S183*pax_cap*load_thin*ROUND(K183*L183*revleg_thin,0))-(((battery/range_nm)*D183*ROUND(K183*L183*revleg_thin,0)*VLOOKUP(B183,country_opex,3,FALSE))+V183+W183+X183+Y183+Z183)))</f>
        <v/>
      </c>
      <c r="AV183" s="43">
        <f>IF(((S183*pax_cap*load_mid*ROUND(K183*L183*revleg_mid,0))-(((battery/range_nm)*D183*ROUND(K183*L183*revleg_mid,0)*VLOOKUP(B183,country_opex,3,FALSE))+V183+W183+X183+Y183+Z183))&lt;=0,"",VLOOKUP(B183,country_opex,7,FALSE)/((S183*pax_cap*load_mid*ROUND(K183*L183*revleg_mid,0))-(((battery/range_nm)*D183*ROUND(K183*L183*revleg_mid,0)*VLOOKUP(B183,country_opex,3,FALSE))+V183+W183+X183+Y183+Z183)))</f>
        <v/>
      </c>
      <c r="AW183" s="43">
        <f>IF(((S183*pax_cap*load_full*ROUND(K183*L183*revleg_full,0))-(((battery/range_nm)*D183*ROUND(K183*L183*revleg_full,0)*VLOOKUP(B183,country_opex,3,FALSE))+V183+W183+X183+Y183+Z183))&lt;=0,"",VLOOKUP(B183,country_opex,7,FALSE)/((S183*pax_cap*load_full*ROUND(K183*L183*revleg_full,0))-(((battery/range_nm)*D183*ROUND(K183*L183*revleg_full,0)*VLOOKUP(B183,country_opex,3,FALSE))+V183+W183+X183+Y183+Z183)))</f>
        <v/>
      </c>
      <c r="AX183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Y18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4">
      <c r="A184" s="29" t="inlineStr">
        <is>
          <t>Bolt</t>
        </is>
      </c>
      <c r="B184" s="29" t="inlineStr">
        <is>
          <t>United Arab Emirates</t>
        </is>
      </c>
      <c r="C184" s="30" t="inlineStr">
        <is>
          <t>Côte d'Azur Resort Marina (Heart of Europe) → Bulgari Yacht Club &amp; Marina</t>
        </is>
      </c>
      <c r="D184" s="31" t="n">
        <v>4.2</v>
      </c>
      <c r="E184" s="26" t="n">
        <v>150</v>
      </c>
      <c r="F184" s="32" t="inlineStr">
        <is>
          <t>T5</t>
        </is>
      </c>
      <c r="G184" s="32" t="inlineStr">
        <is>
          <t>low</t>
        </is>
      </c>
      <c r="H184" s="19" t="n">
        <v>1</v>
      </c>
      <c r="I184" s="33">
        <f>60*D184/cruise_kt</f>
        <v/>
      </c>
      <c r="J184" s="33">
        <f>I184+turn_min+dwell_min</f>
        <v/>
      </c>
      <c r="K184" s="34">
        <f>MIN(15,FLOOR(60*service_hr/J184,1))</f>
        <v/>
      </c>
      <c r="L184" s="34">
        <f>ROUND(365*mech_uptime*H184,0)</f>
        <v/>
      </c>
      <c r="M184" s="35">
        <f>mech_uptime</f>
        <v/>
      </c>
      <c r="N184" s="35">
        <f>revleg_sel</f>
        <v/>
      </c>
      <c r="O184" s="34">
        <f>ROUND(K184*L184*revleg_sel,0)</f>
        <v/>
      </c>
      <c r="P184" s="36">
        <f>load_sel</f>
        <v/>
      </c>
      <c r="Q184" s="36">
        <f>pax_cap*P184</f>
        <v/>
      </c>
      <c r="R184" s="34">
        <f>Q184*O184</f>
        <v/>
      </c>
      <c r="S184" s="37">
        <f>E184*discount</f>
        <v/>
      </c>
      <c r="T184" s="38">
        <f>S184*R184</f>
        <v/>
      </c>
      <c r="U184" s="38">
        <f>(battery/range_nm)*D184*O184*VLOOKUP(B184,country_opex,3,FALSE)</f>
        <v/>
      </c>
      <c r="V184" s="38">
        <f>VLOOKUP(B184,country_opex,2,FALSE)*crew_factor</f>
        <v/>
      </c>
      <c r="W184" s="38">
        <f>VLOOKUP(B184,country_opex,5,FALSE)</f>
        <v/>
      </c>
      <c r="X184" s="38">
        <f>maint</f>
        <v/>
      </c>
      <c r="Y184" s="38">
        <f>VLOOKUP(B184,country_opex,7,FALSE)*ins_pct</f>
        <v/>
      </c>
      <c r="Z184" s="38">
        <f>charge_berth</f>
        <v/>
      </c>
      <c r="AA184" s="38">
        <f>U184+V184+W184+X184+Y184+Z184</f>
        <v/>
      </c>
      <c r="AB184" s="38">
        <f>VLOOKUP(B184,country_opex,7,FALSE)/dep_years</f>
        <v/>
      </c>
      <c r="AC184" s="38">
        <f>T184-AA184</f>
        <v/>
      </c>
      <c r="AD184" s="35">
        <f>IF(T184=0,"",AC184/T184)</f>
        <v/>
      </c>
      <c r="AE184" s="36">
        <f>IF(AC184&lt;=0,"",VLOOKUP(B184,country_opex,7,FALSE)/AC184)</f>
        <v/>
      </c>
      <c r="AF184" s="33">
        <f>((D184*O184/diesel_nmpg)*diesel_co2pg-(battery/range_nm)*D184*O184*VLOOKUP(B184,country_opex,4,FALSE))/1000</f>
        <v/>
      </c>
      <c r="AG184" s="31" t="n">
        <v>20000</v>
      </c>
      <c r="AH184" s="32" t="inlineStr">
        <is>
          <t>T3</t>
        </is>
      </c>
      <c r="AI184" s="32" t="inlineStr">
        <is>
          <t>low</t>
        </is>
      </c>
      <c r="AJ184" s="39" t="n">
        <v>0.1</v>
      </c>
      <c r="AK184" s="34">
        <f>IF(AG184="","",AG184*AJ184)</f>
        <v/>
      </c>
      <c r="AL184" s="34">
        <f>IF(OR(AG184="",R184=0),"",MIN(IF(AT184="",9.9E+99,AT184),FLOOR(AK184/R184,1)))</f>
        <v/>
      </c>
      <c r="AM184" s="38">
        <f>IF(AL184="","",AL184*T184)</f>
        <v/>
      </c>
      <c r="AN184" s="36">
        <f>IF(OR(AG184="",R184=0),"",MIN(IF(AT184="",9.9E+99,AT184),AK184/R184))</f>
        <v/>
      </c>
      <c r="AO184" s="38">
        <f>IF(AN184="","",AN184*T184)</f>
        <v/>
      </c>
      <c r="AP184" s="40" t="n"/>
      <c r="AQ184" s="32" t="inlineStr">
        <is>
          <t>Grounded</t>
        </is>
      </c>
      <c r="AR184" s="41" t="n"/>
      <c r="AS184" s="41" t="n"/>
      <c r="AT184" s="42" t="n"/>
      <c r="AU184" s="43">
        <f>IF(((S184*pax_cap*load_thin*ROUND(K184*L184*revleg_thin,0))-(((battery/range_nm)*D184*ROUND(K184*L184*revleg_thin,0)*VLOOKUP(B184,country_opex,3,FALSE))+V184+W184+X184+Y184+Z184))&lt;=0,"",VLOOKUP(B184,country_opex,7,FALSE)/((S184*pax_cap*load_thin*ROUND(K184*L184*revleg_thin,0))-(((battery/range_nm)*D184*ROUND(K184*L184*revleg_thin,0)*VLOOKUP(B184,country_opex,3,FALSE))+V184+W184+X184+Y184+Z184)))</f>
        <v/>
      </c>
      <c r="AV184" s="43">
        <f>IF(((S184*pax_cap*load_mid*ROUND(K184*L184*revleg_mid,0))-(((battery/range_nm)*D184*ROUND(K184*L184*revleg_mid,0)*VLOOKUP(B184,country_opex,3,FALSE))+V184+W184+X184+Y184+Z184))&lt;=0,"",VLOOKUP(B184,country_opex,7,FALSE)/((S184*pax_cap*load_mid*ROUND(K184*L184*revleg_mid,0))-(((battery/range_nm)*D184*ROUND(K184*L184*revleg_mid,0)*VLOOKUP(B184,country_opex,3,FALSE))+V184+W184+X184+Y184+Z184)))</f>
        <v/>
      </c>
      <c r="AW184" s="43">
        <f>IF(((S184*pax_cap*load_full*ROUND(K184*L184*revleg_full,0))-(((battery/range_nm)*D184*ROUND(K184*L184*revleg_full,0)*VLOOKUP(B184,country_opex,3,FALSE))+V184+W184+X184+Y184+Z184))&lt;=0,"",VLOOKUP(B184,country_opex,7,FALSE)/((S184*pax_cap*load_full*ROUND(K184*L184*revleg_full,0))-(((battery/range_nm)*D184*ROUND(K184*L184*revleg_full,0)*VLOOKUP(B184,country_opex,3,FALSE))+V184+W184+X184+Y184+Z184)))</f>
        <v/>
      </c>
      <c r="AX184" s="44" t="inlineStr">
        <is>
          <t>The World (boat-only)&lt;-&gt;Bulgari (Jumeirah Bay) luxury hop. Greenfield. T5/low.</t>
        </is>
      </c>
      <c r="AY18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5">
      <c r="A185" s="29" t="inlineStr">
        <is>
          <t>Bolt</t>
        </is>
      </c>
      <c r="B185" s="29" t="inlineStr">
        <is>
          <t>United Arab Emirates</t>
        </is>
      </c>
      <c r="C185" s="30" t="inlineStr">
        <is>
          <t>Saadiyat Beach Club Jetty → Zaya Nurai Island Jetty</t>
        </is>
      </c>
      <c r="D185" s="31" t="n">
        <v>4.4</v>
      </c>
      <c r="E185" s="26" t="n">
        <v>150</v>
      </c>
      <c r="F185" s="32" t="inlineStr">
        <is>
          <t>T3</t>
        </is>
      </c>
      <c r="G185" s="32" t="inlineStr">
        <is>
          <t>med</t>
        </is>
      </c>
      <c r="H185" s="19" t="n">
        <v>1</v>
      </c>
      <c r="I185" s="33">
        <f>60*D185/cruise_kt</f>
        <v/>
      </c>
      <c r="J185" s="33">
        <f>I185+turn_min+dwell_min</f>
        <v/>
      </c>
      <c r="K185" s="34">
        <f>MIN(15,FLOOR(60*service_hr/J185,1))</f>
        <v/>
      </c>
      <c r="L185" s="34">
        <f>ROUND(365*mech_uptime*H185,0)</f>
        <v/>
      </c>
      <c r="M185" s="35">
        <f>mech_uptime</f>
        <v/>
      </c>
      <c r="N185" s="35">
        <f>revleg_sel</f>
        <v/>
      </c>
      <c r="O185" s="34">
        <f>ROUND(K185*L185*revleg_sel,0)</f>
        <v/>
      </c>
      <c r="P185" s="36">
        <f>load_sel</f>
        <v/>
      </c>
      <c r="Q185" s="36">
        <f>pax_cap*P185</f>
        <v/>
      </c>
      <c r="R185" s="34">
        <f>Q185*O185</f>
        <v/>
      </c>
      <c r="S185" s="37">
        <f>E185*discount</f>
        <v/>
      </c>
      <c r="T185" s="38">
        <f>S185*R185</f>
        <v/>
      </c>
      <c r="U185" s="38">
        <f>(battery/range_nm)*D185*O185*VLOOKUP(B185,country_opex,3,FALSE)</f>
        <v/>
      </c>
      <c r="V185" s="38">
        <f>VLOOKUP(B185,country_opex,2,FALSE)*crew_factor</f>
        <v/>
      </c>
      <c r="W185" s="38">
        <f>VLOOKUP(B185,country_opex,5,FALSE)</f>
        <v/>
      </c>
      <c r="X185" s="38">
        <f>maint</f>
        <v/>
      </c>
      <c r="Y185" s="38">
        <f>VLOOKUP(B185,country_opex,7,FALSE)*ins_pct</f>
        <v/>
      </c>
      <c r="Z185" s="38">
        <f>charge_berth</f>
        <v/>
      </c>
      <c r="AA185" s="38">
        <f>U185+V185+W185+X185+Y185+Z185</f>
        <v/>
      </c>
      <c r="AB185" s="38">
        <f>VLOOKUP(B185,country_opex,7,FALSE)/dep_years</f>
        <v/>
      </c>
      <c r="AC185" s="38">
        <f>T185-AA185</f>
        <v/>
      </c>
      <c r="AD185" s="35">
        <f>IF(T185=0,"",AC185/T185)</f>
        <v/>
      </c>
      <c r="AE185" s="36">
        <f>IF(AC185&lt;=0,"",VLOOKUP(B185,country_opex,7,FALSE)/AC185)</f>
        <v/>
      </c>
      <c r="AF185" s="33">
        <f>((D185*O185/diesel_nmpg)*diesel_co2pg-(battery/range_nm)*D185*O185*VLOOKUP(B185,country_opex,4,FALSE))/1000</f>
        <v/>
      </c>
      <c r="AG185" s="31" t="n">
        <v>45000</v>
      </c>
      <c r="AH185" s="32" t="inlineStr">
        <is>
          <t>T5</t>
        </is>
      </c>
      <c r="AI185" s="32" t="inlineStr">
        <is>
          <t>low</t>
        </is>
      </c>
      <c r="AJ185" s="39" t="n">
        <v>0.1</v>
      </c>
      <c r="AK185" s="34">
        <f>IF(AG185="","",AG185*AJ185)</f>
        <v/>
      </c>
      <c r="AL185" s="34">
        <f>IF(OR(AG185="",R185=0),"",MIN(IF(AT185="",9.9E+99,AT185),FLOOR(AK185/R185,1)))</f>
        <v/>
      </c>
      <c r="AM185" s="38">
        <f>IF(AL185="","",AL185*T185)</f>
        <v/>
      </c>
      <c r="AN185" s="36">
        <f>IF(OR(AG185="",R185=0),"",MIN(IF(AT185="",9.9E+99,AT185),AK185/R185))</f>
        <v/>
      </c>
      <c r="AO185" s="38">
        <f>IF(AN185="","",AN185*T185)</f>
        <v/>
      </c>
      <c r="AP185" s="40" t="n"/>
      <c r="AQ185" s="32" t="inlineStr">
        <is>
          <t>Grounded</t>
        </is>
      </c>
      <c r="AR185" s="41" t="n"/>
      <c r="AS185" s="41" t="n"/>
      <c r="AT185" s="42" t="n"/>
      <c r="AU185" s="43">
        <f>IF(((S185*pax_cap*load_thin*ROUND(K185*L185*revleg_thin,0))-(((battery/range_nm)*D185*ROUND(K185*L185*revleg_thin,0)*VLOOKUP(B185,country_opex,3,FALSE))+V185+W185+X185+Y185+Z185))&lt;=0,"",VLOOKUP(B185,country_opex,7,FALSE)/((S185*pax_cap*load_thin*ROUND(K185*L185*revleg_thin,0))-(((battery/range_nm)*D185*ROUND(K185*L185*revleg_thin,0)*VLOOKUP(B185,country_opex,3,FALSE))+V185+W185+X185+Y185+Z185)))</f>
        <v/>
      </c>
      <c r="AV185" s="43">
        <f>IF(((S185*pax_cap*load_mid*ROUND(K185*L185*revleg_mid,0))-(((battery/range_nm)*D185*ROUND(K185*L185*revleg_mid,0)*VLOOKUP(B185,country_opex,3,FALSE))+V185+W185+X185+Y185+Z185))&lt;=0,"",VLOOKUP(B185,country_opex,7,FALSE)/((S185*pax_cap*load_mid*ROUND(K185*L185*revleg_mid,0))-(((battery/range_nm)*D185*ROUND(K185*L185*revleg_mid,0)*VLOOKUP(B185,country_opex,3,FALSE))+V185+W185+X185+Y185+Z185)))</f>
        <v/>
      </c>
      <c r="AW185" s="43">
        <f>IF(((S185*pax_cap*load_full*ROUND(K185*L185*revleg_full,0))-(((battery/range_nm)*D185*ROUND(K185*L185*revleg_full,0)*VLOOKUP(B185,country_opex,3,FALSE))+V185+W185+X185+Y185+Z185))&lt;=0,"",VLOOKUP(B185,country_opex,7,FALSE)/((S185*pax_cap*load_full*ROUND(K185*L185*revleg_full,0))-(((battery/range_nm)*D185*ROUND(K185*L185*revleg_full,0)*VLOOKUP(B185,country_opex,3,FALSE))+V185+W185+X185+Y185+Z185)))</f>
        <v/>
      </c>
      <c r="AX185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Y185" s="44" t="inlineStr">
        <is>
          <t>Boat-only -&gt; FULLY addressable (R3-EXCEPTION). 32 villas + 23 residences stay-pool + day-club guests (major Saadiyat day-trip).</t>
        </is>
      </c>
    </row>
    <row r="186">
      <c r="A186" s="29" t="inlineStr">
        <is>
          <t>Bolt</t>
        </is>
      </c>
      <c r="B186" s="29" t="inlineStr">
        <is>
          <t>United Arab Emirates</t>
        </is>
      </c>
      <c r="C186" s="30" t="inlineStr">
        <is>
          <t>Dubai Harbour Marina → Atlantis The Royal Jetty</t>
        </is>
      </c>
      <c r="D186" s="31" t="n">
        <v>4.9</v>
      </c>
      <c r="E186" s="26" t="n">
        <v>175</v>
      </c>
      <c r="F186" s="32" t="inlineStr">
        <is>
          <t>T5</t>
        </is>
      </c>
      <c r="G186" s="32" t="inlineStr">
        <is>
          <t>low</t>
        </is>
      </c>
      <c r="H186" s="19" t="n">
        <v>1</v>
      </c>
      <c r="I186" s="33">
        <f>60*D186/cruise_kt</f>
        <v/>
      </c>
      <c r="J186" s="33">
        <f>I186+turn_min+dwell_min</f>
        <v/>
      </c>
      <c r="K186" s="34">
        <f>MIN(15,FLOOR(60*service_hr/J186,1))</f>
        <v/>
      </c>
      <c r="L186" s="34">
        <f>ROUND(365*mech_uptime*H186,0)</f>
        <v/>
      </c>
      <c r="M186" s="35">
        <f>mech_uptime</f>
        <v/>
      </c>
      <c r="N186" s="35">
        <f>revleg_sel</f>
        <v/>
      </c>
      <c r="O186" s="34">
        <f>ROUND(K186*L186*revleg_sel,0)</f>
        <v/>
      </c>
      <c r="P186" s="36">
        <f>load_sel</f>
        <v/>
      </c>
      <c r="Q186" s="36">
        <f>pax_cap*P186</f>
        <v/>
      </c>
      <c r="R186" s="34">
        <f>Q186*O186</f>
        <v/>
      </c>
      <c r="S186" s="37">
        <f>E186*discount</f>
        <v/>
      </c>
      <c r="T186" s="38">
        <f>S186*R186</f>
        <v/>
      </c>
      <c r="U186" s="38">
        <f>(battery/range_nm)*D186*O186*VLOOKUP(B186,country_opex,3,FALSE)</f>
        <v/>
      </c>
      <c r="V186" s="38">
        <f>VLOOKUP(B186,country_opex,2,FALSE)*crew_factor</f>
        <v/>
      </c>
      <c r="W186" s="38">
        <f>VLOOKUP(B186,country_opex,5,FALSE)</f>
        <v/>
      </c>
      <c r="X186" s="38">
        <f>maint</f>
        <v/>
      </c>
      <c r="Y186" s="38">
        <f>VLOOKUP(B186,country_opex,7,FALSE)*ins_pct</f>
        <v/>
      </c>
      <c r="Z186" s="38">
        <f>charge_berth</f>
        <v/>
      </c>
      <c r="AA186" s="38">
        <f>U186+V186+W186+X186+Y186+Z186</f>
        <v/>
      </c>
      <c r="AB186" s="38">
        <f>VLOOKUP(B186,country_opex,7,FALSE)/dep_years</f>
        <v/>
      </c>
      <c r="AC186" s="38">
        <f>T186-AA186</f>
        <v/>
      </c>
      <c r="AD186" s="35">
        <f>IF(T186=0,"",AC186/T186)</f>
        <v/>
      </c>
      <c r="AE186" s="36">
        <f>IF(AC186&lt;=0,"",VLOOKUP(B186,country_opex,7,FALSE)/AC186)</f>
        <v/>
      </c>
      <c r="AF186" s="33">
        <f>((D186*O186/diesel_nmpg)*diesel_co2pg-(battery/range_nm)*D186*O186*VLOOKUP(B186,country_opex,4,FALSE))/1000</f>
        <v/>
      </c>
      <c r="AG186" s="31" t="n">
        <v>10000</v>
      </c>
      <c r="AH186" s="32" t="inlineStr">
        <is>
          <t>T5</t>
        </is>
      </c>
      <c r="AI186" s="32" t="inlineStr">
        <is>
          <t>low</t>
        </is>
      </c>
      <c r="AJ186" s="39" t="n">
        <v>0.1</v>
      </c>
      <c r="AK186" s="34">
        <f>IF(AG186="","",AG186*AJ186)</f>
        <v/>
      </c>
      <c r="AL186" s="34">
        <f>IF(OR(AG186="",R186=0),"",MIN(IF(AT186="",9.9E+99,AT186),FLOOR(AK186/R186,1)))</f>
        <v/>
      </c>
      <c r="AM186" s="38">
        <f>IF(AL186="","",AL186*T186)</f>
        <v/>
      </c>
      <c r="AN186" s="36">
        <f>IF(OR(AG186="",R186=0),"",MIN(IF(AT186="",9.9E+99,AT186),AK186/R186))</f>
        <v/>
      </c>
      <c r="AO186" s="38">
        <f>IF(AN186="","",AN186*T186)</f>
        <v/>
      </c>
      <c r="AP186" s="40" t="n"/>
      <c r="AQ186" s="32" t="inlineStr">
        <is>
          <t>Grounded</t>
        </is>
      </c>
      <c r="AR186" s="41" t="n"/>
      <c r="AS186" s="41" t="n"/>
      <c r="AT186" s="42" t="n"/>
      <c r="AU186" s="43">
        <f>IF(((S186*pax_cap*load_thin*ROUND(K186*L186*revleg_thin,0))-(((battery/range_nm)*D186*ROUND(K186*L186*revleg_thin,0)*VLOOKUP(B186,country_opex,3,FALSE))+V186+W186+X186+Y186+Z186))&lt;=0,"",VLOOKUP(B186,country_opex,7,FALSE)/((S186*pax_cap*load_thin*ROUND(K186*L186*revleg_thin,0))-(((battery/range_nm)*D186*ROUND(K186*L186*revleg_thin,0)*VLOOKUP(B186,country_opex,3,FALSE))+V186+W186+X186+Y186+Z186)))</f>
        <v/>
      </c>
      <c r="AV186" s="43">
        <f>IF(((S186*pax_cap*load_mid*ROUND(K186*L186*revleg_mid,0))-(((battery/range_nm)*D186*ROUND(K186*L186*revleg_mid,0)*VLOOKUP(B186,country_opex,3,FALSE))+V186+W186+X186+Y186+Z186))&lt;=0,"",VLOOKUP(B186,country_opex,7,FALSE)/((S186*pax_cap*load_mid*ROUND(K186*L186*revleg_mid,0))-(((battery/range_nm)*D186*ROUND(K186*L186*revleg_mid,0)*VLOOKUP(B186,country_opex,3,FALSE))+V186+W186+X186+Y186+Z186)))</f>
        <v/>
      </c>
      <c r="AW186" s="43">
        <f>IF(((S186*pax_cap*load_full*ROUND(K186*L186*revleg_full,0))-(((battery/range_nm)*D186*ROUND(K186*L186*revleg_full,0)*VLOOKUP(B186,country_opex,3,FALSE))+V186+W186+X186+Y186+Z186))&lt;=0,"",VLOOKUP(B186,country_opex,7,FALSE)/((S186*pax_cap*load_full*ROUND(K186*L186*revleg_full,0))-(((battery/range_nm)*D186*ROUND(K186*L186*revleg_full,0)*VLOOKUP(B186,country_opex,3,FALSE))+V186+W186+X186+Y186+Z186)))</f>
        <v/>
      </c>
      <c r="AX186" s="44" t="inlineStr">
        <is>
          <t>Atlantis The Royal (795 keys) road-served; signature marine arrival opportunity-to-create. T5/low.</t>
        </is>
      </c>
      <c r="AY186" s="44" t="inlineStr">
        <is>
          <t>OPT-IN luxury-arrival fraction only (R3-LAND road-served). 795 keys x occ -&gt; small opt-in marine pool.</t>
        </is>
      </c>
    </row>
    <row r="187">
      <c r="A187" s="29" t="inlineStr">
        <is>
          <t>Bolt</t>
        </is>
      </c>
      <c r="B187" s="29" t="inlineStr">
        <is>
          <t>United Arab Emirates</t>
        </is>
      </c>
      <c r="C187" s="30" t="inlineStr">
        <is>
          <t>Jebel Dhanna / Ruwais Ferry Terminal → Sir Bani Yas Cruise Port</t>
        </is>
      </c>
      <c r="D187" s="31" t="n">
        <v>5.3</v>
      </c>
      <c r="E187" s="26" t="n">
        <v>90</v>
      </c>
      <c r="F187" s="32" t="inlineStr">
        <is>
          <t>T5</t>
        </is>
      </c>
      <c r="G187" s="32" t="inlineStr">
        <is>
          <t>low</t>
        </is>
      </c>
      <c r="H187" s="19" t="n">
        <v>1</v>
      </c>
      <c r="I187" s="33">
        <f>60*D187/cruise_kt</f>
        <v/>
      </c>
      <c r="J187" s="33">
        <f>I187+turn_min+dwell_min</f>
        <v/>
      </c>
      <c r="K187" s="34">
        <f>MIN(15,FLOOR(60*service_hr/J187,1))</f>
        <v/>
      </c>
      <c r="L187" s="34">
        <f>ROUND(365*mech_uptime*H187,0)</f>
        <v/>
      </c>
      <c r="M187" s="35">
        <f>mech_uptime</f>
        <v/>
      </c>
      <c r="N187" s="35">
        <f>revleg_sel</f>
        <v/>
      </c>
      <c r="O187" s="34">
        <f>ROUND(K187*L187*revleg_sel,0)</f>
        <v/>
      </c>
      <c r="P187" s="36">
        <f>load_sel</f>
        <v/>
      </c>
      <c r="Q187" s="36">
        <f>pax_cap*P187</f>
        <v/>
      </c>
      <c r="R187" s="34">
        <f>Q187*O187</f>
        <v/>
      </c>
      <c r="S187" s="37">
        <f>E187*discount</f>
        <v/>
      </c>
      <c r="T187" s="38">
        <f>S187*R187</f>
        <v/>
      </c>
      <c r="U187" s="38">
        <f>(battery/range_nm)*D187*O187*VLOOKUP(B187,country_opex,3,FALSE)</f>
        <v/>
      </c>
      <c r="V187" s="38">
        <f>VLOOKUP(B187,country_opex,2,FALSE)*crew_factor</f>
        <v/>
      </c>
      <c r="W187" s="38">
        <f>VLOOKUP(B187,country_opex,5,FALSE)</f>
        <v/>
      </c>
      <c r="X187" s="38">
        <f>maint</f>
        <v/>
      </c>
      <c r="Y187" s="38">
        <f>VLOOKUP(B187,country_opex,7,FALSE)*ins_pct</f>
        <v/>
      </c>
      <c r="Z187" s="38">
        <f>charge_berth</f>
        <v/>
      </c>
      <c r="AA187" s="38">
        <f>U187+V187+W187+X187+Y187+Z187</f>
        <v/>
      </c>
      <c r="AB187" s="38">
        <f>VLOOKUP(B187,country_opex,7,FALSE)/dep_years</f>
        <v/>
      </c>
      <c r="AC187" s="38">
        <f>T187-AA187</f>
        <v/>
      </c>
      <c r="AD187" s="35">
        <f>IF(T187=0,"",AC187/T187)</f>
        <v/>
      </c>
      <c r="AE187" s="36">
        <f>IF(AC187&lt;=0,"",VLOOKUP(B187,country_opex,7,FALSE)/AC187)</f>
        <v/>
      </c>
      <c r="AF187" s="33">
        <f>((D187*O187/diesel_nmpg)*diesel_co2pg-(battery/range_nm)*D187*O187*VLOOKUP(B187,country_opex,4,FALSE))/1000</f>
        <v/>
      </c>
      <c r="AG187" s="31" t="n">
        <v>60000</v>
      </c>
      <c r="AH187" s="32" t="inlineStr">
        <is>
          <t>T5</t>
        </is>
      </c>
      <c r="AI187" s="32" t="inlineStr">
        <is>
          <t>low</t>
        </is>
      </c>
      <c r="AJ187" s="39" t="n">
        <v>0.1</v>
      </c>
      <c r="AK187" s="34">
        <f>IF(AG187="","",AG187*AJ187)</f>
        <v/>
      </c>
      <c r="AL187" s="34">
        <f>IF(OR(AG187="",R187=0),"",MIN(IF(AT187="",9.9E+99,AT187),FLOOR(AK187/R187,1)))</f>
        <v/>
      </c>
      <c r="AM187" s="38">
        <f>IF(AL187="","",AL187*T187)</f>
        <v/>
      </c>
      <c r="AN187" s="36">
        <f>IF(OR(AG187="",R187=0),"",MIN(IF(AT187="",9.9E+99,AT187),AK187/R187))</f>
        <v/>
      </c>
      <c r="AO187" s="38">
        <f>IF(AN187="","",AN187*T187)</f>
        <v/>
      </c>
      <c r="AP187" s="40" t="n"/>
      <c r="AQ187" s="32" t="inlineStr">
        <is>
          <t>Grounded</t>
        </is>
      </c>
      <c r="AR187" s="41" t="n"/>
      <c r="AS187" s="41" t="n"/>
      <c r="AT187" s="42" t="n"/>
      <c r="AU187" s="43">
        <f>IF(((S187*pax_cap*load_thin*ROUND(K187*L187*revleg_thin,0))-(((battery/range_nm)*D187*ROUND(K187*L187*revleg_thin,0)*VLOOKUP(B187,country_opex,3,FALSE))+V187+W187+X187+Y187+Z187))&lt;=0,"",VLOOKUP(B187,country_opex,7,FALSE)/((S187*pax_cap*load_thin*ROUND(K187*L187*revleg_thin,0))-(((battery/range_nm)*D187*ROUND(K187*L187*revleg_thin,0)*VLOOKUP(B187,country_opex,3,FALSE))+V187+W187+X187+Y187+Z187)))</f>
        <v/>
      </c>
      <c r="AV187" s="43">
        <f>IF(((S187*pax_cap*load_mid*ROUND(K187*L187*revleg_mid,0))-(((battery/range_nm)*D187*ROUND(K187*L187*revleg_mid,0)*VLOOKUP(B187,country_opex,3,FALSE))+V187+W187+X187+Y187+Z187))&lt;=0,"",VLOOKUP(B187,country_opex,7,FALSE)/((S187*pax_cap*load_mid*ROUND(K187*L187*revleg_mid,0))-(((battery/range_nm)*D187*ROUND(K187*L187*revleg_mid,0)*VLOOKUP(B187,country_opex,3,FALSE))+V187+W187+X187+Y187+Z187)))</f>
        <v/>
      </c>
      <c r="AW187" s="43">
        <f>IF(((S187*pax_cap*load_full*ROUND(K187*L187*revleg_full,0))-(((battery/range_nm)*D187*ROUND(K187*L187*revleg_full,0)*VLOOKUP(B187,country_opex,3,FALSE))+V187+W187+X187+Y187+Z187))&lt;=0,"",VLOOKUP(B187,country_opex,7,FALSE)/((S187*pax_cap*load_full*ROUND(K187*L187*revleg_full,0))-(((battery/range_nm)*D187*ROUND(K187*L187*revleg_full,0)*VLOOKUP(B187,country_opex,3,FALSE))+V187+W187+X187+Y187+Z187)))</f>
        <v/>
      </c>
      <c r="AX187" s="44" t="inlineStr">
        <is>
          <t>Sir Bani Yas boat-only (~8km offshore). 3 Anantara resorts ~124 keys. Guest boat transfer FREE today (R-UAE-1) -&gt; $90 opportunity-to-create / day-guest analog. T5/low.</t>
        </is>
      </c>
      <c r="AY187" s="44" t="inlineStr">
        <is>
          <t>Sir Bani Yas boat-only (R3-EXCEPTION). 3 Anantara resorts ~124 keys + Arabian Wildlife Park day-visitors via Jebel Dhanna ferry.</t>
        </is>
      </c>
    </row>
    <row r="188">
      <c r="A188" s="29" t="inlineStr">
        <is>
          <t>Bolt</t>
        </is>
      </c>
      <c r="B188" s="29" t="inlineStr">
        <is>
          <t>United Arab Emirates</t>
        </is>
      </c>
      <c r="C188" s="30" t="inlineStr">
        <is>
          <t>Dubai Harbour Marina → Burj Al Arab Private Jetty</t>
        </is>
      </c>
      <c r="D188" s="31" t="n">
        <v>6.9</v>
      </c>
      <c r="E188" s="26" t="n">
        <v>250</v>
      </c>
      <c r="F188" s="32" t="inlineStr">
        <is>
          <t>T5</t>
        </is>
      </c>
      <c r="G188" s="32" t="inlineStr">
        <is>
          <t>low</t>
        </is>
      </c>
      <c r="H188" s="19" t="n">
        <v>1</v>
      </c>
      <c r="I188" s="33">
        <f>60*D188/cruise_kt</f>
        <v/>
      </c>
      <c r="J188" s="33">
        <f>I188+turn_min+dwell_min</f>
        <v/>
      </c>
      <c r="K188" s="34">
        <f>MIN(15,FLOOR(60*service_hr/J188,1))</f>
        <v/>
      </c>
      <c r="L188" s="34">
        <f>ROUND(365*mech_uptime*H188,0)</f>
        <v/>
      </c>
      <c r="M188" s="35">
        <f>mech_uptime</f>
        <v/>
      </c>
      <c r="N188" s="35">
        <f>revleg_sel</f>
        <v/>
      </c>
      <c r="O188" s="34">
        <f>ROUND(K188*L188*revleg_sel,0)</f>
        <v/>
      </c>
      <c r="P188" s="36">
        <f>load_sel</f>
        <v/>
      </c>
      <c r="Q188" s="36">
        <f>pax_cap*P188</f>
        <v/>
      </c>
      <c r="R188" s="34">
        <f>Q188*O188</f>
        <v/>
      </c>
      <c r="S188" s="37">
        <f>E188*discount</f>
        <v/>
      </c>
      <c r="T188" s="38">
        <f>S188*R188</f>
        <v/>
      </c>
      <c r="U188" s="38">
        <f>(battery/range_nm)*D188*O188*VLOOKUP(B188,country_opex,3,FALSE)</f>
        <v/>
      </c>
      <c r="V188" s="38">
        <f>VLOOKUP(B188,country_opex,2,FALSE)*crew_factor</f>
        <v/>
      </c>
      <c r="W188" s="38">
        <f>VLOOKUP(B188,country_opex,5,FALSE)</f>
        <v/>
      </c>
      <c r="X188" s="38">
        <f>maint</f>
        <v/>
      </c>
      <c r="Y188" s="38">
        <f>VLOOKUP(B188,country_opex,7,FALSE)*ins_pct</f>
        <v/>
      </c>
      <c r="Z188" s="38">
        <f>charge_berth</f>
        <v/>
      </c>
      <c r="AA188" s="38">
        <f>U188+V188+W188+X188+Y188+Z188</f>
        <v/>
      </c>
      <c r="AB188" s="38">
        <f>VLOOKUP(B188,country_opex,7,FALSE)/dep_years</f>
        <v/>
      </c>
      <c r="AC188" s="38">
        <f>T188-AA188</f>
        <v/>
      </c>
      <c r="AD188" s="35">
        <f>IF(T188=0,"",AC188/T188)</f>
        <v/>
      </c>
      <c r="AE188" s="36">
        <f>IF(AC188&lt;=0,"",VLOOKUP(B188,country_opex,7,FALSE)/AC188)</f>
        <v/>
      </c>
      <c r="AF188" s="33">
        <f>((D188*O188/diesel_nmpg)*diesel_co2pg-(battery/range_nm)*D188*O188*VLOOKUP(B188,country_opex,4,FALSE))/1000</f>
        <v/>
      </c>
      <c r="AG188" s="31" t="n">
        <v>5000</v>
      </c>
      <c r="AH188" s="32" t="inlineStr">
        <is>
          <t>T5</t>
        </is>
      </c>
      <c r="AI188" s="32" t="inlineStr">
        <is>
          <t>low</t>
        </is>
      </c>
      <c r="AJ188" s="39" t="n">
        <v>0.1</v>
      </c>
      <c r="AK188" s="34">
        <f>IF(AG188="","",AG188*AJ188)</f>
        <v/>
      </c>
      <c r="AL188" s="34">
        <f>IF(OR(AG188="",R188=0),"",MIN(IF(AT188="",9.9E+99,AT188),FLOOR(AK188/R188,1)))</f>
        <v/>
      </c>
      <c r="AM188" s="38">
        <f>IF(AL188="","",AL188*T188)</f>
        <v/>
      </c>
      <c r="AN188" s="36">
        <f>IF(OR(AG188="",R188=0),"",MIN(IF(AT188="",9.9E+99,AT188),AK188/R188))</f>
        <v/>
      </c>
      <c r="AO188" s="38">
        <f>IF(AN188="","",AN188*T188)</f>
        <v/>
      </c>
      <c r="AP188" s="40" t="n"/>
      <c r="AQ188" s="32" t="inlineStr">
        <is>
          <t>Grounded</t>
        </is>
      </c>
      <c r="AR188" s="41" t="n"/>
      <c r="AS188" s="41" t="n"/>
      <c r="AT188" s="42" t="n"/>
      <c r="AU188" s="43">
        <f>IF(((S188*pax_cap*load_thin*ROUND(K188*L188*revleg_thin,0))-(((battery/range_nm)*D188*ROUND(K188*L188*revleg_thin,0)*VLOOKUP(B188,country_opex,3,FALSE))+V188+W188+X188+Y188+Z188))&lt;=0,"",VLOOKUP(B188,country_opex,7,FALSE)/((S188*pax_cap*load_thin*ROUND(K188*L188*revleg_thin,0))-(((battery/range_nm)*D188*ROUND(K188*L188*revleg_thin,0)*VLOOKUP(B188,country_opex,3,FALSE))+V188+W188+X188+Y188+Z188)))</f>
        <v/>
      </c>
      <c r="AV188" s="43">
        <f>IF(((S188*pax_cap*load_mid*ROUND(K188*L188*revleg_mid,0))-(((battery/range_nm)*D188*ROUND(K188*L188*revleg_mid,0)*VLOOKUP(B188,country_opex,3,FALSE))+V188+W188+X188+Y188+Z188))&lt;=0,"",VLOOKUP(B188,country_opex,7,FALSE)/((S188*pax_cap*load_mid*ROUND(K188*L188*revleg_mid,0))-(((battery/range_nm)*D188*ROUND(K188*L188*revleg_mid,0)*VLOOKUP(B188,country_opex,3,FALSE))+V188+W188+X188+Y188+Z188)))</f>
        <v/>
      </c>
      <c r="AW188" s="43">
        <f>IF(((S188*pax_cap*load_full*ROUND(K188*L188*revleg_full,0))-(((battery/range_nm)*D188*ROUND(K188*L188*revleg_full,0)*VLOOKUP(B188,country_opex,3,FALSE))+V188+W188+X188+Y188+Z188))&lt;=0,"",VLOOKUP(B188,country_opex,7,FALSE)/((S188*pax_cap*load_full*ROUND(K188*L188*revleg_full,0))-(((battery/range_nm)*D188*ROUND(K188*L188*revleg_full,0)*VLOOKUP(B188,country_opex,3,FALSE))+V188+W188+X188+Y188+Z188)))</f>
        <v/>
      </c>
      <c r="AX188" s="44" t="inlineStr">
        <is>
          <t>Burj Al Arab (202 suites) road-served; iconic signature marine arrival. T5/low.</t>
        </is>
      </c>
      <c r="AY188" s="44" t="inlineStr">
        <is>
          <t>OPT-IN only (R3-LAND). 202 suites x occ -&gt; modest base + experiential day-guest yacht-arrivals.</t>
        </is>
      </c>
    </row>
    <row r="189">
      <c r="A189" s="29" t="inlineStr">
        <is>
          <t>Bolt</t>
        </is>
      </c>
      <c r="B189" s="29" t="inlineStr">
        <is>
          <t>United Arab Emirates</t>
        </is>
      </c>
      <c r="C189" s="30" t="inlineStr">
        <is>
          <t>Marina Mall / Breakwater Marina → Reem Island Marina (Najmat / Marina Square)</t>
        </is>
      </c>
      <c r="D189" s="31" t="n">
        <v>7.1</v>
      </c>
      <c r="E189" s="26" t="n">
        <v>60</v>
      </c>
      <c r="F189" s="32" t="inlineStr">
        <is>
          <t>T4</t>
        </is>
      </c>
      <c r="G189" s="32" t="inlineStr">
        <is>
          <t>low</t>
        </is>
      </c>
      <c r="H189" s="19" t="n">
        <v>1</v>
      </c>
      <c r="I189" s="33">
        <f>60*D189/cruise_kt</f>
        <v/>
      </c>
      <c r="J189" s="33">
        <f>I189+turn_min+dwell_min</f>
        <v/>
      </c>
      <c r="K189" s="34">
        <f>MIN(15,FLOOR(60*service_hr/J189,1))</f>
        <v/>
      </c>
      <c r="L189" s="34">
        <f>ROUND(365*mech_uptime*H189,0)</f>
        <v/>
      </c>
      <c r="M189" s="35">
        <f>mech_uptime</f>
        <v/>
      </c>
      <c r="N189" s="35">
        <f>revleg_sel</f>
        <v/>
      </c>
      <c r="O189" s="34">
        <f>ROUND(K189*L189*revleg_sel,0)</f>
        <v/>
      </c>
      <c r="P189" s="36">
        <f>load_sel</f>
        <v/>
      </c>
      <c r="Q189" s="36">
        <f>pax_cap*P189</f>
        <v/>
      </c>
      <c r="R189" s="34">
        <f>Q189*O189</f>
        <v/>
      </c>
      <c r="S189" s="37">
        <f>E189*discount</f>
        <v/>
      </c>
      <c r="T189" s="38">
        <f>S189*R189</f>
        <v/>
      </c>
      <c r="U189" s="38">
        <f>(battery/range_nm)*D189*O189*VLOOKUP(B189,country_opex,3,FALSE)</f>
        <v/>
      </c>
      <c r="V189" s="38">
        <f>VLOOKUP(B189,country_opex,2,FALSE)*crew_factor</f>
        <v/>
      </c>
      <c r="W189" s="38">
        <f>VLOOKUP(B189,country_opex,5,FALSE)</f>
        <v/>
      </c>
      <c r="X189" s="38">
        <f>maint</f>
        <v/>
      </c>
      <c r="Y189" s="38">
        <f>VLOOKUP(B189,country_opex,7,FALSE)*ins_pct</f>
        <v/>
      </c>
      <c r="Z189" s="38">
        <f>charge_berth</f>
        <v/>
      </c>
      <c r="AA189" s="38">
        <f>U189+V189+W189+X189+Y189+Z189</f>
        <v/>
      </c>
      <c r="AB189" s="38">
        <f>VLOOKUP(B189,country_opex,7,FALSE)/dep_years</f>
        <v/>
      </c>
      <c r="AC189" s="38">
        <f>T189-AA189</f>
        <v/>
      </c>
      <c r="AD189" s="35">
        <f>IF(T189=0,"",AC189/T189)</f>
        <v/>
      </c>
      <c r="AE189" s="36">
        <f>IF(AC189&lt;=0,"",VLOOKUP(B189,country_opex,7,FALSE)/AC189)</f>
        <v/>
      </c>
      <c r="AF189" s="33">
        <f>((D189*O189/diesel_nmpg)*diesel_co2pg-(battery/range_nm)*D189*O189*VLOOKUP(B189,country_opex,4,FALSE))/1000</f>
        <v/>
      </c>
      <c r="AG189" s="31" t="n">
        <v>35000</v>
      </c>
      <c r="AH189" s="32" t="inlineStr">
        <is>
          <t>T3</t>
        </is>
      </c>
      <c r="AI189" s="32" t="inlineStr">
        <is>
          <t>low</t>
        </is>
      </c>
      <c r="AJ189" s="39" t="n">
        <v>0.1</v>
      </c>
      <c r="AK189" s="34">
        <f>IF(AG189="","",AG189*AJ189)</f>
        <v/>
      </c>
      <c r="AL189" s="34">
        <f>IF(OR(AG189="",R189=0),"",MIN(IF(AT189="",9.9E+99,AT189),FLOOR(AK189/R189,1)))</f>
        <v/>
      </c>
      <c r="AM189" s="38">
        <f>IF(AL189="","",AL189*T189)</f>
        <v/>
      </c>
      <c r="AN189" s="36">
        <f>IF(OR(AG189="",R189=0),"",MIN(IF(AT189="",9.9E+99,AT189),AK189/R189))</f>
        <v/>
      </c>
      <c r="AO189" s="38">
        <f>IF(AN189="","",AN189*T189)</f>
        <v/>
      </c>
      <c r="AP189" s="40" t="n"/>
      <c r="AQ189" s="32" t="inlineStr">
        <is>
          <t>Grounded</t>
        </is>
      </c>
      <c r="AR189" s="41" t="n"/>
      <c r="AS189" s="41" t="n"/>
      <c r="AT189" s="42" t="n"/>
      <c r="AU189" s="43">
        <f>IF(((S189*pax_cap*load_thin*ROUND(K189*L189*revleg_thin,0))-(((battery/range_nm)*D189*ROUND(K189*L189*revleg_thin,0)*VLOOKUP(B189,country_opex,3,FALSE))+V189+W189+X189+Y189+Z189))&lt;=0,"",VLOOKUP(B189,country_opex,7,FALSE)/((S189*pax_cap*load_thin*ROUND(K189*L189*revleg_thin,0))-(((battery/range_nm)*D189*ROUND(K189*L189*revleg_thin,0)*VLOOKUP(B189,country_opex,3,FALSE))+V189+W189+X189+Y189+Z189)))</f>
        <v/>
      </c>
      <c r="AV189" s="43">
        <f>IF(((S189*pax_cap*load_mid*ROUND(K189*L189*revleg_mid,0))-(((battery/range_nm)*D189*ROUND(K189*L189*revleg_mid,0)*VLOOKUP(B189,country_opex,3,FALSE))+V189+W189+X189+Y189+Z189))&lt;=0,"",VLOOKUP(B189,country_opex,7,FALSE)/((S189*pax_cap*load_mid*ROUND(K189*L189*revleg_mid,0))-(((battery/range_nm)*D189*ROUND(K189*L189*revleg_mid,0)*VLOOKUP(B189,country_opex,3,FALSE))+V189+W189+X189+Y189+Z189)))</f>
        <v/>
      </c>
      <c r="AW189" s="43">
        <f>IF(((S189*pax_cap*load_full*ROUND(K189*L189*revleg_full,0))-(((battery/range_nm)*D189*ROUND(K189*L189*revleg_full,0)*VLOOKUP(B189,country_opex,3,FALSE))+V189+W189+X189+Y189+Z189))&lt;=0,"",VLOOKUP(B189,country_opex,7,FALSE)/((S189*pax_cap*load_full*ROUND(K189*L189*revleg_full,0))-(((battery/range_nm)*D189*ROUND(K189*L189*revleg_full,0)*VLOOKUP(B189,country_opex,3,FALSE))+V189+W189+X189+Y189+Z189)))</f>
        <v/>
      </c>
      <c r="AX189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Y18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0">
      <c r="A190" s="29" t="inlineStr">
        <is>
          <t>Bolt</t>
        </is>
      </c>
      <c r="B190" s="29" t="inlineStr">
        <is>
          <t>United Arab Emirates</t>
        </is>
      </c>
      <c r="C190" s="30" t="inlineStr">
        <is>
          <t>Dubai Harbour Marina → Anantara World Islands Resort Jetty (planned)</t>
        </is>
      </c>
      <c r="D190" s="31" t="n">
        <v>7.9</v>
      </c>
      <c r="E190" s="26" t="n">
        <v>80</v>
      </c>
      <c r="F190" s="32" t="inlineStr">
        <is>
          <t>T4</t>
        </is>
      </c>
      <c r="G190" s="32" t="inlineStr">
        <is>
          <t>low</t>
        </is>
      </c>
      <c r="H190" s="19" t="n">
        <v>1</v>
      </c>
      <c r="I190" s="33">
        <f>60*D190/cruise_kt</f>
        <v/>
      </c>
      <c r="J190" s="33">
        <f>I190+turn_min+dwell_min</f>
        <v/>
      </c>
      <c r="K190" s="34">
        <f>MIN(15,FLOOR(60*service_hr/J190,1))</f>
        <v/>
      </c>
      <c r="L190" s="34">
        <f>ROUND(365*mech_uptime*H190,0)</f>
        <v/>
      </c>
      <c r="M190" s="35">
        <f>mech_uptime</f>
        <v/>
      </c>
      <c r="N190" s="35">
        <f>revleg_sel</f>
        <v/>
      </c>
      <c r="O190" s="34">
        <f>ROUND(K190*L190*revleg_sel,0)</f>
        <v/>
      </c>
      <c r="P190" s="36">
        <f>load_sel</f>
        <v/>
      </c>
      <c r="Q190" s="36">
        <f>pax_cap*P190</f>
        <v/>
      </c>
      <c r="R190" s="34">
        <f>Q190*O190</f>
        <v/>
      </c>
      <c r="S190" s="37">
        <f>E190*discount</f>
        <v/>
      </c>
      <c r="T190" s="38">
        <f>S190*R190</f>
        <v/>
      </c>
      <c r="U190" s="38">
        <f>(battery/range_nm)*D190*O190*VLOOKUP(B190,country_opex,3,FALSE)</f>
        <v/>
      </c>
      <c r="V190" s="38">
        <f>VLOOKUP(B190,country_opex,2,FALSE)*crew_factor</f>
        <v/>
      </c>
      <c r="W190" s="38">
        <f>VLOOKUP(B190,country_opex,5,FALSE)</f>
        <v/>
      </c>
      <c r="X190" s="38">
        <f>maint</f>
        <v/>
      </c>
      <c r="Y190" s="38">
        <f>VLOOKUP(B190,country_opex,7,FALSE)*ins_pct</f>
        <v/>
      </c>
      <c r="Z190" s="38">
        <f>charge_berth</f>
        <v/>
      </c>
      <c r="AA190" s="38">
        <f>U190+V190+W190+X190+Y190+Z190</f>
        <v/>
      </c>
      <c r="AB190" s="38">
        <f>VLOOKUP(B190,country_opex,7,FALSE)/dep_years</f>
        <v/>
      </c>
      <c r="AC190" s="38">
        <f>T190-AA190</f>
        <v/>
      </c>
      <c r="AD190" s="35">
        <f>IF(T190=0,"",AC190/T190)</f>
        <v/>
      </c>
      <c r="AE190" s="36">
        <f>IF(AC190&lt;=0,"",VLOOKUP(B190,country_opex,7,FALSE)/AC190)</f>
        <v/>
      </c>
      <c r="AF190" s="33">
        <f>((D190*O190/diesel_nmpg)*diesel_co2pg-(battery/range_nm)*D190*O190*VLOOKUP(B190,country_opex,4,FALSE))/1000</f>
        <v/>
      </c>
      <c r="AG190" s="31" t="n">
        <v>30000</v>
      </c>
      <c r="AH190" s="32" t="inlineStr">
        <is>
          <t>T5</t>
        </is>
      </c>
      <c r="AI190" s="32" t="inlineStr">
        <is>
          <t>low</t>
        </is>
      </c>
      <c r="AJ190" s="39" t="n">
        <v>0.1</v>
      </c>
      <c r="AK190" s="34">
        <f>IF(AG190="","",AG190*AJ190)</f>
        <v/>
      </c>
      <c r="AL190" s="34">
        <f>IF(OR(AG190="",R190=0),"",MIN(IF(AT190="",9.9E+99,AT190),FLOOR(AK190/R190,1)))</f>
        <v/>
      </c>
      <c r="AM190" s="38">
        <f>IF(AL190="","",AL190*T190)</f>
        <v/>
      </c>
      <c r="AN190" s="36">
        <f>IF(OR(AG190="",R190=0),"",MIN(IF(AT190="",9.9E+99,AT190),AK190/R190))</f>
        <v/>
      </c>
      <c r="AO190" s="38">
        <f>IF(AN190="","",AN190*T190)</f>
        <v/>
      </c>
      <c r="AP190" s="40" t="n"/>
      <c r="AQ190" s="32" t="inlineStr">
        <is>
          <t>Grounded</t>
        </is>
      </c>
      <c r="AR190" s="41" t="n"/>
      <c r="AS190" s="41" t="n"/>
      <c r="AT190" s="42" t="n"/>
      <c r="AU190" s="43">
        <f>IF(((S190*pax_cap*load_thin*ROUND(K190*L190*revleg_thin,0))-(((battery/range_nm)*D190*ROUND(K190*L190*revleg_thin,0)*VLOOKUP(B190,country_opex,3,FALSE))+V190+W190+X190+Y190+Z190))&lt;=0,"",VLOOKUP(B190,country_opex,7,FALSE)/((S190*pax_cap*load_thin*ROUND(K190*L190*revleg_thin,0))-(((battery/range_nm)*D190*ROUND(K190*L190*revleg_thin,0)*VLOOKUP(B190,country_opex,3,FALSE))+V190+W190+X190+Y190+Z190)))</f>
        <v/>
      </c>
      <c r="AV190" s="43">
        <f>IF(((S190*pax_cap*load_mid*ROUND(K190*L190*revleg_mid,0))-(((battery/range_nm)*D190*ROUND(K190*L190*revleg_mid,0)*VLOOKUP(B190,country_opex,3,FALSE))+V190+W190+X190+Y190+Z190))&lt;=0,"",VLOOKUP(B190,country_opex,7,FALSE)/((S190*pax_cap*load_mid*ROUND(K190*L190*revleg_mid,0))-(((battery/range_nm)*D190*ROUND(K190*L190*revleg_mid,0)*VLOOKUP(B190,country_opex,3,FALSE))+V190+W190+X190+Y190+Z190)))</f>
        <v/>
      </c>
      <c r="AW190" s="43">
        <f>IF(((S190*pax_cap*load_full*ROUND(K190*L190*revleg_full,0))-(((battery/range_nm)*D190*ROUND(K190*L190*revleg_full,0)*VLOOKUP(B190,country_opex,3,FALSE))+V190+W190+X190+Y190+Z190))&lt;=0,"",VLOOKUP(B190,country_opex,7,FALSE)/((S190*pax_cap*load_full*ROUND(K190*L190*revleg_full,0))-(((battery/range_nm)*D190*ROUND(K190*L190*revleg_full,0)*VLOOKUP(B190,country_opex,3,FALSE))+V190+W190+X190+Y190+Z190)))</f>
        <v/>
      </c>
      <c r="AX190" s="44" t="inlineStr">
        <is>
          <t>Anantara World Islands Resort (boat-only; Forbes/Expedia 'accessible only by boat'). Resort shuttle ~AED 150/pax RETURN (~$20/way); premium per-seat modeled $80.</t>
        </is>
      </c>
      <c r="AY190" s="44" t="inlineStr">
        <is>
          <t>Boot-only -&gt; arrivals=crossing ridership FULLY addressable (R3-EXCEPTION). ~70 keys x ~65% occ + day-guests.</t>
        </is>
      </c>
    </row>
    <row r="191">
      <c r="A191" s="29" t="inlineStr">
        <is>
          <t>Bolt</t>
        </is>
      </c>
      <c r="B191" s="29" t="inlineStr">
        <is>
          <t>United Arab Emirates</t>
        </is>
      </c>
      <c r="C191" s="30" t="inlineStr">
        <is>
          <t>Saadiyat Beach Club Jetty → Marina Mall / Breakwater Marina</t>
        </is>
      </c>
      <c r="D191" s="31" t="n">
        <v>8.9</v>
      </c>
      <c r="E191" s="26" t="n">
        <v>70</v>
      </c>
      <c r="F191" s="32" t="inlineStr">
        <is>
          <t>T4</t>
        </is>
      </c>
      <c r="G191" s="32" t="inlineStr">
        <is>
          <t>low</t>
        </is>
      </c>
      <c r="H191" s="19" t="n">
        <v>1</v>
      </c>
      <c r="I191" s="33">
        <f>60*D191/cruise_kt</f>
        <v/>
      </c>
      <c r="J191" s="33">
        <f>I191+turn_min+dwell_min</f>
        <v/>
      </c>
      <c r="K191" s="34">
        <f>MIN(15,FLOOR(60*service_hr/J191,1))</f>
        <v/>
      </c>
      <c r="L191" s="34">
        <f>ROUND(365*mech_uptime*H191,0)</f>
        <v/>
      </c>
      <c r="M191" s="35">
        <f>mech_uptime</f>
        <v/>
      </c>
      <c r="N191" s="35">
        <f>revleg_sel</f>
        <v/>
      </c>
      <c r="O191" s="34">
        <f>ROUND(K191*L191*revleg_sel,0)</f>
        <v/>
      </c>
      <c r="P191" s="36">
        <f>load_sel</f>
        <v/>
      </c>
      <c r="Q191" s="36">
        <f>pax_cap*P191</f>
        <v/>
      </c>
      <c r="R191" s="34">
        <f>Q191*O191</f>
        <v/>
      </c>
      <c r="S191" s="37">
        <f>E191*discount</f>
        <v/>
      </c>
      <c r="T191" s="38">
        <f>S191*R191</f>
        <v/>
      </c>
      <c r="U191" s="38">
        <f>(battery/range_nm)*D191*O191*VLOOKUP(B191,country_opex,3,FALSE)</f>
        <v/>
      </c>
      <c r="V191" s="38">
        <f>VLOOKUP(B191,country_opex,2,FALSE)*crew_factor</f>
        <v/>
      </c>
      <c r="W191" s="38">
        <f>VLOOKUP(B191,country_opex,5,FALSE)</f>
        <v/>
      </c>
      <c r="X191" s="38">
        <f>maint</f>
        <v/>
      </c>
      <c r="Y191" s="38">
        <f>VLOOKUP(B191,country_opex,7,FALSE)*ins_pct</f>
        <v/>
      </c>
      <c r="Z191" s="38">
        <f>charge_berth</f>
        <v/>
      </c>
      <c r="AA191" s="38">
        <f>U191+V191+W191+X191+Y191+Z191</f>
        <v/>
      </c>
      <c r="AB191" s="38">
        <f>VLOOKUP(B191,country_opex,7,FALSE)/dep_years</f>
        <v/>
      </c>
      <c r="AC191" s="38">
        <f>T191-AA191</f>
        <v/>
      </c>
      <c r="AD191" s="35">
        <f>IF(T191=0,"",AC191/T191)</f>
        <v/>
      </c>
      <c r="AE191" s="36">
        <f>IF(AC191&lt;=0,"",VLOOKUP(B191,country_opex,7,FALSE)/AC191)</f>
        <v/>
      </c>
      <c r="AF191" s="33">
        <f>((D191*O191/diesel_nmpg)*diesel_co2pg-(battery/range_nm)*D191*O191*VLOOKUP(B191,country_opex,4,FALSE))/1000</f>
        <v/>
      </c>
      <c r="AG191" s="31" t="n">
        <v>25000</v>
      </c>
      <c r="AH191" s="32" t="inlineStr">
        <is>
          <t>T3</t>
        </is>
      </c>
      <c r="AI191" s="32" t="inlineStr">
        <is>
          <t>low</t>
        </is>
      </c>
      <c r="AJ191" s="39" t="n">
        <v>0.1</v>
      </c>
      <c r="AK191" s="34">
        <f>IF(AG191="","",AG191*AJ191)</f>
        <v/>
      </c>
      <c r="AL191" s="34">
        <f>IF(OR(AG191="",R191=0),"",MIN(IF(AT191="",9.9E+99,AT191),FLOOR(AK191/R191,1)))</f>
        <v/>
      </c>
      <c r="AM191" s="38">
        <f>IF(AL191="","",AL191*T191)</f>
        <v/>
      </c>
      <c r="AN191" s="36">
        <f>IF(OR(AG191="",R191=0),"",MIN(IF(AT191="",9.9E+99,AT191),AK191/R191))</f>
        <v/>
      </c>
      <c r="AO191" s="38">
        <f>IF(AN191="","",AN191*T191)</f>
        <v/>
      </c>
      <c r="AP191" s="40" t="n"/>
      <c r="AQ191" s="32" t="inlineStr">
        <is>
          <t>Grounded</t>
        </is>
      </c>
      <c r="AR191" s="41" t="n"/>
      <c r="AS191" s="41" t="n"/>
      <c r="AT191" s="42" t="n"/>
      <c r="AU191" s="43">
        <f>IF(((S191*pax_cap*load_thin*ROUND(K191*L191*revleg_thin,0))-(((battery/range_nm)*D191*ROUND(K191*L191*revleg_thin,0)*VLOOKUP(B191,country_opex,3,FALSE))+V191+W191+X191+Y191+Z191))&lt;=0,"",VLOOKUP(B191,country_opex,7,FALSE)/((S191*pax_cap*load_thin*ROUND(K191*L191*revleg_thin,0))-(((battery/range_nm)*D191*ROUND(K191*L191*revleg_thin,0)*VLOOKUP(B191,country_opex,3,FALSE))+V191+W191+X191+Y191+Z191)))</f>
        <v/>
      </c>
      <c r="AV191" s="43">
        <f>IF(((S191*pax_cap*load_mid*ROUND(K191*L191*revleg_mid,0))-(((battery/range_nm)*D191*ROUND(K191*L191*revleg_mid,0)*VLOOKUP(B191,country_opex,3,FALSE))+V191+W191+X191+Y191+Z191))&lt;=0,"",VLOOKUP(B191,country_opex,7,FALSE)/((S191*pax_cap*load_mid*ROUND(K191*L191*revleg_mid,0))-(((battery/range_nm)*D191*ROUND(K191*L191*revleg_mid,0)*VLOOKUP(B191,country_opex,3,FALSE))+V191+W191+X191+Y191+Z191)))</f>
        <v/>
      </c>
      <c r="AW191" s="43">
        <f>IF(((S191*pax_cap*load_full*ROUND(K191*L191*revleg_full,0))-(((battery/range_nm)*D191*ROUND(K191*L191*revleg_full,0)*VLOOKUP(B191,country_opex,3,FALSE))+V191+W191+X191+Y191+Z191))&lt;=0,"",VLOOKUP(B191,country_opex,7,FALSE)/((S191*pax_cap*load_full*ROUND(K191*L191*revleg_full,0))-(((battery/range_nm)*D191*ROUND(K191*L191*revleg_full,0)*VLOOKUP(B191,country_opex,3,FALSE))+V191+W191+X191+Y191+Z191)))</f>
        <v/>
      </c>
      <c r="AX191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Y19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2">
      <c r="A192" s="29" t="inlineStr">
        <is>
          <t>Bolt</t>
        </is>
      </c>
      <c r="B192" s="29" t="inlineStr">
        <is>
          <t>United Arab Emirates</t>
        </is>
      </c>
      <c r="C192" s="30" t="inlineStr">
        <is>
          <t>Dubai Harbour Marina → Côte d'Azur Resort Marina (Heart of Europe)</t>
        </is>
      </c>
      <c r="D192" s="31" t="n">
        <v>9.199999999999999</v>
      </c>
      <c r="E192" s="26" t="n">
        <v>175</v>
      </c>
      <c r="F192" s="32" t="inlineStr">
        <is>
          <t>T5</t>
        </is>
      </c>
      <c r="G192" s="32" t="inlineStr">
        <is>
          <t>low</t>
        </is>
      </c>
      <c r="H192" s="19" t="n">
        <v>1</v>
      </c>
      <c r="I192" s="33">
        <f>60*D192/cruise_kt</f>
        <v/>
      </c>
      <c r="J192" s="33">
        <f>I192+turn_min+dwell_min</f>
        <v/>
      </c>
      <c r="K192" s="34">
        <f>MIN(15,FLOOR(60*service_hr/J192,1))</f>
        <v/>
      </c>
      <c r="L192" s="34">
        <f>ROUND(365*mech_uptime*H192,0)</f>
        <v/>
      </c>
      <c r="M192" s="35">
        <f>mech_uptime</f>
        <v/>
      </c>
      <c r="N192" s="35">
        <f>revleg_sel</f>
        <v/>
      </c>
      <c r="O192" s="34">
        <f>ROUND(K192*L192*revleg_sel,0)</f>
        <v/>
      </c>
      <c r="P192" s="36">
        <f>load_sel</f>
        <v/>
      </c>
      <c r="Q192" s="36">
        <f>pax_cap*P192</f>
        <v/>
      </c>
      <c r="R192" s="34">
        <f>Q192*O192</f>
        <v/>
      </c>
      <c r="S192" s="37">
        <f>E192*discount</f>
        <v/>
      </c>
      <c r="T192" s="38">
        <f>S192*R192</f>
        <v/>
      </c>
      <c r="U192" s="38">
        <f>(battery/range_nm)*D192*O192*VLOOKUP(B192,country_opex,3,FALSE)</f>
        <v/>
      </c>
      <c r="V192" s="38">
        <f>VLOOKUP(B192,country_opex,2,FALSE)*crew_factor</f>
        <v/>
      </c>
      <c r="W192" s="38">
        <f>VLOOKUP(B192,country_opex,5,FALSE)</f>
        <v/>
      </c>
      <c r="X192" s="38">
        <f>maint</f>
        <v/>
      </c>
      <c r="Y192" s="38">
        <f>VLOOKUP(B192,country_opex,7,FALSE)*ins_pct</f>
        <v/>
      </c>
      <c r="Z192" s="38">
        <f>charge_berth</f>
        <v/>
      </c>
      <c r="AA192" s="38">
        <f>U192+V192+W192+X192+Y192+Z192</f>
        <v/>
      </c>
      <c r="AB192" s="38">
        <f>VLOOKUP(B192,country_opex,7,FALSE)/dep_years</f>
        <v/>
      </c>
      <c r="AC192" s="38">
        <f>T192-AA192</f>
        <v/>
      </c>
      <c r="AD192" s="35">
        <f>IF(T192=0,"",AC192/T192)</f>
        <v/>
      </c>
      <c r="AE192" s="36">
        <f>IF(AC192&lt;=0,"",VLOOKUP(B192,country_opex,7,FALSE)/AC192)</f>
        <v/>
      </c>
      <c r="AF192" s="33">
        <f>((D192*O192/diesel_nmpg)*diesel_co2pg-(battery/range_nm)*D192*O192*VLOOKUP(B192,country_opex,4,FALSE))/1000</f>
        <v/>
      </c>
      <c r="AG192" s="31" t="n">
        <v>70000</v>
      </c>
      <c r="AH192" s="32" t="inlineStr">
        <is>
          <t>T2</t>
        </is>
      </c>
      <c r="AI192" s="32" t="inlineStr">
        <is>
          <t>medium</t>
        </is>
      </c>
      <c r="AJ192" s="39" t="n">
        <v>0.1</v>
      </c>
      <c r="AK192" s="34">
        <f>IF(AG192="","",AG192*AJ192)</f>
        <v/>
      </c>
      <c r="AL192" s="34">
        <f>IF(OR(AG192="",R192=0),"",MIN(IF(AT192="",9.9E+99,AT192),FLOOR(AK192/R192,1)))</f>
        <v/>
      </c>
      <c r="AM192" s="38">
        <f>IF(AL192="","",AL192*T192)</f>
        <v/>
      </c>
      <c r="AN192" s="36">
        <f>IF(OR(AG192="",R192=0),"",MIN(IF(AT192="",9.9E+99,AT192),AK192/R192))</f>
        <v/>
      </c>
      <c r="AO192" s="38">
        <f>IF(AN192="","",AN192*T192)</f>
        <v/>
      </c>
      <c r="AP192" s="40" t="n"/>
      <c r="AQ192" s="32" t="inlineStr">
        <is>
          <t>Grounded</t>
        </is>
      </c>
      <c r="AR192" s="41" t="n"/>
      <c r="AS192" s="41" t="n"/>
      <c r="AT192" s="42" t="n"/>
      <c r="AU192" s="43">
        <f>IF(((S192*pax_cap*load_thin*ROUND(K192*L192*revleg_thin,0))-(((battery/range_nm)*D192*ROUND(K192*L192*revleg_thin,0)*VLOOKUP(B192,country_opex,3,FALSE))+V192+W192+X192+Y192+Z192))&lt;=0,"",VLOOKUP(B192,country_opex,7,FALSE)/((S192*pax_cap*load_thin*ROUND(K192*L192*revleg_thin,0))-(((battery/range_nm)*D192*ROUND(K192*L192*revleg_thin,0)*VLOOKUP(B192,country_opex,3,FALSE))+V192+W192+X192+Y192+Z192)))</f>
        <v/>
      </c>
      <c r="AV192" s="43">
        <f>IF(((S192*pax_cap*load_mid*ROUND(K192*L192*revleg_mid,0))-(((battery/range_nm)*D192*ROUND(K192*L192*revleg_mid,0)*VLOOKUP(B192,country_opex,3,FALSE))+V192+W192+X192+Y192+Z192))&lt;=0,"",VLOOKUP(B192,country_opex,7,FALSE)/((S192*pax_cap*load_mid*ROUND(K192*L192*revleg_mid,0))-(((battery/range_nm)*D192*ROUND(K192*L192*revleg_mid,0)*VLOOKUP(B192,country_opex,3,FALSE))+V192+W192+X192+Y192+Z192)))</f>
        <v/>
      </c>
      <c r="AW192" s="43">
        <f>IF(((S192*pax_cap*load_full*ROUND(K192*L192*revleg_full,0))-(((battery/range_nm)*D192*ROUND(K192*L192*revleg_full,0)*VLOOKUP(B192,country_opex,3,FALSE))+V192+W192+X192+Y192+Z192))&lt;=0,"",VLOOKUP(B192,country_opex,7,FALSE)/((S192*pax_cap*load_full*ROUND(K192*L192*revleg_full,0))-(((battery/range_nm)*D192*ROUND(K192*L192*revleg_full,0)*VLOOKUP(B192,country_opex,3,FALSE))+V192+W192+X192+Y192+Z192)))</f>
        <v/>
      </c>
      <c r="AX192" s="44" t="inlineStr">
        <is>
          <t>The World (Heart of Europe/Cote d'Azur) boat-only offshore. Shared per-seat $56-120/pax; resort transfers bundled. T5/low - opportunity-to-create.</t>
        </is>
      </c>
      <c r="AY192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93">
      <c r="A193" s="29" t="inlineStr">
        <is>
          <t>Bolt</t>
        </is>
      </c>
      <c r="B193" s="29" t="inlineStr">
        <is>
          <t>United Arab Emirates</t>
        </is>
      </c>
      <c r="C193" s="30" t="inlineStr">
        <is>
          <t>Bluewaters Marina → Heart of Europe — Main Marina (The World)</t>
        </is>
      </c>
      <c r="D193" s="31" t="n">
        <v>9.880000000000001</v>
      </c>
      <c r="E193" s="26" t="n">
        <v>175</v>
      </c>
      <c r="F193" s="32" t="inlineStr">
        <is>
          <t>T5</t>
        </is>
      </c>
      <c r="G193" s="32" t="inlineStr">
        <is>
          <t>low</t>
        </is>
      </c>
      <c r="H193" s="19" t="n">
        <v>1</v>
      </c>
      <c r="I193" s="33">
        <f>60*D193/cruise_kt</f>
        <v/>
      </c>
      <c r="J193" s="33">
        <f>I193+turn_min+dwell_min</f>
        <v/>
      </c>
      <c r="K193" s="34">
        <f>MIN(15,FLOOR(60*service_hr/J193,1))</f>
        <v/>
      </c>
      <c r="L193" s="34">
        <f>ROUND(365*mech_uptime*H193,0)</f>
        <v/>
      </c>
      <c r="M193" s="35">
        <f>mech_uptime</f>
        <v/>
      </c>
      <c r="N193" s="35">
        <f>revleg_sel</f>
        <v/>
      </c>
      <c r="O193" s="34">
        <f>ROUND(K193*L193*revleg_sel,0)</f>
        <v/>
      </c>
      <c r="P193" s="36">
        <f>load_sel</f>
        <v/>
      </c>
      <c r="Q193" s="36">
        <f>pax_cap*P193</f>
        <v/>
      </c>
      <c r="R193" s="34">
        <f>Q193*O193</f>
        <v/>
      </c>
      <c r="S193" s="37">
        <f>E193*discount</f>
        <v/>
      </c>
      <c r="T193" s="38">
        <f>S193*R193</f>
        <v/>
      </c>
      <c r="U193" s="38">
        <f>(battery/range_nm)*D193*O193*VLOOKUP(B193,country_opex,3,FALSE)</f>
        <v/>
      </c>
      <c r="V193" s="38">
        <f>VLOOKUP(B193,country_opex,2,FALSE)*crew_factor</f>
        <v/>
      </c>
      <c r="W193" s="38">
        <f>VLOOKUP(B193,country_opex,5,FALSE)</f>
        <v/>
      </c>
      <c r="X193" s="38">
        <f>maint</f>
        <v/>
      </c>
      <c r="Y193" s="38">
        <f>VLOOKUP(B193,country_opex,7,FALSE)*ins_pct</f>
        <v/>
      </c>
      <c r="Z193" s="38">
        <f>charge_berth</f>
        <v/>
      </c>
      <c r="AA193" s="38">
        <f>U193+V193+W193+X193+Y193+Z193</f>
        <v/>
      </c>
      <c r="AB193" s="38">
        <f>VLOOKUP(B193,country_opex,7,FALSE)/dep_years</f>
        <v/>
      </c>
      <c r="AC193" s="38">
        <f>T193-AA193</f>
        <v/>
      </c>
      <c r="AD193" s="35">
        <f>IF(T193=0,"",AC193/T193)</f>
        <v/>
      </c>
      <c r="AE193" s="36">
        <f>IF(AC193&lt;=0,"",VLOOKUP(B193,country_opex,7,FALSE)/AC193)</f>
        <v/>
      </c>
      <c r="AF193" s="33">
        <f>((D193*O193/diesel_nmpg)*diesel_co2pg-(battery/range_nm)*D193*O193*VLOOKUP(B193,country_opex,4,FALSE))/1000</f>
        <v/>
      </c>
      <c r="AG193" s="31" t="n">
        <v>20000</v>
      </c>
      <c r="AH193" s="32" t="inlineStr">
        <is>
          <t>T3</t>
        </is>
      </c>
      <c r="AI193" s="32" t="inlineStr">
        <is>
          <t>low</t>
        </is>
      </c>
      <c r="AJ193" s="39" t="n">
        <v>0.1</v>
      </c>
      <c r="AK193" s="34">
        <f>IF(AG193="","",AG193*AJ193)</f>
        <v/>
      </c>
      <c r="AL193" s="34">
        <f>IF(OR(AG193="",R193=0),"",MIN(IF(AT193="",9.9E+99,AT193),FLOOR(AK193/R193,1)))</f>
        <v/>
      </c>
      <c r="AM193" s="38">
        <f>IF(AL193="","",AL193*T193)</f>
        <v/>
      </c>
      <c r="AN193" s="36">
        <f>IF(OR(AG193="",R193=0),"",MIN(IF(AT193="",9.9E+99,AT193),AK193/R193))</f>
        <v/>
      </c>
      <c r="AO193" s="38">
        <f>IF(AN193="","",AN193*T193)</f>
        <v/>
      </c>
      <c r="AP193" s="40" t="n"/>
      <c r="AQ193" s="32" t="inlineStr">
        <is>
          <t>Grounded</t>
        </is>
      </c>
      <c r="AR193" s="41" t="n"/>
      <c r="AS193" s="41" t="n"/>
      <c r="AT193" s="42" t="n"/>
      <c r="AU193" s="43">
        <f>IF(((S193*pax_cap*load_thin*ROUND(K193*L193*revleg_thin,0))-(((battery/range_nm)*D193*ROUND(K193*L193*revleg_thin,0)*VLOOKUP(B193,country_opex,3,FALSE))+V193+W193+X193+Y193+Z193))&lt;=0,"",VLOOKUP(B193,country_opex,7,FALSE)/((S193*pax_cap*load_thin*ROUND(K193*L193*revleg_thin,0))-(((battery/range_nm)*D193*ROUND(K193*L193*revleg_thin,0)*VLOOKUP(B193,country_opex,3,FALSE))+V193+W193+X193+Y193+Z193)))</f>
        <v/>
      </c>
      <c r="AV193" s="43">
        <f>IF(((S193*pax_cap*load_mid*ROUND(K193*L193*revleg_mid,0))-(((battery/range_nm)*D193*ROUND(K193*L193*revleg_mid,0)*VLOOKUP(B193,country_opex,3,FALSE))+V193+W193+X193+Y193+Z193))&lt;=0,"",VLOOKUP(B193,country_opex,7,FALSE)/((S193*pax_cap*load_mid*ROUND(K193*L193*revleg_mid,0))-(((battery/range_nm)*D193*ROUND(K193*L193*revleg_mid,0)*VLOOKUP(B193,country_opex,3,FALSE))+V193+W193+X193+Y193+Z193)))</f>
        <v/>
      </c>
      <c r="AW193" s="43">
        <f>IF(((S193*pax_cap*load_full*ROUND(K193*L193*revleg_full,0))-(((battery/range_nm)*D193*ROUND(K193*L193*revleg_full,0)*VLOOKUP(B193,country_opex,3,FALSE))+V193+W193+X193+Y193+Z193))&lt;=0,"",VLOOKUP(B193,country_opex,7,FALSE)/((S193*pax_cap*load_full*ROUND(K193*L193*revleg_full,0))-(((battery/range_nm)*D193*ROUND(K193*L193*revleg_full,0)*VLOOKUP(B193,country_opex,3,FALSE))+V193+W193+X193+Y193+Z193)))</f>
        <v/>
      </c>
      <c r="AX193" s="44" t="inlineStr">
        <is>
          <t>The World (Heart of Europe) boat-only offshore; greenfield. T5/low.</t>
        </is>
      </c>
      <c r="AY19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4">
      <c r="A194" s="29" t="inlineStr">
        <is>
          <t>Bolt</t>
        </is>
      </c>
      <c r="B194" s="29" t="inlineStr">
        <is>
          <t>United Arab Emirates</t>
        </is>
      </c>
      <c r="C194" s="30" t="inlineStr">
        <is>
          <t>Dubai Harbour Marina → Bulgari Yacht Club &amp; Marina</t>
        </is>
      </c>
      <c r="D194" s="31" t="n">
        <v>10.2</v>
      </c>
      <c r="E194" s="26" t="n">
        <v>200</v>
      </c>
      <c r="F194" s="32" t="inlineStr">
        <is>
          <t>T5</t>
        </is>
      </c>
      <c r="G194" s="32" t="inlineStr">
        <is>
          <t>low</t>
        </is>
      </c>
      <c r="H194" s="19" t="n">
        <v>1</v>
      </c>
      <c r="I194" s="33">
        <f>60*D194/cruise_kt</f>
        <v/>
      </c>
      <c r="J194" s="33">
        <f>I194+turn_min+dwell_min</f>
        <v/>
      </c>
      <c r="K194" s="34">
        <f>MIN(15,FLOOR(60*service_hr/J194,1))</f>
        <v/>
      </c>
      <c r="L194" s="34">
        <f>ROUND(365*mech_uptime*H194,0)</f>
        <v/>
      </c>
      <c r="M194" s="35">
        <f>mech_uptime</f>
        <v/>
      </c>
      <c r="N194" s="35">
        <f>revleg_sel</f>
        <v/>
      </c>
      <c r="O194" s="34">
        <f>ROUND(K194*L194*revleg_sel,0)</f>
        <v/>
      </c>
      <c r="P194" s="36">
        <f>load_sel</f>
        <v/>
      </c>
      <c r="Q194" s="36">
        <f>pax_cap*P194</f>
        <v/>
      </c>
      <c r="R194" s="34">
        <f>Q194*O194</f>
        <v/>
      </c>
      <c r="S194" s="37">
        <f>E194*discount</f>
        <v/>
      </c>
      <c r="T194" s="38">
        <f>S194*R194</f>
        <v/>
      </c>
      <c r="U194" s="38">
        <f>(battery/range_nm)*D194*O194*VLOOKUP(B194,country_opex,3,FALSE)</f>
        <v/>
      </c>
      <c r="V194" s="38">
        <f>VLOOKUP(B194,country_opex,2,FALSE)*crew_factor</f>
        <v/>
      </c>
      <c r="W194" s="38">
        <f>VLOOKUP(B194,country_opex,5,FALSE)</f>
        <v/>
      </c>
      <c r="X194" s="38">
        <f>maint</f>
        <v/>
      </c>
      <c r="Y194" s="38">
        <f>VLOOKUP(B194,country_opex,7,FALSE)*ins_pct</f>
        <v/>
      </c>
      <c r="Z194" s="38">
        <f>charge_berth</f>
        <v/>
      </c>
      <c r="AA194" s="38">
        <f>U194+V194+W194+X194+Y194+Z194</f>
        <v/>
      </c>
      <c r="AB194" s="38">
        <f>VLOOKUP(B194,country_opex,7,FALSE)/dep_years</f>
        <v/>
      </c>
      <c r="AC194" s="38">
        <f>T194-AA194</f>
        <v/>
      </c>
      <c r="AD194" s="35">
        <f>IF(T194=0,"",AC194/T194)</f>
        <v/>
      </c>
      <c r="AE194" s="36">
        <f>IF(AC194&lt;=0,"",VLOOKUP(B194,country_opex,7,FALSE)/AC194)</f>
        <v/>
      </c>
      <c r="AF194" s="33">
        <f>((D194*O194/diesel_nmpg)*diesel_co2pg-(battery/range_nm)*D194*O194*VLOOKUP(B194,country_opex,4,FALSE))/1000</f>
        <v/>
      </c>
      <c r="AG194" s="31" t="n">
        <v>4000</v>
      </c>
      <c r="AH194" s="32" t="inlineStr">
        <is>
          <t>T5</t>
        </is>
      </c>
      <c r="AI194" s="32" t="inlineStr">
        <is>
          <t>low</t>
        </is>
      </c>
      <c r="AJ194" s="39" t="n">
        <v>0.1</v>
      </c>
      <c r="AK194" s="34">
        <f>IF(AG194="","",AG194*AJ194)</f>
        <v/>
      </c>
      <c r="AL194" s="34">
        <f>IF(OR(AG194="",R194=0),"",MIN(IF(AT194="",9.9E+99,AT194),FLOOR(AK194/R194,1)))</f>
        <v/>
      </c>
      <c r="AM194" s="38">
        <f>IF(AL194="","",AL194*T194)</f>
        <v/>
      </c>
      <c r="AN194" s="36">
        <f>IF(OR(AG194="",R194=0),"",MIN(IF(AT194="",9.9E+99,AT194),AK194/R194))</f>
        <v/>
      </c>
      <c r="AO194" s="38">
        <f>IF(AN194="","",AN194*T194)</f>
        <v/>
      </c>
      <c r="AP194" s="40" t="n"/>
      <c r="AQ194" s="32" t="inlineStr">
        <is>
          <t>Grounded</t>
        </is>
      </c>
      <c r="AR194" s="41" t="n"/>
      <c r="AS194" s="41" t="n"/>
      <c r="AT194" s="42" t="n"/>
      <c r="AU194" s="43">
        <f>IF(((S194*pax_cap*load_thin*ROUND(K194*L194*revleg_thin,0))-(((battery/range_nm)*D194*ROUND(K194*L194*revleg_thin,0)*VLOOKUP(B194,country_opex,3,FALSE))+V194+W194+X194+Y194+Z194))&lt;=0,"",VLOOKUP(B194,country_opex,7,FALSE)/((S194*pax_cap*load_thin*ROUND(K194*L194*revleg_thin,0))-(((battery/range_nm)*D194*ROUND(K194*L194*revleg_thin,0)*VLOOKUP(B194,country_opex,3,FALSE))+V194+W194+X194+Y194+Z194)))</f>
        <v/>
      </c>
      <c r="AV194" s="43">
        <f>IF(((S194*pax_cap*load_mid*ROUND(K194*L194*revleg_mid,0))-(((battery/range_nm)*D194*ROUND(K194*L194*revleg_mid,0)*VLOOKUP(B194,country_opex,3,FALSE))+V194+W194+X194+Y194+Z194))&lt;=0,"",VLOOKUP(B194,country_opex,7,FALSE)/((S194*pax_cap*load_mid*ROUND(K194*L194*revleg_mid,0))-(((battery/range_nm)*D194*ROUND(K194*L194*revleg_mid,0)*VLOOKUP(B194,country_opex,3,FALSE))+V194+W194+X194+Y194+Z194)))</f>
        <v/>
      </c>
      <c r="AW194" s="43">
        <f>IF(((S194*pax_cap*load_full*ROUND(K194*L194*revleg_full,0))-(((battery/range_nm)*D194*ROUND(K194*L194*revleg_full,0)*VLOOKUP(B194,country_opex,3,FALSE))+V194+W194+X194+Y194+Z194))&lt;=0,"",VLOOKUP(B194,country_opex,7,FALSE)/((S194*pax_cap*load_full*ROUND(K194*L194*revleg_full,0))-(((battery/range_nm)*D194*ROUND(K194*L194*revleg_full,0)*VLOOKUP(B194,country_opex,3,FALSE))+V194+W194+X194+Y194+Z194)))</f>
        <v/>
      </c>
      <c r="AX194" s="44" t="inlineStr">
        <is>
          <t>Bulgari Resort Dubai ~129 keys + Bulgari Yacht Club &amp; Marina; road-served. T5/low.</t>
        </is>
      </c>
      <c r="AY194" s="44" t="inlineStr">
        <is>
          <t>OPT-IN only (R3-LAND). ~129-key resort + yacht-club members.</t>
        </is>
      </c>
    </row>
    <row r="195">
      <c r="A195" s="29" t="inlineStr">
        <is>
          <t>Bolt</t>
        </is>
      </c>
      <c r="B195" s="29" t="inlineStr">
        <is>
          <t>United Arab Emirates</t>
        </is>
      </c>
      <c r="C195" s="30" t="inlineStr">
        <is>
          <t>Emirates Palace Marina → Saadiyat Beach Club Jetty</t>
        </is>
      </c>
      <c r="D195" s="31" t="n">
        <v>10.4</v>
      </c>
      <c r="E195" s="26" t="n">
        <v>175</v>
      </c>
      <c r="F195" s="32" t="inlineStr">
        <is>
          <t>T5</t>
        </is>
      </c>
      <c r="G195" s="32" t="inlineStr">
        <is>
          <t>low</t>
        </is>
      </c>
      <c r="H195" s="19" t="n">
        <v>1</v>
      </c>
      <c r="I195" s="33">
        <f>60*D195/cruise_kt</f>
        <v/>
      </c>
      <c r="J195" s="33">
        <f>I195+turn_min+dwell_min</f>
        <v/>
      </c>
      <c r="K195" s="34">
        <f>MIN(15,FLOOR(60*service_hr/J195,1))</f>
        <v/>
      </c>
      <c r="L195" s="34">
        <f>ROUND(365*mech_uptime*H195,0)</f>
        <v/>
      </c>
      <c r="M195" s="35">
        <f>mech_uptime</f>
        <v/>
      </c>
      <c r="N195" s="35">
        <f>revleg_sel</f>
        <v/>
      </c>
      <c r="O195" s="34">
        <f>ROUND(K195*L195*revleg_sel,0)</f>
        <v/>
      </c>
      <c r="P195" s="36">
        <f>load_sel</f>
        <v/>
      </c>
      <c r="Q195" s="36">
        <f>pax_cap*P195</f>
        <v/>
      </c>
      <c r="R195" s="34">
        <f>Q195*O195</f>
        <v/>
      </c>
      <c r="S195" s="37">
        <f>E195*discount</f>
        <v/>
      </c>
      <c r="T195" s="38">
        <f>S195*R195</f>
        <v/>
      </c>
      <c r="U195" s="38">
        <f>(battery/range_nm)*D195*O195*VLOOKUP(B195,country_opex,3,FALSE)</f>
        <v/>
      </c>
      <c r="V195" s="38">
        <f>VLOOKUP(B195,country_opex,2,FALSE)*crew_factor</f>
        <v/>
      </c>
      <c r="W195" s="38">
        <f>VLOOKUP(B195,country_opex,5,FALSE)</f>
        <v/>
      </c>
      <c r="X195" s="38">
        <f>maint</f>
        <v/>
      </c>
      <c r="Y195" s="38">
        <f>VLOOKUP(B195,country_opex,7,FALSE)*ins_pct</f>
        <v/>
      </c>
      <c r="Z195" s="38">
        <f>charge_berth</f>
        <v/>
      </c>
      <c r="AA195" s="38">
        <f>U195+V195+W195+X195+Y195+Z195</f>
        <v/>
      </c>
      <c r="AB195" s="38">
        <f>VLOOKUP(B195,country_opex,7,FALSE)/dep_years</f>
        <v/>
      </c>
      <c r="AC195" s="38">
        <f>T195-AA195</f>
        <v/>
      </c>
      <c r="AD195" s="35">
        <f>IF(T195=0,"",AC195/T195)</f>
        <v/>
      </c>
      <c r="AE195" s="36">
        <f>IF(AC195&lt;=0,"",VLOOKUP(B195,country_opex,7,FALSE)/AC195)</f>
        <v/>
      </c>
      <c r="AF195" s="33">
        <f>((D195*O195/diesel_nmpg)*diesel_co2pg-(battery/range_nm)*D195*O195*VLOOKUP(B195,country_opex,4,FALSE))/1000</f>
        <v/>
      </c>
      <c r="AG195" s="31" t="n">
        <v>3000</v>
      </c>
      <c r="AH195" s="32" t="inlineStr">
        <is>
          <t>T5</t>
        </is>
      </c>
      <c r="AI195" s="32" t="inlineStr">
        <is>
          <t>low</t>
        </is>
      </c>
      <c r="AJ195" s="39" t="n">
        <v>0.1</v>
      </c>
      <c r="AK195" s="34">
        <f>IF(AG195="","",AG195*AJ195)</f>
        <v/>
      </c>
      <c r="AL195" s="34">
        <f>IF(OR(AG195="",R195=0),"",MIN(IF(AT195="",9.9E+99,AT195),FLOOR(AK195/R195,1)))</f>
        <v/>
      </c>
      <c r="AM195" s="38">
        <f>IF(AL195="","",AL195*T195)</f>
        <v/>
      </c>
      <c r="AN195" s="36">
        <f>IF(OR(AG195="",R195=0),"",MIN(IF(AT195="",9.9E+99,AT195),AK195/R195))</f>
        <v/>
      </c>
      <c r="AO195" s="38">
        <f>IF(AN195="","",AN195*T195)</f>
        <v/>
      </c>
      <c r="AP195" s="40" t="n"/>
      <c r="AQ195" s="32" t="inlineStr">
        <is>
          <t>Grounded</t>
        </is>
      </c>
      <c r="AR195" s="41" t="n"/>
      <c r="AS195" s="41" t="n"/>
      <c r="AT195" s="42" t="n"/>
      <c r="AU195" s="43">
        <f>IF(((S195*pax_cap*load_thin*ROUND(K195*L195*revleg_thin,0))-(((battery/range_nm)*D195*ROUND(K195*L195*revleg_thin,0)*VLOOKUP(B195,country_opex,3,FALSE))+V195+W195+X195+Y195+Z195))&lt;=0,"",VLOOKUP(B195,country_opex,7,FALSE)/((S195*pax_cap*load_thin*ROUND(K195*L195*revleg_thin,0))-(((battery/range_nm)*D195*ROUND(K195*L195*revleg_thin,0)*VLOOKUP(B195,country_opex,3,FALSE))+V195+W195+X195+Y195+Z195)))</f>
        <v/>
      </c>
      <c r="AV195" s="43">
        <f>IF(((S195*pax_cap*load_mid*ROUND(K195*L195*revleg_mid,0))-(((battery/range_nm)*D195*ROUND(K195*L195*revleg_mid,0)*VLOOKUP(B195,country_opex,3,FALSE))+V195+W195+X195+Y195+Z195))&lt;=0,"",VLOOKUP(B195,country_opex,7,FALSE)/((S195*pax_cap*load_mid*ROUND(K195*L195*revleg_mid,0))-(((battery/range_nm)*D195*ROUND(K195*L195*revleg_mid,0)*VLOOKUP(B195,country_opex,3,FALSE))+V195+W195+X195+Y195+Z195)))</f>
        <v/>
      </c>
      <c r="AW195" s="43">
        <f>IF(((S195*pax_cap*load_full*ROUND(K195*L195*revleg_full,0))-(((battery/range_nm)*D195*ROUND(K195*L195*revleg_full,0)*VLOOKUP(B195,country_opex,3,FALSE))+V195+W195+X195+Y195+Z195))&lt;=0,"",VLOOKUP(B195,country_opex,7,FALSE)/((S195*pax_cap*load_full*ROUND(K195*L195*revleg_full,0))-(((battery/range_nm)*D195*ROUND(K195*L195*revleg_full,0)*VLOOKUP(B195,country_opex,3,FALSE))+V195+W195+X195+Y195+Z195)))</f>
        <v/>
      </c>
      <c r="AX195" s="44" t="inlineStr">
        <is>
          <t>Emirates Palace&lt;-&gt;Saadiyat experiential luxury hop; both road-served. T5/low.</t>
        </is>
      </c>
      <c r="AY195" s="44" t="inlineStr">
        <is>
          <t>OPT-IN only (R3-LAND: both road-served). Experiential luxury hop.</t>
        </is>
      </c>
    </row>
    <row r="196">
      <c r="A196" s="29" t="inlineStr">
        <is>
          <t>Bolt</t>
        </is>
      </c>
      <c r="B196" s="29" t="inlineStr">
        <is>
          <t>United Arab Emirates</t>
        </is>
      </c>
      <c r="C196" s="30" t="inlineStr">
        <is>
          <t>Dubai Marina → Downtown Creek</t>
        </is>
      </c>
      <c r="D196" s="31" t="n">
        <v>12</v>
      </c>
      <c r="E196" s="26" t="n"/>
      <c r="F196" s="32" t="n"/>
      <c r="G196" s="32" t="n"/>
      <c r="H196" s="19" t="n">
        <v>1</v>
      </c>
      <c r="I196" s="33">
        <f>60*D196/cruise_kt</f>
        <v/>
      </c>
      <c r="J196" s="33">
        <f>I196+turn_min+dwell_min</f>
        <v/>
      </c>
      <c r="K196" s="34">
        <f>MIN(15,FLOOR(60*service_hr/J196,1))</f>
        <v/>
      </c>
      <c r="L196" s="34">
        <f>ROUND(365*mech_uptime*H196,0)</f>
        <v/>
      </c>
      <c r="M196" s="35">
        <f>mech_uptime</f>
        <v/>
      </c>
      <c r="N196" s="35">
        <f>revleg_sel</f>
        <v/>
      </c>
      <c r="O196" s="34">
        <f>ROUND(K196*L196*revleg_sel,0)</f>
        <v/>
      </c>
      <c r="P196" s="36">
        <f>load_sel</f>
        <v/>
      </c>
      <c r="Q196" s="36">
        <f>pax_cap*P196</f>
        <v/>
      </c>
      <c r="R196" s="34">
        <f>Q196*O196</f>
        <v/>
      </c>
      <c r="S196" s="37">
        <f>E196*discount</f>
        <v/>
      </c>
      <c r="T196" s="38">
        <f>S196*R196</f>
        <v/>
      </c>
      <c r="U196" s="38">
        <f>(battery/range_nm)*D196*O196*VLOOKUP(B196,country_opex,3,FALSE)</f>
        <v/>
      </c>
      <c r="V196" s="38">
        <f>VLOOKUP(B196,country_opex,2,FALSE)*crew_factor</f>
        <v/>
      </c>
      <c r="W196" s="38">
        <f>VLOOKUP(B196,country_opex,5,FALSE)</f>
        <v/>
      </c>
      <c r="X196" s="38">
        <f>maint</f>
        <v/>
      </c>
      <c r="Y196" s="38">
        <f>VLOOKUP(B196,country_opex,7,FALSE)*ins_pct</f>
        <v/>
      </c>
      <c r="Z196" s="38">
        <f>charge_berth</f>
        <v/>
      </c>
      <c r="AA196" s="38">
        <f>U196+V196+W196+X196+Y196+Z196</f>
        <v/>
      </c>
      <c r="AB196" s="38">
        <f>VLOOKUP(B196,country_opex,7,FALSE)/dep_years</f>
        <v/>
      </c>
      <c r="AC196" s="38">
        <f>T196-AA196</f>
        <v/>
      </c>
      <c r="AD196" s="35">
        <f>IF(T196=0,"",AC196/T196)</f>
        <v/>
      </c>
      <c r="AE196" s="36">
        <f>IF(AC196&lt;=0,"",VLOOKUP(B196,country_opex,7,FALSE)/AC196)</f>
        <v/>
      </c>
      <c r="AF196" s="33">
        <f>((D196*O196/diesel_nmpg)*diesel_co2pg-(battery/range_nm)*D196*O196*VLOOKUP(B196,country_opex,4,FALSE))/1000</f>
        <v/>
      </c>
      <c r="AG196" s="31" t="n"/>
      <c r="AH196" s="32" t="n"/>
      <c r="AI196" s="32" t="n"/>
      <c r="AJ196" s="39" t="n">
        <v>0.1</v>
      </c>
      <c r="AK196" s="34">
        <f>IF(AG196="","",AG196*AJ196)</f>
        <v/>
      </c>
      <c r="AL196" s="34">
        <f>IF(OR(AG196="",R196=0),"",MIN(IF(AT196="",9.9E+99,AT196),FLOOR(AK196/R196,1)))</f>
        <v/>
      </c>
      <c r="AM196" s="38">
        <f>IF(AL196="","",AL196*T196)</f>
        <v/>
      </c>
      <c r="AN196" s="36">
        <f>IF(OR(AG196="",R196=0),"",MIN(IF(AT196="",9.9E+99,AT196),AK196/R196))</f>
        <v/>
      </c>
      <c r="AO196" s="38">
        <f>IF(AN196="","",AN196*T196)</f>
        <v/>
      </c>
      <c r="AP196" s="40" t="n"/>
      <c r="AQ196" s="32" t="inlineStr">
        <is>
          <t>Estimated</t>
        </is>
      </c>
      <c r="AR196" s="41" t="n"/>
      <c r="AS196" s="41" t="n"/>
      <c r="AT196" s="42" t="n"/>
      <c r="AU196" s="43">
        <f>IF(((S196*pax_cap*load_thin*ROUND(K196*L196*revleg_thin,0))-(((battery/range_nm)*D196*ROUND(K196*L196*revleg_thin,0)*VLOOKUP(B196,country_opex,3,FALSE))+V196+W196+X196+Y196+Z196))&lt;=0,"",VLOOKUP(B196,country_opex,7,FALSE)/((S196*pax_cap*load_thin*ROUND(K196*L196*revleg_thin,0))-(((battery/range_nm)*D196*ROUND(K196*L196*revleg_thin,0)*VLOOKUP(B196,country_opex,3,FALSE))+V196+W196+X196+Y196+Z196)))</f>
        <v/>
      </c>
      <c r="AV196" s="43">
        <f>IF(((S196*pax_cap*load_mid*ROUND(K196*L196*revleg_mid,0))-(((battery/range_nm)*D196*ROUND(K196*L196*revleg_mid,0)*VLOOKUP(B196,country_opex,3,FALSE))+V196+W196+X196+Y196+Z196))&lt;=0,"",VLOOKUP(B196,country_opex,7,FALSE)/((S196*pax_cap*load_mid*ROUND(K196*L196*revleg_mid,0))-(((battery/range_nm)*D196*ROUND(K196*L196*revleg_mid,0)*VLOOKUP(B196,country_opex,3,FALSE))+V196+W196+X196+Y196+Z196)))</f>
        <v/>
      </c>
      <c r="AW196" s="43">
        <f>IF(((S196*pax_cap*load_full*ROUND(K196*L196*revleg_full,0))-(((battery/range_nm)*D196*ROUND(K196*L196*revleg_full,0)*VLOOKUP(B196,country_opex,3,FALSE))+V196+W196+X196+Y196+Z196))&lt;=0,"",VLOOKUP(B196,country_opex,7,FALSE)/((S196*pax_cap*load_full*ROUND(K196*L196*revleg_full,0))-(((battery/range_nm)*D196*ROUND(K196*L196*revleg_full,0)*VLOOKUP(B196,country_opex,3,FALSE))+V196+W196+X196+Y196+Z196)))</f>
        <v/>
      </c>
      <c r="AX196" s="44" t="n"/>
      <c r="AY196" s="44" t="n"/>
    </row>
    <row r="197">
      <c r="A197" s="29" t="inlineStr">
        <is>
          <t>Bolt</t>
        </is>
      </c>
      <c r="B197" s="29" t="inlineStr">
        <is>
          <t>United Arab Emirates</t>
        </is>
      </c>
      <c r="C197" s="30" t="inlineStr">
        <is>
          <t>Dubai Marina → Downtown / Dubai Creek</t>
        </is>
      </c>
      <c r="D197" s="31" t="n">
        <v>12</v>
      </c>
      <c r="E197" s="26" t="n"/>
      <c r="F197" s="32" t="n"/>
      <c r="G197" s="32" t="n"/>
      <c r="H197" s="19" t="n">
        <v>1</v>
      </c>
      <c r="I197" s="33">
        <f>60*D197/cruise_kt</f>
        <v/>
      </c>
      <c r="J197" s="33">
        <f>I197+turn_min+dwell_min</f>
        <v/>
      </c>
      <c r="K197" s="34">
        <f>MIN(15,FLOOR(60*service_hr/J197,1))</f>
        <v/>
      </c>
      <c r="L197" s="34">
        <f>ROUND(365*mech_uptime*H197,0)</f>
        <v/>
      </c>
      <c r="M197" s="35">
        <f>mech_uptime</f>
        <v/>
      </c>
      <c r="N197" s="35">
        <f>revleg_sel</f>
        <v/>
      </c>
      <c r="O197" s="34">
        <f>ROUND(K197*L197*revleg_sel,0)</f>
        <v/>
      </c>
      <c r="P197" s="36">
        <f>load_sel</f>
        <v/>
      </c>
      <c r="Q197" s="36">
        <f>pax_cap*P197</f>
        <v/>
      </c>
      <c r="R197" s="34">
        <f>Q197*O197</f>
        <v/>
      </c>
      <c r="S197" s="37">
        <f>E197*discount</f>
        <v/>
      </c>
      <c r="T197" s="38">
        <f>S197*R197</f>
        <v/>
      </c>
      <c r="U197" s="38">
        <f>(battery/range_nm)*D197*O197*VLOOKUP(B197,country_opex,3,FALSE)</f>
        <v/>
      </c>
      <c r="V197" s="38">
        <f>VLOOKUP(B197,country_opex,2,FALSE)*crew_factor</f>
        <v/>
      </c>
      <c r="W197" s="38">
        <f>VLOOKUP(B197,country_opex,5,FALSE)</f>
        <v/>
      </c>
      <c r="X197" s="38">
        <f>maint</f>
        <v/>
      </c>
      <c r="Y197" s="38">
        <f>VLOOKUP(B197,country_opex,7,FALSE)*ins_pct</f>
        <v/>
      </c>
      <c r="Z197" s="38">
        <f>charge_berth</f>
        <v/>
      </c>
      <c r="AA197" s="38">
        <f>U197+V197+W197+X197+Y197+Z197</f>
        <v/>
      </c>
      <c r="AB197" s="38">
        <f>VLOOKUP(B197,country_opex,7,FALSE)/dep_years</f>
        <v/>
      </c>
      <c r="AC197" s="38">
        <f>T197-AA197</f>
        <v/>
      </c>
      <c r="AD197" s="35">
        <f>IF(T197=0,"",AC197/T197)</f>
        <v/>
      </c>
      <c r="AE197" s="36">
        <f>IF(AC197&lt;=0,"",VLOOKUP(B197,country_opex,7,FALSE)/AC197)</f>
        <v/>
      </c>
      <c r="AF197" s="33">
        <f>((D197*O197/diesel_nmpg)*diesel_co2pg-(battery/range_nm)*D197*O197*VLOOKUP(B197,country_opex,4,FALSE))/1000</f>
        <v/>
      </c>
      <c r="AG197" s="31" t="n"/>
      <c r="AH197" s="32" t="n"/>
      <c r="AI197" s="32" t="n"/>
      <c r="AJ197" s="39" t="n">
        <v>0.1</v>
      </c>
      <c r="AK197" s="34">
        <f>IF(AG197="","",AG197*AJ197)</f>
        <v/>
      </c>
      <c r="AL197" s="34">
        <f>IF(OR(AG197="",R197=0),"",MIN(IF(AT197="",9.9E+99,AT197),FLOOR(AK197/R197,1)))</f>
        <v/>
      </c>
      <c r="AM197" s="38">
        <f>IF(AL197="","",AL197*T197)</f>
        <v/>
      </c>
      <c r="AN197" s="36">
        <f>IF(OR(AG197="",R197=0),"",MIN(IF(AT197="",9.9E+99,AT197),AK197/R197))</f>
        <v/>
      </c>
      <c r="AO197" s="38">
        <f>IF(AN197="","",AN197*T197)</f>
        <v/>
      </c>
      <c r="AP197" s="40" t="n"/>
      <c r="AQ197" s="32" t="inlineStr">
        <is>
          <t>Estimated</t>
        </is>
      </c>
      <c r="AR197" s="41" t="n"/>
      <c r="AS197" s="41" t="n"/>
      <c r="AT197" s="42" t="n"/>
      <c r="AU197" s="43">
        <f>IF(((S197*pax_cap*load_thin*ROUND(K197*L197*revleg_thin,0))-(((battery/range_nm)*D197*ROUND(K197*L197*revleg_thin,0)*VLOOKUP(B197,country_opex,3,FALSE))+V197+W197+X197+Y197+Z197))&lt;=0,"",VLOOKUP(B197,country_opex,7,FALSE)/((S197*pax_cap*load_thin*ROUND(K197*L197*revleg_thin,0))-(((battery/range_nm)*D197*ROUND(K197*L197*revleg_thin,0)*VLOOKUP(B197,country_opex,3,FALSE))+V197+W197+X197+Y197+Z197)))</f>
        <v/>
      </c>
      <c r="AV197" s="43">
        <f>IF(((S197*pax_cap*load_mid*ROUND(K197*L197*revleg_mid,0))-(((battery/range_nm)*D197*ROUND(K197*L197*revleg_mid,0)*VLOOKUP(B197,country_opex,3,FALSE))+V197+W197+X197+Y197+Z197))&lt;=0,"",VLOOKUP(B197,country_opex,7,FALSE)/((S197*pax_cap*load_mid*ROUND(K197*L197*revleg_mid,0))-(((battery/range_nm)*D197*ROUND(K197*L197*revleg_mid,0)*VLOOKUP(B197,country_opex,3,FALSE))+V197+W197+X197+Y197+Z197)))</f>
        <v/>
      </c>
      <c r="AW197" s="43">
        <f>IF(((S197*pax_cap*load_full*ROUND(K197*L197*revleg_full,0))-(((battery/range_nm)*D197*ROUND(K197*L197*revleg_full,0)*VLOOKUP(B197,country_opex,3,FALSE))+V197+W197+X197+Y197+Z197))&lt;=0,"",VLOOKUP(B197,country_opex,7,FALSE)/((S197*pax_cap*load_full*ROUND(K197*L197*revleg_full,0))-(((battery/range_nm)*D197*ROUND(K197*L197*revleg_full,0)*VLOOKUP(B197,country_opex,3,FALSE))+V197+W197+X197+Y197+Z197)))</f>
        <v/>
      </c>
      <c r="AX197" s="44" t="n"/>
      <c r="AY197" s="44" t="n"/>
    </row>
    <row r="198">
      <c r="A198" s="29" t="inlineStr">
        <is>
          <t>Bolt</t>
        </is>
      </c>
      <c r="B198" s="29" t="inlineStr">
        <is>
          <t>United Arab Emirates</t>
        </is>
      </c>
      <c r="C198" s="30" t="inlineStr">
        <is>
          <t>Yas Marina → Zaya Nurai Island Jetty</t>
        </is>
      </c>
      <c r="D198" s="31" t="n">
        <v>12.6</v>
      </c>
      <c r="E198" s="26" t="n">
        <v>175</v>
      </c>
      <c r="F198" s="32" t="inlineStr">
        <is>
          <t>T5</t>
        </is>
      </c>
      <c r="G198" s="32" t="inlineStr">
        <is>
          <t>low</t>
        </is>
      </c>
      <c r="H198" s="19" t="n">
        <v>1</v>
      </c>
      <c r="I198" s="33">
        <f>60*D198/cruise_kt</f>
        <v/>
      </c>
      <c r="J198" s="33">
        <f>I198+turn_min+dwell_min</f>
        <v/>
      </c>
      <c r="K198" s="34">
        <f>MIN(15,FLOOR(60*service_hr/J198,1))</f>
        <v/>
      </c>
      <c r="L198" s="34">
        <f>ROUND(365*mech_uptime*H198,0)</f>
        <v/>
      </c>
      <c r="M198" s="35">
        <f>mech_uptime</f>
        <v/>
      </c>
      <c r="N198" s="35">
        <f>revleg_sel</f>
        <v/>
      </c>
      <c r="O198" s="34">
        <f>ROUND(K198*L198*revleg_sel,0)</f>
        <v/>
      </c>
      <c r="P198" s="36">
        <f>load_sel</f>
        <v/>
      </c>
      <c r="Q198" s="36">
        <f>pax_cap*P198</f>
        <v/>
      </c>
      <c r="R198" s="34">
        <f>Q198*O198</f>
        <v/>
      </c>
      <c r="S198" s="37">
        <f>E198*discount</f>
        <v/>
      </c>
      <c r="T198" s="38">
        <f>S198*R198</f>
        <v/>
      </c>
      <c r="U198" s="38">
        <f>(battery/range_nm)*D198*O198*VLOOKUP(B198,country_opex,3,FALSE)</f>
        <v/>
      </c>
      <c r="V198" s="38">
        <f>VLOOKUP(B198,country_opex,2,FALSE)*crew_factor</f>
        <v/>
      </c>
      <c r="W198" s="38">
        <f>VLOOKUP(B198,country_opex,5,FALSE)</f>
        <v/>
      </c>
      <c r="X198" s="38">
        <f>maint</f>
        <v/>
      </c>
      <c r="Y198" s="38">
        <f>VLOOKUP(B198,country_opex,7,FALSE)*ins_pct</f>
        <v/>
      </c>
      <c r="Z198" s="38">
        <f>charge_berth</f>
        <v/>
      </c>
      <c r="AA198" s="38">
        <f>U198+V198+W198+X198+Y198+Z198</f>
        <v/>
      </c>
      <c r="AB198" s="38">
        <f>VLOOKUP(B198,country_opex,7,FALSE)/dep_years</f>
        <v/>
      </c>
      <c r="AC198" s="38">
        <f>T198-AA198</f>
        <v/>
      </c>
      <c r="AD198" s="35">
        <f>IF(T198=0,"",AC198/T198)</f>
        <v/>
      </c>
      <c r="AE198" s="36">
        <f>IF(AC198&lt;=0,"",VLOOKUP(B198,country_opex,7,FALSE)/AC198)</f>
        <v/>
      </c>
      <c r="AF198" s="33">
        <f>((D198*O198/diesel_nmpg)*diesel_co2pg-(battery/range_nm)*D198*O198*VLOOKUP(B198,country_opex,4,FALSE))/1000</f>
        <v/>
      </c>
      <c r="AG198" s="31" t="n">
        <v>15000</v>
      </c>
      <c r="AH198" s="32" t="inlineStr">
        <is>
          <t>T3</t>
        </is>
      </c>
      <c r="AI198" s="32" t="inlineStr">
        <is>
          <t>low</t>
        </is>
      </c>
      <c r="AJ198" s="39" t="n">
        <v>0.1</v>
      </c>
      <c r="AK198" s="34">
        <f>IF(AG198="","",AG198*AJ198)</f>
        <v/>
      </c>
      <c r="AL198" s="34">
        <f>IF(OR(AG198="",R198=0),"",MIN(IF(AT198="",9.9E+99,AT198),FLOOR(AK198/R198,1)))</f>
        <v/>
      </c>
      <c r="AM198" s="38">
        <f>IF(AL198="","",AL198*T198)</f>
        <v/>
      </c>
      <c r="AN198" s="36">
        <f>IF(OR(AG198="",R198=0),"",MIN(IF(AT198="",9.9E+99,AT198),AK198/R198))</f>
        <v/>
      </c>
      <c r="AO198" s="38">
        <f>IF(AN198="","",AN198*T198)</f>
        <v/>
      </c>
      <c r="AP198" s="40" t="n"/>
      <c r="AQ198" s="32" t="inlineStr">
        <is>
          <t>Grounded</t>
        </is>
      </c>
      <c r="AR198" s="41" t="n"/>
      <c r="AS198" s="41" t="n"/>
      <c r="AT198" s="42" t="n"/>
      <c r="AU198" s="43">
        <f>IF(((S198*pax_cap*load_thin*ROUND(K198*L198*revleg_thin,0))-(((battery/range_nm)*D198*ROUND(K198*L198*revleg_thin,0)*VLOOKUP(B198,country_opex,3,FALSE))+V198+W198+X198+Y198+Z198))&lt;=0,"",VLOOKUP(B198,country_opex,7,FALSE)/((S198*pax_cap*load_thin*ROUND(K198*L198*revleg_thin,0))-(((battery/range_nm)*D198*ROUND(K198*L198*revleg_thin,0)*VLOOKUP(B198,country_opex,3,FALSE))+V198+W198+X198+Y198+Z198)))</f>
        <v/>
      </c>
      <c r="AV198" s="43">
        <f>IF(((S198*pax_cap*load_mid*ROUND(K198*L198*revleg_mid,0))-(((battery/range_nm)*D198*ROUND(K198*L198*revleg_mid,0)*VLOOKUP(B198,country_opex,3,FALSE))+V198+W198+X198+Y198+Z198))&lt;=0,"",VLOOKUP(B198,country_opex,7,FALSE)/((S198*pax_cap*load_mid*ROUND(K198*L198*revleg_mid,0))-(((battery/range_nm)*D198*ROUND(K198*L198*revleg_mid,0)*VLOOKUP(B198,country_opex,3,FALSE))+V198+W198+X198+Y198+Z198)))</f>
        <v/>
      </c>
      <c r="AW198" s="43">
        <f>IF(((S198*pax_cap*load_full*ROUND(K198*L198*revleg_full,0))-(((battery/range_nm)*D198*ROUND(K198*L198*revleg_full,0)*VLOOKUP(B198,country_opex,3,FALSE))+V198+W198+X198+Y198+Z198))&lt;=0,"",VLOOKUP(B198,country_opex,7,FALSE)/((S198*pax_cap*load_full*ROUND(K198*L198*revleg_full,0))-(((battery/range_nm)*D198*ROUND(K198*L198*revleg_full,0)*VLOOKUP(B198,country_opex,3,FALSE))+V198+W198+X198+Y198+Z198)))</f>
        <v/>
      </c>
      <c r="AX198" s="44" t="inlineStr">
        <is>
          <t>Zaya Nurai boat-only, but real transfers depart Saadiyat (4.4nm) not Yas Marina (12.6nm) -&gt; R3-PIER. $175 modeled; demand NULL. T5/low.</t>
        </is>
      </c>
      <c r="AY19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9">
      <c r="A199" s="29" t="inlineStr">
        <is>
          <t>Bolt</t>
        </is>
      </c>
      <c r="B199" s="29" t="inlineStr">
        <is>
          <t>United Arab Emirates</t>
        </is>
      </c>
      <c r="C199" s="30" t="inlineStr">
        <is>
          <t>Yas Marina → Saadiyat Beach Club Jetty</t>
        </is>
      </c>
      <c r="D199" s="31" t="n">
        <v>13</v>
      </c>
      <c r="E199" s="26" t="n">
        <v>75</v>
      </c>
      <c r="F199" s="32" t="inlineStr">
        <is>
          <t>T4</t>
        </is>
      </c>
      <c r="G199" s="32" t="inlineStr">
        <is>
          <t>low</t>
        </is>
      </c>
      <c r="H199" s="19" t="n">
        <v>1</v>
      </c>
      <c r="I199" s="33">
        <f>60*D199/cruise_kt</f>
        <v/>
      </c>
      <c r="J199" s="33">
        <f>I199+turn_min+dwell_min</f>
        <v/>
      </c>
      <c r="K199" s="34">
        <f>MIN(15,FLOOR(60*service_hr/J199,1))</f>
        <v/>
      </c>
      <c r="L199" s="34">
        <f>ROUND(365*mech_uptime*H199,0)</f>
        <v/>
      </c>
      <c r="M199" s="35">
        <f>mech_uptime</f>
        <v/>
      </c>
      <c r="N199" s="35">
        <f>revleg_sel</f>
        <v/>
      </c>
      <c r="O199" s="34">
        <f>ROUND(K199*L199*revleg_sel,0)</f>
        <v/>
      </c>
      <c r="P199" s="36">
        <f>load_sel</f>
        <v/>
      </c>
      <c r="Q199" s="36">
        <f>pax_cap*P199</f>
        <v/>
      </c>
      <c r="R199" s="34">
        <f>Q199*O199</f>
        <v/>
      </c>
      <c r="S199" s="37">
        <f>E199*discount</f>
        <v/>
      </c>
      <c r="T199" s="38">
        <f>S199*R199</f>
        <v/>
      </c>
      <c r="U199" s="38">
        <f>(battery/range_nm)*D199*O199*VLOOKUP(B199,country_opex,3,FALSE)</f>
        <v/>
      </c>
      <c r="V199" s="38">
        <f>VLOOKUP(B199,country_opex,2,FALSE)*crew_factor</f>
        <v/>
      </c>
      <c r="W199" s="38">
        <f>VLOOKUP(B199,country_opex,5,FALSE)</f>
        <v/>
      </c>
      <c r="X199" s="38">
        <f>maint</f>
        <v/>
      </c>
      <c r="Y199" s="38">
        <f>VLOOKUP(B199,country_opex,7,FALSE)*ins_pct</f>
        <v/>
      </c>
      <c r="Z199" s="38">
        <f>charge_berth</f>
        <v/>
      </c>
      <c r="AA199" s="38">
        <f>U199+V199+W199+X199+Y199+Z199</f>
        <v/>
      </c>
      <c r="AB199" s="38">
        <f>VLOOKUP(B199,country_opex,7,FALSE)/dep_years</f>
        <v/>
      </c>
      <c r="AC199" s="38">
        <f>T199-AA199</f>
        <v/>
      </c>
      <c r="AD199" s="35">
        <f>IF(T199=0,"",AC199/T199)</f>
        <v/>
      </c>
      <c r="AE199" s="36">
        <f>IF(AC199&lt;=0,"",VLOOKUP(B199,country_opex,7,FALSE)/AC199)</f>
        <v/>
      </c>
      <c r="AF199" s="33">
        <f>((D199*O199/diesel_nmpg)*diesel_co2pg-(battery/range_nm)*D199*O199*VLOOKUP(B199,country_opex,4,FALSE))/1000</f>
        <v/>
      </c>
      <c r="AG199" s="31" t="n">
        <v>30000</v>
      </c>
      <c r="AH199" s="32" t="inlineStr">
        <is>
          <t>T3</t>
        </is>
      </c>
      <c r="AI199" s="32" t="inlineStr">
        <is>
          <t>low</t>
        </is>
      </c>
      <c r="AJ199" s="39" t="n">
        <v>0.1</v>
      </c>
      <c r="AK199" s="34">
        <f>IF(AG199="","",AG199*AJ199)</f>
        <v/>
      </c>
      <c r="AL199" s="34">
        <f>IF(OR(AG199="",R199=0),"",MIN(IF(AT199="",9.9E+99,AT199),FLOOR(AK199/R199,1)))</f>
        <v/>
      </c>
      <c r="AM199" s="38">
        <f>IF(AL199="","",AL199*T199)</f>
        <v/>
      </c>
      <c r="AN199" s="36">
        <f>IF(OR(AG199="",R199=0),"",MIN(IF(AT199="",9.9E+99,AT199),AK199/R199))</f>
        <v/>
      </c>
      <c r="AO199" s="38">
        <f>IF(AN199="","",AN199*T199)</f>
        <v/>
      </c>
      <c r="AP199" s="40" t="n"/>
      <c r="AQ199" s="32" t="inlineStr">
        <is>
          <t>Grounded</t>
        </is>
      </c>
      <c r="AR199" s="41" t="n"/>
      <c r="AS199" s="41" t="n"/>
      <c r="AT199" s="42" t="n"/>
      <c r="AU199" s="43">
        <f>IF(((S199*pax_cap*load_thin*ROUND(K199*L199*revleg_thin,0))-(((battery/range_nm)*D199*ROUND(K199*L199*revleg_thin,0)*VLOOKUP(B199,country_opex,3,FALSE))+V199+W199+X199+Y199+Z199))&lt;=0,"",VLOOKUP(B199,country_opex,7,FALSE)/((S199*pax_cap*load_thin*ROUND(K199*L199*revleg_thin,0))-(((battery/range_nm)*D199*ROUND(K199*L199*revleg_thin,0)*VLOOKUP(B199,country_opex,3,FALSE))+V199+W199+X199+Y199+Z199)))</f>
        <v/>
      </c>
      <c r="AV199" s="43">
        <f>IF(((S199*pax_cap*load_mid*ROUND(K199*L199*revleg_mid,0))-(((battery/range_nm)*D199*ROUND(K199*L199*revleg_mid,0)*VLOOKUP(B199,country_opex,3,FALSE))+V199+W199+X199+Y199+Z199))&lt;=0,"",VLOOKUP(B199,country_opex,7,FALSE)/((S199*pax_cap*load_mid*ROUND(K199*L199*revleg_mid,0))-(((battery/range_nm)*D199*ROUND(K199*L199*revleg_mid,0)*VLOOKUP(B199,country_opex,3,FALSE))+V199+W199+X199+Y199+Z199)))</f>
        <v/>
      </c>
      <c r="AW199" s="43">
        <f>IF(((S199*pax_cap*load_full*ROUND(K199*L199*revleg_full,0))-(((battery/range_nm)*D199*ROUND(K199*L199*revleg_full,0)*VLOOKUP(B199,country_opex,3,FALSE))+V199+W199+X199+Y199+Z199))&lt;=0,"",VLOOKUP(B199,country_opex,7,FALSE)/((S199*pax_cap*load_full*ROUND(K199*L199*revleg_full,0))-(((battery/range_nm)*D199*ROUND(K199*L199*revleg_full,0)*VLOOKUP(B199,country_opex,3,FALSE))+V199+W199+X199+Y199+Z199)))</f>
        <v/>
      </c>
      <c r="AX199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Y19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00">
      <c r="A200" s="29" t="inlineStr">
        <is>
          <t>Bolt</t>
        </is>
      </c>
      <c r="B200" s="29" t="inlineStr">
        <is>
          <t>United Arab Emirates</t>
        </is>
      </c>
      <c r="C200" s="30" t="inlineStr">
        <is>
          <t>Dibba Marina (Fujairah) → Khorfakkan Corniche / Port (Sharjah enclave)</t>
        </is>
      </c>
      <c r="D200" s="31" t="n">
        <v>20.4</v>
      </c>
      <c r="E200" s="26" t="n">
        <v>65</v>
      </c>
      <c r="F200" s="32" t="inlineStr">
        <is>
          <t>T3</t>
        </is>
      </c>
      <c r="G200" s="32" t="inlineStr">
        <is>
          <t>med</t>
        </is>
      </c>
      <c r="H200" s="19" t="n">
        <v>1</v>
      </c>
      <c r="I200" s="33">
        <f>60*D200/cruise_kt</f>
        <v/>
      </c>
      <c r="J200" s="33">
        <f>I200+turn_min+dwell_min</f>
        <v/>
      </c>
      <c r="K200" s="34">
        <f>MIN(15,FLOOR(60*service_hr/J200,1))</f>
        <v/>
      </c>
      <c r="L200" s="34">
        <f>ROUND(365*mech_uptime*H200,0)</f>
        <v/>
      </c>
      <c r="M200" s="35">
        <f>mech_uptime</f>
        <v/>
      </c>
      <c r="N200" s="35">
        <f>revleg_sel</f>
        <v/>
      </c>
      <c r="O200" s="34">
        <f>ROUND(K200*L200*revleg_sel,0)</f>
        <v/>
      </c>
      <c r="P200" s="36">
        <f>load_sel</f>
        <v/>
      </c>
      <c r="Q200" s="36">
        <f>pax_cap*P200</f>
        <v/>
      </c>
      <c r="R200" s="34">
        <f>Q200*O200</f>
        <v/>
      </c>
      <c r="S200" s="37">
        <f>E200*discount</f>
        <v/>
      </c>
      <c r="T200" s="38">
        <f>S200*R200</f>
        <v/>
      </c>
      <c r="U200" s="38">
        <f>(battery/range_nm)*D200*O200*VLOOKUP(B200,country_opex,3,FALSE)</f>
        <v/>
      </c>
      <c r="V200" s="38">
        <f>VLOOKUP(B200,country_opex,2,FALSE)*crew_factor</f>
        <v/>
      </c>
      <c r="W200" s="38">
        <f>VLOOKUP(B200,country_opex,5,FALSE)</f>
        <v/>
      </c>
      <c r="X200" s="38">
        <f>maint</f>
        <v/>
      </c>
      <c r="Y200" s="38">
        <f>VLOOKUP(B200,country_opex,7,FALSE)*ins_pct</f>
        <v/>
      </c>
      <c r="Z200" s="38">
        <f>charge_berth</f>
        <v/>
      </c>
      <c r="AA200" s="38">
        <f>U200+V200+W200+X200+Y200+Z200</f>
        <v/>
      </c>
      <c r="AB200" s="38">
        <f>VLOOKUP(B200,country_opex,7,FALSE)/dep_years</f>
        <v/>
      </c>
      <c r="AC200" s="38">
        <f>T200-AA200</f>
        <v/>
      </c>
      <c r="AD200" s="35">
        <f>IF(T200=0,"",AC200/T200)</f>
        <v/>
      </c>
      <c r="AE200" s="36">
        <f>IF(AC200&lt;=0,"",VLOOKUP(B200,country_opex,7,FALSE)/AC200)</f>
        <v/>
      </c>
      <c r="AF200" s="33">
        <f>((D200*O200/diesel_nmpg)*diesel_co2pg-(battery/range_nm)*D200*O200*VLOOKUP(B200,country_opex,4,FALSE))/1000</f>
        <v/>
      </c>
      <c r="AG200" s="31" t="n">
        <v>60000</v>
      </c>
      <c r="AH200" s="32" t="inlineStr">
        <is>
          <t>T4</t>
        </is>
      </c>
      <c r="AI200" s="32" t="inlineStr">
        <is>
          <t>low</t>
        </is>
      </c>
      <c r="AJ200" s="39" t="n">
        <v>0.1</v>
      </c>
      <c r="AK200" s="34">
        <f>IF(AG200="","",AG200*AJ200)</f>
        <v/>
      </c>
      <c r="AL200" s="34">
        <f>IF(OR(AG200="",R200=0),"",MIN(IF(AT200="",9.9E+99,AT200),FLOOR(AK200/R200,1)))</f>
        <v/>
      </c>
      <c r="AM200" s="38">
        <f>IF(AL200="","",AL200*T200)</f>
        <v/>
      </c>
      <c r="AN200" s="36">
        <f>IF(OR(AG200="",R200=0),"",MIN(IF(AT200="",9.9E+99,AT200),AK200/R200))</f>
        <v/>
      </c>
      <c r="AO200" s="38">
        <f>IF(AN200="","",AN200*T200)</f>
        <v/>
      </c>
      <c r="AP200" s="40" t="n"/>
      <c r="AQ200" s="32" t="inlineStr">
        <is>
          <t>Grounded</t>
        </is>
      </c>
      <c r="AR200" s="41" t="n"/>
      <c r="AS200" s="41" t="n"/>
      <c r="AT200" s="42" t="n"/>
      <c r="AU200" s="43">
        <f>IF(((S200*pax_cap*load_thin*ROUND(K200*L200*revleg_thin,0))-(((battery/range_nm)*D200*ROUND(K200*L200*revleg_thin,0)*VLOOKUP(B200,country_opex,3,FALSE))+V200+W200+X200+Y200+Z200))&lt;=0,"",VLOOKUP(B200,country_opex,7,FALSE)/((S200*pax_cap*load_thin*ROUND(K200*L200*revleg_thin,0))-(((battery/range_nm)*D200*ROUND(K200*L200*revleg_thin,0)*VLOOKUP(B200,country_opex,3,FALSE))+V200+W200+X200+Y200+Z200)))</f>
        <v/>
      </c>
      <c r="AV200" s="43">
        <f>IF(((S200*pax_cap*load_mid*ROUND(K200*L200*revleg_mid,0))-(((battery/range_nm)*D200*ROUND(K200*L200*revleg_mid,0)*VLOOKUP(B200,country_opex,3,FALSE))+V200+W200+X200+Y200+Z200))&lt;=0,"",VLOOKUP(B200,country_opex,7,FALSE)/((S200*pax_cap*load_mid*ROUND(K200*L200*revleg_mid,0))-(((battery/range_nm)*D200*ROUND(K200*L200*revleg_mid,0)*VLOOKUP(B200,country_opex,3,FALSE))+V200+W200+X200+Y200+Z200)))</f>
        <v/>
      </c>
      <c r="AW200" s="43">
        <f>IF(((S200*pax_cap*load_full*ROUND(K200*L200*revleg_full,0))-(((battery/range_nm)*D200*ROUND(K200*L200*revleg_full,0)*VLOOKUP(B200,country_opex,3,FALSE))+V200+W200+X200+Y200+Z200))&lt;=0,"",VLOOKUP(B200,country_opex,7,FALSE)/((S200*pax_cap*load_full*ROUND(K200*L200*revleg_full,0))-(((battery/range_nm)*D200*ROUND(K200*L200*revleg_full,0)*VLOOKUP(B200,country_opex,3,FALSE))+V200+W200+X200+Y200+Z200)))</f>
        <v/>
      </c>
      <c r="AX200" s="44" t="inlineStr">
        <is>
          <t>Fujairah east-coast day-trip boats: Dibba/Khor Fakkan dhow &amp; speedboat tours AED 140-210/pax (Instagram/Tripadvisor/Viator 2025); Musandam dhow cruises similar.</t>
        </is>
      </c>
      <c r="AY200" s="44" t="inlineStr">
        <is>
          <t>Fujairah arrivals crossed 340,000 (+22% YoY), 209 hotels, 70-100% occ (UAE Ministry/Fujairah Tourism); east-coast diving/Musandam day-trips genuinely water-based.</t>
        </is>
      </c>
    </row>
    <row r="201">
      <c r="A201" s="29" t="inlineStr">
        <is>
          <t>Bolt</t>
        </is>
      </c>
      <c r="B201" s="29" t="inlineStr">
        <is>
          <t>United Arab Emirates</t>
        </is>
      </c>
      <c r="C201" s="30" t="inlineStr">
        <is>
          <t>Dubai Harbour Marina → Al Khan Lagoon mouth</t>
        </is>
      </c>
      <c r="D201" s="31" t="n">
        <v>25.1</v>
      </c>
      <c r="E201" s="26" t="n">
        <v>85</v>
      </c>
      <c r="F201" s="32" t="inlineStr">
        <is>
          <t>T5</t>
        </is>
      </c>
      <c r="G201" s="32" t="inlineStr">
        <is>
          <t>low</t>
        </is>
      </c>
      <c r="H201" s="19" t="n">
        <v>1</v>
      </c>
      <c r="I201" s="33">
        <f>60*D201/cruise_kt</f>
        <v/>
      </c>
      <c r="J201" s="33">
        <f>I201+turn_min+dwell_min</f>
        <v/>
      </c>
      <c r="K201" s="34">
        <f>MIN(15,FLOOR(60*service_hr/J201,1))</f>
        <v/>
      </c>
      <c r="L201" s="34">
        <f>ROUND(365*mech_uptime*H201,0)</f>
        <v/>
      </c>
      <c r="M201" s="35">
        <f>mech_uptime</f>
        <v/>
      </c>
      <c r="N201" s="35">
        <f>revleg_sel</f>
        <v/>
      </c>
      <c r="O201" s="34">
        <f>ROUND(K201*L201*revleg_sel,0)</f>
        <v/>
      </c>
      <c r="P201" s="36">
        <f>load_sel</f>
        <v/>
      </c>
      <c r="Q201" s="36">
        <f>pax_cap*P201</f>
        <v/>
      </c>
      <c r="R201" s="34">
        <f>Q201*O201</f>
        <v/>
      </c>
      <c r="S201" s="37">
        <f>E201*discount</f>
        <v/>
      </c>
      <c r="T201" s="38">
        <f>S201*R201</f>
        <v/>
      </c>
      <c r="U201" s="38">
        <f>(battery/range_nm)*D201*O201*VLOOKUP(B201,country_opex,3,FALSE)</f>
        <v/>
      </c>
      <c r="V201" s="38">
        <f>VLOOKUP(B201,country_opex,2,FALSE)*crew_factor</f>
        <v/>
      </c>
      <c r="W201" s="38">
        <f>VLOOKUP(B201,country_opex,5,FALSE)</f>
        <v/>
      </c>
      <c r="X201" s="38">
        <f>maint</f>
        <v/>
      </c>
      <c r="Y201" s="38">
        <f>VLOOKUP(B201,country_opex,7,FALSE)*ins_pct</f>
        <v/>
      </c>
      <c r="Z201" s="38">
        <f>charge_berth</f>
        <v/>
      </c>
      <c r="AA201" s="38">
        <f>U201+V201+W201+X201+Y201+Z201</f>
        <v/>
      </c>
      <c r="AB201" s="38">
        <f>VLOOKUP(B201,country_opex,7,FALSE)/dep_years</f>
        <v/>
      </c>
      <c r="AC201" s="38">
        <f>T201-AA201</f>
        <v/>
      </c>
      <c r="AD201" s="35">
        <f>IF(T201=0,"",AC201/T201)</f>
        <v/>
      </c>
      <c r="AE201" s="36">
        <f>IF(AC201&lt;=0,"",VLOOKUP(B201,country_opex,7,FALSE)/AC201)</f>
        <v/>
      </c>
      <c r="AF201" s="33">
        <f>((D201*O201/diesel_nmpg)*diesel_co2pg-(battery/range_nm)*D201*O201*VLOOKUP(B201,country_opex,4,FALSE))/1000</f>
        <v/>
      </c>
      <c r="AG201" s="31" t="n">
        <v>40000</v>
      </c>
      <c r="AH201" s="32" t="inlineStr">
        <is>
          <t>T2</t>
        </is>
      </c>
      <c r="AI201" s="32" t="inlineStr">
        <is>
          <t>low</t>
        </is>
      </c>
      <c r="AJ201" s="39" t="n">
        <v>0.1</v>
      </c>
      <c r="AK201" s="34">
        <f>IF(AG201="","",AG201*AJ201)</f>
        <v/>
      </c>
      <c r="AL201" s="34">
        <f>IF(OR(AG201="",R201=0),"",MIN(IF(AT201="",9.9E+99,AT201),FLOOR(AK201/R201,1)))</f>
        <v/>
      </c>
      <c r="AM201" s="38">
        <f>IF(AL201="","",AL201*T201)</f>
        <v/>
      </c>
      <c r="AN201" s="36">
        <f>IF(OR(AG201="",R201=0),"",MIN(IF(AT201="",9.9E+99,AT201),AK201/R201))</f>
        <v/>
      </c>
      <c r="AO201" s="38">
        <f>IF(AN201="","",AN201*T201)</f>
        <v/>
      </c>
      <c r="AP201" s="40" t="n"/>
      <c r="AQ201" s="32" t="inlineStr">
        <is>
          <t>Grounded</t>
        </is>
      </c>
      <c r="AR201" s="41" t="n"/>
      <c r="AS201" s="41" t="n"/>
      <c r="AT201" s="42" t="n"/>
      <c r="AU201" s="43">
        <f>IF(((S201*pax_cap*load_thin*ROUND(K201*L201*revleg_thin,0))-(((battery/range_nm)*D201*ROUND(K201*L201*revleg_thin,0)*VLOOKUP(B201,country_opex,3,FALSE))+V201+W201+X201+Y201+Z201))&lt;=0,"",VLOOKUP(B201,country_opex,7,FALSE)/((S201*pax_cap*load_thin*ROUND(K201*L201*revleg_thin,0))-(((battery/range_nm)*D201*ROUND(K201*L201*revleg_thin,0)*VLOOKUP(B201,country_opex,3,FALSE))+V201+W201+X201+Y201+Z201)))</f>
        <v/>
      </c>
      <c r="AV201" s="43">
        <f>IF(((S201*pax_cap*load_mid*ROUND(K201*L201*revleg_mid,0))-(((battery/range_nm)*D201*ROUND(K201*L201*revleg_mid,0)*VLOOKUP(B201,country_opex,3,FALSE))+V201+W201+X201+Y201+Z201))&lt;=0,"",VLOOKUP(B201,country_opex,7,FALSE)/((S201*pax_cap*load_mid*ROUND(K201*L201*revleg_mid,0))-(((battery/range_nm)*D201*ROUND(K201*L201*revleg_mid,0)*VLOOKUP(B201,country_opex,3,FALSE))+V201+W201+X201+Y201+Z201)))</f>
        <v/>
      </c>
      <c r="AW201" s="43">
        <f>IF(((S201*pax_cap*load_full*ROUND(K201*L201*revleg_full,0))-(((battery/range_nm)*D201*ROUND(K201*L201*revleg_full,0)*VLOOKUP(B201,country_opex,3,FALSE))+V201+W201+X201+Y201+Z201))&lt;=0,"",VLOOKUP(B201,country_opex,7,FALSE)/((S201*pax_cap*load_full*ROUND(K201*L201*revleg_full,0))-(((battery/range_nm)*D201*ROUND(K201*L201*revleg_full,0)*VLOOKUP(B201,country_opex,3,FALSE))+V201+W201+X201+Y201+Z201)))</f>
        <v/>
      </c>
      <c r="AX201" s="44" t="inlineStr">
        <is>
          <t>Dubai-Sharjah Ferry Gold AED 25 subsidized-commuter (R5-EXT). Premium per-seat $85 modeled (between subsidized ferry and charter). T5/low.</t>
        </is>
      </c>
      <c r="AY201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2">
      <c r="A202" s="29" t="inlineStr">
        <is>
          <t>Bolt</t>
        </is>
      </c>
      <c r="B202" s="29" t="inlineStr">
        <is>
          <t>United Arab Emirates</t>
        </is>
      </c>
      <c r="C202" s="30" t="inlineStr">
        <is>
          <t>Dubai Marina → Abu Dhabi Corniche</t>
        </is>
      </c>
      <c r="D202" s="31" t="n">
        <v>55.8</v>
      </c>
      <c r="E202" s="26" t="n"/>
      <c r="F202" s="32" t="n"/>
      <c r="G202" s="32" t="n"/>
      <c r="H202" s="19" t="n">
        <v>1</v>
      </c>
      <c r="I202" s="33">
        <f>60*D202/cruise_kt</f>
        <v/>
      </c>
      <c r="J202" s="33">
        <f>I202+turn_min+dwell_min</f>
        <v/>
      </c>
      <c r="K202" s="34">
        <f>MIN(15,FLOOR(60*service_hr/J202,1))</f>
        <v/>
      </c>
      <c r="L202" s="34">
        <f>ROUND(365*mech_uptime*H202,0)</f>
        <v/>
      </c>
      <c r="M202" s="35">
        <f>mech_uptime</f>
        <v/>
      </c>
      <c r="N202" s="35">
        <f>revleg_sel</f>
        <v/>
      </c>
      <c r="O202" s="34">
        <f>ROUND(K202*L202*revleg_sel,0)</f>
        <v/>
      </c>
      <c r="P202" s="36">
        <f>load_sel</f>
        <v/>
      </c>
      <c r="Q202" s="36">
        <f>pax_cap*P202</f>
        <v/>
      </c>
      <c r="R202" s="34">
        <f>Q202*O202</f>
        <v/>
      </c>
      <c r="S202" s="37">
        <f>E202*discount</f>
        <v/>
      </c>
      <c r="T202" s="38">
        <f>S202*R202</f>
        <v/>
      </c>
      <c r="U202" s="38">
        <f>(battery/range_nm)*D202*O202*VLOOKUP(B202,country_opex,3,FALSE)</f>
        <v/>
      </c>
      <c r="V202" s="38">
        <f>VLOOKUP(B202,country_opex,2,FALSE)*crew_factor</f>
        <v/>
      </c>
      <c r="W202" s="38">
        <f>VLOOKUP(B202,country_opex,5,FALSE)</f>
        <v/>
      </c>
      <c r="X202" s="38">
        <f>maint</f>
        <v/>
      </c>
      <c r="Y202" s="38">
        <f>VLOOKUP(B202,country_opex,7,FALSE)*ins_pct</f>
        <v/>
      </c>
      <c r="Z202" s="38">
        <f>charge_berth</f>
        <v/>
      </c>
      <c r="AA202" s="38">
        <f>U202+V202+W202+X202+Y202+Z202</f>
        <v/>
      </c>
      <c r="AB202" s="38">
        <f>VLOOKUP(B202,country_opex,7,FALSE)/dep_years</f>
        <v/>
      </c>
      <c r="AC202" s="38">
        <f>T202-AA202</f>
        <v/>
      </c>
      <c r="AD202" s="35">
        <f>IF(T202=0,"",AC202/T202)</f>
        <v/>
      </c>
      <c r="AE202" s="36">
        <f>IF(AC202&lt;=0,"",VLOOKUP(B202,country_opex,7,FALSE)/AC202)</f>
        <v/>
      </c>
      <c r="AF202" s="33">
        <f>((D202*O202/diesel_nmpg)*diesel_co2pg-(battery/range_nm)*D202*O202*VLOOKUP(B202,country_opex,4,FALSE))/1000</f>
        <v/>
      </c>
      <c r="AG202" s="31" t="n"/>
      <c r="AH202" s="32" t="n"/>
      <c r="AI202" s="32" t="n"/>
      <c r="AJ202" s="39" t="n">
        <v>0.1</v>
      </c>
      <c r="AK202" s="34">
        <f>IF(AG202="","",AG202*AJ202)</f>
        <v/>
      </c>
      <c r="AL202" s="34">
        <f>IF(OR(AG202="",R202=0),"",MIN(IF(AT202="",9.9E+99,AT202),FLOOR(AK202/R202,1)))</f>
        <v/>
      </c>
      <c r="AM202" s="38">
        <f>IF(AL202="","",AL202*T202)</f>
        <v/>
      </c>
      <c r="AN202" s="36">
        <f>IF(OR(AG202="",R202=0),"",MIN(IF(AT202="",9.9E+99,AT202),AK202/R202))</f>
        <v/>
      </c>
      <c r="AO202" s="38">
        <f>IF(AN202="","",AN202*T202)</f>
        <v/>
      </c>
      <c r="AP202" s="40" t="n"/>
      <c r="AQ202" s="32" t="inlineStr">
        <is>
          <t>Estimated</t>
        </is>
      </c>
      <c r="AR202" s="41" t="n"/>
      <c r="AS202" s="41" t="n"/>
      <c r="AT202" s="42" t="n"/>
      <c r="AU202" s="43">
        <f>IF(((S202*pax_cap*load_thin*ROUND(K202*L202*revleg_thin,0))-(((battery/range_nm)*D202*ROUND(K202*L202*revleg_thin,0)*VLOOKUP(B202,country_opex,3,FALSE))+V202+W202+X202+Y202+Z202))&lt;=0,"",VLOOKUP(B202,country_opex,7,FALSE)/((S202*pax_cap*load_thin*ROUND(K202*L202*revleg_thin,0))-(((battery/range_nm)*D202*ROUND(K202*L202*revleg_thin,0)*VLOOKUP(B202,country_opex,3,FALSE))+V202+W202+X202+Y202+Z202)))</f>
        <v/>
      </c>
      <c r="AV202" s="43">
        <f>IF(((S202*pax_cap*load_mid*ROUND(K202*L202*revleg_mid,0))-(((battery/range_nm)*D202*ROUND(K202*L202*revleg_mid,0)*VLOOKUP(B202,country_opex,3,FALSE))+V202+W202+X202+Y202+Z202))&lt;=0,"",VLOOKUP(B202,country_opex,7,FALSE)/((S202*pax_cap*load_mid*ROUND(K202*L202*revleg_mid,0))-(((battery/range_nm)*D202*ROUND(K202*L202*revleg_mid,0)*VLOOKUP(B202,country_opex,3,FALSE))+V202+W202+X202+Y202+Z202)))</f>
        <v/>
      </c>
      <c r="AW202" s="43">
        <f>IF(((S202*pax_cap*load_full*ROUND(K202*L202*revleg_full,0))-(((battery/range_nm)*D202*ROUND(K202*L202*revleg_full,0)*VLOOKUP(B202,country_opex,3,FALSE))+V202+W202+X202+Y202+Z202))&lt;=0,"",VLOOKUP(B202,country_opex,7,FALSE)/((S202*pax_cap*load_full*ROUND(K202*L202*revleg_full,0))-(((battery/range_nm)*D202*ROUND(K202*L202*revleg_full,0)*VLOOKUP(B202,country_opex,3,FALSE))+V202+W202+X202+Y202+Z202)))</f>
        <v/>
      </c>
      <c r="AX202" s="44" t="n"/>
      <c r="AY202" s="44" t="n"/>
    </row>
    <row r="203">
      <c r="A203" s="29" t="inlineStr">
        <is>
          <t>Bolt</t>
        </is>
      </c>
      <c r="B203" s="29" t="inlineStr">
        <is>
          <t>United Arab Emirates</t>
        </is>
      </c>
      <c r="C203" s="30" t="inlineStr">
        <is>
          <t>Dubai → Abu Dhabi (Corniche)</t>
        </is>
      </c>
      <c r="D203" s="31" t="n">
        <v>55.8</v>
      </c>
      <c r="E203" s="26" t="n"/>
      <c r="F203" s="32" t="n"/>
      <c r="G203" s="32" t="n"/>
      <c r="H203" s="19" t="n">
        <v>1</v>
      </c>
      <c r="I203" s="33">
        <f>60*D203/cruise_kt</f>
        <v/>
      </c>
      <c r="J203" s="33">
        <f>I203+turn_min+dwell_min</f>
        <v/>
      </c>
      <c r="K203" s="34">
        <f>MIN(15,FLOOR(60*service_hr/J203,1))</f>
        <v/>
      </c>
      <c r="L203" s="34">
        <f>ROUND(365*mech_uptime*H203,0)</f>
        <v/>
      </c>
      <c r="M203" s="35">
        <f>mech_uptime</f>
        <v/>
      </c>
      <c r="N203" s="35">
        <f>revleg_sel</f>
        <v/>
      </c>
      <c r="O203" s="34">
        <f>ROUND(K203*L203*revleg_sel,0)</f>
        <v/>
      </c>
      <c r="P203" s="36">
        <f>load_sel</f>
        <v/>
      </c>
      <c r="Q203" s="36">
        <f>pax_cap*P203</f>
        <v/>
      </c>
      <c r="R203" s="34">
        <f>Q203*O203</f>
        <v/>
      </c>
      <c r="S203" s="37">
        <f>E203*discount</f>
        <v/>
      </c>
      <c r="T203" s="38">
        <f>S203*R203</f>
        <v/>
      </c>
      <c r="U203" s="38">
        <f>(battery/range_nm)*D203*O203*VLOOKUP(B203,country_opex,3,FALSE)</f>
        <v/>
      </c>
      <c r="V203" s="38">
        <f>VLOOKUP(B203,country_opex,2,FALSE)*crew_factor</f>
        <v/>
      </c>
      <c r="W203" s="38">
        <f>VLOOKUP(B203,country_opex,5,FALSE)</f>
        <v/>
      </c>
      <c r="X203" s="38">
        <f>maint</f>
        <v/>
      </c>
      <c r="Y203" s="38">
        <f>VLOOKUP(B203,country_opex,7,FALSE)*ins_pct</f>
        <v/>
      </c>
      <c r="Z203" s="38">
        <f>charge_berth</f>
        <v/>
      </c>
      <c r="AA203" s="38">
        <f>U203+V203+W203+X203+Y203+Z203</f>
        <v/>
      </c>
      <c r="AB203" s="38">
        <f>VLOOKUP(B203,country_opex,7,FALSE)/dep_years</f>
        <v/>
      </c>
      <c r="AC203" s="38">
        <f>T203-AA203</f>
        <v/>
      </c>
      <c r="AD203" s="35">
        <f>IF(T203=0,"",AC203/T203)</f>
        <v/>
      </c>
      <c r="AE203" s="36">
        <f>IF(AC203&lt;=0,"",VLOOKUP(B203,country_opex,7,FALSE)/AC203)</f>
        <v/>
      </c>
      <c r="AF203" s="33">
        <f>((D203*O203/diesel_nmpg)*diesel_co2pg-(battery/range_nm)*D203*O203*VLOOKUP(B203,country_opex,4,FALSE))/1000</f>
        <v/>
      </c>
      <c r="AG203" s="31" t="n"/>
      <c r="AH203" s="32" t="n"/>
      <c r="AI203" s="32" t="n"/>
      <c r="AJ203" s="39" t="n">
        <v>0.1</v>
      </c>
      <c r="AK203" s="34">
        <f>IF(AG203="","",AG203*AJ203)</f>
        <v/>
      </c>
      <c r="AL203" s="34">
        <f>IF(OR(AG203="",R203=0),"",MIN(IF(AT203="",9.9E+99,AT203),FLOOR(AK203/R203,1)))</f>
        <v/>
      </c>
      <c r="AM203" s="38">
        <f>IF(AL203="","",AL203*T203)</f>
        <v/>
      </c>
      <c r="AN203" s="36">
        <f>IF(OR(AG203="",R203=0),"",MIN(IF(AT203="",9.9E+99,AT203),AK203/R203))</f>
        <v/>
      </c>
      <c r="AO203" s="38">
        <f>IF(AN203="","",AN203*T203)</f>
        <v/>
      </c>
      <c r="AP203" s="40" t="n"/>
      <c r="AQ203" s="32" t="inlineStr">
        <is>
          <t>Estimated</t>
        </is>
      </c>
      <c r="AR203" s="41" t="n"/>
      <c r="AS203" s="41" t="n"/>
      <c r="AT203" s="42" t="n"/>
      <c r="AU203" s="43">
        <f>IF(((S203*pax_cap*load_thin*ROUND(K203*L203*revleg_thin,0))-(((battery/range_nm)*D203*ROUND(K203*L203*revleg_thin,0)*VLOOKUP(B203,country_opex,3,FALSE))+V203+W203+X203+Y203+Z203))&lt;=0,"",VLOOKUP(B203,country_opex,7,FALSE)/((S203*pax_cap*load_thin*ROUND(K203*L203*revleg_thin,0))-(((battery/range_nm)*D203*ROUND(K203*L203*revleg_thin,0)*VLOOKUP(B203,country_opex,3,FALSE))+V203+W203+X203+Y203+Z203)))</f>
        <v/>
      </c>
      <c r="AV203" s="43">
        <f>IF(((S203*pax_cap*load_mid*ROUND(K203*L203*revleg_mid,0))-(((battery/range_nm)*D203*ROUND(K203*L203*revleg_mid,0)*VLOOKUP(B203,country_opex,3,FALSE))+V203+W203+X203+Y203+Z203))&lt;=0,"",VLOOKUP(B203,country_opex,7,FALSE)/((S203*pax_cap*load_mid*ROUND(K203*L203*revleg_mid,0))-(((battery/range_nm)*D203*ROUND(K203*L203*revleg_mid,0)*VLOOKUP(B203,country_opex,3,FALSE))+V203+W203+X203+Y203+Z203)))</f>
        <v/>
      </c>
      <c r="AW203" s="43">
        <f>IF(((S203*pax_cap*load_full*ROUND(K203*L203*revleg_full,0))-(((battery/range_nm)*D203*ROUND(K203*L203*revleg_full,0)*VLOOKUP(B203,country_opex,3,FALSE))+V203+W203+X203+Y203+Z203))&lt;=0,"",VLOOKUP(B203,country_opex,7,FALSE)/((S203*pax_cap*load_full*ROUND(K203*L203*revleg_full,0))-(((battery/range_nm)*D203*ROUND(K203*L203*revleg_full,0)*VLOOKUP(B203,country_opex,3,FALSE))+V203+W203+X203+Y203+Z203)))</f>
        <v/>
      </c>
      <c r="AX203" s="44" t="n"/>
      <c r="AY203" s="44" t="n"/>
    </row>
    <row r="204">
      <c r="A204" s="29" t="inlineStr">
        <is>
          <t>Bolt</t>
        </is>
      </c>
      <c r="B204" s="29" t="inlineStr">
        <is>
          <t>United Arab Emirates</t>
        </is>
      </c>
      <c r="C204" s="30" t="inlineStr">
        <is>
          <t>Dubai Harbour Marina → Wynn Al Marjan Island arrival lagoon</t>
        </is>
      </c>
      <c r="D204" s="31" t="n">
        <v>56</v>
      </c>
      <c r="E204" s="26" t="n">
        <v>200</v>
      </c>
      <c r="F204" s="32" t="inlineStr">
        <is>
          <t>T5</t>
        </is>
      </c>
      <c r="G204" s="32" t="inlineStr">
        <is>
          <t>low</t>
        </is>
      </c>
      <c r="H204" s="19" t="n">
        <v>1</v>
      </c>
      <c r="I204" s="33">
        <f>60*D204/cruise_kt</f>
        <v/>
      </c>
      <c r="J204" s="33">
        <f>I204+turn_min+dwell_min</f>
        <v/>
      </c>
      <c r="K204" s="34">
        <f>MIN(15,FLOOR(60*service_hr/J204,1))</f>
        <v/>
      </c>
      <c r="L204" s="34">
        <f>ROUND(365*mech_uptime*H204,0)</f>
        <v/>
      </c>
      <c r="M204" s="35">
        <f>mech_uptime</f>
        <v/>
      </c>
      <c r="N204" s="35">
        <f>revleg_sel</f>
        <v/>
      </c>
      <c r="O204" s="34">
        <f>ROUND(K204*L204*revleg_sel,0)</f>
        <v/>
      </c>
      <c r="P204" s="36">
        <f>load_sel</f>
        <v/>
      </c>
      <c r="Q204" s="36">
        <f>pax_cap*P204</f>
        <v/>
      </c>
      <c r="R204" s="34">
        <f>Q204*O204</f>
        <v/>
      </c>
      <c r="S204" s="37">
        <f>E204*discount</f>
        <v/>
      </c>
      <c r="T204" s="38">
        <f>S204*R204</f>
        <v/>
      </c>
      <c r="U204" s="38">
        <f>(battery/range_nm)*D204*O204*VLOOKUP(B204,country_opex,3,FALSE)</f>
        <v/>
      </c>
      <c r="V204" s="38">
        <f>VLOOKUP(B204,country_opex,2,FALSE)*crew_factor</f>
        <v/>
      </c>
      <c r="W204" s="38">
        <f>VLOOKUP(B204,country_opex,5,FALSE)</f>
        <v/>
      </c>
      <c r="X204" s="38">
        <f>maint</f>
        <v/>
      </c>
      <c r="Y204" s="38">
        <f>VLOOKUP(B204,country_opex,7,FALSE)*ins_pct</f>
        <v/>
      </c>
      <c r="Z204" s="38">
        <f>charge_berth</f>
        <v/>
      </c>
      <c r="AA204" s="38">
        <f>U204+V204+W204+X204+Y204+Z204</f>
        <v/>
      </c>
      <c r="AB204" s="38">
        <f>VLOOKUP(B204,country_opex,7,FALSE)/dep_years</f>
        <v/>
      </c>
      <c r="AC204" s="38">
        <f>T204-AA204</f>
        <v/>
      </c>
      <c r="AD204" s="35">
        <f>IF(T204=0,"",AC204/T204)</f>
        <v/>
      </c>
      <c r="AE204" s="36">
        <f>IF(AC204&lt;=0,"",VLOOKUP(B204,country_opex,7,FALSE)/AC204)</f>
        <v/>
      </c>
      <c r="AF204" s="33">
        <f>((D204*O204/diesel_nmpg)*diesel_co2pg-(battery/range_nm)*D204*O204*VLOOKUP(B204,country_opex,4,FALSE))/1000</f>
        <v/>
      </c>
      <c r="AG204" s="31" t="n">
        <v>60000</v>
      </c>
      <c r="AH204" s="32" t="inlineStr">
        <is>
          <t>T2</t>
        </is>
      </c>
      <c r="AI204" s="32" t="inlineStr">
        <is>
          <t>medium</t>
        </is>
      </c>
      <c r="AJ204" s="39" t="n">
        <v>0.1</v>
      </c>
      <c r="AK204" s="34">
        <f>IF(AG204="","",AG204*AJ204)</f>
        <v/>
      </c>
      <c r="AL204" s="34">
        <f>IF(OR(AG204="",R204=0),"",MIN(IF(AT204="",9.9E+99,AT204),FLOOR(AK204/R204,1)))</f>
        <v/>
      </c>
      <c r="AM204" s="38">
        <f>IF(AL204="","",AL204*T204)</f>
        <v/>
      </c>
      <c r="AN204" s="36">
        <f>IF(OR(AG204="",R204=0),"",MIN(IF(AT204="",9.9E+99,AT204),AK204/R204))</f>
        <v/>
      </c>
      <c r="AO204" s="38">
        <f>IF(AN204="","",AN204*T204)</f>
        <v/>
      </c>
      <c r="AP204" s="40" t="n"/>
      <c r="AQ204" s="32" t="inlineStr">
        <is>
          <t>Grounded</t>
        </is>
      </c>
      <c r="AR204" s="41" t="n"/>
      <c r="AS204" s="41" t="n"/>
      <c r="AT204" s="42" t="n"/>
      <c r="AU204" s="43">
        <f>IF(((S204*pax_cap*load_thin*ROUND(K204*L204*revleg_thin,0))-(((battery/range_nm)*D204*ROUND(K204*L204*revleg_thin,0)*VLOOKUP(B204,country_opex,3,FALSE))+V204+W204+X204+Y204+Z204))&lt;=0,"",VLOOKUP(B204,country_opex,7,FALSE)/((S204*pax_cap*load_thin*ROUND(K204*L204*revleg_thin,0))-(((battery/range_nm)*D204*ROUND(K204*L204*revleg_thin,0)*VLOOKUP(B204,country_opex,3,FALSE))+V204+W204+X204+Y204+Z204)))</f>
        <v/>
      </c>
      <c r="AV204" s="43">
        <f>IF(((S204*pax_cap*load_mid*ROUND(K204*L204*revleg_mid,0))-(((battery/range_nm)*D204*ROUND(K204*L204*revleg_mid,0)*VLOOKUP(B204,country_opex,3,FALSE))+V204+W204+X204+Y204+Z204))&lt;=0,"",VLOOKUP(B204,country_opex,7,FALSE)/((S204*pax_cap*load_mid*ROUND(K204*L204*revleg_mid,0))-(((battery/range_nm)*D204*ROUND(K204*L204*revleg_mid,0)*VLOOKUP(B204,country_opex,3,FALSE))+V204+W204+X204+Y204+Z204)))</f>
        <v/>
      </c>
      <c r="AW204" s="43">
        <f>IF(((S204*pax_cap*load_full*ROUND(K204*L204*revleg_full,0))-(((battery/range_nm)*D204*ROUND(K204*L204*revleg_full,0)*VLOOKUP(B204,country_opex,3,FALSE))+V204+W204+X204+Y204+Z204))&lt;=0,"",VLOOKUP(B204,country_opex,7,FALSE)/((S204*pax_cap*load_full*ROUND(K204*L204*revleg_full,0))-(((battery/range_nm)*D204*ROUND(K204*L204*revleg_full,0)*VLOOKUP(B204,country_opex,3,FALSE))+V204+W204+X204+Y204+Z204)))</f>
        <v/>
      </c>
      <c r="AX204" s="44" t="inlineStr">
        <is>
          <t>Wynn Al Marjan (first UAE gaming resort) opens early 2027: 1,217 rooms + 297 residences. No marine transfer today. T5/low - greenfield.</t>
        </is>
      </c>
      <c r="AY20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5">
      <c r="A205" s="29" t="inlineStr">
        <is>
          <t>Bolt</t>
        </is>
      </c>
      <c r="B205" s="29" t="inlineStr">
        <is>
          <t>United Arab Emirates</t>
        </is>
      </c>
      <c r="C205" s="30" t="inlineStr">
        <is>
          <t>Dubai Harbour Marina → Marina Mall / Breakwater Marina</t>
        </is>
      </c>
      <c r="D205" s="31" t="n">
        <v>59.8</v>
      </c>
      <c r="E205" s="26" t="n">
        <v>110</v>
      </c>
      <c r="F205" s="32" t="inlineStr">
        <is>
          <t>T5</t>
        </is>
      </c>
      <c r="G205" s="32" t="inlineStr">
        <is>
          <t>low</t>
        </is>
      </c>
      <c r="H205" s="19" t="n">
        <v>1</v>
      </c>
      <c r="I205" s="33">
        <f>60*D205/cruise_kt</f>
        <v/>
      </c>
      <c r="J205" s="33">
        <f>I205+turn_min+dwell_min</f>
        <v/>
      </c>
      <c r="K205" s="34">
        <f>MIN(15,FLOOR(60*service_hr/J205,1))</f>
        <v/>
      </c>
      <c r="L205" s="34">
        <f>ROUND(365*mech_uptime*H205,0)</f>
        <v/>
      </c>
      <c r="M205" s="35">
        <f>mech_uptime</f>
        <v/>
      </c>
      <c r="N205" s="35">
        <f>revleg_sel</f>
        <v/>
      </c>
      <c r="O205" s="34">
        <f>ROUND(K205*L205*revleg_sel,0)</f>
        <v/>
      </c>
      <c r="P205" s="36">
        <f>load_sel</f>
        <v/>
      </c>
      <c r="Q205" s="36">
        <f>pax_cap*P205</f>
        <v/>
      </c>
      <c r="R205" s="34">
        <f>Q205*O205</f>
        <v/>
      </c>
      <c r="S205" s="37">
        <f>E205*discount</f>
        <v/>
      </c>
      <c r="T205" s="38">
        <f>S205*R205</f>
        <v/>
      </c>
      <c r="U205" s="38">
        <f>(battery/range_nm)*D205*O205*VLOOKUP(B205,country_opex,3,FALSE)</f>
        <v/>
      </c>
      <c r="V205" s="38">
        <f>VLOOKUP(B205,country_opex,2,FALSE)*crew_factor</f>
        <v/>
      </c>
      <c r="W205" s="38">
        <f>VLOOKUP(B205,country_opex,5,FALSE)</f>
        <v/>
      </c>
      <c r="X205" s="38">
        <f>maint</f>
        <v/>
      </c>
      <c r="Y205" s="38">
        <f>VLOOKUP(B205,country_opex,7,FALSE)*ins_pct</f>
        <v/>
      </c>
      <c r="Z205" s="38">
        <f>charge_berth</f>
        <v/>
      </c>
      <c r="AA205" s="38">
        <f>U205+V205+W205+X205+Y205+Z205</f>
        <v/>
      </c>
      <c r="AB205" s="38">
        <f>VLOOKUP(B205,country_opex,7,FALSE)/dep_years</f>
        <v/>
      </c>
      <c r="AC205" s="38">
        <f>T205-AA205</f>
        <v/>
      </c>
      <c r="AD205" s="35">
        <f>IF(T205=0,"",AC205/T205)</f>
        <v/>
      </c>
      <c r="AE205" s="36">
        <f>IF(AC205&lt;=0,"",VLOOKUP(B205,country_opex,7,FALSE)/AC205)</f>
        <v/>
      </c>
      <c r="AF205" s="33">
        <f>((D205*O205/diesel_nmpg)*diesel_co2pg-(battery/range_nm)*D205*O205*VLOOKUP(B205,country_opex,4,FALSE))/1000</f>
        <v/>
      </c>
      <c r="AG205" s="31" t="n">
        <v>25000</v>
      </c>
      <c r="AH205" s="32" t="inlineStr">
        <is>
          <t>T2</t>
        </is>
      </c>
      <c r="AI205" s="32" t="inlineStr">
        <is>
          <t>low</t>
        </is>
      </c>
      <c r="AJ205" s="39" t="n">
        <v>0.1</v>
      </c>
      <c r="AK205" s="34">
        <f>IF(AG205="","",AG205*AJ205)</f>
        <v/>
      </c>
      <c r="AL205" s="34">
        <f>IF(OR(AG205="",R205=0),"",MIN(IF(AT205="",9.9E+99,AT205),FLOOR(AK205/R205,1)))</f>
        <v/>
      </c>
      <c r="AM205" s="38">
        <f>IF(AL205="","",AL205*T205)</f>
        <v/>
      </c>
      <c r="AN205" s="36">
        <f>IF(OR(AG205="",R205=0),"",MIN(IF(AT205="",9.9E+99,AT205),AK205/R205))</f>
        <v/>
      </c>
      <c r="AO205" s="38">
        <f>IF(AN205="","",AN205*T205)</f>
        <v/>
      </c>
      <c r="AP205" s="40" t="n"/>
      <c r="AQ205" s="32" t="inlineStr">
        <is>
          <t>Grounded</t>
        </is>
      </c>
      <c r="AR205" s="41" t="n"/>
      <c r="AS205" s="41" t="n"/>
      <c r="AT205" s="42" t="n"/>
      <c r="AU205" s="43">
        <f>IF(((S205*pax_cap*load_thin*ROUND(K205*L205*revleg_thin,0))-(((battery/range_nm)*D205*ROUND(K205*L205*revleg_thin,0)*VLOOKUP(B205,country_opex,3,FALSE))+V205+W205+X205+Y205+Z205))&lt;=0,"",VLOOKUP(B205,country_opex,7,FALSE)/((S205*pax_cap*load_thin*ROUND(K205*L205*revleg_thin,0))-(((battery/range_nm)*D205*ROUND(K205*L205*revleg_thin,0)*VLOOKUP(B205,country_opex,3,FALSE))+V205+W205+X205+Y205+Z205)))</f>
        <v/>
      </c>
      <c r="AV205" s="43">
        <f>IF(((S205*pax_cap*load_mid*ROUND(K205*L205*revleg_mid,0))-(((battery/range_nm)*D205*ROUND(K205*L205*revleg_mid,0)*VLOOKUP(B205,country_opex,3,FALSE))+V205+W205+X205+Y205+Z205))&lt;=0,"",VLOOKUP(B205,country_opex,7,FALSE)/((S205*pax_cap*load_mid*ROUND(K205*L205*revleg_mid,0))-(((battery/range_nm)*D205*ROUND(K205*L205*revleg_mid,0)*VLOOKUP(B205,country_opex,3,FALSE))+V205+W205+X205+Y205+Z205)))</f>
        <v/>
      </c>
      <c r="AW205" s="43">
        <f>IF(((S205*pax_cap*load_full*ROUND(K205*L205*revleg_full,0))-(((battery/range_nm)*D205*ROUND(K205*L205*revleg_full,0)*VLOOKUP(B205,country_opex,3,FALSE))+V205+W205+X205+Y205+Z205))&lt;=0,"",VLOOKUP(B205,country_opex,7,FALSE)/((S205*pax_cap*load_full*ROUND(K205*L205*revleg_full,0))-(((battery/range_nm)*D205*ROUND(K205*L205*revleg_full,0)*VLOOKUP(B205,country_opex,3,FALSE))+V205+W205+X205+Y205+Z205)))</f>
        <v/>
      </c>
      <c r="AX205" s="44" t="inlineStr">
        <is>
          <t>No Dubai&lt;-&gt;AD ferry. Whole-yacht charter AED 4,500/hr (8-pax ~$95-150/seat); limo AED 250-350. T5/low - opportunity-to-create.</t>
        </is>
      </c>
      <c r="AY20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6">
      <c r="A206" s="45" t="inlineStr">
        <is>
          <t>TOTAL / median</t>
        </is>
      </c>
      <c r="T206" s="46">
        <f>SUM(T4:T205)</f>
        <v/>
      </c>
      <c r="AC206" s="46">
        <f>SUM(AC4:AC205)</f>
        <v/>
      </c>
      <c r="AD206" s="47">
        <f>IF(T206=0,"",AC206/T206)</f>
        <v/>
      </c>
      <c r="AL206" s="48">
        <f>SUM(AL4:AL205)</f>
        <v/>
      </c>
      <c r="AM206" s="46">
        <f>SUM(AM4:AM205)</f>
        <v/>
      </c>
    </row>
    <row r="208">
      <c r="A20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09">
      <c r="A209" s="24" t="inlineStr">
        <is>
          <t>Market</t>
        </is>
      </c>
      <c r="B209" s="24" t="inlineStr">
        <is>
          <t>Fleet basis</t>
        </is>
      </c>
      <c r="C209" s="24" t="inlineStr">
        <is>
          <t>Raw vessels (sum)</t>
        </is>
      </c>
      <c r="D209" s="24" t="inlineStr">
        <is>
          <t>Fleet (rounded once)</t>
        </is>
      </c>
      <c r="E209" s="24" t="inlineStr">
        <is>
          <t>Market rev/yr (raw sum)</t>
        </is>
      </c>
    </row>
    <row r="210">
      <c r="A210" s="25" t="inlineStr">
        <is>
          <t>Bolt</t>
        </is>
      </c>
      <c r="B210" s="13" t="inlineStr">
        <is>
          <t>network_sum / ceil</t>
        </is>
      </c>
      <c r="C210" s="23">
        <f>SUMIFS(AN4:AN205,A4:A205,"Bolt",AP4:AP205,"=",AQ4:AQ205,"Grounded")</f>
        <v/>
      </c>
      <c r="D210" s="49">
        <f>IF(C210=0,0,CEILING(C210,1))</f>
        <v/>
      </c>
      <c r="E210" s="50">
        <f>SUMIFS(AO4:AO205,A4:A205,"Bolt",AP4:AP205,"=",AQ4:AQ205,"Grounded")</f>
        <v/>
      </c>
    </row>
    <row r="211">
      <c r="A211" s="45" t="inlineStr">
        <is>
          <t>GROUNDED FLOOR (PUBLISHED)</t>
        </is>
      </c>
      <c r="D211" s="48">
        <f>SUM(D210:D210)</f>
        <v/>
      </c>
      <c r="E211" s="46">
        <f>SUM(E210:E210)</f>
        <v/>
      </c>
    </row>
    <row r="212">
      <c r="A212" s="20" t="inlineStr">
        <is>
          <t>ESTIMATED DEMAND (country-median cascade; held OUT of grounded floor)</t>
        </is>
      </c>
      <c r="D212" s="51">
        <f>SUMIF(AQ4:AQ205,"Estimated",AL4:AL205)</f>
        <v/>
      </c>
      <c r="E212" s="52">
        <f>SUMIF(AQ4:AQ205,"Estimated",AM4:AM205)</f>
        <v/>
      </c>
    </row>
    <row r="213">
      <c r="A213" s="20" t="inlineStr">
        <is>
          <t>ESTIMATED UPSIDE (LB-99 modal-shift / experience-upside tiers; held OUT of grounded floor)</t>
        </is>
      </c>
      <c r="D213" s="51">
        <f>SUMIF(AQ4:AQ205,"Upside tier",AL4:AL205)</f>
        <v/>
      </c>
      <c r="E213" s="52">
        <f>SUMIF(AQ4:AQ205,"Upside tier",AM4:AM205)</f>
        <v/>
      </c>
    </row>
    <row r="215">
      <c r="A215" s="53" t="inlineStr">
        <is>
          <t>Held for Quanta-LR (&gt;70nm, roadmap H2 2026+):</t>
        </is>
      </c>
      <c r="C215" s="54" t="inlineStr">
        <is>
          <t>Mykonos → Santorini (Thira) (75nm)</t>
        </is>
      </c>
    </row>
    <row r="216">
      <c r="C216" s="54" t="inlineStr">
        <is>
          <t>Monaco → Portofino (85.0nm)</t>
        </is>
      </c>
    </row>
    <row r="217">
      <c r="C217" s="54" t="inlineStr">
        <is>
          <t>Marina Mall / Breakwater Marina → Sir Bani Yas Cruise Port (93.1nm)</t>
        </is>
      </c>
    </row>
    <row r="218">
      <c r="C218" s="54" t="inlineStr">
        <is>
          <t>Dubai Harbour Marina → Old Doha Port (195.42nm)</t>
        </is>
      </c>
    </row>
    <row r="219">
      <c r="C219" s="54" t="inlineStr">
        <is>
          <t>Marina Mall / Breakwater Marina → Bahrain Financial Harbour Marina (235.44nm)</t>
        </is>
      </c>
    </row>
    <row r="220">
      <c r="C220" s="54" t="inlineStr">
        <is>
          <t>Shura Island hub → AMAALA (Triple Bay) (82.9nm)</t>
        </is>
      </c>
    </row>
    <row r="221">
      <c r="C221" s="54" t="inlineStr">
        <is>
          <t>Jeddah → NEOM (Sindalah) (463.9nm)</t>
        </is>
      </c>
    </row>
    <row r="222">
      <c r="C222" s="54" t="inlineStr">
        <is>
          <t>Jeddah gateway → The Red Sea archipelago (275.5nm)</t>
        </is>
      </c>
    </row>
    <row r="223">
      <c r="C223" s="54" t="inlineStr">
        <is>
          <t>The Red Sea → NEOM (Sindalah) / Jeddah gateway (196.9nm)</t>
        </is>
      </c>
    </row>
    <row r="224">
      <c r="C224" s="54" t="inlineStr">
        <is>
          <t>Tallinn → Stockholm (210nm)</t>
        </is>
      </c>
    </row>
    <row r="225">
      <c r="C225" s="54" t="inlineStr">
        <is>
          <t>Larnaca → Jounieh / Beirut (Lebanon) (115nm)</t>
        </is>
      </c>
    </row>
    <row r="226">
      <c r="C226" s="54" t="inlineStr">
        <is>
          <t>Stockholm (Vartahamnen / Stadsgarden) → Mariehamn (Aland) (75nm)</t>
        </is>
      </c>
    </row>
    <row r="227">
      <c r="C227" s="54" t="inlineStr">
        <is>
          <t>Palma de Mallorca → Ibiza Town (75.0nm)</t>
        </is>
      </c>
    </row>
    <row r="228">
      <c r="C228" s="54" t="inlineStr">
        <is>
          <t>Palma de Mallorca → Maó (Menorca) (100nm)</t>
        </is>
      </c>
    </row>
    <row r="229">
      <c r="C229" s="54" t="inlineStr">
        <is>
          <t>Dénia → Palma de Mallorca (130nm)</t>
        </is>
      </c>
    </row>
    <row r="230">
      <c r="C230" s="54" t="inlineStr">
        <is>
          <t>Barcelona → Palma de Mallorca (115nm)</t>
        </is>
      </c>
    </row>
    <row r="231">
      <c r="C231" s="54" t="inlineStr">
        <is>
          <t>Barcelona → Ibiza Town (Eivissa) (140nm)</t>
        </is>
      </c>
    </row>
    <row r="232">
      <c r="C232" s="54" t="inlineStr">
        <is>
          <t>Helsinki → Stockholm (210nm)</t>
        </is>
      </c>
    </row>
    <row r="233">
      <c r="C233" s="54" t="inlineStr">
        <is>
          <t>Haifa → Limassol (Cyprus) (147.1nm)</t>
        </is>
      </c>
    </row>
    <row r="234">
      <c r="C234" s="54" t="inlineStr">
        <is>
          <t>Beirut / Jounieh → Larnaca (Cyprus) (110.5nm)</t>
        </is>
      </c>
    </row>
    <row r="235">
      <c r="C235" s="54" t="inlineStr">
        <is>
          <t>Doha (Lusail Marina) → Manama (Bahrain Financial Harbour) (94.5nm)</t>
        </is>
      </c>
    </row>
  </sheetData>
  <mergeCells count="2">
    <mergeCell ref="A1:L1"/>
    <mergeCell ref="A208:L20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0.104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2026-07-06T02:58:33Z</dcterms:created>
  <dcterms:modified xsi:type="dcterms:W3CDTF">2026-07-06T02:58:34Z</dcterms:modified>
</cp:coreProperties>
</file>